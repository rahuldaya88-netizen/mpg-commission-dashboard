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"/>
    </mc:Choice>
  </mc:AlternateContent>
  <xr:revisionPtr revIDLastSave="0" documentId="8_{4E3A3219-B4AA-45D5-AC48-437D6F4FEBAB}" xr6:coauthVersionLast="47" xr6:coauthVersionMax="47" xr10:uidLastSave="{00000000-0000-0000-0000-000000000000}"/>
  <bookViews>
    <workbookView xWindow="-120" yWindow="-120" windowWidth="29040" windowHeight="15720" xr2:uid="{BC86A43F-41E7-4C46-A24B-EEF3AD15D961}"/>
  </bookViews>
  <sheets>
    <sheet name="MPG" sheetId="2" r:id="rId1"/>
    <sheet name="Farm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9" i="1" l="1"/>
</calcChain>
</file>

<file path=xl/sharedStrings.xml><?xml version="1.0" encoding="utf-8"?>
<sst xmlns="http://schemas.openxmlformats.org/spreadsheetml/2006/main" count="1075" uniqueCount="370">
  <si>
    <t>ID</t>
  </si>
  <si>
    <t>MCC Name</t>
  </si>
  <si>
    <t>BMC Area</t>
  </si>
  <si>
    <t>MPG/RMC Name</t>
  </si>
  <si>
    <t>Code</t>
  </si>
  <si>
    <t>Farmers Code</t>
  </si>
  <si>
    <t>No of Shift</t>
  </si>
  <si>
    <t>Vol_L</t>
  </si>
  <si>
    <t>Amount</t>
  </si>
  <si>
    <t>Vet Deduction</t>
  </si>
  <si>
    <t>Sample Milk</t>
  </si>
  <si>
    <t>Milk Short</t>
  </si>
  <si>
    <t>CF Deduction</t>
  </si>
  <si>
    <t>Other</t>
  </si>
  <si>
    <t>Stop Payment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</si>
  <si>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</si>
  <si>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</si>
  <si>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</si>
  <si>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</si>
  <si>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</si>
  <si>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</si>
  <si>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</si>
  <si>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Cycle</t>
  </si>
  <si>
    <t>Sample</t>
  </si>
  <si>
    <t>Values</t>
  </si>
  <si>
    <t>100200750002</t>
  </si>
  <si>
    <t>Laldiyara</t>
  </si>
  <si>
    <t>RAMNAGAR</t>
  </si>
  <si>
    <t>0002</t>
  </si>
  <si>
    <t>Release3</t>
  </si>
  <si>
    <t>Direct</t>
  </si>
  <si>
    <t>Ravish Kumar</t>
  </si>
  <si>
    <t>31010110029290</t>
  </si>
  <si>
    <t>PUNB0MBGB06</t>
  </si>
  <si>
    <t xml:space="preserve">Bihar Gramin Bank </t>
  </si>
  <si>
    <t>Available</t>
  </si>
  <si>
    <t>06. 01-07 May</t>
  </si>
  <si>
    <t>100200750003</t>
  </si>
  <si>
    <t>0003</t>
  </si>
  <si>
    <t xml:space="preserve">Yogesh Sharma </t>
  </si>
  <si>
    <t>1648001700118133</t>
  </si>
  <si>
    <t>PUNB0164800</t>
  </si>
  <si>
    <t xml:space="preserve">Punjab National Bank </t>
  </si>
  <si>
    <t>100200750014</t>
  </si>
  <si>
    <t>0014</t>
  </si>
  <si>
    <t>Naresh Kumar</t>
  </si>
  <si>
    <t>1648001700118072</t>
  </si>
  <si>
    <t>100800160001</t>
  </si>
  <si>
    <t>Teghra</t>
  </si>
  <si>
    <t>GomukhGehuni</t>
  </si>
  <si>
    <t>0001</t>
  </si>
  <si>
    <t>Not Available</t>
  </si>
  <si>
    <t>100800160002</t>
  </si>
  <si>
    <t xml:space="preserve">Rajeev Kumar </t>
  </si>
  <si>
    <t>13630100005393</t>
  </si>
  <si>
    <t>UCBA0001363</t>
  </si>
  <si>
    <t>Uco Bank</t>
  </si>
  <si>
    <t>100800160018</t>
  </si>
  <si>
    <t>0018</t>
  </si>
  <si>
    <t xml:space="preserve">Lalita Devi </t>
  </si>
  <si>
    <t>13630110108604</t>
  </si>
  <si>
    <t>100800160021</t>
  </si>
  <si>
    <t>0021</t>
  </si>
  <si>
    <t xml:space="preserve">Anita Kumari </t>
  </si>
  <si>
    <t>13630110065891</t>
  </si>
  <si>
    <t>100800320001</t>
  </si>
  <si>
    <t>GOMUKH BEGAMSARAI</t>
  </si>
  <si>
    <t>100800320002</t>
  </si>
  <si>
    <t xml:space="preserve">Ramsunder Kumar </t>
  </si>
  <si>
    <t>35062171792</t>
  </si>
  <si>
    <t>SBIN0003012</t>
  </si>
  <si>
    <t xml:space="preserve">State Bank of India </t>
  </si>
  <si>
    <t>100800320020</t>
  </si>
  <si>
    <t>0020</t>
  </si>
  <si>
    <t>100800320021</t>
  </si>
  <si>
    <t>100800320024</t>
  </si>
  <si>
    <t>0024</t>
  </si>
  <si>
    <t>100800320027</t>
  </si>
  <si>
    <t>0027</t>
  </si>
  <si>
    <t>100800320031</t>
  </si>
  <si>
    <t>0031</t>
  </si>
  <si>
    <t xml:space="preserve">Nandana devi </t>
  </si>
  <si>
    <t>484110110010223</t>
  </si>
  <si>
    <t>BKID0004841</t>
  </si>
  <si>
    <t xml:space="preserve">Bank Of India </t>
  </si>
  <si>
    <t>100800480001</t>
  </si>
  <si>
    <t>GOMUKH RANI 3</t>
  </si>
  <si>
    <t>100800480002</t>
  </si>
  <si>
    <t xml:space="preserve">Saurav Kumar </t>
  </si>
  <si>
    <t>15940110019863</t>
  </si>
  <si>
    <t>UCBA0001594</t>
  </si>
  <si>
    <t>100800480004</t>
  </si>
  <si>
    <t>0004</t>
  </si>
  <si>
    <t xml:space="preserve">Surbhi Kumari </t>
  </si>
  <si>
    <t>38280100016405</t>
  </si>
  <si>
    <t xml:space="preserve">Dakshin Bihar Gramin Bank </t>
  </si>
  <si>
    <t>100800480016</t>
  </si>
  <si>
    <t>0016</t>
  </si>
  <si>
    <t xml:space="preserve">Raushan Kumar </t>
  </si>
  <si>
    <t>36419394630</t>
  </si>
  <si>
    <t>SBIN0018428</t>
  </si>
  <si>
    <t>100800480017</t>
  </si>
  <si>
    <t>0017</t>
  </si>
  <si>
    <t>Niraj Kumar</t>
  </si>
  <si>
    <t>3569488806</t>
  </si>
  <si>
    <t>CBIN0283945</t>
  </si>
  <si>
    <t xml:space="preserve">Central Bank Of India </t>
  </si>
  <si>
    <t>100800480019</t>
  </si>
  <si>
    <t>0019</t>
  </si>
  <si>
    <t>Ram Udit Ray</t>
  </si>
  <si>
    <t>15940100502229</t>
  </si>
  <si>
    <t xml:space="preserve">Uco Bank </t>
  </si>
  <si>
    <t>101101100001</t>
  </si>
  <si>
    <t>Matihani</t>
  </si>
  <si>
    <t>GOMUKH HANSPUR</t>
  </si>
  <si>
    <t>101101100002</t>
  </si>
  <si>
    <t xml:space="preserve">Abhinav Kumar </t>
  </si>
  <si>
    <t>20412920103</t>
  </si>
  <si>
    <t>SBIN0008132</t>
  </si>
  <si>
    <t>101101100006</t>
  </si>
  <si>
    <t>0006</t>
  </si>
  <si>
    <t>Abhishek Kumar</t>
  </si>
  <si>
    <t>30986905299</t>
  </si>
  <si>
    <t>101101100008</t>
  </si>
  <si>
    <t>0008</t>
  </si>
  <si>
    <t>Rajkishor Prasad Singh</t>
  </si>
  <si>
    <t>461610110005362</t>
  </si>
  <si>
    <t>BKID0004616</t>
  </si>
  <si>
    <t>101101400001</t>
  </si>
  <si>
    <t xml:space="preserve">Alauli </t>
  </si>
  <si>
    <t>GOMUKH GHAMARIYA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</si>
  <si>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</si>
  <si>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</si>
  <si>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</si>
  <si>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</si>
  <si>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</si>
  <si>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</si>
  <si>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</si>
  <si>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SBIN0015727</t>
  </si>
  <si>
    <t>SBI-Kiosk Banking</t>
  </si>
  <si>
    <t>101101400005</t>
  </si>
  <si>
    <t>0005</t>
  </si>
  <si>
    <t>Ranveer Kumar Yadav</t>
  </si>
  <si>
    <t>37247738953</t>
  </si>
  <si>
    <t>SBIN0006017</t>
  </si>
  <si>
    <t>101101400008</t>
  </si>
  <si>
    <t>Kamala devi</t>
  </si>
  <si>
    <t>35070110041414</t>
  </si>
  <si>
    <t>101101400017</t>
  </si>
  <si>
    <t>Samita Devi</t>
  </si>
  <si>
    <t>6642001700057055</t>
  </si>
  <si>
    <t>101101440002</t>
  </si>
  <si>
    <t>GOMUKH BEHORBA</t>
  </si>
  <si>
    <t>Bharat Yadav</t>
  </si>
  <si>
    <t>6642000100071142</t>
  </si>
  <si>
    <t>101101440008</t>
  </si>
  <si>
    <t>Bachhi Devi</t>
  </si>
  <si>
    <t>35974062266</t>
  </si>
  <si>
    <t>101101440010</t>
  </si>
  <si>
    <t>0010</t>
  </si>
  <si>
    <t>Manju Devi</t>
  </si>
  <si>
    <t>6642000100075139</t>
  </si>
  <si>
    <t>101101440012</t>
  </si>
  <si>
    <t>0012</t>
  </si>
  <si>
    <t>Tejani Devi</t>
  </si>
  <si>
    <t>35070110128995</t>
  </si>
  <si>
    <t>101101440013</t>
  </si>
  <si>
    <t>0013</t>
  </si>
  <si>
    <t>Manita Devi</t>
  </si>
  <si>
    <t>6642000100075342</t>
  </si>
  <si>
    <t>101101440015</t>
  </si>
  <si>
    <t>0015</t>
  </si>
  <si>
    <t>Punam Kumari</t>
  </si>
  <si>
    <t>6642000100075120</t>
  </si>
  <si>
    <t>101101490002</t>
  </si>
  <si>
    <t>GOMUKH PHULTAURA</t>
  </si>
  <si>
    <t>Sanjula Devi</t>
  </si>
  <si>
    <t>35070700037505</t>
  </si>
  <si>
    <t>101101490007</t>
  </si>
  <si>
    <t>0007</t>
  </si>
  <si>
    <t>101101490008</t>
  </si>
  <si>
    <t>101101490009</t>
  </si>
  <si>
    <t>0009</t>
  </si>
  <si>
    <t>103500010001</t>
  </si>
  <si>
    <t>Sonvarsha</t>
  </si>
  <si>
    <t>NOWAGADHI</t>
  </si>
  <si>
    <t>103500010002</t>
  </si>
  <si>
    <t>Rajiv ranjan</t>
  </si>
  <si>
    <t>50100033842851</t>
  </si>
  <si>
    <t>HDFC0002684</t>
  </si>
  <si>
    <t>HDFC BANK LTD</t>
  </si>
  <si>
    <t>103500010008</t>
  </si>
  <si>
    <t>Ravishankar yadav</t>
  </si>
  <si>
    <t>1078104000064813</t>
  </si>
  <si>
    <t>IBKL0001078</t>
  </si>
  <si>
    <t>IDBI Bank</t>
  </si>
  <si>
    <t>103500010023</t>
  </si>
  <si>
    <t>0023</t>
  </si>
  <si>
    <t>Ashutosh Kumar</t>
  </si>
  <si>
    <t>32020110087124</t>
  </si>
  <si>
    <t xml:space="preserve">Bihar Garmin Bank </t>
  </si>
  <si>
    <t>103500010027</t>
  </si>
  <si>
    <t>Aman kumar</t>
  </si>
  <si>
    <t>50100482641481</t>
  </si>
  <si>
    <t>103500010098</t>
  </si>
  <si>
    <t>0098</t>
  </si>
  <si>
    <t>Sanjeet Pr Singh</t>
  </si>
  <si>
    <t>50100482907649</t>
  </si>
  <si>
    <t>103500010100</t>
  </si>
  <si>
    <t>0100</t>
  </si>
  <si>
    <t xml:space="preserve">Roushan Kumar   </t>
  </si>
  <si>
    <t>6405001500003798</t>
  </si>
  <si>
    <t>PUNB0640500</t>
  </si>
  <si>
    <t>103500010105</t>
  </si>
  <si>
    <t>0105</t>
  </si>
  <si>
    <t xml:space="preserve">Sunita Devi </t>
  </si>
  <si>
    <t>50100483893157</t>
  </si>
  <si>
    <t>103500010117</t>
  </si>
  <si>
    <t>0117</t>
  </si>
  <si>
    <t>Ravishankar Kumar</t>
  </si>
  <si>
    <t>6405000100006859</t>
  </si>
  <si>
    <t>103500010128</t>
  </si>
  <si>
    <t>0128</t>
  </si>
  <si>
    <t xml:space="preserve">Gautam Kumar </t>
  </si>
  <si>
    <t>32020700003793</t>
  </si>
  <si>
    <t>Dakshin Bihar Gramin Bank</t>
  </si>
  <si>
    <t>103500010159</t>
  </si>
  <si>
    <t>0159</t>
  </si>
  <si>
    <t xml:space="preserve">Krishna Nand Jha </t>
  </si>
  <si>
    <t>32020100012855</t>
  </si>
  <si>
    <t>103500010160</t>
  </si>
  <si>
    <t>0160</t>
  </si>
  <si>
    <t xml:space="preserve">Lali Devi </t>
  </si>
  <si>
    <t>6405000100049773</t>
  </si>
  <si>
    <t>103500010162</t>
  </si>
  <si>
    <t>0162</t>
  </si>
  <si>
    <t xml:space="preserve">Titali devi </t>
  </si>
  <si>
    <t>32020700004919</t>
  </si>
  <si>
    <t>103500010165</t>
  </si>
  <si>
    <t>0165</t>
  </si>
  <si>
    <t xml:space="preserve">Ramakant Chaudhary </t>
  </si>
  <si>
    <t>32020700000462</t>
  </si>
  <si>
    <t>103500010166</t>
  </si>
  <si>
    <t>0166</t>
  </si>
  <si>
    <t xml:space="preserve">Suman Kumar </t>
  </si>
  <si>
    <t>38188860856</t>
  </si>
  <si>
    <t>SBIN0008162</t>
  </si>
  <si>
    <t>103500010191</t>
  </si>
  <si>
    <t>0191</t>
  </si>
  <si>
    <t>Nisu Kumar</t>
  </si>
  <si>
    <t>27723211017684</t>
  </si>
  <si>
    <t>UCBA0002772</t>
  </si>
  <si>
    <t>103500010193</t>
  </si>
  <si>
    <t>0193</t>
  </si>
  <si>
    <t>Rupesh Kumar Sharma</t>
  </si>
  <si>
    <t>6405001700003011</t>
  </si>
  <si>
    <t>103500010194</t>
  </si>
  <si>
    <t>0194</t>
  </si>
  <si>
    <t xml:space="preserve">Chandan Kumar </t>
  </si>
  <si>
    <t>6405001700031641</t>
  </si>
  <si>
    <t>103500010198</t>
  </si>
  <si>
    <t>0198</t>
  </si>
  <si>
    <t xml:space="preserve">Nabita Devi </t>
  </si>
  <si>
    <t>27720110024676</t>
  </si>
  <si>
    <t>105300050001</t>
  </si>
  <si>
    <t>Kalyanpur</t>
  </si>
  <si>
    <t>GOMUKH CHANDPURA</t>
  </si>
  <si>
    <t>105300050002</t>
  </si>
  <si>
    <t>MANISH KUMAR</t>
  </si>
  <si>
    <t>43662634220</t>
  </si>
  <si>
    <t>SBIN0008393</t>
  </si>
  <si>
    <t>105300050006</t>
  </si>
  <si>
    <t xml:space="preserve">Ashok Ray </t>
  </si>
  <si>
    <t>009510327688</t>
  </si>
  <si>
    <t>IPOS0000001</t>
  </si>
  <si>
    <t xml:space="preserve">Indian Post Payment Bank </t>
  </si>
  <si>
    <t>105300050008</t>
  </si>
  <si>
    <t>Mahesh Ray</t>
  </si>
  <si>
    <t>3295616259</t>
  </si>
  <si>
    <t>CBIN0281033</t>
  </si>
  <si>
    <t>105300050010</t>
  </si>
  <si>
    <t>Laxminarayan Yadav</t>
  </si>
  <si>
    <t>009510533427</t>
  </si>
  <si>
    <t xml:space="preserve">India Post Payment Bank </t>
  </si>
  <si>
    <t>105300050014</t>
  </si>
  <si>
    <t>Arvind Kumar</t>
  </si>
  <si>
    <t>009510380272</t>
  </si>
  <si>
    <t>105300050016</t>
  </si>
  <si>
    <t>Sanjay Ray</t>
  </si>
  <si>
    <t>009510343148</t>
  </si>
  <si>
    <t>105300050020</t>
  </si>
  <si>
    <t>Vinita Devi</t>
  </si>
  <si>
    <t>52468100032586</t>
  </si>
  <si>
    <t>BARB0PIRAPU</t>
  </si>
  <si>
    <t>Bank of Baroda</t>
  </si>
  <si>
    <t>105300050034</t>
  </si>
  <si>
    <t>0034</t>
  </si>
  <si>
    <t xml:space="preserve">Pinki Devi </t>
  </si>
  <si>
    <t>35574087706</t>
  </si>
  <si>
    <t>105300050035</t>
  </si>
  <si>
    <t>0035</t>
  </si>
  <si>
    <t>Devesh Kumar Yadav</t>
  </si>
  <si>
    <t>4746001500023468</t>
  </si>
  <si>
    <t>PUNB0474600</t>
  </si>
  <si>
    <t>105300050036</t>
  </si>
  <si>
    <t>0036</t>
  </si>
  <si>
    <t>Shushil Ray</t>
  </si>
  <si>
    <t>009510398380</t>
  </si>
  <si>
    <t>105300050038</t>
  </si>
  <si>
    <t>0038</t>
  </si>
  <si>
    <t>Moti Devi</t>
  </si>
  <si>
    <t>32284122642</t>
  </si>
  <si>
    <t>105300050041</t>
  </si>
  <si>
    <t>0041</t>
  </si>
  <si>
    <t>Siyalal Ray</t>
  </si>
  <si>
    <t>3150986203</t>
  </si>
  <si>
    <t>105300050042</t>
  </si>
  <si>
    <t>0042</t>
  </si>
  <si>
    <t>Jatin Kumar</t>
  </si>
  <si>
    <t>009510469098</t>
  </si>
  <si>
    <t>105300050043</t>
  </si>
  <si>
    <t>0043</t>
  </si>
  <si>
    <t>Vina Devi</t>
  </si>
  <si>
    <t>38008036801</t>
  </si>
  <si>
    <t>SBIN0002954</t>
  </si>
  <si>
    <t>105300050045</t>
  </si>
  <si>
    <t>0045</t>
  </si>
  <si>
    <t>Poonam Devi</t>
  </si>
  <si>
    <t>466018210008686</t>
  </si>
  <si>
    <t>BKID0004660</t>
  </si>
  <si>
    <t>Bank of India</t>
  </si>
  <si>
    <t>105300050048</t>
  </si>
  <si>
    <t>0048</t>
  </si>
  <si>
    <t>Rakesh Kumar</t>
  </si>
  <si>
    <t>009510267364</t>
  </si>
  <si>
    <t>105400460002</t>
  </si>
  <si>
    <t xml:space="preserve">Gomukh Hathwan </t>
  </si>
  <si>
    <t xml:space="preserve">Pravin Kumar </t>
  </si>
  <si>
    <t>6642001700005276</t>
  </si>
  <si>
    <t>Punjab National Bank</t>
  </si>
  <si>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</si>
  <si>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</si>
  <si>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</si>
  <si>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</si>
  <si>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</si>
  <si>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</si>
  <si>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</si>
  <si>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Farmer A/c</t>
  </si>
  <si>
    <t>Unreg. Farmer payment</t>
  </si>
  <si>
    <t>Payment to MPGs A/c</t>
  </si>
  <si>
    <t>Loss Remarks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</si>
  <si>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</si>
  <si>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</si>
  <si>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</si>
  <si>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</si>
  <si>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</si>
  <si>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</si>
  <si>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</si>
  <si>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</si>
  <si>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</si>
  <si>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</si>
  <si>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</si>
  <si>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</si>
  <si>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</si>
  <si>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MPG</t>
  </si>
  <si>
    <t>CF OS&gt;15 Day's</t>
  </si>
  <si>
    <t>Letter not received / CF OS&gt;15 Day's</t>
  </si>
  <si>
    <t>RMC</t>
  </si>
  <si>
    <t>Letter not received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</si>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</sst>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[$-409]mmm/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3" borderId="2" xfId="4" applyFont="1" applyFill="1" applyBorder="1" applyAlignment="1">
      <alignment horizontal="center" vertical="center" wrapText="1"/>
    </xf>
    <xf numFmtId="0" fontId="2" fillId="4" borderId="2" xfId="4" applyFont="1" applyFill="1" applyBorder="1" applyAlignment="1">
      <alignment horizontal="center" vertical="center" wrapText="1"/>
    </xf>
    <xf numFmtId="49" fontId="2" fillId="4" borderId="2" xfId="4" applyNumberFormat="1" applyFont="1" applyFill="1" applyBorder="1" applyAlignment="1">
      <alignment horizontal="center" vertical="center" wrapText="1"/>
    </xf>
    <xf numFmtId="43" fontId="2" fillId="4" borderId="2" xfId="1" applyFont="1" applyFill="1" applyBorder="1" applyAlignment="1">
      <alignment horizontal="center" vertical="center" wrapText="1"/>
    </xf>
    <xf numFmtId="49" fontId="2" fillId="3" borderId="2" xfId="4" applyNumberFormat="1" applyFont="1" applyFill="1" applyBorder="1" applyAlignment="1">
      <alignment horizontal="center" vertical="center" wrapText="1"/>
    </xf>
    <xf numFmtId="0" fontId="2" fillId="3" borderId="2" xfId="4" applyFont="1" applyFill="1" applyBorder="1" applyAlignment="1">
      <alignment horizontal="left" vertical="center" wrapText="1"/>
    </xf>
    <xf numFmtId="0" fontId="2" fillId="5" borderId="2" xfId="4" applyFont="1" applyFill="1" applyBorder="1" applyAlignment="1">
      <alignment horizontal="center" vertical="center" wrapText="1"/>
    </xf>
    <xf numFmtId="0" fontId="2" fillId="5" borderId="3" xfId="4" applyFont="1" applyFill="1" applyBorder="1" applyAlignment="1">
      <alignment horizontal="center" vertical="center" wrapText="1"/>
    </xf>
    <xf numFmtId="0" fontId="2" fillId="5" borderId="4" xfId="4" applyFont="1" applyFill="1" applyBorder="1" applyAlignment="1">
      <alignment horizontal="center" vertical="center" wrapText="1"/>
    </xf>
    <xf numFmtId="0" fontId="2" fillId="0" borderId="5" xfId="4" applyFont="1" applyBorder="1" applyAlignment="1">
      <alignment horizontal="center" vertical="center" wrapText="1"/>
    </xf>
    <xf numFmtId="0" fontId="2" fillId="5" borderId="5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6" xfId="0" applyBorder="1"/>
    <xf numFmtId="0" fontId="0" fillId="0" borderId="6" xfId="0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0" fillId="0" borderId="0" xfId="0" applyNumberFormat="1"/>
    <xf numFmtId="43" fontId="4" fillId="6" borderId="7" xfId="5" applyFont="1" applyFill="1" applyBorder="1" applyAlignment="1">
      <alignment horizontal="center" vertical="center" wrapText="1"/>
    </xf>
    <xf numFmtId="43" fontId="4" fillId="6" borderId="7" xfId="5" applyFont="1" applyFill="1" applyBorder="1" applyAlignment="1">
      <alignment horizontal="left" vertical="center" wrapText="1"/>
    </xf>
    <xf numFmtId="43" fontId="4" fillId="7" borderId="7" xfId="5" applyFont="1" applyFill="1" applyBorder="1" applyAlignment="1">
      <alignment horizontal="center" vertical="center" wrapText="1"/>
    </xf>
    <xf numFmtId="43" fontId="4" fillId="9" borderId="5" xfId="5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64" fontId="1" fillId="8" borderId="8" xfId="5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quotePrefix="1" applyBorder="1"/>
    <xf numFmtId="0" fontId="0" fillId="0" borderId="7" xfId="0" applyBorder="1"/>
    <xf numFmtId="1" fontId="0" fillId="0" borderId="7" xfId="2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43" fontId="0" fillId="0" borderId="7" xfId="1" applyFont="1" applyBorder="1"/>
    <xf numFmtId="43" fontId="0" fillId="0" borderId="7" xfId="1" applyFont="1" applyBorder="1" applyAlignment="1">
      <alignment horizontal="center"/>
    </xf>
    <xf numFmtId="43" fontId="0" fillId="11" borderId="7" xfId="1" applyFont="1" applyFill="1" applyBorder="1" applyAlignment="1">
      <alignment horizontal="center"/>
    </xf>
    <xf numFmtId="166" fontId="0" fillId="0" borderId="7" xfId="0" applyNumberFormat="1" applyBorder="1"/>
    <xf numFmtId="164" fontId="0" fillId="11" borderId="7" xfId="1" applyNumberFormat="1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4" fillId="12" borderId="7" xfId="0" applyFont="1" applyFill="1" applyBorder="1"/>
    <xf numFmtId="1" fontId="4" fillId="12" borderId="7" xfId="0" applyNumberFormat="1" applyFont="1" applyFill="1" applyBorder="1" applyAlignment="1">
      <alignment horizontal="center"/>
    </xf>
    <xf numFmtId="164" fontId="4" fillId="12" borderId="7" xfId="5" applyNumberFormat="1" applyFont="1" applyFill="1" applyBorder="1" applyAlignment="1">
      <alignment horizontal="center" vertical="center"/>
    </xf>
    <xf numFmtId="2" fontId="0" fillId="0" borderId="7" xfId="2" applyNumberFormat="1" applyFont="1" applyBorder="1"/>
    <xf numFmtId="164" fontId="0" fillId="0" borderId="7" xfId="1" applyNumberFormat="1" applyFont="1" applyBorder="1"/>
  </cellXfs>
  <cellStyles count="6">
    <cellStyle name="Comma" xfId="1" builtinId="3"/>
    <cellStyle name="Comma 2" xfId="5" xr:uid="{484F1E05-2466-4D32-ABE5-8167D27F8118}"/>
    <cellStyle name="Normal" xfId="0" builtinId="0"/>
    <cellStyle name="Normal 2" xfId="4" xr:uid="{23C45C65-50FD-470F-90DD-7AD5A9B200D5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4C9A-7350-4232-B413-85FFBBD78409}">
  <dimension ref="A1:AA13"/>
  <sheetViews>
    <sheetView tabSelected="1" workbookViewId="0">
      <selection activeCell="K26" sqref="K26"/>
    </sheetView>
  </sheetViews>
  <sheetFormatPr defaultRowHeight="15" x14ac:dyDescent="0.25"/>
  <cols>
    <col min="1" max="1" width="5.85546875" bestFit="1" customWidth="1"/>
    <col min="2" max="2" width="11.140625" bestFit="1" customWidth="1"/>
    <col min="3" max="3" width="9" bestFit="1" customWidth="1"/>
    <col min="4" max="4" width="20.855468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32.140625" bestFit="1" customWidth="1"/>
    <col min="14" max="14" width="12.7109375" bestFit="1" customWidth="1"/>
    <col min="15" max="15" width="7.5703125" bestFit="1" customWidth="1"/>
    <col min="16" max="16" width="10" bestFit="1" customWidth="1"/>
    <col min="17" max="17" width="11.5703125" bestFit="1" customWidth="1"/>
    <col min="18" max="18" width="10" bestFit="1" customWidth="1"/>
    <col min="19" max="19" width="5.85546875" bestFit="1" customWidth="1"/>
    <col min="20" max="20" width="8.42578125" bestFit="1" customWidth="1"/>
    <col min="21" max="22" width="7.7109375" bestFit="1" customWidth="1"/>
    <col min="23" max="23" width="7.42578125" bestFit="1" customWidth="1"/>
    <col min="24" max="24" width="8.42578125" bestFit="1" customWidth="1"/>
    <col min="25" max="25" width="8.28515625" bestFit="1" customWidth="1"/>
    <col min="26" max="26" width="8.7109375" bestFit="1" customWidth="1"/>
    <col min="27" max="27" width="8.5703125" bestFit="1" customWidth="1"/>
  </cols>
  <sheetData>
    <row r="1" spans="1:27" s="32" customFormat="1" ht="47.25" customHeight="1" x14ac:dyDescent="0.25">
      <c r="A1" s="23" t="s">
        <v>340</v>
      </c>
      <c r="B1" s="23" t="s">
        <v>1</v>
      </c>
      <c r="C1" s="23" t="s">
        <v>341</v>
      </c>
      <c r="D1" s="24" t="s">
        <v>342</v>
      </c>
      <c r="E1" s="23" t="s">
        <v>343</v>
      </c>
      <c r="F1" s="23" t="s">
        <v>344</v>
      </c>
      <c r="G1" s="25" t="s">
        <v>345</v>
      </c>
      <c r="H1" s="25" t="s">
        <v>346</v>
      </c>
      <c r="I1" s="23" t="s">
        <v>347</v>
      </c>
      <c r="J1" s="23" t="s">
        <v>348</v>
      </c>
      <c r="K1" s="23" t="s">
        <v>349</v>
      </c>
      <c r="L1" s="26" t="s">
        <v>14</v>
      </c>
      <c r="M1" s="27" t="s">
        <v>350</v>
      </c>
      <c r="N1" s="27" t="s">
        <v>22</v>
      </c>
      <c r="O1" s="28" t="s">
        <v>351</v>
      </c>
      <c r="P1" s="28" t="s">
        <v>352</v>
      </c>
      <c r="Q1" s="28" t="s">
        <v>353</v>
      </c>
      <c r="R1" s="28" t="s">
        <v>354</v>
      </c>
      <c r="S1" s="29" t="s">
        <v>355</v>
      </c>
      <c r="T1" s="29" t="s">
        <v>356</v>
      </c>
      <c r="U1" s="29" t="s">
        <v>357</v>
      </c>
      <c r="V1" s="29" t="s">
        <v>358</v>
      </c>
      <c r="W1" s="29" t="s">
        <v>359</v>
      </c>
      <c r="X1" s="29" t="s">
        <v>360</v>
      </c>
      <c r="Y1" s="29" t="s">
        <v>361</v>
      </c>
      <c r="Z1" s="30" t="s">
        <v>362</v>
      </c>
      <c r="AA1" s="31" t="s">
        <v>363</v>
      </c>
    </row>
    <row r="2" spans="1:27" x14ac:dyDescent="0.25">
      <c r="A2" s="33">
        <v>1002</v>
      </c>
      <c r="B2" s="34" t="s">
        <v>26</v>
      </c>
      <c r="C2" s="35">
        <v>10020075</v>
      </c>
      <c r="D2" s="36" t="s">
        <v>27</v>
      </c>
      <c r="E2" s="37" t="s">
        <v>364</v>
      </c>
      <c r="F2" s="37" t="s">
        <v>30</v>
      </c>
      <c r="G2" s="38">
        <v>301</v>
      </c>
      <c r="H2" s="38">
        <v>12338.27</v>
      </c>
      <c r="I2" s="39">
        <v>10045</v>
      </c>
      <c r="J2" s="39">
        <v>0</v>
      </c>
      <c r="K2" s="39">
        <v>0</v>
      </c>
      <c r="L2" s="40" t="s">
        <v>29</v>
      </c>
      <c r="M2" s="41" t="s">
        <v>365</v>
      </c>
      <c r="N2" s="42" t="s">
        <v>36</v>
      </c>
      <c r="O2" s="44">
        <v>3</v>
      </c>
      <c r="P2" s="45">
        <v>2293</v>
      </c>
      <c r="Q2" s="45">
        <v>2293</v>
      </c>
      <c r="R2" s="46">
        <v>0</v>
      </c>
      <c r="S2" s="43"/>
      <c r="T2" s="45">
        <v>0</v>
      </c>
      <c r="U2" s="45">
        <v>0</v>
      </c>
      <c r="V2" s="47">
        <v>0</v>
      </c>
      <c r="W2" s="48">
        <v>0</v>
      </c>
      <c r="X2" s="47">
        <v>0</v>
      </c>
      <c r="Y2" s="46">
        <v>0</v>
      </c>
      <c r="Z2" s="46">
        <v>0</v>
      </c>
      <c r="AA2" s="49">
        <v>46142</v>
      </c>
    </row>
    <row r="3" spans="1:27" x14ac:dyDescent="0.25">
      <c r="A3" s="33">
        <v>1008</v>
      </c>
      <c r="B3" s="34" t="s">
        <v>48</v>
      </c>
      <c r="C3" s="35">
        <v>10080016</v>
      </c>
      <c r="D3" s="36" t="s">
        <v>49</v>
      </c>
      <c r="E3" s="37" t="s">
        <v>364</v>
      </c>
      <c r="F3" s="37" t="s">
        <v>30</v>
      </c>
      <c r="G3" s="38">
        <v>95.299999999999983</v>
      </c>
      <c r="H3" s="38">
        <v>3361.8000000000006</v>
      </c>
      <c r="I3" s="39">
        <v>599</v>
      </c>
      <c r="J3" s="39">
        <v>0</v>
      </c>
      <c r="K3" s="39">
        <v>0</v>
      </c>
      <c r="L3" s="40" t="s">
        <v>29</v>
      </c>
      <c r="M3" s="41" t="s">
        <v>365</v>
      </c>
      <c r="N3" s="42" t="s">
        <v>36</v>
      </c>
      <c r="O3" s="44">
        <v>4</v>
      </c>
      <c r="P3" s="45">
        <v>2600</v>
      </c>
      <c r="Q3" s="45">
        <v>171</v>
      </c>
      <c r="R3" s="46">
        <v>2429</v>
      </c>
      <c r="S3" s="43"/>
      <c r="T3" s="45">
        <v>103.04377500000007</v>
      </c>
      <c r="U3" s="45">
        <v>0</v>
      </c>
      <c r="V3" s="47">
        <v>0</v>
      </c>
      <c r="W3" s="48">
        <v>103.04377500000007</v>
      </c>
      <c r="X3" s="47">
        <v>103.04377500000007</v>
      </c>
      <c r="Y3" s="46">
        <v>0</v>
      </c>
      <c r="Z3" s="46">
        <v>0</v>
      </c>
      <c r="AA3" s="49">
        <v>46142</v>
      </c>
    </row>
    <row r="4" spans="1:27" x14ac:dyDescent="0.25">
      <c r="A4" s="33">
        <v>1008</v>
      </c>
      <c r="B4" s="34" t="s">
        <v>48</v>
      </c>
      <c r="C4" s="35">
        <v>10080032</v>
      </c>
      <c r="D4" s="36" t="s">
        <v>66</v>
      </c>
      <c r="E4" s="37" t="s">
        <v>364</v>
      </c>
      <c r="F4" s="37" t="s">
        <v>30</v>
      </c>
      <c r="G4" s="38">
        <v>464.5</v>
      </c>
      <c r="H4" s="38">
        <v>18954.660000000003</v>
      </c>
      <c r="I4" s="39">
        <v>0</v>
      </c>
      <c r="J4" s="39">
        <v>0</v>
      </c>
      <c r="K4" s="39">
        <v>0</v>
      </c>
      <c r="L4" s="40" t="s">
        <v>29</v>
      </c>
      <c r="M4" s="41" t="s">
        <v>365</v>
      </c>
      <c r="N4" s="42" t="s">
        <v>36</v>
      </c>
      <c r="O4" s="44">
        <v>7</v>
      </c>
      <c r="P4" s="45">
        <v>24650</v>
      </c>
      <c r="Q4" s="45">
        <v>18800</v>
      </c>
      <c r="R4" s="46">
        <v>5850</v>
      </c>
      <c r="S4" s="43"/>
      <c r="T4" s="45">
        <v>0</v>
      </c>
      <c r="U4" s="45">
        <v>0</v>
      </c>
      <c r="V4" s="47">
        <v>0</v>
      </c>
      <c r="W4" s="48">
        <v>0</v>
      </c>
      <c r="X4" s="47">
        <v>0</v>
      </c>
      <c r="Y4" s="46">
        <v>0</v>
      </c>
      <c r="Z4" s="46">
        <v>0</v>
      </c>
      <c r="AA4" s="49">
        <v>46142</v>
      </c>
    </row>
    <row r="5" spans="1:27" x14ac:dyDescent="0.25">
      <c r="A5" s="33">
        <v>1008</v>
      </c>
      <c r="B5" s="34" t="s">
        <v>48</v>
      </c>
      <c r="C5" s="35">
        <v>10080048</v>
      </c>
      <c r="D5" s="36" t="s">
        <v>86</v>
      </c>
      <c r="E5" s="37" t="s">
        <v>364</v>
      </c>
      <c r="F5" s="37" t="s">
        <v>30</v>
      </c>
      <c r="G5" s="38">
        <v>234.54999999999995</v>
      </c>
      <c r="H5" s="38">
        <v>10318.829999999998</v>
      </c>
      <c r="I5" s="39">
        <v>6736</v>
      </c>
      <c r="J5" s="39">
        <v>0</v>
      </c>
      <c r="K5" s="39">
        <v>0</v>
      </c>
      <c r="L5" s="40" t="s">
        <v>29</v>
      </c>
      <c r="M5" s="41" t="s">
        <v>365</v>
      </c>
      <c r="N5" s="42" t="s">
        <v>36</v>
      </c>
      <c r="O5" s="44">
        <v>6</v>
      </c>
      <c r="P5" s="45">
        <v>3900</v>
      </c>
      <c r="Q5" s="45">
        <v>0</v>
      </c>
      <c r="R5" s="46">
        <v>3900</v>
      </c>
      <c r="S5" s="43"/>
      <c r="T5" s="45">
        <v>0</v>
      </c>
      <c r="U5" s="45">
        <v>0</v>
      </c>
      <c r="V5" s="47">
        <v>0</v>
      </c>
      <c r="W5" s="48">
        <v>0</v>
      </c>
      <c r="X5" s="47">
        <v>0</v>
      </c>
      <c r="Y5" s="46">
        <v>0</v>
      </c>
      <c r="Z5" s="46">
        <v>0</v>
      </c>
      <c r="AA5" s="49">
        <v>46142</v>
      </c>
    </row>
    <row r="6" spans="1:27" x14ac:dyDescent="0.25">
      <c r="A6" s="33">
        <v>1055</v>
      </c>
      <c r="B6" s="34" t="s">
        <v>113</v>
      </c>
      <c r="C6" s="35">
        <v>10110110</v>
      </c>
      <c r="D6" s="36" t="s">
        <v>114</v>
      </c>
      <c r="E6" s="37" t="s">
        <v>364</v>
      </c>
      <c r="F6" s="37" t="s">
        <v>30</v>
      </c>
      <c r="G6" s="38">
        <v>159.80000000000001</v>
      </c>
      <c r="H6" s="38">
        <v>7325.24</v>
      </c>
      <c r="I6" s="39">
        <v>6627</v>
      </c>
      <c r="J6" s="39">
        <v>0</v>
      </c>
      <c r="K6" s="39">
        <v>0</v>
      </c>
      <c r="L6" s="40" t="s">
        <v>29</v>
      </c>
      <c r="M6" s="41" t="s">
        <v>366</v>
      </c>
      <c r="N6" s="42" t="s">
        <v>36</v>
      </c>
      <c r="O6" s="44">
        <v>4</v>
      </c>
      <c r="P6" s="45">
        <v>544</v>
      </c>
      <c r="Q6" s="50">
        <v>544</v>
      </c>
      <c r="R6" s="46">
        <v>0</v>
      </c>
      <c r="S6" s="43"/>
      <c r="T6" s="45">
        <v>74.39484000000003</v>
      </c>
      <c r="U6" s="45">
        <v>0</v>
      </c>
      <c r="V6" s="47">
        <v>0</v>
      </c>
      <c r="W6" s="48">
        <v>74.39484000000003</v>
      </c>
      <c r="X6" s="47">
        <v>74.39</v>
      </c>
      <c r="Y6" s="46">
        <v>-4.8400000000299315E-3</v>
      </c>
      <c r="Z6" s="46">
        <v>-4.8400000000299315E-3</v>
      </c>
      <c r="AA6" s="49">
        <v>46142</v>
      </c>
    </row>
    <row r="7" spans="1:27" x14ac:dyDescent="0.25">
      <c r="A7" s="33">
        <v>1054</v>
      </c>
      <c r="B7" s="34" t="s">
        <v>129</v>
      </c>
      <c r="C7" s="35">
        <v>10110140</v>
      </c>
      <c r="D7" s="36" t="s">
        <v>130</v>
      </c>
      <c r="E7" s="37" t="s">
        <v>364</v>
      </c>
      <c r="F7" s="37" t="s">
        <v>30</v>
      </c>
      <c r="G7" s="38">
        <v>210.6</v>
      </c>
      <c r="H7" s="38">
        <v>9183.7900000000009</v>
      </c>
      <c r="I7" s="39">
        <v>8385</v>
      </c>
      <c r="J7" s="39">
        <v>0</v>
      </c>
      <c r="K7" s="39">
        <v>0</v>
      </c>
      <c r="L7" s="40" t="s">
        <v>29</v>
      </c>
      <c r="M7" s="41" t="s">
        <v>365</v>
      </c>
      <c r="N7" s="42" t="s">
        <v>36</v>
      </c>
      <c r="O7" s="44">
        <v>6</v>
      </c>
      <c r="P7" s="45">
        <v>3255</v>
      </c>
      <c r="Q7" s="45">
        <v>0</v>
      </c>
      <c r="R7" s="46">
        <v>3255</v>
      </c>
      <c r="S7" s="43"/>
      <c r="T7" s="45">
        <v>0</v>
      </c>
      <c r="U7" s="45">
        <v>0</v>
      </c>
      <c r="V7" s="47">
        <v>0</v>
      </c>
      <c r="W7" s="48">
        <v>0</v>
      </c>
      <c r="X7" s="47">
        <v>0</v>
      </c>
      <c r="Y7" s="46">
        <v>0</v>
      </c>
      <c r="Z7" s="46">
        <v>0</v>
      </c>
      <c r="AA7" s="49">
        <v>46142</v>
      </c>
    </row>
    <row r="8" spans="1:27" x14ac:dyDescent="0.25">
      <c r="A8" s="33">
        <v>1054</v>
      </c>
      <c r="B8" s="34" t="s">
        <v>129</v>
      </c>
      <c r="C8" s="35">
        <v>10110144</v>
      </c>
      <c r="D8" s="36" t="s">
        <v>152</v>
      </c>
      <c r="E8" s="37" t="s">
        <v>364</v>
      </c>
      <c r="F8" s="37" t="s">
        <v>30</v>
      </c>
      <c r="G8" s="38">
        <v>1080.3999999999999</v>
      </c>
      <c r="H8" s="38">
        <v>40257.430000000008</v>
      </c>
      <c r="I8" s="39">
        <v>26221</v>
      </c>
      <c r="J8" s="39">
        <v>0</v>
      </c>
      <c r="K8" s="39">
        <v>0</v>
      </c>
      <c r="L8" s="40" t="s">
        <v>29</v>
      </c>
      <c r="M8" s="41" t="s">
        <v>365</v>
      </c>
      <c r="N8" s="42" t="s">
        <v>36</v>
      </c>
      <c r="O8" s="44">
        <v>6</v>
      </c>
      <c r="P8" s="45">
        <v>14434</v>
      </c>
      <c r="Q8" s="45">
        <v>0</v>
      </c>
      <c r="R8" s="46">
        <v>14434</v>
      </c>
      <c r="S8" s="43"/>
      <c r="T8" s="45">
        <v>0</v>
      </c>
      <c r="U8" s="45">
        <v>0</v>
      </c>
      <c r="V8" s="47">
        <v>0</v>
      </c>
      <c r="W8" s="48">
        <v>0</v>
      </c>
      <c r="X8" s="47">
        <v>0</v>
      </c>
      <c r="Y8" s="46">
        <v>0</v>
      </c>
      <c r="Z8" s="46">
        <v>0</v>
      </c>
      <c r="AA8" s="49">
        <v>46142</v>
      </c>
    </row>
    <row r="9" spans="1:27" x14ac:dyDescent="0.25">
      <c r="A9" s="33">
        <v>1054</v>
      </c>
      <c r="B9" s="34" t="s">
        <v>129</v>
      </c>
      <c r="C9" s="35">
        <v>10110149</v>
      </c>
      <c r="D9" s="36" t="s">
        <v>175</v>
      </c>
      <c r="E9" s="37" t="s">
        <v>364</v>
      </c>
      <c r="F9" s="37" t="s">
        <v>30</v>
      </c>
      <c r="G9" s="38">
        <v>457.8</v>
      </c>
      <c r="H9" s="38">
        <v>16955.760000000002</v>
      </c>
      <c r="I9" s="39">
        <v>0</v>
      </c>
      <c r="J9" s="39">
        <v>15360</v>
      </c>
      <c r="K9" s="39">
        <v>0</v>
      </c>
      <c r="L9" s="40" t="s">
        <v>29</v>
      </c>
      <c r="M9" s="41" t="s">
        <v>365</v>
      </c>
      <c r="N9" s="42" t="s">
        <v>36</v>
      </c>
      <c r="O9" s="44">
        <v>4</v>
      </c>
      <c r="P9" s="45">
        <v>1857</v>
      </c>
      <c r="Q9" s="45"/>
      <c r="R9" s="46">
        <v>1857</v>
      </c>
      <c r="S9" s="43"/>
      <c r="T9" s="45">
        <v>0</v>
      </c>
      <c r="U9" s="45">
        <v>0</v>
      </c>
      <c r="V9" s="47">
        <v>0</v>
      </c>
      <c r="W9" s="48">
        <v>0</v>
      </c>
      <c r="X9" s="47">
        <v>0</v>
      </c>
      <c r="Y9" s="46">
        <v>0</v>
      </c>
      <c r="Z9" s="46">
        <v>0</v>
      </c>
      <c r="AA9" s="49">
        <v>46142</v>
      </c>
    </row>
    <row r="10" spans="1:27" x14ac:dyDescent="0.25">
      <c r="A10" s="33">
        <v>1006</v>
      </c>
      <c r="B10" s="34" t="s">
        <v>184</v>
      </c>
      <c r="C10" s="35">
        <v>10350001</v>
      </c>
      <c r="D10" s="36" t="s">
        <v>185</v>
      </c>
      <c r="E10" s="37" t="s">
        <v>367</v>
      </c>
      <c r="F10" s="37" t="s">
        <v>30</v>
      </c>
      <c r="G10" s="38">
        <v>1867</v>
      </c>
      <c r="H10" s="38">
        <v>68493.440000000002</v>
      </c>
      <c r="I10" s="39">
        <v>67807</v>
      </c>
      <c r="J10" s="39">
        <v>0</v>
      </c>
      <c r="K10" s="39">
        <v>0</v>
      </c>
      <c r="L10" s="40" t="s">
        <v>29</v>
      </c>
      <c r="M10" s="41" t="s">
        <v>368</v>
      </c>
      <c r="N10" s="42" t="s">
        <v>36</v>
      </c>
      <c r="O10" s="44">
        <v>19</v>
      </c>
      <c r="P10" s="45">
        <v>0</v>
      </c>
      <c r="Q10" s="45">
        <v>0</v>
      </c>
      <c r="R10" s="46">
        <v>0</v>
      </c>
      <c r="S10" s="43"/>
      <c r="T10" s="45">
        <v>0</v>
      </c>
      <c r="U10" s="45">
        <v>0</v>
      </c>
      <c r="V10" s="47">
        <v>0</v>
      </c>
      <c r="W10" s="48">
        <v>0</v>
      </c>
      <c r="X10" s="47">
        <v>0</v>
      </c>
      <c r="Y10" s="46">
        <v>0</v>
      </c>
      <c r="Z10" s="46">
        <v>0</v>
      </c>
      <c r="AA10" s="49">
        <v>46142</v>
      </c>
    </row>
    <row r="11" spans="1:27" x14ac:dyDescent="0.25">
      <c r="A11" s="33">
        <v>1053</v>
      </c>
      <c r="B11" s="34" t="s">
        <v>265</v>
      </c>
      <c r="C11" s="35">
        <v>10530005</v>
      </c>
      <c r="D11" s="36" t="s">
        <v>266</v>
      </c>
      <c r="E11" s="37" t="s">
        <v>364</v>
      </c>
      <c r="F11" s="37" t="s">
        <v>30</v>
      </c>
      <c r="G11" s="38">
        <v>358.94999999999993</v>
      </c>
      <c r="H11" s="38">
        <v>16600.120000000003</v>
      </c>
      <c r="I11" s="39">
        <v>14127</v>
      </c>
      <c r="J11" s="39">
        <v>0</v>
      </c>
      <c r="K11" s="39">
        <v>0</v>
      </c>
      <c r="L11" s="40" t="s">
        <v>29</v>
      </c>
      <c r="M11" s="41" t="s">
        <v>365</v>
      </c>
      <c r="N11" s="42" t="s">
        <v>36</v>
      </c>
      <c r="O11" s="44">
        <v>17</v>
      </c>
      <c r="P11" s="45">
        <v>2399</v>
      </c>
      <c r="Q11" s="45">
        <v>0</v>
      </c>
      <c r="R11" s="46">
        <v>2399</v>
      </c>
      <c r="S11" s="43"/>
      <c r="T11" s="45">
        <v>98.719519354838397</v>
      </c>
      <c r="U11" s="45">
        <v>0</v>
      </c>
      <c r="V11" s="47">
        <v>0</v>
      </c>
      <c r="W11" s="48">
        <v>98.719519354838397</v>
      </c>
      <c r="X11" s="47">
        <v>98.719519354838397</v>
      </c>
      <c r="Y11" s="46">
        <v>0</v>
      </c>
      <c r="Z11" s="46">
        <v>0</v>
      </c>
      <c r="AA11" s="49">
        <v>46142</v>
      </c>
    </row>
    <row r="12" spans="1:27" x14ac:dyDescent="0.25">
      <c r="A12" s="33">
        <v>1054</v>
      </c>
      <c r="B12" s="34" t="s">
        <v>129</v>
      </c>
      <c r="C12" s="35">
        <v>10540046</v>
      </c>
      <c r="D12" s="36" t="s">
        <v>336</v>
      </c>
      <c r="E12" s="37" t="s">
        <v>364</v>
      </c>
      <c r="F12" s="37" t="s">
        <v>30</v>
      </c>
      <c r="G12" s="38">
        <v>259.7</v>
      </c>
      <c r="H12" s="38">
        <v>11740.91</v>
      </c>
      <c r="I12" s="39">
        <v>11741</v>
      </c>
      <c r="J12" s="39">
        <v>0</v>
      </c>
      <c r="K12" s="39">
        <v>0</v>
      </c>
      <c r="L12" s="40" t="s">
        <v>29</v>
      </c>
      <c r="M12" s="41" t="s">
        <v>365</v>
      </c>
      <c r="N12" s="42" t="s">
        <v>36</v>
      </c>
      <c r="O12" s="44">
        <v>1</v>
      </c>
      <c r="P12" s="45">
        <v>6750</v>
      </c>
      <c r="Q12" s="45">
        <v>0</v>
      </c>
      <c r="R12" s="46">
        <v>6750</v>
      </c>
      <c r="S12" s="43"/>
      <c r="T12" s="45">
        <v>0</v>
      </c>
      <c r="U12" s="45">
        <v>0</v>
      </c>
      <c r="V12" s="47">
        <v>0</v>
      </c>
      <c r="W12" s="48">
        <v>0</v>
      </c>
      <c r="X12" s="47">
        <v>0</v>
      </c>
      <c r="Y12" s="46">
        <v>0</v>
      </c>
      <c r="Z12" s="46">
        <v>0</v>
      </c>
      <c r="AA12" s="49">
        <v>46142</v>
      </c>
    </row>
    <row r="13" spans="1:27" x14ac:dyDescent="0.25">
      <c r="A13" s="51"/>
      <c r="B13" s="52"/>
      <c r="C13" s="51"/>
      <c r="D13" s="51"/>
      <c r="E13" s="51" t="s">
        <v>369</v>
      </c>
      <c r="F13" s="51">
        <v>925</v>
      </c>
      <c r="G13" s="53">
        <v>5489.5999999999995</v>
      </c>
      <c r="H13" s="53">
        <v>215530.25</v>
      </c>
      <c r="I13" s="54">
        <v>152288</v>
      </c>
      <c r="J13" s="54">
        <v>15360</v>
      </c>
      <c r="K13" s="54">
        <v>0</v>
      </c>
      <c r="L13" s="40">
        <v>2</v>
      </c>
      <c r="M13" s="35"/>
      <c r="N13" s="43"/>
      <c r="O13" s="55">
        <v>5284</v>
      </c>
      <c r="P13" s="46">
        <v>62682</v>
      </c>
      <c r="Q13" s="46">
        <v>183368</v>
      </c>
      <c r="R13" s="46">
        <v>40874</v>
      </c>
      <c r="S13" s="43"/>
      <c r="T13" s="45">
        <v>276.15813435483847</v>
      </c>
      <c r="U13" s="45">
        <v>0</v>
      </c>
      <c r="V13" s="56">
        <v>0</v>
      </c>
      <c r="W13" s="45">
        <v>276.15813435483847</v>
      </c>
      <c r="X13" s="45">
        <v>276.15329435483847</v>
      </c>
      <c r="Y13" s="45">
        <v>-4.8400000000299315E-3</v>
      </c>
      <c r="Z13" s="45">
        <v>-4.8400000000299315E-3</v>
      </c>
      <c r="AA13" s="43"/>
    </row>
  </sheetData>
  <conditionalFormatting sqref="C13 C1">
    <cfRule type="duplicateValues" dxfId="16" priority="12" stopIfTrue="1"/>
  </conditionalFormatting>
  <conditionalFormatting sqref="C2:C12">
    <cfRule type="duplicateValues" dxfId="15" priority="9"/>
  </conditionalFormatting>
  <conditionalFormatting sqref="C2:C12">
    <cfRule type="duplicateValues" dxfId="14" priority="10"/>
    <cfRule type="duplicateValues" dxfId="13" priority="11"/>
  </conditionalFormatting>
  <conditionalFormatting sqref="F2:F12">
    <cfRule type="containsText" dxfId="12" priority="7" operator="containsText" text="Indirect">
      <formula>NOT(ISERROR(SEARCH("Indirect",F2)))</formula>
    </cfRule>
  </conditionalFormatting>
  <conditionalFormatting sqref="I2:K12">
    <cfRule type="cellIs" dxfId="11" priority="6" operator="lessThan">
      <formula>-1</formula>
    </cfRule>
  </conditionalFormatting>
  <conditionalFormatting sqref="Y2:Z12">
    <cfRule type="cellIs" dxfId="10" priority="8" operator="lessThan">
      <formula>0</formula>
    </cfRule>
  </conditionalFormatting>
  <conditionalFormatting sqref="D13">
    <cfRule type="duplicateValues" dxfId="9" priority="5" stopIfTrue="1"/>
  </conditionalFormatting>
  <conditionalFormatting sqref="E13">
    <cfRule type="duplicateValues" dxfId="8" priority="4" stopIfTrue="1"/>
  </conditionalFormatting>
  <conditionalFormatting sqref="F13">
    <cfRule type="duplicateValues" dxfId="7" priority="3" stopIfTrue="1"/>
  </conditionalFormatting>
  <conditionalFormatting sqref="G13">
    <cfRule type="duplicateValues" dxfId="6" priority="2" stopIfTrue="1"/>
  </conditionalFormatting>
  <conditionalFormatting sqref="H1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84BB-968B-4D5A-8A46-95DF91C758C8}">
  <dimension ref="A1:AC79"/>
  <sheetViews>
    <sheetView topLeftCell="A45" workbookViewId="0">
      <selection activeCell="C80" sqref="C80"/>
    </sheetView>
  </sheetViews>
  <sheetFormatPr defaultRowHeight="15" x14ac:dyDescent="0.25"/>
  <cols>
    <col min="1" max="1" width="13.140625" bestFit="1" customWidth="1"/>
    <col min="2" max="3" width="10.28515625" bestFit="1" customWidth="1"/>
    <col min="4" max="4" width="20.8554687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1.855468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3" width="12.710937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/>
      <c r="Y1" s="11" t="s">
        <v>23</v>
      </c>
      <c r="AC1" t="s">
        <v>24</v>
      </c>
    </row>
    <row r="2" spans="1:29" x14ac:dyDescent="0.25">
      <c r="A2" t="s">
        <v>25</v>
      </c>
      <c r="B2" t="s">
        <v>26</v>
      </c>
      <c r="C2" s="12" t="s">
        <v>26</v>
      </c>
      <c r="D2" t="s">
        <v>27</v>
      </c>
      <c r="E2" s="12">
        <v>10020075</v>
      </c>
      <c r="F2" t="s">
        <v>28</v>
      </c>
      <c r="G2" s="12">
        <v>2</v>
      </c>
      <c r="H2" s="13">
        <v>19.380000000000003</v>
      </c>
      <c r="I2" s="14">
        <v>796.83959742091213</v>
      </c>
      <c r="J2" s="15">
        <v>0</v>
      </c>
      <c r="K2" s="15">
        <v>0</v>
      </c>
      <c r="L2" s="15">
        <v>343</v>
      </c>
      <c r="M2" s="13">
        <v>0</v>
      </c>
      <c r="N2" s="13">
        <v>0</v>
      </c>
      <c r="O2" s="15" t="s">
        <v>29</v>
      </c>
      <c r="P2" s="15">
        <v>454</v>
      </c>
      <c r="Q2" s="1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Y2" s="16">
        <v>4.1116594294164708</v>
      </c>
    </row>
    <row r="3" spans="1:29" x14ac:dyDescent="0.25">
      <c r="A3" t="s">
        <v>37</v>
      </c>
      <c r="B3" t="s">
        <v>26</v>
      </c>
      <c r="C3" s="12" t="s">
        <v>26</v>
      </c>
      <c r="D3" t="s">
        <v>27</v>
      </c>
      <c r="E3" s="12">
        <v>10020075</v>
      </c>
      <c r="F3" t="s">
        <v>38</v>
      </c>
      <c r="G3" s="12">
        <v>9</v>
      </c>
      <c r="H3" s="13">
        <v>101.38000000000001</v>
      </c>
      <c r="I3" s="14">
        <v>4425.0339592423807</v>
      </c>
      <c r="J3" s="15">
        <v>0</v>
      </c>
      <c r="K3" s="15">
        <v>0</v>
      </c>
      <c r="L3" s="15">
        <v>0</v>
      </c>
      <c r="M3" s="13">
        <v>0</v>
      </c>
      <c r="N3" s="13">
        <v>0</v>
      </c>
      <c r="O3" s="15" t="s">
        <v>29</v>
      </c>
      <c r="P3" s="15">
        <v>4425</v>
      </c>
      <c r="Q3" s="12" t="s">
        <v>30</v>
      </c>
      <c r="R3" t="s">
        <v>39</v>
      </c>
      <c r="S3" t="s">
        <v>40</v>
      </c>
      <c r="T3" t="s">
        <v>41</v>
      </c>
      <c r="U3" t="s">
        <v>42</v>
      </c>
      <c r="V3" t="s">
        <v>35</v>
      </c>
      <c r="W3" t="s">
        <v>36</v>
      </c>
      <c r="Y3" s="16">
        <v>19.641598753788433</v>
      </c>
    </row>
    <row r="4" spans="1:29" x14ac:dyDescent="0.25">
      <c r="A4" t="s">
        <v>43</v>
      </c>
      <c r="B4" t="s">
        <v>26</v>
      </c>
      <c r="C4" s="12" t="s">
        <v>26</v>
      </c>
      <c r="D4" t="s">
        <v>27</v>
      </c>
      <c r="E4" s="12">
        <v>10020075</v>
      </c>
      <c r="F4" t="s">
        <v>44</v>
      </c>
      <c r="G4" s="12">
        <v>10</v>
      </c>
      <c r="H4" s="13">
        <v>161.77000000000001</v>
      </c>
      <c r="I4" s="14">
        <v>7458.5665862355008</v>
      </c>
      <c r="J4" s="15">
        <v>0</v>
      </c>
      <c r="K4" s="15">
        <v>0</v>
      </c>
      <c r="L4" s="15">
        <v>0</v>
      </c>
      <c r="M4" s="13">
        <v>2293</v>
      </c>
      <c r="N4" s="13">
        <v>0</v>
      </c>
      <c r="O4" s="15" t="s">
        <v>29</v>
      </c>
      <c r="P4" s="15">
        <v>5166</v>
      </c>
      <c r="Q4" s="12" t="s">
        <v>30</v>
      </c>
      <c r="R4" t="s">
        <v>45</v>
      </c>
      <c r="S4" t="s">
        <v>46</v>
      </c>
      <c r="T4" t="s">
        <v>41</v>
      </c>
      <c r="U4" t="s">
        <v>42</v>
      </c>
      <c r="V4" t="s">
        <v>35</v>
      </c>
      <c r="W4" t="s">
        <v>36</v>
      </c>
      <c r="X4" s="17"/>
      <c r="Y4" s="16">
        <v>23.052996804832478</v>
      </c>
    </row>
    <row r="5" spans="1:29" x14ac:dyDescent="0.25">
      <c r="A5" t="s">
        <v>47</v>
      </c>
      <c r="B5" t="s">
        <v>48</v>
      </c>
      <c r="C5" s="12" t="s">
        <v>48</v>
      </c>
      <c r="D5" t="s">
        <v>49</v>
      </c>
      <c r="E5" s="12">
        <v>10080016</v>
      </c>
      <c r="F5" t="s">
        <v>50</v>
      </c>
      <c r="G5" s="12">
        <v>14</v>
      </c>
      <c r="H5" s="13">
        <v>1.7000000000000004</v>
      </c>
      <c r="I5" s="14">
        <v>59.652523260000009</v>
      </c>
      <c r="J5" s="15">
        <v>0</v>
      </c>
      <c r="K5" s="15">
        <v>59.652523260000009</v>
      </c>
      <c r="L5" s="15">
        <v>0</v>
      </c>
      <c r="M5" s="13">
        <v>0</v>
      </c>
      <c r="N5" s="13">
        <v>0</v>
      </c>
      <c r="O5" s="15" t="s">
        <v>29</v>
      </c>
      <c r="P5" s="15">
        <v>0</v>
      </c>
      <c r="Q5" s="12" t="s">
        <v>30</v>
      </c>
      <c r="R5">
        <v>0</v>
      </c>
      <c r="S5">
        <v>0</v>
      </c>
      <c r="T5">
        <v>0</v>
      </c>
      <c r="U5">
        <v>0</v>
      </c>
      <c r="V5" t="s">
        <v>51</v>
      </c>
      <c r="W5" t="s">
        <v>36</v>
      </c>
      <c r="Y5" s="16">
        <v>0</v>
      </c>
    </row>
    <row r="6" spans="1:29" x14ac:dyDescent="0.25">
      <c r="A6" t="s">
        <v>52</v>
      </c>
      <c r="B6" t="s">
        <v>48</v>
      </c>
      <c r="C6" s="12" t="s">
        <v>48</v>
      </c>
      <c r="D6" t="s">
        <v>49</v>
      </c>
      <c r="E6" s="12">
        <v>10080016</v>
      </c>
      <c r="F6" t="s">
        <v>28</v>
      </c>
      <c r="G6" s="12">
        <v>12</v>
      </c>
      <c r="H6" s="13">
        <v>18.600000000000001</v>
      </c>
      <c r="I6" s="14">
        <v>671.97896964000006</v>
      </c>
      <c r="J6" s="15">
        <v>0</v>
      </c>
      <c r="K6" s="15">
        <v>0</v>
      </c>
      <c r="L6" s="15">
        <v>165</v>
      </c>
      <c r="M6" s="13">
        <v>404</v>
      </c>
      <c r="N6" s="13">
        <v>103.04377500000007</v>
      </c>
      <c r="O6" s="15" t="s">
        <v>29</v>
      </c>
      <c r="P6" s="15">
        <v>0</v>
      </c>
      <c r="Q6" s="12" t="s">
        <v>30</v>
      </c>
      <c r="R6" t="s">
        <v>53</v>
      </c>
      <c r="S6" t="s">
        <v>54</v>
      </c>
      <c r="T6" t="s">
        <v>55</v>
      </c>
      <c r="U6" t="s">
        <v>56</v>
      </c>
      <c r="V6" t="s">
        <v>35</v>
      </c>
      <c r="W6" t="s">
        <v>36</v>
      </c>
      <c r="Y6" s="16">
        <v>21.676740956129034</v>
      </c>
    </row>
    <row r="7" spans="1:29" x14ac:dyDescent="0.25">
      <c r="A7" t="s">
        <v>57</v>
      </c>
      <c r="B7" t="s">
        <v>48</v>
      </c>
      <c r="C7" s="12" t="s">
        <v>48</v>
      </c>
      <c r="D7" t="s">
        <v>49</v>
      </c>
      <c r="E7" s="12">
        <v>10080016</v>
      </c>
      <c r="F7" t="s">
        <v>58</v>
      </c>
      <c r="G7" s="12">
        <v>13</v>
      </c>
      <c r="H7" s="13">
        <v>53.2</v>
      </c>
      <c r="I7" s="14">
        <v>2024.8845012000004</v>
      </c>
      <c r="J7" s="15">
        <v>0</v>
      </c>
      <c r="K7" s="15">
        <v>0</v>
      </c>
      <c r="L7" s="15">
        <v>0</v>
      </c>
      <c r="M7" s="13">
        <v>2025</v>
      </c>
      <c r="N7" s="13">
        <v>0</v>
      </c>
      <c r="O7" s="15" t="s">
        <v>29</v>
      </c>
      <c r="P7" s="15">
        <v>0</v>
      </c>
      <c r="Q7" s="12" t="s">
        <v>30</v>
      </c>
      <c r="R7" t="s">
        <v>59</v>
      </c>
      <c r="S7" t="s">
        <v>60</v>
      </c>
      <c r="T7" t="s">
        <v>55</v>
      </c>
      <c r="U7" t="s">
        <v>56</v>
      </c>
      <c r="V7" t="s">
        <v>35</v>
      </c>
      <c r="W7" t="s">
        <v>36</v>
      </c>
      <c r="X7" s="17"/>
      <c r="Y7" s="16">
        <v>24.740130183834591</v>
      </c>
    </row>
    <row r="8" spans="1:29" x14ac:dyDescent="0.25">
      <c r="A8" t="s">
        <v>61</v>
      </c>
      <c r="B8" t="s">
        <v>48</v>
      </c>
      <c r="C8" s="12" t="s">
        <v>48</v>
      </c>
      <c r="D8" t="s">
        <v>49</v>
      </c>
      <c r="E8" s="12">
        <v>10080016</v>
      </c>
      <c r="F8" t="s">
        <v>62</v>
      </c>
      <c r="G8" s="12">
        <v>11</v>
      </c>
      <c r="H8" s="13">
        <v>21.999999999999996</v>
      </c>
      <c r="I8" s="14">
        <v>769.70981181600018</v>
      </c>
      <c r="J8" s="15">
        <v>0</v>
      </c>
      <c r="K8" s="15">
        <v>0</v>
      </c>
      <c r="L8" s="15">
        <v>0</v>
      </c>
      <c r="M8" s="13">
        <v>171</v>
      </c>
      <c r="N8" s="13">
        <v>0</v>
      </c>
      <c r="O8" s="15" t="s">
        <v>29</v>
      </c>
      <c r="P8" s="15">
        <v>599</v>
      </c>
      <c r="Q8" s="12" t="s">
        <v>30</v>
      </c>
      <c r="R8" t="s">
        <v>63</v>
      </c>
      <c r="S8" t="s">
        <v>64</v>
      </c>
      <c r="T8" t="s">
        <v>55</v>
      </c>
      <c r="U8" t="s">
        <v>56</v>
      </c>
      <c r="V8" t="s">
        <v>35</v>
      </c>
      <c r="W8" t="s">
        <v>36</v>
      </c>
      <c r="Y8" s="16">
        <v>19.24274529540001</v>
      </c>
    </row>
    <row r="9" spans="1:29" x14ac:dyDescent="0.25">
      <c r="A9" t="s">
        <v>65</v>
      </c>
      <c r="B9" t="s">
        <v>48</v>
      </c>
      <c r="C9" s="12" t="s">
        <v>48</v>
      </c>
      <c r="D9" t="s">
        <v>66</v>
      </c>
      <c r="E9" s="12">
        <v>10080032</v>
      </c>
      <c r="F9" t="s">
        <v>50</v>
      </c>
      <c r="G9" s="12">
        <v>12</v>
      </c>
      <c r="H9" s="13">
        <v>2.1999999999999997</v>
      </c>
      <c r="I9" s="14">
        <v>89.722812960000013</v>
      </c>
      <c r="J9" s="15">
        <v>0</v>
      </c>
      <c r="K9" s="15">
        <v>89.722812960000013</v>
      </c>
      <c r="L9" s="15">
        <v>0</v>
      </c>
      <c r="M9" s="13">
        <v>0</v>
      </c>
      <c r="N9" s="13">
        <v>0</v>
      </c>
      <c r="O9" s="15" t="s">
        <v>29</v>
      </c>
      <c r="P9" s="15">
        <v>0</v>
      </c>
      <c r="Q9" s="12" t="s">
        <v>30</v>
      </c>
      <c r="R9">
        <v>0</v>
      </c>
      <c r="S9">
        <v>0</v>
      </c>
      <c r="T9">
        <v>0</v>
      </c>
      <c r="U9">
        <v>0</v>
      </c>
      <c r="V9" t="s">
        <v>51</v>
      </c>
      <c r="W9" t="s">
        <v>36</v>
      </c>
      <c r="Y9" s="16">
        <v>0</v>
      </c>
    </row>
    <row r="10" spans="1:29" x14ac:dyDescent="0.25">
      <c r="A10" t="s">
        <v>67</v>
      </c>
      <c r="B10" t="s">
        <v>48</v>
      </c>
      <c r="C10" s="12" t="s">
        <v>48</v>
      </c>
      <c r="D10" t="s">
        <v>66</v>
      </c>
      <c r="E10" s="12">
        <v>10080032</v>
      </c>
      <c r="F10" t="s">
        <v>28</v>
      </c>
      <c r="G10" s="12">
        <v>12</v>
      </c>
      <c r="H10" s="13">
        <v>145.24</v>
      </c>
      <c r="I10" s="14">
        <v>5908.1065599600006</v>
      </c>
      <c r="J10" s="15">
        <v>0</v>
      </c>
      <c r="K10" s="15">
        <v>0</v>
      </c>
      <c r="L10" s="15">
        <v>0</v>
      </c>
      <c r="M10" s="13">
        <v>5908</v>
      </c>
      <c r="N10" s="13">
        <v>0</v>
      </c>
      <c r="O10" s="15" t="s">
        <v>29</v>
      </c>
      <c r="P10" s="15">
        <v>0</v>
      </c>
      <c r="Q10" s="12" t="s">
        <v>30</v>
      </c>
      <c r="R10" t="s">
        <v>68</v>
      </c>
      <c r="S10" t="s">
        <v>69</v>
      </c>
      <c r="T10" t="s">
        <v>70</v>
      </c>
      <c r="U10" t="s">
        <v>71</v>
      </c>
      <c r="V10" t="s">
        <v>35</v>
      </c>
      <c r="W10" t="s">
        <v>36</v>
      </c>
      <c r="Y10" s="16">
        <v>24.406939796034155</v>
      </c>
    </row>
    <row r="11" spans="1:29" x14ac:dyDescent="0.25">
      <c r="A11" t="s">
        <v>72</v>
      </c>
      <c r="B11" t="s">
        <v>48</v>
      </c>
      <c r="C11" s="12" t="s">
        <v>48</v>
      </c>
      <c r="D11" t="s">
        <v>66</v>
      </c>
      <c r="E11" s="12">
        <v>10080032</v>
      </c>
      <c r="F11" t="s">
        <v>73</v>
      </c>
      <c r="G11" s="12">
        <v>3</v>
      </c>
      <c r="H11" s="13">
        <v>47.21</v>
      </c>
      <c r="I11" s="14">
        <v>1920.9019001039999</v>
      </c>
      <c r="J11" s="15">
        <v>0</v>
      </c>
      <c r="K11" s="15">
        <v>0</v>
      </c>
      <c r="L11" s="15">
        <v>0</v>
      </c>
      <c r="M11" s="13">
        <v>1921</v>
      </c>
      <c r="N11" s="13">
        <v>0</v>
      </c>
      <c r="O11" s="15" t="s">
        <v>29</v>
      </c>
      <c r="P11" s="15">
        <v>0</v>
      </c>
      <c r="Q11" s="12" t="s">
        <v>30</v>
      </c>
      <c r="R11">
        <v>0</v>
      </c>
      <c r="S11">
        <v>0</v>
      </c>
      <c r="T11">
        <v>0</v>
      </c>
      <c r="U11">
        <v>0</v>
      </c>
      <c r="V11" t="s">
        <v>51</v>
      </c>
      <c r="W11" t="s">
        <v>36</v>
      </c>
      <c r="Y11" s="16">
        <v>6.1032680579453507</v>
      </c>
    </row>
    <row r="12" spans="1:29" x14ac:dyDescent="0.25">
      <c r="A12" t="s">
        <v>74</v>
      </c>
      <c r="B12" t="s">
        <v>48</v>
      </c>
      <c r="C12" s="12" t="s">
        <v>48</v>
      </c>
      <c r="D12" t="s">
        <v>66</v>
      </c>
      <c r="E12" s="12">
        <v>10080032</v>
      </c>
      <c r="F12" t="s">
        <v>62</v>
      </c>
      <c r="G12" s="12">
        <v>1</v>
      </c>
      <c r="H12" s="13">
        <v>6.29</v>
      </c>
      <c r="I12" s="14">
        <v>264.03601435200005</v>
      </c>
      <c r="J12" s="15">
        <v>0</v>
      </c>
      <c r="K12" s="15">
        <v>0</v>
      </c>
      <c r="L12" s="15">
        <v>0</v>
      </c>
      <c r="M12" s="13">
        <v>264</v>
      </c>
      <c r="N12" s="13">
        <v>0</v>
      </c>
      <c r="O12" s="15" t="s">
        <v>29</v>
      </c>
      <c r="P12" s="15">
        <v>0</v>
      </c>
      <c r="Q12" s="12" t="s">
        <v>30</v>
      </c>
      <c r="R12">
        <v>0</v>
      </c>
      <c r="S12">
        <v>0</v>
      </c>
      <c r="T12">
        <v>0</v>
      </c>
      <c r="U12">
        <v>0</v>
      </c>
      <c r="V12" t="s">
        <v>51</v>
      </c>
      <c r="W12" t="s">
        <v>36</v>
      </c>
      <c r="Y12" s="16">
        <v>2.0988554400000008</v>
      </c>
    </row>
    <row r="13" spans="1:29" x14ac:dyDescent="0.25">
      <c r="A13" t="s">
        <v>75</v>
      </c>
      <c r="B13" t="s">
        <v>48</v>
      </c>
      <c r="C13" s="12" t="s">
        <v>48</v>
      </c>
      <c r="D13" t="s">
        <v>66</v>
      </c>
      <c r="E13" s="12">
        <v>10080032</v>
      </c>
      <c r="F13" t="s">
        <v>76</v>
      </c>
      <c r="G13" s="12">
        <v>12</v>
      </c>
      <c r="H13" s="13">
        <v>134.94999999999999</v>
      </c>
      <c r="I13" s="14">
        <v>5471.4787526520004</v>
      </c>
      <c r="J13" s="15">
        <v>0</v>
      </c>
      <c r="K13" s="15">
        <v>0</v>
      </c>
      <c r="L13" s="15">
        <v>0</v>
      </c>
      <c r="M13" s="13">
        <v>5471</v>
      </c>
      <c r="N13" s="13">
        <v>0</v>
      </c>
      <c r="O13" s="15" t="s">
        <v>29</v>
      </c>
      <c r="P13" s="15">
        <v>0</v>
      </c>
      <c r="Q13" s="12" t="s">
        <v>30</v>
      </c>
      <c r="R13">
        <v>0</v>
      </c>
      <c r="S13">
        <v>0</v>
      </c>
      <c r="T13">
        <v>0</v>
      </c>
      <c r="U13">
        <v>0</v>
      </c>
      <c r="V13" t="s">
        <v>51</v>
      </c>
      <c r="W13" t="s">
        <v>36</v>
      </c>
      <c r="Y13" s="16">
        <v>24.326693231502045</v>
      </c>
    </row>
    <row r="14" spans="1:29" x14ac:dyDescent="0.25">
      <c r="A14" t="s">
        <v>77</v>
      </c>
      <c r="B14" t="s">
        <v>48</v>
      </c>
      <c r="C14" s="12" t="s">
        <v>48</v>
      </c>
      <c r="D14" t="s">
        <v>66</v>
      </c>
      <c r="E14" s="12">
        <v>10080032</v>
      </c>
      <c r="F14" t="s">
        <v>78</v>
      </c>
      <c r="G14" s="12">
        <v>10</v>
      </c>
      <c r="H14" s="13">
        <v>86.56</v>
      </c>
      <c r="I14" s="14">
        <v>3521.8150973280008</v>
      </c>
      <c r="J14" s="15">
        <v>0</v>
      </c>
      <c r="K14" s="15">
        <v>0</v>
      </c>
      <c r="L14" s="15">
        <v>0</v>
      </c>
      <c r="M14" s="13">
        <v>3522</v>
      </c>
      <c r="N14" s="13">
        <v>0</v>
      </c>
      <c r="O14" s="15" t="s">
        <v>29</v>
      </c>
      <c r="P14" s="15">
        <v>0</v>
      </c>
      <c r="Q14" s="12" t="s">
        <v>30</v>
      </c>
      <c r="R14">
        <v>0</v>
      </c>
      <c r="S14">
        <v>0</v>
      </c>
      <c r="T14">
        <v>0</v>
      </c>
      <c r="U14">
        <v>0</v>
      </c>
      <c r="V14" t="s">
        <v>51</v>
      </c>
      <c r="W14" t="s">
        <v>36</v>
      </c>
      <c r="Y14" s="16">
        <v>20.343201809889099</v>
      </c>
    </row>
    <row r="15" spans="1:29" x14ac:dyDescent="0.25">
      <c r="A15" t="s">
        <v>79</v>
      </c>
      <c r="B15" t="s">
        <v>48</v>
      </c>
      <c r="C15" s="12" t="s">
        <v>48</v>
      </c>
      <c r="D15" t="s">
        <v>66</v>
      </c>
      <c r="E15" s="12">
        <v>10080032</v>
      </c>
      <c r="F15" t="s">
        <v>80</v>
      </c>
      <c r="G15" s="12">
        <v>7</v>
      </c>
      <c r="H15" s="13">
        <v>40.54</v>
      </c>
      <c r="I15" s="14">
        <v>1713.9653463240002</v>
      </c>
      <c r="J15" s="15">
        <v>0</v>
      </c>
      <c r="K15" s="15">
        <v>0</v>
      </c>
      <c r="L15" s="15">
        <v>0</v>
      </c>
      <c r="M15" s="13">
        <v>1714</v>
      </c>
      <c r="N15" s="13">
        <v>0</v>
      </c>
      <c r="O15" s="15" t="s">
        <v>29</v>
      </c>
      <c r="P15" s="15">
        <v>0</v>
      </c>
      <c r="Q15" s="12" t="s">
        <v>30</v>
      </c>
      <c r="R15" t="s">
        <v>81</v>
      </c>
      <c r="S15" t="s">
        <v>82</v>
      </c>
      <c r="T15" t="s">
        <v>83</v>
      </c>
      <c r="U15" t="s">
        <v>84</v>
      </c>
      <c r="V15" t="s">
        <v>35</v>
      </c>
      <c r="W15" t="s">
        <v>36</v>
      </c>
      <c r="Y15" s="16">
        <v>14.797431455683279</v>
      </c>
    </row>
    <row r="16" spans="1:29" x14ac:dyDescent="0.25">
      <c r="A16" t="s">
        <v>85</v>
      </c>
      <c r="B16" t="s">
        <v>48</v>
      </c>
      <c r="C16" s="12" t="s">
        <v>48</v>
      </c>
      <c r="D16" t="s">
        <v>86</v>
      </c>
      <c r="E16" s="12">
        <v>10080048</v>
      </c>
      <c r="F16" t="s">
        <v>50</v>
      </c>
      <c r="G16" s="12">
        <v>13</v>
      </c>
      <c r="H16" s="13">
        <v>1.9</v>
      </c>
      <c r="I16" s="14">
        <v>84.907435398000004</v>
      </c>
      <c r="J16" s="15">
        <v>0</v>
      </c>
      <c r="K16" s="15">
        <v>84.907435398000004</v>
      </c>
      <c r="L16" s="15">
        <v>0</v>
      </c>
      <c r="M16" s="13">
        <v>0</v>
      </c>
      <c r="N16" s="13">
        <v>0</v>
      </c>
      <c r="O16" s="15" t="s">
        <v>29</v>
      </c>
      <c r="P16" s="15">
        <v>0</v>
      </c>
      <c r="Q16" s="12" t="s">
        <v>30</v>
      </c>
      <c r="R16">
        <v>0</v>
      </c>
      <c r="S16">
        <v>0</v>
      </c>
      <c r="T16">
        <v>0</v>
      </c>
      <c r="U16">
        <v>0</v>
      </c>
      <c r="V16" t="s">
        <v>51</v>
      </c>
      <c r="W16" t="s">
        <v>36</v>
      </c>
      <c r="Y16" s="16">
        <v>0</v>
      </c>
    </row>
    <row r="17" spans="1:25" x14ac:dyDescent="0.25">
      <c r="A17" t="s">
        <v>87</v>
      </c>
      <c r="B17" t="s">
        <v>48</v>
      </c>
      <c r="C17" s="12" t="s">
        <v>48</v>
      </c>
      <c r="D17" t="s">
        <v>86</v>
      </c>
      <c r="E17" s="12">
        <v>10080048</v>
      </c>
      <c r="F17" t="s">
        <v>28</v>
      </c>
      <c r="G17" s="12">
        <v>3</v>
      </c>
      <c r="H17" s="13">
        <v>9.5</v>
      </c>
      <c r="I17" s="14">
        <v>382.20166551600005</v>
      </c>
      <c r="J17" s="15">
        <v>0</v>
      </c>
      <c r="K17" s="15">
        <v>0</v>
      </c>
      <c r="L17" s="15">
        <v>0</v>
      </c>
      <c r="M17" s="13">
        <v>0</v>
      </c>
      <c r="N17" s="13">
        <v>0</v>
      </c>
      <c r="O17" s="15" t="s">
        <v>29</v>
      </c>
      <c r="P17" s="15">
        <v>382</v>
      </c>
      <c r="Q17" s="12" t="s">
        <v>30</v>
      </c>
      <c r="R17" t="s">
        <v>88</v>
      </c>
      <c r="S17" t="s">
        <v>89</v>
      </c>
      <c r="T17" t="s">
        <v>90</v>
      </c>
      <c r="U17" t="s">
        <v>56</v>
      </c>
      <c r="V17" t="s">
        <v>35</v>
      </c>
      <c r="W17" t="s">
        <v>36</v>
      </c>
      <c r="Y17" s="16">
        <v>6.0347631397263175</v>
      </c>
    </row>
    <row r="18" spans="1:25" x14ac:dyDescent="0.25">
      <c r="A18" t="s">
        <v>91</v>
      </c>
      <c r="B18" t="s">
        <v>48</v>
      </c>
      <c r="C18" s="12" t="s">
        <v>48</v>
      </c>
      <c r="D18" t="s">
        <v>86</v>
      </c>
      <c r="E18" s="12">
        <v>10080048</v>
      </c>
      <c r="F18" t="s">
        <v>92</v>
      </c>
      <c r="G18" s="12">
        <v>2</v>
      </c>
      <c r="H18" s="13">
        <v>18.899999999999999</v>
      </c>
      <c r="I18" s="14">
        <v>1051.0225554998401</v>
      </c>
      <c r="J18" s="15">
        <v>0</v>
      </c>
      <c r="K18" s="15">
        <v>0</v>
      </c>
      <c r="L18" s="15">
        <v>0</v>
      </c>
      <c r="M18" s="13">
        <v>0</v>
      </c>
      <c r="N18" s="13">
        <v>0</v>
      </c>
      <c r="O18" s="15" t="s">
        <v>29</v>
      </c>
      <c r="P18" s="15">
        <v>1051</v>
      </c>
      <c r="Q18" s="12" t="s">
        <v>30</v>
      </c>
      <c r="R18" t="s">
        <v>93</v>
      </c>
      <c r="S18" t="s">
        <v>94</v>
      </c>
      <c r="T18" t="s">
        <v>33</v>
      </c>
      <c r="U18" t="s">
        <v>95</v>
      </c>
      <c r="V18" t="s">
        <v>35</v>
      </c>
      <c r="W18" t="s">
        <v>36</v>
      </c>
      <c r="Y18" s="16">
        <v>5.5609659021155569</v>
      </c>
    </row>
    <row r="19" spans="1:25" x14ac:dyDescent="0.25">
      <c r="A19" t="s">
        <v>96</v>
      </c>
      <c r="B19" t="s">
        <v>48</v>
      </c>
      <c r="C19" s="12" t="s">
        <v>48</v>
      </c>
      <c r="D19" t="s">
        <v>86</v>
      </c>
      <c r="E19" s="12">
        <v>10080048</v>
      </c>
      <c r="F19" t="s">
        <v>97</v>
      </c>
      <c r="G19" s="12">
        <v>8</v>
      </c>
      <c r="H19" s="13">
        <v>71.009999999999991</v>
      </c>
      <c r="I19" s="14">
        <v>2723.1183848880005</v>
      </c>
      <c r="J19" s="15">
        <v>0</v>
      </c>
      <c r="K19" s="15">
        <v>0</v>
      </c>
      <c r="L19" s="15">
        <v>0</v>
      </c>
      <c r="M19" s="13">
        <v>0</v>
      </c>
      <c r="N19" s="13">
        <v>0</v>
      </c>
      <c r="O19" s="15" t="s">
        <v>29</v>
      </c>
      <c r="P19" s="15">
        <v>2723</v>
      </c>
      <c r="Q19" s="12" t="s">
        <v>30</v>
      </c>
      <c r="R19" t="s">
        <v>98</v>
      </c>
      <c r="S19" t="s">
        <v>99</v>
      </c>
      <c r="T19" t="s">
        <v>100</v>
      </c>
      <c r="U19" t="s">
        <v>71</v>
      </c>
      <c r="V19" t="s">
        <v>35</v>
      </c>
      <c r="W19" t="s">
        <v>36</v>
      </c>
      <c r="Y19" s="16">
        <v>15.339351555487966</v>
      </c>
    </row>
    <row r="20" spans="1:25" x14ac:dyDescent="0.25">
      <c r="A20" t="s">
        <v>101</v>
      </c>
      <c r="B20" t="s">
        <v>48</v>
      </c>
      <c r="C20" s="12" t="s">
        <v>48</v>
      </c>
      <c r="D20" t="s">
        <v>86</v>
      </c>
      <c r="E20" s="12">
        <v>10080048</v>
      </c>
      <c r="F20" t="s">
        <v>102</v>
      </c>
      <c r="G20" s="12">
        <v>14</v>
      </c>
      <c r="H20" s="13">
        <v>88.73</v>
      </c>
      <c r="I20" s="14">
        <v>4240.3192413691568</v>
      </c>
      <c r="J20" s="15">
        <v>0</v>
      </c>
      <c r="K20" s="15">
        <v>0</v>
      </c>
      <c r="L20" s="15">
        <v>0</v>
      </c>
      <c r="M20" s="13">
        <v>3340</v>
      </c>
      <c r="N20" s="13">
        <v>0</v>
      </c>
      <c r="O20" s="15" t="s">
        <v>29</v>
      </c>
      <c r="P20" s="15">
        <v>900</v>
      </c>
      <c r="Q20" s="12" t="s">
        <v>30</v>
      </c>
      <c r="R20" t="s">
        <v>103</v>
      </c>
      <c r="S20" t="s">
        <v>104</v>
      </c>
      <c r="T20" t="s">
        <v>105</v>
      </c>
      <c r="U20" t="s">
        <v>106</v>
      </c>
      <c r="V20" t="s">
        <v>35</v>
      </c>
      <c r="W20" t="s">
        <v>36</v>
      </c>
      <c r="Y20" s="16">
        <v>33.452310029960664</v>
      </c>
    </row>
    <row r="21" spans="1:25" x14ac:dyDescent="0.25">
      <c r="A21" t="s">
        <v>107</v>
      </c>
      <c r="B21" t="s">
        <v>48</v>
      </c>
      <c r="C21" s="12" t="s">
        <v>48</v>
      </c>
      <c r="D21" t="s">
        <v>86</v>
      </c>
      <c r="E21" s="12">
        <v>10080048</v>
      </c>
      <c r="F21" t="s">
        <v>108</v>
      </c>
      <c r="G21" s="12">
        <v>14</v>
      </c>
      <c r="H21" s="13">
        <v>45.19</v>
      </c>
      <c r="I21" s="14">
        <v>1680.3272101176001</v>
      </c>
      <c r="J21" s="15">
        <v>0</v>
      </c>
      <c r="K21" s="15">
        <v>0</v>
      </c>
      <c r="L21" s="15">
        <v>0</v>
      </c>
      <c r="M21" s="13">
        <v>0</v>
      </c>
      <c r="N21" s="13">
        <v>0</v>
      </c>
      <c r="O21" s="15" t="s">
        <v>29</v>
      </c>
      <c r="P21" s="15">
        <v>1680</v>
      </c>
      <c r="Q21" s="12" t="s">
        <v>30</v>
      </c>
      <c r="R21" t="s">
        <v>109</v>
      </c>
      <c r="S21" t="s">
        <v>110</v>
      </c>
      <c r="T21" t="s">
        <v>90</v>
      </c>
      <c r="U21" t="s">
        <v>111</v>
      </c>
      <c r="V21" t="s">
        <v>35</v>
      </c>
      <c r="W21" t="s">
        <v>36</v>
      </c>
      <c r="Y21" s="16">
        <v>26.028525051611425</v>
      </c>
    </row>
    <row r="22" spans="1:25" x14ac:dyDescent="0.25">
      <c r="A22" t="s">
        <v>112</v>
      </c>
      <c r="B22" t="s">
        <v>113</v>
      </c>
      <c r="C22" s="12" t="s">
        <v>113</v>
      </c>
      <c r="D22" t="s">
        <v>114</v>
      </c>
      <c r="E22" s="12">
        <v>10110110</v>
      </c>
      <c r="F22" t="s">
        <v>50</v>
      </c>
      <c r="G22">
        <v>9</v>
      </c>
      <c r="H22" s="13">
        <v>1.2400000000000002</v>
      </c>
      <c r="I22" s="13">
        <v>79.731364855000024</v>
      </c>
      <c r="J22" s="15">
        <v>0</v>
      </c>
      <c r="K22" s="15">
        <v>79.731364855000024</v>
      </c>
      <c r="L22" s="15">
        <v>0</v>
      </c>
      <c r="M22" s="13">
        <v>0</v>
      </c>
      <c r="N22" s="13">
        <v>0</v>
      </c>
      <c r="O22" s="15" t="s">
        <v>29</v>
      </c>
      <c r="P22" s="15">
        <v>0</v>
      </c>
      <c r="Q22" s="12" t="s">
        <v>30</v>
      </c>
      <c r="R22">
        <v>0</v>
      </c>
      <c r="S22">
        <v>0</v>
      </c>
      <c r="T22">
        <v>0</v>
      </c>
      <c r="U22">
        <v>0</v>
      </c>
      <c r="V22" t="s">
        <v>51</v>
      </c>
      <c r="W22" t="s">
        <v>36</v>
      </c>
      <c r="Y22" s="16">
        <v>0</v>
      </c>
    </row>
    <row r="23" spans="1:25" x14ac:dyDescent="0.25">
      <c r="A23" t="s">
        <v>115</v>
      </c>
      <c r="B23" t="s">
        <v>113</v>
      </c>
      <c r="C23" s="12" t="s">
        <v>113</v>
      </c>
      <c r="D23" t="s">
        <v>114</v>
      </c>
      <c r="E23" s="12">
        <v>10110110</v>
      </c>
      <c r="F23" t="s">
        <v>28</v>
      </c>
      <c r="G23">
        <v>2</v>
      </c>
      <c r="H23" s="13">
        <v>10.440000000000001</v>
      </c>
      <c r="I23" s="13">
        <v>462.56932518140002</v>
      </c>
      <c r="J23" s="15">
        <v>0</v>
      </c>
      <c r="K23" s="15">
        <v>0</v>
      </c>
      <c r="L23" s="15">
        <v>463</v>
      </c>
      <c r="M23" s="13">
        <v>0</v>
      </c>
      <c r="N23" s="13">
        <v>0</v>
      </c>
      <c r="O23" s="15" t="s">
        <v>29</v>
      </c>
      <c r="P23" s="15">
        <v>0</v>
      </c>
      <c r="Q23" s="12" t="s">
        <v>30</v>
      </c>
      <c r="R23" t="s">
        <v>116</v>
      </c>
      <c r="S23" t="s">
        <v>117</v>
      </c>
      <c r="T23" t="s">
        <v>118</v>
      </c>
      <c r="U23" t="s">
        <v>71</v>
      </c>
      <c r="V23" t="s">
        <v>35</v>
      </c>
      <c r="W23" t="s">
        <v>36</v>
      </c>
      <c r="Y23" s="16">
        <v>4.4307406626570884</v>
      </c>
    </row>
    <row r="24" spans="1:25" x14ac:dyDescent="0.25">
      <c r="A24" t="s">
        <v>119</v>
      </c>
      <c r="B24" t="s">
        <v>113</v>
      </c>
      <c r="C24" s="12" t="s">
        <v>113</v>
      </c>
      <c r="D24" t="s">
        <v>114</v>
      </c>
      <c r="E24" s="12">
        <v>10110110</v>
      </c>
      <c r="F24" t="s">
        <v>120</v>
      </c>
      <c r="G24">
        <v>14</v>
      </c>
      <c r="H24" s="13">
        <v>128.67000000000002</v>
      </c>
      <c r="I24" s="13">
        <v>6820.8691717162419</v>
      </c>
      <c r="J24" s="15">
        <v>0</v>
      </c>
      <c r="K24" s="15">
        <v>0</v>
      </c>
      <c r="L24" s="15">
        <v>344</v>
      </c>
      <c r="M24" s="13">
        <v>544</v>
      </c>
      <c r="N24" s="13">
        <v>74.39</v>
      </c>
      <c r="O24" s="15" t="s">
        <v>29</v>
      </c>
      <c r="P24" s="15">
        <v>5858</v>
      </c>
      <c r="Q24" s="12" t="s">
        <v>30</v>
      </c>
      <c r="R24" t="s">
        <v>121</v>
      </c>
      <c r="S24" t="s">
        <v>122</v>
      </c>
      <c r="T24" t="s">
        <v>118</v>
      </c>
      <c r="U24" t="s">
        <v>71</v>
      </c>
      <c r="V24" t="s">
        <v>35</v>
      </c>
      <c r="W24" t="s">
        <v>36</v>
      </c>
      <c r="Y24" s="16">
        <v>37.107394265962299</v>
      </c>
    </row>
    <row r="25" spans="1:25" x14ac:dyDescent="0.25">
      <c r="A25" t="s">
        <v>123</v>
      </c>
      <c r="B25" t="s">
        <v>113</v>
      </c>
      <c r="C25" s="12" t="s">
        <v>113</v>
      </c>
      <c r="D25" t="s">
        <v>114</v>
      </c>
      <c r="E25" s="12">
        <v>10110110</v>
      </c>
      <c r="F25" t="s">
        <v>124</v>
      </c>
      <c r="G25">
        <v>7</v>
      </c>
      <c r="H25" s="13">
        <v>20.069999999999997</v>
      </c>
      <c r="I25" s="13">
        <v>768.54096435600013</v>
      </c>
      <c r="J25" s="15">
        <v>0</v>
      </c>
      <c r="K25" s="15">
        <v>0</v>
      </c>
      <c r="L25" s="15">
        <v>0</v>
      </c>
      <c r="M25" s="13">
        <v>0</v>
      </c>
      <c r="N25" s="13">
        <v>0</v>
      </c>
      <c r="O25" s="15" t="s">
        <v>29</v>
      </c>
      <c r="P25" s="15">
        <v>769</v>
      </c>
      <c r="Q25" s="12" t="s">
        <v>30</v>
      </c>
      <c r="R25" t="s">
        <v>125</v>
      </c>
      <c r="S25" t="s">
        <v>126</v>
      </c>
      <c r="T25" t="s">
        <v>127</v>
      </c>
      <c r="U25" t="s">
        <v>84</v>
      </c>
      <c r="V25" t="s">
        <v>35</v>
      </c>
      <c r="W25" t="s">
        <v>36</v>
      </c>
      <c r="Y25" s="16">
        <v>13.402557923497763</v>
      </c>
    </row>
    <row r="26" spans="1:25" x14ac:dyDescent="0.25">
      <c r="A26" t="s">
        <v>128</v>
      </c>
      <c r="B26" t="s">
        <v>129</v>
      </c>
      <c r="C26" s="12" t="s">
        <v>129</v>
      </c>
      <c r="D26" t="s">
        <v>130</v>
      </c>
      <c r="E26" s="12">
        <v>10110140</v>
      </c>
      <c r="F26" t="s">
        <v>50</v>
      </c>
      <c r="G26">
        <v>12</v>
      </c>
      <c r="H26" s="13">
        <v>3.2399999999999998</v>
      </c>
      <c r="I26" s="13">
        <v>157.53019981545</v>
      </c>
      <c r="J26" s="15">
        <v>0</v>
      </c>
      <c r="K26" s="15">
        <v>157.53019981545</v>
      </c>
      <c r="L26" s="15">
        <v>0</v>
      </c>
      <c r="M26" s="13">
        <v>0</v>
      </c>
      <c r="N26" s="13">
        <v>0</v>
      </c>
      <c r="O26" s="15" t="s">
        <v>29</v>
      </c>
      <c r="P26" s="15">
        <v>0</v>
      </c>
      <c r="Q26" s="12" t="s">
        <v>30</v>
      </c>
      <c r="R26">
        <v>0</v>
      </c>
      <c r="S26">
        <v>0</v>
      </c>
      <c r="T26">
        <v>0</v>
      </c>
      <c r="U26">
        <v>0</v>
      </c>
      <c r="V26" t="s">
        <v>51</v>
      </c>
      <c r="W26" t="s">
        <v>36</v>
      </c>
      <c r="X26" s="17"/>
      <c r="Y26" s="16">
        <v>0</v>
      </c>
    </row>
    <row r="27" spans="1:25" x14ac:dyDescent="0.25">
      <c r="A27" t="s">
        <v>131</v>
      </c>
      <c r="B27" t="s">
        <v>129</v>
      </c>
      <c r="C27" s="12" t="s">
        <v>129</v>
      </c>
      <c r="D27" t="s">
        <v>130</v>
      </c>
      <c r="E27" s="12">
        <v>10110140</v>
      </c>
      <c r="F27" t="s">
        <v>28</v>
      </c>
      <c r="G27">
        <v>13</v>
      </c>
      <c r="H27" s="13">
        <v>28.369999999999997</v>
      </c>
      <c r="I27" s="13">
        <v>1235.9756902445999</v>
      </c>
      <c r="J27" s="15">
        <v>0</v>
      </c>
      <c r="K27" s="15">
        <v>0</v>
      </c>
      <c r="L27" s="15">
        <v>595</v>
      </c>
      <c r="M27" s="13">
        <v>641</v>
      </c>
      <c r="N27" s="13">
        <v>0</v>
      </c>
      <c r="O27" s="15" t="s">
        <v>29</v>
      </c>
      <c r="P27" s="15">
        <v>0</v>
      </c>
      <c r="Q27" s="12" t="s">
        <v>30</v>
      </c>
      <c r="R27" t="s">
        <v>132</v>
      </c>
      <c r="S27" t="s">
        <v>133</v>
      </c>
      <c r="T27" t="s">
        <v>134</v>
      </c>
      <c r="U27" t="s">
        <v>42</v>
      </c>
      <c r="V27" t="s">
        <v>35</v>
      </c>
      <c r="W27" t="s">
        <v>36</v>
      </c>
      <c r="Y27" s="16">
        <v>28.318089483926336</v>
      </c>
    </row>
    <row r="28" spans="1:25" x14ac:dyDescent="0.25">
      <c r="A28" t="s">
        <v>135</v>
      </c>
      <c r="B28" t="s">
        <v>129</v>
      </c>
      <c r="C28" s="12" t="s">
        <v>129</v>
      </c>
      <c r="D28" t="s">
        <v>130</v>
      </c>
      <c r="E28" s="12">
        <v>10110140</v>
      </c>
      <c r="F28" t="s">
        <v>92</v>
      </c>
      <c r="G28">
        <v>14</v>
      </c>
      <c r="H28" s="13">
        <v>49.64</v>
      </c>
      <c r="I28" s="13">
        <v>2161.7541666442698</v>
      </c>
      <c r="J28" s="15">
        <v>0</v>
      </c>
      <c r="K28" s="15">
        <v>0</v>
      </c>
      <c r="L28" s="15">
        <v>0</v>
      </c>
      <c r="M28" s="13">
        <v>0</v>
      </c>
      <c r="N28" s="13">
        <v>0</v>
      </c>
      <c r="O28" s="15" t="s">
        <v>29</v>
      </c>
      <c r="P28" s="15">
        <v>2162</v>
      </c>
      <c r="Q28" s="12" t="s">
        <v>30</v>
      </c>
      <c r="R28" t="s">
        <v>136</v>
      </c>
      <c r="S28" t="s">
        <v>137</v>
      </c>
      <c r="T28" t="s">
        <v>138</v>
      </c>
      <c r="U28" t="s">
        <v>139</v>
      </c>
      <c r="V28" t="s">
        <v>35</v>
      </c>
      <c r="W28" t="s">
        <v>36</v>
      </c>
      <c r="Y28" s="16">
        <v>30.484043445829755</v>
      </c>
    </row>
    <row r="29" spans="1:25" x14ac:dyDescent="0.25">
      <c r="A29" t="s">
        <v>140</v>
      </c>
      <c r="B29" t="s">
        <v>129</v>
      </c>
      <c r="C29" s="12" t="s">
        <v>129</v>
      </c>
      <c r="D29" t="s">
        <v>130</v>
      </c>
      <c r="E29" s="12">
        <v>10110140</v>
      </c>
      <c r="F29" t="s">
        <v>141</v>
      </c>
      <c r="G29">
        <v>14</v>
      </c>
      <c r="H29" s="13">
        <v>46.480000000000004</v>
      </c>
      <c r="I29" s="13">
        <v>1746.0482937480003</v>
      </c>
      <c r="J29" s="15">
        <v>0</v>
      </c>
      <c r="K29" s="15">
        <v>0</v>
      </c>
      <c r="L29" s="15">
        <v>0</v>
      </c>
      <c r="M29" s="13">
        <v>0</v>
      </c>
      <c r="N29" s="13">
        <v>0</v>
      </c>
      <c r="O29" s="15" t="s">
        <v>29</v>
      </c>
      <c r="P29" s="15">
        <v>1746</v>
      </c>
      <c r="Q29" s="12" t="s">
        <v>30</v>
      </c>
      <c r="R29" t="s">
        <v>142</v>
      </c>
      <c r="S29" t="s">
        <v>143</v>
      </c>
      <c r="T29" t="s">
        <v>144</v>
      </c>
      <c r="U29" t="s">
        <v>139</v>
      </c>
      <c r="V29" t="s">
        <v>35</v>
      </c>
      <c r="W29" t="s">
        <v>36</v>
      </c>
      <c r="Y29" s="16">
        <v>26.295908038373501</v>
      </c>
    </row>
    <row r="30" spans="1:25" x14ac:dyDescent="0.25">
      <c r="A30" t="s">
        <v>145</v>
      </c>
      <c r="B30" t="s">
        <v>129</v>
      </c>
      <c r="C30" s="12" t="s">
        <v>129</v>
      </c>
      <c r="D30" t="s">
        <v>130</v>
      </c>
      <c r="E30" s="12">
        <v>10110140</v>
      </c>
      <c r="F30" t="s">
        <v>124</v>
      </c>
      <c r="G30">
        <v>14</v>
      </c>
      <c r="H30" s="13">
        <v>60.330000000000013</v>
      </c>
      <c r="I30" s="13">
        <v>3352.9642593571007</v>
      </c>
      <c r="J30" s="15">
        <v>0</v>
      </c>
      <c r="K30" s="15">
        <v>0</v>
      </c>
      <c r="L30" s="15">
        <v>0</v>
      </c>
      <c r="M30" s="13">
        <v>0</v>
      </c>
      <c r="N30" s="13">
        <v>0</v>
      </c>
      <c r="O30" s="15" t="s">
        <v>29</v>
      </c>
      <c r="P30" s="15">
        <v>3353</v>
      </c>
      <c r="Q30" s="12" t="s">
        <v>30</v>
      </c>
      <c r="R30" t="s">
        <v>146</v>
      </c>
      <c r="S30" t="s">
        <v>147</v>
      </c>
      <c r="T30" t="s">
        <v>33</v>
      </c>
      <c r="U30" t="s">
        <v>95</v>
      </c>
      <c r="V30" t="s">
        <v>35</v>
      </c>
      <c r="W30" t="s">
        <v>36</v>
      </c>
      <c r="Y30" s="16">
        <v>38.903944663516825</v>
      </c>
    </row>
    <row r="31" spans="1:25" x14ac:dyDescent="0.25">
      <c r="A31" t="s">
        <v>148</v>
      </c>
      <c r="B31" t="s">
        <v>129</v>
      </c>
      <c r="C31" s="12" t="s">
        <v>129</v>
      </c>
      <c r="D31" t="s">
        <v>130</v>
      </c>
      <c r="E31" s="12">
        <v>10110140</v>
      </c>
      <c r="F31" t="s">
        <v>102</v>
      </c>
      <c r="G31">
        <v>14</v>
      </c>
      <c r="H31" s="13">
        <v>24.61</v>
      </c>
      <c r="I31" s="13">
        <v>1123.8307188417</v>
      </c>
      <c r="J31" s="15">
        <v>0</v>
      </c>
      <c r="K31" s="15">
        <v>0</v>
      </c>
      <c r="L31" s="15">
        <v>0</v>
      </c>
      <c r="M31" s="13">
        <v>0</v>
      </c>
      <c r="N31" s="13">
        <v>0</v>
      </c>
      <c r="O31" s="15" t="s">
        <v>29</v>
      </c>
      <c r="P31" s="15">
        <v>1124</v>
      </c>
      <c r="Q31" s="12" t="s">
        <v>30</v>
      </c>
      <c r="R31" t="s">
        <v>149</v>
      </c>
      <c r="S31" t="s">
        <v>150</v>
      </c>
      <c r="T31" t="s">
        <v>134</v>
      </c>
      <c r="U31" t="s">
        <v>42</v>
      </c>
      <c r="V31" t="s">
        <v>35</v>
      </c>
      <c r="W31" t="s">
        <v>36</v>
      </c>
      <c r="Y31" s="16">
        <v>31.965928613945145</v>
      </c>
    </row>
    <row r="32" spans="1:25" x14ac:dyDescent="0.25">
      <c r="A32" t="s">
        <v>151</v>
      </c>
      <c r="B32" t="s">
        <v>129</v>
      </c>
      <c r="C32" s="12" t="s">
        <v>129</v>
      </c>
      <c r="D32" t="s">
        <v>152</v>
      </c>
      <c r="E32" s="12">
        <v>10110144</v>
      </c>
      <c r="F32" t="s">
        <v>28</v>
      </c>
      <c r="G32">
        <v>14</v>
      </c>
      <c r="H32" s="13">
        <v>510.33999999999992</v>
      </c>
      <c r="I32" s="13">
        <v>20092.270311828004</v>
      </c>
      <c r="J32" s="15">
        <v>0</v>
      </c>
      <c r="K32" s="15">
        <v>0</v>
      </c>
      <c r="L32" s="15">
        <v>6056</v>
      </c>
      <c r="M32" s="13">
        <v>14036</v>
      </c>
      <c r="N32" s="13">
        <v>0</v>
      </c>
      <c r="O32" s="15" t="s">
        <v>29</v>
      </c>
      <c r="P32" s="15">
        <v>0</v>
      </c>
      <c r="Q32" s="12" t="s">
        <v>30</v>
      </c>
      <c r="R32" t="s">
        <v>153</v>
      </c>
      <c r="S32" t="s">
        <v>154</v>
      </c>
      <c r="T32" t="s">
        <v>134</v>
      </c>
      <c r="U32" t="s">
        <v>42</v>
      </c>
      <c r="V32" t="s">
        <v>35</v>
      </c>
      <c r="W32" t="s">
        <v>36</v>
      </c>
      <c r="Y32" s="16">
        <v>27.559253082806769</v>
      </c>
    </row>
    <row r="33" spans="1:25" x14ac:dyDescent="0.25">
      <c r="A33" t="s">
        <v>155</v>
      </c>
      <c r="B33" t="s">
        <v>129</v>
      </c>
      <c r="C33" s="12" t="s">
        <v>129</v>
      </c>
      <c r="D33" t="s">
        <v>152</v>
      </c>
      <c r="E33" s="12">
        <v>10110144</v>
      </c>
      <c r="F33" t="s">
        <v>124</v>
      </c>
      <c r="G33">
        <v>12</v>
      </c>
      <c r="H33" s="13">
        <v>71.889999999999986</v>
      </c>
      <c r="I33" s="13">
        <v>2600.1471235014001</v>
      </c>
      <c r="J33" s="15">
        <v>0</v>
      </c>
      <c r="K33" s="15">
        <v>0</v>
      </c>
      <c r="L33" s="15">
        <v>0</v>
      </c>
      <c r="M33" s="13">
        <v>0</v>
      </c>
      <c r="N33" s="13">
        <v>0</v>
      </c>
      <c r="O33" s="15" t="s">
        <v>29</v>
      </c>
      <c r="P33" s="15">
        <v>2600</v>
      </c>
      <c r="Q33" s="12" t="s">
        <v>30</v>
      </c>
      <c r="R33" t="s">
        <v>156</v>
      </c>
      <c r="S33" t="s">
        <v>157</v>
      </c>
      <c r="T33" t="s">
        <v>144</v>
      </c>
      <c r="U33" t="s">
        <v>139</v>
      </c>
      <c r="V33" t="s">
        <v>35</v>
      </c>
      <c r="W33" t="s">
        <v>36</v>
      </c>
      <c r="Y33" s="16">
        <v>21.701047073318133</v>
      </c>
    </row>
    <row r="34" spans="1:25" x14ac:dyDescent="0.25">
      <c r="A34" t="s">
        <v>158</v>
      </c>
      <c r="B34" t="s">
        <v>129</v>
      </c>
      <c r="C34" s="12" t="s">
        <v>129</v>
      </c>
      <c r="D34" t="s">
        <v>152</v>
      </c>
      <c r="E34" s="12">
        <v>10110144</v>
      </c>
      <c r="F34" t="s">
        <v>159</v>
      </c>
      <c r="G34">
        <v>5</v>
      </c>
      <c r="H34" s="13">
        <v>72.099999999999994</v>
      </c>
      <c r="I34" s="13">
        <v>2932.3776732822002</v>
      </c>
      <c r="J34" s="15">
        <v>0</v>
      </c>
      <c r="K34" s="15">
        <v>0</v>
      </c>
      <c r="L34" s="15">
        <v>0</v>
      </c>
      <c r="M34" s="13">
        <v>0</v>
      </c>
      <c r="N34" s="13">
        <v>0</v>
      </c>
      <c r="O34" s="15" t="s">
        <v>29</v>
      </c>
      <c r="P34" s="15">
        <v>2932</v>
      </c>
      <c r="Q34" s="12" t="s">
        <v>30</v>
      </c>
      <c r="R34" t="s">
        <v>160</v>
      </c>
      <c r="S34" t="s">
        <v>161</v>
      </c>
      <c r="T34" t="s">
        <v>134</v>
      </c>
      <c r="U34" t="s">
        <v>42</v>
      </c>
      <c r="V34" t="s">
        <v>35</v>
      </c>
      <c r="W34" t="s">
        <v>36</v>
      </c>
      <c r="Y34" s="16">
        <v>10.1677450529896</v>
      </c>
    </row>
    <row r="35" spans="1:25" x14ac:dyDescent="0.25">
      <c r="A35" t="s">
        <v>162</v>
      </c>
      <c r="B35" t="s">
        <v>129</v>
      </c>
      <c r="C35" s="12" t="s">
        <v>129</v>
      </c>
      <c r="D35" t="s">
        <v>152</v>
      </c>
      <c r="E35" s="12">
        <v>10110144</v>
      </c>
      <c r="F35" t="s">
        <v>163</v>
      </c>
      <c r="G35">
        <v>14</v>
      </c>
      <c r="H35" s="13">
        <v>98.95</v>
      </c>
      <c r="I35" s="13">
        <v>3522.2884526213998</v>
      </c>
      <c r="J35" s="15">
        <v>0</v>
      </c>
      <c r="K35" s="15">
        <v>0</v>
      </c>
      <c r="L35" s="15">
        <v>0</v>
      </c>
      <c r="M35" s="13">
        <v>0</v>
      </c>
      <c r="N35" s="13">
        <v>0</v>
      </c>
      <c r="O35" s="15" t="s">
        <v>29</v>
      </c>
      <c r="P35" s="15">
        <v>3522</v>
      </c>
      <c r="Q35" s="12" t="s">
        <v>30</v>
      </c>
      <c r="R35" t="s">
        <v>164</v>
      </c>
      <c r="S35" t="s">
        <v>165</v>
      </c>
      <c r="T35" t="s">
        <v>33</v>
      </c>
      <c r="U35" t="s">
        <v>95</v>
      </c>
      <c r="V35" t="s">
        <v>35</v>
      </c>
      <c r="W35" t="s">
        <v>36</v>
      </c>
      <c r="Y35" s="16">
        <v>24.917654541030622</v>
      </c>
    </row>
    <row r="36" spans="1:25" x14ac:dyDescent="0.25">
      <c r="A36" t="s">
        <v>166</v>
      </c>
      <c r="B36" t="s">
        <v>129</v>
      </c>
      <c r="C36" s="12" t="s">
        <v>129</v>
      </c>
      <c r="D36" t="s">
        <v>152</v>
      </c>
      <c r="E36" s="12">
        <v>10110144</v>
      </c>
      <c r="F36" t="s">
        <v>167</v>
      </c>
      <c r="G36">
        <v>14</v>
      </c>
      <c r="H36" s="13">
        <v>384.96999999999997</v>
      </c>
      <c r="I36" s="13">
        <v>15123.4783773282</v>
      </c>
      <c r="J36" s="15">
        <v>0</v>
      </c>
      <c r="K36" s="15">
        <v>0</v>
      </c>
      <c r="L36" s="15">
        <v>0</v>
      </c>
      <c r="M36" s="13">
        <v>0</v>
      </c>
      <c r="N36" s="13">
        <v>0</v>
      </c>
      <c r="O36" s="15" t="s">
        <v>29</v>
      </c>
      <c r="P36" s="15">
        <v>15123</v>
      </c>
      <c r="Q36" s="12" t="s">
        <v>30</v>
      </c>
      <c r="R36" t="s">
        <v>168</v>
      </c>
      <c r="S36" t="s">
        <v>169</v>
      </c>
      <c r="T36" t="s">
        <v>134</v>
      </c>
      <c r="U36" t="s">
        <v>42</v>
      </c>
      <c r="V36" t="s">
        <v>35</v>
      </c>
      <c r="W36" t="s">
        <v>36</v>
      </c>
      <c r="Y36" s="16">
        <v>27.499376221860775</v>
      </c>
    </row>
    <row r="37" spans="1:25" x14ac:dyDescent="0.25">
      <c r="A37" t="s">
        <v>170</v>
      </c>
      <c r="B37" t="s">
        <v>129</v>
      </c>
      <c r="C37" s="12" t="s">
        <v>129</v>
      </c>
      <c r="D37" t="s">
        <v>152</v>
      </c>
      <c r="E37" s="12">
        <v>10110144</v>
      </c>
      <c r="F37" t="s">
        <v>171</v>
      </c>
      <c r="G37">
        <v>12</v>
      </c>
      <c r="H37" s="13">
        <v>55.11</v>
      </c>
      <c r="I37" s="13">
        <v>2044.0227448872001</v>
      </c>
      <c r="J37" s="15">
        <v>0</v>
      </c>
      <c r="K37" s="15">
        <v>0</v>
      </c>
      <c r="L37" s="15">
        <v>0</v>
      </c>
      <c r="M37" s="13">
        <v>0</v>
      </c>
      <c r="N37" s="13">
        <v>0</v>
      </c>
      <c r="O37" s="15" t="s">
        <v>29</v>
      </c>
      <c r="P37" s="15">
        <v>2044</v>
      </c>
      <c r="Q37" s="12" t="s">
        <v>30</v>
      </c>
      <c r="R37" t="s">
        <v>172</v>
      </c>
      <c r="S37" t="s">
        <v>173</v>
      </c>
      <c r="T37" t="s">
        <v>134</v>
      </c>
      <c r="U37" t="s">
        <v>42</v>
      </c>
      <c r="V37" t="s">
        <v>35</v>
      </c>
      <c r="W37" t="s">
        <v>36</v>
      </c>
      <c r="Y37" s="16">
        <v>22.253922100023956</v>
      </c>
    </row>
    <row r="38" spans="1:25" x14ac:dyDescent="0.25">
      <c r="A38" t="s">
        <v>174</v>
      </c>
      <c r="B38" t="s">
        <v>129</v>
      </c>
      <c r="C38" s="12" t="s">
        <v>129</v>
      </c>
      <c r="D38" t="s">
        <v>175</v>
      </c>
      <c r="E38" s="12">
        <v>10110149</v>
      </c>
      <c r="F38" t="s">
        <v>28</v>
      </c>
      <c r="G38">
        <v>13</v>
      </c>
      <c r="H38" s="13">
        <v>104.58000000000001</v>
      </c>
      <c r="I38" s="13">
        <v>5523.0540355535013</v>
      </c>
      <c r="J38" s="15">
        <v>0</v>
      </c>
      <c r="K38" s="15">
        <v>0</v>
      </c>
      <c r="L38" s="15">
        <v>3927</v>
      </c>
      <c r="M38" s="13">
        <v>1596</v>
      </c>
      <c r="N38" s="13">
        <v>0</v>
      </c>
      <c r="O38" s="15" t="s">
        <v>29</v>
      </c>
      <c r="P38" s="15">
        <v>0</v>
      </c>
      <c r="Q38" s="12" t="s">
        <v>30</v>
      </c>
      <c r="R38" t="s">
        <v>176</v>
      </c>
      <c r="S38" t="s">
        <v>177</v>
      </c>
      <c r="T38" t="s">
        <v>33</v>
      </c>
      <c r="U38" t="s">
        <v>95</v>
      </c>
      <c r="V38" t="s">
        <v>35</v>
      </c>
      <c r="W38" t="s">
        <v>36</v>
      </c>
      <c r="X38" s="17"/>
      <c r="Y38" s="16">
        <v>34.327645086151996</v>
      </c>
    </row>
    <row r="39" spans="1:25" x14ac:dyDescent="0.25">
      <c r="A39" t="s">
        <v>178</v>
      </c>
      <c r="B39" t="s">
        <v>129</v>
      </c>
      <c r="C39" s="12" t="s">
        <v>129</v>
      </c>
      <c r="D39" t="s">
        <v>175</v>
      </c>
      <c r="E39" s="12">
        <v>10110149</v>
      </c>
      <c r="F39" t="s">
        <v>179</v>
      </c>
      <c r="G39">
        <v>12</v>
      </c>
      <c r="H39" s="13">
        <v>116.42999999999998</v>
      </c>
      <c r="I39" s="13">
        <v>5007.5694832040008</v>
      </c>
      <c r="J39" s="15">
        <v>0</v>
      </c>
      <c r="K39" s="15">
        <v>0</v>
      </c>
      <c r="L39" s="15">
        <v>0</v>
      </c>
      <c r="M39" s="13">
        <v>0</v>
      </c>
      <c r="N39" s="13">
        <v>0</v>
      </c>
      <c r="O39" s="15" t="s">
        <v>29</v>
      </c>
      <c r="P39" s="15">
        <v>5008</v>
      </c>
      <c r="Q39" s="12" t="s">
        <v>30</v>
      </c>
      <c r="R39">
        <v>0</v>
      </c>
      <c r="S39">
        <v>0</v>
      </c>
      <c r="T39">
        <v>0</v>
      </c>
      <c r="U39">
        <v>0</v>
      </c>
      <c r="V39" t="s">
        <v>51</v>
      </c>
      <c r="W39" t="s">
        <v>36</v>
      </c>
      <c r="Y39" s="16">
        <v>25.805562912672002</v>
      </c>
    </row>
    <row r="40" spans="1:25" x14ac:dyDescent="0.25">
      <c r="A40" t="s">
        <v>180</v>
      </c>
      <c r="B40" t="s">
        <v>129</v>
      </c>
      <c r="C40" s="12" t="s">
        <v>129</v>
      </c>
      <c r="D40" t="s">
        <v>175</v>
      </c>
      <c r="E40" s="12">
        <v>10110149</v>
      </c>
      <c r="F40" t="s">
        <v>124</v>
      </c>
      <c r="G40">
        <v>14</v>
      </c>
      <c r="H40" s="13">
        <v>192.33999999999997</v>
      </c>
      <c r="I40" s="13">
        <v>8355.7834173214014</v>
      </c>
      <c r="J40" s="15">
        <v>0</v>
      </c>
      <c r="K40" s="15">
        <v>0</v>
      </c>
      <c r="L40" s="15">
        <v>0</v>
      </c>
      <c r="M40" s="13">
        <v>0</v>
      </c>
      <c r="N40" s="13">
        <v>0</v>
      </c>
      <c r="O40" s="15" t="s">
        <v>29</v>
      </c>
      <c r="P40" s="15">
        <v>8356</v>
      </c>
      <c r="Q40" s="12" t="s">
        <v>30</v>
      </c>
      <c r="R40">
        <v>0</v>
      </c>
      <c r="S40">
        <v>0</v>
      </c>
      <c r="T40">
        <v>0</v>
      </c>
      <c r="U40">
        <v>0</v>
      </c>
      <c r="V40" t="s">
        <v>51</v>
      </c>
      <c r="W40" t="s">
        <v>36</v>
      </c>
      <c r="X40" s="17"/>
      <c r="Y40" s="16">
        <v>30.40994276866477</v>
      </c>
    </row>
    <row r="41" spans="1:25" x14ac:dyDescent="0.25">
      <c r="A41" t="s">
        <v>181</v>
      </c>
      <c r="B41" t="s">
        <v>129</v>
      </c>
      <c r="C41" s="12" t="s">
        <v>129</v>
      </c>
      <c r="D41" t="s">
        <v>175</v>
      </c>
      <c r="E41" s="12">
        <v>10110149</v>
      </c>
      <c r="F41" t="s">
        <v>182</v>
      </c>
      <c r="G41">
        <v>11</v>
      </c>
      <c r="H41" s="13">
        <v>49.3</v>
      </c>
      <c r="I41" s="13">
        <v>1996.0335495525003</v>
      </c>
      <c r="J41" s="15">
        <v>0</v>
      </c>
      <c r="K41" s="15">
        <v>0</v>
      </c>
      <c r="L41" s="15">
        <v>0</v>
      </c>
      <c r="M41" s="13">
        <v>0</v>
      </c>
      <c r="N41" s="13">
        <v>0</v>
      </c>
      <c r="O41" s="15" t="s">
        <v>29</v>
      </c>
      <c r="P41" s="15">
        <v>1996</v>
      </c>
      <c r="Q41" s="12" t="s">
        <v>30</v>
      </c>
      <c r="R41">
        <v>0</v>
      </c>
      <c r="S41">
        <v>0</v>
      </c>
      <c r="T41">
        <v>0</v>
      </c>
      <c r="U41">
        <v>0</v>
      </c>
      <c r="V41" t="s">
        <v>51</v>
      </c>
      <c r="W41" t="s">
        <v>36</v>
      </c>
      <c r="Y41" s="16">
        <v>22.268122763770293</v>
      </c>
    </row>
    <row r="42" spans="1:25" x14ac:dyDescent="0.25">
      <c r="A42" t="s">
        <v>183</v>
      </c>
      <c r="B42" t="s">
        <v>184</v>
      </c>
      <c r="C42" s="12" t="s">
        <v>184</v>
      </c>
      <c r="D42" t="s">
        <v>185</v>
      </c>
      <c r="E42" s="12">
        <v>10350001</v>
      </c>
      <c r="F42" t="s">
        <v>50</v>
      </c>
      <c r="G42">
        <v>1</v>
      </c>
      <c r="H42" s="13">
        <v>17.399999999999999</v>
      </c>
      <c r="I42" s="13">
        <v>686.76272279999989</v>
      </c>
      <c r="J42" s="15">
        <v>0</v>
      </c>
      <c r="K42" s="15">
        <v>686.76272279999989</v>
      </c>
      <c r="L42" s="15">
        <v>0</v>
      </c>
      <c r="M42" s="13">
        <v>0</v>
      </c>
      <c r="N42" s="13">
        <v>0</v>
      </c>
      <c r="O42" s="15" t="s">
        <v>29</v>
      </c>
      <c r="P42" s="15">
        <v>0</v>
      </c>
      <c r="Q42" s="12" t="s">
        <v>30</v>
      </c>
      <c r="R42">
        <v>0</v>
      </c>
      <c r="S42">
        <v>0</v>
      </c>
      <c r="T42">
        <v>0</v>
      </c>
      <c r="U42">
        <v>0</v>
      </c>
      <c r="V42" t="s">
        <v>51</v>
      </c>
      <c r="W42" t="s">
        <v>36</v>
      </c>
      <c r="Y42" s="16">
        <v>0</v>
      </c>
    </row>
    <row r="43" spans="1:25" x14ac:dyDescent="0.25">
      <c r="A43" t="s">
        <v>186</v>
      </c>
      <c r="B43" t="s">
        <v>184</v>
      </c>
      <c r="C43" s="12" t="s">
        <v>184</v>
      </c>
      <c r="D43" t="s">
        <v>185</v>
      </c>
      <c r="E43" s="12">
        <v>10350001</v>
      </c>
      <c r="F43" t="s">
        <v>28</v>
      </c>
      <c r="G43">
        <v>14</v>
      </c>
      <c r="H43" s="13">
        <v>252.99999999999997</v>
      </c>
      <c r="I43" s="13">
        <v>10146.466764351277</v>
      </c>
      <c r="J43" s="15">
        <v>0</v>
      </c>
      <c r="K43" s="15">
        <v>0</v>
      </c>
      <c r="L43" s="15">
        <v>1404</v>
      </c>
      <c r="M43" s="13">
        <v>0</v>
      </c>
      <c r="N43" s="13">
        <v>0</v>
      </c>
      <c r="O43" s="15" t="s">
        <v>29</v>
      </c>
      <c r="P43" s="15">
        <v>8742</v>
      </c>
      <c r="Q43" s="12" t="s">
        <v>30</v>
      </c>
      <c r="R43" t="s">
        <v>187</v>
      </c>
      <c r="S43" t="s">
        <v>188</v>
      </c>
      <c r="T43" t="s">
        <v>189</v>
      </c>
      <c r="U43" t="s">
        <v>190</v>
      </c>
      <c r="V43" t="s">
        <v>35</v>
      </c>
      <c r="W43" t="s">
        <v>36</v>
      </c>
      <c r="Y43" s="16">
        <v>28.073228201762429</v>
      </c>
    </row>
    <row r="44" spans="1:25" x14ac:dyDescent="0.25">
      <c r="A44" t="s">
        <v>191</v>
      </c>
      <c r="B44" t="s">
        <v>184</v>
      </c>
      <c r="C44" s="12" t="s">
        <v>184</v>
      </c>
      <c r="D44" t="s">
        <v>185</v>
      </c>
      <c r="E44" s="12">
        <v>10350001</v>
      </c>
      <c r="F44" t="s">
        <v>124</v>
      </c>
      <c r="G44">
        <v>7</v>
      </c>
      <c r="H44" s="13">
        <v>129.60000000000002</v>
      </c>
      <c r="I44" s="13">
        <v>4382.7530424480001</v>
      </c>
      <c r="J44" s="15">
        <v>0</v>
      </c>
      <c r="K44" s="15">
        <v>0</v>
      </c>
      <c r="L44" s="15">
        <v>0</v>
      </c>
      <c r="M44" s="13">
        <v>0</v>
      </c>
      <c r="N44" s="13">
        <v>0</v>
      </c>
      <c r="O44" s="15" t="s">
        <v>29</v>
      </c>
      <c r="P44" s="15">
        <v>4383</v>
      </c>
      <c r="Q44" s="12" t="s">
        <v>30</v>
      </c>
      <c r="R44" t="s">
        <v>192</v>
      </c>
      <c r="S44" t="s">
        <v>193</v>
      </c>
      <c r="T44" t="s">
        <v>194</v>
      </c>
      <c r="U44" t="s">
        <v>195</v>
      </c>
      <c r="V44" t="s">
        <v>35</v>
      </c>
      <c r="W44" t="s">
        <v>36</v>
      </c>
      <c r="Y44" s="16">
        <v>11.836138617722222</v>
      </c>
    </row>
    <row r="45" spans="1:25" x14ac:dyDescent="0.25">
      <c r="A45" t="s">
        <v>196</v>
      </c>
      <c r="B45" t="s">
        <v>184</v>
      </c>
      <c r="C45" s="12" t="s">
        <v>184</v>
      </c>
      <c r="D45" t="s">
        <v>185</v>
      </c>
      <c r="E45" s="12">
        <v>10350001</v>
      </c>
      <c r="F45" t="s">
        <v>197</v>
      </c>
      <c r="G45">
        <v>7</v>
      </c>
      <c r="H45" s="13">
        <v>50.1</v>
      </c>
      <c r="I45" s="13">
        <v>1671.1970364540002</v>
      </c>
      <c r="J45" s="15">
        <v>0</v>
      </c>
      <c r="K45" s="15">
        <v>0</v>
      </c>
      <c r="L45" s="15">
        <v>0</v>
      </c>
      <c r="M45" s="13">
        <v>0</v>
      </c>
      <c r="N45" s="13">
        <v>0</v>
      </c>
      <c r="O45" s="15" t="s">
        <v>29</v>
      </c>
      <c r="P45" s="15">
        <v>1671</v>
      </c>
      <c r="Q45" s="12" t="s">
        <v>30</v>
      </c>
      <c r="R45" t="s">
        <v>198</v>
      </c>
      <c r="S45" t="s">
        <v>199</v>
      </c>
      <c r="T45" t="s">
        <v>33</v>
      </c>
      <c r="U45" t="s">
        <v>200</v>
      </c>
      <c r="V45" t="s">
        <v>35</v>
      </c>
      <c r="W45" t="s">
        <v>36</v>
      </c>
      <c r="Y45" s="16">
        <v>11.675029196784434</v>
      </c>
    </row>
    <row r="46" spans="1:25" x14ac:dyDescent="0.25">
      <c r="A46" t="s">
        <v>201</v>
      </c>
      <c r="B46" t="s">
        <v>184</v>
      </c>
      <c r="C46" s="12" t="s">
        <v>184</v>
      </c>
      <c r="D46" t="s">
        <v>185</v>
      </c>
      <c r="E46" s="12">
        <v>10350001</v>
      </c>
      <c r="F46" t="s">
        <v>78</v>
      </c>
      <c r="G46">
        <v>14</v>
      </c>
      <c r="H46" s="13">
        <v>116.9</v>
      </c>
      <c r="I46" s="13">
        <v>4473.5140375200008</v>
      </c>
      <c r="J46" s="15">
        <v>0</v>
      </c>
      <c r="K46" s="15">
        <v>0</v>
      </c>
      <c r="L46" s="15">
        <v>0</v>
      </c>
      <c r="M46" s="13">
        <v>0</v>
      </c>
      <c r="N46" s="13">
        <v>0</v>
      </c>
      <c r="O46" s="15" t="s">
        <v>29</v>
      </c>
      <c r="P46" s="15">
        <v>4474</v>
      </c>
      <c r="Q46" s="12" t="s">
        <v>30</v>
      </c>
      <c r="R46" t="s">
        <v>202</v>
      </c>
      <c r="S46" t="s">
        <v>203</v>
      </c>
      <c r="T46" t="s">
        <v>189</v>
      </c>
      <c r="U46" t="s">
        <v>190</v>
      </c>
      <c r="V46" t="s">
        <v>35</v>
      </c>
      <c r="W46" t="s">
        <v>36</v>
      </c>
      <c r="Y46" s="16">
        <v>26.787509206706591</v>
      </c>
    </row>
    <row r="47" spans="1:25" x14ac:dyDescent="0.25">
      <c r="A47" t="s">
        <v>204</v>
      </c>
      <c r="B47" t="s">
        <v>184</v>
      </c>
      <c r="C47" s="12" t="s">
        <v>184</v>
      </c>
      <c r="D47" t="s">
        <v>185</v>
      </c>
      <c r="E47" s="12">
        <v>10350001</v>
      </c>
      <c r="F47" t="s">
        <v>205</v>
      </c>
      <c r="G47">
        <v>14</v>
      </c>
      <c r="H47" s="13">
        <v>116.89999999999999</v>
      </c>
      <c r="I47" s="13">
        <v>3945.605887872</v>
      </c>
      <c r="J47" s="15">
        <v>0</v>
      </c>
      <c r="K47" s="15">
        <v>0</v>
      </c>
      <c r="L47" s="15">
        <v>0</v>
      </c>
      <c r="M47" s="13">
        <v>0</v>
      </c>
      <c r="N47" s="13">
        <v>0</v>
      </c>
      <c r="O47" s="15" t="s">
        <v>29</v>
      </c>
      <c r="P47" s="15">
        <v>3946</v>
      </c>
      <c r="Q47" s="12" t="s">
        <v>30</v>
      </c>
      <c r="R47" t="s">
        <v>206</v>
      </c>
      <c r="S47" t="s">
        <v>207</v>
      </c>
      <c r="T47" t="s">
        <v>189</v>
      </c>
      <c r="U47" t="s">
        <v>190</v>
      </c>
      <c r="V47" t="s">
        <v>35</v>
      </c>
      <c r="W47" t="s">
        <v>36</v>
      </c>
      <c r="Y47" s="16">
        <v>23.626382562107789</v>
      </c>
    </row>
    <row r="48" spans="1:25" x14ac:dyDescent="0.25">
      <c r="A48" t="s">
        <v>208</v>
      </c>
      <c r="B48" t="s">
        <v>184</v>
      </c>
      <c r="C48" s="12" t="s">
        <v>184</v>
      </c>
      <c r="D48" t="s">
        <v>185</v>
      </c>
      <c r="E48" s="12">
        <v>10350001</v>
      </c>
      <c r="F48" t="s">
        <v>209</v>
      </c>
      <c r="G48">
        <v>7</v>
      </c>
      <c r="H48" s="13">
        <v>279.8</v>
      </c>
      <c r="I48" s="13">
        <v>9768.6587843460002</v>
      </c>
      <c r="J48" s="15">
        <v>0</v>
      </c>
      <c r="K48" s="15">
        <v>0</v>
      </c>
      <c r="L48" s="15">
        <v>0</v>
      </c>
      <c r="M48" s="13">
        <v>0</v>
      </c>
      <c r="N48" s="13">
        <v>0</v>
      </c>
      <c r="O48" s="15" t="s">
        <v>29</v>
      </c>
      <c r="P48" s="15">
        <v>9769</v>
      </c>
      <c r="Q48" s="12" t="s">
        <v>30</v>
      </c>
      <c r="R48" t="s">
        <v>210</v>
      </c>
      <c r="S48" t="s">
        <v>211</v>
      </c>
      <c r="T48" t="s">
        <v>212</v>
      </c>
      <c r="U48" t="s">
        <v>42</v>
      </c>
      <c r="V48" t="s">
        <v>35</v>
      </c>
      <c r="W48" t="s">
        <v>36</v>
      </c>
      <c r="Y48" s="16">
        <v>12.219551731669407</v>
      </c>
    </row>
    <row r="49" spans="1:25" x14ac:dyDescent="0.25">
      <c r="A49" t="s">
        <v>213</v>
      </c>
      <c r="B49" t="s">
        <v>184</v>
      </c>
      <c r="C49" s="12" t="s">
        <v>184</v>
      </c>
      <c r="D49" t="s">
        <v>185</v>
      </c>
      <c r="E49" s="12">
        <v>10350001</v>
      </c>
      <c r="F49" t="s">
        <v>214</v>
      </c>
      <c r="G49">
        <v>11</v>
      </c>
      <c r="H49" s="13">
        <v>426.90000000000003</v>
      </c>
      <c r="I49" s="13">
        <v>16207.005246695999</v>
      </c>
      <c r="J49" s="15">
        <v>0</v>
      </c>
      <c r="K49" s="15">
        <v>0</v>
      </c>
      <c r="L49" s="15">
        <v>0</v>
      </c>
      <c r="M49" s="13">
        <v>0</v>
      </c>
      <c r="N49" s="13">
        <v>0</v>
      </c>
      <c r="O49" s="15" t="s">
        <v>29</v>
      </c>
      <c r="P49" s="15">
        <v>16207</v>
      </c>
      <c r="Q49" s="12" t="s">
        <v>30</v>
      </c>
      <c r="R49" t="s">
        <v>215</v>
      </c>
      <c r="S49" t="s">
        <v>216</v>
      </c>
      <c r="T49" t="s">
        <v>189</v>
      </c>
      <c r="U49" t="s">
        <v>190</v>
      </c>
      <c r="V49" t="s">
        <v>35</v>
      </c>
      <c r="W49" t="s">
        <v>36</v>
      </c>
      <c r="Y49" s="16">
        <v>20.880423719097678</v>
      </c>
    </row>
    <row r="50" spans="1:25" x14ac:dyDescent="0.25">
      <c r="A50" t="s">
        <v>217</v>
      </c>
      <c r="B50" t="s">
        <v>184</v>
      </c>
      <c r="C50" s="12" t="s">
        <v>184</v>
      </c>
      <c r="D50" t="s">
        <v>185</v>
      </c>
      <c r="E50" s="12">
        <v>10350001</v>
      </c>
      <c r="F50" t="s">
        <v>218</v>
      </c>
      <c r="G50">
        <v>8</v>
      </c>
      <c r="H50" s="13">
        <v>15.600000000000001</v>
      </c>
      <c r="I50" s="13">
        <v>572.31670320000012</v>
      </c>
      <c r="J50" s="15">
        <v>0</v>
      </c>
      <c r="K50" s="15">
        <v>0</v>
      </c>
      <c r="L50" s="15">
        <v>0</v>
      </c>
      <c r="M50" s="13">
        <v>0</v>
      </c>
      <c r="N50" s="13">
        <v>0</v>
      </c>
      <c r="O50" s="15" t="s">
        <v>29</v>
      </c>
      <c r="P50" s="15">
        <v>572</v>
      </c>
      <c r="Q50" s="12" t="s">
        <v>30</v>
      </c>
      <c r="R50" t="s">
        <v>219</v>
      </c>
      <c r="S50" t="s">
        <v>220</v>
      </c>
      <c r="T50" t="s">
        <v>212</v>
      </c>
      <c r="U50" t="s">
        <v>42</v>
      </c>
      <c r="V50" t="s">
        <v>35</v>
      </c>
      <c r="W50" t="s">
        <v>36</v>
      </c>
      <c r="Y50" s="16">
        <v>14.674787261538464</v>
      </c>
    </row>
    <row r="51" spans="1:25" x14ac:dyDescent="0.25">
      <c r="A51" t="s">
        <v>221</v>
      </c>
      <c r="B51" t="s">
        <v>184</v>
      </c>
      <c r="C51" s="12" t="s">
        <v>184</v>
      </c>
      <c r="D51" t="s">
        <v>185</v>
      </c>
      <c r="E51" s="12">
        <v>10350001</v>
      </c>
      <c r="F51" t="s">
        <v>222</v>
      </c>
      <c r="G51">
        <v>7</v>
      </c>
      <c r="H51" s="13">
        <v>61.9</v>
      </c>
      <c r="I51" s="13">
        <v>2250.9875397240003</v>
      </c>
      <c r="J51" s="15">
        <v>0</v>
      </c>
      <c r="K51" s="15">
        <v>0</v>
      </c>
      <c r="L51" s="15">
        <v>0</v>
      </c>
      <c r="M51" s="13">
        <v>0</v>
      </c>
      <c r="N51" s="13">
        <v>0</v>
      </c>
      <c r="O51" s="15" t="s">
        <v>29</v>
      </c>
      <c r="P51" s="15">
        <v>2251</v>
      </c>
      <c r="Q51" s="12" t="s">
        <v>30</v>
      </c>
      <c r="R51" t="s">
        <v>223</v>
      </c>
      <c r="S51" t="s">
        <v>224</v>
      </c>
      <c r="T51" t="s">
        <v>33</v>
      </c>
      <c r="U51" t="s">
        <v>225</v>
      </c>
      <c r="V51" t="s">
        <v>35</v>
      </c>
      <c r="W51" t="s">
        <v>36</v>
      </c>
      <c r="Y51" s="16">
        <v>12.727716298924074</v>
      </c>
    </row>
    <row r="52" spans="1:25" x14ac:dyDescent="0.25">
      <c r="A52" t="s">
        <v>226</v>
      </c>
      <c r="B52" t="s">
        <v>184</v>
      </c>
      <c r="C52" s="12" t="s">
        <v>184</v>
      </c>
      <c r="D52" t="s">
        <v>185</v>
      </c>
      <c r="E52" s="12">
        <v>10350001</v>
      </c>
      <c r="F52" t="s">
        <v>227</v>
      </c>
      <c r="G52">
        <v>9</v>
      </c>
      <c r="H52" s="13">
        <v>32.799999999999997</v>
      </c>
      <c r="I52" s="13">
        <v>1254.8143000800001</v>
      </c>
      <c r="J52" s="15">
        <v>0</v>
      </c>
      <c r="K52" s="15">
        <v>0</v>
      </c>
      <c r="L52" s="15">
        <v>0</v>
      </c>
      <c r="M52" s="13">
        <v>0</v>
      </c>
      <c r="N52" s="13">
        <v>0</v>
      </c>
      <c r="O52" s="15" t="s">
        <v>29</v>
      </c>
      <c r="P52" s="15">
        <v>1255</v>
      </c>
      <c r="Q52" s="12" t="s">
        <v>30</v>
      </c>
      <c r="R52" t="s">
        <v>228</v>
      </c>
      <c r="S52" t="s">
        <v>229</v>
      </c>
      <c r="T52" t="s">
        <v>33</v>
      </c>
      <c r="U52" t="s">
        <v>95</v>
      </c>
      <c r="V52" t="s">
        <v>35</v>
      </c>
      <c r="W52" t="s">
        <v>36</v>
      </c>
      <c r="Y52" s="16">
        <v>17.215440092560979</v>
      </c>
    </row>
    <row r="53" spans="1:25" x14ac:dyDescent="0.25">
      <c r="A53" t="s">
        <v>230</v>
      </c>
      <c r="B53" t="s">
        <v>184</v>
      </c>
      <c r="C53" s="12" t="s">
        <v>184</v>
      </c>
      <c r="D53" t="s">
        <v>185</v>
      </c>
      <c r="E53" s="12">
        <v>10350001</v>
      </c>
      <c r="F53" t="s">
        <v>231</v>
      </c>
      <c r="G53">
        <v>12</v>
      </c>
      <c r="H53" s="13">
        <v>84.300000000000011</v>
      </c>
      <c r="I53" s="13">
        <v>3075.1961510159999</v>
      </c>
      <c r="J53" s="15">
        <v>0</v>
      </c>
      <c r="K53" s="15">
        <v>0</v>
      </c>
      <c r="L53" s="15">
        <v>0</v>
      </c>
      <c r="M53" s="13">
        <v>0</v>
      </c>
      <c r="N53" s="13">
        <v>0</v>
      </c>
      <c r="O53" s="15" t="s">
        <v>29</v>
      </c>
      <c r="P53" s="15">
        <v>3075</v>
      </c>
      <c r="Q53" s="12" t="s">
        <v>30</v>
      </c>
      <c r="R53" t="s">
        <v>232</v>
      </c>
      <c r="S53" t="s">
        <v>233</v>
      </c>
      <c r="T53" t="s">
        <v>212</v>
      </c>
      <c r="U53" t="s">
        <v>42</v>
      </c>
      <c r="V53" t="s">
        <v>35</v>
      </c>
      <c r="W53" t="s">
        <v>36</v>
      </c>
      <c r="Y53" s="16">
        <v>21.88751708908185</v>
      </c>
    </row>
    <row r="54" spans="1:25" x14ac:dyDescent="0.25">
      <c r="A54" t="s">
        <v>234</v>
      </c>
      <c r="B54" t="s">
        <v>184</v>
      </c>
      <c r="C54" s="12" t="s">
        <v>184</v>
      </c>
      <c r="D54" t="s">
        <v>185</v>
      </c>
      <c r="E54" s="12">
        <v>10350001</v>
      </c>
      <c r="F54" t="s">
        <v>235</v>
      </c>
      <c r="G54">
        <v>14</v>
      </c>
      <c r="H54" s="13">
        <v>101.10000000000001</v>
      </c>
      <c r="I54" s="13">
        <v>3506.2759985220005</v>
      </c>
      <c r="J54" s="15">
        <v>0</v>
      </c>
      <c r="K54" s="15">
        <v>0</v>
      </c>
      <c r="L54" s="15">
        <v>0</v>
      </c>
      <c r="M54" s="13">
        <v>0</v>
      </c>
      <c r="N54" s="13">
        <v>0</v>
      </c>
      <c r="O54" s="15" t="s">
        <v>29</v>
      </c>
      <c r="P54" s="15">
        <v>3506</v>
      </c>
      <c r="Q54" s="12" t="s">
        <v>30</v>
      </c>
      <c r="R54" t="s">
        <v>236</v>
      </c>
      <c r="S54" t="s">
        <v>237</v>
      </c>
      <c r="T54" t="s">
        <v>33</v>
      </c>
      <c r="U54" t="s">
        <v>95</v>
      </c>
      <c r="V54" t="s">
        <v>35</v>
      </c>
      <c r="W54" t="s">
        <v>36</v>
      </c>
      <c r="Y54" s="16">
        <v>24.27688624100297</v>
      </c>
    </row>
    <row r="55" spans="1:25" x14ac:dyDescent="0.25">
      <c r="A55" t="s">
        <v>238</v>
      </c>
      <c r="B55" t="s">
        <v>184</v>
      </c>
      <c r="C55" s="12" t="s">
        <v>184</v>
      </c>
      <c r="D55" t="s">
        <v>185</v>
      </c>
      <c r="E55" s="12">
        <v>10350001</v>
      </c>
      <c r="F55" t="s">
        <v>239</v>
      </c>
      <c r="G55">
        <v>14</v>
      </c>
      <c r="H55" s="13">
        <v>97.600000000000009</v>
      </c>
      <c r="I55" s="13">
        <v>3308.347846782</v>
      </c>
      <c r="J55" s="15">
        <v>0</v>
      </c>
      <c r="K55" s="15">
        <v>0</v>
      </c>
      <c r="L55" s="15">
        <v>0</v>
      </c>
      <c r="M55" s="13">
        <v>0</v>
      </c>
      <c r="N55" s="13">
        <v>0</v>
      </c>
      <c r="O55" s="15" t="s">
        <v>29</v>
      </c>
      <c r="P55" s="15">
        <v>3308</v>
      </c>
      <c r="Q55" s="12" t="s">
        <v>30</v>
      </c>
      <c r="R55" t="s">
        <v>240</v>
      </c>
      <c r="S55" t="s">
        <v>241</v>
      </c>
      <c r="T55" t="s">
        <v>33</v>
      </c>
      <c r="U55" t="s">
        <v>34</v>
      </c>
      <c r="V55" t="s">
        <v>35</v>
      </c>
      <c r="W55" t="s">
        <v>36</v>
      </c>
      <c r="Y55" s="16">
        <v>23.727904638805327</v>
      </c>
    </row>
    <row r="56" spans="1:25" x14ac:dyDescent="0.25">
      <c r="A56" t="s">
        <v>242</v>
      </c>
      <c r="B56" t="s">
        <v>184</v>
      </c>
      <c r="C56" s="12" t="s">
        <v>184</v>
      </c>
      <c r="D56" t="s">
        <v>185</v>
      </c>
      <c r="E56" s="12">
        <v>10350001</v>
      </c>
      <c r="F56" t="s">
        <v>243</v>
      </c>
      <c r="G56">
        <v>4</v>
      </c>
      <c r="H56" s="13">
        <v>14.2</v>
      </c>
      <c r="I56" s="13">
        <v>507.41034636600011</v>
      </c>
      <c r="J56" s="15">
        <v>0</v>
      </c>
      <c r="K56" s="15">
        <v>0</v>
      </c>
      <c r="L56" s="15">
        <v>0</v>
      </c>
      <c r="M56" s="13">
        <v>0</v>
      </c>
      <c r="N56" s="13">
        <v>0</v>
      </c>
      <c r="O56" s="15" t="s">
        <v>29</v>
      </c>
      <c r="P56" s="15">
        <v>507</v>
      </c>
      <c r="Q56" s="12" t="s">
        <v>30</v>
      </c>
      <c r="R56" t="s">
        <v>244</v>
      </c>
      <c r="S56" t="s">
        <v>245</v>
      </c>
      <c r="T56" t="s">
        <v>246</v>
      </c>
      <c r="U56" t="s">
        <v>139</v>
      </c>
      <c r="V56" t="s">
        <v>35</v>
      </c>
      <c r="W56" t="s">
        <v>36</v>
      </c>
      <c r="Y56" s="16">
        <v>7.1466245967042275</v>
      </c>
    </row>
    <row r="57" spans="1:25" x14ac:dyDescent="0.25">
      <c r="A57" t="s">
        <v>247</v>
      </c>
      <c r="B57" t="s">
        <v>184</v>
      </c>
      <c r="C57" s="12" t="s">
        <v>184</v>
      </c>
      <c r="D57" t="s">
        <v>185</v>
      </c>
      <c r="E57" s="12">
        <v>10350001</v>
      </c>
      <c r="F57" t="s">
        <v>248</v>
      </c>
      <c r="G57">
        <v>4</v>
      </c>
      <c r="H57" s="13">
        <v>24.5</v>
      </c>
      <c r="I57" s="13">
        <v>840.24888908399998</v>
      </c>
      <c r="J57" s="15">
        <v>0</v>
      </c>
      <c r="K57" s="15">
        <v>0</v>
      </c>
      <c r="L57" s="15">
        <v>0</v>
      </c>
      <c r="M57" s="13">
        <v>0</v>
      </c>
      <c r="N57" s="13">
        <v>0</v>
      </c>
      <c r="O57" s="15" t="s">
        <v>29</v>
      </c>
      <c r="P57" s="15">
        <v>840</v>
      </c>
      <c r="Q57" s="12" t="s">
        <v>30</v>
      </c>
      <c r="R57" t="s">
        <v>249</v>
      </c>
      <c r="S57" t="s">
        <v>250</v>
      </c>
      <c r="T57" t="s">
        <v>251</v>
      </c>
      <c r="U57" t="s">
        <v>111</v>
      </c>
      <c r="V57" t="s">
        <v>35</v>
      </c>
      <c r="W57" t="s">
        <v>36</v>
      </c>
      <c r="Y57" s="16">
        <v>6.8591746047673468</v>
      </c>
    </row>
    <row r="58" spans="1:25" x14ac:dyDescent="0.25">
      <c r="A58" t="s">
        <v>252</v>
      </c>
      <c r="B58" t="s">
        <v>184</v>
      </c>
      <c r="C58" s="12" t="s">
        <v>184</v>
      </c>
      <c r="D58" t="s">
        <v>185</v>
      </c>
      <c r="E58" s="12">
        <v>10350001</v>
      </c>
      <c r="F58" t="s">
        <v>253</v>
      </c>
      <c r="G58">
        <v>7</v>
      </c>
      <c r="H58" s="13">
        <v>53.5</v>
      </c>
      <c r="I58" s="13">
        <v>1791.0357236640002</v>
      </c>
      <c r="J58" s="15">
        <v>0</v>
      </c>
      <c r="K58" s="15">
        <v>0</v>
      </c>
      <c r="L58" s="15">
        <v>0</v>
      </c>
      <c r="M58" s="13">
        <v>0</v>
      </c>
      <c r="N58" s="13">
        <v>0</v>
      </c>
      <c r="O58" s="15" t="s">
        <v>29</v>
      </c>
      <c r="P58" s="15">
        <v>1791</v>
      </c>
      <c r="Q58" s="12" t="s">
        <v>30</v>
      </c>
      <c r="R58" t="s">
        <v>254</v>
      </c>
      <c r="S58" t="s">
        <v>255</v>
      </c>
      <c r="T58" t="s">
        <v>212</v>
      </c>
      <c r="U58" t="s">
        <v>42</v>
      </c>
      <c r="V58" t="s">
        <v>35</v>
      </c>
      <c r="W58" t="s">
        <v>36</v>
      </c>
      <c r="Y58" s="16">
        <v>11.717056136119629</v>
      </c>
    </row>
    <row r="59" spans="1:25" x14ac:dyDescent="0.25">
      <c r="A59" t="s">
        <v>256</v>
      </c>
      <c r="B59" t="s">
        <v>184</v>
      </c>
      <c r="C59" s="12" t="s">
        <v>184</v>
      </c>
      <c r="D59" t="s">
        <v>185</v>
      </c>
      <c r="E59" s="12">
        <v>10350001</v>
      </c>
      <c r="F59" t="s">
        <v>257</v>
      </c>
      <c r="G59">
        <v>4</v>
      </c>
      <c r="H59" s="13">
        <v>8.1999999999999993</v>
      </c>
      <c r="I59" s="13">
        <v>269.76208703400005</v>
      </c>
      <c r="J59" s="15">
        <v>0</v>
      </c>
      <c r="K59" s="15">
        <v>0</v>
      </c>
      <c r="L59" s="15">
        <v>0</v>
      </c>
      <c r="M59" s="13">
        <v>0</v>
      </c>
      <c r="N59" s="13">
        <v>0</v>
      </c>
      <c r="O59" s="15" t="s">
        <v>29</v>
      </c>
      <c r="P59" s="15">
        <v>270</v>
      </c>
      <c r="Q59" s="12" t="s">
        <v>30</v>
      </c>
      <c r="R59" t="s">
        <v>258</v>
      </c>
      <c r="S59" t="s">
        <v>259</v>
      </c>
      <c r="T59" t="s">
        <v>212</v>
      </c>
      <c r="U59" t="s">
        <v>42</v>
      </c>
      <c r="V59" t="s">
        <v>35</v>
      </c>
      <c r="W59" t="s">
        <v>36</v>
      </c>
      <c r="Y59" s="16">
        <v>6.5795630983902456</v>
      </c>
    </row>
    <row r="60" spans="1:25" x14ac:dyDescent="0.25">
      <c r="A60" t="s">
        <v>260</v>
      </c>
      <c r="B60" t="s">
        <v>184</v>
      </c>
      <c r="C60" s="12" t="s">
        <v>184</v>
      </c>
      <c r="D60" t="s">
        <v>185</v>
      </c>
      <c r="E60" s="12">
        <v>10350001</v>
      </c>
      <c r="F60" t="s">
        <v>261</v>
      </c>
      <c r="G60">
        <v>7</v>
      </c>
      <c r="H60" s="13">
        <v>31.999999999999996</v>
      </c>
      <c r="I60" s="13">
        <v>1240.2118864080001</v>
      </c>
      <c r="J60" s="15">
        <v>0</v>
      </c>
      <c r="K60" s="15">
        <v>0</v>
      </c>
      <c r="L60" s="15">
        <v>0</v>
      </c>
      <c r="M60" s="13">
        <v>0</v>
      </c>
      <c r="N60" s="13">
        <v>0</v>
      </c>
      <c r="O60" s="15" t="s">
        <v>29</v>
      </c>
      <c r="P60" s="15">
        <v>1240</v>
      </c>
      <c r="Q60" s="12" t="s">
        <v>30</v>
      </c>
      <c r="R60" t="s">
        <v>262</v>
      </c>
      <c r="S60" t="s">
        <v>263</v>
      </c>
      <c r="T60" t="s">
        <v>251</v>
      </c>
      <c r="U60" t="s">
        <v>111</v>
      </c>
      <c r="V60" t="s">
        <v>35</v>
      </c>
      <c r="W60" t="s">
        <v>36</v>
      </c>
      <c r="Y60" s="16">
        <v>13.564817507587504</v>
      </c>
    </row>
    <row r="61" spans="1:25" x14ac:dyDescent="0.25">
      <c r="A61" t="s">
        <v>264</v>
      </c>
      <c r="B61" t="s">
        <v>265</v>
      </c>
      <c r="C61" s="12" t="s">
        <v>265</v>
      </c>
      <c r="D61" t="s">
        <v>266</v>
      </c>
      <c r="E61" s="12">
        <v>10530005</v>
      </c>
      <c r="F61" t="s">
        <v>50</v>
      </c>
      <c r="G61">
        <v>13</v>
      </c>
      <c r="H61" s="13">
        <v>7.0100000000000007</v>
      </c>
      <c r="I61" s="13">
        <v>311.94000461124006</v>
      </c>
      <c r="J61" s="15">
        <v>0</v>
      </c>
      <c r="K61" s="15">
        <v>311.94000461124006</v>
      </c>
      <c r="L61" s="15">
        <v>0</v>
      </c>
      <c r="M61" s="13">
        <v>0</v>
      </c>
      <c r="N61" s="13">
        <v>0</v>
      </c>
      <c r="O61" s="15" t="s">
        <v>29</v>
      </c>
      <c r="P61" s="15">
        <v>0</v>
      </c>
      <c r="Q61" s="12" t="s">
        <v>30</v>
      </c>
      <c r="R61">
        <v>0</v>
      </c>
      <c r="S61">
        <v>0</v>
      </c>
      <c r="T61">
        <v>0</v>
      </c>
      <c r="U61">
        <v>0</v>
      </c>
      <c r="V61" t="s">
        <v>51</v>
      </c>
      <c r="W61" t="s">
        <v>36</v>
      </c>
      <c r="Y61" s="16">
        <v>0</v>
      </c>
    </row>
    <row r="62" spans="1:25" x14ac:dyDescent="0.25">
      <c r="A62" t="s">
        <v>267</v>
      </c>
      <c r="B62" t="s">
        <v>265</v>
      </c>
      <c r="C62" s="12" t="s">
        <v>265</v>
      </c>
      <c r="D62" t="s">
        <v>266</v>
      </c>
      <c r="E62" s="12">
        <v>10530005</v>
      </c>
      <c r="F62" t="s">
        <v>28</v>
      </c>
      <c r="G62">
        <v>3</v>
      </c>
      <c r="H62" s="13">
        <v>7.88</v>
      </c>
      <c r="I62" s="13">
        <v>344.83513112136006</v>
      </c>
      <c r="J62" s="15">
        <v>0</v>
      </c>
      <c r="K62" s="15">
        <v>0</v>
      </c>
      <c r="L62" s="15">
        <v>181</v>
      </c>
      <c r="M62" s="13">
        <v>65</v>
      </c>
      <c r="N62" s="13">
        <v>98.719519354838397</v>
      </c>
      <c r="O62" s="15" t="s">
        <v>29</v>
      </c>
      <c r="P62" s="15">
        <v>0</v>
      </c>
      <c r="Q62" s="12" t="s">
        <v>30</v>
      </c>
      <c r="R62" t="s">
        <v>268</v>
      </c>
      <c r="S62" t="s">
        <v>269</v>
      </c>
      <c r="T62" t="s">
        <v>270</v>
      </c>
      <c r="U62" t="s">
        <v>71</v>
      </c>
      <c r="V62" t="s">
        <v>35</v>
      </c>
      <c r="W62" t="s">
        <v>36</v>
      </c>
      <c r="Y62" s="16">
        <v>6.5641205162695462</v>
      </c>
    </row>
    <row r="63" spans="1:25" x14ac:dyDescent="0.25">
      <c r="A63" t="s">
        <v>271</v>
      </c>
      <c r="B63" t="s">
        <v>265</v>
      </c>
      <c r="C63" s="12" t="s">
        <v>265</v>
      </c>
      <c r="D63" t="s">
        <v>266</v>
      </c>
      <c r="E63" s="12">
        <v>10530005</v>
      </c>
      <c r="F63" t="s">
        <v>120</v>
      </c>
      <c r="G63">
        <v>10</v>
      </c>
      <c r="H63" s="13">
        <v>24.53</v>
      </c>
      <c r="I63" s="13">
        <v>1476.7406924325703</v>
      </c>
      <c r="J63" s="15">
        <v>0</v>
      </c>
      <c r="K63" s="15">
        <v>0</v>
      </c>
      <c r="L63" s="15">
        <v>0</v>
      </c>
      <c r="M63" s="13">
        <v>0</v>
      </c>
      <c r="N63" s="13">
        <v>0</v>
      </c>
      <c r="O63" s="15" t="s">
        <v>29</v>
      </c>
      <c r="P63" s="15">
        <v>1477</v>
      </c>
      <c r="Q63" s="12" t="s">
        <v>30</v>
      </c>
      <c r="R63" t="s">
        <v>272</v>
      </c>
      <c r="S63" t="s">
        <v>273</v>
      </c>
      <c r="T63" t="s">
        <v>274</v>
      </c>
      <c r="U63" t="s">
        <v>275</v>
      </c>
      <c r="V63" t="s">
        <v>35</v>
      </c>
      <c r="W63" t="s">
        <v>36</v>
      </c>
      <c r="Y63" s="16">
        <v>30.100707142938653</v>
      </c>
    </row>
    <row r="64" spans="1:25" x14ac:dyDescent="0.25">
      <c r="A64" t="s">
        <v>276</v>
      </c>
      <c r="B64" t="s">
        <v>265</v>
      </c>
      <c r="C64" s="12" t="s">
        <v>265</v>
      </c>
      <c r="D64" t="s">
        <v>266</v>
      </c>
      <c r="E64" s="12">
        <v>10530005</v>
      </c>
      <c r="F64" t="s">
        <v>124</v>
      </c>
      <c r="G64">
        <v>12</v>
      </c>
      <c r="H64" s="13">
        <v>16.099999999999998</v>
      </c>
      <c r="I64" s="13">
        <v>646.68083977979995</v>
      </c>
      <c r="J64" s="15">
        <v>0</v>
      </c>
      <c r="K64" s="15">
        <v>0</v>
      </c>
      <c r="L64" s="15">
        <v>0</v>
      </c>
      <c r="M64" s="13">
        <v>647</v>
      </c>
      <c r="N64" s="13">
        <v>0</v>
      </c>
      <c r="O64" s="15" t="s">
        <v>29</v>
      </c>
      <c r="P64" s="15">
        <v>0</v>
      </c>
      <c r="Q64" s="12" t="s">
        <v>30</v>
      </c>
      <c r="R64" t="s">
        <v>277</v>
      </c>
      <c r="S64" t="s">
        <v>278</v>
      </c>
      <c r="T64" t="s">
        <v>279</v>
      </c>
      <c r="U64" t="s">
        <v>106</v>
      </c>
      <c r="V64" t="s">
        <v>35</v>
      </c>
      <c r="W64" t="s">
        <v>36</v>
      </c>
      <c r="X64" s="17"/>
      <c r="Y64" s="16">
        <v>24.099907072539136</v>
      </c>
    </row>
    <row r="65" spans="1:25" x14ac:dyDescent="0.25">
      <c r="A65" t="s">
        <v>280</v>
      </c>
      <c r="B65" t="s">
        <v>265</v>
      </c>
      <c r="C65" s="12" t="s">
        <v>265</v>
      </c>
      <c r="D65" t="s">
        <v>266</v>
      </c>
      <c r="E65" s="12">
        <v>10530005</v>
      </c>
      <c r="F65" t="s">
        <v>159</v>
      </c>
      <c r="G65">
        <v>11</v>
      </c>
      <c r="H65" s="13">
        <v>30.549999999999997</v>
      </c>
      <c r="I65" s="13">
        <v>1569.2774607814201</v>
      </c>
      <c r="J65" s="15">
        <v>0</v>
      </c>
      <c r="K65" s="15">
        <v>0</v>
      </c>
      <c r="L65" s="15">
        <v>0</v>
      </c>
      <c r="M65" s="13">
        <v>1350</v>
      </c>
      <c r="N65" s="13">
        <v>0</v>
      </c>
      <c r="O65" s="15" t="s">
        <v>29</v>
      </c>
      <c r="P65" s="15">
        <v>219</v>
      </c>
      <c r="Q65" s="12" t="s">
        <v>30</v>
      </c>
      <c r="R65" t="s">
        <v>281</v>
      </c>
      <c r="S65" t="s">
        <v>282</v>
      </c>
      <c r="T65" t="s">
        <v>274</v>
      </c>
      <c r="U65" t="s">
        <v>283</v>
      </c>
      <c r="V65" t="s">
        <v>35</v>
      </c>
      <c r="W65" t="s">
        <v>36</v>
      </c>
      <c r="Y65" s="16">
        <v>28.252131045164688</v>
      </c>
    </row>
    <row r="66" spans="1:25" x14ac:dyDescent="0.25">
      <c r="A66" t="s">
        <v>284</v>
      </c>
      <c r="B66" t="s">
        <v>265</v>
      </c>
      <c r="C66" s="12" t="s">
        <v>265</v>
      </c>
      <c r="D66" t="s">
        <v>266</v>
      </c>
      <c r="E66" s="12">
        <v>10530005</v>
      </c>
      <c r="F66" t="s">
        <v>44</v>
      </c>
      <c r="G66">
        <v>4</v>
      </c>
      <c r="H66" s="13">
        <v>9.120000000000001</v>
      </c>
      <c r="I66" s="13">
        <v>492.43587389308004</v>
      </c>
      <c r="J66" s="15">
        <v>0</v>
      </c>
      <c r="K66" s="15">
        <v>0</v>
      </c>
      <c r="L66" s="15">
        <v>0</v>
      </c>
      <c r="M66" s="13">
        <v>0</v>
      </c>
      <c r="N66" s="13">
        <v>0</v>
      </c>
      <c r="O66" s="15" t="s">
        <v>29</v>
      </c>
      <c r="P66" s="15">
        <v>492</v>
      </c>
      <c r="Q66" s="12" t="s">
        <v>30</v>
      </c>
      <c r="R66" t="s">
        <v>285</v>
      </c>
      <c r="S66" t="s">
        <v>286</v>
      </c>
      <c r="T66" t="s">
        <v>274</v>
      </c>
      <c r="U66" t="s">
        <v>283</v>
      </c>
      <c r="V66" t="s">
        <v>35</v>
      </c>
      <c r="W66" t="s">
        <v>36</v>
      </c>
      <c r="Y66" s="16">
        <v>10.799032322216668</v>
      </c>
    </row>
    <row r="67" spans="1:25" x14ac:dyDescent="0.25">
      <c r="A67" t="s">
        <v>287</v>
      </c>
      <c r="B67" t="s">
        <v>265</v>
      </c>
      <c r="C67" s="12" t="s">
        <v>265</v>
      </c>
      <c r="D67" t="s">
        <v>266</v>
      </c>
      <c r="E67" s="12">
        <v>10530005</v>
      </c>
      <c r="F67" t="s">
        <v>97</v>
      </c>
      <c r="G67">
        <v>1</v>
      </c>
      <c r="H67" s="13">
        <v>1.1599999999999999</v>
      </c>
      <c r="I67" s="13">
        <v>88.331640351199994</v>
      </c>
      <c r="J67" s="15">
        <v>0</v>
      </c>
      <c r="K67" s="15">
        <v>0</v>
      </c>
      <c r="L67" s="15">
        <v>0</v>
      </c>
      <c r="M67" s="13">
        <v>0</v>
      </c>
      <c r="N67" s="13">
        <v>0</v>
      </c>
      <c r="O67" s="15" t="s">
        <v>29</v>
      </c>
      <c r="P67" s="15">
        <v>88</v>
      </c>
      <c r="Q67" s="12" t="s">
        <v>30</v>
      </c>
      <c r="R67" t="s">
        <v>288</v>
      </c>
      <c r="S67" t="s">
        <v>289</v>
      </c>
      <c r="T67" t="s">
        <v>274</v>
      </c>
      <c r="U67" t="s">
        <v>283</v>
      </c>
      <c r="V67" t="s">
        <v>35</v>
      </c>
      <c r="W67" t="s">
        <v>36</v>
      </c>
      <c r="Y67" s="16">
        <v>3.8073982910000002</v>
      </c>
    </row>
    <row r="68" spans="1:25" x14ac:dyDescent="0.25">
      <c r="A68" t="s">
        <v>290</v>
      </c>
      <c r="B68" t="s">
        <v>265</v>
      </c>
      <c r="C68" s="12" t="s">
        <v>265</v>
      </c>
      <c r="D68" t="s">
        <v>266</v>
      </c>
      <c r="E68" s="12">
        <v>10530005</v>
      </c>
      <c r="F68" t="s">
        <v>73</v>
      </c>
      <c r="G68">
        <v>12</v>
      </c>
      <c r="H68" s="13">
        <v>30.13</v>
      </c>
      <c r="I68" s="13">
        <v>1312.3152753174002</v>
      </c>
      <c r="J68" s="15">
        <v>0</v>
      </c>
      <c r="K68" s="15">
        <v>0</v>
      </c>
      <c r="L68" s="15">
        <v>0</v>
      </c>
      <c r="M68" s="13">
        <v>0</v>
      </c>
      <c r="N68" s="13">
        <v>0</v>
      </c>
      <c r="O68" s="15" t="s">
        <v>29</v>
      </c>
      <c r="P68" s="15">
        <v>1312</v>
      </c>
      <c r="Q68" s="12" t="s">
        <v>30</v>
      </c>
      <c r="R68" t="s">
        <v>291</v>
      </c>
      <c r="S68" t="s">
        <v>292</v>
      </c>
      <c r="T68" t="s">
        <v>293</v>
      </c>
      <c r="U68" t="s">
        <v>294</v>
      </c>
      <c r="V68" t="s">
        <v>35</v>
      </c>
      <c r="W68" t="s">
        <v>36</v>
      </c>
      <c r="Y68" s="16">
        <v>26.133062236655832</v>
      </c>
    </row>
    <row r="69" spans="1:25" x14ac:dyDescent="0.25">
      <c r="A69" t="s">
        <v>295</v>
      </c>
      <c r="B69" t="s">
        <v>265</v>
      </c>
      <c r="C69" s="12" t="s">
        <v>265</v>
      </c>
      <c r="D69" t="s">
        <v>266</v>
      </c>
      <c r="E69" s="12">
        <v>10530005</v>
      </c>
      <c r="F69" t="s">
        <v>296</v>
      </c>
      <c r="G69">
        <v>9</v>
      </c>
      <c r="H69" s="13">
        <v>29.54</v>
      </c>
      <c r="I69" s="13">
        <v>1616.1550181351001</v>
      </c>
      <c r="J69" s="15">
        <v>0</v>
      </c>
      <c r="K69" s="15">
        <v>0</v>
      </c>
      <c r="L69" s="15">
        <v>0</v>
      </c>
      <c r="M69" s="13">
        <v>0</v>
      </c>
      <c r="N69" s="13">
        <v>0</v>
      </c>
      <c r="O69" s="15" t="s">
        <v>29</v>
      </c>
      <c r="P69" s="15">
        <v>1616</v>
      </c>
      <c r="Q69" s="12" t="s">
        <v>30</v>
      </c>
      <c r="R69" t="s">
        <v>297</v>
      </c>
      <c r="S69" t="s">
        <v>298</v>
      </c>
      <c r="T69" t="s">
        <v>270</v>
      </c>
      <c r="U69" t="s">
        <v>139</v>
      </c>
      <c r="V69" t="s">
        <v>35</v>
      </c>
      <c r="W69" t="s">
        <v>36</v>
      </c>
      <c r="Y69" s="16">
        <v>24.619829321624749</v>
      </c>
    </row>
    <row r="70" spans="1:25" x14ac:dyDescent="0.25">
      <c r="A70" t="s">
        <v>299</v>
      </c>
      <c r="B70" t="s">
        <v>265</v>
      </c>
      <c r="C70" s="12" t="s">
        <v>265</v>
      </c>
      <c r="D70" t="s">
        <v>266</v>
      </c>
      <c r="E70" s="12">
        <v>10530005</v>
      </c>
      <c r="F70" t="s">
        <v>300</v>
      </c>
      <c r="G70">
        <v>8</v>
      </c>
      <c r="H70" s="13">
        <v>14.43</v>
      </c>
      <c r="I70" s="13">
        <v>613.98260901499998</v>
      </c>
      <c r="J70" s="15">
        <v>0</v>
      </c>
      <c r="K70" s="15">
        <v>0</v>
      </c>
      <c r="L70" s="15">
        <v>0</v>
      </c>
      <c r="M70" s="13">
        <v>0</v>
      </c>
      <c r="N70" s="13">
        <v>0</v>
      </c>
      <c r="O70" s="15" t="s">
        <v>29</v>
      </c>
      <c r="P70" s="15">
        <v>614</v>
      </c>
      <c r="Q70" s="12" t="s">
        <v>30</v>
      </c>
      <c r="R70" t="s">
        <v>301</v>
      </c>
      <c r="S70" t="s">
        <v>302</v>
      </c>
      <c r="T70" t="s">
        <v>303</v>
      </c>
      <c r="U70" t="s">
        <v>42</v>
      </c>
      <c r="V70" t="s">
        <v>35</v>
      </c>
      <c r="W70" t="s">
        <v>36</v>
      </c>
      <c r="Y70" s="16">
        <v>17.019614941510742</v>
      </c>
    </row>
    <row r="71" spans="1:25" x14ac:dyDescent="0.25">
      <c r="A71" t="s">
        <v>304</v>
      </c>
      <c r="B71" t="s">
        <v>265</v>
      </c>
      <c r="C71" s="12" t="s">
        <v>265</v>
      </c>
      <c r="D71" t="s">
        <v>266</v>
      </c>
      <c r="E71" s="12">
        <v>10530005</v>
      </c>
      <c r="F71" t="s">
        <v>305</v>
      </c>
      <c r="G71">
        <v>14</v>
      </c>
      <c r="H71" s="13">
        <v>28.359999999999992</v>
      </c>
      <c r="I71" s="13">
        <v>1629.0367797652002</v>
      </c>
      <c r="J71" s="15">
        <v>0</v>
      </c>
      <c r="K71" s="15">
        <v>0</v>
      </c>
      <c r="L71" s="15">
        <v>0</v>
      </c>
      <c r="M71" s="13">
        <v>0</v>
      </c>
      <c r="N71" s="13">
        <v>0</v>
      </c>
      <c r="O71" s="15" t="s">
        <v>29</v>
      </c>
      <c r="P71" s="15">
        <v>1629</v>
      </c>
      <c r="Q71" s="12" t="s">
        <v>30</v>
      </c>
      <c r="R71" t="s">
        <v>306</v>
      </c>
      <c r="S71" t="s">
        <v>307</v>
      </c>
      <c r="T71" t="s">
        <v>274</v>
      </c>
      <c r="U71" t="s">
        <v>275</v>
      </c>
      <c r="V71" t="s">
        <v>35</v>
      </c>
      <c r="W71" t="s">
        <v>36</v>
      </c>
      <c r="Y71" s="16">
        <v>40.208947314373788</v>
      </c>
    </row>
    <row r="72" spans="1:25" x14ac:dyDescent="0.25">
      <c r="A72" t="s">
        <v>308</v>
      </c>
      <c r="B72" t="s">
        <v>265</v>
      </c>
      <c r="C72" s="12" t="s">
        <v>265</v>
      </c>
      <c r="D72" t="s">
        <v>266</v>
      </c>
      <c r="E72" s="12">
        <v>10530005</v>
      </c>
      <c r="F72" t="s">
        <v>309</v>
      </c>
      <c r="G72">
        <v>2</v>
      </c>
      <c r="H72" s="13">
        <v>2.2800000000000002</v>
      </c>
      <c r="I72" s="13">
        <v>89.978992488000017</v>
      </c>
      <c r="J72" s="15">
        <v>0</v>
      </c>
      <c r="K72" s="15">
        <v>0</v>
      </c>
      <c r="L72" s="15">
        <v>0</v>
      </c>
      <c r="M72" s="13">
        <v>0</v>
      </c>
      <c r="N72" s="13">
        <v>0</v>
      </c>
      <c r="O72" s="15" t="s">
        <v>29</v>
      </c>
      <c r="P72" s="15">
        <v>90</v>
      </c>
      <c r="Q72" s="12" t="s">
        <v>30</v>
      </c>
      <c r="R72" t="s">
        <v>310</v>
      </c>
      <c r="S72" t="s">
        <v>311</v>
      </c>
      <c r="T72" t="s">
        <v>270</v>
      </c>
      <c r="U72" t="s">
        <v>71</v>
      </c>
      <c r="V72" t="s">
        <v>35</v>
      </c>
      <c r="W72" t="s">
        <v>36</v>
      </c>
      <c r="Y72" s="16">
        <v>3.9464470389473689</v>
      </c>
    </row>
    <row r="73" spans="1:25" x14ac:dyDescent="0.25">
      <c r="A73" t="s">
        <v>312</v>
      </c>
      <c r="B73" t="s">
        <v>265</v>
      </c>
      <c r="C73" s="12" t="s">
        <v>265</v>
      </c>
      <c r="D73" t="s">
        <v>266</v>
      </c>
      <c r="E73" s="12">
        <v>10530005</v>
      </c>
      <c r="F73" t="s">
        <v>313</v>
      </c>
      <c r="G73">
        <v>5</v>
      </c>
      <c r="H73" s="13">
        <v>10.69</v>
      </c>
      <c r="I73" s="13">
        <v>443.72326957200005</v>
      </c>
      <c r="J73" s="15">
        <v>0</v>
      </c>
      <c r="K73" s="15">
        <v>0</v>
      </c>
      <c r="L73" s="15">
        <v>0</v>
      </c>
      <c r="M73" s="13">
        <v>0</v>
      </c>
      <c r="N73" s="13">
        <v>0</v>
      </c>
      <c r="O73" s="15" t="s">
        <v>29</v>
      </c>
      <c r="P73" s="15">
        <v>444</v>
      </c>
      <c r="Q73" s="12" t="s">
        <v>30</v>
      </c>
      <c r="R73" t="s">
        <v>314</v>
      </c>
      <c r="S73" t="s">
        <v>315</v>
      </c>
      <c r="T73" t="s">
        <v>279</v>
      </c>
      <c r="U73" t="s">
        <v>106</v>
      </c>
      <c r="V73" t="s">
        <v>35</v>
      </c>
      <c r="W73" t="s">
        <v>36</v>
      </c>
      <c r="Y73" s="16">
        <v>10.377064302432181</v>
      </c>
    </row>
    <row r="74" spans="1:25" x14ac:dyDescent="0.25">
      <c r="A74" t="s">
        <v>316</v>
      </c>
      <c r="B74" t="s">
        <v>265</v>
      </c>
      <c r="C74" s="12" t="s">
        <v>265</v>
      </c>
      <c r="D74" t="s">
        <v>266</v>
      </c>
      <c r="E74" s="12">
        <v>10530005</v>
      </c>
      <c r="F74" t="s">
        <v>317</v>
      </c>
      <c r="G74">
        <v>5</v>
      </c>
      <c r="H74" s="13">
        <v>21.76</v>
      </c>
      <c r="I74" s="13">
        <v>894.79641071699996</v>
      </c>
      <c r="J74" s="15">
        <v>0</v>
      </c>
      <c r="K74" s="15">
        <v>0</v>
      </c>
      <c r="L74" s="15">
        <v>0</v>
      </c>
      <c r="M74" s="13">
        <v>0</v>
      </c>
      <c r="N74" s="13">
        <v>0</v>
      </c>
      <c r="O74" s="15" t="s">
        <v>29</v>
      </c>
      <c r="P74" s="15">
        <v>895</v>
      </c>
      <c r="Q74" s="12" t="s">
        <v>30</v>
      </c>
      <c r="R74" t="s">
        <v>318</v>
      </c>
      <c r="S74" t="s">
        <v>319</v>
      </c>
      <c r="T74" t="s">
        <v>274</v>
      </c>
      <c r="U74" t="s">
        <v>283</v>
      </c>
      <c r="V74" t="s">
        <v>35</v>
      </c>
      <c r="W74" t="s">
        <v>36</v>
      </c>
      <c r="Y74" s="16">
        <v>10.280289645186119</v>
      </c>
    </row>
    <row r="75" spans="1:25" x14ac:dyDescent="0.25">
      <c r="A75" t="s">
        <v>320</v>
      </c>
      <c r="B75" t="s">
        <v>265</v>
      </c>
      <c r="C75" s="12" t="s">
        <v>265</v>
      </c>
      <c r="D75" t="s">
        <v>266</v>
      </c>
      <c r="E75" s="12">
        <v>10530005</v>
      </c>
      <c r="F75" t="s">
        <v>321</v>
      </c>
      <c r="G75">
        <v>10</v>
      </c>
      <c r="H75" s="13">
        <v>38.94</v>
      </c>
      <c r="I75" s="13">
        <v>1642.0733876727002</v>
      </c>
      <c r="J75" s="15">
        <v>0</v>
      </c>
      <c r="K75" s="15">
        <v>0</v>
      </c>
      <c r="L75" s="15">
        <v>0</v>
      </c>
      <c r="M75" s="13">
        <v>0</v>
      </c>
      <c r="N75" s="13">
        <v>0</v>
      </c>
      <c r="O75" s="15" t="s">
        <v>29</v>
      </c>
      <c r="P75" s="15">
        <v>1642</v>
      </c>
      <c r="Q75" s="12" t="s">
        <v>30</v>
      </c>
      <c r="R75" t="s">
        <v>322</v>
      </c>
      <c r="S75" t="s">
        <v>323</v>
      </c>
      <c r="T75" t="s">
        <v>324</v>
      </c>
      <c r="U75" t="s">
        <v>139</v>
      </c>
      <c r="V75" t="s">
        <v>35</v>
      </c>
      <c r="W75" t="s">
        <v>36</v>
      </c>
      <c r="Y75" s="16">
        <v>21.08466085866333</v>
      </c>
    </row>
    <row r="76" spans="1:25" x14ac:dyDescent="0.25">
      <c r="A76" t="s">
        <v>325</v>
      </c>
      <c r="B76" t="s">
        <v>265</v>
      </c>
      <c r="C76" s="12" t="s">
        <v>265</v>
      </c>
      <c r="D76" t="s">
        <v>266</v>
      </c>
      <c r="E76" s="12">
        <v>10530005</v>
      </c>
      <c r="F76" t="s">
        <v>326</v>
      </c>
      <c r="G76">
        <v>12</v>
      </c>
      <c r="H76" s="13">
        <v>56.260000000000005</v>
      </c>
      <c r="I76" s="13">
        <v>2066.7932517672002</v>
      </c>
      <c r="J76" s="15">
        <v>0</v>
      </c>
      <c r="K76" s="15">
        <v>0</v>
      </c>
      <c r="L76" s="15">
        <v>0</v>
      </c>
      <c r="M76" s="13">
        <v>0</v>
      </c>
      <c r="N76" s="13">
        <v>0</v>
      </c>
      <c r="O76" s="15" t="s">
        <v>29</v>
      </c>
      <c r="P76" s="15">
        <v>2067</v>
      </c>
      <c r="Q76" s="12" t="s">
        <v>30</v>
      </c>
      <c r="R76" t="s">
        <v>327</v>
      </c>
      <c r="S76" t="s">
        <v>328</v>
      </c>
      <c r="T76" t="s">
        <v>329</v>
      </c>
      <c r="U76" t="s">
        <v>330</v>
      </c>
      <c r="V76" t="s">
        <v>35</v>
      </c>
      <c r="W76" t="s">
        <v>36</v>
      </c>
      <c r="Y76" s="16">
        <v>22.041876129760404</v>
      </c>
    </row>
    <row r="77" spans="1:25" x14ac:dyDescent="0.25">
      <c r="A77" t="s">
        <v>331</v>
      </c>
      <c r="B77" t="s">
        <v>265</v>
      </c>
      <c r="C77" s="12" t="s">
        <v>265</v>
      </c>
      <c r="D77" t="s">
        <v>266</v>
      </c>
      <c r="E77" s="12">
        <v>10530005</v>
      </c>
      <c r="F77" t="s">
        <v>332</v>
      </c>
      <c r="G77">
        <v>14</v>
      </c>
      <c r="H77" s="13">
        <v>34.94</v>
      </c>
      <c r="I77" s="13">
        <v>1542.4489818259199</v>
      </c>
      <c r="J77" s="15">
        <v>0</v>
      </c>
      <c r="K77" s="15">
        <v>0</v>
      </c>
      <c r="L77" s="15">
        <v>0</v>
      </c>
      <c r="M77" s="13">
        <v>0</v>
      </c>
      <c r="N77" s="13">
        <v>0</v>
      </c>
      <c r="O77" s="15" t="s">
        <v>29</v>
      </c>
      <c r="P77" s="15">
        <v>1542</v>
      </c>
      <c r="Q77" s="12" t="s">
        <v>30</v>
      </c>
      <c r="R77" t="s">
        <v>333</v>
      </c>
      <c r="S77" t="s">
        <v>334</v>
      </c>
      <c r="T77" t="s">
        <v>274</v>
      </c>
      <c r="U77" t="s">
        <v>283</v>
      </c>
      <c r="V77" t="s">
        <v>35</v>
      </c>
      <c r="W77" t="s">
        <v>36</v>
      </c>
      <c r="Y77" s="16">
        <v>30.901954415516432</v>
      </c>
    </row>
    <row r="78" spans="1:25" ht="15.75" thickBot="1" x14ac:dyDescent="0.3">
      <c r="A78" s="18" t="s">
        <v>335</v>
      </c>
      <c r="B78" s="18" t="s">
        <v>129</v>
      </c>
      <c r="C78" s="19" t="s">
        <v>129</v>
      </c>
      <c r="D78" s="18" t="s">
        <v>336</v>
      </c>
      <c r="E78" s="19">
        <v>10540046</v>
      </c>
      <c r="F78" s="18" t="s">
        <v>28</v>
      </c>
      <c r="G78" s="18">
        <v>14</v>
      </c>
      <c r="H78" s="20">
        <v>287.49</v>
      </c>
      <c r="I78" s="20">
        <v>16594.83968631411</v>
      </c>
      <c r="J78" s="21">
        <v>0</v>
      </c>
      <c r="K78" s="21">
        <v>0</v>
      </c>
      <c r="L78" s="21">
        <v>4854</v>
      </c>
      <c r="M78" s="20">
        <v>0</v>
      </c>
      <c r="N78" s="20">
        <v>0</v>
      </c>
      <c r="O78" s="21" t="s">
        <v>29</v>
      </c>
      <c r="P78" s="21">
        <v>11741</v>
      </c>
      <c r="Q78" s="19" t="s">
        <v>30</v>
      </c>
      <c r="R78" s="18" t="s">
        <v>337</v>
      </c>
      <c r="S78" s="18" t="s">
        <v>338</v>
      </c>
      <c r="T78" s="18" t="s">
        <v>134</v>
      </c>
      <c r="U78" s="18" t="s">
        <v>339</v>
      </c>
      <c r="V78" s="18" t="s">
        <v>35</v>
      </c>
      <c r="W78" s="18" t="s">
        <v>36</v>
      </c>
      <c r="Y78" s="16">
        <v>40.406232496503797</v>
      </c>
    </row>
    <row r="79" spans="1:25" ht="15.75" thickTop="1" x14ac:dyDescent="0.25">
      <c r="P79" s="22">
        <f>SUM(P2:P78)</f>
        <v>167648</v>
      </c>
    </row>
  </sheetData>
  <conditionalFormatting sqref="P1:P78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78">
    <cfRule type="duplicateValues" dxfId="2" priority="3"/>
  </conditionalFormatting>
  <conditionalFormatting sqref="A2:A78">
    <cfRule type="duplicateValues" dxfId="1" priority="2"/>
  </conditionalFormatting>
  <conditionalFormatting sqref="P2:P78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2026-05-25T05:04:29Z</dcterms:created>
  <dcterms:modified xsi:type="dcterms:W3CDTF">2026-05-25T05:10:40Z</dcterms:modified>
</cp:coreProperties>
</file>