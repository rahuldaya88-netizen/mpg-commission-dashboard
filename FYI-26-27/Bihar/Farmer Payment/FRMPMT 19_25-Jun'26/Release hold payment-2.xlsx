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Bihar\Farmer Payment\FRMPMT 19_25-Jun'26\"/>
    </mc:Choice>
  </mc:AlternateContent>
  <xr:revisionPtr revIDLastSave="0" documentId="8_{D1ECB437-4E5F-41EF-B9B2-D4F41E2A4FCB}" xr6:coauthVersionLast="47" xr6:coauthVersionMax="47" xr10:uidLastSave="{00000000-0000-0000-0000-000000000000}"/>
  <bookViews>
    <workbookView xWindow="-120" yWindow="-120" windowWidth="29040" windowHeight="15720" xr2:uid="{219E462F-F775-466E-BA94-64D3FAB263C0}"/>
  </bookViews>
  <sheets>
    <sheet name="MPG" sheetId="1" r:id="rId1"/>
    <sheet name="Farme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33" i="2" l="1"/>
</calcChain>
</file>

<file path=xl/sharedStrings.xml><?xml version="1.0" encoding="utf-8"?>
<sst xmlns="http://schemas.openxmlformats.org/spreadsheetml/2006/main" count="1775" uniqueCount="533">
  <si>
    <t xml:space="preserve">BMC Code </t>
  </si>
  <si>
    <t>MCC Name</t>
  </si>
  <si>
    <t xml:space="preserve">Code </t>
  </si>
  <si>
    <t xml:space="preserve">MPG NAME </t>
  </si>
  <si>
    <t>Type</t>
  </si>
  <si>
    <t>Farmer Payment</t>
  </si>
  <si>
    <t>BMC Volume</t>
  </si>
  <si>
    <t>BMC Amount</t>
  </si>
  <si>
    <t>Vet Deduction</t>
  </si>
  <si>
    <t>CF Deduction</t>
  </si>
  <si>
    <t>Other</t>
  </si>
  <si>
    <t>Payment to Farmer A/c</t>
  </si>
  <si>
    <t>Unreg. Farmer payment</t>
  </si>
  <si>
    <t>Payment to MPGs A/c</t>
  </si>
  <si>
    <t>Stop Payment</t>
  </si>
  <si>
    <t>Loss Remarks</t>
  </si>
  <si>
    <t>Cycle</t>
  </si>
  <si>
    <t>loss/gain</t>
  </si>
  <si>
    <t>Nos.Of farmer</t>
  </si>
  <si>
    <t>CF OS</t>
  </si>
  <si>
    <t>Deduction</t>
  </si>
  <si>
    <t>Balance</t>
  </si>
  <si>
    <t>Blank</t>
  </si>
  <si>
    <t>EMI Recovery</t>
  </si>
  <si>
    <t>Sample milk</t>
  </si>
  <si>
    <t>Inward Penalty</t>
  </si>
  <si>
    <t>Total</t>
  </si>
  <si>
    <t>Recovered</t>
  </si>
  <si>
    <t>Pending</t>
  </si>
  <si>
    <t>Total Adj Pending</t>
  </si>
  <si>
    <t>Payment month</t>
  </si>
  <si>
    <t>Gopalpur Bmc</t>
  </si>
  <si>
    <t>BASMATIYA</t>
  </si>
  <si>
    <t>MPG</t>
  </si>
  <si>
    <t>Direct</t>
  </si>
  <si>
    <t>Release2</t>
  </si>
  <si>
    <t>CF OS&gt;15 Day's</t>
  </si>
  <si>
    <t>13. 19-25 Jun</t>
  </si>
  <si>
    <t>Sonvarsha</t>
  </si>
  <si>
    <t>MASUDAN</t>
  </si>
  <si>
    <t>Chautham</t>
  </si>
  <si>
    <t>Telouch</t>
  </si>
  <si>
    <t xml:space="preserve">Alauli </t>
  </si>
  <si>
    <t>GOMUKH TILAK NAGAR</t>
  </si>
  <si>
    <t>Letter not received</t>
  </si>
  <si>
    <t>GOMUKH GADBANNI</t>
  </si>
  <si>
    <t>GOMUKH PARRI</t>
  </si>
  <si>
    <t>GOMUKH BUDWA</t>
  </si>
  <si>
    <t>Gomukh Telihar</t>
  </si>
  <si>
    <t>Gomukh Soharba Purvi</t>
  </si>
  <si>
    <t>Warisnagar</t>
  </si>
  <si>
    <t>Matua</t>
  </si>
  <si>
    <t>Balahi 2</t>
  </si>
  <si>
    <t>Buzurgdoar</t>
  </si>
  <si>
    <t>Kamopur</t>
  </si>
  <si>
    <t>Jagdishpur</t>
  </si>
  <si>
    <t>Releasa2</t>
  </si>
  <si>
    <t>Total:</t>
  </si>
  <si>
    <t>ID</t>
  </si>
  <si>
    <t>BMC Area</t>
  </si>
  <si>
    <t>MPG/RMC Name</t>
  </si>
  <si>
    <t>Code</t>
  </si>
  <si>
    <t>Farmers Code</t>
  </si>
  <si>
    <t>No of Shift</t>
  </si>
  <si>
    <t>Vol_L</t>
  </si>
  <si>
    <t>Amount</t>
  </si>
  <si>
    <t>Sample Milk</t>
  </si>
  <si>
    <t>Milk Short</t>
  </si>
  <si>
    <t>Net Amount</t>
  </si>
  <si>
    <t>Category</t>
  </si>
  <si>
    <t>Farmers Account Name</t>
  </si>
  <si>
    <t>Accont no</t>
  </si>
  <si>
    <t>IFSC code</t>
  </si>
  <si>
    <t>Bank Name</t>
  </si>
  <si>
    <t>Account Details</t>
  </si>
  <si>
    <t>Sample</t>
  </si>
  <si>
    <t>Values</t>
  </si>
  <si>
    <t>100600740001</t>
  </si>
  <si>
    <t>0001</t>
  </si>
  <si>
    <t>Not Available</t>
  </si>
  <si>
    <t>100600740002</t>
  </si>
  <si>
    <t>0002</t>
  </si>
  <si>
    <t xml:space="preserve">Sumit Raj </t>
  </si>
  <si>
    <t>1648000100108418</t>
  </si>
  <si>
    <t>PUNB0164800</t>
  </si>
  <si>
    <t xml:space="preserve">Punjab National Bank </t>
  </si>
  <si>
    <t>Available</t>
  </si>
  <si>
    <t>100600740008</t>
  </si>
  <si>
    <t>0008</t>
  </si>
  <si>
    <t xml:space="preserve">Anuradha Devi </t>
  </si>
  <si>
    <t>1648000100121312</t>
  </si>
  <si>
    <t>100600740009</t>
  </si>
  <si>
    <t>0009</t>
  </si>
  <si>
    <t>Naresh Yadav</t>
  </si>
  <si>
    <t>15870110009529</t>
  </si>
  <si>
    <t>UCBA0001587</t>
  </si>
  <si>
    <t xml:space="preserve">Uco Bank </t>
  </si>
  <si>
    <t>100600740011</t>
  </si>
  <si>
    <t>0011</t>
  </si>
  <si>
    <t xml:space="preserve">Akash Kumar </t>
  </si>
  <si>
    <t>1648000100091020</t>
  </si>
  <si>
    <t>100600740012</t>
  </si>
  <si>
    <t>0012</t>
  </si>
  <si>
    <t xml:space="preserve">Randhir Kumar </t>
  </si>
  <si>
    <t>1648000100093903</t>
  </si>
  <si>
    <t>100600740014</t>
  </si>
  <si>
    <t>0014</t>
  </si>
  <si>
    <t xml:space="preserve">Nishant Kumar </t>
  </si>
  <si>
    <t>1648001700134256</t>
  </si>
  <si>
    <t>100600740015</t>
  </si>
  <si>
    <t>0015</t>
  </si>
  <si>
    <t>Puja Kumari</t>
  </si>
  <si>
    <t>1648001700159121</t>
  </si>
  <si>
    <t>100600740028</t>
  </si>
  <si>
    <t>0028</t>
  </si>
  <si>
    <t>Rupam Kumari</t>
  </si>
  <si>
    <t>1648001700120378</t>
  </si>
  <si>
    <t>100600740036</t>
  </si>
  <si>
    <t>0036</t>
  </si>
  <si>
    <t>Sudhir Kumar</t>
  </si>
  <si>
    <t>1648001700115215</t>
  </si>
  <si>
    <t>100600740039</t>
  </si>
  <si>
    <t>0039</t>
  </si>
  <si>
    <t>Sintu Kumar</t>
  </si>
  <si>
    <t>1648001700120509</t>
  </si>
  <si>
    <t>100601300002</t>
  </si>
  <si>
    <t>Raunak Kumar</t>
  </si>
  <si>
    <t>31070110049160</t>
  </si>
  <si>
    <t>PUNB0MBGB06</t>
  </si>
  <si>
    <t>Bihar Gramin Bank</t>
  </si>
  <si>
    <t>100601300003</t>
  </si>
  <si>
    <t>0003</t>
  </si>
  <si>
    <t xml:space="preserve">Shiv Shankar Kumar </t>
  </si>
  <si>
    <t>20412893882</t>
  </si>
  <si>
    <t>SBIN0014314</t>
  </si>
  <si>
    <t>State Bank Of India</t>
  </si>
  <si>
    <t>100601300005</t>
  </si>
  <si>
    <t>0005</t>
  </si>
  <si>
    <t>Vipul Kumar</t>
  </si>
  <si>
    <t>43702089198</t>
  </si>
  <si>
    <t>100601300006</t>
  </si>
  <si>
    <t>0006</t>
  </si>
  <si>
    <t>Ram Pravesh Kumar</t>
  </si>
  <si>
    <t>35143650785</t>
  </si>
  <si>
    <t xml:space="preserve">State Bank of India </t>
  </si>
  <si>
    <t>100601300008</t>
  </si>
  <si>
    <t>Guddu Kumar</t>
  </si>
  <si>
    <t>40736892440</t>
  </si>
  <si>
    <t>100601300009</t>
  </si>
  <si>
    <t>Gorishankar Kumar</t>
  </si>
  <si>
    <t>31070110011033</t>
  </si>
  <si>
    <t xml:space="preserve">Dakshin Bihar Gramin Bank </t>
  </si>
  <si>
    <t>100601300010</t>
  </si>
  <si>
    <t>0010</t>
  </si>
  <si>
    <t>Abnish Kumar</t>
  </si>
  <si>
    <t>31072100000212</t>
  </si>
  <si>
    <t>100601300011</t>
  </si>
  <si>
    <t>Kanchan Devi</t>
  </si>
  <si>
    <t>31070110016515</t>
  </si>
  <si>
    <t>100601300012</t>
  </si>
  <si>
    <t>Pankaj Kumar</t>
  </si>
  <si>
    <t>31070700007846</t>
  </si>
  <si>
    <t>Dakshin Bihar Gramin Bank</t>
  </si>
  <si>
    <t>100601300014</t>
  </si>
  <si>
    <t>Sanjeev Kumar</t>
  </si>
  <si>
    <t>31070100000744</t>
  </si>
  <si>
    <t>100601300015</t>
  </si>
  <si>
    <t>Ankit Kumar</t>
  </si>
  <si>
    <t>37884182127</t>
  </si>
  <si>
    <t>100601300016</t>
  </si>
  <si>
    <t>0016</t>
  </si>
  <si>
    <t>Krishnanandan Yadav</t>
  </si>
  <si>
    <t>31070100000632</t>
  </si>
  <si>
    <t>100601300026</t>
  </si>
  <si>
    <t>0026</t>
  </si>
  <si>
    <t>100601300027</t>
  </si>
  <si>
    <t>0027</t>
  </si>
  <si>
    <t>100601300028</t>
  </si>
  <si>
    <t>100601300029</t>
  </si>
  <si>
    <t>0029</t>
  </si>
  <si>
    <t>100601300032</t>
  </si>
  <si>
    <t>0032</t>
  </si>
  <si>
    <t>100601300033</t>
  </si>
  <si>
    <t>0033</t>
  </si>
  <si>
    <t>100601300034</t>
  </si>
  <si>
    <t>0034</t>
  </si>
  <si>
    <t>100700460001</t>
  </si>
  <si>
    <t>100700460002</t>
  </si>
  <si>
    <t xml:space="preserve">Sajeevan Kumar </t>
  </si>
  <si>
    <t>50100672652293</t>
  </si>
  <si>
    <t>HDFC0002127</t>
  </si>
  <si>
    <t xml:space="preserve">HDFC Bank </t>
  </si>
  <si>
    <t>100700460003</t>
  </si>
  <si>
    <t xml:space="preserve">Manati Devi </t>
  </si>
  <si>
    <t>35220110074263</t>
  </si>
  <si>
    <t xml:space="preserve">Bihar Gramin Bank </t>
  </si>
  <si>
    <t>100700460004</t>
  </si>
  <si>
    <t>0004</t>
  </si>
  <si>
    <t>Shashidhar Prasad Singh</t>
  </si>
  <si>
    <t>701102010005028</t>
  </si>
  <si>
    <t>UBIN0570117</t>
  </si>
  <si>
    <t xml:space="preserve">Union Bank of India </t>
  </si>
  <si>
    <t>100700460006</t>
  </si>
  <si>
    <t>Janardan Singh</t>
  </si>
  <si>
    <t>701102010002161</t>
  </si>
  <si>
    <t>100700460007</t>
  </si>
  <si>
    <t>0007</t>
  </si>
  <si>
    <t xml:space="preserve">Neel Kamal Kumar </t>
  </si>
  <si>
    <t>38673667137</t>
  </si>
  <si>
    <t>SBIN0003212</t>
  </si>
  <si>
    <t>100700460012</t>
  </si>
  <si>
    <t xml:space="preserve">Ramjivan Kumar </t>
  </si>
  <si>
    <t>41408558071</t>
  </si>
  <si>
    <t>SBIN0003790</t>
  </si>
  <si>
    <t>101101010002</t>
  </si>
  <si>
    <t xml:space="preserve">Mritunjay Sharma </t>
  </si>
  <si>
    <t>676802010004784</t>
  </si>
  <si>
    <t>UBIN0553671</t>
  </si>
  <si>
    <t>101101010008</t>
  </si>
  <si>
    <t xml:space="preserve">Sita Devi </t>
  </si>
  <si>
    <t>37137734954</t>
  </si>
  <si>
    <t>SBIN0015727</t>
  </si>
  <si>
    <t>101101010014</t>
  </si>
  <si>
    <t xml:space="preserve">Shabanam Kumari </t>
  </si>
  <si>
    <t>4014836371</t>
  </si>
  <si>
    <t>CBIN0280048</t>
  </si>
  <si>
    <t xml:space="preserve">Central Bank Of India </t>
  </si>
  <si>
    <t>101101010015</t>
  </si>
  <si>
    <t>Chhatrapati Sharma</t>
  </si>
  <si>
    <t>536702010016983</t>
  </si>
  <si>
    <t>101101010018</t>
  </si>
  <si>
    <t>0018</t>
  </si>
  <si>
    <t xml:space="preserve">Mala Devi </t>
  </si>
  <si>
    <t>36188978772</t>
  </si>
  <si>
    <t>SBI-Kiosk Banking</t>
  </si>
  <si>
    <t>101101010019</t>
  </si>
  <si>
    <t>0019</t>
  </si>
  <si>
    <t xml:space="preserve">Roshanee Devi </t>
  </si>
  <si>
    <t>23988100019684</t>
  </si>
  <si>
    <t>BARB0AMBAIC</t>
  </si>
  <si>
    <t>Bank Of Baroda</t>
  </si>
  <si>
    <t>101101010021</t>
  </si>
  <si>
    <t>0021</t>
  </si>
  <si>
    <t>Bibha Devi</t>
  </si>
  <si>
    <t>23980100009692</t>
  </si>
  <si>
    <t>101101010023</t>
  </si>
  <si>
    <t>0023</t>
  </si>
  <si>
    <t>Gneshar Sharma</t>
  </si>
  <si>
    <t>33305877787</t>
  </si>
  <si>
    <t>101101010024</t>
  </si>
  <si>
    <t>0024</t>
  </si>
  <si>
    <t>Rajeev Sharma</t>
  </si>
  <si>
    <t>23988100007240</t>
  </si>
  <si>
    <t>Bank Of Barada</t>
  </si>
  <si>
    <t>101101010025</t>
  </si>
  <si>
    <t>0025</t>
  </si>
  <si>
    <t xml:space="preserve">Pushpalata Devi </t>
  </si>
  <si>
    <t>536701010220447</t>
  </si>
  <si>
    <t xml:space="preserve">Union Bank Of India </t>
  </si>
  <si>
    <t>105400050002</t>
  </si>
  <si>
    <t>Sunita Kumari</t>
  </si>
  <si>
    <t>36377717342</t>
  </si>
  <si>
    <t>105400050003</t>
  </si>
  <si>
    <t>Mala Devi</t>
  </si>
  <si>
    <t>23980100005792</t>
  </si>
  <si>
    <t>105400050005</t>
  </si>
  <si>
    <t>Chandra kala Yadav</t>
  </si>
  <si>
    <t>35070110144025</t>
  </si>
  <si>
    <t>105400050006</t>
  </si>
  <si>
    <t>Gondi Devi</t>
  </si>
  <si>
    <t>23980100011552</t>
  </si>
  <si>
    <t>105400050010</t>
  </si>
  <si>
    <t>Tilki Devi</t>
  </si>
  <si>
    <t>582610110005661</t>
  </si>
  <si>
    <t>BKID0005826</t>
  </si>
  <si>
    <t xml:space="preserve">Bank Of India </t>
  </si>
  <si>
    <t>105400050015</t>
  </si>
  <si>
    <t xml:space="preserve">Asha Devi </t>
  </si>
  <si>
    <t>36905804362</t>
  </si>
  <si>
    <t>105400050020</t>
  </si>
  <si>
    <t>0020</t>
  </si>
  <si>
    <t>Abdhesh Kumar</t>
  </si>
  <si>
    <t>30394241976</t>
  </si>
  <si>
    <t>SBIN0002964</t>
  </si>
  <si>
    <t>105400050023</t>
  </si>
  <si>
    <t>Rinku Devi</t>
  </si>
  <si>
    <t>23980100020113</t>
  </si>
  <si>
    <t>105400050029</t>
  </si>
  <si>
    <t>20491667666</t>
  </si>
  <si>
    <t>SBIN0017440</t>
  </si>
  <si>
    <t>105400050037</t>
  </si>
  <si>
    <t>0037</t>
  </si>
  <si>
    <t>Sita Devi</t>
  </si>
  <si>
    <t>462418210005794</t>
  </si>
  <si>
    <t>BKID0004624</t>
  </si>
  <si>
    <t>Bank Of India</t>
  </si>
  <si>
    <t>105400050039</t>
  </si>
  <si>
    <t>Prmila Devi</t>
  </si>
  <si>
    <t>1266010000000366</t>
  </si>
  <si>
    <t>UTKS0001266</t>
  </si>
  <si>
    <t>UTKARSH SMALL FINANCE BANK</t>
  </si>
  <si>
    <t>105400080003</t>
  </si>
  <si>
    <t xml:space="preserve">Nitu Devi </t>
  </si>
  <si>
    <t>35110131054393</t>
  </si>
  <si>
    <t>105400080006</t>
  </si>
  <si>
    <t>Usha Devi</t>
  </si>
  <si>
    <t>35110131333417</t>
  </si>
  <si>
    <t>105400080008</t>
  </si>
  <si>
    <t>Paro Devi</t>
  </si>
  <si>
    <t>52880100008098</t>
  </si>
  <si>
    <t>BARB0HARPUR</t>
  </si>
  <si>
    <t>105400080010</t>
  </si>
  <si>
    <t>Tuna Kumari</t>
  </si>
  <si>
    <t>35110131318673</t>
  </si>
  <si>
    <t>105400080011</t>
  </si>
  <si>
    <t xml:space="preserve">Indu Devi </t>
  </si>
  <si>
    <t>52880100007466</t>
  </si>
  <si>
    <t>Bank Of Broda</t>
  </si>
  <si>
    <t>105400080015</t>
  </si>
  <si>
    <t>Amerika Devi</t>
  </si>
  <si>
    <t>52880100002270</t>
  </si>
  <si>
    <t>105400080023</t>
  </si>
  <si>
    <t>Priyanka Kumari</t>
  </si>
  <si>
    <t>52888100015773</t>
  </si>
  <si>
    <t>105400080034</t>
  </si>
  <si>
    <t>Rambabu Kumar</t>
  </si>
  <si>
    <t>007010142475</t>
  </si>
  <si>
    <t>IPOS0000001</t>
  </si>
  <si>
    <t xml:space="preserve">India Post Payment Bank </t>
  </si>
  <si>
    <t>105400080040</t>
  </si>
  <si>
    <t>0040</t>
  </si>
  <si>
    <t xml:space="preserve">Gayatri Devi </t>
  </si>
  <si>
    <t>35110131303832</t>
  </si>
  <si>
    <t>105400200003</t>
  </si>
  <si>
    <t>Geeta Kumari</t>
  </si>
  <si>
    <t>007010025794</t>
  </si>
  <si>
    <t xml:space="preserve">Indian Post Payment Bank </t>
  </si>
  <si>
    <t>105400200006</t>
  </si>
  <si>
    <t xml:space="preserve">Anita Devi </t>
  </si>
  <si>
    <t>52880100006535</t>
  </si>
  <si>
    <t>105400200014</t>
  </si>
  <si>
    <t>Sanjeeta Devi</t>
  </si>
  <si>
    <t>52880100006283</t>
  </si>
  <si>
    <t>105400200016</t>
  </si>
  <si>
    <t>Pinku Kumar</t>
  </si>
  <si>
    <t>60534968738</t>
  </si>
  <si>
    <t>MAHB0002029</t>
  </si>
  <si>
    <t xml:space="preserve">Bank Of Maharastra </t>
  </si>
  <si>
    <t>105400200017</t>
  </si>
  <si>
    <t>0017</t>
  </si>
  <si>
    <t>Naresh Singh</t>
  </si>
  <si>
    <t>007010029406</t>
  </si>
  <si>
    <t>105400200021</t>
  </si>
  <si>
    <t>52888100002380</t>
  </si>
  <si>
    <t>BANK OF Baroda</t>
  </si>
  <si>
    <t>105600170002</t>
  </si>
  <si>
    <t>Chatish Kumar</t>
  </si>
  <si>
    <t>38424123408</t>
  </si>
  <si>
    <t>105600170004</t>
  </si>
  <si>
    <t>Niranjan Kumar</t>
  </si>
  <si>
    <t>20140656810</t>
  </si>
  <si>
    <t>FINO0001012</t>
  </si>
  <si>
    <t xml:space="preserve">Fino Payment Bank </t>
  </si>
  <si>
    <t>105600170006</t>
  </si>
  <si>
    <t>Anirudh Singh</t>
  </si>
  <si>
    <t>31199262651</t>
  </si>
  <si>
    <t>SBIN0006015</t>
  </si>
  <si>
    <t>105600170007</t>
  </si>
  <si>
    <t>Pramod Singh</t>
  </si>
  <si>
    <t>35180131015819</t>
  </si>
  <si>
    <t>105600170008</t>
  </si>
  <si>
    <t>Sukumari Devi</t>
  </si>
  <si>
    <t>38304385734</t>
  </si>
  <si>
    <t>SBIN0017134</t>
  </si>
  <si>
    <t>105600170010</t>
  </si>
  <si>
    <t xml:space="preserve">Ranjeet Kumar </t>
  </si>
  <si>
    <t>30338562237</t>
  </si>
  <si>
    <t>SBIN0000114</t>
  </si>
  <si>
    <t>105600170012</t>
  </si>
  <si>
    <t>Hareram Singh</t>
  </si>
  <si>
    <t>35130100001219</t>
  </si>
  <si>
    <t>105600170013</t>
  </si>
  <si>
    <t>0013</t>
  </si>
  <si>
    <t xml:space="preserve">Lalita Devi </t>
  </si>
  <si>
    <t>35220131069067</t>
  </si>
  <si>
    <t>105600170014</t>
  </si>
  <si>
    <t>Ramvriksh Singh</t>
  </si>
  <si>
    <t>35220131066089</t>
  </si>
  <si>
    <t>105600170015</t>
  </si>
  <si>
    <t xml:space="preserve">Prakash Thakur </t>
  </si>
  <si>
    <t>3191985565</t>
  </si>
  <si>
    <t>CBIN0283921</t>
  </si>
  <si>
    <t>105600170016</t>
  </si>
  <si>
    <t>Ashok Thakur</t>
  </si>
  <si>
    <t>38856061195</t>
  </si>
  <si>
    <t>105600170017</t>
  </si>
  <si>
    <t>Saurav Kumar</t>
  </si>
  <si>
    <t>39302707622</t>
  </si>
  <si>
    <t>105600170023</t>
  </si>
  <si>
    <t>Surendra Singh</t>
  </si>
  <si>
    <t>32972335648</t>
  </si>
  <si>
    <t>105600170025</t>
  </si>
  <si>
    <t>Shyama Devi</t>
  </si>
  <si>
    <t>35180131008913</t>
  </si>
  <si>
    <t>105600170032</t>
  </si>
  <si>
    <t>Jay Jayram Singh</t>
  </si>
  <si>
    <t>676902010005077</t>
  </si>
  <si>
    <t>UBIN0567698</t>
  </si>
  <si>
    <t>105600170033</t>
  </si>
  <si>
    <t>Smila Devi</t>
  </si>
  <si>
    <t>39124354576</t>
  </si>
  <si>
    <t>105600170034</t>
  </si>
  <si>
    <t>Pushpa Devi</t>
  </si>
  <si>
    <t>38756269314</t>
  </si>
  <si>
    <t>105600170042</t>
  </si>
  <si>
    <t>0042</t>
  </si>
  <si>
    <t>Lalan Thakur</t>
  </si>
  <si>
    <t>008310151233</t>
  </si>
  <si>
    <t>India Post Payment Bank</t>
  </si>
  <si>
    <t>105600370002</t>
  </si>
  <si>
    <t xml:space="preserve">Dhirendra Kumar </t>
  </si>
  <si>
    <t>583210110001261</t>
  </si>
  <si>
    <t>BKID0005832</t>
  </si>
  <si>
    <t>105700190001</t>
  </si>
  <si>
    <t>105700190002</t>
  </si>
  <si>
    <t>Prity Milk Dairy</t>
  </si>
  <si>
    <t>5951408091</t>
  </si>
  <si>
    <t>CBIN0281795</t>
  </si>
  <si>
    <t>105700190003</t>
  </si>
  <si>
    <t>Sanjay Kumar</t>
  </si>
  <si>
    <t>3631778493</t>
  </si>
  <si>
    <t>105700190004</t>
  </si>
  <si>
    <t>105700190005</t>
  </si>
  <si>
    <t>105700190006</t>
  </si>
  <si>
    <t>105700190007</t>
  </si>
  <si>
    <t>Rajesh Kumar</t>
  </si>
  <si>
    <t>3608392951</t>
  </si>
  <si>
    <t>105700210001</t>
  </si>
  <si>
    <t>105700210002</t>
  </si>
  <si>
    <t>Rubi Kumari</t>
  </si>
  <si>
    <t>86410100014233</t>
  </si>
  <si>
    <t>BARB0DBSAMA</t>
  </si>
  <si>
    <t>105700210003</t>
  </si>
  <si>
    <t>Radhakant Prasad</t>
  </si>
  <si>
    <t>3965907678</t>
  </si>
  <si>
    <t>105700210004</t>
  </si>
  <si>
    <t>Sadhana Kumari</t>
  </si>
  <si>
    <t>3504000100554128</t>
  </si>
  <si>
    <t>PUNB0350400</t>
  </si>
  <si>
    <t>105700210006</t>
  </si>
  <si>
    <t>Prabhat Kumar</t>
  </si>
  <si>
    <t>3951258005</t>
  </si>
  <si>
    <t>105700210008</t>
  </si>
  <si>
    <t xml:space="preserve">Dinesh Kumar </t>
  </si>
  <si>
    <t>3194170682</t>
  </si>
  <si>
    <t>Central Bank Of India</t>
  </si>
  <si>
    <t>105700210012</t>
  </si>
  <si>
    <t>105700210013</t>
  </si>
  <si>
    <t>105700450002</t>
  </si>
  <si>
    <t>kapildev Mahto</t>
  </si>
  <si>
    <t>36413852826</t>
  </si>
  <si>
    <t>SBIN0008885</t>
  </si>
  <si>
    <t>105700450006</t>
  </si>
  <si>
    <t>Vikash Kumar</t>
  </si>
  <si>
    <t>4036193671</t>
  </si>
  <si>
    <t>CBIN0281865</t>
  </si>
  <si>
    <t>Centaral Bank Of India</t>
  </si>
  <si>
    <t>105700450012</t>
  </si>
  <si>
    <t xml:space="preserve">Sangita Devi </t>
  </si>
  <si>
    <t>4033476776</t>
  </si>
  <si>
    <t>105700450015</t>
  </si>
  <si>
    <t>35256545433</t>
  </si>
  <si>
    <t>SBIN0002921</t>
  </si>
  <si>
    <t>105700450021</t>
  </si>
  <si>
    <t xml:space="preserve">Usha devi </t>
  </si>
  <si>
    <t>009510072203</t>
  </si>
  <si>
    <t>105700450022</t>
  </si>
  <si>
    <t>0022</t>
  </si>
  <si>
    <t xml:space="preserve">Shobha Devi </t>
  </si>
  <si>
    <t>5613149008</t>
  </si>
  <si>
    <t>105700450023</t>
  </si>
  <si>
    <t xml:space="preserve">Sushila Devi </t>
  </si>
  <si>
    <t>4005704184</t>
  </si>
  <si>
    <t>105700450024</t>
  </si>
  <si>
    <t xml:space="preserve">Manju Devi </t>
  </si>
  <si>
    <t>36217878676</t>
  </si>
  <si>
    <t>SBIN0004580</t>
  </si>
  <si>
    <t>105700450025</t>
  </si>
  <si>
    <t xml:space="preserve">Puja Kumari Devi </t>
  </si>
  <si>
    <t>3809566487</t>
  </si>
  <si>
    <t>105700450029</t>
  </si>
  <si>
    <t xml:space="preserve">Khushboo Devi </t>
  </si>
  <si>
    <t>4026328976</t>
  </si>
  <si>
    <t>105700450031</t>
  </si>
  <si>
    <t>0031</t>
  </si>
  <si>
    <t>Lakshman kumar mahto</t>
  </si>
  <si>
    <t>4008403526</t>
  </si>
  <si>
    <t>105700470002</t>
  </si>
  <si>
    <t xml:space="preserve">Ram Kumari Devi </t>
  </si>
  <si>
    <t>39060100003200</t>
  </si>
  <si>
    <t xml:space="preserve">Bihar Gramin bank </t>
  </si>
  <si>
    <t>105700470003</t>
  </si>
  <si>
    <t xml:space="preserve">Ram Vinay Ray </t>
  </si>
  <si>
    <t>2385897631</t>
  </si>
  <si>
    <t>CBIN0282962</t>
  </si>
  <si>
    <t>105700470004</t>
  </si>
  <si>
    <t xml:space="preserve">Ganit Kumar Ray </t>
  </si>
  <si>
    <t>2385904300</t>
  </si>
  <si>
    <t>CBIN0281794</t>
  </si>
  <si>
    <t>105700470005</t>
  </si>
  <si>
    <t xml:space="preserve">Chandan Kumar </t>
  </si>
  <si>
    <t>3598886721</t>
  </si>
  <si>
    <t>105700470008</t>
  </si>
  <si>
    <t xml:space="preserve">Runa Devi </t>
  </si>
  <si>
    <t>3978257523</t>
  </si>
  <si>
    <t>105700470010</t>
  </si>
  <si>
    <t xml:space="preserve">Rajeev Kumar </t>
  </si>
  <si>
    <t>4001691510</t>
  </si>
  <si>
    <t>105700470011</t>
  </si>
  <si>
    <t>105700470012</t>
  </si>
  <si>
    <t>105700470013</t>
  </si>
  <si>
    <t>105700470014</t>
  </si>
  <si>
    <t>105700470016</t>
  </si>
  <si>
    <t xml:space="preserve">Ful Kumari Devi </t>
  </si>
  <si>
    <t>3363700076</t>
  </si>
  <si>
    <t>105700510002</t>
  </si>
  <si>
    <t>Ramshakhi Devi</t>
  </si>
  <si>
    <t>39730700042421</t>
  </si>
  <si>
    <t>105700510003</t>
  </si>
  <si>
    <t>Umesh Mahto</t>
  </si>
  <si>
    <t>133601001278</t>
  </si>
  <si>
    <t>ICIC0001336</t>
  </si>
  <si>
    <t xml:space="preserve">ICICI Bank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</si>
</sst>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_ * #,##0_ ;_ * \-#,##0_ ;_ * &quot;-&quot;??_ ;_ @_ "/>
    <numFmt numFmtId="165" formatCode="[$-409]mmm/yy;@"/>
    <numFmt numFmtId="166" formatCode="_ * #,##0.0_ ;_ * \-#,##0.0_ ;_ * &quot;-&quot;??_ ;_ @_ 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/>
        <bgColor theme="8"/>
      </patternFill>
    </fill>
    <fill>
      <patternFill patternType="solid">
        <fgColor rgb="FF00B050"/>
        <bgColor theme="8"/>
      </patternFill>
    </fill>
    <fill>
      <patternFill patternType="solid">
        <fgColor rgb="FF7030A0"/>
        <bgColor theme="8"/>
      </patternFill>
    </fill>
  </fills>
  <borders count="11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theme="4"/>
      </top>
      <bottom/>
      <diagonal/>
    </border>
    <border>
      <left style="thin">
        <color indexed="64"/>
      </left>
      <right style="thin">
        <color indexed="64"/>
      </right>
      <top style="thin">
        <color theme="4"/>
      </top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2" borderId="1" applyNumberFormat="0" applyFont="0" applyAlignment="0" applyProtection="0"/>
    <xf numFmtId="43" fontId="1" fillId="0" borderId="0" applyFont="0" applyFill="0" applyBorder="0" applyAlignment="0" applyProtection="0"/>
    <xf numFmtId="0" fontId="1" fillId="0" borderId="0"/>
  </cellStyleXfs>
  <cellXfs count="61">
    <xf numFmtId="0" fontId="0" fillId="0" borderId="0" xfId="0"/>
    <xf numFmtId="43" fontId="4" fillId="3" borderId="2" xfId="4" applyFont="1" applyFill="1" applyBorder="1" applyAlignment="1">
      <alignment horizontal="center" vertical="center" wrapText="1"/>
    </xf>
    <xf numFmtId="43" fontId="4" fillId="3" borderId="2" xfId="4" applyFont="1" applyFill="1" applyBorder="1" applyAlignment="1">
      <alignment horizontal="left" vertical="center" wrapText="1"/>
    </xf>
    <xf numFmtId="43" fontId="4" fillId="4" borderId="2" xfId="4" applyFont="1" applyFill="1" applyBorder="1" applyAlignment="1">
      <alignment horizontal="center" vertical="center" wrapText="1"/>
    </xf>
    <xf numFmtId="43" fontId="4" fillId="6" borderId="3" xfId="4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0" fillId="0" borderId="0" xfId="0" quotePrefix="1"/>
    <xf numFmtId="0" fontId="4" fillId="7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5" fillId="8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wrapText="1"/>
    </xf>
    <xf numFmtId="0" fontId="0" fillId="0" borderId="0" xfId="0" applyAlignment="1">
      <alignment wrapText="1"/>
    </xf>
    <xf numFmtId="0" fontId="0" fillId="0" borderId="4" xfId="0" applyBorder="1" applyAlignment="1">
      <alignment horizontal="center"/>
    </xf>
    <xf numFmtId="43" fontId="0" fillId="0" borderId="4" xfId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/>
    <xf numFmtId="0" fontId="0" fillId="0" borderId="4" xfId="0" applyBorder="1" applyAlignment="1">
      <alignment horizontal="center" vertical="center"/>
    </xf>
    <xf numFmtId="1" fontId="0" fillId="0" borderId="2" xfId="0" applyNumberFormat="1" applyBorder="1" applyAlignment="1">
      <alignment horizontal="center"/>
    </xf>
    <xf numFmtId="164" fontId="1" fillId="5" borderId="4" xfId="4" applyNumberFormat="1" applyFont="1" applyFill="1" applyBorder="1" applyAlignment="1">
      <alignment horizontal="center" vertical="center"/>
    </xf>
    <xf numFmtId="164" fontId="3" fillId="2" borderId="1" xfId="3" applyNumberFormat="1" applyFont="1" applyAlignment="1">
      <alignment horizontal="center"/>
    </xf>
    <xf numFmtId="0" fontId="0" fillId="0" borderId="2" xfId="0" quotePrefix="1" applyBorder="1" applyAlignment="1">
      <alignment horizontal="center"/>
    </xf>
    <xf numFmtId="0" fontId="0" fillId="0" borderId="2" xfId="0" quotePrefix="1" applyBorder="1"/>
    <xf numFmtId="0" fontId="0" fillId="0" borderId="5" xfId="0" applyBorder="1"/>
    <xf numFmtId="9" fontId="0" fillId="0" borderId="2" xfId="2" applyFont="1" applyBorder="1" applyAlignment="1">
      <alignment horizontal="center"/>
    </xf>
    <xf numFmtId="1" fontId="0" fillId="0" borderId="2" xfId="2" applyNumberFormat="1" applyFont="1" applyBorder="1" applyAlignment="1">
      <alignment horizontal="center"/>
    </xf>
    <xf numFmtId="164" fontId="0" fillId="0" borderId="2" xfId="1" applyNumberFormat="1" applyFont="1" applyBorder="1" applyAlignment="1">
      <alignment horizontal="center"/>
    </xf>
    <xf numFmtId="43" fontId="0" fillId="0" borderId="2" xfId="1" applyFont="1" applyBorder="1"/>
    <xf numFmtId="0" fontId="0" fillId="0" borderId="2" xfId="0" applyBorder="1"/>
    <xf numFmtId="43" fontId="0" fillId="0" borderId="2" xfId="1" applyFont="1" applyBorder="1" applyAlignment="1">
      <alignment horizontal="center"/>
    </xf>
    <xf numFmtId="43" fontId="0" fillId="8" borderId="2" xfId="1" applyFont="1" applyFill="1" applyBorder="1" applyAlignment="1">
      <alignment horizontal="center"/>
    </xf>
    <xf numFmtId="165" fontId="0" fillId="0" borderId="2" xfId="0" applyNumberFormat="1" applyBorder="1"/>
    <xf numFmtId="0" fontId="4" fillId="9" borderId="2" xfId="0" applyFont="1" applyFill="1" applyBorder="1" applyAlignment="1">
      <alignment horizontal="center"/>
    </xf>
    <xf numFmtId="0" fontId="4" fillId="9" borderId="2" xfId="0" applyFont="1" applyFill="1" applyBorder="1"/>
    <xf numFmtId="1" fontId="4" fillId="9" borderId="2" xfId="0" applyNumberFormat="1" applyFont="1" applyFill="1" applyBorder="1" applyAlignment="1">
      <alignment horizontal="center"/>
    </xf>
    <xf numFmtId="164" fontId="4" fillId="9" borderId="2" xfId="4" applyNumberFormat="1" applyFont="1" applyFill="1" applyBorder="1" applyAlignment="1">
      <alignment horizontal="center" vertical="center"/>
    </xf>
    <xf numFmtId="9" fontId="0" fillId="0" borderId="2" xfId="2" applyFont="1" applyBorder="1"/>
    <xf numFmtId="2" fontId="0" fillId="0" borderId="2" xfId="2" applyNumberFormat="1" applyFont="1" applyBorder="1"/>
    <xf numFmtId="164" fontId="0" fillId="0" borderId="2" xfId="1" applyNumberFormat="1" applyFont="1" applyBorder="1"/>
    <xf numFmtId="0" fontId="2" fillId="10" borderId="6" xfId="5" applyFont="1" applyFill="1" applyBorder="1" applyAlignment="1">
      <alignment horizontal="center" vertical="center" wrapText="1"/>
    </xf>
    <xf numFmtId="0" fontId="2" fillId="11" borderId="6" xfId="5" applyFont="1" applyFill="1" applyBorder="1" applyAlignment="1">
      <alignment horizontal="center" vertical="center" wrapText="1"/>
    </xf>
    <xf numFmtId="49" fontId="2" fillId="11" borderId="6" xfId="5" applyNumberFormat="1" applyFont="1" applyFill="1" applyBorder="1" applyAlignment="1">
      <alignment horizontal="center" vertical="center" wrapText="1"/>
    </xf>
    <xf numFmtId="43" fontId="2" fillId="11" borderId="6" xfId="1" applyFont="1" applyFill="1" applyBorder="1" applyAlignment="1">
      <alignment horizontal="center" vertical="center" wrapText="1"/>
    </xf>
    <xf numFmtId="49" fontId="2" fillId="10" borderId="6" xfId="5" applyNumberFormat="1" applyFont="1" applyFill="1" applyBorder="1" applyAlignment="1">
      <alignment horizontal="center" vertical="center" wrapText="1"/>
    </xf>
    <xf numFmtId="0" fontId="2" fillId="10" borderId="6" xfId="5" applyFont="1" applyFill="1" applyBorder="1" applyAlignment="1">
      <alignment horizontal="left" vertical="center" wrapText="1"/>
    </xf>
    <xf numFmtId="0" fontId="2" fillId="12" borderId="6" xfId="5" applyFont="1" applyFill="1" applyBorder="1" applyAlignment="1">
      <alignment horizontal="center" vertical="center" wrapText="1"/>
    </xf>
    <xf numFmtId="0" fontId="2" fillId="12" borderId="7" xfId="5" applyFont="1" applyFill="1" applyBorder="1" applyAlignment="1">
      <alignment horizontal="center" vertical="center" wrapText="1"/>
    </xf>
    <xf numFmtId="0" fontId="2" fillId="12" borderId="8" xfId="5" applyFont="1" applyFill="1" applyBorder="1" applyAlignment="1">
      <alignment horizontal="center" vertical="center" wrapText="1"/>
    </xf>
    <xf numFmtId="0" fontId="2" fillId="0" borderId="3" xfId="5" applyFont="1" applyBorder="1" applyAlignment="1">
      <alignment horizontal="center" vertical="center" wrapText="1"/>
    </xf>
    <xf numFmtId="0" fontId="2" fillId="12" borderId="3" xfId="5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164" fontId="0" fillId="0" borderId="0" xfId="1" applyNumberFormat="1" applyFont="1" applyAlignment="1">
      <alignment horizontal="center"/>
    </xf>
    <xf numFmtId="164" fontId="0" fillId="0" borderId="0" xfId="1" applyNumberFormat="1" applyFont="1" applyAlignment="1">
      <alignment horizontal="right"/>
    </xf>
    <xf numFmtId="166" fontId="0" fillId="0" borderId="0" xfId="1" applyNumberFormat="1" applyFont="1" applyAlignment="1">
      <alignment horizontal="center"/>
    </xf>
    <xf numFmtId="43" fontId="0" fillId="0" borderId="0" xfId="1" applyFont="1"/>
    <xf numFmtId="164" fontId="0" fillId="0" borderId="0" xfId="1" applyNumberFormat="1" applyFont="1"/>
    <xf numFmtId="0" fontId="0" fillId="0" borderId="9" xfId="0" applyBorder="1"/>
    <xf numFmtId="0" fontId="0" fillId="0" borderId="9" xfId="0" applyBorder="1" applyAlignment="1">
      <alignment horizontal="center"/>
    </xf>
    <xf numFmtId="164" fontId="0" fillId="0" borderId="9" xfId="1" applyNumberFormat="1" applyFont="1" applyBorder="1" applyAlignment="1">
      <alignment horizontal="center"/>
    </xf>
    <xf numFmtId="166" fontId="0" fillId="0" borderId="9" xfId="1" applyNumberFormat="1" applyFont="1" applyBorder="1" applyAlignment="1">
      <alignment horizontal="center"/>
    </xf>
    <xf numFmtId="0" fontId="0" fillId="0" borderId="10" xfId="0" applyBorder="1"/>
    <xf numFmtId="166" fontId="0" fillId="0" borderId="10" xfId="0" applyNumberFormat="1" applyBorder="1"/>
  </cellXfs>
  <cellStyles count="6">
    <cellStyle name="Comma" xfId="1" builtinId="3"/>
    <cellStyle name="Comma 2" xfId="4" xr:uid="{BBAED163-A173-47B2-B370-F50B6FE11F3A}"/>
    <cellStyle name="Normal" xfId="0" builtinId="0"/>
    <cellStyle name="Normal 2" xfId="5" xr:uid="{05ABC498-F05F-49E5-B278-28D6366B7692}"/>
    <cellStyle name="Note" xfId="3" builtinId="10"/>
    <cellStyle name="Percent" xfId="2" builtinId="5"/>
  </cellStyles>
  <dxfs count="1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A67D3-5C5A-4E75-9032-638ED28A96D0}">
  <dimension ref="A1:AC16"/>
  <sheetViews>
    <sheetView tabSelected="1" workbookViewId="0">
      <selection activeCell="P30" sqref="P30"/>
    </sheetView>
  </sheetViews>
  <sheetFormatPr defaultRowHeight="15" x14ac:dyDescent="0.25"/>
  <cols>
    <col min="1" max="1" width="5.85546875" bestFit="1" customWidth="1"/>
    <col min="2" max="2" width="14.5703125" bestFit="1" customWidth="1"/>
    <col min="3" max="3" width="9" bestFit="1" customWidth="1"/>
    <col min="4" max="4" width="21.5703125" bestFit="1" customWidth="1"/>
    <col min="5" max="5" width="6" bestFit="1" customWidth="1"/>
    <col min="6" max="6" width="8.85546875" bestFit="1" customWidth="1"/>
    <col min="7" max="7" width="7.85546875" bestFit="1" customWidth="1"/>
    <col min="8" max="8" width="8" bestFit="1" customWidth="1"/>
    <col min="9" max="9" width="11.5703125" bestFit="1" customWidth="1"/>
    <col min="10" max="10" width="14.140625" bestFit="1" customWidth="1"/>
    <col min="11" max="11" width="11.5703125" bestFit="1" customWidth="1"/>
    <col min="12" max="12" width="9.85546875" bestFit="1" customWidth="1"/>
    <col min="13" max="13" width="16.85546875" bestFit="1" customWidth="1"/>
    <col min="14" max="14" width="12.140625" bestFit="1" customWidth="1"/>
    <col min="17" max="17" width="7.5703125" bestFit="1" customWidth="1"/>
    <col min="18" max="20" width="10" bestFit="1" customWidth="1"/>
    <col min="21" max="21" width="5.85546875" bestFit="1" customWidth="1"/>
    <col min="22" max="22" width="9.42578125" bestFit="1" customWidth="1"/>
    <col min="23" max="24" width="7.7109375" bestFit="1" customWidth="1"/>
    <col min="25" max="25" width="7.42578125" bestFit="1" customWidth="1"/>
    <col min="26" max="26" width="8.42578125" bestFit="1" customWidth="1"/>
    <col min="27" max="27" width="8.28515625" bestFit="1" customWidth="1"/>
    <col min="28" max="28" width="8.7109375" bestFit="1" customWidth="1"/>
    <col min="29" max="29" width="8.5703125" bestFit="1" customWidth="1"/>
  </cols>
  <sheetData>
    <row r="1" spans="1:29" s="11" customFormat="1" ht="40.5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11</v>
      </c>
      <c r="J1" s="1" t="s">
        <v>12</v>
      </c>
      <c r="K1" s="1" t="s">
        <v>13</v>
      </c>
      <c r="L1" s="4" t="s">
        <v>14</v>
      </c>
      <c r="M1" s="5" t="s">
        <v>15</v>
      </c>
      <c r="N1" s="5" t="s">
        <v>16</v>
      </c>
      <c r="O1" s="6"/>
      <c r="P1" s="7" t="s">
        <v>17</v>
      </c>
      <c r="Q1" s="7" t="s">
        <v>18</v>
      </c>
      <c r="R1" s="7" t="s">
        <v>19</v>
      </c>
      <c r="S1" s="7" t="s">
        <v>20</v>
      </c>
      <c r="T1" s="7" t="s">
        <v>21</v>
      </c>
      <c r="U1" s="8" t="s">
        <v>22</v>
      </c>
      <c r="V1" s="8" t="s">
        <v>23</v>
      </c>
      <c r="W1" s="8" t="s">
        <v>24</v>
      </c>
      <c r="X1" s="8" t="s">
        <v>25</v>
      </c>
      <c r="Y1" s="8" t="s">
        <v>26</v>
      </c>
      <c r="Z1" s="8" t="s">
        <v>27</v>
      </c>
      <c r="AA1" s="8" t="s">
        <v>28</v>
      </c>
      <c r="AB1" s="9" t="s">
        <v>29</v>
      </c>
      <c r="AC1" s="10" t="s">
        <v>30</v>
      </c>
    </row>
    <row r="2" spans="1:29" x14ac:dyDescent="0.25">
      <c r="A2" s="12">
        <v>1059</v>
      </c>
      <c r="B2" s="13" t="s">
        <v>31</v>
      </c>
      <c r="C2" s="14">
        <v>10060074</v>
      </c>
      <c r="D2" s="15" t="s">
        <v>32</v>
      </c>
      <c r="E2" s="16" t="s">
        <v>33</v>
      </c>
      <c r="F2" s="16" t="s">
        <v>34</v>
      </c>
      <c r="G2" s="17">
        <v>322.40000000000003</v>
      </c>
      <c r="H2" s="17">
        <v>14315.970000000001</v>
      </c>
      <c r="I2" s="18">
        <v>11030</v>
      </c>
      <c r="J2" s="18">
        <v>0</v>
      </c>
      <c r="K2" s="18">
        <v>0</v>
      </c>
      <c r="L2" s="19" t="s">
        <v>35</v>
      </c>
      <c r="M2" s="20" t="s">
        <v>36</v>
      </c>
      <c r="N2" s="21" t="s">
        <v>37</v>
      </c>
      <c r="O2" s="22"/>
      <c r="P2" s="23">
        <v>-3.3483991830415553E-2</v>
      </c>
      <c r="Q2" s="24">
        <v>11</v>
      </c>
      <c r="R2" s="25">
        <v>42200</v>
      </c>
      <c r="S2" s="25">
        <v>3026</v>
      </c>
      <c r="T2" s="26">
        <v>39174</v>
      </c>
      <c r="U2" s="27"/>
      <c r="V2" s="25">
        <v>0</v>
      </c>
      <c r="W2" s="25">
        <v>0</v>
      </c>
      <c r="X2" s="28">
        <v>0</v>
      </c>
      <c r="Y2" s="29">
        <v>0</v>
      </c>
      <c r="Z2" s="28">
        <v>0</v>
      </c>
      <c r="AA2" s="26">
        <v>0</v>
      </c>
      <c r="AB2" s="26">
        <v>0</v>
      </c>
      <c r="AC2" s="30">
        <v>46203</v>
      </c>
    </row>
    <row r="3" spans="1:29" x14ac:dyDescent="0.25">
      <c r="A3" s="12">
        <v>1006</v>
      </c>
      <c r="B3" s="13" t="s">
        <v>38</v>
      </c>
      <c r="C3" s="14">
        <v>10060130</v>
      </c>
      <c r="D3" s="15" t="s">
        <v>39</v>
      </c>
      <c r="E3" s="16" t="s">
        <v>33</v>
      </c>
      <c r="F3" s="16" t="s">
        <v>34</v>
      </c>
      <c r="G3" s="17">
        <v>1396.9000000000003</v>
      </c>
      <c r="H3" s="17">
        <v>63544.439999999988</v>
      </c>
      <c r="I3" s="18">
        <v>40334</v>
      </c>
      <c r="J3" s="18">
        <v>16710</v>
      </c>
      <c r="K3" s="18">
        <v>0</v>
      </c>
      <c r="L3" s="19" t="s">
        <v>35</v>
      </c>
      <c r="M3" s="20" t="s">
        <v>36</v>
      </c>
      <c r="N3" s="21" t="s">
        <v>37</v>
      </c>
      <c r="O3" s="22"/>
      <c r="P3" s="23">
        <v>-6.9732278997693797E-2</v>
      </c>
      <c r="Q3" s="24">
        <v>19</v>
      </c>
      <c r="R3" s="25">
        <v>6500</v>
      </c>
      <c r="S3" s="25">
        <v>6500</v>
      </c>
      <c r="T3" s="26">
        <v>0</v>
      </c>
      <c r="U3" s="27"/>
      <c r="V3" s="25">
        <v>0</v>
      </c>
      <c r="W3" s="25">
        <v>0</v>
      </c>
      <c r="X3" s="28">
        <v>0</v>
      </c>
      <c r="Y3" s="29">
        <v>0</v>
      </c>
      <c r="Z3" s="28">
        <v>0</v>
      </c>
      <c r="AA3" s="26">
        <v>0</v>
      </c>
      <c r="AB3" s="26">
        <v>0</v>
      </c>
      <c r="AC3" s="30">
        <v>46203</v>
      </c>
    </row>
    <row r="4" spans="1:29" x14ac:dyDescent="0.25">
      <c r="A4" s="12">
        <v>1056</v>
      </c>
      <c r="B4" s="13" t="s">
        <v>40</v>
      </c>
      <c r="C4" s="14">
        <v>10070046</v>
      </c>
      <c r="D4" s="15" t="s">
        <v>41</v>
      </c>
      <c r="E4" s="16" t="s">
        <v>33</v>
      </c>
      <c r="F4" s="16" t="s">
        <v>34</v>
      </c>
      <c r="G4" s="17">
        <v>2314.84</v>
      </c>
      <c r="H4" s="17">
        <v>91156.099999999991</v>
      </c>
      <c r="I4" s="18">
        <v>90494</v>
      </c>
      <c r="J4" s="18">
        <v>0</v>
      </c>
      <c r="K4" s="18">
        <v>0</v>
      </c>
      <c r="L4" s="19" t="s">
        <v>35</v>
      </c>
      <c r="M4" s="20" t="s">
        <v>36</v>
      </c>
      <c r="N4" s="21" t="s">
        <v>37</v>
      </c>
      <c r="O4" s="22"/>
      <c r="P4" s="23">
        <v>-3.1515365662374999E-2</v>
      </c>
      <c r="Q4" s="24">
        <v>7</v>
      </c>
      <c r="R4" s="25">
        <v>463</v>
      </c>
      <c r="S4" s="25">
        <v>463</v>
      </c>
      <c r="T4" s="26">
        <v>0</v>
      </c>
      <c r="U4" s="27"/>
      <c r="V4" s="25">
        <v>0</v>
      </c>
      <c r="W4" s="25">
        <v>0</v>
      </c>
      <c r="X4" s="28">
        <v>0</v>
      </c>
      <c r="Y4" s="29">
        <v>0</v>
      </c>
      <c r="Z4" s="28">
        <v>0</v>
      </c>
      <c r="AA4" s="26">
        <v>0</v>
      </c>
      <c r="AB4" s="26">
        <v>0</v>
      </c>
      <c r="AC4" s="30">
        <v>46203</v>
      </c>
    </row>
    <row r="5" spans="1:29" x14ac:dyDescent="0.25">
      <c r="A5" s="12">
        <v>1054</v>
      </c>
      <c r="B5" s="13" t="s">
        <v>42</v>
      </c>
      <c r="C5" s="14">
        <v>10110101</v>
      </c>
      <c r="D5" s="15" t="s">
        <v>43</v>
      </c>
      <c r="E5" s="16" t="s">
        <v>33</v>
      </c>
      <c r="F5" s="16" t="s">
        <v>34</v>
      </c>
      <c r="G5" s="17">
        <v>208.7</v>
      </c>
      <c r="H5" s="17">
        <v>9253.09</v>
      </c>
      <c r="I5" s="18">
        <v>9253</v>
      </c>
      <c r="J5" s="18">
        <v>0</v>
      </c>
      <c r="K5" s="18">
        <v>0</v>
      </c>
      <c r="L5" s="19" t="s">
        <v>35</v>
      </c>
      <c r="M5" s="20" t="s">
        <v>44</v>
      </c>
      <c r="N5" s="21" t="s">
        <v>37</v>
      </c>
      <c r="O5" s="22"/>
      <c r="P5" s="23">
        <v>-6.1457044477635017E-2</v>
      </c>
      <c r="Q5" s="24">
        <v>10</v>
      </c>
      <c r="R5" s="25">
        <v>0</v>
      </c>
      <c r="S5" s="25">
        <v>0</v>
      </c>
      <c r="T5" s="26">
        <v>0</v>
      </c>
      <c r="U5" s="27"/>
      <c r="V5" s="25">
        <v>0</v>
      </c>
      <c r="W5" s="25">
        <v>0</v>
      </c>
      <c r="X5" s="28">
        <v>0</v>
      </c>
      <c r="Y5" s="29">
        <v>0</v>
      </c>
      <c r="Z5" s="28">
        <v>0</v>
      </c>
      <c r="AA5" s="26">
        <v>0</v>
      </c>
      <c r="AB5" s="26">
        <v>0</v>
      </c>
      <c r="AC5" s="30">
        <v>46203</v>
      </c>
    </row>
    <row r="6" spans="1:29" x14ac:dyDescent="0.25">
      <c r="A6" s="12">
        <v>1054</v>
      </c>
      <c r="B6" s="13" t="s">
        <v>42</v>
      </c>
      <c r="C6" s="14">
        <v>10540005</v>
      </c>
      <c r="D6" s="15" t="s">
        <v>45</v>
      </c>
      <c r="E6" s="16" t="s">
        <v>33</v>
      </c>
      <c r="F6" s="16" t="s">
        <v>34</v>
      </c>
      <c r="G6" s="17">
        <v>255.70000000000005</v>
      </c>
      <c r="H6" s="17">
        <v>10866.329999999998</v>
      </c>
      <c r="I6" s="18">
        <v>10142</v>
      </c>
      <c r="J6" s="18">
        <v>0</v>
      </c>
      <c r="K6" s="18">
        <v>0</v>
      </c>
      <c r="L6" s="19" t="s">
        <v>35</v>
      </c>
      <c r="M6" s="20" t="s">
        <v>44</v>
      </c>
      <c r="N6" s="21" t="s">
        <v>37</v>
      </c>
      <c r="O6" s="22"/>
      <c r="P6" s="23">
        <v>-5.7164693199266405E-2</v>
      </c>
      <c r="Q6" s="24">
        <v>11</v>
      </c>
      <c r="R6" s="25">
        <v>0</v>
      </c>
      <c r="S6" s="25">
        <v>0</v>
      </c>
      <c r="T6" s="26">
        <v>0</v>
      </c>
      <c r="U6" s="27"/>
      <c r="V6" s="25">
        <v>0</v>
      </c>
      <c r="W6" s="25">
        <v>0</v>
      </c>
      <c r="X6" s="28">
        <v>0</v>
      </c>
      <c r="Y6" s="29">
        <v>0</v>
      </c>
      <c r="Z6" s="28">
        <v>0</v>
      </c>
      <c r="AA6" s="26">
        <v>0</v>
      </c>
      <c r="AB6" s="26">
        <v>0</v>
      </c>
      <c r="AC6" s="30">
        <v>46203</v>
      </c>
    </row>
    <row r="7" spans="1:29" x14ac:dyDescent="0.25">
      <c r="A7" s="12">
        <v>1054</v>
      </c>
      <c r="B7" s="13" t="s">
        <v>42</v>
      </c>
      <c r="C7" s="14">
        <v>10540008</v>
      </c>
      <c r="D7" s="15" t="s">
        <v>46</v>
      </c>
      <c r="E7" s="16" t="s">
        <v>33</v>
      </c>
      <c r="F7" s="16" t="s">
        <v>34</v>
      </c>
      <c r="G7" s="17">
        <v>207.99999999999997</v>
      </c>
      <c r="H7" s="17">
        <v>9655.19</v>
      </c>
      <c r="I7" s="18">
        <v>7049</v>
      </c>
      <c r="J7" s="18">
        <v>0</v>
      </c>
      <c r="K7" s="18">
        <v>0</v>
      </c>
      <c r="L7" s="19" t="s">
        <v>35</v>
      </c>
      <c r="M7" s="20" t="s">
        <v>44</v>
      </c>
      <c r="N7" s="21" t="s">
        <v>37</v>
      </c>
      <c r="O7" s="22"/>
      <c r="P7" s="23">
        <v>-0.11759433063216776</v>
      </c>
      <c r="Q7" s="24">
        <v>9</v>
      </c>
      <c r="R7" s="25">
        <v>0</v>
      </c>
      <c r="S7" s="25">
        <v>0</v>
      </c>
      <c r="T7" s="26">
        <v>0</v>
      </c>
      <c r="U7" s="27"/>
      <c r="V7" s="25">
        <v>500</v>
      </c>
      <c r="W7" s="25">
        <v>0</v>
      </c>
      <c r="X7" s="28">
        <v>0</v>
      </c>
      <c r="Y7" s="29">
        <v>500</v>
      </c>
      <c r="Z7" s="28">
        <v>500</v>
      </c>
      <c r="AA7" s="26">
        <v>0</v>
      </c>
      <c r="AB7" s="26">
        <v>0</v>
      </c>
      <c r="AC7" s="30">
        <v>46203</v>
      </c>
    </row>
    <row r="8" spans="1:29" x14ac:dyDescent="0.25">
      <c r="A8" s="12">
        <v>1054</v>
      </c>
      <c r="B8" s="13" t="s">
        <v>42</v>
      </c>
      <c r="C8" s="14">
        <v>10540020</v>
      </c>
      <c r="D8" s="15" t="s">
        <v>47</v>
      </c>
      <c r="E8" s="16" t="s">
        <v>33</v>
      </c>
      <c r="F8" s="16" t="s">
        <v>34</v>
      </c>
      <c r="G8" s="17">
        <v>107.2</v>
      </c>
      <c r="H8" s="17">
        <v>4394.2199999999993</v>
      </c>
      <c r="I8" s="18">
        <v>3894</v>
      </c>
      <c r="J8" s="18">
        <v>0</v>
      </c>
      <c r="K8" s="18">
        <v>0</v>
      </c>
      <c r="L8" s="19" t="s">
        <v>35</v>
      </c>
      <c r="M8" s="20" t="s">
        <v>44</v>
      </c>
      <c r="N8" s="21" t="s">
        <v>37</v>
      </c>
      <c r="O8" s="22"/>
      <c r="P8" s="23">
        <v>-3.2169332954348442E-2</v>
      </c>
      <c r="Q8" s="24">
        <v>6</v>
      </c>
      <c r="R8" s="25">
        <v>0</v>
      </c>
      <c r="S8" s="25">
        <v>0</v>
      </c>
      <c r="T8" s="26">
        <v>0</v>
      </c>
      <c r="U8" s="27"/>
      <c r="V8" s="25">
        <v>500</v>
      </c>
      <c r="W8" s="25">
        <v>0</v>
      </c>
      <c r="X8" s="28">
        <v>0</v>
      </c>
      <c r="Y8" s="29">
        <v>500</v>
      </c>
      <c r="Z8" s="28">
        <v>500</v>
      </c>
      <c r="AA8" s="26">
        <v>0</v>
      </c>
      <c r="AB8" s="26">
        <v>0</v>
      </c>
      <c r="AC8" s="30">
        <v>46203</v>
      </c>
    </row>
    <row r="9" spans="1:29" x14ac:dyDescent="0.25">
      <c r="A9" s="12">
        <v>1056</v>
      </c>
      <c r="B9" s="13" t="s">
        <v>40</v>
      </c>
      <c r="C9" s="14">
        <v>10560017</v>
      </c>
      <c r="D9" s="15" t="s">
        <v>48</v>
      </c>
      <c r="E9" s="16" t="s">
        <v>33</v>
      </c>
      <c r="F9" s="16" t="s">
        <v>34</v>
      </c>
      <c r="G9" s="17">
        <v>754.64</v>
      </c>
      <c r="H9" s="17">
        <v>30284.479999999996</v>
      </c>
      <c r="I9" s="18">
        <v>25878</v>
      </c>
      <c r="J9" s="18">
        <v>0</v>
      </c>
      <c r="K9" s="18">
        <v>0</v>
      </c>
      <c r="L9" s="19" t="s">
        <v>35</v>
      </c>
      <c r="M9" s="20" t="s">
        <v>36</v>
      </c>
      <c r="N9" s="21" t="s">
        <v>37</v>
      </c>
      <c r="O9" s="22"/>
      <c r="P9" s="23">
        <v>6.4394145702172893E-3</v>
      </c>
      <c r="Q9" s="24">
        <v>18</v>
      </c>
      <c r="R9" s="25">
        <v>13000</v>
      </c>
      <c r="S9" s="25">
        <v>4211</v>
      </c>
      <c r="T9" s="26">
        <v>8789</v>
      </c>
      <c r="U9" s="27"/>
      <c r="V9" s="25">
        <v>0</v>
      </c>
      <c r="W9" s="25">
        <v>0</v>
      </c>
      <c r="X9" s="28">
        <v>0</v>
      </c>
      <c r="Y9" s="29">
        <v>0</v>
      </c>
      <c r="Z9" s="28">
        <v>0</v>
      </c>
      <c r="AA9" s="26">
        <v>0</v>
      </c>
      <c r="AB9" s="26">
        <v>0</v>
      </c>
      <c r="AC9" s="30">
        <v>46203</v>
      </c>
    </row>
    <row r="10" spans="1:29" x14ac:dyDescent="0.25">
      <c r="A10" s="12">
        <v>1056</v>
      </c>
      <c r="B10" s="13" t="s">
        <v>40</v>
      </c>
      <c r="C10" s="14">
        <v>10560037</v>
      </c>
      <c r="D10" s="15" t="s">
        <v>49</v>
      </c>
      <c r="E10" s="16" t="s">
        <v>33</v>
      </c>
      <c r="F10" s="16" t="s">
        <v>34</v>
      </c>
      <c r="G10" s="17">
        <v>389.31999999999994</v>
      </c>
      <c r="H10" s="17">
        <v>15341.220000000001</v>
      </c>
      <c r="I10" s="18">
        <v>8591</v>
      </c>
      <c r="J10" s="18">
        <v>0</v>
      </c>
      <c r="K10" s="18">
        <v>0</v>
      </c>
      <c r="L10" s="19" t="s">
        <v>35</v>
      </c>
      <c r="M10" s="20" t="s">
        <v>36</v>
      </c>
      <c r="N10" s="21" t="s">
        <v>37</v>
      </c>
      <c r="O10" s="22"/>
      <c r="P10" s="23">
        <v>-6.3430970756703092E-2</v>
      </c>
      <c r="Q10" s="24">
        <v>1</v>
      </c>
      <c r="R10" s="25">
        <v>6750</v>
      </c>
      <c r="S10" s="25">
        <v>6750</v>
      </c>
      <c r="T10" s="26">
        <v>0</v>
      </c>
      <c r="U10" s="27"/>
      <c r="V10" s="25">
        <v>0</v>
      </c>
      <c r="W10" s="25">
        <v>0</v>
      </c>
      <c r="X10" s="28">
        <v>0</v>
      </c>
      <c r="Y10" s="29">
        <v>0</v>
      </c>
      <c r="Z10" s="28">
        <v>0</v>
      </c>
      <c r="AA10" s="26">
        <v>0</v>
      </c>
      <c r="AB10" s="26">
        <v>0</v>
      </c>
      <c r="AC10" s="30">
        <v>46203</v>
      </c>
    </row>
    <row r="11" spans="1:29" x14ac:dyDescent="0.25">
      <c r="A11" s="12">
        <v>1057</v>
      </c>
      <c r="B11" s="13" t="s">
        <v>50</v>
      </c>
      <c r="C11" s="14">
        <v>10570019</v>
      </c>
      <c r="D11" s="15" t="s">
        <v>51</v>
      </c>
      <c r="E11" s="16" t="s">
        <v>33</v>
      </c>
      <c r="F11" s="16" t="s">
        <v>34</v>
      </c>
      <c r="G11" s="17">
        <v>629.99999999999989</v>
      </c>
      <c r="H11" s="17">
        <v>27248.819999999992</v>
      </c>
      <c r="I11" s="18">
        <v>9273</v>
      </c>
      <c r="J11" s="18">
        <v>13176</v>
      </c>
      <c r="K11" s="18">
        <v>0</v>
      </c>
      <c r="L11" s="19" t="s">
        <v>35</v>
      </c>
      <c r="M11" s="20" t="s">
        <v>36</v>
      </c>
      <c r="N11" s="21" t="s">
        <v>37</v>
      </c>
      <c r="O11" s="22"/>
      <c r="P11" s="23">
        <v>1.1055723792682248E-2</v>
      </c>
      <c r="Q11" s="24">
        <v>7</v>
      </c>
      <c r="R11" s="25">
        <v>2950</v>
      </c>
      <c r="S11" s="25">
        <v>4350</v>
      </c>
      <c r="T11" s="26">
        <v>-1400</v>
      </c>
      <c r="U11" s="27"/>
      <c r="V11" s="25">
        <v>0</v>
      </c>
      <c r="W11" s="25">
        <v>0</v>
      </c>
      <c r="X11" s="28">
        <v>0</v>
      </c>
      <c r="Y11" s="29">
        <v>0</v>
      </c>
      <c r="Z11" s="28">
        <v>0</v>
      </c>
      <c r="AA11" s="26">
        <v>0</v>
      </c>
      <c r="AB11" s="26">
        <v>0</v>
      </c>
      <c r="AC11" s="30">
        <v>46203</v>
      </c>
    </row>
    <row r="12" spans="1:29" x14ac:dyDescent="0.25">
      <c r="A12" s="12">
        <v>1057</v>
      </c>
      <c r="B12" s="13" t="s">
        <v>50</v>
      </c>
      <c r="C12" s="14">
        <v>10570021</v>
      </c>
      <c r="D12" s="15" t="s">
        <v>52</v>
      </c>
      <c r="E12" s="16" t="s">
        <v>33</v>
      </c>
      <c r="F12" s="16" t="s">
        <v>34</v>
      </c>
      <c r="G12" s="17">
        <v>642.5</v>
      </c>
      <c r="H12" s="17">
        <v>24659.9</v>
      </c>
      <c r="I12" s="18">
        <v>18545</v>
      </c>
      <c r="J12" s="18">
        <v>3313</v>
      </c>
      <c r="K12" s="18">
        <v>0</v>
      </c>
      <c r="L12" s="19" t="s">
        <v>35</v>
      </c>
      <c r="M12" s="20" t="s">
        <v>36</v>
      </c>
      <c r="N12" s="21" t="s">
        <v>37</v>
      </c>
      <c r="O12" s="22"/>
      <c r="P12" s="23">
        <v>-2.1886576947469212E-2</v>
      </c>
      <c r="Q12" s="24">
        <v>8</v>
      </c>
      <c r="R12" s="25">
        <v>2754</v>
      </c>
      <c r="S12" s="25">
        <v>2754</v>
      </c>
      <c r="T12" s="26">
        <v>0</v>
      </c>
      <c r="U12" s="27"/>
      <c r="V12" s="25">
        <v>0</v>
      </c>
      <c r="W12" s="25">
        <v>0</v>
      </c>
      <c r="X12" s="28">
        <v>0</v>
      </c>
      <c r="Y12" s="29">
        <v>0</v>
      </c>
      <c r="Z12" s="28">
        <v>0</v>
      </c>
      <c r="AA12" s="26">
        <v>0</v>
      </c>
      <c r="AB12" s="26">
        <v>0</v>
      </c>
      <c r="AC12" s="30">
        <v>46203</v>
      </c>
    </row>
    <row r="13" spans="1:29" x14ac:dyDescent="0.25">
      <c r="A13" s="12">
        <v>1057</v>
      </c>
      <c r="B13" s="13" t="s">
        <v>50</v>
      </c>
      <c r="C13" s="14">
        <v>10570045</v>
      </c>
      <c r="D13" s="15" t="s">
        <v>53</v>
      </c>
      <c r="E13" s="16" t="s">
        <v>33</v>
      </c>
      <c r="F13" s="16" t="s">
        <v>34</v>
      </c>
      <c r="G13" s="17">
        <v>1053.2</v>
      </c>
      <c r="H13" s="17">
        <v>42337.189999999995</v>
      </c>
      <c r="I13" s="18">
        <v>36607</v>
      </c>
      <c r="J13" s="18">
        <v>0</v>
      </c>
      <c r="K13" s="18">
        <v>0</v>
      </c>
      <c r="L13" s="19" t="s">
        <v>35</v>
      </c>
      <c r="M13" s="20" t="s">
        <v>36</v>
      </c>
      <c r="N13" s="21" t="s">
        <v>37</v>
      </c>
      <c r="O13" s="22"/>
      <c r="P13" s="23">
        <v>1.8787080593486696E-3</v>
      </c>
      <c r="Q13" s="24">
        <v>11</v>
      </c>
      <c r="R13" s="25">
        <v>5650</v>
      </c>
      <c r="S13" s="25">
        <v>5650</v>
      </c>
      <c r="T13" s="26">
        <v>0</v>
      </c>
      <c r="U13" s="27"/>
      <c r="V13" s="25">
        <v>0</v>
      </c>
      <c r="W13" s="25">
        <v>0</v>
      </c>
      <c r="X13" s="28">
        <v>0</v>
      </c>
      <c r="Y13" s="29">
        <v>0</v>
      </c>
      <c r="Z13" s="28">
        <v>0</v>
      </c>
      <c r="AA13" s="26">
        <v>0</v>
      </c>
      <c r="AB13" s="26">
        <v>0</v>
      </c>
      <c r="AC13" s="30">
        <v>46203</v>
      </c>
    </row>
    <row r="14" spans="1:29" x14ac:dyDescent="0.25">
      <c r="A14" s="12">
        <v>1057</v>
      </c>
      <c r="B14" s="13" t="s">
        <v>50</v>
      </c>
      <c r="C14" s="14">
        <v>10570047</v>
      </c>
      <c r="D14" s="15" t="s">
        <v>54</v>
      </c>
      <c r="E14" s="16" t="s">
        <v>33</v>
      </c>
      <c r="F14" s="16" t="s">
        <v>34</v>
      </c>
      <c r="G14" s="17">
        <v>352.7</v>
      </c>
      <c r="H14" s="17">
        <v>14975.780000000002</v>
      </c>
      <c r="I14" s="18">
        <v>5405</v>
      </c>
      <c r="J14" s="18">
        <v>2325</v>
      </c>
      <c r="K14" s="18">
        <v>0</v>
      </c>
      <c r="L14" s="19" t="s">
        <v>35</v>
      </c>
      <c r="M14" s="20" t="s">
        <v>36</v>
      </c>
      <c r="N14" s="21" t="s">
        <v>37</v>
      </c>
      <c r="O14" s="22"/>
      <c r="P14" s="23">
        <v>6.3935013076014229E-3</v>
      </c>
      <c r="Q14" s="24">
        <v>11</v>
      </c>
      <c r="R14" s="25">
        <v>7150</v>
      </c>
      <c r="S14" s="25">
        <v>7150</v>
      </c>
      <c r="T14" s="26">
        <v>0</v>
      </c>
      <c r="U14" s="27"/>
      <c r="V14" s="25">
        <v>0</v>
      </c>
      <c r="W14" s="25">
        <v>0</v>
      </c>
      <c r="X14" s="28">
        <v>0</v>
      </c>
      <c r="Y14" s="29">
        <v>0</v>
      </c>
      <c r="Z14" s="28">
        <v>0</v>
      </c>
      <c r="AA14" s="26">
        <v>0</v>
      </c>
      <c r="AB14" s="26">
        <v>0</v>
      </c>
      <c r="AC14" s="30">
        <v>46203</v>
      </c>
    </row>
    <row r="15" spans="1:29" x14ac:dyDescent="0.25">
      <c r="A15" s="12">
        <v>1057</v>
      </c>
      <c r="B15" s="13" t="s">
        <v>50</v>
      </c>
      <c r="C15" s="14">
        <v>10570051</v>
      </c>
      <c r="D15" s="15" t="s">
        <v>55</v>
      </c>
      <c r="E15" s="16" t="s">
        <v>33</v>
      </c>
      <c r="F15" s="16" t="s">
        <v>34</v>
      </c>
      <c r="G15" s="17">
        <v>136.90000000000003</v>
      </c>
      <c r="H15" s="17">
        <v>5223.5299999999988</v>
      </c>
      <c r="I15" s="18">
        <v>5146</v>
      </c>
      <c r="J15" s="18">
        <v>0</v>
      </c>
      <c r="K15" s="18">
        <v>0</v>
      </c>
      <c r="L15" s="19" t="s">
        <v>56</v>
      </c>
      <c r="M15" s="20" t="s">
        <v>36</v>
      </c>
      <c r="N15" s="21" t="s">
        <v>37</v>
      </c>
      <c r="O15" s="22"/>
      <c r="P15" s="23">
        <v>1.4789126042541966E-2</v>
      </c>
      <c r="Q15" s="24">
        <v>2</v>
      </c>
      <c r="R15" s="25">
        <v>7000</v>
      </c>
      <c r="S15" s="25">
        <v>0</v>
      </c>
      <c r="T15" s="26">
        <v>7000</v>
      </c>
      <c r="U15" s="27"/>
      <c r="V15" s="25">
        <v>0</v>
      </c>
      <c r="W15" s="25">
        <v>0</v>
      </c>
      <c r="X15" s="28">
        <v>0</v>
      </c>
      <c r="Y15" s="29">
        <v>0</v>
      </c>
      <c r="Z15" s="28">
        <v>0</v>
      </c>
      <c r="AA15" s="26">
        <v>0</v>
      </c>
      <c r="AB15" s="26">
        <v>0</v>
      </c>
      <c r="AC15" s="30">
        <v>46203</v>
      </c>
    </row>
    <row r="16" spans="1:29" x14ac:dyDescent="0.25">
      <c r="A16" s="31"/>
      <c r="B16" s="32"/>
      <c r="C16" s="31"/>
      <c r="D16" s="31"/>
      <c r="E16" s="31" t="s">
        <v>57</v>
      </c>
      <c r="F16" s="31">
        <v>958</v>
      </c>
      <c r="G16" s="33">
        <v>8773</v>
      </c>
      <c r="H16" s="33">
        <v>363256.26</v>
      </c>
      <c r="I16" s="34">
        <v>281641</v>
      </c>
      <c r="J16" s="34">
        <v>35524</v>
      </c>
      <c r="K16" s="34">
        <v>0</v>
      </c>
      <c r="L16" s="19">
        <v>0</v>
      </c>
      <c r="M16" s="14"/>
      <c r="N16" s="27"/>
      <c r="O16" s="6"/>
      <c r="P16" s="35"/>
      <c r="Q16" s="36">
        <v>5894</v>
      </c>
      <c r="R16" s="26">
        <v>94417</v>
      </c>
      <c r="S16" s="26">
        <v>40854</v>
      </c>
      <c r="T16" s="26">
        <v>53563</v>
      </c>
      <c r="U16" s="27"/>
      <c r="V16" s="25">
        <v>1000</v>
      </c>
      <c r="W16" s="25">
        <v>0</v>
      </c>
      <c r="X16" s="37">
        <v>0</v>
      </c>
      <c r="Y16" s="25">
        <v>1000</v>
      </c>
      <c r="Z16" s="25">
        <v>1000</v>
      </c>
      <c r="AA16" s="25">
        <v>0</v>
      </c>
      <c r="AB16" s="25">
        <v>0</v>
      </c>
      <c r="AC16" s="27"/>
    </row>
  </sheetData>
  <conditionalFormatting sqref="C16 C1">
    <cfRule type="duplicateValues" dxfId="16" priority="12" stopIfTrue="1"/>
  </conditionalFormatting>
  <conditionalFormatting sqref="C2:C15">
    <cfRule type="duplicateValues" dxfId="15" priority="9"/>
  </conditionalFormatting>
  <conditionalFormatting sqref="C2:C15">
    <cfRule type="duplicateValues" dxfId="14" priority="10"/>
    <cfRule type="duplicateValues" dxfId="13" priority="11"/>
  </conditionalFormatting>
  <conditionalFormatting sqref="F2:F15">
    <cfRule type="containsText" dxfId="12" priority="7" operator="containsText" text="Indirect">
      <formula>NOT(ISERROR(SEARCH("Indirect",F2)))</formula>
    </cfRule>
  </conditionalFormatting>
  <conditionalFormatting sqref="I2:K15">
    <cfRule type="cellIs" dxfId="11" priority="6" operator="lessThan">
      <formula>-1</formula>
    </cfRule>
  </conditionalFormatting>
  <conditionalFormatting sqref="AA2:AB15">
    <cfRule type="cellIs" dxfId="10" priority="8" operator="lessThan">
      <formula>0</formula>
    </cfRule>
  </conditionalFormatting>
  <conditionalFormatting sqref="D16">
    <cfRule type="duplicateValues" dxfId="9" priority="5" stopIfTrue="1"/>
  </conditionalFormatting>
  <conditionalFormatting sqref="E16">
    <cfRule type="duplicateValues" dxfId="8" priority="4" stopIfTrue="1"/>
  </conditionalFormatting>
  <conditionalFormatting sqref="F16">
    <cfRule type="duplicateValues" dxfId="7" priority="3" stopIfTrue="1"/>
  </conditionalFormatting>
  <conditionalFormatting sqref="G16">
    <cfRule type="duplicateValues" dxfId="6" priority="2" stopIfTrue="1"/>
  </conditionalFormatting>
  <conditionalFormatting sqref="H16">
    <cfRule type="duplicateValues" dxfId="5" priority="1" stopIfTrue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CC29B-1D9B-45C7-93FD-E14ACF96627A}">
  <dimension ref="A1:AC133"/>
  <sheetViews>
    <sheetView topLeftCell="A92" zoomScale="83" workbookViewId="0">
      <selection activeCell="W134" sqref="W134"/>
    </sheetView>
  </sheetViews>
  <sheetFormatPr defaultRowHeight="15" x14ac:dyDescent="0.25"/>
  <cols>
    <col min="1" max="1" width="13.140625" bestFit="1" customWidth="1"/>
    <col min="2" max="3" width="13.7109375" bestFit="1" customWidth="1"/>
    <col min="4" max="4" width="21.5703125" bestFit="1" customWidth="1"/>
    <col min="5" max="5" width="9" bestFit="1" customWidth="1"/>
    <col min="6" max="6" width="8.28515625" bestFit="1" customWidth="1"/>
    <col min="7" max="7" width="6.28515625" bestFit="1" customWidth="1"/>
    <col min="8" max="8" width="5.7109375" bestFit="1" customWidth="1"/>
    <col min="9" max="9" width="8" bestFit="1" customWidth="1"/>
    <col min="10" max="10" width="10.42578125" bestFit="1" customWidth="1"/>
    <col min="11" max="11" width="7.7109375" bestFit="1" customWidth="1"/>
    <col min="12" max="12" width="8" bestFit="1" customWidth="1"/>
    <col min="13" max="13" width="10.42578125" bestFit="1" customWidth="1"/>
    <col min="14" max="14" width="6.140625" bestFit="1" customWidth="1"/>
    <col min="15" max="15" width="9.7109375" bestFit="1" customWidth="1"/>
    <col min="16" max="16" width="10.5703125" bestFit="1" customWidth="1"/>
    <col min="18" max="18" width="23.5703125" bestFit="1" customWidth="1"/>
    <col min="19" max="19" width="17.28515625" bestFit="1" customWidth="1"/>
    <col min="20" max="20" width="14.28515625" bestFit="1" customWidth="1"/>
    <col min="21" max="21" width="28.85546875" bestFit="1" customWidth="1"/>
    <col min="22" max="22" width="12.7109375" bestFit="1" customWidth="1"/>
    <col min="23" max="23" width="12.140625" bestFit="1" customWidth="1"/>
    <col min="25" max="25" width="7.7109375" bestFit="1" customWidth="1"/>
    <col min="29" max="29" width="7" bestFit="1" customWidth="1"/>
  </cols>
  <sheetData>
    <row r="1" spans="1:29" ht="36.6" customHeight="1" x14ac:dyDescent="0.25">
      <c r="A1" s="38" t="s">
        <v>58</v>
      </c>
      <c r="B1" s="38" t="s">
        <v>1</v>
      </c>
      <c r="C1" s="38" t="s">
        <v>59</v>
      </c>
      <c r="D1" s="38" t="s">
        <v>60</v>
      </c>
      <c r="E1" s="39" t="s">
        <v>61</v>
      </c>
      <c r="F1" s="40" t="s">
        <v>62</v>
      </c>
      <c r="G1" s="41" t="s">
        <v>63</v>
      </c>
      <c r="H1" s="40" t="s">
        <v>64</v>
      </c>
      <c r="I1" s="40" t="s">
        <v>65</v>
      </c>
      <c r="J1" s="42" t="s">
        <v>8</v>
      </c>
      <c r="K1" s="42" t="s">
        <v>66</v>
      </c>
      <c r="L1" s="42" t="s">
        <v>67</v>
      </c>
      <c r="M1" s="42" t="s">
        <v>9</v>
      </c>
      <c r="N1" s="42" t="s">
        <v>10</v>
      </c>
      <c r="O1" s="42" t="s">
        <v>14</v>
      </c>
      <c r="P1" s="42" t="s">
        <v>68</v>
      </c>
      <c r="Q1" s="43" t="s">
        <v>69</v>
      </c>
      <c r="R1" s="44" t="s">
        <v>70</v>
      </c>
      <c r="S1" s="44" t="s">
        <v>71</v>
      </c>
      <c r="T1" s="44" t="s">
        <v>72</v>
      </c>
      <c r="U1" s="44" t="s">
        <v>73</v>
      </c>
      <c r="V1" s="45" t="s">
        <v>74</v>
      </c>
      <c r="W1" s="46" t="s">
        <v>16</v>
      </c>
      <c r="X1" s="47"/>
      <c r="Y1" s="48" t="s">
        <v>75</v>
      </c>
      <c r="AC1" t="s">
        <v>76</v>
      </c>
    </row>
    <row r="2" spans="1:29" x14ac:dyDescent="0.25">
      <c r="A2" t="s">
        <v>77</v>
      </c>
      <c r="B2" t="s">
        <v>31</v>
      </c>
      <c r="C2" s="49" t="s">
        <v>31</v>
      </c>
      <c r="D2" t="s">
        <v>32</v>
      </c>
      <c r="E2" s="49">
        <v>10060074</v>
      </c>
      <c r="F2" t="s">
        <v>78</v>
      </c>
      <c r="G2" s="49">
        <v>14</v>
      </c>
      <c r="H2" s="50">
        <v>5.98</v>
      </c>
      <c r="I2" s="51">
        <v>259.79989310880001</v>
      </c>
      <c r="J2" s="52">
        <v>0</v>
      </c>
      <c r="K2" s="52">
        <v>259.79989310880001</v>
      </c>
      <c r="L2" s="52">
        <v>0</v>
      </c>
      <c r="M2" s="50">
        <v>0</v>
      </c>
      <c r="N2" s="50">
        <v>0</v>
      </c>
      <c r="O2" s="52" t="s">
        <v>35</v>
      </c>
      <c r="P2" s="52">
        <v>0</v>
      </c>
      <c r="Q2" s="49" t="s">
        <v>34</v>
      </c>
      <c r="R2">
        <v>0</v>
      </c>
      <c r="S2">
        <v>0</v>
      </c>
      <c r="T2">
        <v>0</v>
      </c>
      <c r="U2">
        <v>0</v>
      </c>
      <c r="V2" t="s">
        <v>79</v>
      </c>
      <c r="W2" t="s">
        <v>37</v>
      </c>
      <c r="Y2" s="53">
        <v>0</v>
      </c>
    </row>
    <row r="3" spans="1:29" x14ac:dyDescent="0.25">
      <c r="A3" t="s">
        <v>80</v>
      </c>
      <c r="B3" t="s">
        <v>31</v>
      </c>
      <c r="C3" s="49" t="s">
        <v>31</v>
      </c>
      <c r="D3" t="s">
        <v>32</v>
      </c>
      <c r="E3" s="49">
        <v>10060074</v>
      </c>
      <c r="F3" t="s">
        <v>81</v>
      </c>
      <c r="G3" s="49">
        <v>14</v>
      </c>
      <c r="H3" s="50">
        <v>52</v>
      </c>
      <c r="I3" s="51">
        <v>2552.6915640983407</v>
      </c>
      <c r="J3" s="52">
        <v>0</v>
      </c>
      <c r="K3" s="52">
        <v>0</v>
      </c>
      <c r="L3" s="52">
        <v>478</v>
      </c>
      <c r="M3" s="50">
        <v>0</v>
      </c>
      <c r="N3" s="50">
        <v>0</v>
      </c>
      <c r="O3" s="52" t="s">
        <v>35</v>
      </c>
      <c r="P3" s="52">
        <v>2075</v>
      </c>
      <c r="Q3" s="49" t="s">
        <v>34</v>
      </c>
      <c r="R3" t="s">
        <v>82</v>
      </c>
      <c r="S3" t="s">
        <v>83</v>
      </c>
      <c r="T3" t="s">
        <v>84</v>
      </c>
      <c r="U3" t="s">
        <v>85</v>
      </c>
      <c r="V3" t="s">
        <v>86</v>
      </c>
      <c r="W3" t="s">
        <v>37</v>
      </c>
      <c r="Y3" s="53">
        <v>34.36315567055459</v>
      </c>
    </row>
    <row r="4" spans="1:29" x14ac:dyDescent="0.25">
      <c r="A4" t="s">
        <v>87</v>
      </c>
      <c r="B4" t="s">
        <v>31</v>
      </c>
      <c r="C4" s="49" t="s">
        <v>31</v>
      </c>
      <c r="D4" t="s">
        <v>32</v>
      </c>
      <c r="E4" s="49">
        <v>10060074</v>
      </c>
      <c r="F4" t="s">
        <v>88</v>
      </c>
      <c r="G4" s="49">
        <v>1</v>
      </c>
      <c r="H4" s="50">
        <v>1.59</v>
      </c>
      <c r="I4" s="51">
        <v>131.36627617320002</v>
      </c>
      <c r="J4" s="52">
        <v>0</v>
      </c>
      <c r="K4" s="52">
        <v>0</v>
      </c>
      <c r="L4" s="52">
        <v>0</v>
      </c>
      <c r="M4" s="50">
        <v>131</v>
      </c>
      <c r="N4" s="50">
        <v>0</v>
      </c>
      <c r="O4" s="52" t="s">
        <v>35</v>
      </c>
      <c r="P4" s="52">
        <v>0</v>
      </c>
      <c r="Q4" s="49" t="s">
        <v>34</v>
      </c>
      <c r="R4" t="s">
        <v>89</v>
      </c>
      <c r="S4" t="s">
        <v>90</v>
      </c>
      <c r="T4" t="s">
        <v>84</v>
      </c>
      <c r="U4" t="s">
        <v>85</v>
      </c>
      <c r="V4" t="s">
        <v>86</v>
      </c>
      <c r="W4" t="s">
        <v>37</v>
      </c>
      <c r="Y4" s="53">
        <v>4.1310149740000011</v>
      </c>
    </row>
    <row r="5" spans="1:29" x14ac:dyDescent="0.25">
      <c r="A5" t="s">
        <v>91</v>
      </c>
      <c r="B5" t="s">
        <v>31</v>
      </c>
      <c r="C5" s="49" t="s">
        <v>31</v>
      </c>
      <c r="D5" t="s">
        <v>32</v>
      </c>
      <c r="E5" s="49">
        <v>10060074</v>
      </c>
      <c r="F5" t="s">
        <v>92</v>
      </c>
      <c r="G5" s="49">
        <v>7</v>
      </c>
      <c r="H5" s="50">
        <v>6.8600000000000012</v>
      </c>
      <c r="I5" s="51">
        <v>321.20097996300007</v>
      </c>
      <c r="J5" s="52">
        <v>0</v>
      </c>
      <c r="K5" s="52">
        <v>0</v>
      </c>
      <c r="L5" s="52">
        <v>0</v>
      </c>
      <c r="M5" s="50">
        <v>321</v>
      </c>
      <c r="N5" s="50">
        <v>0</v>
      </c>
      <c r="O5" s="52" t="s">
        <v>35</v>
      </c>
      <c r="P5" s="52">
        <v>0</v>
      </c>
      <c r="Q5" s="49" t="s">
        <v>34</v>
      </c>
      <c r="R5" t="s">
        <v>93</v>
      </c>
      <c r="S5" t="s">
        <v>94</v>
      </c>
      <c r="T5" t="s">
        <v>95</v>
      </c>
      <c r="U5" t="s">
        <v>96</v>
      </c>
      <c r="V5" t="s">
        <v>86</v>
      </c>
      <c r="W5" t="s">
        <v>37</v>
      </c>
      <c r="X5" s="54"/>
      <c r="Y5" s="53">
        <v>16.387805100153063</v>
      </c>
    </row>
    <row r="6" spans="1:29" x14ac:dyDescent="0.25">
      <c r="A6" t="s">
        <v>97</v>
      </c>
      <c r="B6" t="s">
        <v>31</v>
      </c>
      <c r="C6" s="49" t="s">
        <v>31</v>
      </c>
      <c r="D6" t="s">
        <v>32</v>
      </c>
      <c r="E6" s="49">
        <v>10060074</v>
      </c>
      <c r="F6" t="s">
        <v>98</v>
      </c>
      <c r="G6" s="49">
        <v>8</v>
      </c>
      <c r="H6" s="50">
        <v>24.46</v>
      </c>
      <c r="I6" s="51">
        <v>904.17091852800002</v>
      </c>
      <c r="J6" s="52">
        <v>0</v>
      </c>
      <c r="K6" s="52">
        <v>0</v>
      </c>
      <c r="L6" s="52">
        <v>0</v>
      </c>
      <c r="M6" s="50">
        <v>0</v>
      </c>
      <c r="N6" s="50">
        <v>0</v>
      </c>
      <c r="O6" s="52" t="s">
        <v>35</v>
      </c>
      <c r="P6" s="52">
        <v>904</v>
      </c>
      <c r="Q6" s="49" t="s">
        <v>34</v>
      </c>
      <c r="R6" t="s">
        <v>99</v>
      </c>
      <c r="S6" t="s">
        <v>100</v>
      </c>
      <c r="T6" t="s">
        <v>84</v>
      </c>
      <c r="U6" t="s">
        <v>85</v>
      </c>
      <c r="V6" t="s">
        <v>86</v>
      </c>
      <c r="W6" t="s">
        <v>37</v>
      </c>
      <c r="Y6" s="53">
        <v>14.786114775600982</v>
      </c>
    </row>
    <row r="7" spans="1:29" x14ac:dyDescent="0.25">
      <c r="A7" t="s">
        <v>101</v>
      </c>
      <c r="B7" t="s">
        <v>31</v>
      </c>
      <c r="C7" s="49" t="s">
        <v>31</v>
      </c>
      <c r="D7" t="s">
        <v>32</v>
      </c>
      <c r="E7" s="49">
        <v>10060074</v>
      </c>
      <c r="F7" t="s">
        <v>102</v>
      </c>
      <c r="G7" s="49">
        <v>13</v>
      </c>
      <c r="H7" s="50">
        <v>59.15</v>
      </c>
      <c r="I7" s="51">
        <v>2781.6560736661304</v>
      </c>
      <c r="J7" s="52">
        <v>0</v>
      </c>
      <c r="K7" s="52">
        <v>0</v>
      </c>
      <c r="L7" s="52">
        <v>0</v>
      </c>
      <c r="M7" s="50">
        <v>574</v>
      </c>
      <c r="N7" s="50">
        <v>0</v>
      </c>
      <c r="O7" s="52" t="s">
        <v>35</v>
      </c>
      <c r="P7" s="52">
        <v>2208</v>
      </c>
      <c r="Q7" s="49" t="s">
        <v>34</v>
      </c>
      <c r="R7" t="s">
        <v>103</v>
      </c>
      <c r="S7" t="s">
        <v>104</v>
      </c>
      <c r="T7" t="s">
        <v>84</v>
      </c>
      <c r="U7" t="s">
        <v>85</v>
      </c>
      <c r="V7" t="s">
        <v>86</v>
      </c>
      <c r="W7" t="s">
        <v>37</v>
      </c>
      <c r="X7" s="54"/>
      <c r="Y7" s="53">
        <v>30.567649161166269</v>
      </c>
    </row>
    <row r="8" spans="1:29" x14ac:dyDescent="0.25">
      <c r="A8" t="s">
        <v>105</v>
      </c>
      <c r="B8" t="s">
        <v>31</v>
      </c>
      <c r="C8" s="49" t="s">
        <v>31</v>
      </c>
      <c r="D8" t="s">
        <v>32</v>
      </c>
      <c r="E8" s="49">
        <v>10060074</v>
      </c>
      <c r="F8" t="s">
        <v>106</v>
      </c>
      <c r="G8" s="49">
        <v>13</v>
      </c>
      <c r="H8" s="50">
        <v>71.090000000000018</v>
      </c>
      <c r="I8" s="51">
        <v>3508.3173984845321</v>
      </c>
      <c r="J8" s="52">
        <v>0</v>
      </c>
      <c r="K8" s="52">
        <v>0</v>
      </c>
      <c r="L8" s="52">
        <v>0</v>
      </c>
      <c r="M8" s="50">
        <v>500</v>
      </c>
      <c r="N8" s="50">
        <v>0</v>
      </c>
      <c r="O8" s="52" t="s">
        <v>35</v>
      </c>
      <c r="P8" s="52">
        <v>3008</v>
      </c>
      <c r="Q8" s="49" t="s">
        <v>34</v>
      </c>
      <c r="R8" t="s">
        <v>107</v>
      </c>
      <c r="S8" t="s">
        <v>108</v>
      </c>
      <c r="T8" t="s">
        <v>84</v>
      </c>
      <c r="U8" t="s">
        <v>85</v>
      </c>
      <c r="V8" t="s">
        <v>86</v>
      </c>
      <c r="W8" t="s">
        <v>37</v>
      </c>
      <c r="Y8" s="53">
        <v>32.077736798634767</v>
      </c>
    </row>
    <row r="9" spans="1:29" x14ac:dyDescent="0.25">
      <c r="A9" t="s">
        <v>109</v>
      </c>
      <c r="B9" t="s">
        <v>31</v>
      </c>
      <c r="C9" s="49" t="s">
        <v>31</v>
      </c>
      <c r="D9" t="s">
        <v>32</v>
      </c>
      <c r="E9" s="49">
        <v>10060074</v>
      </c>
      <c r="F9" t="s">
        <v>110</v>
      </c>
      <c r="G9" s="49">
        <v>1</v>
      </c>
      <c r="H9" s="50">
        <v>2.5099999999999998</v>
      </c>
      <c r="I9" s="51">
        <v>95.249796009000008</v>
      </c>
      <c r="J9" s="52">
        <v>0</v>
      </c>
      <c r="K9" s="52">
        <v>0</v>
      </c>
      <c r="L9" s="52">
        <v>0</v>
      </c>
      <c r="M9" s="50">
        <v>0</v>
      </c>
      <c r="N9" s="50">
        <v>0</v>
      </c>
      <c r="O9" s="52" t="s">
        <v>35</v>
      </c>
      <c r="P9" s="52">
        <v>95</v>
      </c>
      <c r="Q9" s="49" t="s">
        <v>34</v>
      </c>
      <c r="R9" t="s">
        <v>111</v>
      </c>
      <c r="S9" t="s">
        <v>112</v>
      </c>
      <c r="T9" t="s">
        <v>84</v>
      </c>
      <c r="U9" t="s">
        <v>85</v>
      </c>
      <c r="V9" t="s">
        <v>86</v>
      </c>
      <c r="W9" t="s">
        <v>37</v>
      </c>
      <c r="X9" s="54"/>
      <c r="Y9" s="53">
        <v>1.8974062950000006</v>
      </c>
    </row>
    <row r="10" spans="1:29" x14ac:dyDescent="0.25">
      <c r="A10" t="s">
        <v>113</v>
      </c>
      <c r="B10" t="s">
        <v>31</v>
      </c>
      <c r="C10" s="49" t="s">
        <v>31</v>
      </c>
      <c r="D10" t="s">
        <v>32</v>
      </c>
      <c r="E10" s="49">
        <v>10060074</v>
      </c>
      <c r="F10" t="s">
        <v>114</v>
      </c>
      <c r="G10" s="49">
        <v>2</v>
      </c>
      <c r="H10" s="50">
        <v>3.92</v>
      </c>
      <c r="I10" s="51">
        <v>157.32752557800001</v>
      </c>
      <c r="J10" s="52">
        <v>0</v>
      </c>
      <c r="K10" s="52">
        <v>0</v>
      </c>
      <c r="L10" s="52">
        <v>0</v>
      </c>
      <c r="M10" s="50">
        <v>0</v>
      </c>
      <c r="N10" s="50">
        <v>0</v>
      </c>
      <c r="O10" s="52" t="s">
        <v>35</v>
      </c>
      <c r="P10" s="52">
        <v>157</v>
      </c>
      <c r="Q10" s="49" t="s">
        <v>34</v>
      </c>
      <c r="R10" t="s">
        <v>115</v>
      </c>
      <c r="S10" t="s">
        <v>116</v>
      </c>
      <c r="T10" t="s">
        <v>84</v>
      </c>
      <c r="U10" t="s">
        <v>85</v>
      </c>
      <c r="V10" t="s">
        <v>86</v>
      </c>
      <c r="W10" t="s">
        <v>37</v>
      </c>
      <c r="Y10" s="53">
        <v>4.0134572851530619</v>
      </c>
    </row>
    <row r="11" spans="1:29" x14ac:dyDescent="0.25">
      <c r="A11" t="s">
        <v>117</v>
      </c>
      <c r="B11" t="s">
        <v>31</v>
      </c>
      <c r="C11" s="49" t="s">
        <v>31</v>
      </c>
      <c r="D11" t="s">
        <v>32</v>
      </c>
      <c r="E11" s="49">
        <v>10060074</v>
      </c>
      <c r="F11" t="s">
        <v>118</v>
      </c>
      <c r="G11" s="49">
        <v>6</v>
      </c>
      <c r="H11" s="50">
        <v>12.690000000000001</v>
      </c>
      <c r="I11" s="51">
        <v>728.06609826667</v>
      </c>
      <c r="J11" s="52">
        <v>0</v>
      </c>
      <c r="K11" s="52">
        <v>0</v>
      </c>
      <c r="L11" s="52">
        <v>0</v>
      </c>
      <c r="M11" s="50">
        <v>0</v>
      </c>
      <c r="N11" s="50">
        <v>0</v>
      </c>
      <c r="O11" s="52" t="s">
        <v>35</v>
      </c>
      <c r="P11" s="52">
        <v>728</v>
      </c>
      <c r="Q11" s="49" t="s">
        <v>34</v>
      </c>
      <c r="R11" t="s">
        <v>119</v>
      </c>
      <c r="S11" t="s">
        <v>120</v>
      </c>
      <c r="T11" t="s">
        <v>84</v>
      </c>
      <c r="U11" t="s">
        <v>85</v>
      </c>
      <c r="V11" t="s">
        <v>86</v>
      </c>
      <c r="W11" t="s">
        <v>37</v>
      </c>
      <c r="X11" s="54"/>
      <c r="Y11" s="53">
        <v>17.211964498030024</v>
      </c>
    </row>
    <row r="12" spans="1:29" x14ac:dyDescent="0.25">
      <c r="A12" t="s">
        <v>121</v>
      </c>
      <c r="B12" t="s">
        <v>31</v>
      </c>
      <c r="C12" s="49" t="s">
        <v>31</v>
      </c>
      <c r="D12" t="s">
        <v>32</v>
      </c>
      <c r="E12" s="49">
        <v>10060074</v>
      </c>
      <c r="F12" t="s">
        <v>122</v>
      </c>
      <c r="G12" s="49">
        <v>13</v>
      </c>
      <c r="H12" s="50">
        <v>81.960000000000008</v>
      </c>
      <c r="I12" s="51">
        <v>3355.4792986487996</v>
      </c>
      <c r="J12" s="52">
        <v>0</v>
      </c>
      <c r="K12" s="52">
        <v>0</v>
      </c>
      <c r="L12" s="52">
        <v>0</v>
      </c>
      <c r="M12" s="50">
        <v>1500</v>
      </c>
      <c r="N12" s="50">
        <v>0</v>
      </c>
      <c r="O12" s="52" t="s">
        <v>35</v>
      </c>
      <c r="P12" s="52">
        <v>1855</v>
      </c>
      <c r="Q12" s="49" t="s">
        <v>34</v>
      </c>
      <c r="R12" t="s">
        <v>123</v>
      </c>
      <c r="S12" t="s">
        <v>124</v>
      </c>
      <c r="T12" t="s">
        <v>84</v>
      </c>
      <c r="U12" t="s">
        <v>85</v>
      </c>
      <c r="V12" t="s">
        <v>86</v>
      </c>
      <c r="W12" t="s">
        <v>37</v>
      </c>
      <c r="X12" s="54"/>
      <c r="Y12" s="53">
        <v>26.611292632036598</v>
      </c>
    </row>
    <row r="13" spans="1:29" x14ac:dyDescent="0.25">
      <c r="A13" t="s">
        <v>125</v>
      </c>
      <c r="B13" t="s">
        <v>38</v>
      </c>
      <c r="C13" s="49" t="s">
        <v>38</v>
      </c>
      <c r="D13" t="s">
        <v>39</v>
      </c>
      <c r="E13" s="49">
        <v>10060130</v>
      </c>
      <c r="F13" t="s">
        <v>81</v>
      </c>
      <c r="G13" s="49">
        <v>14</v>
      </c>
      <c r="H13" s="50">
        <v>533.58000000000015</v>
      </c>
      <c r="I13" s="51">
        <v>26833.825557969943</v>
      </c>
      <c r="J13" s="52">
        <v>0</v>
      </c>
      <c r="K13" s="52">
        <v>0</v>
      </c>
      <c r="L13" s="52">
        <v>4432</v>
      </c>
      <c r="M13" s="50">
        <v>6500</v>
      </c>
      <c r="N13" s="50">
        <v>0</v>
      </c>
      <c r="O13" s="52" t="s">
        <v>35</v>
      </c>
      <c r="P13" s="52">
        <v>15902</v>
      </c>
      <c r="Q13" s="49" t="s">
        <v>34</v>
      </c>
      <c r="R13" t="s">
        <v>126</v>
      </c>
      <c r="S13" t="s">
        <v>127</v>
      </c>
      <c r="T13" t="s">
        <v>128</v>
      </c>
      <c r="U13" t="s">
        <v>129</v>
      </c>
      <c r="V13" t="s">
        <v>86</v>
      </c>
      <c r="W13" t="s">
        <v>37</v>
      </c>
      <c r="X13" s="54"/>
      <c r="Y13" s="53">
        <v>35.203114604331041</v>
      </c>
    </row>
    <row r="14" spans="1:29" x14ac:dyDescent="0.25">
      <c r="A14" t="s">
        <v>130</v>
      </c>
      <c r="B14" t="s">
        <v>38</v>
      </c>
      <c r="C14" s="49" t="s">
        <v>38</v>
      </c>
      <c r="D14" t="s">
        <v>39</v>
      </c>
      <c r="E14" s="49">
        <v>10060130</v>
      </c>
      <c r="F14" t="s">
        <v>131</v>
      </c>
      <c r="G14" s="49">
        <v>14</v>
      </c>
      <c r="H14" s="50">
        <v>45.920000000000009</v>
      </c>
      <c r="I14" s="51">
        <v>2056.2914147901001</v>
      </c>
      <c r="J14" s="52">
        <v>0</v>
      </c>
      <c r="K14" s="52">
        <v>0</v>
      </c>
      <c r="L14" s="52">
        <v>0</v>
      </c>
      <c r="M14" s="50">
        <v>0</v>
      </c>
      <c r="N14" s="50">
        <v>0</v>
      </c>
      <c r="O14" s="52" t="s">
        <v>35</v>
      </c>
      <c r="P14" s="52">
        <v>2056</v>
      </c>
      <c r="Q14" s="49" t="s">
        <v>34</v>
      </c>
      <c r="R14" t="s">
        <v>132</v>
      </c>
      <c r="S14" t="s">
        <v>133</v>
      </c>
      <c r="T14" t="s">
        <v>134</v>
      </c>
      <c r="U14" t="s">
        <v>135</v>
      </c>
      <c r="V14" t="s">
        <v>86</v>
      </c>
      <c r="W14" t="s">
        <v>37</v>
      </c>
      <c r="Y14" s="53">
        <v>31.345905713263718</v>
      </c>
    </row>
    <row r="15" spans="1:29" x14ac:dyDescent="0.25">
      <c r="A15" t="s">
        <v>136</v>
      </c>
      <c r="B15" t="s">
        <v>38</v>
      </c>
      <c r="C15" s="49" t="s">
        <v>38</v>
      </c>
      <c r="D15" t="s">
        <v>39</v>
      </c>
      <c r="E15" s="49">
        <v>10060130</v>
      </c>
      <c r="F15" t="s">
        <v>137</v>
      </c>
      <c r="G15" s="49">
        <v>7</v>
      </c>
      <c r="H15" s="50">
        <v>37.659999999999997</v>
      </c>
      <c r="I15" s="51">
        <v>1522.8388937980499</v>
      </c>
      <c r="J15" s="52">
        <v>0</v>
      </c>
      <c r="K15" s="52">
        <v>0</v>
      </c>
      <c r="L15" s="52">
        <v>0</v>
      </c>
      <c r="M15" s="50">
        <v>0</v>
      </c>
      <c r="N15" s="50">
        <v>0</v>
      </c>
      <c r="O15" s="52" t="s">
        <v>35</v>
      </c>
      <c r="P15" s="52">
        <v>1523</v>
      </c>
      <c r="Q15" s="49" t="s">
        <v>34</v>
      </c>
      <c r="R15" t="s">
        <v>138</v>
      </c>
      <c r="S15" t="s">
        <v>139</v>
      </c>
      <c r="T15" t="s">
        <v>134</v>
      </c>
      <c r="U15" t="s">
        <v>135</v>
      </c>
      <c r="V15" t="s">
        <v>86</v>
      </c>
      <c r="W15" t="s">
        <v>37</v>
      </c>
      <c r="Y15" s="53">
        <v>14.152777823401953</v>
      </c>
    </row>
    <row r="16" spans="1:29" x14ac:dyDescent="0.25">
      <c r="A16" t="s">
        <v>140</v>
      </c>
      <c r="B16" t="s">
        <v>38</v>
      </c>
      <c r="C16" s="49" t="s">
        <v>38</v>
      </c>
      <c r="D16" t="s">
        <v>39</v>
      </c>
      <c r="E16" s="49">
        <v>10060130</v>
      </c>
      <c r="F16" t="s">
        <v>141</v>
      </c>
      <c r="G16" s="49">
        <v>13</v>
      </c>
      <c r="H16" s="50">
        <v>83.99</v>
      </c>
      <c r="I16" s="51">
        <v>3513.9556240288798</v>
      </c>
      <c r="J16" s="52">
        <v>0</v>
      </c>
      <c r="K16" s="52">
        <v>0</v>
      </c>
      <c r="L16" s="52">
        <v>0</v>
      </c>
      <c r="M16" s="50">
        <v>0</v>
      </c>
      <c r="N16" s="50">
        <v>0</v>
      </c>
      <c r="O16" s="52" t="s">
        <v>35</v>
      </c>
      <c r="P16" s="52">
        <v>3514</v>
      </c>
      <c r="Q16" s="49" t="s">
        <v>34</v>
      </c>
      <c r="R16" t="s">
        <v>142</v>
      </c>
      <c r="S16" t="s">
        <v>143</v>
      </c>
      <c r="T16" t="s">
        <v>134</v>
      </c>
      <c r="U16" t="s">
        <v>144</v>
      </c>
      <c r="V16" t="s">
        <v>86</v>
      </c>
      <c r="W16" t="s">
        <v>37</v>
      </c>
      <c r="Y16" s="53">
        <v>27.194560728881676</v>
      </c>
    </row>
    <row r="17" spans="1:25" x14ac:dyDescent="0.25">
      <c r="A17" t="s">
        <v>145</v>
      </c>
      <c r="B17" t="s">
        <v>38</v>
      </c>
      <c r="C17" s="49" t="s">
        <v>38</v>
      </c>
      <c r="D17" t="s">
        <v>39</v>
      </c>
      <c r="E17" s="49">
        <v>10060130</v>
      </c>
      <c r="F17" t="s">
        <v>88</v>
      </c>
      <c r="G17" s="49">
        <v>14</v>
      </c>
      <c r="H17" s="50">
        <v>130.08000000000001</v>
      </c>
      <c r="I17" s="51">
        <v>5185.0787267670003</v>
      </c>
      <c r="J17" s="52">
        <v>0</v>
      </c>
      <c r="K17" s="52">
        <v>0</v>
      </c>
      <c r="L17" s="52">
        <v>0</v>
      </c>
      <c r="M17" s="50">
        <v>0</v>
      </c>
      <c r="N17" s="50">
        <v>0</v>
      </c>
      <c r="O17" s="52" t="s">
        <v>35</v>
      </c>
      <c r="P17" s="52">
        <v>5185</v>
      </c>
      <c r="Q17" s="49" t="s">
        <v>34</v>
      </c>
      <c r="R17" t="s">
        <v>146</v>
      </c>
      <c r="S17" t="s">
        <v>147</v>
      </c>
      <c r="T17" t="s">
        <v>134</v>
      </c>
      <c r="U17" t="s">
        <v>144</v>
      </c>
      <c r="V17" t="s">
        <v>86</v>
      </c>
      <c r="W17" t="s">
        <v>37</v>
      </c>
      <c r="Y17" s="53">
        <v>27.902483923254152</v>
      </c>
    </row>
    <row r="18" spans="1:25" x14ac:dyDescent="0.25">
      <c r="A18" t="s">
        <v>148</v>
      </c>
      <c r="B18" t="s">
        <v>38</v>
      </c>
      <c r="C18" s="49" t="s">
        <v>38</v>
      </c>
      <c r="D18" t="s">
        <v>39</v>
      </c>
      <c r="E18" s="49">
        <v>10060130</v>
      </c>
      <c r="F18" t="s">
        <v>92</v>
      </c>
      <c r="G18" s="49">
        <v>12</v>
      </c>
      <c r="H18" s="50">
        <v>32.769999999999996</v>
      </c>
      <c r="I18" s="51">
        <v>1288.9957250739001</v>
      </c>
      <c r="J18" s="52">
        <v>0</v>
      </c>
      <c r="K18" s="52">
        <v>0</v>
      </c>
      <c r="L18" s="52">
        <v>0</v>
      </c>
      <c r="M18" s="50">
        <v>0</v>
      </c>
      <c r="N18" s="50">
        <v>0</v>
      </c>
      <c r="O18" s="52" t="s">
        <v>35</v>
      </c>
      <c r="P18" s="52">
        <v>1289</v>
      </c>
      <c r="Q18" s="49" t="s">
        <v>34</v>
      </c>
      <c r="R18" t="s">
        <v>149</v>
      </c>
      <c r="S18" t="s">
        <v>150</v>
      </c>
      <c r="T18" t="s">
        <v>128</v>
      </c>
      <c r="U18" t="s">
        <v>151</v>
      </c>
      <c r="V18" t="s">
        <v>86</v>
      </c>
      <c r="W18" t="s">
        <v>37</v>
      </c>
      <c r="Y18" s="53">
        <v>23.600776168579198</v>
      </c>
    </row>
    <row r="19" spans="1:25" x14ac:dyDescent="0.25">
      <c r="A19" t="s">
        <v>152</v>
      </c>
      <c r="B19" t="s">
        <v>38</v>
      </c>
      <c r="C19" s="49" t="s">
        <v>38</v>
      </c>
      <c r="D19" t="s">
        <v>39</v>
      </c>
      <c r="E19" s="49">
        <v>10060130</v>
      </c>
      <c r="F19" t="s">
        <v>153</v>
      </c>
      <c r="G19" s="49">
        <v>7</v>
      </c>
      <c r="H19" s="50">
        <v>42.879999999999995</v>
      </c>
      <c r="I19" s="51">
        <v>1793.3327527200004</v>
      </c>
      <c r="J19" s="52">
        <v>0</v>
      </c>
      <c r="K19" s="52">
        <v>0</v>
      </c>
      <c r="L19" s="52">
        <v>0</v>
      </c>
      <c r="M19" s="50">
        <v>0</v>
      </c>
      <c r="N19" s="50">
        <v>0</v>
      </c>
      <c r="O19" s="52" t="s">
        <v>35</v>
      </c>
      <c r="P19" s="52">
        <v>1793</v>
      </c>
      <c r="Q19" s="49" t="s">
        <v>34</v>
      </c>
      <c r="R19" t="s">
        <v>154</v>
      </c>
      <c r="S19" t="s">
        <v>155</v>
      </c>
      <c r="T19" t="s">
        <v>128</v>
      </c>
      <c r="U19" t="s">
        <v>129</v>
      </c>
      <c r="V19" t="s">
        <v>86</v>
      </c>
      <c r="W19" t="s">
        <v>37</v>
      </c>
      <c r="Y19" s="53">
        <v>14.637744017070903</v>
      </c>
    </row>
    <row r="20" spans="1:25" x14ac:dyDescent="0.25">
      <c r="A20" t="s">
        <v>156</v>
      </c>
      <c r="B20" t="s">
        <v>38</v>
      </c>
      <c r="C20" s="49" t="s">
        <v>38</v>
      </c>
      <c r="D20" t="s">
        <v>39</v>
      </c>
      <c r="E20" s="49">
        <v>10060130</v>
      </c>
      <c r="F20" t="s">
        <v>98</v>
      </c>
      <c r="G20" s="49">
        <v>11</v>
      </c>
      <c r="H20" s="50">
        <v>33.79</v>
      </c>
      <c r="I20" s="51">
        <v>1448.8466528850001</v>
      </c>
      <c r="J20" s="52">
        <v>0</v>
      </c>
      <c r="K20" s="52">
        <v>0</v>
      </c>
      <c r="L20" s="52">
        <v>0</v>
      </c>
      <c r="M20" s="50">
        <v>0</v>
      </c>
      <c r="N20" s="50">
        <v>0</v>
      </c>
      <c r="O20" s="52" t="s">
        <v>35</v>
      </c>
      <c r="P20" s="52">
        <v>1449</v>
      </c>
      <c r="Q20" s="49" t="s">
        <v>34</v>
      </c>
      <c r="R20" t="s">
        <v>157</v>
      </c>
      <c r="S20" t="s">
        <v>158</v>
      </c>
      <c r="T20" t="s">
        <v>128</v>
      </c>
      <c r="U20" t="s">
        <v>129</v>
      </c>
      <c r="V20" t="s">
        <v>86</v>
      </c>
      <c r="W20" t="s">
        <v>37</v>
      </c>
      <c r="Y20" s="53">
        <v>23.582884258264283</v>
      </c>
    </row>
    <row r="21" spans="1:25" x14ac:dyDescent="0.25">
      <c r="A21" t="s">
        <v>159</v>
      </c>
      <c r="B21" t="s">
        <v>38</v>
      </c>
      <c r="C21" s="49" t="s">
        <v>38</v>
      </c>
      <c r="D21" t="s">
        <v>39</v>
      </c>
      <c r="E21" s="49">
        <v>10060130</v>
      </c>
      <c r="F21" t="s">
        <v>102</v>
      </c>
      <c r="G21" s="49">
        <v>12</v>
      </c>
      <c r="H21" s="50">
        <v>88.740000000000009</v>
      </c>
      <c r="I21" s="51">
        <v>3787.5490463100009</v>
      </c>
      <c r="J21" s="52">
        <v>0</v>
      </c>
      <c r="K21" s="52">
        <v>0</v>
      </c>
      <c r="L21" s="52">
        <v>0</v>
      </c>
      <c r="M21" s="50">
        <v>0</v>
      </c>
      <c r="N21" s="50">
        <v>0</v>
      </c>
      <c r="O21" s="52" t="s">
        <v>35</v>
      </c>
      <c r="P21" s="52">
        <v>3788</v>
      </c>
      <c r="Q21" s="49" t="s">
        <v>34</v>
      </c>
      <c r="R21" t="s">
        <v>160</v>
      </c>
      <c r="S21" t="s">
        <v>161</v>
      </c>
      <c r="T21" t="s">
        <v>128</v>
      </c>
      <c r="U21" t="s">
        <v>162</v>
      </c>
      <c r="V21" t="s">
        <v>86</v>
      </c>
      <c r="W21" t="s">
        <v>37</v>
      </c>
      <c r="Y21" s="53">
        <v>25.608850887829622</v>
      </c>
    </row>
    <row r="22" spans="1:25" x14ac:dyDescent="0.25">
      <c r="A22" t="s">
        <v>163</v>
      </c>
      <c r="B22" t="s">
        <v>38</v>
      </c>
      <c r="C22" s="49" t="s">
        <v>38</v>
      </c>
      <c r="D22" t="s">
        <v>39</v>
      </c>
      <c r="E22" s="49">
        <v>10060130</v>
      </c>
      <c r="F22" t="s">
        <v>106</v>
      </c>
      <c r="G22" s="49">
        <v>6</v>
      </c>
      <c r="H22" s="50">
        <v>36.72</v>
      </c>
      <c r="I22" s="51">
        <v>1744.801103367</v>
      </c>
      <c r="J22" s="52">
        <v>0</v>
      </c>
      <c r="K22" s="52">
        <v>0</v>
      </c>
      <c r="L22" s="52">
        <v>0</v>
      </c>
      <c r="M22" s="50">
        <v>0</v>
      </c>
      <c r="N22" s="50">
        <v>0</v>
      </c>
      <c r="O22" s="52" t="s">
        <v>35</v>
      </c>
      <c r="P22" s="52">
        <v>1745</v>
      </c>
      <c r="Q22" s="49" t="s">
        <v>34</v>
      </c>
      <c r="R22" t="s">
        <v>164</v>
      </c>
      <c r="S22" t="s">
        <v>165</v>
      </c>
      <c r="T22" t="s">
        <v>128</v>
      </c>
      <c r="U22" t="s">
        <v>129</v>
      </c>
      <c r="V22" t="s">
        <v>86</v>
      </c>
      <c r="W22" t="s">
        <v>37</v>
      </c>
      <c r="Y22" s="53">
        <v>14.254910975220589</v>
      </c>
    </row>
    <row r="23" spans="1:25" x14ac:dyDescent="0.25">
      <c r="A23" t="s">
        <v>166</v>
      </c>
      <c r="B23" t="s">
        <v>38</v>
      </c>
      <c r="C23" s="49" t="s">
        <v>38</v>
      </c>
      <c r="D23" t="s">
        <v>39</v>
      </c>
      <c r="E23" s="49">
        <v>10060130</v>
      </c>
      <c r="F23" t="s">
        <v>110</v>
      </c>
      <c r="G23" s="49">
        <v>11</v>
      </c>
      <c r="H23" s="50">
        <v>33.450000000000003</v>
      </c>
      <c r="I23" s="51">
        <v>1253.3725857597001</v>
      </c>
      <c r="J23" s="52">
        <v>0</v>
      </c>
      <c r="K23" s="52">
        <v>0</v>
      </c>
      <c r="L23" s="52">
        <v>0</v>
      </c>
      <c r="M23" s="50">
        <v>0</v>
      </c>
      <c r="N23" s="50">
        <v>0</v>
      </c>
      <c r="O23" s="52" t="s">
        <v>35</v>
      </c>
      <c r="P23" s="52">
        <v>1253</v>
      </c>
      <c r="Q23" s="49" t="s">
        <v>34</v>
      </c>
      <c r="R23" t="s">
        <v>167</v>
      </c>
      <c r="S23" t="s">
        <v>168</v>
      </c>
      <c r="T23" t="s">
        <v>134</v>
      </c>
      <c r="U23" t="s">
        <v>135</v>
      </c>
      <c r="V23" t="s">
        <v>86</v>
      </c>
      <c r="W23" t="s">
        <v>37</v>
      </c>
      <c r="Y23" s="53">
        <v>20.60851785255112</v>
      </c>
    </row>
    <row r="24" spans="1:25" x14ac:dyDescent="0.25">
      <c r="A24" t="s">
        <v>169</v>
      </c>
      <c r="B24" t="s">
        <v>38</v>
      </c>
      <c r="C24" s="49" t="s">
        <v>38</v>
      </c>
      <c r="D24" t="s">
        <v>39</v>
      </c>
      <c r="E24" s="49">
        <v>10060130</v>
      </c>
      <c r="F24" t="s">
        <v>170</v>
      </c>
      <c r="G24" s="49">
        <v>2</v>
      </c>
      <c r="H24" s="50">
        <v>13.290000000000001</v>
      </c>
      <c r="I24" s="51">
        <v>837.21517887060008</v>
      </c>
      <c r="J24" s="52">
        <v>0</v>
      </c>
      <c r="K24" s="52">
        <v>0</v>
      </c>
      <c r="L24" s="52">
        <v>0</v>
      </c>
      <c r="M24" s="50">
        <v>0</v>
      </c>
      <c r="N24" s="50">
        <v>0</v>
      </c>
      <c r="O24" s="52" t="s">
        <v>35</v>
      </c>
      <c r="P24" s="52">
        <v>837</v>
      </c>
      <c r="Q24" s="49" t="s">
        <v>34</v>
      </c>
      <c r="R24" t="s">
        <v>171</v>
      </c>
      <c r="S24" t="s">
        <v>172</v>
      </c>
      <c r="T24" t="s">
        <v>128</v>
      </c>
      <c r="U24" t="s">
        <v>129</v>
      </c>
      <c r="V24" t="s">
        <v>86</v>
      </c>
      <c r="W24" t="s">
        <v>37</v>
      </c>
      <c r="X24" s="54"/>
      <c r="Y24" s="53">
        <v>6.2995875009074496</v>
      </c>
    </row>
    <row r="25" spans="1:25" x14ac:dyDescent="0.25">
      <c r="A25" t="s">
        <v>173</v>
      </c>
      <c r="B25" t="s">
        <v>38</v>
      </c>
      <c r="C25" s="49" t="s">
        <v>38</v>
      </c>
      <c r="D25" t="s">
        <v>39</v>
      </c>
      <c r="E25" s="49">
        <v>10060130</v>
      </c>
      <c r="F25" t="s">
        <v>174</v>
      </c>
      <c r="G25" s="49">
        <v>8</v>
      </c>
      <c r="H25" s="50">
        <v>72.5</v>
      </c>
      <c r="I25" s="51">
        <v>3821.8867736432003</v>
      </c>
      <c r="J25" s="52">
        <v>0</v>
      </c>
      <c r="K25" s="52">
        <v>0</v>
      </c>
      <c r="L25" s="52">
        <v>0</v>
      </c>
      <c r="M25" s="50">
        <v>0</v>
      </c>
      <c r="N25" s="50">
        <v>0</v>
      </c>
      <c r="O25" s="52" t="s">
        <v>35</v>
      </c>
      <c r="P25" s="52">
        <v>3822</v>
      </c>
      <c r="Q25" s="49" t="s">
        <v>34</v>
      </c>
      <c r="R25">
        <v>0</v>
      </c>
      <c r="S25">
        <v>0</v>
      </c>
      <c r="T25">
        <v>0</v>
      </c>
      <c r="U25">
        <v>0</v>
      </c>
      <c r="V25" t="s">
        <v>79</v>
      </c>
      <c r="W25" t="s">
        <v>37</v>
      </c>
      <c r="Y25" s="53">
        <v>21.086271854583174</v>
      </c>
    </row>
    <row r="26" spans="1:25" x14ac:dyDescent="0.25">
      <c r="A26" t="s">
        <v>175</v>
      </c>
      <c r="B26" t="s">
        <v>38</v>
      </c>
      <c r="C26" s="49" t="s">
        <v>38</v>
      </c>
      <c r="D26" t="s">
        <v>39</v>
      </c>
      <c r="E26" s="49">
        <v>10060130</v>
      </c>
      <c r="F26" t="s">
        <v>176</v>
      </c>
      <c r="G26" s="49">
        <v>14</v>
      </c>
      <c r="H26" s="50">
        <v>35.93</v>
      </c>
      <c r="I26" s="51">
        <v>2952.9423339979999</v>
      </c>
      <c r="J26" s="52">
        <v>0</v>
      </c>
      <c r="K26" s="52">
        <v>0</v>
      </c>
      <c r="L26" s="52">
        <v>0</v>
      </c>
      <c r="M26" s="50">
        <v>0</v>
      </c>
      <c r="N26" s="50">
        <v>0</v>
      </c>
      <c r="O26" s="52" t="s">
        <v>35</v>
      </c>
      <c r="P26" s="52">
        <v>2953</v>
      </c>
      <c r="Q26" s="49" t="s">
        <v>34</v>
      </c>
      <c r="R26">
        <v>0</v>
      </c>
      <c r="S26">
        <v>0</v>
      </c>
      <c r="T26">
        <v>0</v>
      </c>
      <c r="U26">
        <v>0</v>
      </c>
      <c r="V26" t="s">
        <v>79</v>
      </c>
      <c r="W26" t="s">
        <v>37</v>
      </c>
      <c r="Y26" s="53">
        <v>57.530187414377963</v>
      </c>
    </row>
    <row r="27" spans="1:25" x14ac:dyDescent="0.25">
      <c r="A27" t="s">
        <v>177</v>
      </c>
      <c r="B27" t="s">
        <v>38</v>
      </c>
      <c r="C27" s="49" t="s">
        <v>38</v>
      </c>
      <c r="D27" t="s">
        <v>39</v>
      </c>
      <c r="E27" s="49">
        <v>10060130</v>
      </c>
      <c r="F27" t="s">
        <v>114</v>
      </c>
      <c r="G27" s="49">
        <v>14</v>
      </c>
      <c r="H27" s="50">
        <v>75.7</v>
      </c>
      <c r="I27" s="51">
        <v>3466.6020557842608</v>
      </c>
      <c r="J27" s="52">
        <v>0</v>
      </c>
      <c r="K27" s="52">
        <v>0</v>
      </c>
      <c r="L27" s="52">
        <v>0</v>
      </c>
      <c r="M27" s="50">
        <v>0</v>
      </c>
      <c r="N27" s="50">
        <v>0</v>
      </c>
      <c r="O27" s="52" t="s">
        <v>35</v>
      </c>
      <c r="P27" s="52">
        <v>3467</v>
      </c>
      <c r="Q27" s="49" t="s">
        <v>34</v>
      </c>
      <c r="R27">
        <v>0</v>
      </c>
      <c r="S27">
        <v>0</v>
      </c>
      <c r="T27">
        <v>0</v>
      </c>
      <c r="U27">
        <v>0</v>
      </c>
      <c r="V27" t="s">
        <v>79</v>
      </c>
      <c r="W27" t="s">
        <v>37</v>
      </c>
      <c r="Y27" s="53">
        <v>32.055765377133191</v>
      </c>
    </row>
    <row r="28" spans="1:25" x14ac:dyDescent="0.25">
      <c r="A28" t="s">
        <v>178</v>
      </c>
      <c r="B28" t="s">
        <v>38</v>
      </c>
      <c r="C28" s="49" t="s">
        <v>38</v>
      </c>
      <c r="D28" t="s">
        <v>39</v>
      </c>
      <c r="E28" s="49">
        <v>10060130</v>
      </c>
      <c r="F28" t="s">
        <v>179</v>
      </c>
      <c r="G28" s="49">
        <v>7</v>
      </c>
      <c r="H28" s="50">
        <v>54.96</v>
      </c>
      <c r="I28" s="51">
        <v>2465.0657345400004</v>
      </c>
      <c r="J28" s="52">
        <v>0</v>
      </c>
      <c r="K28" s="52">
        <v>0</v>
      </c>
      <c r="L28" s="52">
        <v>0</v>
      </c>
      <c r="M28" s="50">
        <v>0</v>
      </c>
      <c r="N28" s="50">
        <v>0</v>
      </c>
      <c r="O28" s="52" t="s">
        <v>35</v>
      </c>
      <c r="P28" s="52">
        <v>2465</v>
      </c>
      <c r="Q28" s="49" t="s">
        <v>34</v>
      </c>
      <c r="R28">
        <v>0</v>
      </c>
      <c r="S28">
        <v>0</v>
      </c>
      <c r="T28">
        <v>0</v>
      </c>
      <c r="U28">
        <v>0</v>
      </c>
      <c r="V28" t="s">
        <v>79</v>
      </c>
      <c r="W28" t="s">
        <v>37</v>
      </c>
      <c r="Y28" s="53">
        <v>15.698198818941052</v>
      </c>
    </row>
    <row r="29" spans="1:25" x14ac:dyDescent="0.25">
      <c r="A29" t="s">
        <v>180</v>
      </c>
      <c r="B29" t="s">
        <v>38</v>
      </c>
      <c r="C29" s="49" t="s">
        <v>38</v>
      </c>
      <c r="D29" t="s">
        <v>39</v>
      </c>
      <c r="E29" s="49">
        <v>10060130</v>
      </c>
      <c r="F29" t="s">
        <v>181</v>
      </c>
      <c r="G29" s="49">
        <v>9</v>
      </c>
      <c r="H29" s="50">
        <v>28.400000000000002</v>
      </c>
      <c r="I29" s="51">
        <v>1103.495883951</v>
      </c>
      <c r="J29" s="52">
        <v>0</v>
      </c>
      <c r="K29" s="52">
        <v>0</v>
      </c>
      <c r="L29" s="52">
        <v>0</v>
      </c>
      <c r="M29" s="50">
        <v>0</v>
      </c>
      <c r="N29" s="50">
        <v>0</v>
      </c>
      <c r="O29" s="52" t="s">
        <v>35</v>
      </c>
      <c r="P29" s="52">
        <v>1103</v>
      </c>
      <c r="Q29" s="49" t="s">
        <v>34</v>
      </c>
      <c r="R29">
        <v>0</v>
      </c>
      <c r="S29">
        <v>0</v>
      </c>
      <c r="T29">
        <v>0</v>
      </c>
      <c r="U29">
        <v>0</v>
      </c>
      <c r="V29" t="s">
        <v>79</v>
      </c>
      <c r="W29" t="s">
        <v>37</v>
      </c>
      <c r="X29" s="54"/>
      <c r="Y29" s="53">
        <v>17.484969992181338</v>
      </c>
    </row>
    <row r="30" spans="1:25" x14ac:dyDescent="0.25">
      <c r="A30" t="s">
        <v>182</v>
      </c>
      <c r="B30" t="s">
        <v>38</v>
      </c>
      <c r="C30" s="49" t="s">
        <v>38</v>
      </c>
      <c r="D30" t="s">
        <v>39</v>
      </c>
      <c r="E30" s="49">
        <v>10060130</v>
      </c>
      <c r="F30" t="s">
        <v>183</v>
      </c>
      <c r="G30" s="49">
        <v>3</v>
      </c>
      <c r="H30" s="50">
        <v>37.44</v>
      </c>
      <c r="I30" s="51">
        <v>1843.9294130150001</v>
      </c>
      <c r="J30" s="52">
        <v>0</v>
      </c>
      <c r="K30" s="52">
        <v>0</v>
      </c>
      <c r="L30" s="52">
        <v>0</v>
      </c>
      <c r="M30" s="50">
        <v>0</v>
      </c>
      <c r="N30" s="50">
        <v>0</v>
      </c>
      <c r="O30" s="52" t="s">
        <v>35</v>
      </c>
      <c r="P30" s="52">
        <v>1844</v>
      </c>
      <c r="Q30" s="49" t="s">
        <v>34</v>
      </c>
      <c r="R30">
        <v>0</v>
      </c>
      <c r="S30">
        <v>0</v>
      </c>
      <c r="T30">
        <v>0</v>
      </c>
      <c r="U30">
        <v>0</v>
      </c>
      <c r="V30" t="s">
        <v>79</v>
      </c>
      <c r="W30" t="s">
        <v>37</v>
      </c>
      <c r="Y30" s="53">
        <v>7.3875377123998422</v>
      </c>
    </row>
    <row r="31" spans="1:25" x14ac:dyDescent="0.25">
      <c r="A31" t="s">
        <v>184</v>
      </c>
      <c r="B31" t="s">
        <v>38</v>
      </c>
      <c r="C31" s="49" t="s">
        <v>38</v>
      </c>
      <c r="D31" t="s">
        <v>39</v>
      </c>
      <c r="E31" s="49">
        <v>10060130</v>
      </c>
      <c r="F31" t="s">
        <v>185</v>
      </c>
      <c r="G31" s="49">
        <v>11</v>
      </c>
      <c r="H31" s="50">
        <v>21.740000000000002</v>
      </c>
      <c r="I31" s="51">
        <v>1055.5131615605601</v>
      </c>
      <c r="J31" s="52">
        <v>0</v>
      </c>
      <c r="K31" s="52">
        <v>0</v>
      </c>
      <c r="L31" s="52">
        <v>0</v>
      </c>
      <c r="M31" s="50">
        <v>0</v>
      </c>
      <c r="N31" s="50">
        <v>0</v>
      </c>
      <c r="O31" s="52" t="s">
        <v>35</v>
      </c>
      <c r="P31" s="52">
        <v>1056</v>
      </c>
      <c r="Q31" s="49" t="s">
        <v>34</v>
      </c>
      <c r="R31">
        <v>0</v>
      </c>
      <c r="S31">
        <v>0</v>
      </c>
      <c r="T31">
        <v>0</v>
      </c>
      <c r="U31">
        <v>0</v>
      </c>
      <c r="V31" t="s">
        <v>79</v>
      </c>
      <c r="W31" t="s">
        <v>37</v>
      </c>
      <c r="X31" s="54"/>
      <c r="Y31" s="53">
        <v>26.703414850888137</v>
      </c>
    </row>
    <row r="32" spans="1:25" x14ac:dyDescent="0.25">
      <c r="A32" t="s">
        <v>186</v>
      </c>
      <c r="B32" t="s">
        <v>40</v>
      </c>
      <c r="C32" s="49" t="s">
        <v>40</v>
      </c>
      <c r="D32" t="s">
        <v>41</v>
      </c>
      <c r="E32" s="49">
        <v>10070046</v>
      </c>
      <c r="F32" t="s">
        <v>78</v>
      </c>
      <c r="G32" s="49">
        <v>14</v>
      </c>
      <c r="H32" s="50">
        <v>5.5000000000000009</v>
      </c>
      <c r="I32" s="51">
        <v>198.95682155999998</v>
      </c>
      <c r="J32" s="52">
        <v>0</v>
      </c>
      <c r="K32" s="52">
        <v>198.95682155999998</v>
      </c>
      <c r="L32" s="52">
        <v>0</v>
      </c>
      <c r="M32" s="50">
        <v>0</v>
      </c>
      <c r="N32" s="50">
        <v>0</v>
      </c>
      <c r="O32" s="52" t="s">
        <v>35</v>
      </c>
      <c r="P32" s="52">
        <v>0</v>
      </c>
      <c r="Q32" s="49" t="s">
        <v>34</v>
      </c>
      <c r="R32">
        <v>0</v>
      </c>
      <c r="S32">
        <v>0</v>
      </c>
      <c r="T32">
        <v>0</v>
      </c>
      <c r="U32">
        <v>0</v>
      </c>
      <c r="V32" t="s">
        <v>79</v>
      </c>
      <c r="W32" t="s">
        <v>37</v>
      </c>
      <c r="Y32" s="53">
        <v>0</v>
      </c>
    </row>
    <row r="33" spans="1:25" x14ac:dyDescent="0.25">
      <c r="A33" t="s">
        <v>187</v>
      </c>
      <c r="B33" t="s">
        <v>40</v>
      </c>
      <c r="C33" s="49" t="s">
        <v>40</v>
      </c>
      <c r="D33" t="s">
        <v>41</v>
      </c>
      <c r="E33" s="49">
        <v>10070046</v>
      </c>
      <c r="F33" t="s">
        <v>81</v>
      </c>
      <c r="G33" s="49">
        <v>14</v>
      </c>
      <c r="H33" s="50">
        <v>389.5</v>
      </c>
      <c r="I33" s="51">
        <v>15121.063014000001</v>
      </c>
      <c r="J33" s="52">
        <v>0</v>
      </c>
      <c r="K33" s="52">
        <v>0</v>
      </c>
      <c r="L33" s="52">
        <v>2872</v>
      </c>
      <c r="M33" s="50">
        <v>463</v>
      </c>
      <c r="N33" s="50">
        <v>0</v>
      </c>
      <c r="O33" s="52" t="s">
        <v>35</v>
      </c>
      <c r="P33" s="52">
        <v>11786</v>
      </c>
      <c r="Q33" s="49" t="s">
        <v>34</v>
      </c>
      <c r="R33" t="s">
        <v>188</v>
      </c>
      <c r="S33" t="s">
        <v>189</v>
      </c>
      <c r="T33" t="s">
        <v>190</v>
      </c>
      <c r="U33" t="s">
        <v>191</v>
      </c>
      <c r="V33" t="s">
        <v>86</v>
      </c>
      <c r="W33" t="s">
        <v>37</v>
      </c>
      <c r="X33" s="54"/>
      <c r="Y33" s="53">
        <v>27.175209524518618</v>
      </c>
    </row>
    <row r="34" spans="1:25" x14ac:dyDescent="0.25">
      <c r="A34" t="s">
        <v>192</v>
      </c>
      <c r="B34" t="s">
        <v>40</v>
      </c>
      <c r="C34" s="49" t="s">
        <v>40</v>
      </c>
      <c r="D34" t="s">
        <v>41</v>
      </c>
      <c r="E34" s="49">
        <v>10070046</v>
      </c>
      <c r="F34" t="s">
        <v>131</v>
      </c>
      <c r="G34" s="49">
        <v>14</v>
      </c>
      <c r="H34" s="50">
        <v>470</v>
      </c>
      <c r="I34" s="51">
        <v>18944.146744499998</v>
      </c>
      <c r="J34" s="52">
        <v>0</v>
      </c>
      <c r="K34" s="52">
        <v>0</v>
      </c>
      <c r="L34" s="52">
        <v>0</v>
      </c>
      <c r="M34" s="50">
        <v>0</v>
      </c>
      <c r="N34" s="50">
        <v>0</v>
      </c>
      <c r="O34" s="52" t="s">
        <v>35</v>
      </c>
      <c r="P34" s="52">
        <v>18944</v>
      </c>
      <c r="Q34" s="49" t="s">
        <v>34</v>
      </c>
      <c r="R34" t="s">
        <v>193</v>
      </c>
      <c r="S34" t="s">
        <v>194</v>
      </c>
      <c r="T34" t="s">
        <v>128</v>
      </c>
      <c r="U34" t="s">
        <v>195</v>
      </c>
      <c r="V34" t="s">
        <v>86</v>
      </c>
      <c r="W34" t="s">
        <v>37</v>
      </c>
      <c r="Y34" s="53">
        <v>28.214686640744681</v>
      </c>
    </row>
    <row r="35" spans="1:25" x14ac:dyDescent="0.25">
      <c r="A35" t="s">
        <v>196</v>
      </c>
      <c r="B35" t="s">
        <v>40</v>
      </c>
      <c r="C35" s="49" t="s">
        <v>40</v>
      </c>
      <c r="D35" t="s">
        <v>41</v>
      </c>
      <c r="E35" s="49">
        <v>10070046</v>
      </c>
      <c r="F35" t="s">
        <v>197</v>
      </c>
      <c r="G35" s="49">
        <v>14</v>
      </c>
      <c r="H35" s="50">
        <v>470</v>
      </c>
      <c r="I35" s="51">
        <v>19438.298208000004</v>
      </c>
      <c r="J35" s="52">
        <v>0</v>
      </c>
      <c r="K35" s="52">
        <v>0</v>
      </c>
      <c r="L35" s="52">
        <v>0</v>
      </c>
      <c r="M35" s="50">
        <v>0</v>
      </c>
      <c r="N35" s="50">
        <v>0</v>
      </c>
      <c r="O35" s="52" t="s">
        <v>35</v>
      </c>
      <c r="P35" s="52">
        <v>19438</v>
      </c>
      <c r="Q35" s="49" t="s">
        <v>34</v>
      </c>
      <c r="R35" t="s">
        <v>198</v>
      </c>
      <c r="S35" t="s">
        <v>199</v>
      </c>
      <c r="T35" t="s">
        <v>200</v>
      </c>
      <c r="U35" t="s">
        <v>201</v>
      </c>
      <c r="V35" t="s">
        <v>86</v>
      </c>
      <c r="W35" t="s">
        <v>37</v>
      </c>
      <c r="Y35" s="53">
        <v>28.950656905531922</v>
      </c>
    </row>
    <row r="36" spans="1:25" x14ac:dyDescent="0.25">
      <c r="A36" t="s">
        <v>202</v>
      </c>
      <c r="B36" t="s">
        <v>40</v>
      </c>
      <c r="C36" s="49" t="s">
        <v>40</v>
      </c>
      <c r="D36" t="s">
        <v>41</v>
      </c>
      <c r="E36" s="49">
        <v>10070046</v>
      </c>
      <c r="F36" t="s">
        <v>141</v>
      </c>
      <c r="G36" s="49">
        <v>14</v>
      </c>
      <c r="H36" s="50">
        <v>42.080000000000005</v>
      </c>
      <c r="I36" s="51">
        <v>1852.9596777959998</v>
      </c>
      <c r="J36" s="52">
        <v>0</v>
      </c>
      <c r="K36" s="52">
        <v>0</v>
      </c>
      <c r="L36" s="52">
        <v>0</v>
      </c>
      <c r="M36" s="50">
        <v>0</v>
      </c>
      <c r="N36" s="50">
        <v>0</v>
      </c>
      <c r="O36" s="52" t="s">
        <v>35</v>
      </c>
      <c r="P36" s="52">
        <v>1853</v>
      </c>
      <c r="Q36" s="49" t="s">
        <v>34</v>
      </c>
      <c r="R36" t="s">
        <v>203</v>
      </c>
      <c r="S36" t="s">
        <v>204</v>
      </c>
      <c r="T36" t="s">
        <v>200</v>
      </c>
      <c r="U36" t="s">
        <v>201</v>
      </c>
      <c r="V36" t="s">
        <v>86</v>
      </c>
      <c r="W36" t="s">
        <v>37</v>
      </c>
      <c r="Y36" s="53">
        <v>30.823949012766157</v>
      </c>
    </row>
    <row r="37" spans="1:25" x14ac:dyDescent="0.25">
      <c r="A37" t="s">
        <v>205</v>
      </c>
      <c r="B37" t="s">
        <v>40</v>
      </c>
      <c r="C37" s="49" t="s">
        <v>40</v>
      </c>
      <c r="D37" t="s">
        <v>41</v>
      </c>
      <c r="E37" s="49">
        <v>10070046</v>
      </c>
      <c r="F37" t="s">
        <v>206</v>
      </c>
      <c r="G37" s="49">
        <v>14</v>
      </c>
      <c r="H37" s="50">
        <v>470</v>
      </c>
      <c r="I37" s="51">
        <v>19338.218833499999</v>
      </c>
      <c r="J37" s="52">
        <v>0</v>
      </c>
      <c r="K37" s="52">
        <v>0</v>
      </c>
      <c r="L37" s="52">
        <v>0</v>
      </c>
      <c r="M37" s="50">
        <v>0</v>
      </c>
      <c r="N37" s="50">
        <v>0</v>
      </c>
      <c r="O37" s="52" t="s">
        <v>35</v>
      </c>
      <c r="P37" s="52">
        <v>19338</v>
      </c>
      <c r="Q37" s="49" t="s">
        <v>34</v>
      </c>
      <c r="R37" t="s">
        <v>207</v>
      </c>
      <c r="S37" t="s">
        <v>208</v>
      </c>
      <c r="T37" t="s">
        <v>209</v>
      </c>
      <c r="U37" t="s">
        <v>144</v>
      </c>
      <c r="V37" t="s">
        <v>86</v>
      </c>
      <c r="W37" t="s">
        <v>37</v>
      </c>
      <c r="Y37" s="53">
        <v>28.801602517978726</v>
      </c>
    </row>
    <row r="38" spans="1:25" x14ac:dyDescent="0.25">
      <c r="A38" t="s">
        <v>210</v>
      </c>
      <c r="B38" t="s">
        <v>40</v>
      </c>
      <c r="C38" s="49" t="s">
        <v>40</v>
      </c>
      <c r="D38" t="s">
        <v>41</v>
      </c>
      <c r="E38" s="49">
        <v>10070046</v>
      </c>
      <c r="F38" t="s">
        <v>102</v>
      </c>
      <c r="G38" s="49">
        <v>14</v>
      </c>
      <c r="H38" s="50">
        <v>470</v>
      </c>
      <c r="I38" s="51">
        <v>19135.274524500001</v>
      </c>
      <c r="J38" s="52">
        <v>0</v>
      </c>
      <c r="K38" s="52">
        <v>0</v>
      </c>
      <c r="L38" s="52">
        <v>0</v>
      </c>
      <c r="M38" s="50">
        <v>0</v>
      </c>
      <c r="N38" s="50">
        <v>0</v>
      </c>
      <c r="O38" s="52" t="s">
        <v>35</v>
      </c>
      <c r="P38" s="52">
        <v>19135</v>
      </c>
      <c r="Q38" s="49" t="s">
        <v>34</v>
      </c>
      <c r="R38" t="s">
        <v>211</v>
      </c>
      <c r="S38" t="s">
        <v>212</v>
      </c>
      <c r="T38" t="s">
        <v>213</v>
      </c>
      <c r="U38" t="s">
        <v>144</v>
      </c>
      <c r="V38" t="s">
        <v>86</v>
      </c>
      <c r="W38" t="s">
        <v>37</v>
      </c>
      <c r="Y38" s="53">
        <v>28.499345036489363</v>
      </c>
    </row>
    <row r="39" spans="1:25" x14ac:dyDescent="0.25">
      <c r="A39" t="s">
        <v>214</v>
      </c>
      <c r="B39" t="s">
        <v>42</v>
      </c>
      <c r="C39" s="49" t="s">
        <v>42</v>
      </c>
      <c r="D39" t="s">
        <v>43</v>
      </c>
      <c r="E39" s="49">
        <v>10110101</v>
      </c>
      <c r="F39" t="s">
        <v>81</v>
      </c>
      <c r="G39">
        <v>13</v>
      </c>
      <c r="H39" s="50">
        <v>3.9900000000000007</v>
      </c>
      <c r="I39" s="50">
        <v>184.90432425131999</v>
      </c>
      <c r="J39" s="52">
        <v>0</v>
      </c>
      <c r="K39" s="52">
        <v>0</v>
      </c>
      <c r="L39" s="52">
        <v>184.90432425131999</v>
      </c>
      <c r="M39" s="50">
        <v>0</v>
      </c>
      <c r="N39" s="50">
        <v>0</v>
      </c>
      <c r="O39" s="52" t="s">
        <v>35</v>
      </c>
      <c r="P39" s="52">
        <v>0</v>
      </c>
      <c r="Q39" s="49" t="s">
        <v>34</v>
      </c>
      <c r="R39" t="s">
        <v>215</v>
      </c>
      <c r="S39" t="s">
        <v>216</v>
      </c>
      <c r="T39" t="s">
        <v>217</v>
      </c>
      <c r="U39" t="s">
        <v>201</v>
      </c>
      <c r="V39" t="s">
        <v>86</v>
      </c>
      <c r="W39" t="s">
        <v>37</v>
      </c>
      <c r="Y39" s="53">
        <v>30.122258336681199</v>
      </c>
    </row>
    <row r="40" spans="1:25" x14ac:dyDescent="0.25">
      <c r="A40" t="s">
        <v>218</v>
      </c>
      <c r="B40" t="s">
        <v>42</v>
      </c>
      <c r="C40" s="49" t="s">
        <v>42</v>
      </c>
      <c r="D40" t="s">
        <v>43</v>
      </c>
      <c r="E40" s="49">
        <v>10110101</v>
      </c>
      <c r="F40" t="s">
        <v>88</v>
      </c>
      <c r="G40">
        <v>5</v>
      </c>
      <c r="H40" s="50">
        <v>15.64</v>
      </c>
      <c r="I40" s="50">
        <v>1179.1554662491801</v>
      </c>
      <c r="J40" s="52">
        <v>0</v>
      </c>
      <c r="K40" s="52">
        <v>0</v>
      </c>
      <c r="L40" s="52">
        <v>280</v>
      </c>
      <c r="M40" s="50">
        <v>0</v>
      </c>
      <c r="N40" s="50">
        <v>0</v>
      </c>
      <c r="O40" s="52" t="s">
        <v>35</v>
      </c>
      <c r="P40" s="52">
        <v>899</v>
      </c>
      <c r="Q40" s="49" t="s">
        <v>34</v>
      </c>
      <c r="R40" t="s">
        <v>219</v>
      </c>
      <c r="S40" t="s">
        <v>220</v>
      </c>
      <c r="T40" t="s">
        <v>221</v>
      </c>
      <c r="U40" t="s">
        <v>144</v>
      </c>
      <c r="V40" t="s">
        <v>86</v>
      </c>
      <c r="W40" t="s">
        <v>37</v>
      </c>
      <c r="Y40" s="53">
        <v>18.848393002704285</v>
      </c>
    </row>
    <row r="41" spans="1:25" x14ac:dyDescent="0.25">
      <c r="A41" t="s">
        <v>222</v>
      </c>
      <c r="B41" t="s">
        <v>42</v>
      </c>
      <c r="C41" s="49" t="s">
        <v>42</v>
      </c>
      <c r="D41" t="s">
        <v>43</v>
      </c>
      <c r="E41" s="49">
        <v>10110101</v>
      </c>
      <c r="F41" t="s">
        <v>106</v>
      </c>
      <c r="G41">
        <v>4</v>
      </c>
      <c r="H41" s="50">
        <v>5.5600000000000005</v>
      </c>
      <c r="I41" s="50">
        <v>246.20681064090002</v>
      </c>
      <c r="J41" s="52">
        <v>0</v>
      </c>
      <c r="K41" s="52">
        <v>0</v>
      </c>
      <c r="L41" s="52">
        <v>0</v>
      </c>
      <c r="M41" s="50">
        <v>0</v>
      </c>
      <c r="N41" s="50">
        <v>0</v>
      </c>
      <c r="O41" s="52" t="s">
        <v>35</v>
      </c>
      <c r="P41" s="52">
        <v>246</v>
      </c>
      <c r="Q41" s="49" t="s">
        <v>34</v>
      </c>
      <c r="R41" t="s">
        <v>223</v>
      </c>
      <c r="S41" t="s">
        <v>224</v>
      </c>
      <c r="T41" t="s">
        <v>225</v>
      </c>
      <c r="U41" t="s">
        <v>226</v>
      </c>
      <c r="V41" t="s">
        <v>86</v>
      </c>
      <c r="W41" t="s">
        <v>37</v>
      </c>
      <c r="Y41" s="53">
        <v>8.8563600949964023</v>
      </c>
    </row>
    <row r="42" spans="1:25" x14ac:dyDescent="0.25">
      <c r="A42" t="s">
        <v>227</v>
      </c>
      <c r="B42" t="s">
        <v>42</v>
      </c>
      <c r="C42" s="49" t="s">
        <v>42</v>
      </c>
      <c r="D42" t="s">
        <v>43</v>
      </c>
      <c r="E42" s="49">
        <v>10110101</v>
      </c>
      <c r="F42" t="s">
        <v>110</v>
      </c>
      <c r="G42">
        <v>12</v>
      </c>
      <c r="H42" s="50">
        <v>12.24</v>
      </c>
      <c r="I42" s="50">
        <v>559.83230864133009</v>
      </c>
      <c r="J42" s="52">
        <v>0</v>
      </c>
      <c r="K42" s="52">
        <v>0</v>
      </c>
      <c r="L42" s="52">
        <v>0</v>
      </c>
      <c r="M42" s="50">
        <v>0</v>
      </c>
      <c r="N42" s="50">
        <v>0</v>
      </c>
      <c r="O42" s="52" t="s">
        <v>35</v>
      </c>
      <c r="P42" s="52">
        <v>560</v>
      </c>
      <c r="Q42" s="49" t="s">
        <v>34</v>
      </c>
      <c r="R42" t="s">
        <v>228</v>
      </c>
      <c r="S42" t="s">
        <v>229</v>
      </c>
      <c r="T42" t="s">
        <v>217</v>
      </c>
      <c r="U42" t="s">
        <v>201</v>
      </c>
      <c r="V42" t="s">
        <v>86</v>
      </c>
      <c r="W42" t="s">
        <v>37</v>
      </c>
      <c r="Y42" s="53">
        <v>27.442760227516185</v>
      </c>
    </row>
    <row r="43" spans="1:25" x14ac:dyDescent="0.25">
      <c r="A43" t="s">
        <v>230</v>
      </c>
      <c r="B43" t="s">
        <v>42</v>
      </c>
      <c r="C43" s="49" t="s">
        <v>42</v>
      </c>
      <c r="D43" t="s">
        <v>43</v>
      </c>
      <c r="E43" s="49">
        <v>10110101</v>
      </c>
      <c r="F43" t="s">
        <v>231</v>
      </c>
      <c r="G43">
        <v>4</v>
      </c>
      <c r="H43" s="50">
        <v>7.14</v>
      </c>
      <c r="I43" s="50">
        <v>331.73052567480005</v>
      </c>
      <c r="J43" s="52">
        <v>0</v>
      </c>
      <c r="K43" s="52">
        <v>0</v>
      </c>
      <c r="L43" s="52">
        <v>0</v>
      </c>
      <c r="M43" s="50">
        <v>0</v>
      </c>
      <c r="N43" s="50">
        <v>0</v>
      </c>
      <c r="O43" s="52" t="s">
        <v>35</v>
      </c>
      <c r="P43" s="52">
        <v>332</v>
      </c>
      <c r="Q43" s="49" t="s">
        <v>34</v>
      </c>
      <c r="R43" t="s">
        <v>232</v>
      </c>
      <c r="S43" t="s">
        <v>233</v>
      </c>
      <c r="T43" t="s">
        <v>221</v>
      </c>
      <c r="U43" t="s">
        <v>234</v>
      </c>
      <c r="V43" t="s">
        <v>86</v>
      </c>
      <c r="W43" t="s">
        <v>37</v>
      </c>
      <c r="Y43" s="53">
        <v>9.2921715875294151</v>
      </c>
    </row>
    <row r="44" spans="1:25" x14ac:dyDescent="0.25">
      <c r="A44" t="s">
        <v>235</v>
      </c>
      <c r="B44" t="s">
        <v>42</v>
      </c>
      <c r="C44" s="49" t="s">
        <v>42</v>
      </c>
      <c r="D44" t="s">
        <v>43</v>
      </c>
      <c r="E44" s="49">
        <v>10110101</v>
      </c>
      <c r="F44" t="s">
        <v>236</v>
      </c>
      <c r="G44">
        <v>9</v>
      </c>
      <c r="H44" s="50">
        <v>10.780000000000001</v>
      </c>
      <c r="I44" s="50">
        <v>452.73147195270002</v>
      </c>
      <c r="J44" s="52">
        <v>0</v>
      </c>
      <c r="K44" s="52">
        <v>0</v>
      </c>
      <c r="L44" s="52">
        <v>0</v>
      </c>
      <c r="M44" s="50">
        <v>0</v>
      </c>
      <c r="N44" s="50">
        <v>0</v>
      </c>
      <c r="O44" s="52" t="s">
        <v>35</v>
      </c>
      <c r="P44" s="52">
        <v>453</v>
      </c>
      <c r="Q44" s="49" t="s">
        <v>34</v>
      </c>
      <c r="R44" t="s">
        <v>237</v>
      </c>
      <c r="S44" t="s">
        <v>238</v>
      </c>
      <c r="T44" t="s">
        <v>239</v>
      </c>
      <c r="U44" t="s">
        <v>240</v>
      </c>
      <c r="V44" t="s">
        <v>86</v>
      </c>
      <c r="W44" t="s">
        <v>37</v>
      </c>
      <c r="Y44" s="53">
        <v>18.898809126040351</v>
      </c>
    </row>
    <row r="45" spans="1:25" x14ac:dyDescent="0.25">
      <c r="A45" t="s">
        <v>241</v>
      </c>
      <c r="B45" t="s">
        <v>42</v>
      </c>
      <c r="C45" s="49" t="s">
        <v>42</v>
      </c>
      <c r="D45" t="s">
        <v>43</v>
      </c>
      <c r="E45" s="49">
        <v>10110101</v>
      </c>
      <c r="F45" t="s">
        <v>242</v>
      </c>
      <c r="G45">
        <v>3</v>
      </c>
      <c r="H45" s="50">
        <v>3.66</v>
      </c>
      <c r="I45" s="50">
        <v>165.661788075</v>
      </c>
      <c r="J45" s="52">
        <v>0</v>
      </c>
      <c r="K45" s="52">
        <v>0</v>
      </c>
      <c r="L45" s="52">
        <v>0</v>
      </c>
      <c r="M45" s="50">
        <v>0</v>
      </c>
      <c r="N45" s="50">
        <v>0</v>
      </c>
      <c r="O45" s="52" t="s">
        <v>35</v>
      </c>
      <c r="P45" s="52">
        <v>166</v>
      </c>
      <c r="Q45" s="49" t="s">
        <v>34</v>
      </c>
      <c r="R45" t="s">
        <v>243</v>
      </c>
      <c r="S45" t="s">
        <v>244</v>
      </c>
      <c r="T45" t="s">
        <v>239</v>
      </c>
      <c r="U45" t="s">
        <v>240</v>
      </c>
      <c r="V45" t="s">
        <v>86</v>
      </c>
      <c r="W45" t="s">
        <v>37</v>
      </c>
      <c r="Y45" s="53">
        <v>6.7894175440573781</v>
      </c>
    </row>
    <row r="46" spans="1:25" x14ac:dyDescent="0.25">
      <c r="A46" t="s">
        <v>245</v>
      </c>
      <c r="B46" t="s">
        <v>42</v>
      </c>
      <c r="C46" s="49" t="s">
        <v>42</v>
      </c>
      <c r="D46" t="s">
        <v>43</v>
      </c>
      <c r="E46" s="49">
        <v>10110101</v>
      </c>
      <c r="F46" t="s">
        <v>246</v>
      </c>
      <c r="G46">
        <v>4</v>
      </c>
      <c r="H46" s="50">
        <v>6.12</v>
      </c>
      <c r="I46" s="50">
        <v>347.16354508548</v>
      </c>
      <c r="J46" s="52">
        <v>0</v>
      </c>
      <c r="K46" s="52">
        <v>0</v>
      </c>
      <c r="L46" s="52">
        <v>0</v>
      </c>
      <c r="M46" s="50">
        <v>0</v>
      </c>
      <c r="N46" s="50">
        <v>0</v>
      </c>
      <c r="O46" s="52" t="s">
        <v>35</v>
      </c>
      <c r="P46" s="52">
        <v>347</v>
      </c>
      <c r="Q46" s="49" t="s">
        <v>34</v>
      </c>
      <c r="R46" t="s">
        <v>247</v>
      </c>
      <c r="S46" t="s">
        <v>248</v>
      </c>
      <c r="T46" t="s">
        <v>221</v>
      </c>
      <c r="U46" t="s">
        <v>144</v>
      </c>
      <c r="V46" t="s">
        <v>86</v>
      </c>
      <c r="W46" t="s">
        <v>37</v>
      </c>
      <c r="Y46" s="53">
        <v>11.345213891682354</v>
      </c>
    </row>
    <row r="47" spans="1:25" x14ac:dyDescent="0.25">
      <c r="A47" t="s">
        <v>249</v>
      </c>
      <c r="B47" t="s">
        <v>42</v>
      </c>
      <c r="C47" s="49" t="s">
        <v>42</v>
      </c>
      <c r="D47" t="s">
        <v>43</v>
      </c>
      <c r="E47" s="49">
        <v>10110101</v>
      </c>
      <c r="F47" t="s">
        <v>250</v>
      </c>
      <c r="G47">
        <v>8</v>
      </c>
      <c r="H47" s="50">
        <v>11.05</v>
      </c>
      <c r="I47" s="50">
        <v>423.29141254424991</v>
      </c>
      <c r="J47" s="52">
        <v>0</v>
      </c>
      <c r="K47" s="52">
        <v>0</v>
      </c>
      <c r="L47" s="52">
        <v>0</v>
      </c>
      <c r="M47" s="50">
        <v>0</v>
      </c>
      <c r="N47" s="50">
        <v>0</v>
      </c>
      <c r="O47" s="52" t="s">
        <v>35</v>
      </c>
      <c r="P47" s="52">
        <v>423</v>
      </c>
      <c r="Q47" s="49" t="s">
        <v>34</v>
      </c>
      <c r="R47" t="s">
        <v>251</v>
      </c>
      <c r="S47" t="s">
        <v>252</v>
      </c>
      <c r="T47" t="s">
        <v>239</v>
      </c>
      <c r="U47" t="s">
        <v>253</v>
      </c>
      <c r="V47" t="s">
        <v>86</v>
      </c>
      <c r="W47" t="s">
        <v>37</v>
      </c>
      <c r="Y47" s="53">
        <v>15.322766064950223</v>
      </c>
    </row>
    <row r="48" spans="1:25" x14ac:dyDescent="0.25">
      <c r="A48" t="s">
        <v>254</v>
      </c>
      <c r="B48" t="s">
        <v>42</v>
      </c>
      <c r="C48" s="49" t="s">
        <v>42</v>
      </c>
      <c r="D48" t="s">
        <v>43</v>
      </c>
      <c r="E48" s="49">
        <v>10110101</v>
      </c>
      <c r="F48" t="s">
        <v>255</v>
      </c>
      <c r="G48">
        <v>14</v>
      </c>
      <c r="H48" s="50">
        <v>128.05000000000001</v>
      </c>
      <c r="I48" s="50">
        <v>5931.0799105706001</v>
      </c>
      <c r="J48" s="52">
        <v>0</v>
      </c>
      <c r="K48" s="52">
        <v>0</v>
      </c>
      <c r="L48" s="52">
        <v>104</v>
      </c>
      <c r="M48" s="50">
        <v>0</v>
      </c>
      <c r="N48" s="50">
        <v>0</v>
      </c>
      <c r="O48" s="52" t="s">
        <v>35</v>
      </c>
      <c r="P48" s="52">
        <v>5827</v>
      </c>
      <c r="Q48" s="49" t="s">
        <v>34</v>
      </c>
      <c r="R48" t="s">
        <v>256</v>
      </c>
      <c r="S48" t="s">
        <v>257</v>
      </c>
      <c r="T48" t="s">
        <v>217</v>
      </c>
      <c r="U48" t="s">
        <v>258</v>
      </c>
      <c r="V48" t="s">
        <v>86</v>
      </c>
      <c r="W48" t="s">
        <v>37</v>
      </c>
      <c r="Y48" s="53">
        <v>32.422928054661618</v>
      </c>
    </row>
    <row r="49" spans="1:25" x14ac:dyDescent="0.25">
      <c r="A49" t="s">
        <v>259</v>
      </c>
      <c r="B49" t="s">
        <v>42</v>
      </c>
      <c r="C49" s="49" t="s">
        <v>42</v>
      </c>
      <c r="D49" t="s">
        <v>45</v>
      </c>
      <c r="E49" s="49">
        <v>10540005</v>
      </c>
      <c r="F49" t="s">
        <v>81</v>
      </c>
      <c r="G49">
        <v>2</v>
      </c>
      <c r="H49" s="50">
        <v>3.37</v>
      </c>
      <c r="I49" s="50">
        <v>111.59763561810001</v>
      </c>
      <c r="J49" s="52">
        <v>0</v>
      </c>
      <c r="K49" s="52">
        <v>0</v>
      </c>
      <c r="L49" s="52">
        <v>111.59763561810001</v>
      </c>
      <c r="M49" s="50">
        <v>0</v>
      </c>
      <c r="N49" s="50">
        <v>0</v>
      </c>
      <c r="O49" s="52" t="s">
        <v>35</v>
      </c>
      <c r="P49" s="52">
        <v>0</v>
      </c>
      <c r="Q49" s="49" t="s">
        <v>34</v>
      </c>
      <c r="R49" t="s">
        <v>260</v>
      </c>
      <c r="S49" t="s">
        <v>261</v>
      </c>
      <c r="T49" t="s">
        <v>221</v>
      </c>
      <c r="U49" t="s">
        <v>234</v>
      </c>
      <c r="V49" t="s">
        <v>86</v>
      </c>
      <c r="W49" t="s">
        <v>37</v>
      </c>
      <c r="Y49" s="53">
        <v>3.3115025405964396</v>
      </c>
    </row>
    <row r="50" spans="1:25" x14ac:dyDescent="0.25">
      <c r="A50" t="s">
        <v>262</v>
      </c>
      <c r="B50" t="s">
        <v>42</v>
      </c>
      <c r="C50" s="49" t="s">
        <v>42</v>
      </c>
      <c r="D50" t="s">
        <v>45</v>
      </c>
      <c r="E50" s="49">
        <v>10540005</v>
      </c>
      <c r="F50" t="s">
        <v>131</v>
      </c>
      <c r="G50">
        <v>11</v>
      </c>
      <c r="H50" s="50">
        <v>18.799999999999997</v>
      </c>
      <c r="I50" s="50">
        <v>723.50190021045012</v>
      </c>
      <c r="J50" s="52">
        <v>0</v>
      </c>
      <c r="K50" s="52">
        <v>0</v>
      </c>
      <c r="L50" s="52">
        <v>0</v>
      </c>
      <c r="M50" s="50">
        <v>724</v>
      </c>
      <c r="N50" s="50">
        <v>0</v>
      </c>
      <c r="O50" s="52" t="s">
        <v>35</v>
      </c>
      <c r="P50" s="52">
        <v>0</v>
      </c>
      <c r="Q50" s="49" t="s">
        <v>34</v>
      </c>
      <c r="R50" t="s">
        <v>263</v>
      </c>
      <c r="S50" t="s">
        <v>264</v>
      </c>
      <c r="T50" t="s">
        <v>239</v>
      </c>
      <c r="U50" t="s">
        <v>240</v>
      </c>
      <c r="V50" t="s">
        <v>86</v>
      </c>
      <c r="W50" t="s">
        <v>37</v>
      </c>
      <c r="Y50" s="53">
        <v>21.166278995518489</v>
      </c>
    </row>
    <row r="51" spans="1:25" x14ac:dyDescent="0.25">
      <c r="A51" t="s">
        <v>265</v>
      </c>
      <c r="B51" t="s">
        <v>42</v>
      </c>
      <c r="C51" s="49" t="s">
        <v>42</v>
      </c>
      <c r="D51" t="s">
        <v>45</v>
      </c>
      <c r="E51" s="49">
        <v>10540005</v>
      </c>
      <c r="F51" t="s">
        <v>137</v>
      </c>
      <c r="G51">
        <v>12</v>
      </c>
      <c r="H51" s="50">
        <v>68.649999999999991</v>
      </c>
      <c r="I51" s="50">
        <v>3032.3118999750004</v>
      </c>
      <c r="J51" s="52">
        <v>0</v>
      </c>
      <c r="K51" s="52">
        <v>0</v>
      </c>
      <c r="L51" s="52">
        <v>0</v>
      </c>
      <c r="M51" s="50">
        <v>0</v>
      </c>
      <c r="N51" s="50">
        <v>0</v>
      </c>
      <c r="O51" s="52" t="s">
        <v>35</v>
      </c>
      <c r="P51" s="52">
        <v>3032</v>
      </c>
      <c r="Q51" s="49" t="s">
        <v>34</v>
      </c>
      <c r="R51" t="s">
        <v>266</v>
      </c>
      <c r="S51" t="s">
        <v>267</v>
      </c>
      <c r="T51" t="s">
        <v>128</v>
      </c>
      <c r="U51" t="s">
        <v>195</v>
      </c>
      <c r="V51" t="s">
        <v>86</v>
      </c>
      <c r="W51" t="s">
        <v>37</v>
      </c>
      <c r="Y51" s="53">
        <v>26.502361835178451</v>
      </c>
    </row>
    <row r="52" spans="1:25" x14ac:dyDescent="0.25">
      <c r="A52" t="s">
        <v>268</v>
      </c>
      <c r="B52" t="s">
        <v>42</v>
      </c>
      <c r="C52" s="49" t="s">
        <v>42</v>
      </c>
      <c r="D52" t="s">
        <v>45</v>
      </c>
      <c r="E52" s="49">
        <v>10540005</v>
      </c>
      <c r="F52" t="s">
        <v>141</v>
      </c>
      <c r="G52">
        <v>7</v>
      </c>
      <c r="H52" s="50">
        <v>14.66</v>
      </c>
      <c r="I52" s="50">
        <v>669.81081184350001</v>
      </c>
      <c r="J52" s="52">
        <v>0</v>
      </c>
      <c r="K52" s="52">
        <v>0</v>
      </c>
      <c r="L52" s="52">
        <v>0</v>
      </c>
      <c r="M52" s="50">
        <v>0</v>
      </c>
      <c r="N52" s="50">
        <v>0</v>
      </c>
      <c r="O52" s="52" t="s">
        <v>35</v>
      </c>
      <c r="P52" s="52">
        <v>670</v>
      </c>
      <c r="Q52" s="49" t="s">
        <v>34</v>
      </c>
      <c r="R52" t="s">
        <v>269</v>
      </c>
      <c r="S52" t="s">
        <v>270</v>
      </c>
      <c r="T52" t="s">
        <v>239</v>
      </c>
      <c r="U52" t="s">
        <v>240</v>
      </c>
      <c r="V52" t="s">
        <v>86</v>
      </c>
      <c r="W52" t="s">
        <v>37</v>
      </c>
      <c r="Y52" s="53">
        <v>15.991390460110846</v>
      </c>
    </row>
    <row r="53" spans="1:25" x14ac:dyDescent="0.25">
      <c r="A53" t="s">
        <v>271</v>
      </c>
      <c r="B53" t="s">
        <v>42</v>
      </c>
      <c r="C53" s="49" t="s">
        <v>42</v>
      </c>
      <c r="D53" t="s">
        <v>45</v>
      </c>
      <c r="E53" s="49">
        <v>10540005</v>
      </c>
      <c r="F53" t="s">
        <v>153</v>
      </c>
      <c r="G53">
        <v>12</v>
      </c>
      <c r="H53" s="50">
        <v>39.86</v>
      </c>
      <c r="I53" s="50">
        <v>1529.0524522338001</v>
      </c>
      <c r="J53" s="52">
        <v>0</v>
      </c>
      <c r="K53" s="52">
        <v>0</v>
      </c>
      <c r="L53" s="52">
        <v>0</v>
      </c>
      <c r="M53" s="50">
        <v>0</v>
      </c>
      <c r="N53" s="50">
        <v>0</v>
      </c>
      <c r="O53" s="52" t="s">
        <v>35</v>
      </c>
      <c r="P53" s="52">
        <v>1529</v>
      </c>
      <c r="Q53" s="49" t="s">
        <v>34</v>
      </c>
      <c r="R53" t="s">
        <v>272</v>
      </c>
      <c r="S53" t="s">
        <v>273</v>
      </c>
      <c r="T53" t="s">
        <v>274</v>
      </c>
      <c r="U53" t="s">
        <v>275</v>
      </c>
      <c r="V53" t="s">
        <v>86</v>
      </c>
      <c r="W53" t="s">
        <v>37</v>
      </c>
      <c r="Y53" s="53">
        <v>23.016343987463127</v>
      </c>
    </row>
    <row r="54" spans="1:25" x14ac:dyDescent="0.25">
      <c r="A54" t="s">
        <v>276</v>
      </c>
      <c r="B54" t="s">
        <v>42</v>
      </c>
      <c r="C54" s="49" t="s">
        <v>42</v>
      </c>
      <c r="D54" t="s">
        <v>45</v>
      </c>
      <c r="E54" s="49">
        <v>10540005</v>
      </c>
      <c r="F54" t="s">
        <v>110</v>
      </c>
      <c r="G54">
        <v>12</v>
      </c>
      <c r="H54" s="50">
        <v>38.93</v>
      </c>
      <c r="I54" s="50">
        <v>1494.0852363639001</v>
      </c>
      <c r="J54" s="52">
        <v>0</v>
      </c>
      <c r="K54" s="52">
        <v>0</v>
      </c>
      <c r="L54" s="52">
        <v>510</v>
      </c>
      <c r="M54" s="50">
        <v>0</v>
      </c>
      <c r="N54" s="50">
        <v>0</v>
      </c>
      <c r="O54" s="52" t="s">
        <v>35</v>
      </c>
      <c r="P54" s="52">
        <v>984</v>
      </c>
      <c r="Q54" s="49" t="s">
        <v>34</v>
      </c>
      <c r="R54" t="s">
        <v>277</v>
      </c>
      <c r="S54" t="s">
        <v>278</v>
      </c>
      <c r="T54" t="s">
        <v>221</v>
      </c>
      <c r="U54" t="s">
        <v>234</v>
      </c>
      <c r="V54" t="s">
        <v>86</v>
      </c>
      <c r="W54" t="s">
        <v>37</v>
      </c>
      <c r="Y54" s="53">
        <v>23.027257688629341</v>
      </c>
    </row>
    <row r="55" spans="1:25" x14ac:dyDescent="0.25">
      <c r="A55" t="s">
        <v>279</v>
      </c>
      <c r="B55" t="s">
        <v>42</v>
      </c>
      <c r="C55" s="49" t="s">
        <v>42</v>
      </c>
      <c r="D55" t="s">
        <v>45</v>
      </c>
      <c r="E55" s="49">
        <v>10540005</v>
      </c>
      <c r="F55" t="s">
        <v>280</v>
      </c>
      <c r="G55">
        <v>12</v>
      </c>
      <c r="H55" s="50">
        <v>20.43</v>
      </c>
      <c r="I55" s="50">
        <v>942.10676989258013</v>
      </c>
      <c r="J55" s="52">
        <v>0</v>
      </c>
      <c r="K55" s="52">
        <v>0</v>
      </c>
      <c r="L55" s="52">
        <v>0</v>
      </c>
      <c r="M55" s="50">
        <v>0</v>
      </c>
      <c r="N55" s="50">
        <v>0</v>
      </c>
      <c r="O55" s="52" t="s">
        <v>35</v>
      </c>
      <c r="P55" s="52">
        <v>942</v>
      </c>
      <c r="Q55" s="49" t="s">
        <v>34</v>
      </c>
      <c r="R55" t="s">
        <v>281</v>
      </c>
      <c r="S55" t="s">
        <v>282</v>
      </c>
      <c r="T55" t="s">
        <v>283</v>
      </c>
      <c r="U55" t="s">
        <v>144</v>
      </c>
      <c r="V55" t="s">
        <v>86</v>
      </c>
      <c r="W55" t="s">
        <v>37</v>
      </c>
      <c r="Y55" s="53">
        <v>27.668333917550083</v>
      </c>
    </row>
    <row r="56" spans="1:25" x14ac:dyDescent="0.25">
      <c r="A56" t="s">
        <v>284</v>
      </c>
      <c r="B56" t="s">
        <v>42</v>
      </c>
      <c r="C56" s="49" t="s">
        <v>42</v>
      </c>
      <c r="D56" t="s">
        <v>45</v>
      </c>
      <c r="E56" s="49">
        <v>10540005</v>
      </c>
      <c r="F56" t="s">
        <v>246</v>
      </c>
      <c r="G56">
        <v>6</v>
      </c>
      <c r="H56" s="50">
        <v>6.2700000000000005</v>
      </c>
      <c r="I56" s="50">
        <v>218.71069481790005</v>
      </c>
      <c r="J56" s="52">
        <v>0</v>
      </c>
      <c r="K56" s="52">
        <v>0</v>
      </c>
      <c r="L56" s="52">
        <v>0</v>
      </c>
      <c r="M56" s="50">
        <v>0</v>
      </c>
      <c r="N56" s="50">
        <v>0</v>
      </c>
      <c r="O56" s="52" t="s">
        <v>35</v>
      </c>
      <c r="P56" s="52">
        <v>219</v>
      </c>
      <c r="Q56" s="49" t="s">
        <v>34</v>
      </c>
      <c r="R56" t="s">
        <v>285</v>
      </c>
      <c r="S56" t="s">
        <v>286</v>
      </c>
      <c r="T56" t="s">
        <v>239</v>
      </c>
      <c r="U56" t="s">
        <v>240</v>
      </c>
      <c r="V56" t="s">
        <v>86</v>
      </c>
      <c r="W56" t="s">
        <v>37</v>
      </c>
      <c r="Y56" s="53">
        <v>10.464626546311008</v>
      </c>
    </row>
    <row r="57" spans="1:25" x14ac:dyDescent="0.25">
      <c r="A57" t="s">
        <v>287</v>
      </c>
      <c r="B57" t="s">
        <v>42</v>
      </c>
      <c r="C57" s="49" t="s">
        <v>42</v>
      </c>
      <c r="D57" t="s">
        <v>45</v>
      </c>
      <c r="E57" s="49">
        <v>10540005</v>
      </c>
      <c r="F57" t="s">
        <v>179</v>
      </c>
      <c r="G57">
        <v>11</v>
      </c>
      <c r="H57" s="50">
        <v>38.76</v>
      </c>
      <c r="I57" s="50">
        <v>1603.9111949399999</v>
      </c>
      <c r="J57" s="52">
        <v>0</v>
      </c>
      <c r="K57" s="52">
        <v>0</v>
      </c>
      <c r="L57" s="52">
        <v>0</v>
      </c>
      <c r="M57" s="50">
        <v>0</v>
      </c>
      <c r="N57" s="50">
        <v>0</v>
      </c>
      <c r="O57" s="52" t="s">
        <v>35</v>
      </c>
      <c r="P57" s="52">
        <v>1604</v>
      </c>
      <c r="Q57" s="49" t="s">
        <v>34</v>
      </c>
      <c r="R57" t="s">
        <v>160</v>
      </c>
      <c r="S57" t="s">
        <v>288</v>
      </c>
      <c r="T57" t="s">
        <v>289</v>
      </c>
      <c r="U57" t="s">
        <v>144</v>
      </c>
      <c r="V57" t="s">
        <v>86</v>
      </c>
      <c r="W57" t="s">
        <v>37</v>
      </c>
      <c r="Y57" s="53">
        <v>22.759317781656346</v>
      </c>
    </row>
    <row r="58" spans="1:25" x14ac:dyDescent="0.25">
      <c r="A58" t="s">
        <v>290</v>
      </c>
      <c r="B58" t="s">
        <v>42</v>
      </c>
      <c r="C58" s="49" t="s">
        <v>42</v>
      </c>
      <c r="D58" t="s">
        <v>45</v>
      </c>
      <c r="E58" s="49">
        <v>10540005</v>
      </c>
      <c r="F58" t="s">
        <v>291</v>
      </c>
      <c r="G58">
        <v>11</v>
      </c>
      <c r="H58" s="50">
        <v>20.29</v>
      </c>
      <c r="I58" s="50">
        <v>909.26375879340003</v>
      </c>
      <c r="J58" s="52">
        <v>0</v>
      </c>
      <c r="K58" s="52">
        <v>0</v>
      </c>
      <c r="L58" s="52">
        <v>0</v>
      </c>
      <c r="M58" s="50">
        <v>0</v>
      </c>
      <c r="N58" s="50">
        <v>0</v>
      </c>
      <c r="O58" s="52" t="s">
        <v>35</v>
      </c>
      <c r="P58" s="52">
        <v>909</v>
      </c>
      <c r="Q58" s="49" t="s">
        <v>34</v>
      </c>
      <c r="R58" t="s">
        <v>292</v>
      </c>
      <c r="S58" t="s">
        <v>293</v>
      </c>
      <c r="T58" t="s">
        <v>294</v>
      </c>
      <c r="U58" t="s">
        <v>295</v>
      </c>
      <c r="V58" t="s">
        <v>86</v>
      </c>
      <c r="W58" t="s">
        <v>37</v>
      </c>
      <c r="Y58" s="53">
        <v>24.647366551817154</v>
      </c>
    </row>
    <row r="59" spans="1:25" x14ac:dyDescent="0.25">
      <c r="A59" t="s">
        <v>296</v>
      </c>
      <c r="B59" t="s">
        <v>42</v>
      </c>
      <c r="C59" s="49" t="s">
        <v>42</v>
      </c>
      <c r="D59" t="s">
        <v>45</v>
      </c>
      <c r="E59" s="49">
        <v>10540005</v>
      </c>
      <c r="F59" t="s">
        <v>122</v>
      </c>
      <c r="G59">
        <v>5</v>
      </c>
      <c r="H59" s="50">
        <v>6.15</v>
      </c>
      <c r="I59" s="50">
        <v>253.14806596334995</v>
      </c>
      <c r="J59" s="52">
        <v>0</v>
      </c>
      <c r="K59" s="52">
        <v>0</v>
      </c>
      <c r="L59" s="52">
        <v>0</v>
      </c>
      <c r="M59" s="50">
        <v>0</v>
      </c>
      <c r="N59" s="50">
        <v>0</v>
      </c>
      <c r="O59" s="52" t="s">
        <v>35</v>
      </c>
      <c r="P59" s="52">
        <v>253</v>
      </c>
      <c r="Q59" s="49" t="s">
        <v>34</v>
      </c>
      <c r="R59" t="s">
        <v>297</v>
      </c>
      <c r="S59" t="s">
        <v>298</v>
      </c>
      <c r="T59" t="s">
        <v>299</v>
      </c>
      <c r="U59" t="s">
        <v>300</v>
      </c>
      <c r="V59" t="s">
        <v>86</v>
      </c>
      <c r="W59" t="s">
        <v>37</v>
      </c>
      <c r="Y59" s="53">
        <v>10.290571787128046</v>
      </c>
    </row>
    <row r="60" spans="1:25" x14ac:dyDescent="0.25">
      <c r="A60" t="s">
        <v>301</v>
      </c>
      <c r="B60" t="s">
        <v>42</v>
      </c>
      <c r="C60" s="49" t="s">
        <v>42</v>
      </c>
      <c r="D60" t="s">
        <v>46</v>
      </c>
      <c r="E60" s="49">
        <v>10540008</v>
      </c>
      <c r="F60" t="s">
        <v>131</v>
      </c>
      <c r="G60">
        <v>14</v>
      </c>
      <c r="H60" s="50">
        <v>31.479999999999997</v>
      </c>
      <c r="I60" s="50">
        <v>1050.00047218545</v>
      </c>
      <c r="J60" s="52">
        <v>0</v>
      </c>
      <c r="K60" s="52">
        <v>0</v>
      </c>
      <c r="L60" s="52">
        <v>200</v>
      </c>
      <c r="M60" s="50">
        <v>0</v>
      </c>
      <c r="N60" s="50">
        <v>0</v>
      </c>
      <c r="O60" s="52" t="s">
        <v>35</v>
      </c>
      <c r="P60" s="52">
        <v>850</v>
      </c>
      <c r="Q60" s="49" t="s">
        <v>34</v>
      </c>
      <c r="R60" t="s">
        <v>302</v>
      </c>
      <c r="S60" t="s">
        <v>303</v>
      </c>
      <c r="T60" t="s">
        <v>128</v>
      </c>
      <c r="U60" t="s">
        <v>129</v>
      </c>
      <c r="V60" t="s">
        <v>86</v>
      </c>
      <c r="W60" t="s">
        <v>37</v>
      </c>
      <c r="Y60" s="53">
        <v>23.348168060032247</v>
      </c>
    </row>
    <row r="61" spans="1:25" x14ac:dyDescent="0.25">
      <c r="A61" t="s">
        <v>304</v>
      </c>
      <c r="B61" t="s">
        <v>42</v>
      </c>
      <c r="C61" s="49" t="s">
        <v>42</v>
      </c>
      <c r="D61" t="s">
        <v>46</v>
      </c>
      <c r="E61" s="49">
        <v>10540008</v>
      </c>
      <c r="F61" t="s">
        <v>141</v>
      </c>
      <c r="G61">
        <v>6</v>
      </c>
      <c r="H61" s="50">
        <v>14.82</v>
      </c>
      <c r="I61" s="50">
        <v>1101.0078074805001</v>
      </c>
      <c r="J61" s="52">
        <v>0</v>
      </c>
      <c r="K61" s="52">
        <v>0</v>
      </c>
      <c r="L61" s="52">
        <v>120</v>
      </c>
      <c r="M61" s="50">
        <v>0</v>
      </c>
      <c r="N61" s="50">
        <v>0</v>
      </c>
      <c r="O61" s="52" t="s">
        <v>35</v>
      </c>
      <c r="P61" s="52">
        <v>981</v>
      </c>
      <c r="Q61" s="49" t="s">
        <v>34</v>
      </c>
      <c r="R61" t="s">
        <v>305</v>
      </c>
      <c r="S61" t="s">
        <v>306</v>
      </c>
      <c r="T61" t="s">
        <v>128</v>
      </c>
      <c r="U61" t="s">
        <v>151</v>
      </c>
      <c r="V61" t="s">
        <v>86</v>
      </c>
      <c r="W61" t="s">
        <v>37</v>
      </c>
      <c r="Y61" s="53">
        <v>22.287607438876524</v>
      </c>
    </row>
    <row r="62" spans="1:25" x14ac:dyDescent="0.25">
      <c r="A62" t="s">
        <v>307</v>
      </c>
      <c r="B62" t="s">
        <v>42</v>
      </c>
      <c r="C62" s="49" t="s">
        <v>42</v>
      </c>
      <c r="D62" t="s">
        <v>46</v>
      </c>
      <c r="E62" s="49">
        <v>10540008</v>
      </c>
      <c r="F62" t="s">
        <v>88</v>
      </c>
      <c r="G62">
        <v>14</v>
      </c>
      <c r="H62" s="50">
        <v>48.289999999999992</v>
      </c>
      <c r="I62" s="50">
        <v>2158.9340420370004</v>
      </c>
      <c r="J62" s="52">
        <v>0</v>
      </c>
      <c r="K62" s="52">
        <v>0</v>
      </c>
      <c r="L62" s="52">
        <v>130</v>
      </c>
      <c r="M62" s="50">
        <v>0</v>
      </c>
      <c r="N62" s="50">
        <v>500</v>
      </c>
      <c r="O62" s="52" t="s">
        <v>35</v>
      </c>
      <c r="P62" s="52">
        <v>1529</v>
      </c>
      <c r="Q62" s="49" t="s">
        <v>34</v>
      </c>
      <c r="R62" t="s">
        <v>308</v>
      </c>
      <c r="S62" t="s">
        <v>309</v>
      </c>
      <c r="T62" t="s">
        <v>310</v>
      </c>
      <c r="U62" t="s">
        <v>240</v>
      </c>
      <c r="V62" t="s">
        <v>86</v>
      </c>
      <c r="W62" t="s">
        <v>37</v>
      </c>
      <c r="Y62" s="53">
        <v>31.295378534394299</v>
      </c>
    </row>
    <row r="63" spans="1:25" x14ac:dyDescent="0.25">
      <c r="A63" t="s">
        <v>311</v>
      </c>
      <c r="B63" t="s">
        <v>42</v>
      </c>
      <c r="C63" s="49" t="s">
        <v>42</v>
      </c>
      <c r="D63" t="s">
        <v>46</v>
      </c>
      <c r="E63" s="49">
        <v>10540008</v>
      </c>
      <c r="F63" t="s">
        <v>153</v>
      </c>
      <c r="G63">
        <v>14</v>
      </c>
      <c r="H63" s="50">
        <v>30.819999999999997</v>
      </c>
      <c r="I63" s="50">
        <v>2105.670917506</v>
      </c>
      <c r="J63" s="52">
        <v>0</v>
      </c>
      <c r="K63" s="52">
        <v>0</v>
      </c>
      <c r="L63" s="52">
        <v>0</v>
      </c>
      <c r="M63" s="50">
        <v>2106</v>
      </c>
      <c r="N63" s="50">
        <v>0</v>
      </c>
      <c r="O63" s="52" t="s">
        <v>35</v>
      </c>
      <c r="P63" s="52">
        <v>0</v>
      </c>
      <c r="Q63" s="49" t="s">
        <v>34</v>
      </c>
      <c r="R63" t="s">
        <v>312</v>
      </c>
      <c r="S63" t="s">
        <v>313</v>
      </c>
      <c r="T63" t="s">
        <v>128</v>
      </c>
      <c r="U63" t="s">
        <v>151</v>
      </c>
      <c r="V63" t="s">
        <v>86</v>
      </c>
      <c r="W63" t="s">
        <v>37</v>
      </c>
      <c r="Y63" s="53">
        <v>47.825101955035699</v>
      </c>
    </row>
    <row r="64" spans="1:25" x14ac:dyDescent="0.25">
      <c r="A64" t="s">
        <v>314</v>
      </c>
      <c r="B64" t="s">
        <v>42</v>
      </c>
      <c r="C64" s="49" t="s">
        <v>42</v>
      </c>
      <c r="D64" t="s">
        <v>46</v>
      </c>
      <c r="E64" s="49">
        <v>10540008</v>
      </c>
      <c r="F64" t="s">
        <v>98</v>
      </c>
      <c r="G64">
        <v>9</v>
      </c>
      <c r="H64" s="50">
        <v>16.84</v>
      </c>
      <c r="I64" s="50">
        <v>784.46432985689</v>
      </c>
      <c r="J64" s="52">
        <v>0</v>
      </c>
      <c r="K64" s="52">
        <v>0</v>
      </c>
      <c r="L64" s="52">
        <v>150</v>
      </c>
      <c r="M64" s="50">
        <v>0</v>
      </c>
      <c r="N64" s="50">
        <v>0</v>
      </c>
      <c r="O64" s="52" t="s">
        <v>35</v>
      </c>
      <c r="P64" s="52">
        <v>634</v>
      </c>
      <c r="Q64" s="49" t="s">
        <v>34</v>
      </c>
      <c r="R64" t="s">
        <v>315</v>
      </c>
      <c r="S64" t="s">
        <v>316</v>
      </c>
      <c r="T64" t="s">
        <v>310</v>
      </c>
      <c r="U64" t="s">
        <v>317</v>
      </c>
      <c r="V64" t="s">
        <v>86</v>
      </c>
      <c r="W64" t="s">
        <v>37</v>
      </c>
      <c r="Y64" s="53">
        <v>20.962526629192432</v>
      </c>
    </row>
    <row r="65" spans="1:25" x14ac:dyDescent="0.25">
      <c r="A65" t="s">
        <v>318</v>
      </c>
      <c r="B65" t="s">
        <v>42</v>
      </c>
      <c r="C65" s="49" t="s">
        <v>42</v>
      </c>
      <c r="D65" t="s">
        <v>46</v>
      </c>
      <c r="E65" s="49">
        <v>10540008</v>
      </c>
      <c r="F65" t="s">
        <v>110</v>
      </c>
      <c r="G65">
        <v>14</v>
      </c>
      <c r="H65" s="50">
        <v>21.580000000000002</v>
      </c>
      <c r="I65" s="50">
        <v>844.06233858195003</v>
      </c>
      <c r="J65" s="52">
        <v>0</v>
      </c>
      <c r="K65" s="52">
        <v>0</v>
      </c>
      <c r="L65" s="52">
        <v>150</v>
      </c>
      <c r="M65" s="50">
        <v>0</v>
      </c>
      <c r="N65" s="50">
        <v>0</v>
      </c>
      <c r="O65" s="52" t="s">
        <v>35</v>
      </c>
      <c r="P65" s="52">
        <v>694</v>
      </c>
      <c r="Q65" s="49" t="s">
        <v>34</v>
      </c>
      <c r="R65" t="s">
        <v>319</v>
      </c>
      <c r="S65" t="s">
        <v>320</v>
      </c>
      <c r="T65" t="s">
        <v>310</v>
      </c>
      <c r="U65" t="s">
        <v>240</v>
      </c>
      <c r="V65" t="s">
        <v>86</v>
      </c>
      <c r="W65" t="s">
        <v>37</v>
      </c>
      <c r="Y65" s="53">
        <v>27.379223216281975</v>
      </c>
    </row>
    <row r="66" spans="1:25" x14ac:dyDescent="0.25">
      <c r="A66" t="s">
        <v>321</v>
      </c>
      <c r="B66" t="s">
        <v>42</v>
      </c>
      <c r="C66" s="49" t="s">
        <v>42</v>
      </c>
      <c r="D66" t="s">
        <v>46</v>
      </c>
      <c r="E66" s="49">
        <v>10540008</v>
      </c>
      <c r="F66" t="s">
        <v>246</v>
      </c>
      <c r="G66">
        <v>14</v>
      </c>
      <c r="H66" s="50">
        <v>13.55</v>
      </c>
      <c r="I66" s="50">
        <v>571.90605155144999</v>
      </c>
      <c r="J66" s="52">
        <v>0</v>
      </c>
      <c r="K66" s="52">
        <v>0</v>
      </c>
      <c r="L66" s="52">
        <v>50</v>
      </c>
      <c r="M66" s="50">
        <v>0</v>
      </c>
      <c r="N66" s="50">
        <v>0</v>
      </c>
      <c r="O66" s="52" t="s">
        <v>35</v>
      </c>
      <c r="P66" s="52">
        <v>522</v>
      </c>
      <c r="Q66" s="49" t="s">
        <v>34</v>
      </c>
      <c r="R66" t="s">
        <v>322</v>
      </c>
      <c r="S66" t="s">
        <v>323</v>
      </c>
      <c r="T66" t="s">
        <v>310</v>
      </c>
      <c r="U66" t="s">
        <v>240</v>
      </c>
      <c r="V66" t="s">
        <v>86</v>
      </c>
      <c r="W66" t="s">
        <v>37</v>
      </c>
      <c r="Y66" s="53">
        <v>29.544962072768634</v>
      </c>
    </row>
    <row r="67" spans="1:25" x14ac:dyDescent="0.25">
      <c r="A67" t="s">
        <v>324</v>
      </c>
      <c r="B67" t="s">
        <v>42</v>
      </c>
      <c r="C67" s="49" t="s">
        <v>42</v>
      </c>
      <c r="D67" t="s">
        <v>46</v>
      </c>
      <c r="E67" s="49">
        <v>10540008</v>
      </c>
      <c r="F67" t="s">
        <v>185</v>
      </c>
      <c r="G67">
        <v>7</v>
      </c>
      <c r="H67" s="50">
        <v>16.779999999999998</v>
      </c>
      <c r="I67" s="50">
        <v>1348.1099980009599</v>
      </c>
      <c r="J67" s="52">
        <v>0</v>
      </c>
      <c r="K67" s="52">
        <v>0</v>
      </c>
      <c r="L67" s="52">
        <v>180</v>
      </c>
      <c r="M67" s="50">
        <v>0</v>
      </c>
      <c r="N67" s="50">
        <v>0</v>
      </c>
      <c r="O67" s="52" t="s">
        <v>35</v>
      </c>
      <c r="P67" s="52">
        <v>1168</v>
      </c>
      <c r="Q67" s="49" t="s">
        <v>34</v>
      </c>
      <c r="R67" t="s">
        <v>325</v>
      </c>
      <c r="S67" t="s">
        <v>326</v>
      </c>
      <c r="T67" t="s">
        <v>327</v>
      </c>
      <c r="U67" t="s">
        <v>328</v>
      </c>
      <c r="V67" t="s">
        <v>86</v>
      </c>
      <c r="W67" t="s">
        <v>37</v>
      </c>
      <c r="Y67" s="53">
        <v>28.119100077493211</v>
      </c>
    </row>
    <row r="68" spans="1:25" x14ac:dyDescent="0.25">
      <c r="A68" t="s">
        <v>329</v>
      </c>
      <c r="B68" t="s">
        <v>42</v>
      </c>
      <c r="C68" s="49" t="s">
        <v>42</v>
      </c>
      <c r="D68" t="s">
        <v>46</v>
      </c>
      <c r="E68" s="49">
        <v>10540008</v>
      </c>
      <c r="F68" t="s">
        <v>330</v>
      </c>
      <c r="G68">
        <v>14</v>
      </c>
      <c r="H68" s="50">
        <v>22.340000000000003</v>
      </c>
      <c r="I68" s="50">
        <v>826.42964797619993</v>
      </c>
      <c r="J68" s="52">
        <v>0</v>
      </c>
      <c r="K68" s="52">
        <v>0</v>
      </c>
      <c r="L68" s="52">
        <v>155</v>
      </c>
      <c r="M68" s="50">
        <v>0</v>
      </c>
      <c r="N68" s="50">
        <v>0</v>
      </c>
      <c r="O68" s="52" t="s">
        <v>35</v>
      </c>
      <c r="P68" s="52">
        <v>671</v>
      </c>
      <c r="Q68" s="49" t="s">
        <v>34</v>
      </c>
      <c r="R68" t="s">
        <v>331</v>
      </c>
      <c r="S68" t="s">
        <v>332</v>
      </c>
      <c r="T68" t="s">
        <v>128</v>
      </c>
      <c r="U68" t="s">
        <v>162</v>
      </c>
      <c r="V68" t="s">
        <v>86</v>
      </c>
      <c r="W68" t="s">
        <v>37</v>
      </c>
      <c r="Y68" s="53">
        <v>25.895288880185316</v>
      </c>
    </row>
    <row r="69" spans="1:25" x14ac:dyDescent="0.25">
      <c r="A69" t="s">
        <v>333</v>
      </c>
      <c r="B69" t="s">
        <v>42</v>
      </c>
      <c r="C69" s="49" t="s">
        <v>42</v>
      </c>
      <c r="D69" t="s">
        <v>47</v>
      </c>
      <c r="E69" s="49">
        <v>10540020</v>
      </c>
      <c r="F69" t="s">
        <v>131</v>
      </c>
      <c r="G69">
        <v>13</v>
      </c>
      <c r="H69" s="50">
        <v>20.139999999999997</v>
      </c>
      <c r="I69" s="50">
        <v>849.39467736133599</v>
      </c>
      <c r="J69" s="52">
        <v>0</v>
      </c>
      <c r="K69" s="52">
        <v>0</v>
      </c>
      <c r="L69" s="52">
        <v>120</v>
      </c>
      <c r="M69" s="50">
        <v>0</v>
      </c>
      <c r="N69" s="50">
        <v>150</v>
      </c>
      <c r="O69" s="52" t="s">
        <v>35</v>
      </c>
      <c r="P69" s="52">
        <v>579</v>
      </c>
      <c r="Q69" s="49" t="s">
        <v>34</v>
      </c>
      <c r="R69" t="s">
        <v>334</v>
      </c>
      <c r="S69" t="s">
        <v>335</v>
      </c>
      <c r="T69" t="s">
        <v>327</v>
      </c>
      <c r="U69" t="s">
        <v>336</v>
      </c>
      <c r="V69" t="s">
        <v>86</v>
      </c>
      <c r="W69" t="s">
        <v>37</v>
      </c>
      <c r="Y69" s="53">
        <v>27.413432983359904</v>
      </c>
    </row>
    <row r="70" spans="1:25" x14ac:dyDescent="0.25">
      <c r="A70" t="s">
        <v>337</v>
      </c>
      <c r="B70" t="s">
        <v>42</v>
      </c>
      <c r="C70" s="49" t="s">
        <v>42</v>
      </c>
      <c r="D70" t="s">
        <v>47</v>
      </c>
      <c r="E70" s="49">
        <v>10540020</v>
      </c>
      <c r="F70" t="s">
        <v>141</v>
      </c>
      <c r="G70">
        <v>1</v>
      </c>
      <c r="H70" s="50">
        <v>2.25</v>
      </c>
      <c r="I70" s="50">
        <v>79.190617477499998</v>
      </c>
      <c r="J70" s="52">
        <v>0</v>
      </c>
      <c r="K70" s="52">
        <v>0</v>
      </c>
      <c r="L70" s="52">
        <v>0</v>
      </c>
      <c r="M70" s="50">
        <v>0</v>
      </c>
      <c r="N70" s="50">
        <v>0</v>
      </c>
      <c r="O70" s="52" t="s">
        <v>35</v>
      </c>
      <c r="P70" s="52">
        <v>79</v>
      </c>
      <c r="Q70" s="49" t="s">
        <v>34</v>
      </c>
      <c r="R70" t="s">
        <v>338</v>
      </c>
      <c r="S70" t="s">
        <v>339</v>
      </c>
      <c r="T70" t="s">
        <v>310</v>
      </c>
      <c r="U70" t="s">
        <v>317</v>
      </c>
      <c r="V70" t="s">
        <v>86</v>
      </c>
      <c r="W70" t="s">
        <v>37</v>
      </c>
      <c r="Y70" s="53">
        <v>1.7597914995000001</v>
      </c>
    </row>
    <row r="71" spans="1:25" x14ac:dyDescent="0.25">
      <c r="A71" t="s">
        <v>340</v>
      </c>
      <c r="B71" t="s">
        <v>42</v>
      </c>
      <c r="C71" s="49" t="s">
        <v>42</v>
      </c>
      <c r="D71" t="s">
        <v>47</v>
      </c>
      <c r="E71" s="49">
        <v>10540020</v>
      </c>
      <c r="F71" t="s">
        <v>106</v>
      </c>
      <c r="G71">
        <v>14</v>
      </c>
      <c r="H71" s="50">
        <v>19.38</v>
      </c>
      <c r="I71" s="50">
        <v>930.75490208683993</v>
      </c>
      <c r="J71" s="52">
        <v>0</v>
      </c>
      <c r="K71" s="52">
        <v>0</v>
      </c>
      <c r="L71" s="52">
        <v>0</v>
      </c>
      <c r="M71" s="50">
        <v>0</v>
      </c>
      <c r="N71" s="50">
        <v>0</v>
      </c>
      <c r="O71" s="52" t="s">
        <v>35</v>
      </c>
      <c r="P71" s="52">
        <v>931</v>
      </c>
      <c r="Q71" s="49" t="s">
        <v>34</v>
      </c>
      <c r="R71" t="s">
        <v>341</v>
      </c>
      <c r="S71" t="s">
        <v>342</v>
      </c>
      <c r="T71" t="s">
        <v>310</v>
      </c>
      <c r="U71" t="s">
        <v>240</v>
      </c>
      <c r="V71" t="s">
        <v>86</v>
      </c>
      <c r="W71" t="s">
        <v>37</v>
      </c>
      <c r="Y71" s="53">
        <v>33.618598114591748</v>
      </c>
    </row>
    <row r="72" spans="1:25" x14ac:dyDescent="0.25">
      <c r="A72" t="s">
        <v>343</v>
      </c>
      <c r="B72" t="s">
        <v>42</v>
      </c>
      <c r="C72" s="49" t="s">
        <v>42</v>
      </c>
      <c r="D72" t="s">
        <v>47</v>
      </c>
      <c r="E72" s="49">
        <v>10540020</v>
      </c>
      <c r="F72" t="s">
        <v>170</v>
      </c>
      <c r="G72">
        <v>13</v>
      </c>
      <c r="H72" s="50">
        <v>30</v>
      </c>
      <c r="I72" s="50">
        <v>1078.41089047695</v>
      </c>
      <c r="J72" s="52">
        <v>0</v>
      </c>
      <c r="K72" s="52">
        <v>0</v>
      </c>
      <c r="L72" s="52">
        <v>0</v>
      </c>
      <c r="M72" s="50">
        <v>0</v>
      </c>
      <c r="N72" s="50">
        <v>150</v>
      </c>
      <c r="O72" s="52" t="s">
        <v>35</v>
      </c>
      <c r="P72" s="52">
        <v>928</v>
      </c>
      <c r="Q72" s="49" t="s">
        <v>34</v>
      </c>
      <c r="R72" t="s">
        <v>344</v>
      </c>
      <c r="S72" t="s">
        <v>345</v>
      </c>
      <c r="T72" t="s">
        <v>346</v>
      </c>
      <c r="U72" t="s">
        <v>347</v>
      </c>
      <c r="V72" t="s">
        <v>86</v>
      </c>
      <c r="W72" t="s">
        <v>37</v>
      </c>
      <c r="Y72" s="53">
        <v>23.365569293667253</v>
      </c>
    </row>
    <row r="73" spans="1:25" x14ac:dyDescent="0.25">
      <c r="A73" t="s">
        <v>348</v>
      </c>
      <c r="B73" t="s">
        <v>42</v>
      </c>
      <c r="C73" s="49" t="s">
        <v>42</v>
      </c>
      <c r="D73" t="s">
        <v>47</v>
      </c>
      <c r="E73" s="49">
        <v>10540020</v>
      </c>
      <c r="F73" t="s">
        <v>349</v>
      </c>
      <c r="G73">
        <v>7</v>
      </c>
      <c r="H73" s="50">
        <v>12.799999999999999</v>
      </c>
      <c r="I73" s="50">
        <v>527.54545258619999</v>
      </c>
      <c r="J73" s="52">
        <v>0</v>
      </c>
      <c r="K73" s="52">
        <v>0</v>
      </c>
      <c r="L73" s="52">
        <v>21</v>
      </c>
      <c r="M73" s="50">
        <v>0</v>
      </c>
      <c r="N73" s="50">
        <v>100</v>
      </c>
      <c r="O73" s="52" t="s">
        <v>35</v>
      </c>
      <c r="P73" s="52">
        <v>407</v>
      </c>
      <c r="Q73" s="49" t="s">
        <v>34</v>
      </c>
      <c r="R73" t="s">
        <v>350</v>
      </c>
      <c r="S73" t="s">
        <v>351</v>
      </c>
      <c r="T73" t="s">
        <v>327</v>
      </c>
      <c r="U73" t="s">
        <v>328</v>
      </c>
      <c r="V73" t="s">
        <v>86</v>
      </c>
      <c r="W73" t="s">
        <v>37</v>
      </c>
      <c r="Y73" s="53">
        <v>14.425070969153907</v>
      </c>
    </row>
    <row r="74" spans="1:25" x14ac:dyDescent="0.25">
      <c r="A74" t="s">
        <v>352</v>
      </c>
      <c r="B74" t="s">
        <v>42</v>
      </c>
      <c r="C74" s="49" t="s">
        <v>42</v>
      </c>
      <c r="D74" t="s">
        <v>47</v>
      </c>
      <c r="E74" s="49">
        <v>10540020</v>
      </c>
      <c r="F74" t="s">
        <v>242</v>
      </c>
      <c r="G74">
        <v>12</v>
      </c>
      <c r="H74" s="50">
        <v>25.6</v>
      </c>
      <c r="I74" s="50">
        <v>1070.2825862658299</v>
      </c>
      <c r="J74" s="52">
        <v>0</v>
      </c>
      <c r="K74" s="52">
        <v>0</v>
      </c>
      <c r="L74" s="52">
        <v>0</v>
      </c>
      <c r="M74" s="50">
        <v>0</v>
      </c>
      <c r="N74" s="50">
        <v>100</v>
      </c>
      <c r="O74" s="52" t="s">
        <v>35</v>
      </c>
      <c r="P74" s="52">
        <v>970</v>
      </c>
      <c r="Q74" s="49" t="s">
        <v>34</v>
      </c>
      <c r="R74" t="s">
        <v>302</v>
      </c>
      <c r="S74" t="s">
        <v>353</v>
      </c>
      <c r="T74" t="s">
        <v>310</v>
      </c>
      <c r="U74" t="s">
        <v>354</v>
      </c>
      <c r="V74" t="s">
        <v>86</v>
      </c>
      <c r="W74" t="s">
        <v>37</v>
      </c>
      <c r="Y74" s="53">
        <v>25.08474811560539</v>
      </c>
    </row>
    <row r="75" spans="1:25" x14ac:dyDescent="0.25">
      <c r="A75" t="s">
        <v>355</v>
      </c>
      <c r="B75" t="s">
        <v>40</v>
      </c>
      <c r="C75" s="49" t="s">
        <v>40</v>
      </c>
      <c r="D75" t="s">
        <v>48</v>
      </c>
      <c r="E75" s="49">
        <v>10560017</v>
      </c>
      <c r="F75" t="s">
        <v>81</v>
      </c>
      <c r="G75">
        <v>1</v>
      </c>
      <c r="H75" s="50">
        <v>20</v>
      </c>
      <c r="I75" s="50">
        <v>881.28363000000013</v>
      </c>
      <c r="J75" s="52">
        <v>0</v>
      </c>
      <c r="K75" s="52">
        <v>0</v>
      </c>
      <c r="L75" s="52">
        <v>0</v>
      </c>
      <c r="M75" s="50">
        <v>881</v>
      </c>
      <c r="N75" s="50">
        <v>0</v>
      </c>
      <c r="O75" s="52" t="s">
        <v>35</v>
      </c>
      <c r="P75" s="52">
        <v>0</v>
      </c>
      <c r="Q75" s="49" t="s">
        <v>34</v>
      </c>
      <c r="R75" t="s">
        <v>356</v>
      </c>
      <c r="S75" t="s">
        <v>357</v>
      </c>
      <c r="T75" t="s">
        <v>209</v>
      </c>
      <c r="U75" t="s">
        <v>144</v>
      </c>
      <c r="V75" t="s">
        <v>86</v>
      </c>
      <c r="W75" t="s">
        <v>37</v>
      </c>
      <c r="Y75" s="53">
        <v>2.2032090750000002</v>
      </c>
    </row>
    <row r="76" spans="1:25" x14ac:dyDescent="0.25">
      <c r="A76" t="s">
        <v>358</v>
      </c>
      <c r="B76" t="s">
        <v>40</v>
      </c>
      <c r="C76" s="49" t="s">
        <v>40</v>
      </c>
      <c r="D76" t="s">
        <v>48</v>
      </c>
      <c r="E76" s="49">
        <v>10560017</v>
      </c>
      <c r="F76" t="s">
        <v>197</v>
      </c>
      <c r="G76">
        <v>10</v>
      </c>
      <c r="H76" s="50">
        <v>24.720000000000002</v>
      </c>
      <c r="I76" s="50">
        <v>1153.420813509</v>
      </c>
      <c r="J76" s="52">
        <v>0</v>
      </c>
      <c r="K76" s="52">
        <v>0</v>
      </c>
      <c r="L76" s="52">
        <v>0</v>
      </c>
      <c r="M76" s="50">
        <v>0</v>
      </c>
      <c r="N76" s="50">
        <v>0</v>
      </c>
      <c r="O76" s="52" t="s">
        <v>35</v>
      </c>
      <c r="P76" s="52">
        <v>1153</v>
      </c>
      <c r="Q76" s="49" t="s">
        <v>34</v>
      </c>
      <c r="R76" t="s">
        <v>359</v>
      </c>
      <c r="S76" t="s">
        <v>360</v>
      </c>
      <c r="T76" t="s">
        <v>361</v>
      </c>
      <c r="U76" t="s">
        <v>362</v>
      </c>
      <c r="V76" t="s">
        <v>86</v>
      </c>
      <c r="W76" t="s">
        <v>37</v>
      </c>
      <c r="Y76" s="53">
        <v>23.329709011104367</v>
      </c>
    </row>
    <row r="77" spans="1:25" x14ac:dyDescent="0.25">
      <c r="A77" t="s">
        <v>363</v>
      </c>
      <c r="B77" t="s">
        <v>40</v>
      </c>
      <c r="C77" s="49" t="s">
        <v>40</v>
      </c>
      <c r="D77" t="s">
        <v>48</v>
      </c>
      <c r="E77" s="49">
        <v>10560017</v>
      </c>
      <c r="F77" t="s">
        <v>141</v>
      </c>
      <c r="G77">
        <v>13</v>
      </c>
      <c r="H77" s="50">
        <v>82.19</v>
      </c>
      <c r="I77" s="50">
        <v>3330.2843556396006</v>
      </c>
      <c r="J77" s="52">
        <v>0</v>
      </c>
      <c r="K77" s="52">
        <v>0</v>
      </c>
      <c r="L77" s="52">
        <v>0</v>
      </c>
      <c r="M77" s="50">
        <v>3330</v>
      </c>
      <c r="N77" s="50">
        <v>0</v>
      </c>
      <c r="O77" s="52" t="s">
        <v>35</v>
      </c>
      <c r="P77" s="52">
        <v>0</v>
      </c>
      <c r="Q77" s="49" t="s">
        <v>34</v>
      </c>
      <c r="R77" t="s">
        <v>364</v>
      </c>
      <c r="S77" t="s">
        <v>365</v>
      </c>
      <c r="T77" t="s">
        <v>366</v>
      </c>
      <c r="U77" t="s">
        <v>144</v>
      </c>
      <c r="V77" t="s">
        <v>86</v>
      </c>
      <c r="W77" t="s">
        <v>37</v>
      </c>
      <c r="Y77" s="53">
        <v>26.337569426520748</v>
      </c>
    </row>
    <row r="78" spans="1:25" x14ac:dyDescent="0.25">
      <c r="A78" t="s">
        <v>367</v>
      </c>
      <c r="B78" t="s">
        <v>40</v>
      </c>
      <c r="C78" s="49" t="s">
        <v>40</v>
      </c>
      <c r="D78" t="s">
        <v>48</v>
      </c>
      <c r="E78" s="49">
        <v>10560017</v>
      </c>
      <c r="F78" t="s">
        <v>206</v>
      </c>
      <c r="G78">
        <v>14</v>
      </c>
      <c r="H78" s="50">
        <v>56.47</v>
      </c>
      <c r="I78" s="50">
        <v>2129.765331138</v>
      </c>
      <c r="J78" s="52">
        <v>0</v>
      </c>
      <c r="K78" s="52">
        <v>0</v>
      </c>
      <c r="L78" s="52">
        <v>0</v>
      </c>
      <c r="M78" s="50">
        <v>0</v>
      </c>
      <c r="N78" s="50">
        <v>0</v>
      </c>
      <c r="O78" s="52" t="s">
        <v>35</v>
      </c>
      <c r="P78" s="52">
        <v>2130</v>
      </c>
      <c r="Q78" s="49" t="s">
        <v>34</v>
      </c>
      <c r="R78" t="s">
        <v>368</v>
      </c>
      <c r="S78" t="s">
        <v>369</v>
      </c>
      <c r="T78" t="s">
        <v>128</v>
      </c>
      <c r="U78" t="s">
        <v>151</v>
      </c>
      <c r="V78" t="s">
        <v>86</v>
      </c>
      <c r="W78" t="s">
        <v>37</v>
      </c>
      <c r="Y78" s="53">
        <v>26.400491089013638</v>
      </c>
    </row>
    <row r="79" spans="1:25" x14ac:dyDescent="0.25">
      <c r="A79" t="s">
        <v>370</v>
      </c>
      <c r="B79" t="s">
        <v>40</v>
      </c>
      <c r="C79" s="49" t="s">
        <v>40</v>
      </c>
      <c r="D79" t="s">
        <v>48</v>
      </c>
      <c r="E79" s="49">
        <v>10560017</v>
      </c>
      <c r="F79" t="s">
        <v>88</v>
      </c>
      <c r="G79">
        <v>14</v>
      </c>
      <c r="H79" s="50">
        <v>58.57</v>
      </c>
      <c r="I79" s="50">
        <v>2216.1886786117502</v>
      </c>
      <c r="J79" s="52">
        <v>0</v>
      </c>
      <c r="K79" s="52">
        <v>0</v>
      </c>
      <c r="L79" s="52">
        <v>0</v>
      </c>
      <c r="M79" s="50">
        <v>0</v>
      </c>
      <c r="N79" s="50">
        <v>0</v>
      </c>
      <c r="O79" s="52" t="s">
        <v>35</v>
      </c>
      <c r="P79" s="52">
        <v>2216</v>
      </c>
      <c r="Q79" s="49" t="s">
        <v>34</v>
      </c>
      <c r="R79" t="s">
        <v>371</v>
      </c>
      <c r="S79" t="s">
        <v>372</v>
      </c>
      <c r="T79" t="s">
        <v>373</v>
      </c>
      <c r="U79" t="s">
        <v>234</v>
      </c>
      <c r="V79" t="s">
        <v>86</v>
      </c>
      <c r="W79" t="s">
        <v>37</v>
      </c>
      <c r="Y79" s="53">
        <v>26.486803398125751</v>
      </c>
    </row>
    <row r="80" spans="1:25" x14ac:dyDescent="0.25">
      <c r="A80" t="s">
        <v>374</v>
      </c>
      <c r="B80" t="s">
        <v>40</v>
      </c>
      <c r="C80" s="49" t="s">
        <v>40</v>
      </c>
      <c r="D80" t="s">
        <v>48</v>
      </c>
      <c r="E80" s="49">
        <v>10560017</v>
      </c>
      <c r="F80" t="s">
        <v>153</v>
      </c>
      <c r="G80">
        <v>4</v>
      </c>
      <c r="H80" s="50">
        <v>5</v>
      </c>
      <c r="I80" s="50">
        <v>232.57231337339999</v>
      </c>
      <c r="J80" s="52">
        <v>0</v>
      </c>
      <c r="K80" s="52">
        <v>0</v>
      </c>
      <c r="L80" s="52">
        <v>0</v>
      </c>
      <c r="M80" s="50">
        <v>0</v>
      </c>
      <c r="N80" s="50">
        <v>0</v>
      </c>
      <c r="O80" s="52" t="s">
        <v>35</v>
      </c>
      <c r="P80" s="52">
        <v>233</v>
      </c>
      <c r="Q80" s="49" t="s">
        <v>34</v>
      </c>
      <c r="R80" t="s">
        <v>375</v>
      </c>
      <c r="S80" t="s">
        <v>376</v>
      </c>
      <c r="T80" t="s">
        <v>377</v>
      </c>
      <c r="U80" t="s">
        <v>144</v>
      </c>
      <c r="V80" t="s">
        <v>86</v>
      </c>
      <c r="W80" t="s">
        <v>37</v>
      </c>
      <c r="Y80" s="53">
        <v>9.3028925349359994</v>
      </c>
    </row>
    <row r="81" spans="1:25" x14ac:dyDescent="0.25">
      <c r="A81" t="s">
        <v>378</v>
      </c>
      <c r="B81" t="s">
        <v>40</v>
      </c>
      <c r="C81" s="49" t="s">
        <v>40</v>
      </c>
      <c r="D81" t="s">
        <v>48</v>
      </c>
      <c r="E81" s="49">
        <v>10560017</v>
      </c>
      <c r="F81" t="s">
        <v>102</v>
      </c>
      <c r="G81">
        <v>14</v>
      </c>
      <c r="H81" s="50">
        <v>33.07</v>
      </c>
      <c r="I81" s="50">
        <v>1338.3819042270002</v>
      </c>
      <c r="J81" s="52">
        <v>0</v>
      </c>
      <c r="K81" s="52">
        <v>0</v>
      </c>
      <c r="L81" s="52">
        <v>0</v>
      </c>
      <c r="M81" s="50">
        <v>0</v>
      </c>
      <c r="N81" s="50">
        <v>0</v>
      </c>
      <c r="O81" s="52" t="s">
        <v>35</v>
      </c>
      <c r="P81" s="52">
        <v>1338</v>
      </c>
      <c r="Q81" s="49" t="s">
        <v>34</v>
      </c>
      <c r="R81" t="s">
        <v>379</v>
      </c>
      <c r="S81" t="s">
        <v>380</v>
      </c>
      <c r="T81" t="s">
        <v>128</v>
      </c>
      <c r="U81" t="s">
        <v>151</v>
      </c>
      <c r="V81" t="s">
        <v>86</v>
      </c>
      <c r="W81" t="s">
        <v>37</v>
      </c>
      <c r="Y81" s="53">
        <v>28.329825611094655</v>
      </c>
    </row>
    <row r="82" spans="1:25" x14ac:dyDescent="0.25">
      <c r="A82" t="s">
        <v>381</v>
      </c>
      <c r="B82" t="s">
        <v>40</v>
      </c>
      <c r="C82" s="49" t="s">
        <v>40</v>
      </c>
      <c r="D82" t="s">
        <v>48</v>
      </c>
      <c r="E82" s="49">
        <v>10560017</v>
      </c>
      <c r="F82" t="s">
        <v>382</v>
      </c>
      <c r="G82">
        <v>11</v>
      </c>
      <c r="H82" s="50">
        <v>34.5</v>
      </c>
      <c r="I82" s="50">
        <v>1334.1002177617499</v>
      </c>
      <c r="J82" s="52">
        <v>0</v>
      </c>
      <c r="K82" s="52">
        <v>0</v>
      </c>
      <c r="L82" s="52">
        <v>0</v>
      </c>
      <c r="M82" s="50">
        <v>0</v>
      </c>
      <c r="N82" s="50">
        <v>0</v>
      </c>
      <c r="O82" s="52" t="s">
        <v>35</v>
      </c>
      <c r="P82" s="52">
        <v>1334</v>
      </c>
      <c r="Q82" s="49" t="s">
        <v>34</v>
      </c>
      <c r="R82" t="s">
        <v>383</v>
      </c>
      <c r="S82" t="s">
        <v>384</v>
      </c>
      <c r="T82" t="s">
        <v>128</v>
      </c>
      <c r="U82" t="s">
        <v>151</v>
      </c>
      <c r="V82" t="s">
        <v>86</v>
      </c>
      <c r="W82" t="s">
        <v>37</v>
      </c>
      <c r="Y82" s="53">
        <v>21.268264341129349</v>
      </c>
    </row>
    <row r="83" spans="1:25" x14ac:dyDescent="0.25">
      <c r="A83" t="s">
        <v>385</v>
      </c>
      <c r="B83" t="s">
        <v>40</v>
      </c>
      <c r="C83" s="49" t="s">
        <v>40</v>
      </c>
      <c r="D83" t="s">
        <v>48</v>
      </c>
      <c r="E83" s="49">
        <v>10560017</v>
      </c>
      <c r="F83" t="s">
        <v>106</v>
      </c>
      <c r="G83">
        <v>14</v>
      </c>
      <c r="H83" s="50">
        <v>40.130000000000003</v>
      </c>
      <c r="I83" s="50">
        <v>1555.93334269365</v>
      </c>
      <c r="J83" s="52">
        <v>0</v>
      </c>
      <c r="K83" s="52">
        <v>0</v>
      </c>
      <c r="L83" s="52">
        <v>0</v>
      </c>
      <c r="M83" s="50">
        <v>0</v>
      </c>
      <c r="N83" s="50">
        <v>0</v>
      </c>
      <c r="O83" s="52" t="s">
        <v>35</v>
      </c>
      <c r="P83" s="52">
        <v>1556</v>
      </c>
      <c r="Q83" s="49" t="s">
        <v>34</v>
      </c>
      <c r="R83" t="s">
        <v>386</v>
      </c>
      <c r="S83" t="s">
        <v>387</v>
      </c>
      <c r="T83" t="s">
        <v>128</v>
      </c>
      <c r="U83" t="s">
        <v>129</v>
      </c>
      <c r="V83" t="s">
        <v>86</v>
      </c>
      <c r="W83" t="s">
        <v>37</v>
      </c>
      <c r="Y83" s="53">
        <v>27.140626461140172</v>
      </c>
    </row>
    <row r="84" spans="1:25" x14ac:dyDescent="0.25">
      <c r="A84" t="s">
        <v>388</v>
      </c>
      <c r="B84" t="s">
        <v>40</v>
      </c>
      <c r="C84" s="49" t="s">
        <v>40</v>
      </c>
      <c r="D84" t="s">
        <v>48</v>
      </c>
      <c r="E84" s="49">
        <v>10560017</v>
      </c>
      <c r="F84" t="s">
        <v>110</v>
      </c>
      <c r="G84">
        <v>11</v>
      </c>
      <c r="H84" s="50">
        <v>74.970000000000013</v>
      </c>
      <c r="I84" s="50">
        <v>2759.6748139252504</v>
      </c>
      <c r="J84" s="52">
        <v>0</v>
      </c>
      <c r="K84" s="52">
        <v>0</v>
      </c>
      <c r="L84" s="52">
        <v>0</v>
      </c>
      <c r="M84" s="50">
        <v>0</v>
      </c>
      <c r="N84" s="50">
        <v>0</v>
      </c>
      <c r="O84" s="52" t="s">
        <v>35</v>
      </c>
      <c r="P84" s="52">
        <v>2760</v>
      </c>
      <c r="Q84" s="49" t="s">
        <v>34</v>
      </c>
      <c r="R84" t="s">
        <v>389</v>
      </c>
      <c r="S84" t="s">
        <v>390</v>
      </c>
      <c r="T84" t="s">
        <v>391</v>
      </c>
      <c r="U84" t="s">
        <v>226</v>
      </c>
      <c r="V84" t="s">
        <v>86</v>
      </c>
      <c r="W84" t="s">
        <v>37</v>
      </c>
      <c r="Y84" s="53">
        <v>20.245713587553521</v>
      </c>
    </row>
    <row r="85" spans="1:25" x14ac:dyDescent="0.25">
      <c r="A85" t="s">
        <v>392</v>
      </c>
      <c r="B85" t="s">
        <v>40</v>
      </c>
      <c r="C85" s="49" t="s">
        <v>40</v>
      </c>
      <c r="D85" t="s">
        <v>48</v>
      </c>
      <c r="E85" s="49">
        <v>10560017</v>
      </c>
      <c r="F85" t="s">
        <v>170</v>
      </c>
      <c r="G85">
        <v>1</v>
      </c>
      <c r="H85" s="50">
        <v>1.43</v>
      </c>
      <c r="I85" s="50">
        <v>54.126525002550004</v>
      </c>
      <c r="J85" s="52">
        <v>0</v>
      </c>
      <c r="K85" s="52">
        <v>0</v>
      </c>
      <c r="L85" s="52">
        <v>0</v>
      </c>
      <c r="M85" s="50">
        <v>0</v>
      </c>
      <c r="N85" s="50">
        <v>0</v>
      </c>
      <c r="O85" s="52" t="s">
        <v>35</v>
      </c>
      <c r="P85" s="52">
        <v>54</v>
      </c>
      <c r="Q85" s="49" t="s">
        <v>34</v>
      </c>
      <c r="R85" t="s">
        <v>393</v>
      </c>
      <c r="S85" t="s">
        <v>394</v>
      </c>
      <c r="T85" t="s">
        <v>373</v>
      </c>
      <c r="U85" t="s">
        <v>234</v>
      </c>
      <c r="V85" t="s">
        <v>86</v>
      </c>
      <c r="W85" t="s">
        <v>37</v>
      </c>
      <c r="Y85" s="53">
        <v>1.8925358392500002</v>
      </c>
    </row>
    <row r="86" spans="1:25" x14ac:dyDescent="0.25">
      <c r="A86" t="s">
        <v>395</v>
      </c>
      <c r="B86" t="s">
        <v>40</v>
      </c>
      <c r="C86" s="49" t="s">
        <v>40</v>
      </c>
      <c r="D86" t="s">
        <v>48</v>
      </c>
      <c r="E86" s="49">
        <v>10560017</v>
      </c>
      <c r="F86" t="s">
        <v>349</v>
      </c>
      <c r="G86">
        <v>3</v>
      </c>
      <c r="H86" s="50">
        <v>22.93</v>
      </c>
      <c r="I86" s="50">
        <v>855.40441580310005</v>
      </c>
      <c r="J86" s="52">
        <v>0</v>
      </c>
      <c r="K86" s="52">
        <v>0</v>
      </c>
      <c r="L86" s="52">
        <v>0</v>
      </c>
      <c r="M86" s="50">
        <v>0</v>
      </c>
      <c r="N86" s="50">
        <v>0</v>
      </c>
      <c r="O86" s="52" t="s">
        <v>35</v>
      </c>
      <c r="P86" s="52">
        <v>855</v>
      </c>
      <c r="Q86" s="49" t="s">
        <v>34</v>
      </c>
      <c r="R86" t="s">
        <v>396</v>
      </c>
      <c r="S86" t="s">
        <v>397</v>
      </c>
      <c r="T86" t="s">
        <v>373</v>
      </c>
      <c r="U86" t="s">
        <v>234</v>
      </c>
      <c r="V86" t="s">
        <v>86</v>
      </c>
      <c r="W86" t="s">
        <v>37</v>
      </c>
      <c r="Y86" s="53">
        <v>5.595755009614698</v>
      </c>
    </row>
    <row r="87" spans="1:25" x14ac:dyDescent="0.25">
      <c r="A87" t="s">
        <v>398</v>
      </c>
      <c r="B87" t="s">
        <v>40</v>
      </c>
      <c r="C87" s="49" t="s">
        <v>40</v>
      </c>
      <c r="D87" t="s">
        <v>48</v>
      </c>
      <c r="E87" s="49">
        <v>10560017</v>
      </c>
      <c r="F87" t="s">
        <v>246</v>
      </c>
      <c r="G87">
        <v>6</v>
      </c>
      <c r="H87" s="50">
        <v>38.11</v>
      </c>
      <c r="I87" s="50">
        <v>1406.11772683965</v>
      </c>
      <c r="J87" s="52">
        <v>0</v>
      </c>
      <c r="K87" s="52">
        <v>0</v>
      </c>
      <c r="L87" s="52">
        <v>0</v>
      </c>
      <c r="M87" s="50">
        <v>0</v>
      </c>
      <c r="N87" s="50">
        <v>0</v>
      </c>
      <c r="O87" s="52" t="s">
        <v>35</v>
      </c>
      <c r="P87" s="52">
        <v>1406</v>
      </c>
      <c r="Q87" s="49" t="s">
        <v>34</v>
      </c>
      <c r="R87" t="s">
        <v>399</v>
      </c>
      <c r="S87" t="s">
        <v>400</v>
      </c>
      <c r="T87" t="s">
        <v>213</v>
      </c>
      <c r="U87" t="s">
        <v>144</v>
      </c>
      <c r="V87" t="s">
        <v>86</v>
      </c>
      <c r="W87" t="s">
        <v>37</v>
      </c>
      <c r="Y87" s="53">
        <v>11.068887904799137</v>
      </c>
    </row>
    <row r="88" spans="1:25" x14ac:dyDescent="0.25">
      <c r="A88" t="s">
        <v>401</v>
      </c>
      <c r="B88" t="s">
        <v>40</v>
      </c>
      <c r="C88" s="49" t="s">
        <v>40</v>
      </c>
      <c r="D88" t="s">
        <v>48</v>
      </c>
      <c r="E88" s="49">
        <v>10560017</v>
      </c>
      <c r="F88" t="s">
        <v>255</v>
      </c>
      <c r="G88">
        <v>14</v>
      </c>
      <c r="H88" s="50">
        <v>102.92999999999999</v>
      </c>
      <c r="I88" s="50">
        <v>3854.5737453535503</v>
      </c>
      <c r="J88" s="52">
        <v>0</v>
      </c>
      <c r="K88" s="52">
        <v>0</v>
      </c>
      <c r="L88" s="52">
        <v>0</v>
      </c>
      <c r="M88" s="50">
        <v>0</v>
      </c>
      <c r="N88" s="50">
        <v>0</v>
      </c>
      <c r="O88" s="52" t="s">
        <v>35</v>
      </c>
      <c r="P88" s="52">
        <v>3855</v>
      </c>
      <c r="Q88" s="49" t="s">
        <v>34</v>
      </c>
      <c r="R88" t="s">
        <v>402</v>
      </c>
      <c r="S88" t="s">
        <v>403</v>
      </c>
      <c r="T88" t="s">
        <v>128</v>
      </c>
      <c r="U88" t="s">
        <v>129</v>
      </c>
      <c r="V88" t="s">
        <v>86</v>
      </c>
      <c r="W88" t="s">
        <v>37</v>
      </c>
      <c r="Y88" s="53">
        <v>26.213947554138596</v>
      </c>
    </row>
    <row r="89" spans="1:25" x14ac:dyDescent="0.25">
      <c r="A89" t="s">
        <v>404</v>
      </c>
      <c r="B89" t="s">
        <v>40</v>
      </c>
      <c r="C89" s="49" t="s">
        <v>40</v>
      </c>
      <c r="D89" t="s">
        <v>48</v>
      </c>
      <c r="E89" s="49">
        <v>10560017</v>
      </c>
      <c r="F89" t="s">
        <v>181</v>
      </c>
      <c r="G89">
        <v>14</v>
      </c>
      <c r="H89" s="50">
        <v>66.860000000000014</v>
      </c>
      <c r="I89" s="50">
        <v>3255.9059530827408</v>
      </c>
      <c r="J89" s="52">
        <v>0</v>
      </c>
      <c r="K89" s="52">
        <v>0</v>
      </c>
      <c r="L89" s="52">
        <v>0</v>
      </c>
      <c r="M89" s="50">
        <v>0</v>
      </c>
      <c r="N89" s="50">
        <v>0</v>
      </c>
      <c r="O89" s="52" t="s">
        <v>35</v>
      </c>
      <c r="P89" s="52">
        <v>3256</v>
      </c>
      <c r="Q89" s="49" t="s">
        <v>34</v>
      </c>
      <c r="R89" t="s">
        <v>405</v>
      </c>
      <c r="S89" t="s">
        <v>406</v>
      </c>
      <c r="T89" t="s">
        <v>407</v>
      </c>
      <c r="U89" t="s">
        <v>201</v>
      </c>
      <c r="V89" t="s">
        <v>86</v>
      </c>
      <c r="W89" t="s">
        <v>37</v>
      </c>
      <c r="Y89" s="53">
        <v>34.088156852496539</v>
      </c>
    </row>
    <row r="90" spans="1:25" x14ac:dyDescent="0.25">
      <c r="A90" t="s">
        <v>408</v>
      </c>
      <c r="B90" t="s">
        <v>40</v>
      </c>
      <c r="C90" s="49" t="s">
        <v>40</v>
      </c>
      <c r="D90" t="s">
        <v>48</v>
      </c>
      <c r="E90" s="49">
        <v>10560017</v>
      </c>
      <c r="F90" t="s">
        <v>183</v>
      </c>
      <c r="G90">
        <v>12</v>
      </c>
      <c r="H90" s="50">
        <v>29.770000000000003</v>
      </c>
      <c r="I90" s="50">
        <v>1215.7890699187501</v>
      </c>
      <c r="J90" s="52">
        <v>0</v>
      </c>
      <c r="K90" s="52">
        <v>0</v>
      </c>
      <c r="L90" s="52">
        <v>0</v>
      </c>
      <c r="M90" s="50">
        <v>0</v>
      </c>
      <c r="N90" s="50">
        <v>0</v>
      </c>
      <c r="O90" s="52" t="s">
        <v>35</v>
      </c>
      <c r="P90" s="52">
        <v>1216</v>
      </c>
      <c r="Q90" s="49" t="s">
        <v>34</v>
      </c>
      <c r="R90" t="s">
        <v>409</v>
      </c>
      <c r="S90" t="s">
        <v>410</v>
      </c>
      <c r="T90" t="s">
        <v>373</v>
      </c>
      <c r="U90" t="s">
        <v>234</v>
      </c>
      <c r="V90" t="s">
        <v>86</v>
      </c>
      <c r="W90" t="s">
        <v>37</v>
      </c>
      <c r="Y90" s="53">
        <v>24.503642658758821</v>
      </c>
    </row>
    <row r="91" spans="1:25" x14ac:dyDescent="0.25">
      <c r="A91" t="s">
        <v>411</v>
      </c>
      <c r="B91" t="s">
        <v>40</v>
      </c>
      <c r="C91" s="49" t="s">
        <v>40</v>
      </c>
      <c r="D91" t="s">
        <v>48</v>
      </c>
      <c r="E91" s="49">
        <v>10560017</v>
      </c>
      <c r="F91" t="s">
        <v>185</v>
      </c>
      <c r="G91">
        <v>14</v>
      </c>
      <c r="H91" s="50">
        <v>26.27</v>
      </c>
      <c r="I91" s="50">
        <v>1079.7288280050002</v>
      </c>
      <c r="J91" s="52">
        <v>0</v>
      </c>
      <c r="K91" s="52">
        <v>0</v>
      </c>
      <c r="L91" s="52">
        <v>0</v>
      </c>
      <c r="M91" s="50">
        <v>0</v>
      </c>
      <c r="N91" s="50">
        <v>0</v>
      </c>
      <c r="O91" s="52" t="s">
        <v>35</v>
      </c>
      <c r="P91" s="52">
        <v>1080</v>
      </c>
      <c r="Q91" s="49" t="s">
        <v>34</v>
      </c>
      <c r="R91" t="s">
        <v>412</v>
      </c>
      <c r="S91" t="s">
        <v>413</v>
      </c>
      <c r="T91" t="s">
        <v>373</v>
      </c>
      <c r="U91" t="s">
        <v>234</v>
      </c>
      <c r="V91" t="s">
        <v>86</v>
      </c>
      <c r="W91" t="s">
        <v>37</v>
      </c>
      <c r="Y91" s="53">
        <v>28.7708481006281</v>
      </c>
    </row>
    <row r="92" spans="1:25" x14ac:dyDescent="0.25">
      <c r="A92" t="s">
        <v>414</v>
      </c>
      <c r="B92" t="s">
        <v>40</v>
      </c>
      <c r="C92" s="49" t="s">
        <v>40</v>
      </c>
      <c r="D92" t="s">
        <v>48</v>
      </c>
      <c r="E92" s="49">
        <v>10560017</v>
      </c>
      <c r="F92" t="s">
        <v>415</v>
      </c>
      <c r="G92">
        <v>13</v>
      </c>
      <c r="H92" s="50">
        <v>37.430000000000007</v>
      </c>
      <c r="I92" s="50">
        <v>1436.2140133518001</v>
      </c>
      <c r="J92" s="52">
        <v>0</v>
      </c>
      <c r="K92" s="52">
        <v>0</v>
      </c>
      <c r="L92" s="52">
        <v>0</v>
      </c>
      <c r="M92" s="50">
        <v>0</v>
      </c>
      <c r="N92" s="50">
        <v>0</v>
      </c>
      <c r="O92" s="52" t="s">
        <v>35</v>
      </c>
      <c r="P92" s="52">
        <v>1436</v>
      </c>
      <c r="Q92" s="49" t="s">
        <v>34</v>
      </c>
      <c r="R92" t="s">
        <v>416</v>
      </c>
      <c r="S92" t="s">
        <v>417</v>
      </c>
      <c r="T92" t="s">
        <v>327</v>
      </c>
      <c r="U92" t="s">
        <v>418</v>
      </c>
      <c r="V92" t="s">
        <v>86</v>
      </c>
      <c r="W92" t="s">
        <v>37</v>
      </c>
      <c r="Y92" s="53">
        <v>24.940932639024044</v>
      </c>
    </row>
    <row r="93" spans="1:25" x14ac:dyDescent="0.25">
      <c r="A93" t="s">
        <v>419</v>
      </c>
      <c r="B93" t="s">
        <v>40</v>
      </c>
      <c r="C93" s="49" t="s">
        <v>40</v>
      </c>
      <c r="D93" t="s">
        <v>49</v>
      </c>
      <c r="E93" s="49">
        <v>10560037</v>
      </c>
      <c r="F93" t="s">
        <v>81</v>
      </c>
      <c r="G93">
        <v>14</v>
      </c>
      <c r="H93" s="50">
        <v>390.21999999999991</v>
      </c>
      <c r="I93" s="50">
        <v>16314.32847719215</v>
      </c>
      <c r="J93" s="52">
        <v>0</v>
      </c>
      <c r="K93" s="52">
        <v>0</v>
      </c>
      <c r="L93" s="52">
        <v>973</v>
      </c>
      <c r="M93" s="50">
        <v>6750</v>
      </c>
      <c r="N93" s="50">
        <v>0</v>
      </c>
      <c r="O93" s="52" t="s">
        <v>35</v>
      </c>
      <c r="P93" s="52">
        <v>8591</v>
      </c>
      <c r="Q93" s="49" t="s">
        <v>34</v>
      </c>
      <c r="R93" t="s">
        <v>420</v>
      </c>
      <c r="S93" t="s">
        <v>421</v>
      </c>
      <c r="T93" t="s">
        <v>422</v>
      </c>
      <c r="U93" t="s">
        <v>275</v>
      </c>
      <c r="V93" t="s">
        <v>86</v>
      </c>
      <c r="W93" t="s">
        <v>37</v>
      </c>
      <c r="Y93" s="53">
        <v>29.265619225140966</v>
      </c>
    </row>
    <row r="94" spans="1:25" x14ac:dyDescent="0.25">
      <c r="A94" t="s">
        <v>423</v>
      </c>
      <c r="B94" t="s">
        <v>50</v>
      </c>
      <c r="C94" s="49" t="s">
        <v>50</v>
      </c>
      <c r="D94" t="s">
        <v>51</v>
      </c>
      <c r="E94" s="49">
        <v>10570019</v>
      </c>
      <c r="F94" t="s">
        <v>78</v>
      </c>
      <c r="G94">
        <v>13</v>
      </c>
      <c r="H94" s="50">
        <v>3.3</v>
      </c>
      <c r="I94" s="50">
        <v>148.38373350970002</v>
      </c>
      <c r="J94" s="52">
        <v>0</v>
      </c>
      <c r="K94" s="52">
        <v>148.38373350970002</v>
      </c>
      <c r="L94" s="52">
        <v>0</v>
      </c>
      <c r="M94" s="50">
        <v>0</v>
      </c>
      <c r="N94" s="50">
        <v>0</v>
      </c>
      <c r="O94" s="52" t="s">
        <v>35</v>
      </c>
      <c r="P94" s="52">
        <v>0</v>
      </c>
      <c r="Q94" s="49" t="s">
        <v>34</v>
      </c>
      <c r="R94">
        <v>0</v>
      </c>
      <c r="S94">
        <v>0</v>
      </c>
      <c r="T94">
        <v>0</v>
      </c>
      <c r="U94">
        <v>0</v>
      </c>
      <c r="V94" t="s">
        <v>79</v>
      </c>
      <c r="W94" t="s">
        <v>37</v>
      </c>
      <c r="Y94" s="53">
        <v>0</v>
      </c>
    </row>
    <row r="95" spans="1:25" x14ac:dyDescent="0.25">
      <c r="A95" t="s">
        <v>424</v>
      </c>
      <c r="B95" t="s">
        <v>50</v>
      </c>
      <c r="C95" s="49" t="s">
        <v>50</v>
      </c>
      <c r="D95" t="s">
        <v>51</v>
      </c>
      <c r="E95" s="49">
        <v>10570019</v>
      </c>
      <c r="F95" t="s">
        <v>81</v>
      </c>
      <c r="G95">
        <v>13</v>
      </c>
      <c r="H95" s="50">
        <v>134.79999999999998</v>
      </c>
      <c r="I95" s="50">
        <v>6208.6306441960796</v>
      </c>
      <c r="J95" s="52">
        <v>0</v>
      </c>
      <c r="K95" s="52">
        <v>0</v>
      </c>
      <c r="L95" s="52">
        <v>0</v>
      </c>
      <c r="M95" s="50">
        <v>0</v>
      </c>
      <c r="N95" s="50">
        <v>0</v>
      </c>
      <c r="O95" s="52" t="s">
        <v>35</v>
      </c>
      <c r="P95" s="52">
        <v>6209</v>
      </c>
      <c r="Q95" s="49" t="s">
        <v>34</v>
      </c>
      <c r="R95" t="s">
        <v>425</v>
      </c>
      <c r="S95" t="s">
        <v>426</v>
      </c>
      <c r="T95" t="s">
        <v>427</v>
      </c>
      <c r="U95" t="s">
        <v>226</v>
      </c>
      <c r="V95" t="s">
        <v>86</v>
      </c>
      <c r="W95" t="s">
        <v>37</v>
      </c>
      <c r="Y95" s="53">
        <v>29.937759041004842</v>
      </c>
    </row>
    <row r="96" spans="1:25" x14ac:dyDescent="0.25">
      <c r="A96" t="s">
        <v>428</v>
      </c>
      <c r="B96" t="s">
        <v>50</v>
      </c>
      <c r="C96" s="49" t="s">
        <v>50</v>
      </c>
      <c r="D96" t="s">
        <v>51</v>
      </c>
      <c r="E96" s="49">
        <v>10570019</v>
      </c>
      <c r="F96" t="s">
        <v>131</v>
      </c>
      <c r="G96">
        <v>7</v>
      </c>
      <c r="H96" s="50">
        <v>44.699999999999996</v>
      </c>
      <c r="I96" s="50">
        <v>1710.4110189855</v>
      </c>
      <c r="J96" s="52">
        <v>0</v>
      </c>
      <c r="K96" s="52">
        <v>0</v>
      </c>
      <c r="L96" s="52">
        <v>0</v>
      </c>
      <c r="M96" s="50">
        <v>0</v>
      </c>
      <c r="N96" s="50">
        <v>0</v>
      </c>
      <c r="O96" s="52" t="s">
        <v>35</v>
      </c>
      <c r="P96" s="52">
        <v>1710</v>
      </c>
      <c r="Q96" s="49" t="s">
        <v>34</v>
      </c>
      <c r="R96" t="s">
        <v>429</v>
      </c>
      <c r="S96" t="s">
        <v>430</v>
      </c>
      <c r="T96" t="s">
        <v>427</v>
      </c>
      <c r="U96" t="s">
        <v>226</v>
      </c>
      <c r="V96" t="s">
        <v>86</v>
      </c>
      <c r="W96" t="s">
        <v>37</v>
      </c>
      <c r="Y96" s="53">
        <v>13.392480014427855</v>
      </c>
    </row>
    <row r="97" spans="1:25" x14ac:dyDescent="0.25">
      <c r="A97" t="s">
        <v>431</v>
      </c>
      <c r="B97" t="s">
        <v>50</v>
      </c>
      <c r="C97" s="49" t="s">
        <v>50</v>
      </c>
      <c r="D97" t="s">
        <v>51</v>
      </c>
      <c r="E97" s="49">
        <v>10570019</v>
      </c>
      <c r="F97" t="s">
        <v>197</v>
      </c>
      <c r="G97">
        <v>11</v>
      </c>
      <c r="H97" s="50">
        <v>58.599999999999994</v>
      </c>
      <c r="I97" s="50">
        <v>2260.9350499064999</v>
      </c>
      <c r="J97" s="52">
        <v>0</v>
      </c>
      <c r="K97" s="52">
        <v>0</v>
      </c>
      <c r="L97" s="52">
        <v>0</v>
      </c>
      <c r="M97" s="50">
        <v>0</v>
      </c>
      <c r="N97" s="50">
        <v>0</v>
      </c>
      <c r="O97" s="52" t="s">
        <v>35</v>
      </c>
      <c r="P97" s="52">
        <v>2261</v>
      </c>
      <c r="Q97" s="49" t="s">
        <v>34</v>
      </c>
      <c r="R97">
        <v>0</v>
      </c>
      <c r="S97">
        <v>0</v>
      </c>
      <c r="T97">
        <v>0</v>
      </c>
      <c r="U97">
        <v>0</v>
      </c>
      <c r="V97" t="s">
        <v>79</v>
      </c>
      <c r="W97" t="s">
        <v>37</v>
      </c>
      <c r="Y97" s="53">
        <v>21.220380161238481</v>
      </c>
    </row>
    <row r="98" spans="1:25" x14ac:dyDescent="0.25">
      <c r="A98" t="s">
        <v>432</v>
      </c>
      <c r="B98" t="s">
        <v>50</v>
      </c>
      <c r="C98" s="49" t="s">
        <v>50</v>
      </c>
      <c r="D98" t="s">
        <v>51</v>
      </c>
      <c r="E98" s="49">
        <v>10570019</v>
      </c>
      <c r="F98" t="s">
        <v>137</v>
      </c>
      <c r="G98">
        <v>14</v>
      </c>
      <c r="H98" s="50">
        <v>65.899999999999991</v>
      </c>
      <c r="I98" s="50">
        <v>3077.0212899589001</v>
      </c>
      <c r="J98" s="52">
        <v>0</v>
      </c>
      <c r="K98" s="52">
        <v>0</v>
      </c>
      <c r="L98" s="52">
        <v>0</v>
      </c>
      <c r="M98" s="50">
        <v>0</v>
      </c>
      <c r="N98" s="50">
        <v>0</v>
      </c>
      <c r="O98" s="52" t="s">
        <v>35</v>
      </c>
      <c r="P98" s="52">
        <v>3077</v>
      </c>
      <c r="Q98" s="49" t="s">
        <v>34</v>
      </c>
      <c r="R98">
        <v>0</v>
      </c>
      <c r="S98">
        <v>0</v>
      </c>
      <c r="T98">
        <v>0</v>
      </c>
      <c r="U98">
        <v>0</v>
      </c>
      <c r="V98" t="s">
        <v>79</v>
      </c>
      <c r="W98" t="s">
        <v>37</v>
      </c>
      <c r="Y98" s="53">
        <v>32.684596403205319</v>
      </c>
    </row>
    <row r="99" spans="1:25" x14ac:dyDescent="0.25">
      <c r="A99" t="s">
        <v>433</v>
      </c>
      <c r="B99" t="s">
        <v>50</v>
      </c>
      <c r="C99" s="49" t="s">
        <v>50</v>
      </c>
      <c r="D99" t="s">
        <v>51</v>
      </c>
      <c r="E99" s="49">
        <v>10570019</v>
      </c>
      <c r="F99" t="s">
        <v>141</v>
      </c>
      <c r="G99">
        <v>7</v>
      </c>
      <c r="H99" s="50">
        <v>303.39999999999998</v>
      </c>
      <c r="I99" s="50">
        <v>12188.117566559999</v>
      </c>
      <c r="J99" s="52">
        <v>0</v>
      </c>
      <c r="K99" s="52">
        <v>0</v>
      </c>
      <c r="L99" s="52">
        <v>0</v>
      </c>
      <c r="M99" s="50">
        <v>4350</v>
      </c>
      <c r="N99" s="50">
        <v>0</v>
      </c>
      <c r="O99" s="52" t="s">
        <v>35</v>
      </c>
      <c r="P99" s="52">
        <v>7838</v>
      </c>
      <c r="Q99" s="49" t="s">
        <v>34</v>
      </c>
      <c r="R99">
        <v>0</v>
      </c>
      <c r="S99">
        <v>0</v>
      </c>
      <c r="T99">
        <v>0</v>
      </c>
      <c r="U99">
        <v>0</v>
      </c>
      <c r="V99" t="s">
        <v>79</v>
      </c>
      <c r="W99" t="s">
        <v>37</v>
      </c>
      <c r="Y99" s="53">
        <v>14.060122440000002</v>
      </c>
    </row>
    <row r="100" spans="1:25" x14ac:dyDescent="0.25">
      <c r="A100" t="s">
        <v>434</v>
      </c>
      <c r="B100" t="s">
        <v>50</v>
      </c>
      <c r="C100" s="49" t="s">
        <v>50</v>
      </c>
      <c r="D100" t="s">
        <v>51</v>
      </c>
      <c r="E100" s="49">
        <v>10570019</v>
      </c>
      <c r="F100" t="s">
        <v>206</v>
      </c>
      <c r="G100">
        <v>11</v>
      </c>
      <c r="H100" s="50">
        <v>18.400000000000002</v>
      </c>
      <c r="I100" s="50">
        <v>1354.0652692868</v>
      </c>
      <c r="J100" s="52">
        <v>0</v>
      </c>
      <c r="K100" s="52">
        <v>0</v>
      </c>
      <c r="L100" s="52">
        <v>0</v>
      </c>
      <c r="M100" s="50">
        <v>0</v>
      </c>
      <c r="N100" s="50">
        <v>0</v>
      </c>
      <c r="O100" s="52" t="s">
        <v>35</v>
      </c>
      <c r="P100" s="52">
        <v>1354</v>
      </c>
      <c r="Q100" s="49" t="s">
        <v>34</v>
      </c>
      <c r="R100" t="s">
        <v>435</v>
      </c>
      <c r="S100" t="s">
        <v>436</v>
      </c>
      <c r="T100" t="s">
        <v>427</v>
      </c>
      <c r="U100" t="s">
        <v>226</v>
      </c>
      <c r="V100" t="s">
        <v>86</v>
      </c>
      <c r="W100" t="s">
        <v>37</v>
      </c>
      <c r="Y100" s="53">
        <v>40.474777071072822</v>
      </c>
    </row>
    <row r="101" spans="1:25" x14ac:dyDescent="0.25">
      <c r="A101" t="s">
        <v>437</v>
      </c>
      <c r="B101" t="s">
        <v>50</v>
      </c>
      <c r="C101" s="49" t="s">
        <v>50</v>
      </c>
      <c r="D101" t="s">
        <v>52</v>
      </c>
      <c r="E101" s="49">
        <v>10570021</v>
      </c>
      <c r="F101" t="s">
        <v>78</v>
      </c>
      <c r="G101">
        <v>3</v>
      </c>
      <c r="H101" s="50">
        <v>1.3</v>
      </c>
      <c r="I101" s="50">
        <v>47.692304595000003</v>
      </c>
      <c r="J101" s="52">
        <v>0</v>
      </c>
      <c r="K101" s="52">
        <v>47.692304595000003</v>
      </c>
      <c r="L101" s="52">
        <v>0</v>
      </c>
      <c r="M101" s="50">
        <v>0</v>
      </c>
      <c r="N101" s="50">
        <v>0</v>
      </c>
      <c r="O101" s="52" t="s">
        <v>35</v>
      </c>
      <c r="P101" s="52">
        <v>0</v>
      </c>
      <c r="Q101" s="49" t="s">
        <v>34</v>
      </c>
      <c r="R101">
        <v>0</v>
      </c>
      <c r="S101">
        <v>0</v>
      </c>
      <c r="T101">
        <v>0</v>
      </c>
      <c r="U101">
        <v>0</v>
      </c>
      <c r="V101" t="s">
        <v>79</v>
      </c>
      <c r="W101" t="s">
        <v>37</v>
      </c>
      <c r="Y101" s="53">
        <v>0</v>
      </c>
    </row>
    <row r="102" spans="1:25" x14ac:dyDescent="0.25">
      <c r="A102" t="s">
        <v>438</v>
      </c>
      <c r="B102" t="s">
        <v>50</v>
      </c>
      <c r="C102" s="49" t="s">
        <v>50</v>
      </c>
      <c r="D102" t="s">
        <v>52</v>
      </c>
      <c r="E102" s="49">
        <v>10570021</v>
      </c>
      <c r="F102" t="s">
        <v>81</v>
      </c>
      <c r="G102">
        <v>13</v>
      </c>
      <c r="H102" s="50">
        <v>150.20000000000005</v>
      </c>
      <c r="I102" s="50">
        <v>6258.9812526743999</v>
      </c>
      <c r="J102" s="52">
        <v>0</v>
      </c>
      <c r="K102" s="52">
        <v>0</v>
      </c>
      <c r="L102" s="52">
        <v>540</v>
      </c>
      <c r="M102" s="50">
        <v>2754</v>
      </c>
      <c r="N102" s="50">
        <v>0</v>
      </c>
      <c r="O102" s="52" t="s">
        <v>35</v>
      </c>
      <c r="P102" s="52">
        <v>2965</v>
      </c>
      <c r="Q102" s="49" t="s">
        <v>34</v>
      </c>
      <c r="R102" t="s">
        <v>439</v>
      </c>
      <c r="S102" t="s">
        <v>440</v>
      </c>
      <c r="T102" t="s">
        <v>441</v>
      </c>
      <c r="U102" t="s">
        <v>240</v>
      </c>
      <c r="V102" t="s">
        <v>86</v>
      </c>
      <c r="W102" t="s">
        <v>37</v>
      </c>
      <c r="Y102" s="53">
        <v>27.086137245262041</v>
      </c>
    </row>
    <row r="103" spans="1:25" x14ac:dyDescent="0.25">
      <c r="A103" t="s">
        <v>442</v>
      </c>
      <c r="B103" t="s">
        <v>50</v>
      </c>
      <c r="C103" s="49" t="s">
        <v>50</v>
      </c>
      <c r="D103" t="s">
        <v>52</v>
      </c>
      <c r="E103" s="49">
        <v>10570021</v>
      </c>
      <c r="F103" t="s">
        <v>131</v>
      </c>
      <c r="G103">
        <v>14</v>
      </c>
      <c r="H103" s="50">
        <v>157.79999999999998</v>
      </c>
      <c r="I103" s="50">
        <v>6323.3281661294996</v>
      </c>
      <c r="J103" s="52">
        <v>0</v>
      </c>
      <c r="K103" s="52">
        <v>0</v>
      </c>
      <c r="L103" s="52">
        <v>0</v>
      </c>
      <c r="M103" s="50">
        <v>0</v>
      </c>
      <c r="N103" s="50">
        <v>0</v>
      </c>
      <c r="O103" s="52" t="s">
        <v>35</v>
      </c>
      <c r="P103" s="52">
        <v>6323</v>
      </c>
      <c r="Q103" s="49" t="s">
        <v>34</v>
      </c>
      <c r="R103" t="s">
        <v>443</v>
      </c>
      <c r="S103" t="s">
        <v>444</v>
      </c>
      <c r="T103" t="s">
        <v>427</v>
      </c>
      <c r="U103" t="s">
        <v>226</v>
      </c>
      <c r="V103" t="s">
        <v>86</v>
      </c>
      <c r="W103" t="s">
        <v>37</v>
      </c>
      <c r="Y103" s="53">
        <v>28.050251687519967</v>
      </c>
    </row>
    <row r="104" spans="1:25" x14ac:dyDescent="0.25">
      <c r="A104" t="s">
        <v>445</v>
      </c>
      <c r="B104" t="s">
        <v>50</v>
      </c>
      <c r="C104" s="49" t="s">
        <v>50</v>
      </c>
      <c r="D104" t="s">
        <v>52</v>
      </c>
      <c r="E104" s="49">
        <v>10570021</v>
      </c>
      <c r="F104" t="s">
        <v>197</v>
      </c>
      <c r="G104">
        <v>12</v>
      </c>
      <c r="H104" s="50">
        <v>90.3</v>
      </c>
      <c r="I104" s="50">
        <v>3491.6297876399999</v>
      </c>
      <c r="J104" s="52">
        <v>0</v>
      </c>
      <c r="K104" s="52">
        <v>0</v>
      </c>
      <c r="L104" s="52">
        <v>0</v>
      </c>
      <c r="M104" s="50">
        <v>0</v>
      </c>
      <c r="N104" s="50">
        <v>0</v>
      </c>
      <c r="O104" s="52" t="s">
        <v>35</v>
      </c>
      <c r="P104" s="52">
        <v>3492</v>
      </c>
      <c r="Q104" s="49" t="s">
        <v>34</v>
      </c>
      <c r="R104" t="s">
        <v>446</v>
      </c>
      <c r="S104" t="s">
        <v>447</v>
      </c>
      <c r="T104" t="s">
        <v>448</v>
      </c>
      <c r="U104" t="s">
        <v>85</v>
      </c>
      <c r="V104" t="s">
        <v>86</v>
      </c>
      <c r="W104" t="s">
        <v>37</v>
      </c>
      <c r="Y104" s="53">
        <v>23.200197924518275</v>
      </c>
    </row>
    <row r="105" spans="1:25" x14ac:dyDescent="0.25">
      <c r="A105" t="s">
        <v>449</v>
      </c>
      <c r="B105" t="s">
        <v>50</v>
      </c>
      <c r="C105" s="49" t="s">
        <v>50</v>
      </c>
      <c r="D105" t="s">
        <v>52</v>
      </c>
      <c r="E105" s="49">
        <v>10570021</v>
      </c>
      <c r="F105" t="s">
        <v>141</v>
      </c>
      <c r="G105">
        <v>12</v>
      </c>
      <c r="H105" s="50">
        <v>93.300000000000011</v>
      </c>
      <c r="I105" s="50">
        <v>3603.7364763</v>
      </c>
      <c r="J105" s="52">
        <v>0</v>
      </c>
      <c r="K105" s="52">
        <v>0</v>
      </c>
      <c r="L105" s="52">
        <v>0</v>
      </c>
      <c r="M105" s="50">
        <v>0</v>
      </c>
      <c r="N105" s="50">
        <v>0</v>
      </c>
      <c r="O105" s="52" t="s">
        <v>35</v>
      </c>
      <c r="P105" s="52">
        <v>3604</v>
      </c>
      <c r="Q105" s="49" t="s">
        <v>34</v>
      </c>
      <c r="R105" t="s">
        <v>450</v>
      </c>
      <c r="S105" t="s">
        <v>451</v>
      </c>
      <c r="T105" t="s">
        <v>427</v>
      </c>
      <c r="U105" t="s">
        <v>226</v>
      </c>
      <c r="V105" t="s">
        <v>86</v>
      </c>
      <c r="W105" t="s">
        <v>37</v>
      </c>
      <c r="Y105" s="53">
        <v>23.17515418842444</v>
      </c>
    </row>
    <row r="106" spans="1:25" x14ac:dyDescent="0.25">
      <c r="A106" t="s">
        <v>452</v>
      </c>
      <c r="B106" t="s">
        <v>50</v>
      </c>
      <c r="C106" s="49" t="s">
        <v>50</v>
      </c>
      <c r="D106" t="s">
        <v>52</v>
      </c>
      <c r="E106" s="49">
        <v>10570021</v>
      </c>
      <c r="F106" t="s">
        <v>88</v>
      </c>
      <c r="G106">
        <v>6</v>
      </c>
      <c r="H106" s="50">
        <v>58.599999999999994</v>
      </c>
      <c r="I106" s="50">
        <v>2160.530619528</v>
      </c>
      <c r="J106" s="52">
        <v>0</v>
      </c>
      <c r="K106" s="52">
        <v>0</v>
      </c>
      <c r="L106" s="52">
        <v>0</v>
      </c>
      <c r="M106" s="50">
        <v>0</v>
      </c>
      <c r="N106" s="50">
        <v>0</v>
      </c>
      <c r="O106" s="52" t="s">
        <v>35</v>
      </c>
      <c r="P106" s="52">
        <v>2161</v>
      </c>
      <c r="Q106" s="49" t="s">
        <v>34</v>
      </c>
      <c r="R106" t="s">
        <v>453</v>
      </c>
      <c r="S106" t="s">
        <v>454</v>
      </c>
      <c r="T106" t="s">
        <v>427</v>
      </c>
      <c r="U106" t="s">
        <v>455</v>
      </c>
      <c r="V106" t="s">
        <v>86</v>
      </c>
      <c r="W106" t="s">
        <v>37</v>
      </c>
      <c r="Y106" s="53">
        <v>11.060736960040957</v>
      </c>
    </row>
    <row r="107" spans="1:25" x14ac:dyDescent="0.25">
      <c r="A107" t="s">
        <v>456</v>
      </c>
      <c r="B107" t="s">
        <v>50</v>
      </c>
      <c r="C107" s="49" t="s">
        <v>50</v>
      </c>
      <c r="D107" t="s">
        <v>52</v>
      </c>
      <c r="E107" s="49">
        <v>10570021</v>
      </c>
      <c r="F107" t="s">
        <v>102</v>
      </c>
      <c r="G107">
        <v>8</v>
      </c>
      <c r="H107" s="50">
        <v>80</v>
      </c>
      <c r="I107" s="50">
        <v>2958.4968639000003</v>
      </c>
      <c r="J107" s="52">
        <v>0</v>
      </c>
      <c r="K107" s="52">
        <v>0</v>
      </c>
      <c r="L107" s="52">
        <v>0</v>
      </c>
      <c r="M107" s="50">
        <v>0</v>
      </c>
      <c r="N107" s="50">
        <v>0</v>
      </c>
      <c r="O107" s="52" t="s">
        <v>35</v>
      </c>
      <c r="P107" s="52">
        <v>2958</v>
      </c>
      <c r="Q107" s="49" t="s">
        <v>34</v>
      </c>
      <c r="R107">
        <v>0</v>
      </c>
      <c r="S107">
        <v>0</v>
      </c>
      <c r="T107">
        <v>0</v>
      </c>
      <c r="U107">
        <v>0</v>
      </c>
      <c r="V107" t="s">
        <v>79</v>
      </c>
      <c r="W107" t="s">
        <v>37</v>
      </c>
      <c r="Y107" s="53">
        <v>14.792484319500003</v>
      </c>
    </row>
    <row r="108" spans="1:25" x14ac:dyDescent="0.25">
      <c r="A108" t="s">
        <v>457</v>
      </c>
      <c r="B108" t="s">
        <v>50</v>
      </c>
      <c r="C108" s="49" t="s">
        <v>50</v>
      </c>
      <c r="D108" t="s">
        <v>52</v>
      </c>
      <c r="E108" s="49">
        <v>10570021</v>
      </c>
      <c r="F108" t="s">
        <v>382</v>
      </c>
      <c r="G108">
        <v>1</v>
      </c>
      <c r="H108" s="50">
        <v>9.5</v>
      </c>
      <c r="I108" s="50">
        <v>355.22532810000001</v>
      </c>
      <c r="J108" s="52">
        <v>0</v>
      </c>
      <c r="K108" s="52">
        <v>0</v>
      </c>
      <c r="L108" s="52">
        <v>0</v>
      </c>
      <c r="M108" s="50">
        <v>0</v>
      </c>
      <c r="N108" s="50">
        <v>0</v>
      </c>
      <c r="O108" s="52" t="s">
        <v>35</v>
      </c>
      <c r="P108" s="52">
        <v>355</v>
      </c>
      <c r="Q108" s="49" t="s">
        <v>34</v>
      </c>
      <c r="R108">
        <v>0</v>
      </c>
      <c r="S108">
        <v>0</v>
      </c>
      <c r="T108">
        <v>0</v>
      </c>
      <c r="U108">
        <v>0</v>
      </c>
      <c r="V108" t="s">
        <v>79</v>
      </c>
      <c r="W108" t="s">
        <v>37</v>
      </c>
      <c r="Y108" s="53">
        <v>1.8696069900000003</v>
      </c>
    </row>
    <row r="109" spans="1:25" x14ac:dyDescent="0.25">
      <c r="A109" t="s">
        <v>458</v>
      </c>
      <c r="B109" t="s">
        <v>50</v>
      </c>
      <c r="C109" s="49" t="s">
        <v>50</v>
      </c>
      <c r="D109" t="s">
        <v>53</v>
      </c>
      <c r="E109" s="49">
        <v>10570045</v>
      </c>
      <c r="F109" t="s">
        <v>81</v>
      </c>
      <c r="G109">
        <v>14</v>
      </c>
      <c r="H109" s="50">
        <v>611.89999999999986</v>
      </c>
      <c r="I109" s="50">
        <v>23968.167490727006</v>
      </c>
      <c r="J109" s="52">
        <v>0</v>
      </c>
      <c r="K109" s="52">
        <v>0</v>
      </c>
      <c r="L109" s="52">
        <v>0</v>
      </c>
      <c r="M109" s="50">
        <v>5650</v>
      </c>
      <c r="N109" s="50">
        <v>0</v>
      </c>
      <c r="O109" s="52" t="s">
        <v>35</v>
      </c>
      <c r="P109" s="52">
        <v>18318</v>
      </c>
      <c r="Q109" s="49" t="s">
        <v>34</v>
      </c>
      <c r="R109" t="s">
        <v>459</v>
      </c>
      <c r="S109" t="s">
        <v>460</v>
      </c>
      <c r="T109" t="s">
        <v>461</v>
      </c>
      <c r="U109" t="s">
        <v>144</v>
      </c>
      <c r="V109" t="s">
        <v>86</v>
      </c>
      <c r="W109" t="s">
        <v>37</v>
      </c>
      <c r="Y109" s="53">
        <v>27.419050896402858</v>
      </c>
    </row>
    <row r="110" spans="1:25" x14ac:dyDescent="0.25">
      <c r="A110" t="s">
        <v>462</v>
      </c>
      <c r="B110" t="s">
        <v>50</v>
      </c>
      <c r="C110" s="49" t="s">
        <v>50</v>
      </c>
      <c r="D110" t="s">
        <v>53</v>
      </c>
      <c r="E110" s="49">
        <v>10570045</v>
      </c>
      <c r="F110" t="s">
        <v>141</v>
      </c>
      <c r="G110">
        <v>11</v>
      </c>
      <c r="H110" s="50">
        <v>44.5</v>
      </c>
      <c r="I110" s="50">
        <v>2005.7740092300005</v>
      </c>
      <c r="J110" s="52">
        <v>0</v>
      </c>
      <c r="K110" s="52">
        <v>0</v>
      </c>
      <c r="L110" s="52">
        <v>0</v>
      </c>
      <c r="M110" s="50">
        <v>0</v>
      </c>
      <c r="N110" s="50">
        <v>0</v>
      </c>
      <c r="O110" s="52" t="s">
        <v>35</v>
      </c>
      <c r="P110" s="52">
        <v>2006</v>
      </c>
      <c r="Q110" s="49" t="s">
        <v>34</v>
      </c>
      <c r="R110" t="s">
        <v>463</v>
      </c>
      <c r="S110" t="s">
        <v>464</v>
      </c>
      <c r="T110" t="s">
        <v>465</v>
      </c>
      <c r="U110" t="s">
        <v>466</v>
      </c>
      <c r="V110" t="s">
        <v>86</v>
      </c>
      <c r="W110" t="s">
        <v>37</v>
      </c>
      <c r="Y110" s="53">
        <v>24.790465282617983</v>
      </c>
    </row>
    <row r="111" spans="1:25" x14ac:dyDescent="0.25">
      <c r="A111" t="s">
        <v>467</v>
      </c>
      <c r="B111" t="s">
        <v>50</v>
      </c>
      <c r="C111" s="49" t="s">
        <v>50</v>
      </c>
      <c r="D111" t="s">
        <v>53</v>
      </c>
      <c r="E111" s="49">
        <v>10570045</v>
      </c>
      <c r="F111" t="s">
        <v>102</v>
      </c>
      <c r="G111">
        <v>13</v>
      </c>
      <c r="H111" s="50">
        <v>92.100000000000009</v>
      </c>
      <c r="I111" s="50">
        <v>4414.979007835801</v>
      </c>
      <c r="J111" s="52">
        <v>0</v>
      </c>
      <c r="K111" s="52">
        <v>0</v>
      </c>
      <c r="L111" s="52">
        <v>0</v>
      </c>
      <c r="M111" s="50">
        <v>0</v>
      </c>
      <c r="N111" s="50">
        <v>0</v>
      </c>
      <c r="O111" s="52" t="s">
        <v>35</v>
      </c>
      <c r="P111" s="52">
        <v>4415</v>
      </c>
      <c r="Q111" s="49" t="s">
        <v>34</v>
      </c>
      <c r="R111" t="s">
        <v>468</v>
      </c>
      <c r="S111" t="s">
        <v>469</v>
      </c>
      <c r="T111" t="s">
        <v>465</v>
      </c>
      <c r="U111" t="s">
        <v>226</v>
      </c>
      <c r="V111" t="s">
        <v>86</v>
      </c>
      <c r="W111" t="s">
        <v>37</v>
      </c>
      <c r="Y111" s="53">
        <v>31.158918079188606</v>
      </c>
    </row>
    <row r="112" spans="1:25" x14ac:dyDescent="0.25">
      <c r="A112" t="s">
        <v>470</v>
      </c>
      <c r="B112" t="s">
        <v>50</v>
      </c>
      <c r="C112" s="49" t="s">
        <v>50</v>
      </c>
      <c r="D112" t="s">
        <v>53</v>
      </c>
      <c r="E112" s="49">
        <v>10570045</v>
      </c>
      <c r="F112" t="s">
        <v>110</v>
      </c>
      <c r="G112">
        <v>6</v>
      </c>
      <c r="H112" s="50">
        <v>21.9</v>
      </c>
      <c r="I112" s="50">
        <v>879.07567755000002</v>
      </c>
      <c r="J112" s="52">
        <v>0</v>
      </c>
      <c r="K112" s="52">
        <v>0</v>
      </c>
      <c r="L112" s="52">
        <v>0</v>
      </c>
      <c r="M112" s="50">
        <v>0</v>
      </c>
      <c r="N112" s="50">
        <v>0</v>
      </c>
      <c r="O112" s="52" t="s">
        <v>35</v>
      </c>
      <c r="P112" s="52">
        <v>879</v>
      </c>
      <c r="Q112" s="49" t="s">
        <v>34</v>
      </c>
      <c r="R112" t="s">
        <v>292</v>
      </c>
      <c r="S112" t="s">
        <v>471</v>
      </c>
      <c r="T112" t="s">
        <v>472</v>
      </c>
      <c r="U112" t="s">
        <v>234</v>
      </c>
      <c r="V112" t="s">
        <v>86</v>
      </c>
      <c r="W112" t="s">
        <v>37</v>
      </c>
      <c r="Y112" s="53">
        <v>12.042132569178085</v>
      </c>
    </row>
    <row r="113" spans="1:25" x14ac:dyDescent="0.25">
      <c r="A113" t="s">
        <v>473</v>
      </c>
      <c r="B113" t="s">
        <v>50</v>
      </c>
      <c r="C113" s="49" t="s">
        <v>50</v>
      </c>
      <c r="D113" t="s">
        <v>53</v>
      </c>
      <c r="E113" s="49">
        <v>10570045</v>
      </c>
      <c r="F113" t="s">
        <v>242</v>
      </c>
      <c r="G113">
        <v>6</v>
      </c>
      <c r="H113" s="50">
        <v>14.2</v>
      </c>
      <c r="I113" s="50">
        <v>538.36350631950006</v>
      </c>
      <c r="J113" s="52">
        <v>0</v>
      </c>
      <c r="K113" s="52">
        <v>0</v>
      </c>
      <c r="L113" s="52">
        <v>0</v>
      </c>
      <c r="M113" s="50">
        <v>0</v>
      </c>
      <c r="N113" s="50">
        <v>0</v>
      </c>
      <c r="O113" s="52" t="s">
        <v>35</v>
      </c>
      <c r="P113" s="52">
        <v>538</v>
      </c>
      <c r="Q113" s="49" t="s">
        <v>34</v>
      </c>
      <c r="R113" t="s">
        <v>474</v>
      </c>
      <c r="S113" t="s">
        <v>475</v>
      </c>
      <c r="T113" t="s">
        <v>327</v>
      </c>
      <c r="U113" t="s">
        <v>418</v>
      </c>
      <c r="V113" t="s">
        <v>86</v>
      </c>
      <c r="W113" t="s">
        <v>37</v>
      </c>
      <c r="Y113" s="53">
        <v>11.373876894073947</v>
      </c>
    </row>
    <row r="114" spans="1:25" x14ac:dyDescent="0.25">
      <c r="A114" t="s">
        <v>476</v>
      </c>
      <c r="B114" t="s">
        <v>50</v>
      </c>
      <c r="C114" s="49" t="s">
        <v>50</v>
      </c>
      <c r="D114" t="s">
        <v>53</v>
      </c>
      <c r="E114" s="49">
        <v>10570045</v>
      </c>
      <c r="F114" t="s">
        <v>477</v>
      </c>
      <c r="G114">
        <v>7</v>
      </c>
      <c r="H114" s="50">
        <v>28.700000000000003</v>
      </c>
      <c r="I114" s="50">
        <v>1178.0035021230001</v>
      </c>
      <c r="J114" s="52">
        <v>0</v>
      </c>
      <c r="K114" s="52">
        <v>0</v>
      </c>
      <c r="L114" s="52">
        <v>0</v>
      </c>
      <c r="M114" s="50">
        <v>0</v>
      </c>
      <c r="N114" s="50">
        <v>0</v>
      </c>
      <c r="O114" s="52" t="s">
        <v>35</v>
      </c>
      <c r="P114" s="52">
        <v>1178</v>
      </c>
      <c r="Q114" s="49" t="s">
        <v>34</v>
      </c>
      <c r="R114" t="s">
        <v>478</v>
      </c>
      <c r="S114" t="s">
        <v>479</v>
      </c>
      <c r="T114" t="s">
        <v>465</v>
      </c>
      <c r="U114" t="s">
        <v>455</v>
      </c>
      <c r="V114" t="s">
        <v>86</v>
      </c>
      <c r="W114" t="s">
        <v>37</v>
      </c>
      <c r="Y114" s="53">
        <v>14.36589636735366</v>
      </c>
    </row>
    <row r="115" spans="1:25" x14ac:dyDescent="0.25">
      <c r="A115" t="s">
        <v>480</v>
      </c>
      <c r="B115" t="s">
        <v>50</v>
      </c>
      <c r="C115" s="49" t="s">
        <v>50</v>
      </c>
      <c r="D115" t="s">
        <v>53</v>
      </c>
      <c r="E115" s="49">
        <v>10570045</v>
      </c>
      <c r="F115" t="s">
        <v>246</v>
      </c>
      <c r="G115">
        <v>12</v>
      </c>
      <c r="H115" s="50">
        <v>39.4</v>
      </c>
      <c r="I115" s="50">
        <v>1587.7979058465</v>
      </c>
      <c r="J115" s="52">
        <v>0</v>
      </c>
      <c r="K115" s="52">
        <v>0</v>
      </c>
      <c r="L115" s="52">
        <v>0</v>
      </c>
      <c r="M115" s="50">
        <v>0</v>
      </c>
      <c r="N115" s="50">
        <v>0</v>
      </c>
      <c r="O115" s="52" t="s">
        <v>35</v>
      </c>
      <c r="P115" s="52">
        <v>1588</v>
      </c>
      <c r="Q115" s="49" t="s">
        <v>34</v>
      </c>
      <c r="R115" t="s">
        <v>481</v>
      </c>
      <c r="S115" t="s">
        <v>482</v>
      </c>
      <c r="T115" t="s">
        <v>465</v>
      </c>
      <c r="U115" t="s">
        <v>455</v>
      </c>
      <c r="V115" t="s">
        <v>86</v>
      </c>
      <c r="W115" t="s">
        <v>37</v>
      </c>
      <c r="Y115" s="53">
        <v>24.179663540809649</v>
      </c>
    </row>
    <row r="116" spans="1:25" x14ac:dyDescent="0.25">
      <c r="A116" t="s">
        <v>483</v>
      </c>
      <c r="B116" t="s">
        <v>50</v>
      </c>
      <c r="C116" s="49" t="s">
        <v>50</v>
      </c>
      <c r="D116" t="s">
        <v>53</v>
      </c>
      <c r="E116" s="49">
        <v>10570045</v>
      </c>
      <c r="F116" t="s">
        <v>250</v>
      </c>
      <c r="G116">
        <v>13</v>
      </c>
      <c r="H116" s="50">
        <v>64.5</v>
      </c>
      <c r="I116" s="50">
        <v>2477.0444588175005</v>
      </c>
      <c r="J116" s="52">
        <v>0</v>
      </c>
      <c r="K116" s="52">
        <v>0</v>
      </c>
      <c r="L116" s="52">
        <v>0</v>
      </c>
      <c r="M116" s="50">
        <v>0</v>
      </c>
      <c r="N116" s="50">
        <v>0</v>
      </c>
      <c r="O116" s="52" t="s">
        <v>35</v>
      </c>
      <c r="P116" s="52">
        <v>2477</v>
      </c>
      <c r="Q116" s="49" t="s">
        <v>34</v>
      </c>
      <c r="R116" t="s">
        <v>484</v>
      </c>
      <c r="S116" t="s">
        <v>485</v>
      </c>
      <c r="T116" t="s">
        <v>486</v>
      </c>
      <c r="U116" t="s">
        <v>234</v>
      </c>
      <c r="V116" t="s">
        <v>86</v>
      </c>
      <c r="W116" t="s">
        <v>37</v>
      </c>
      <c r="Y116" s="53">
        <v>24.962463538470939</v>
      </c>
    </row>
    <row r="117" spans="1:25" x14ac:dyDescent="0.25">
      <c r="A117" t="s">
        <v>487</v>
      </c>
      <c r="B117" t="s">
        <v>50</v>
      </c>
      <c r="C117" s="49" t="s">
        <v>50</v>
      </c>
      <c r="D117" t="s">
        <v>53</v>
      </c>
      <c r="E117" s="49">
        <v>10570045</v>
      </c>
      <c r="F117" t="s">
        <v>255</v>
      </c>
      <c r="G117">
        <v>11</v>
      </c>
      <c r="H117" s="50">
        <v>19</v>
      </c>
      <c r="I117" s="50">
        <v>743.91793404600003</v>
      </c>
      <c r="J117" s="52">
        <v>0</v>
      </c>
      <c r="K117" s="52">
        <v>0</v>
      </c>
      <c r="L117" s="52">
        <v>0</v>
      </c>
      <c r="M117" s="50">
        <v>0</v>
      </c>
      <c r="N117" s="50">
        <v>0</v>
      </c>
      <c r="O117" s="52" t="s">
        <v>35</v>
      </c>
      <c r="P117" s="52">
        <v>744</v>
      </c>
      <c r="Q117" s="49" t="s">
        <v>34</v>
      </c>
      <c r="R117" t="s">
        <v>488</v>
      </c>
      <c r="S117" t="s">
        <v>489</v>
      </c>
      <c r="T117" t="s">
        <v>465</v>
      </c>
      <c r="U117" t="s">
        <v>455</v>
      </c>
      <c r="V117" t="s">
        <v>86</v>
      </c>
      <c r="W117" t="s">
        <v>37</v>
      </c>
      <c r="Y117" s="53">
        <v>21.5344665118579</v>
      </c>
    </row>
    <row r="118" spans="1:25" x14ac:dyDescent="0.25">
      <c r="A118" t="s">
        <v>490</v>
      </c>
      <c r="B118" t="s">
        <v>50</v>
      </c>
      <c r="C118" s="49" t="s">
        <v>50</v>
      </c>
      <c r="D118" t="s">
        <v>53</v>
      </c>
      <c r="E118" s="49">
        <v>10570045</v>
      </c>
      <c r="F118" t="s">
        <v>179</v>
      </c>
      <c r="G118">
        <v>12</v>
      </c>
      <c r="H118" s="50">
        <v>104.5</v>
      </c>
      <c r="I118" s="50">
        <v>4024.1340690765001</v>
      </c>
      <c r="J118" s="52">
        <v>0</v>
      </c>
      <c r="K118" s="52">
        <v>0</v>
      </c>
      <c r="L118" s="52">
        <v>0</v>
      </c>
      <c r="M118" s="50">
        <v>0</v>
      </c>
      <c r="N118" s="50">
        <v>0</v>
      </c>
      <c r="O118" s="52" t="s">
        <v>35</v>
      </c>
      <c r="P118" s="52">
        <v>4024</v>
      </c>
      <c r="Q118" s="49" t="s">
        <v>34</v>
      </c>
      <c r="R118" t="s">
        <v>491</v>
      </c>
      <c r="S118" t="s">
        <v>492</v>
      </c>
      <c r="T118" t="s">
        <v>465</v>
      </c>
      <c r="U118" t="s">
        <v>455</v>
      </c>
      <c r="V118" t="s">
        <v>86</v>
      </c>
      <c r="W118" t="s">
        <v>37</v>
      </c>
      <c r="Y118" s="53">
        <v>23.105075994697611</v>
      </c>
    </row>
    <row r="119" spans="1:25" x14ac:dyDescent="0.25">
      <c r="A119" t="s">
        <v>493</v>
      </c>
      <c r="B119" t="s">
        <v>50</v>
      </c>
      <c r="C119" s="49" t="s">
        <v>50</v>
      </c>
      <c r="D119" t="s">
        <v>53</v>
      </c>
      <c r="E119" s="49">
        <v>10570045</v>
      </c>
      <c r="F119" t="s">
        <v>494</v>
      </c>
      <c r="G119">
        <v>2</v>
      </c>
      <c r="H119" s="50">
        <v>12.5</v>
      </c>
      <c r="I119" s="50">
        <v>440.39321836500005</v>
      </c>
      <c r="J119" s="52">
        <v>0</v>
      </c>
      <c r="K119" s="52">
        <v>0</v>
      </c>
      <c r="L119" s="52">
        <v>0</v>
      </c>
      <c r="M119" s="50">
        <v>0</v>
      </c>
      <c r="N119" s="50">
        <v>0</v>
      </c>
      <c r="O119" s="52" t="s">
        <v>35</v>
      </c>
      <c r="P119" s="52">
        <v>440</v>
      </c>
      <c r="Q119" s="49" t="s">
        <v>34</v>
      </c>
      <c r="R119" t="s">
        <v>495</v>
      </c>
      <c r="S119" t="s">
        <v>496</v>
      </c>
      <c r="T119" t="s">
        <v>465</v>
      </c>
      <c r="U119" t="s">
        <v>455</v>
      </c>
      <c r="V119" t="s">
        <v>86</v>
      </c>
      <c r="W119" t="s">
        <v>37</v>
      </c>
      <c r="Y119" s="53">
        <v>3.5231457469200005</v>
      </c>
    </row>
    <row r="120" spans="1:25" x14ac:dyDescent="0.25">
      <c r="A120" t="s">
        <v>497</v>
      </c>
      <c r="B120" t="s">
        <v>50</v>
      </c>
      <c r="C120" s="49" t="s">
        <v>50</v>
      </c>
      <c r="D120" t="s">
        <v>54</v>
      </c>
      <c r="E120" s="49">
        <v>10570047</v>
      </c>
      <c r="F120" t="s">
        <v>81</v>
      </c>
      <c r="G120">
        <v>1</v>
      </c>
      <c r="H120" s="50">
        <v>20.2</v>
      </c>
      <c r="I120" s="50">
        <v>585.72415142400007</v>
      </c>
      <c r="J120" s="52">
        <v>0</v>
      </c>
      <c r="K120" s="52">
        <v>0</v>
      </c>
      <c r="L120" s="52">
        <v>0</v>
      </c>
      <c r="M120" s="50">
        <v>586</v>
      </c>
      <c r="N120" s="50">
        <v>0</v>
      </c>
      <c r="O120" s="52" t="s">
        <v>35</v>
      </c>
      <c r="P120" s="52">
        <v>0</v>
      </c>
      <c r="Q120" s="49" t="s">
        <v>34</v>
      </c>
      <c r="R120" t="s">
        <v>498</v>
      </c>
      <c r="S120" t="s">
        <v>499</v>
      </c>
      <c r="T120" t="s">
        <v>128</v>
      </c>
      <c r="U120" t="s">
        <v>500</v>
      </c>
      <c r="V120" t="s">
        <v>86</v>
      </c>
      <c r="W120" t="s">
        <v>37</v>
      </c>
      <c r="Y120" s="53">
        <v>1.4498122560000004</v>
      </c>
    </row>
    <row r="121" spans="1:25" x14ac:dyDescent="0.25">
      <c r="A121" t="s">
        <v>501</v>
      </c>
      <c r="B121" t="s">
        <v>50</v>
      </c>
      <c r="C121" s="49" t="s">
        <v>50</v>
      </c>
      <c r="D121" t="s">
        <v>54</v>
      </c>
      <c r="E121" s="49">
        <v>10570047</v>
      </c>
      <c r="F121" t="s">
        <v>131</v>
      </c>
      <c r="G121">
        <v>14</v>
      </c>
      <c r="H121" s="50">
        <v>87.800000000000011</v>
      </c>
      <c r="I121" s="50">
        <v>3954.4664055196008</v>
      </c>
      <c r="J121" s="52">
        <v>0</v>
      </c>
      <c r="K121" s="52">
        <v>0</v>
      </c>
      <c r="L121" s="52">
        <v>0</v>
      </c>
      <c r="M121" s="50">
        <v>3954</v>
      </c>
      <c r="N121" s="50">
        <v>0</v>
      </c>
      <c r="O121" s="52" t="s">
        <v>35</v>
      </c>
      <c r="P121" s="52">
        <v>0</v>
      </c>
      <c r="Q121" s="49" t="s">
        <v>34</v>
      </c>
      <c r="R121" t="s">
        <v>502</v>
      </c>
      <c r="S121" t="s">
        <v>503</v>
      </c>
      <c r="T121" t="s">
        <v>504</v>
      </c>
      <c r="U121" t="s">
        <v>455</v>
      </c>
      <c r="V121" t="s">
        <v>86</v>
      </c>
      <c r="W121" t="s">
        <v>37</v>
      </c>
      <c r="Y121" s="53">
        <v>31.527636490475174</v>
      </c>
    </row>
    <row r="122" spans="1:25" x14ac:dyDescent="0.25">
      <c r="A122" t="s">
        <v>505</v>
      </c>
      <c r="B122" t="s">
        <v>50</v>
      </c>
      <c r="C122" s="49" t="s">
        <v>50</v>
      </c>
      <c r="D122" t="s">
        <v>54</v>
      </c>
      <c r="E122" s="49">
        <v>10570047</v>
      </c>
      <c r="F122" t="s">
        <v>197</v>
      </c>
      <c r="G122">
        <v>5</v>
      </c>
      <c r="H122" s="50">
        <v>9.3000000000000007</v>
      </c>
      <c r="I122" s="50">
        <v>298.35367172700001</v>
      </c>
      <c r="J122" s="52">
        <v>0</v>
      </c>
      <c r="K122" s="52">
        <v>0</v>
      </c>
      <c r="L122" s="52">
        <v>0</v>
      </c>
      <c r="M122" s="50">
        <v>0</v>
      </c>
      <c r="N122" s="50">
        <v>0</v>
      </c>
      <c r="O122" s="52" t="s">
        <v>35</v>
      </c>
      <c r="P122" s="52">
        <v>298</v>
      </c>
      <c r="Q122" s="49" t="s">
        <v>34</v>
      </c>
      <c r="R122" t="s">
        <v>506</v>
      </c>
      <c r="S122" t="s">
        <v>507</v>
      </c>
      <c r="T122" t="s">
        <v>508</v>
      </c>
      <c r="U122" t="s">
        <v>455</v>
      </c>
      <c r="V122" t="s">
        <v>86</v>
      </c>
      <c r="W122" t="s">
        <v>37</v>
      </c>
      <c r="Y122" s="53">
        <v>8.0202599926612894</v>
      </c>
    </row>
    <row r="123" spans="1:25" x14ac:dyDescent="0.25">
      <c r="A123" t="s">
        <v>509</v>
      </c>
      <c r="B123" t="s">
        <v>50</v>
      </c>
      <c r="C123" s="49" t="s">
        <v>50</v>
      </c>
      <c r="D123" t="s">
        <v>54</v>
      </c>
      <c r="E123" s="49">
        <v>10570047</v>
      </c>
      <c r="F123" t="s">
        <v>137</v>
      </c>
      <c r="G123">
        <v>14</v>
      </c>
      <c r="H123" s="50">
        <v>103.10000000000001</v>
      </c>
      <c r="I123" s="50">
        <v>3608.0903232600008</v>
      </c>
      <c r="J123" s="52">
        <v>0</v>
      </c>
      <c r="K123" s="52">
        <v>0</v>
      </c>
      <c r="L123" s="52">
        <v>0</v>
      </c>
      <c r="M123" s="50">
        <v>0</v>
      </c>
      <c r="N123" s="50">
        <v>0</v>
      </c>
      <c r="O123" s="52" t="s">
        <v>35</v>
      </c>
      <c r="P123" s="52">
        <v>3608</v>
      </c>
      <c r="Q123" s="49" t="s">
        <v>34</v>
      </c>
      <c r="R123" t="s">
        <v>510</v>
      </c>
      <c r="S123" t="s">
        <v>511</v>
      </c>
      <c r="T123" t="s">
        <v>504</v>
      </c>
      <c r="U123" t="s">
        <v>455</v>
      </c>
      <c r="V123" t="s">
        <v>86</v>
      </c>
      <c r="W123" t="s">
        <v>37</v>
      </c>
      <c r="Y123" s="53">
        <v>24.497218489641128</v>
      </c>
    </row>
    <row r="124" spans="1:25" x14ac:dyDescent="0.25">
      <c r="A124" t="s">
        <v>512</v>
      </c>
      <c r="B124" t="s">
        <v>50</v>
      </c>
      <c r="C124" s="49" t="s">
        <v>50</v>
      </c>
      <c r="D124" t="s">
        <v>54</v>
      </c>
      <c r="E124" s="49">
        <v>10570047</v>
      </c>
      <c r="F124" t="s">
        <v>88</v>
      </c>
      <c r="G124">
        <v>12</v>
      </c>
      <c r="H124" s="50">
        <v>26.5</v>
      </c>
      <c r="I124" s="50">
        <v>1020.1948307535001</v>
      </c>
      <c r="J124" s="52">
        <v>0</v>
      </c>
      <c r="K124" s="52">
        <v>0</v>
      </c>
      <c r="L124" s="52">
        <v>0</v>
      </c>
      <c r="M124" s="50">
        <v>0</v>
      </c>
      <c r="N124" s="50">
        <v>0</v>
      </c>
      <c r="O124" s="52" t="s">
        <v>35</v>
      </c>
      <c r="P124" s="52">
        <v>1020</v>
      </c>
      <c r="Q124" s="49" t="s">
        <v>34</v>
      </c>
      <c r="R124" t="s">
        <v>513</v>
      </c>
      <c r="S124" t="s">
        <v>514</v>
      </c>
      <c r="T124" t="s">
        <v>504</v>
      </c>
      <c r="U124" t="s">
        <v>455</v>
      </c>
      <c r="V124" t="s">
        <v>86</v>
      </c>
      <c r="W124" t="s">
        <v>37</v>
      </c>
      <c r="Y124" s="53">
        <v>23.098750884984913</v>
      </c>
    </row>
    <row r="125" spans="1:25" x14ac:dyDescent="0.25">
      <c r="A125" t="s">
        <v>515</v>
      </c>
      <c r="B125" t="s">
        <v>50</v>
      </c>
      <c r="C125" s="49" t="s">
        <v>50</v>
      </c>
      <c r="D125" t="s">
        <v>54</v>
      </c>
      <c r="E125" s="49">
        <v>10570047</v>
      </c>
      <c r="F125" t="s">
        <v>153</v>
      </c>
      <c r="G125">
        <v>14</v>
      </c>
      <c r="H125" s="50">
        <v>31.000000000000004</v>
      </c>
      <c r="I125" s="50">
        <v>1184.6630981085</v>
      </c>
      <c r="J125" s="52">
        <v>0</v>
      </c>
      <c r="K125" s="52">
        <v>0</v>
      </c>
      <c r="L125" s="52">
        <v>0</v>
      </c>
      <c r="M125" s="50">
        <v>1185</v>
      </c>
      <c r="N125" s="50">
        <v>0</v>
      </c>
      <c r="O125" s="52" t="s">
        <v>35</v>
      </c>
      <c r="P125" s="52">
        <v>0</v>
      </c>
      <c r="Q125" s="49" t="s">
        <v>34</v>
      </c>
      <c r="R125" t="s">
        <v>516</v>
      </c>
      <c r="S125" t="s">
        <v>517</v>
      </c>
      <c r="T125" t="s">
        <v>504</v>
      </c>
      <c r="U125" t="s">
        <v>455</v>
      </c>
      <c r="V125" t="s">
        <v>86</v>
      </c>
      <c r="W125" t="s">
        <v>37</v>
      </c>
      <c r="Y125" s="53">
        <v>26.750457054062906</v>
      </c>
    </row>
    <row r="126" spans="1:25" x14ac:dyDescent="0.25">
      <c r="A126" t="s">
        <v>518</v>
      </c>
      <c r="B126" t="s">
        <v>50</v>
      </c>
      <c r="C126" s="49" t="s">
        <v>50</v>
      </c>
      <c r="D126" t="s">
        <v>54</v>
      </c>
      <c r="E126" s="49">
        <v>10570047</v>
      </c>
      <c r="F126" t="s">
        <v>98</v>
      </c>
      <c r="G126">
        <v>6</v>
      </c>
      <c r="H126" s="50">
        <v>13.5</v>
      </c>
      <c r="I126" s="50">
        <v>894.64582947120016</v>
      </c>
      <c r="J126" s="52">
        <v>0</v>
      </c>
      <c r="K126" s="52">
        <v>0</v>
      </c>
      <c r="L126" s="52">
        <v>0</v>
      </c>
      <c r="M126" s="50">
        <v>0</v>
      </c>
      <c r="N126" s="50">
        <v>0</v>
      </c>
      <c r="O126" s="52" t="s">
        <v>35</v>
      </c>
      <c r="P126" s="52">
        <v>895</v>
      </c>
      <c r="Q126" s="49" t="s">
        <v>34</v>
      </c>
      <c r="R126">
        <v>0</v>
      </c>
      <c r="S126">
        <v>0</v>
      </c>
      <c r="T126">
        <v>0</v>
      </c>
      <c r="U126">
        <v>0</v>
      </c>
      <c r="V126" t="s">
        <v>79</v>
      </c>
      <c r="W126" t="s">
        <v>37</v>
      </c>
      <c r="Y126" s="53">
        <v>19.881018432693338</v>
      </c>
    </row>
    <row r="127" spans="1:25" x14ac:dyDescent="0.25">
      <c r="A127" t="s">
        <v>519</v>
      </c>
      <c r="B127" t="s">
        <v>50</v>
      </c>
      <c r="C127" s="49" t="s">
        <v>50</v>
      </c>
      <c r="D127" t="s">
        <v>54</v>
      </c>
      <c r="E127" s="49">
        <v>10570047</v>
      </c>
      <c r="F127" t="s">
        <v>102</v>
      </c>
      <c r="G127">
        <v>6</v>
      </c>
      <c r="H127" s="50">
        <v>14.2</v>
      </c>
      <c r="I127" s="50">
        <v>997.41578847029996</v>
      </c>
      <c r="J127" s="52">
        <v>0</v>
      </c>
      <c r="K127" s="52">
        <v>0</v>
      </c>
      <c r="L127" s="52">
        <v>0</v>
      </c>
      <c r="M127" s="50">
        <v>0</v>
      </c>
      <c r="N127" s="50">
        <v>0</v>
      </c>
      <c r="O127" s="52" t="s">
        <v>35</v>
      </c>
      <c r="P127" s="52">
        <v>997</v>
      </c>
      <c r="Q127" s="49" t="s">
        <v>34</v>
      </c>
      <c r="R127">
        <v>0</v>
      </c>
      <c r="S127">
        <v>0</v>
      </c>
      <c r="T127">
        <v>0</v>
      </c>
      <c r="U127">
        <v>0</v>
      </c>
      <c r="V127" t="s">
        <v>79</v>
      </c>
      <c r="W127" t="s">
        <v>37</v>
      </c>
      <c r="Y127" s="53">
        <v>21.072164545147185</v>
      </c>
    </row>
    <row r="128" spans="1:25" x14ac:dyDescent="0.25">
      <c r="A128" t="s">
        <v>520</v>
      </c>
      <c r="B128" t="s">
        <v>50</v>
      </c>
      <c r="C128" s="49" t="s">
        <v>50</v>
      </c>
      <c r="D128" t="s">
        <v>54</v>
      </c>
      <c r="E128" s="49">
        <v>10570047</v>
      </c>
      <c r="F128" t="s">
        <v>382</v>
      </c>
      <c r="G128">
        <v>13</v>
      </c>
      <c r="H128" s="50">
        <v>29.9</v>
      </c>
      <c r="I128" s="50">
        <v>1523.0232702286903</v>
      </c>
      <c r="J128" s="52">
        <v>0</v>
      </c>
      <c r="K128" s="52">
        <v>0</v>
      </c>
      <c r="L128" s="52">
        <v>0</v>
      </c>
      <c r="M128" s="50">
        <v>1425</v>
      </c>
      <c r="N128" s="50">
        <v>0</v>
      </c>
      <c r="O128" s="52" t="s">
        <v>35</v>
      </c>
      <c r="P128" s="52">
        <v>98</v>
      </c>
      <c r="Q128" s="49" t="s">
        <v>34</v>
      </c>
      <c r="R128">
        <v>0</v>
      </c>
      <c r="S128">
        <v>0</v>
      </c>
      <c r="T128">
        <v>0</v>
      </c>
      <c r="U128">
        <v>0</v>
      </c>
      <c r="V128" t="s">
        <v>79</v>
      </c>
      <c r="W128" t="s">
        <v>37</v>
      </c>
      <c r="Y128" s="53">
        <v>33.109201526710663</v>
      </c>
    </row>
    <row r="129" spans="1:25" x14ac:dyDescent="0.25">
      <c r="A129" t="s">
        <v>521</v>
      </c>
      <c r="B129" t="s">
        <v>50</v>
      </c>
      <c r="C129" s="49" t="s">
        <v>50</v>
      </c>
      <c r="D129" t="s">
        <v>54</v>
      </c>
      <c r="E129" s="49">
        <v>10570047</v>
      </c>
      <c r="F129" t="s">
        <v>106</v>
      </c>
      <c r="G129">
        <v>7</v>
      </c>
      <c r="H129" s="50">
        <v>8.1000000000000014</v>
      </c>
      <c r="I129" s="50">
        <v>334.91545986</v>
      </c>
      <c r="J129" s="52">
        <v>0</v>
      </c>
      <c r="K129" s="52">
        <v>0</v>
      </c>
      <c r="L129" s="52">
        <v>0</v>
      </c>
      <c r="M129" s="50">
        <v>0</v>
      </c>
      <c r="N129" s="50">
        <v>0</v>
      </c>
      <c r="O129" s="52" t="s">
        <v>35</v>
      </c>
      <c r="P129" s="52">
        <v>335</v>
      </c>
      <c r="Q129" s="49" t="s">
        <v>34</v>
      </c>
      <c r="R129">
        <v>0</v>
      </c>
      <c r="S129">
        <v>0</v>
      </c>
      <c r="T129">
        <v>0</v>
      </c>
      <c r="U129">
        <v>0</v>
      </c>
      <c r="V129" t="s">
        <v>79</v>
      </c>
      <c r="W129" t="s">
        <v>37</v>
      </c>
      <c r="Y129" s="53">
        <v>14.471655672962962</v>
      </c>
    </row>
    <row r="130" spans="1:25" x14ac:dyDescent="0.25">
      <c r="A130" t="s">
        <v>522</v>
      </c>
      <c r="B130" t="s">
        <v>50</v>
      </c>
      <c r="C130" s="49" t="s">
        <v>50</v>
      </c>
      <c r="D130" t="s">
        <v>54</v>
      </c>
      <c r="E130" s="49">
        <v>10570047</v>
      </c>
      <c r="F130" t="s">
        <v>170</v>
      </c>
      <c r="G130">
        <v>7</v>
      </c>
      <c r="H130" s="50">
        <v>9.1000000000000014</v>
      </c>
      <c r="I130" s="50">
        <v>478.53950216485998</v>
      </c>
      <c r="J130" s="52">
        <v>0</v>
      </c>
      <c r="K130" s="52">
        <v>0</v>
      </c>
      <c r="L130" s="52">
        <v>0</v>
      </c>
      <c r="M130" s="50">
        <v>0</v>
      </c>
      <c r="N130" s="50">
        <v>0</v>
      </c>
      <c r="O130" s="52" t="s">
        <v>35</v>
      </c>
      <c r="P130" s="52">
        <v>479</v>
      </c>
      <c r="Q130" s="49" t="s">
        <v>34</v>
      </c>
      <c r="R130" t="s">
        <v>523</v>
      </c>
      <c r="S130" t="s">
        <v>524</v>
      </c>
      <c r="T130" t="s">
        <v>508</v>
      </c>
      <c r="U130" t="s">
        <v>455</v>
      </c>
      <c r="V130" t="s">
        <v>86</v>
      </c>
      <c r="W130" t="s">
        <v>37</v>
      </c>
      <c r="Y130" s="53">
        <v>18.405365467879228</v>
      </c>
    </row>
    <row r="131" spans="1:25" x14ac:dyDescent="0.25">
      <c r="A131" t="s">
        <v>525</v>
      </c>
      <c r="B131" t="s">
        <v>50</v>
      </c>
      <c r="C131" s="49" t="s">
        <v>50</v>
      </c>
      <c r="D131" t="s">
        <v>55</v>
      </c>
      <c r="E131" s="49">
        <v>10570051</v>
      </c>
      <c r="F131" t="s">
        <v>81</v>
      </c>
      <c r="G131">
        <v>10</v>
      </c>
      <c r="H131" s="50">
        <v>94.999999999999986</v>
      </c>
      <c r="I131" s="50">
        <v>3398.9996340029993</v>
      </c>
      <c r="J131" s="52">
        <v>0</v>
      </c>
      <c r="K131" s="52">
        <v>0</v>
      </c>
      <c r="L131" s="52">
        <v>0</v>
      </c>
      <c r="M131" s="50">
        <v>0</v>
      </c>
      <c r="N131" s="50">
        <v>0</v>
      </c>
      <c r="O131" s="52" t="s">
        <v>35</v>
      </c>
      <c r="P131" s="52">
        <v>3399</v>
      </c>
      <c r="Q131" s="49" t="s">
        <v>34</v>
      </c>
      <c r="R131" t="s">
        <v>526</v>
      </c>
      <c r="S131" t="s">
        <v>527</v>
      </c>
      <c r="T131" t="s">
        <v>128</v>
      </c>
      <c r="U131" t="s">
        <v>162</v>
      </c>
      <c r="V131" t="s">
        <v>86</v>
      </c>
      <c r="W131" t="s">
        <v>37</v>
      </c>
      <c r="Y131" s="53">
        <v>17.889471757910524</v>
      </c>
    </row>
    <row r="132" spans="1:25" ht="15.75" thickBot="1" x14ac:dyDescent="0.3">
      <c r="A132" s="55" t="s">
        <v>528</v>
      </c>
      <c r="B132" s="55" t="s">
        <v>50</v>
      </c>
      <c r="C132" s="56" t="s">
        <v>50</v>
      </c>
      <c r="D132" s="55" t="s">
        <v>55</v>
      </c>
      <c r="E132" s="56">
        <v>10570051</v>
      </c>
      <c r="F132" s="55" t="s">
        <v>131</v>
      </c>
      <c r="G132" s="55">
        <v>1</v>
      </c>
      <c r="H132" s="57">
        <v>41.9</v>
      </c>
      <c r="I132" s="57">
        <v>1747.2789224400001</v>
      </c>
      <c r="J132" s="58">
        <v>0</v>
      </c>
      <c r="K132" s="58">
        <v>0</v>
      </c>
      <c r="L132" s="58">
        <v>0</v>
      </c>
      <c r="M132" s="57">
        <v>0</v>
      </c>
      <c r="N132" s="57">
        <v>0</v>
      </c>
      <c r="O132" s="58" t="s">
        <v>35</v>
      </c>
      <c r="P132" s="58">
        <v>1747</v>
      </c>
      <c r="Q132" s="56" t="s">
        <v>34</v>
      </c>
      <c r="R132" s="55" t="s">
        <v>529</v>
      </c>
      <c r="S132" s="55" t="s">
        <v>530</v>
      </c>
      <c r="T132" s="55" t="s">
        <v>531</v>
      </c>
      <c r="U132" s="55" t="s">
        <v>532</v>
      </c>
      <c r="V132" s="55" t="s">
        <v>86</v>
      </c>
      <c r="W132" s="55" t="s">
        <v>37</v>
      </c>
      <c r="Y132" s="53">
        <v>2.0850583800000004</v>
      </c>
    </row>
    <row r="133" spans="1:25" ht="16.5" thickTop="1" thickBot="1" x14ac:dyDescent="0.3">
      <c r="A133" s="59"/>
      <c r="B133" s="59"/>
      <c r="C133" s="59"/>
      <c r="D133" s="59"/>
      <c r="E133" s="59"/>
      <c r="F133" s="59"/>
      <c r="G133" s="59"/>
      <c r="H133" s="59"/>
      <c r="I133" s="59"/>
      <c r="J133" s="59"/>
      <c r="K133" s="59"/>
      <c r="L133" s="59"/>
      <c r="M133" s="59"/>
      <c r="N133" s="59"/>
      <c r="O133" s="59"/>
      <c r="P133" s="60">
        <f>SUM(P2:P132)</f>
        <v>317165</v>
      </c>
      <c r="Q133" s="59"/>
      <c r="R133" s="59"/>
      <c r="S133" s="59"/>
      <c r="T133" s="59"/>
      <c r="U133" s="59"/>
      <c r="V133" s="59"/>
      <c r="W133" s="59"/>
    </row>
  </sheetData>
  <conditionalFormatting sqref="P1:P132">
    <cfRule type="cellIs" dxfId="4" priority="4" operator="lessThan">
      <formula>0</formula>
    </cfRule>
  </conditionalFormatting>
  <conditionalFormatting sqref="S1">
    <cfRule type="duplicateValues" dxfId="3" priority="5"/>
  </conditionalFormatting>
  <conditionalFormatting sqref="A2:A132">
    <cfRule type="duplicateValues" dxfId="2" priority="3"/>
  </conditionalFormatting>
  <conditionalFormatting sqref="A2:A132">
    <cfRule type="duplicateValues" dxfId="1" priority="2"/>
  </conditionalFormatting>
  <conditionalFormatting sqref="P2:P132">
    <cfRule type="cellIs" dxfId="0" priority="1" operator="lessThan">
      <formula>-1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MPG</vt:lpstr>
      <vt:lpstr>Farmer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PANDIT</dc:creator>
  <cp:lastModifiedBy>RAHUL PANDIT</cp:lastModifiedBy>
  <dcterms:created xsi:type="dcterms:W3CDTF">2026-07-04T04:36:42Z</dcterms:created>
  <dcterms:modified xsi:type="dcterms:W3CDTF">2026-07-04T04:42:34Z</dcterms:modified>
</cp:coreProperties>
</file>