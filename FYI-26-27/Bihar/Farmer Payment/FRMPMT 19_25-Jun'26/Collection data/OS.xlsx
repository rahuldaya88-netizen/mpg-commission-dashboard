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armer Payment\FRMPMT 19_25-Jun'26\Collection data\"/>
    </mc:Choice>
  </mc:AlternateContent>
  <xr:revisionPtr revIDLastSave="0" documentId="13_ncr:1_{6D18027E-6FFD-4484-BF6B-0C244BC3BF3F}" xr6:coauthVersionLast="47" xr6:coauthVersionMax="47" xr10:uidLastSave="{00000000-0000-0000-0000-000000000000}"/>
  <bookViews>
    <workbookView xWindow="-120" yWindow="-120" windowWidth="29040" windowHeight="15720" xr2:uid="{C43E0D4F-A1BA-4EC0-9726-686B82D4901C}"/>
  </bookViews>
  <sheets>
    <sheet name="Sheet2" sheetId="2" r:id="rId1"/>
    <sheet name="Sheet1" sheetId="1" r:id="rId2"/>
  </sheets>
  <definedNames>
    <definedName name="_xlnm._FilterDatabase" localSheetId="1" hidden="1">Sheet1!$A$1:$U$48</definedName>
  </definedNames>
  <calcPr calcId="191029"/>
  <pivotCaches>
    <pivotCache cacheId="82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tc={9C3863A7-13B4-4A9E-BC77-ABA24237B45E}</author>
  </authors>
  <commentList>
    <comment ref="O8" authorId="0" shapeId="0" xr:uid="{9C3863A7-13B4-4A9E-BC77-ABA24237B45E}">
      <text>
        <t>[Threaded comment]
Your version of Excel allows you to read this threaded comment; however, any edits to it will get removed if the file is opened in a newer version of Excel. Learn more: https://go.microsoft.com/fwlink/?linkid=870924
Comment:
    Raushan yadav transpoter inward apr 26
Reply:
    Apr 330+ feb 300</t>
      </text>
    </comment>
  </commentList>
</comments>
</file>

<file path=xl/sharedStrings.xml><?xml version="1.0" encoding="utf-8"?>
<sst xmlns="http://schemas.openxmlformats.org/spreadsheetml/2006/main" count="316" uniqueCount="114">
  <si>
    <t>Date</t>
  </si>
  <si>
    <t>Godown</t>
  </si>
  <si>
    <t>MPG Name</t>
  </si>
  <si>
    <t>Old Code</t>
  </si>
  <si>
    <t>New Code</t>
  </si>
  <si>
    <t>Name of Product</t>
  </si>
  <si>
    <t>Qty Sold</t>
  </si>
  <si>
    <t>Sales Amount</t>
  </si>
  <si>
    <t>Sale Type</t>
  </si>
  <si>
    <t>Salesman Name</t>
  </si>
  <si>
    <t>Challan Number</t>
  </si>
  <si>
    <t>Commision Done Yes/No</t>
  </si>
  <si>
    <t>Month</t>
  </si>
  <si>
    <t>Mode</t>
  </si>
  <si>
    <t>Cycle</t>
  </si>
  <si>
    <t>Payment Date</t>
  </si>
  <si>
    <t>Payment Amt</t>
  </si>
  <si>
    <t>Dues</t>
  </si>
  <si>
    <t>Remarks</t>
  </si>
  <si>
    <t>Ageing</t>
  </si>
  <si>
    <t>Alauli</t>
  </si>
  <si>
    <t>Saharbanni</t>
  </si>
  <si>
    <t>Gomukh Gold 50 Kgs</t>
  </si>
  <si>
    <t>Deduction from Milk Payment</t>
  </si>
  <si>
    <t>Apr-26</t>
  </si>
  <si>
    <t>Farmer</t>
  </si>
  <si>
    <t>10 Apr - 16 Apr</t>
  </si>
  <si>
    <t>Asarganj</t>
  </si>
  <si>
    <t>Karhariya</t>
  </si>
  <si>
    <t>Buff Spl 50 Kg</t>
  </si>
  <si>
    <t>Madan Mohan Gopal</t>
  </si>
  <si>
    <t>Mar-26</t>
  </si>
  <si>
    <t>Behiya</t>
  </si>
  <si>
    <t>Nawadin</t>
  </si>
  <si>
    <t>May-26</t>
  </si>
  <si>
    <t>Dumraon</t>
  </si>
  <si>
    <t>Dullahpur</t>
  </si>
  <si>
    <t>Other</t>
  </si>
  <si>
    <t>01-04-2026/ 1-02-2026</t>
  </si>
  <si>
    <t>Salempur</t>
  </si>
  <si>
    <t>10-Apr-16-apr</t>
  </si>
  <si>
    <t>Kalyanpur</t>
  </si>
  <si>
    <t>Gomukh Jhahuri</t>
  </si>
  <si>
    <t>Jul-25</t>
  </si>
  <si>
    <t>27 Mar - 31 Mar</t>
  </si>
  <si>
    <t>Cash Sale</t>
  </si>
  <si>
    <t>0000</t>
  </si>
  <si>
    <t>Lakhisarai</t>
  </si>
  <si>
    <t>Kunal Local Sale</t>
  </si>
  <si>
    <t>Kunal Kumar</t>
  </si>
  <si>
    <t>Dec-25</t>
  </si>
  <si>
    <t>06 feb - 12 Feb &amp; 27-05 Mar</t>
  </si>
  <si>
    <t>As per Discussed by Kunal ji Maliya ka payment 206+2000 map Mpg  10060090 Amt-7500+7000 Map</t>
  </si>
  <si>
    <t>Damage</t>
  </si>
  <si>
    <t>Muslighrarai</t>
  </si>
  <si>
    <t>Saidpur</t>
  </si>
  <si>
    <t>Deepak Kumar</t>
  </si>
  <si>
    <t>Aug-25</t>
  </si>
  <si>
    <t>26 Sep - 02 Oct</t>
  </si>
  <si>
    <t>Close Mpg</t>
  </si>
  <si>
    <t>Dagarua</t>
  </si>
  <si>
    <t>17 Apr - 23 Apr &amp; 24-30 Apr, 1-may-7-may</t>
  </si>
  <si>
    <t>Ajay Kumar</t>
  </si>
  <si>
    <t>Simri</t>
  </si>
  <si>
    <t>Chhatauna East</t>
  </si>
  <si>
    <t>Mithun Kumar</t>
  </si>
  <si>
    <t>Jun-25</t>
  </si>
  <si>
    <t>06 Jun - 12 Jun &amp; 20-26 Jun</t>
  </si>
  <si>
    <t>Khoksaha</t>
  </si>
  <si>
    <t>Suryagadha</t>
  </si>
  <si>
    <t>Pokhrama</t>
  </si>
  <si>
    <t>1204</t>
  </si>
  <si>
    <t>Umakant</t>
  </si>
  <si>
    <t>16 Jan - 22 Jan &amp; 23-29 Jan 20-26 Feb 13-19 Feb</t>
  </si>
  <si>
    <t>Tilathi</t>
  </si>
  <si>
    <t>Jun-26</t>
  </si>
  <si>
    <t>12-18 June</t>
  </si>
  <si>
    <t>Basmatiya</t>
  </si>
  <si>
    <t>Warisnagar</t>
  </si>
  <si>
    <t>Balahi 2</t>
  </si>
  <si>
    <t>Sahebpur Kamal</t>
  </si>
  <si>
    <t>Rahimpur</t>
  </si>
  <si>
    <t>29-05-2026 to 04-06-2026 &amp; 05-11 June</t>
  </si>
  <si>
    <t>04-05-2026/11-6-2026</t>
  </si>
  <si>
    <t>Jajwara</t>
  </si>
  <si>
    <t>0136</t>
  </si>
  <si>
    <t>Masudan</t>
  </si>
  <si>
    <t>Chautham</t>
  </si>
  <si>
    <t>Tolhar</t>
  </si>
  <si>
    <t>Telouch</t>
  </si>
  <si>
    <t>Nawada VLC</t>
  </si>
  <si>
    <t>Saharba</t>
  </si>
  <si>
    <t>Direct sell</t>
  </si>
  <si>
    <t>Mahua</t>
  </si>
  <si>
    <t>Abuchak</t>
  </si>
  <si>
    <t>Harpur W-13</t>
  </si>
  <si>
    <t>05-06-2026 to 11-06-2026 &amp; 12-18 June</t>
  </si>
  <si>
    <t>11-06-2026/18-6-2026</t>
  </si>
  <si>
    <t>Manoj Kumar Roomonwer</t>
  </si>
  <si>
    <t>Driver</t>
  </si>
  <si>
    <t>Mohanpur</t>
  </si>
  <si>
    <t>Arariya</t>
  </si>
  <si>
    <t>Arariya BMC</t>
  </si>
  <si>
    <t>PATHUA</t>
  </si>
  <si>
    <t>Matua</t>
  </si>
  <si>
    <t>Buzurgdoar</t>
  </si>
  <si>
    <t>05-11 June</t>
  </si>
  <si>
    <t>Kamopur</t>
  </si>
  <si>
    <t>Jagdispur</t>
  </si>
  <si>
    <t>Rate</t>
  </si>
  <si>
    <t>(blank)</t>
  </si>
  <si>
    <t>Grand Total</t>
  </si>
  <si>
    <t>Sum of Dues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</si>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</sst>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434343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6F8F9"/>
        <bgColor rgb="FFF6F8F9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theme="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 wrapText="1"/>
    </xf>
    <xf numFmtId="0" fontId="1" fillId="3" borderId="1" xfId="0" applyFont="1" applyFill="1" applyBorder="1" applyAlignment="1">
      <alignment horizontal="right" wrapText="1"/>
    </xf>
    <xf numFmtId="14" fontId="2" fillId="4" borderId="2" xfId="0" applyNumberFormat="1" applyFont="1" applyFill="1" applyBorder="1"/>
    <xf numFmtId="0" fontId="2" fillId="4" borderId="2" xfId="0" applyFont="1" applyFill="1" applyBorder="1"/>
    <xf numFmtId="0" fontId="2" fillId="4" borderId="3" xfId="0" applyFont="1" applyFill="1" applyBorder="1"/>
    <xf numFmtId="0" fontId="2" fillId="4" borderId="3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right"/>
    </xf>
    <xf numFmtId="0" fontId="2" fillId="4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right"/>
    </xf>
    <xf numFmtId="16" fontId="2" fillId="4" borderId="2" xfId="0" applyNumberFormat="1" applyFont="1" applyFill="1" applyBorder="1"/>
    <xf numFmtId="0" fontId="2" fillId="4" borderId="4" xfId="0" applyFont="1" applyFill="1" applyBorder="1"/>
    <xf numFmtId="14" fontId="2" fillId="0" borderId="2" xfId="0" applyNumberFormat="1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3" xfId="0" applyFont="1" applyBorder="1" applyAlignment="1">
      <alignment horizontal="left"/>
    </xf>
    <xf numFmtId="0" fontId="2" fillId="0" borderId="3" xfId="0" applyFont="1" applyBorder="1" applyAlignment="1">
      <alignment horizontal="right"/>
    </xf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right"/>
    </xf>
    <xf numFmtId="16" fontId="2" fillId="0" borderId="2" xfId="0" applyNumberFormat="1" applyFont="1" applyBorder="1"/>
    <xf numFmtId="0" fontId="2" fillId="0" borderId="4" xfId="0" applyFont="1" applyBorder="1"/>
    <xf numFmtId="0" fontId="2" fillId="4" borderId="2" xfId="0" applyFont="1" applyFill="1" applyBorder="1" applyAlignment="1">
      <alignment horizontal="left"/>
    </xf>
    <xf numFmtId="0" fontId="2" fillId="4" borderId="3" xfId="0" quotePrefix="1" applyFont="1" applyFill="1" applyBorder="1" applyAlignment="1">
      <alignment horizontal="left"/>
    </xf>
    <xf numFmtId="0" fontId="2" fillId="0" borderId="3" xfId="0" quotePrefix="1" applyFont="1" applyBorder="1" applyAlignment="1">
      <alignment horizontal="left"/>
    </xf>
    <xf numFmtId="0" fontId="2" fillId="0" borderId="2" xfId="0" quotePrefix="1" applyFont="1" applyBorder="1" applyAlignment="1">
      <alignment horizontal="left"/>
    </xf>
    <xf numFmtId="0" fontId="2" fillId="4" borderId="2" xfId="0" quotePrefix="1" applyFont="1" applyFill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4" borderId="3" xfId="0" applyFont="1" applyFill="1" applyBorder="1" applyAlignment="1">
      <alignment horizontal="center"/>
    </xf>
    <xf numFmtId="16" fontId="2" fillId="4" borderId="3" xfId="0" applyNumberFormat="1" applyFont="1" applyFill="1" applyBorder="1"/>
    <xf numFmtId="0" fontId="2" fillId="4" borderId="5" xfId="0" applyFont="1" applyFill="1" applyBorder="1"/>
    <xf numFmtId="0" fontId="2" fillId="0" borderId="3" xfId="0" applyFont="1" applyBorder="1" applyAlignment="1">
      <alignment horizontal="center"/>
    </xf>
    <xf numFmtId="16" fontId="2" fillId="0" borderId="3" xfId="0" applyNumberFormat="1" applyFont="1" applyBorder="1"/>
    <xf numFmtId="0" fontId="2" fillId="0" borderId="5" xfId="0" applyFont="1" applyBorder="1"/>
    <xf numFmtId="0" fontId="2" fillId="5" borderId="3" xfId="0" applyFont="1" applyFill="1" applyBorder="1" applyAlignment="1">
      <alignment vertical="center"/>
    </xf>
    <xf numFmtId="0" fontId="3" fillId="4" borderId="2" xfId="0" applyFont="1" applyFill="1" applyBorder="1" applyAlignment="1">
      <alignment horizontal="center"/>
    </xf>
    <xf numFmtId="0" fontId="2" fillId="4" borderId="6" xfId="0" applyFont="1" applyFill="1" applyBorder="1"/>
    <xf numFmtId="14" fontId="2" fillId="0" borderId="3" xfId="0" applyNumberFormat="1" applyFont="1" applyBorder="1"/>
    <xf numFmtId="14" fontId="2" fillId="4" borderId="3" xfId="0" applyNumberFormat="1" applyFont="1" applyFill="1" applyBorder="1"/>
    <xf numFmtId="0" fontId="2" fillId="0" borderId="3" xfId="0" applyFont="1" applyBorder="1" applyAlignment="1">
      <alignment vertical="center"/>
    </xf>
    <xf numFmtId="0" fontId="2" fillId="4" borderId="3" xfId="0" applyFont="1" applyFill="1" applyBorder="1" applyAlignment="1">
      <alignment vertical="center"/>
    </xf>
    <xf numFmtId="0" fontId="4" fillId="4" borderId="7" xfId="0" applyFont="1" applyFill="1" applyBorder="1"/>
    <xf numFmtId="0" fontId="5" fillId="0" borderId="7" xfId="0" applyFont="1" applyBorder="1"/>
    <xf numFmtId="0" fontId="5" fillId="4" borderId="7" xfId="0" applyFont="1" applyFill="1" applyBorder="1"/>
    <xf numFmtId="0" fontId="0" fillId="0" borderId="0" xfId="0" pivotButton="1"/>
    <xf numFmtId="0" fontId="6" fillId="4" borderId="8" xfId="0" applyFont="1" applyFill="1" applyBorder="1"/>
    <xf numFmtId="0" fontId="6" fillId="4" borderId="9" xfId="0" applyFont="1" applyFill="1" applyBorder="1"/>
    <xf numFmtId="0" fontId="0" fillId="0" borderId="0" xfId="0" applyNumberFormat="1"/>
    <xf numFmtId="0" fontId="6" fillId="4" borderId="9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upam Kumari" id="{0D265A48-30A7-488C-9C32-5455534F3BA2}" userId="df737cdb060886e4" providerId="Windows Liv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202.556314467591" createdVersion="8" refreshedVersion="8" minRefreshableVersion="3" recordCount="47" xr:uid="{2D95F66C-F3EE-4DB2-8304-01A1D5D71D9C}">
  <cacheSource type="worksheet">
    <worksheetSource ref="A1:U48" sheet="Sheet1"/>
  </cacheSource>
  <cacheFields count="21">
    <cacheField name="Date" numFmtId="14">
      <sharedItems containsSemiMixedTypes="0" containsNonDate="0" containsDate="1" containsString="0" minDate="2025-06-22T00:00:00" maxDate="2026-06-12T00:00:00"/>
    </cacheField>
    <cacheField name="Godown" numFmtId="0">
      <sharedItems/>
    </cacheField>
    <cacheField name="MPG Name" numFmtId="0">
      <sharedItems/>
    </cacheField>
    <cacheField name="Old Code" numFmtId="0">
      <sharedItems containsBlank="1"/>
    </cacheField>
    <cacheField name="New Code" numFmtId="0">
      <sharedItems containsString="0" containsBlank="1" containsNumber="1" containsInteger="1" minValue="10020035" maxValue="10610022" count="29">
        <n v="10110148"/>
        <n v="10230001"/>
        <n v="10600007"/>
        <n v="10140011"/>
        <n v="10600010"/>
        <n v="10530052"/>
        <m/>
        <n v="10130095"/>
        <n v="10130073"/>
        <n v="10120101"/>
        <n v="10060025"/>
        <n v="10060077"/>
        <n v="10060074"/>
        <n v="10570021"/>
        <n v="10110008"/>
        <n v="10060009"/>
        <n v="10060130"/>
        <n v="10560017"/>
        <n v="10070046"/>
        <n v="10560034"/>
        <n v="10560037"/>
        <n v="10610022"/>
        <n v="10530055"/>
        <n v="10110013"/>
        <n v="10020035"/>
        <n v="10570019"/>
        <n v="10570045"/>
        <n v="10570047"/>
        <n v="10570051"/>
      </sharedItems>
    </cacheField>
    <cacheField name="Name of Product" numFmtId="0">
      <sharedItems/>
    </cacheField>
    <cacheField name="Qty Sold" numFmtId="0">
      <sharedItems containsSemiMixedTypes="0" containsString="0" containsNumber="1" containsInteger="1" minValue="0" maxValue="500"/>
    </cacheField>
    <cacheField name="Rate" numFmtId="0">
      <sharedItems containsSemiMixedTypes="0" containsString="0" containsNumber="1" containsInteger="1" minValue="0" maxValue="1550"/>
    </cacheField>
    <cacheField name="Sales Amount" numFmtId="0">
      <sharedItems containsSemiMixedTypes="0" containsString="0" containsNumber="1" containsInteger="1" minValue="600" maxValue="695000"/>
    </cacheField>
    <cacheField name="Sale Type" numFmtId="0">
      <sharedItems/>
    </cacheField>
    <cacheField name="Salesman Name" numFmtId="0">
      <sharedItems containsBlank="1"/>
    </cacheField>
    <cacheField name="Challan Number" numFmtId="0">
      <sharedItems containsString="0" containsBlank="1" containsNumber="1" containsInteger="1" minValue="8539" maxValue="8904"/>
    </cacheField>
    <cacheField name="Commision Done Yes/No" numFmtId="0">
      <sharedItems containsNonDate="0" containsString="0" containsBlank="1"/>
    </cacheField>
    <cacheField name="Month" numFmtId="0">
      <sharedItems containsBlank="1"/>
    </cacheField>
    <cacheField name="Mode" numFmtId="0">
      <sharedItems containsBlank="1"/>
    </cacheField>
    <cacheField name="Cycle" numFmtId="0">
      <sharedItems containsBlank="1"/>
    </cacheField>
    <cacheField name="Payment Date" numFmtId="16">
      <sharedItems containsDate="1" containsBlank="1" containsMixedTypes="1" minDate="2025-06-12T00:00:00" maxDate="2026-06-19T00:00:00"/>
    </cacheField>
    <cacheField name="Payment Amt" numFmtId="0">
      <sharedItems containsString="0" containsBlank="1" containsNumber="1" containsInteger="1" minValue="81" maxValue="586931"/>
    </cacheField>
    <cacheField name="Dues" numFmtId="0">
      <sharedItems containsSemiMixedTypes="0" containsString="0" containsNumber="1" containsInteger="1" minValue="3" maxValue="135000"/>
    </cacheField>
    <cacheField name="Remarks" numFmtId="0">
      <sharedItems containsBlank="1"/>
    </cacheField>
    <cacheField name="Ageing" numFmtId="0">
      <sharedItems containsSemiMixedTypes="0" containsString="0" containsNumber="1" containsInteger="1" minValue="18" maxValue="37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">
  <r>
    <d v="2026-04-15T00:00:00"/>
    <s v="Alauli"/>
    <s v="Saharbanni"/>
    <m/>
    <x v="0"/>
    <s v="Gomukh Gold 50 Kgs"/>
    <n v="8"/>
    <n v="1350"/>
    <n v="10800"/>
    <s v="Deduction from Milk Payment"/>
    <m/>
    <m/>
    <m/>
    <s v="Apr-26"/>
    <s v="Farmer"/>
    <s v="10 Apr - 16 Apr"/>
    <d v="2026-04-16T00:00:00"/>
    <n v="5761"/>
    <n v="5039"/>
    <m/>
    <n v="75"/>
  </r>
  <r>
    <d v="2026-04-16T00:00:00"/>
    <s v="Alauli"/>
    <s v="Saharbanni"/>
    <m/>
    <x v="0"/>
    <s v="Gomukh Gold 50 Kgs"/>
    <n v="3"/>
    <n v="1350"/>
    <n v="4050"/>
    <s v="Deduction from Milk Payment"/>
    <m/>
    <m/>
    <m/>
    <s v="Apr-26"/>
    <m/>
    <m/>
    <m/>
    <m/>
    <n v="4050"/>
    <m/>
    <n v="74"/>
  </r>
  <r>
    <d v="2026-04-17T00:00:00"/>
    <s v="Alauli"/>
    <s v="Saharbanni"/>
    <m/>
    <x v="0"/>
    <s v="Gomukh Gold 50 Kgs"/>
    <n v="1"/>
    <n v="1350"/>
    <n v="1350"/>
    <s v="Deduction from Milk Payment"/>
    <m/>
    <m/>
    <m/>
    <s v="Apr-26"/>
    <m/>
    <m/>
    <m/>
    <m/>
    <n v="1350"/>
    <m/>
    <n v="73"/>
  </r>
  <r>
    <d v="2026-03-23T00:00:00"/>
    <s v="Asarganj"/>
    <s v="Karhariya"/>
    <m/>
    <x v="1"/>
    <s v="Buff Spl 50 Kg"/>
    <n v="2"/>
    <n v="1450"/>
    <n v="2900"/>
    <s v="Deduction from Milk Payment"/>
    <s v="Madan Mohan Gopal"/>
    <m/>
    <m/>
    <s v="Mar-26"/>
    <m/>
    <m/>
    <m/>
    <m/>
    <n v="2900"/>
    <m/>
    <n v="98"/>
  </r>
  <r>
    <d v="2026-05-05T00:00:00"/>
    <s v="Behiya"/>
    <s v="Nawadin"/>
    <m/>
    <x v="2"/>
    <s v="Gomukh Gold 50 Kgs"/>
    <n v="1"/>
    <n v="1280"/>
    <n v="1280"/>
    <s v="Deduction from Milk Payment"/>
    <m/>
    <m/>
    <m/>
    <s v="May-26"/>
    <m/>
    <m/>
    <m/>
    <m/>
    <n v="1280"/>
    <m/>
    <n v="55"/>
  </r>
  <r>
    <d v="2026-05-16T00:00:00"/>
    <s v="Behiya"/>
    <s v="Nawadin"/>
    <m/>
    <x v="2"/>
    <s v="Gomukh Gold 50 Kgs"/>
    <n v="1"/>
    <n v="1280"/>
    <n v="1280"/>
    <s v="Deduction from Milk Payment"/>
    <m/>
    <m/>
    <m/>
    <m/>
    <m/>
    <m/>
    <m/>
    <m/>
    <n v="1280"/>
    <m/>
    <n v="44"/>
  </r>
  <r>
    <d v="2026-04-03T00:00:00"/>
    <s v="Dumraon"/>
    <s v="Dullahpur"/>
    <m/>
    <x v="3"/>
    <s v="Gomukh Gold 50 Kgs"/>
    <n v="1"/>
    <n v="1270"/>
    <n v="1270"/>
    <s v="Deduction from Milk Payment"/>
    <m/>
    <m/>
    <m/>
    <s v="Apr-26"/>
    <s v="Other"/>
    <m/>
    <s v="01-04-2026/ 1-02-2026"/>
    <n v="630"/>
    <n v="640"/>
    <m/>
    <n v="87"/>
  </r>
  <r>
    <d v="2026-04-14T00:00:00"/>
    <s v="Dumraon"/>
    <s v="Salempur"/>
    <m/>
    <x v="4"/>
    <s v="Gomukh Gold 50 Kgs"/>
    <n v="2"/>
    <n v="1300"/>
    <n v="2600"/>
    <s v="Deduction from Milk Payment"/>
    <m/>
    <m/>
    <m/>
    <s v="Apr-26"/>
    <s v="Farmer"/>
    <s v="10-Apr-16-apr"/>
    <d v="2026-04-16T00:00:00"/>
    <n v="2560"/>
    <n v="40"/>
    <m/>
    <n v="76"/>
  </r>
  <r>
    <d v="2026-05-30T00:00:00"/>
    <s v="Dumraon"/>
    <s v="Dullahpur"/>
    <m/>
    <x v="3"/>
    <s v="Gomukh Gold 50 Kgs"/>
    <n v="2"/>
    <n v="1270"/>
    <n v="2540"/>
    <s v="Deduction from Milk Payment"/>
    <m/>
    <m/>
    <m/>
    <s v="May-26"/>
    <m/>
    <m/>
    <m/>
    <m/>
    <n v="2540"/>
    <m/>
    <n v="30"/>
  </r>
  <r>
    <d v="2025-07-16T00:00:00"/>
    <s v="Kalyanpur"/>
    <s v="Gomukh Jhahuri"/>
    <m/>
    <x v="5"/>
    <s v="Buff Spl 50 Kg"/>
    <n v="0"/>
    <n v="0"/>
    <n v="600"/>
    <s v="Deduction from Milk Payment"/>
    <m/>
    <m/>
    <m/>
    <s v="Jul-25"/>
    <s v="Farmer"/>
    <s v="27 Mar - 31 Mar"/>
    <d v="2026-03-31T00:00:00"/>
    <n v="81"/>
    <n v="519"/>
    <m/>
    <n v="348"/>
  </r>
  <r>
    <d v="2026-04-08T00:00:00"/>
    <s v="Kalyanpur"/>
    <s v="Cash Sale"/>
    <s v="0000"/>
    <x v="6"/>
    <s v="Gomukh Gold 50 Kgs"/>
    <n v="1"/>
    <n v="1300"/>
    <n v="1300"/>
    <s v="Deduction from Milk Payment"/>
    <m/>
    <m/>
    <m/>
    <s v="Apr-26"/>
    <m/>
    <m/>
    <m/>
    <m/>
    <n v="1300"/>
    <m/>
    <n v="82"/>
  </r>
  <r>
    <d v="2026-04-14T00:00:00"/>
    <s v="Kalyanpur"/>
    <s v="Cash Sale"/>
    <s v="0000"/>
    <x v="6"/>
    <s v="Gomukh Gold 50 Kgs"/>
    <n v="1"/>
    <n v="1300"/>
    <n v="1300"/>
    <s v="Deduction from Milk Payment"/>
    <m/>
    <m/>
    <m/>
    <s v="Apr-26"/>
    <m/>
    <m/>
    <m/>
    <m/>
    <n v="1300"/>
    <m/>
    <n v="76"/>
  </r>
  <r>
    <d v="2025-12-06T00:00:00"/>
    <s v="Lakhisarai"/>
    <s v="Kunal Local Sale"/>
    <s v="0000"/>
    <x v="6"/>
    <s v="Gomukh Gold 50 Kgs"/>
    <n v="17"/>
    <n v="1300"/>
    <n v="22100"/>
    <s v="Deduction from Milk Payment"/>
    <s v="Kunal Kumar"/>
    <m/>
    <m/>
    <s v="Dec-25"/>
    <s v="Farmer"/>
    <s v="06 feb - 12 Feb &amp; 27-05 Mar"/>
    <d v="2026-02-12T00:00:00"/>
    <n v="16706"/>
    <n v="5394"/>
    <s v="As per Discussed by Kunal ji Maliya ka payment 206+2000 map Mpg  10060090 Amt-7500+7000 Map"/>
    <n v="205"/>
  </r>
  <r>
    <d v="2026-03-31T00:00:00"/>
    <s v="Lakhisarai"/>
    <s v="Damage"/>
    <s v="0000"/>
    <x v="6"/>
    <s v="Gomukh Gold 50 Kgs"/>
    <n v="4"/>
    <n v="500"/>
    <n v="2000"/>
    <s v="Deduction from Milk Payment"/>
    <m/>
    <m/>
    <m/>
    <s v="Mar-26"/>
    <m/>
    <m/>
    <m/>
    <m/>
    <n v="2000"/>
    <m/>
    <n v="90"/>
  </r>
  <r>
    <d v="2025-08-10T00:00:00"/>
    <s v="Muslighrarai"/>
    <s v="Saidpur"/>
    <m/>
    <x v="7"/>
    <s v="Gomukh Gold 50 Kgs"/>
    <n v="1"/>
    <n v="1350"/>
    <n v="1350"/>
    <s v="Deduction from Milk Payment"/>
    <s v="Deepak Kumar"/>
    <m/>
    <m/>
    <s v="Aug-25"/>
    <s v="Farmer"/>
    <s v="26 Sep - 02 Oct"/>
    <d v="2025-10-02T00:00:00"/>
    <n v="82"/>
    <n v="1268"/>
    <s v="Close Mpg"/>
    <n v="323"/>
  </r>
  <r>
    <d v="2026-03-30T00:00:00"/>
    <s v="Muslighrarai"/>
    <s v="Dagarua"/>
    <m/>
    <x v="8"/>
    <s v="Buff Spl 50 Kg"/>
    <n v="1"/>
    <n v="1500"/>
    <n v="1500"/>
    <s v="Deduction from Milk Payment"/>
    <m/>
    <m/>
    <m/>
    <s v="Mar-26"/>
    <s v="Farmer"/>
    <s v="17 Apr - 23 Apr &amp; 24-30 Apr, 1-may-7-may"/>
    <d v="2026-05-07T00:00:00"/>
    <n v="1497"/>
    <n v="3"/>
    <m/>
    <n v="91"/>
  </r>
  <r>
    <d v="2026-04-05T00:00:00"/>
    <s v="Muslighrarai"/>
    <s v="Ajay Kumar"/>
    <s v="0000"/>
    <x v="6"/>
    <s v="Gomukh Gold 50 Kgs"/>
    <n v="3"/>
    <n v="1350"/>
    <n v="4050"/>
    <s v="Deduction from Milk Payment"/>
    <m/>
    <m/>
    <m/>
    <s v="Apr-26"/>
    <m/>
    <m/>
    <m/>
    <m/>
    <n v="4050"/>
    <m/>
    <n v="85"/>
  </r>
  <r>
    <d v="2026-04-05T00:00:00"/>
    <s v="Muslighrarai"/>
    <s v="Ajay Kumar"/>
    <s v="0000"/>
    <x v="6"/>
    <s v="Buff Spl 50 Kg"/>
    <n v="2"/>
    <n v="1500"/>
    <n v="3000"/>
    <s v="Deduction from Milk Payment"/>
    <m/>
    <m/>
    <m/>
    <s v="Apr-26"/>
    <m/>
    <m/>
    <m/>
    <m/>
    <n v="3000"/>
    <m/>
    <n v="85"/>
  </r>
  <r>
    <d v="2026-05-18T00:00:00"/>
    <s v="Muslighrarai"/>
    <s v="Dagarua"/>
    <m/>
    <x v="8"/>
    <s v="Buff Spl 50 Kg"/>
    <n v="1"/>
    <n v="1500"/>
    <n v="1500"/>
    <s v="Deduction from Milk Payment"/>
    <m/>
    <m/>
    <m/>
    <s v="May-26"/>
    <m/>
    <m/>
    <m/>
    <m/>
    <n v="1500"/>
    <m/>
    <n v="42"/>
  </r>
  <r>
    <d v="2025-06-22T00:00:00"/>
    <s v="Simri"/>
    <s v="Chhatauna East"/>
    <m/>
    <x v="9"/>
    <s v="Gomukh Gold 50 Kgs"/>
    <n v="1"/>
    <n v="1300"/>
    <n v="1300"/>
    <s v="Deduction from Milk Payment"/>
    <s v="Mithun Kumar"/>
    <n v="8539"/>
    <m/>
    <s v="Jun-25"/>
    <s v="Farmer"/>
    <s v="06 Jun - 12 Jun &amp; 20-26 Jun"/>
    <d v="2025-06-12T00:00:00"/>
    <n v="825"/>
    <n v="475"/>
    <s v="Close Mpg"/>
    <n v="372"/>
  </r>
  <r>
    <d v="2026-04-01T00:00:00"/>
    <s v="Simri"/>
    <s v="Khoksaha"/>
    <m/>
    <x v="6"/>
    <s v="Gomukh Gold 50 Kgs"/>
    <n v="4"/>
    <n v="1350"/>
    <n v="5400"/>
    <s v="Deduction from Milk Payment"/>
    <m/>
    <m/>
    <m/>
    <s v="Apr-26"/>
    <m/>
    <m/>
    <m/>
    <m/>
    <n v="5400"/>
    <m/>
    <n v="89"/>
  </r>
  <r>
    <d v="2025-12-08T00:00:00"/>
    <s v="Suryagadha"/>
    <s v="Pokhrama"/>
    <s v="1204"/>
    <x v="10"/>
    <s v="Gomukh Gold 50 Kgs"/>
    <n v="8"/>
    <n v="1300"/>
    <n v="10400"/>
    <s v="Deduction from Milk Payment"/>
    <s v="Umakant"/>
    <n v="8904"/>
    <m/>
    <s v="Dec-25"/>
    <s v="Farmer"/>
    <s v="16 Jan - 22 Jan &amp; 23-29 Jan 20-26 Feb 13-19 Feb"/>
    <d v="2026-01-22T00:00:00"/>
    <n v="3382"/>
    <n v="7018"/>
    <m/>
    <n v="203"/>
  </r>
  <r>
    <d v="2026-06-02T00:00:00"/>
    <s v="Suryagadha"/>
    <s v="Tilathi"/>
    <m/>
    <x v="11"/>
    <s v="Gomukh Gold 50 Kgs"/>
    <n v="10"/>
    <n v="1300"/>
    <n v="13000"/>
    <s v="Deduction from Milk Payment"/>
    <m/>
    <m/>
    <m/>
    <s v="Jun-26"/>
    <s v="Farmer"/>
    <s v="12-18 June"/>
    <d v="2026-06-18T00:00:00"/>
    <n v="3160"/>
    <n v="9840"/>
    <m/>
    <n v="27"/>
  </r>
  <r>
    <d v="2026-06-02T00:00:00"/>
    <s v="Suryagadha"/>
    <s v="Basmatiya"/>
    <m/>
    <x v="12"/>
    <s v="Gomukh Gold 50 Kgs"/>
    <n v="28"/>
    <n v="1300"/>
    <n v="36400"/>
    <s v="Deduction from Milk Payment"/>
    <m/>
    <m/>
    <m/>
    <s v="Jun-26"/>
    <m/>
    <m/>
    <m/>
    <m/>
    <n v="36400"/>
    <m/>
    <n v="27"/>
  </r>
  <r>
    <d v="2026-06-03T00:00:00"/>
    <s v="Warisnagar"/>
    <s v="Balahi 2"/>
    <m/>
    <x v="13"/>
    <s v="Gomukh Gold 50 Kgs"/>
    <n v="5"/>
    <n v="1400"/>
    <n v="7000"/>
    <s v="Deduction from Milk Payment"/>
    <m/>
    <m/>
    <m/>
    <s v="Jun-26"/>
    <s v="Farmer"/>
    <s v="12-18 June"/>
    <d v="2026-06-18T00:00:00"/>
    <n v="4246"/>
    <n v="2754"/>
    <m/>
    <n v="26"/>
  </r>
  <r>
    <d v="2026-06-01T00:00:00"/>
    <s v="Sahebpur Kamal"/>
    <s v="Rahimpur"/>
    <m/>
    <x v="14"/>
    <s v="Buff Spl 50 Kg"/>
    <n v="500"/>
    <n v="1390"/>
    <n v="695000"/>
    <s v="Deduction from Milk Payment"/>
    <m/>
    <m/>
    <m/>
    <s v="Jun-26"/>
    <s v="Farmer"/>
    <s v="29-05-2026 to 04-06-2026 &amp; 05-11 June"/>
    <s v="04-05-2026/11-6-2026"/>
    <n v="586931"/>
    <n v="108069"/>
    <m/>
    <n v="28"/>
  </r>
  <r>
    <d v="2026-06-02T00:00:00"/>
    <s v="Suryagadha"/>
    <s v="Jajwara"/>
    <s v="0136"/>
    <x v="15"/>
    <s v="Buff Spl 50 Kg"/>
    <n v="20"/>
    <n v="1350"/>
    <n v="27000"/>
    <s v="Deduction from Milk Payment"/>
    <m/>
    <m/>
    <m/>
    <s v="Jun-26"/>
    <s v="Farmer"/>
    <s v="12-18 June"/>
    <d v="2026-06-18T00:00:00"/>
    <n v="24245"/>
    <n v="2755"/>
    <m/>
    <n v="27"/>
  </r>
  <r>
    <d v="2026-06-02T00:00:00"/>
    <s v="Suryagadha"/>
    <s v="Basmatiya"/>
    <m/>
    <x v="12"/>
    <s v="Buff Spl 50 Kg"/>
    <n v="4"/>
    <n v="1450"/>
    <n v="5800"/>
    <s v="Deduction from Milk Payment"/>
    <m/>
    <m/>
    <m/>
    <s v="Jun-26"/>
    <m/>
    <m/>
    <m/>
    <m/>
    <n v="5800"/>
    <m/>
    <n v="27"/>
  </r>
  <r>
    <d v="2026-06-02T00:00:00"/>
    <s v="Suryagadha"/>
    <s v="Masudan"/>
    <m/>
    <x v="16"/>
    <s v="Buff Spl 50 Kg"/>
    <n v="5"/>
    <n v="1450"/>
    <n v="7250"/>
    <s v="Deduction from Milk Payment"/>
    <m/>
    <m/>
    <m/>
    <s v="Jun-26"/>
    <s v="Farmer"/>
    <s v="12-18 June"/>
    <d v="2026-06-18T00:00:00"/>
    <n v="750"/>
    <n v="6500"/>
    <m/>
    <n v="27"/>
  </r>
  <r>
    <d v="2026-06-01T00:00:00"/>
    <s v="Chautham"/>
    <s v="Tolhar"/>
    <m/>
    <x v="17"/>
    <s v="Gomukh Gold 50 Kgs"/>
    <n v="10"/>
    <n v="1300"/>
    <n v="13000"/>
    <s v="Deduction from Milk Payment"/>
    <m/>
    <m/>
    <m/>
    <s v="Jun-26"/>
    <m/>
    <m/>
    <m/>
    <m/>
    <n v="13000"/>
    <m/>
    <n v="28"/>
  </r>
  <r>
    <d v="2026-06-03T00:00:00"/>
    <s v="Chautham"/>
    <s v="Telouch"/>
    <m/>
    <x v="18"/>
    <s v="Gomukh Gold 50 Kgs"/>
    <n v="10"/>
    <n v="1350"/>
    <n v="13500"/>
    <s v="Deduction from Milk Payment"/>
    <m/>
    <m/>
    <m/>
    <s v="Jun-26"/>
    <s v="Farmer"/>
    <s v="12-18 June"/>
    <d v="2026-06-18T00:00:00"/>
    <n v="13037"/>
    <n v="463"/>
    <m/>
    <n v="26"/>
  </r>
  <r>
    <d v="2026-06-08T00:00:00"/>
    <s v="Chautham"/>
    <s v="Nawada VLC"/>
    <m/>
    <x v="19"/>
    <s v="Gomukh Gold 50 Kgs"/>
    <n v="7"/>
    <n v="1350"/>
    <n v="9450"/>
    <s v="Deduction from Milk Payment"/>
    <m/>
    <m/>
    <m/>
    <s v="Jun-26"/>
    <m/>
    <m/>
    <m/>
    <m/>
    <n v="9450"/>
    <m/>
    <n v="21"/>
  </r>
  <r>
    <d v="2026-06-10T00:00:00"/>
    <s v="Chautham"/>
    <s v="Saharba"/>
    <m/>
    <x v="20"/>
    <s v="Gomukh Gold 50 Kgs"/>
    <n v="5"/>
    <n v="1350"/>
    <n v="6750"/>
    <s v="Deduction from Milk Payment"/>
    <m/>
    <m/>
    <m/>
    <s v="Jun-26"/>
    <m/>
    <m/>
    <m/>
    <m/>
    <n v="6750"/>
    <m/>
    <n v="19"/>
  </r>
  <r>
    <d v="2026-06-08T00:00:00"/>
    <s v="Dumraon"/>
    <s v="Direct sell"/>
    <m/>
    <x v="6"/>
    <s v="Gomukh Gold 50 Kgs"/>
    <n v="1"/>
    <n v="1330"/>
    <n v="1330"/>
    <s v="Deduction from Milk Payment"/>
    <m/>
    <m/>
    <m/>
    <s v="Jun-26"/>
    <m/>
    <m/>
    <m/>
    <m/>
    <n v="1330"/>
    <m/>
    <n v="21"/>
  </r>
  <r>
    <d v="2026-06-08T00:00:00"/>
    <s v="Mahua"/>
    <s v="Abuchak"/>
    <m/>
    <x v="21"/>
    <s v="Buff Spl 50 Kg"/>
    <n v="1"/>
    <n v="1500"/>
    <n v="1500"/>
    <s v="Deduction from Milk Payment"/>
    <m/>
    <m/>
    <m/>
    <s v="Jun-26"/>
    <m/>
    <m/>
    <m/>
    <m/>
    <n v="1500"/>
    <m/>
    <n v="21"/>
  </r>
  <r>
    <d v="2026-06-09T00:00:00"/>
    <s v="Kalyanpur"/>
    <s v="Harpur W-13"/>
    <m/>
    <x v="22"/>
    <s v="Buff Spl 50 Kg"/>
    <n v="2"/>
    <n v="1550"/>
    <n v="3100"/>
    <s v="Deduction from Milk Payment"/>
    <m/>
    <m/>
    <m/>
    <s v="Jun-26"/>
    <s v="Farmer"/>
    <s v="05-06-2026 to 11-06-2026 &amp; 12-18 June"/>
    <s v="11-06-2026/18-6-2026"/>
    <n v="2653"/>
    <n v="447"/>
    <m/>
    <n v="20"/>
  </r>
  <r>
    <d v="2026-06-06T00:00:00"/>
    <s v="Sahebpur Kamal"/>
    <s v="Manoj Kumar Roomonwer"/>
    <m/>
    <x v="6"/>
    <s v="Gomukh Gold 50 Kgs"/>
    <n v="1"/>
    <n v="1400"/>
    <n v="1400"/>
    <s v="Deduction from Milk Payment"/>
    <m/>
    <m/>
    <m/>
    <s v="Jun-26"/>
    <m/>
    <m/>
    <m/>
    <m/>
    <n v="1400"/>
    <m/>
    <n v="23"/>
  </r>
  <r>
    <d v="2026-06-06T00:00:00"/>
    <s v="Sahebpur Kamal"/>
    <s v="Driver"/>
    <m/>
    <x v="6"/>
    <s v="Gomukh Gold 50 Kgs"/>
    <n v="1"/>
    <n v="1400"/>
    <n v="1400"/>
    <s v="Deduction from Milk Payment"/>
    <m/>
    <m/>
    <m/>
    <s v="Jun-26"/>
    <m/>
    <m/>
    <m/>
    <m/>
    <n v="1400"/>
    <m/>
    <n v="23"/>
  </r>
  <r>
    <d v="2026-06-06T00:00:00"/>
    <s v="Sahebpur Kamal"/>
    <s v="Mohanpur"/>
    <m/>
    <x v="23"/>
    <s v="Gomukh Gold 50 Kgs"/>
    <n v="2"/>
    <n v="1350"/>
    <n v="2700"/>
    <s v="Deduction from Milk Payment"/>
    <m/>
    <m/>
    <m/>
    <s v="Jun-26"/>
    <m/>
    <m/>
    <m/>
    <n v="1350"/>
    <n v="1350"/>
    <m/>
    <n v="23"/>
  </r>
  <r>
    <d v="2026-06-01T00:00:00"/>
    <s v="Arariya"/>
    <s v="Arariya BMC"/>
    <m/>
    <x v="6"/>
    <s v="Gomukh Gold 50 Kgs"/>
    <n v="100"/>
    <n v="1350"/>
    <n v="135000"/>
    <s v="Deduction from Milk Payment"/>
    <m/>
    <m/>
    <m/>
    <s v="Jun-26"/>
    <m/>
    <m/>
    <m/>
    <m/>
    <n v="135000"/>
    <m/>
    <n v="28"/>
  </r>
  <r>
    <d v="2026-06-11T00:00:00"/>
    <s v="Suryagadha"/>
    <s v="PATHUA"/>
    <m/>
    <x v="24"/>
    <s v="Gomukh Gold 50 Kgs"/>
    <n v="10"/>
    <n v="1350"/>
    <n v="13500"/>
    <s v="Deduction from Milk Payment"/>
    <m/>
    <m/>
    <m/>
    <s v="Jun-26"/>
    <m/>
    <m/>
    <m/>
    <m/>
    <n v="13500"/>
    <m/>
    <n v="18"/>
  </r>
  <r>
    <d v="2026-06-04T00:00:00"/>
    <s v="Warisnagar"/>
    <s v="Matua"/>
    <m/>
    <x v="25"/>
    <s v="Gomukh Gold 50 Kgs"/>
    <n v="1"/>
    <n v="1400"/>
    <n v="1400"/>
    <s v="Deduction from Milk Payment"/>
    <m/>
    <m/>
    <m/>
    <s v="Jun-26"/>
    <m/>
    <m/>
    <m/>
    <m/>
    <n v="1400"/>
    <m/>
    <n v="25"/>
  </r>
  <r>
    <d v="2026-06-09T00:00:00"/>
    <s v="Warisnagar"/>
    <s v="Buzurgdoar"/>
    <m/>
    <x v="26"/>
    <s v="Gomukh Gold 50 Kgs"/>
    <n v="5"/>
    <n v="1400"/>
    <n v="7000"/>
    <s v="Deduction from Milk Payment"/>
    <m/>
    <m/>
    <m/>
    <s v="Jun-26"/>
    <s v="Farmer"/>
    <s v="05-11 June"/>
    <d v="2026-06-11T00:00:00"/>
    <n v="1350"/>
    <n v="5650"/>
    <m/>
    <n v="20"/>
  </r>
  <r>
    <d v="2026-06-11T00:00:00"/>
    <s v="Warisnagar"/>
    <s v="Kamopur"/>
    <m/>
    <x v="27"/>
    <s v="Gomukh Gold 50 Kgs"/>
    <n v="4"/>
    <n v="1400"/>
    <n v="5600"/>
    <s v="Deduction from Milk Payment"/>
    <m/>
    <m/>
    <m/>
    <s v="Jun-26"/>
    <m/>
    <m/>
    <m/>
    <m/>
    <n v="5600"/>
    <m/>
    <n v="18"/>
  </r>
  <r>
    <d v="2026-06-11T00:00:00"/>
    <s v="Warisnagar"/>
    <s v="Jagdispur"/>
    <m/>
    <x v="28"/>
    <s v="Gomukh Gold 50 Kgs"/>
    <n v="5"/>
    <n v="1400"/>
    <n v="7000"/>
    <s v="Deduction from Milk Payment"/>
    <m/>
    <m/>
    <m/>
    <s v="Jun-26"/>
    <m/>
    <m/>
    <m/>
    <m/>
    <n v="7000"/>
    <m/>
    <n v="18"/>
  </r>
  <r>
    <d v="2026-06-04T00:00:00"/>
    <s v="Warisnagar"/>
    <s v="Matua"/>
    <m/>
    <x v="25"/>
    <s v="Buff Spl 50 Kg"/>
    <n v="1"/>
    <n v="1550"/>
    <n v="1550"/>
    <s v="Deduction from Milk Payment"/>
    <m/>
    <m/>
    <m/>
    <s v="Jun-26"/>
    <m/>
    <m/>
    <m/>
    <m/>
    <n v="1550"/>
    <m/>
    <n v="25"/>
  </r>
  <r>
    <d v="2026-06-11T00:00:00"/>
    <s v="Warisnagar"/>
    <s v="Kamopur"/>
    <m/>
    <x v="27"/>
    <s v="Buff Spl 50 Kg"/>
    <n v="1"/>
    <n v="1550"/>
    <n v="1550"/>
    <s v="Deduction from Milk Payment"/>
    <m/>
    <m/>
    <m/>
    <s v="Jun-26"/>
    <m/>
    <m/>
    <m/>
    <m/>
    <n v="1550"/>
    <m/>
    <n v="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596C39-ECBD-4DAC-A497-DE3752D1C941}" name="PivotTable6" cacheId="8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B34" firstHeaderRow="2" firstDataRow="2" firstDataCol="1"/>
  <pivotFields count="21">
    <pivotField compact="0" numFmtId="14" outline="0" showAll="0"/>
    <pivotField compact="0" outline="0" showAll="0"/>
    <pivotField compact="0" outline="0" showAll="0"/>
    <pivotField compact="0" outline="0" showAll="0"/>
    <pivotField axis="axisRow" compact="0" outline="0" showAll="0">
      <items count="30">
        <item x="24"/>
        <item x="15"/>
        <item x="10"/>
        <item x="12"/>
        <item x="11"/>
        <item x="16"/>
        <item x="18"/>
        <item x="14"/>
        <item x="23"/>
        <item x="0"/>
        <item x="9"/>
        <item x="8"/>
        <item x="7"/>
        <item x="3"/>
        <item x="1"/>
        <item x="5"/>
        <item x="22"/>
        <item x="17"/>
        <item x="19"/>
        <item x="20"/>
        <item x="25"/>
        <item x="13"/>
        <item x="26"/>
        <item x="27"/>
        <item x="28"/>
        <item x="2"/>
        <item x="4"/>
        <item x="21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4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Items count="1">
    <i/>
  </colItems>
  <dataFields count="1">
    <dataField name="Sum of Dues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8" dT="2026-06-22T04:47:17.52" personId="{0D265A48-30A7-488C-9C32-5455534F3BA2}" id="{9C3863A7-13B4-4A9E-BC77-ABA24237B45E}">
    <text xml:space="preserve">Raushan yadav transpoter inward apr 26
</text>
  </threadedComment>
  <threadedComment ref="O8" dT="2026-06-22T04:53:46.35" personId="{0D265A48-30A7-488C-9C32-5455534F3BA2}" id="{B8C91B70-4D75-4221-85D5-C52B24B5795A}" parentId="{9C3863A7-13B4-4A9E-BC77-ABA24237B45E}">
    <text>Apr 330+ feb 300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37229-1E49-42B6-B77D-BB2B1BAF8B57}">
  <dimension ref="A3:H34"/>
  <sheetViews>
    <sheetView tabSelected="1" workbookViewId="0">
      <selection activeCell="O19" sqref="O19"/>
    </sheetView>
  </sheetViews>
  <sheetFormatPr defaultRowHeight="15" x14ac:dyDescent="0.25"/>
  <cols>
    <col min="1" max="1" width="12.42578125" bestFit="1" customWidth="1"/>
    <col min="2" max="2" width="7" bestFit="1" customWidth="1"/>
  </cols>
  <sheetData>
    <row r="3" spans="1:8" x14ac:dyDescent="0.25">
      <c r="A3" s="45" t="s">
        <v>112</v>
      </c>
    </row>
    <row r="4" spans="1:8" x14ac:dyDescent="0.25">
      <c r="A4" s="45" t="s">
        <v>4</v>
      </c>
      <c r="B4" t="s">
        <v>113</v>
      </c>
      <c r="G4" s="46" t="s">
        <v>4</v>
      </c>
      <c r="H4" s="46" t="s">
        <v>113</v>
      </c>
    </row>
    <row r="5" spans="1:8" x14ac:dyDescent="0.25">
      <c r="A5">
        <v>10020035</v>
      </c>
      <c r="B5" s="48">
        <v>13500</v>
      </c>
      <c r="G5">
        <v>10020035</v>
      </c>
      <c r="H5" s="48">
        <v>13500</v>
      </c>
    </row>
    <row r="6" spans="1:8" x14ac:dyDescent="0.25">
      <c r="A6">
        <v>10060009</v>
      </c>
      <c r="B6" s="48">
        <v>2755</v>
      </c>
      <c r="G6">
        <v>10060009</v>
      </c>
      <c r="H6" s="48">
        <v>2755</v>
      </c>
    </row>
    <row r="7" spans="1:8" x14ac:dyDescent="0.25">
      <c r="A7">
        <v>10060025</v>
      </c>
      <c r="B7" s="48">
        <v>7018</v>
      </c>
      <c r="G7">
        <v>10060025</v>
      </c>
      <c r="H7" s="48">
        <v>7018</v>
      </c>
    </row>
    <row r="8" spans="1:8" x14ac:dyDescent="0.25">
      <c r="A8">
        <v>10060074</v>
      </c>
      <c r="B8" s="48">
        <v>42200</v>
      </c>
      <c r="G8">
        <v>10060074</v>
      </c>
      <c r="H8" s="48">
        <v>42200</v>
      </c>
    </row>
    <row r="9" spans="1:8" x14ac:dyDescent="0.25">
      <c r="A9">
        <v>10060077</v>
      </c>
      <c r="B9" s="48">
        <v>9840</v>
      </c>
      <c r="G9">
        <v>10060077</v>
      </c>
      <c r="H9" s="48">
        <v>9840</v>
      </c>
    </row>
    <row r="10" spans="1:8" x14ac:dyDescent="0.25">
      <c r="A10">
        <v>10060130</v>
      </c>
      <c r="B10" s="48">
        <v>6500</v>
      </c>
      <c r="G10">
        <v>10060130</v>
      </c>
      <c r="H10" s="48">
        <v>6500</v>
      </c>
    </row>
    <row r="11" spans="1:8" x14ac:dyDescent="0.25">
      <c r="A11">
        <v>10070046</v>
      </c>
      <c r="B11" s="48">
        <v>463</v>
      </c>
      <c r="G11">
        <v>10070046</v>
      </c>
      <c r="H11" s="48">
        <v>463</v>
      </c>
    </row>
    <row r="12" spans="1:8" x14ac:dyDescent="0.25">
      <c r="A12">
        <v>10110008</v>
      </c>
      <c r="B12" s="48">
        <v>108069</v>
      </c>
      <c r="G12">
        <v>10110008</v>
      </c>
      <c r="H12" s="48">
        <v>108069</v>
      </c>
    </row>
    <row r="13" spans="1:8" x14ac:dyDescent="0.25">
      <c r="A13">
        <v>10110013</v>
      </c>
      <c r="B13" s="48">
        <v>1350</v>
      </c>
      <c r="G13">
        <v>10110013</v>
      </c>
      <c r="H13" s="48">
        <v>1350</v>
      </c>
    </row>
    <row r="14" spans="1:8" x14ac:dyDescent="0.25">
      <c r="A14">
        <v>10110148</v>
      </c>
      <c r="B14" s="48">
        <v>10439</v>
      </c>
      <c r="G14">
        <v>10110148</v>
      </c>
      <c r="H14" s="48">
        <v>10439</v>
      </c>
    </row>
    <row r="15" spans="1:8" x14ac:dyDescent="0.25">
      <c r="A15">
        <v>10120101</v>
      </c>
      <c r="B15" s="48">
        <v>475</v>
      </c>
      <c r="G15">
        <v>10120101</v>
      </c>
      <c r="H15" s="48">
        <v>475</v>
      </c>
    </row>
    <row r="16" spans="1:8" x14ac:dyDescent="0.25">
      <c r="A16">
        <v>10130073</v>
      </c>
      <c r="B16" s="48">
        <v>1503</v>
      </c>
      <c r="G16">
        <v>10130073</v>
      </c>
      <c r="H16" s="48">
        <v>1503</v>
      </c>
    </row>
    <row r="17" spans="1:8" x14ac:dyDescent="0.25">
      <c r="A17">
        <v>10130095</v>
      </c>
      <c r="B17" s="48">
        <v>1268</v>
      </c>
      <c r="G17">
        <v>10130095</v>
      </c>
      <c r="H17" s="48">
        <v>1268</v>
      </c>
    </row>
    <row r="18" spans="1:8" x14ac:dyDescent="0.25">
      <c r="A18">
        <v>10140011</v>
      </c>
      <c r="B18" s="48">
        <v>3180</v>
      </c>
      <c r="G18">
        <v>10140011</v>
      </c>
      <c r="H18" s="48">
        <v>3180</v>
      </c>
    </row>
    <row r="19" spans="1:8" x14ac:dyDescent="0.25">
      <c r="A19">
        <v>10230001</v>
      </c>
      <c r="B19" s="48">
        <v>2900</v>
      </c>
      <c r="G19">
        <v>10230001</v>
      </c>
      <c r="H19" s="48">
        <v>2900</v>
      </c>
    </row>
    <row r="20" spans="1:8" x14ac:dyDescent="0.25">
      <c r="A20">
        <v>10530052</v>
      </c>
      <c r="B20" s="48">
        <v>519</v>
      </c>
      <c r="G20">
        <v>10530052</v>
      </c>
      <c r="H20" s="48">
        <v>519</v>
      </c>
    </row>
    <row r="21" spans="1:8" x14ac:dyDescent="0.25">
      <c r="A21">
        <v>10530055</v>
      </c>
      <c r="B21" s="48">
        <v>447</v>
      </c>
      <c r="G21">
        <v>10530055</v>
      </c>
      <c r="H21" s="48">
        <v>447</v>
      </c>
    </row>
    <row r="22" spans="1:8" x14ac:dyDescent="0.25">
      <c r="A22">
        <v>10560017</v>
      </c>
      <c r="B22" s="48">
        <v>13000</v>
      </c>
      <c r="G22">
        <v>10560017</v>
      </c>
      <c r="H22" s="48">
        <v>13000</v>
      </c>
    </row>
    <row r="23" spans="1:8" x14ac:dyDescent="0.25">
      <c r="A23">
        <v>10560034</v>
      </c>
      <c r="B23" s="48">
        <v>9450</v>
      </c>
      <c r="G23">
        <v>10560034</v>
      </c>
      <c r="H23" s="48">
        <v>9450</v>
      </c>
    </row>
    <row r="24" spans="1:8" x14ac:dyDescent="0.25">
      <c r="A24">
        <v>10560037</v>
      </c>
      <c r="B24" s="48">
        <v>6750</v>
      </c>
      <c r="G24">
        <v>10560037</v>
      </c>
      <c r="H24" s="48">
        <v>6750</v>
      </c>
    </row>
    <row r="25" spans="1:8" x14ac:dyDescent="0.25">
      <c r="A25">
        <v>10570019</v>
      </c>
      <c r="B25" s="48">
        <v>2950</v>
      </c>
      <c r="G25">
        <v>10570019</v>
      </c>
      <c r="H25" s="48">
        <v>2950</v>
      </c>
    </row>
    <row r="26" spans="1:8" x14ac:dyDescent="0.25">
      <c r="A26">
        <v>10570021</v>
      </c>
      <c r="B26" s="48">
        <v>2754</v>
      </c>
      <c r="G26">
        <v>10570021</v>
      </c>
      <c r="H26" s="48">
        <v>2754</v>
      </c>
    </row>
    <row r="27" spans="1:8" x14ac:dyDescent="0.25">
      <c r="A27">
        <v>10570045</v>
      </c>
      <c r="B27" s="48">
        <v>5650</v>
      </c>
      <c r="G27">
        <v>10570045</v>
      </c>
      <c r="H27" s="48">
        <v>5650</v>
      </c>
    </row>
    <row r="28" spans="1:8" x14ac:dyDescent="0.25">
      <c r="A28">
        <v>10570047</v>
      </c>
      <c r="B28" s="48">
        <v>7150</v>
      </c>
      <c r="G28">
        <v>10570047</v>
      </c>
      <c r="H28" s="48">
        <v>7150</v>
      </c>
    </row>
    <row r="29" spans="1:8" x14ac:dyDescent="0.25">
      <c r="A29">
        <v>10570051</v>
      </c>
      <c r="B29" s="48">
        <v>7000</v>
      </c>
      <c r="G29">
        <v>10570051</v>
      </c>
      <c r="H29" s="48">
        <v>7000</v>
      </c>
    </row>
    <row r="30" spans="1:8" x14ac:dyDescent="0.25">
      <c r="A30">
        <v>10600007</v>
      </c>
      <c r="B30" s="48">
        <v>2560</v>
      </c>
      <c r="G30">
        <v>10600007</v>
      </c>
      <c r="H30" s="48">
        <v>2560</v>
      </c>
    </row>
    <row r="31" spans="1:8" x14ac:dyDescent="0.25">
      <c r="A31">
        <v>10600010</v>
      </c>
      <c r="B31" s="48">
        <v>40</v>
      </c>
      <c r="G31">
        <v>10600010</v>
      </c>
      <c r="H31" s="48">
        <v>40</v>
      </c>
    </row>
    <row r="32" spans="1:8" x14ac:dyDescent="0.25">
      <c r="A32">
        <v>10610022</v>
      </c>
      <c r="B32" s="48">
        <v>1500</v>
      </c>
      <c r="G32">
        <v>10610022</v>
      </c>
      <c r="H32" s="48">
        <v>1500</v>
      </c>
    </row>
    <row r="33" spans="1:8" x14ac:dyDescent="0.25">
      <c r="A33" t="s">
        <v>110</v>
      </c>
      <c r="B33" s="48">
        <v>161574</v>
      </c>
      <c r="G33" t="s">
        <v>110</v>
      </c>
      <c r="H33" s="48">
        <v>161574</v>
      </c>
    </row>
    <row r="34" spans="1:8" x14ac:dyDescent="0.25">
      <c r="A34" t="s">
        <v>111</v>
      </c>
      <c r="B34" s="48">
        <v>432804</v>
      </c>
      <c r="G34" s="47" t="s">
        <v>111</v>
      </c>
      <c r="H34" s="49">
        <v>432804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3E1C1-1636-4D75-9CF3-57BD9FC4CA38}">
  <dimension ref="A1:U48"/>
  <sheetViews>
    <sheetView topLeftCell="A30" workbookViewId="0">
      <selection activeCell="S2" sqref="S2:S48"/>
    </sheetView>
  </sheetViews>
  <sheetFormatPr defaultRowHeight="15" x14ac:dyDescent="0.25"/>
  <cols>
    <col min="1" max="1" width="10.140625" bestFit="1" customWidth="1"/>
    <col min="2" max="2" width="13.7109375" bestFit="1" customWidth="1"/>
    <col min="3" max="3" width="21.7109375" bestFit="1" customWidth="1"/>
    <col min="6" max="6" width="17.5703125" bestFit="1" customWidth="1"/>
    <col min="10" max="10" width="24.7109375" bestFit="1" customWidth="1"/>
    <col min="11" max="17" width="0" hidden="1" customWidth="1"/>
    <col min="18" max="18" width="11.7109375" bestFit="1" customWidth="1"/>
    <col min="20" max="20" width="14.28515625" customWidth="1"/>
  </cols>
  <sheetData>
    <row r="1" spans="1:21" ht="39.75" thickBo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109</v>
      </c>
      <c r="I1" s="1" t="s">
        <v>7</v>
      </c>
      <c r="J1" s="1" t="s">
        <v>8</v>
      </c>
      <c r="K1" s="3" t="s">
        <v>9</v>
      </c>
      <c r="L1" s="4" t="s">
        <v>10</v>
      </c>
      <c r="M1" s="3" t="s">
        <v>11</v>
      </c>
      <c r="N1" s="1" t="s">
        <v>12</v>
      </c>
      <c r="O1" s="1" t="s">
        <v>13</v>
      </c>
      <c r="P1" s="1" t="s">
        <v>14</v>
      </c>
      <c r="Q1" s="2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25">
      <c r="A2" s="5">
        <v>46127</v>
      </c>
      <c r="B2" s="6" t="s">
        <v>20</v>
      </c>
      <c r="C2" s="7" t="s">
        <v>21</v>
      </c>
      <c r="D2" s="8"/>
      <c r="E2" s="9">
        <v>10110148</v>
      </c>
      <c r="F2" s="6" t="s">
        <v>22</v>
      </c>
      <c r="G2" s="10">
        <v>8</v>
      </c>
      <c r="H2" s="6">
        <v>1350</v>
      </c>
      <c r="I2" s="6">
        <v>10800</v>
      </c>
      <c r="J2" s="6" t="s">
        <v>23</v>
      </c>
      <c r="K2" s="6"/>
      <c r="L2" s="11"/>
      <c r="M2" s="6"/>
      <c r="N2" s="6" t="s">
        <v>24</v>
      </c>
      <c r="O2" s="6" t="s">
        <v>25</v>
      </c>
      <c r="P2" s="6" t="s">
        <v>26</v>
      </c>
      <c r="Q2" s="12">
        <v>46128</v>
      </c>
      <c r="R2" s="6">
        <v>5761</v>
      </c>
      <c r="S2" s="6">
        <v>5039</v>
      </c>
      <c r="T2" s="6"/>
      <c r="U2" s="13">
        <v>75</v>
      </c>
    </row>
    <row r="3" spans="1:21" x14ac:dyDescent="0.25">
      <c r="A3" s="14">
        <v>46128</v>
      </c>
      <c r="B3" s="15" t="s">
        <v>20</v>
      </c>
      <c r="C3" s="16" t="s">
        <v>21</v>
      </c>
      <c r="D3" s="17"/>
      <c r="E3" s="18">
        <v>10110148</v>
      </c>
      <c r="F3" s="6" t="s">
        <v>22</v>
      </c>
      <c r="G3" s="19">
        <v>3</v>
      </c>
      <c r="H3" s="15">
        <v>1350</v>
      </c>
      <c r="I3" s="15">
        <v>4050</v>
      </c>
      <c r="J3" s="15" t="s">
        <v>23</v>
      </c>
      <c r="K3" s="15"/>
      <c r="L3" s="20"/>
      <c r="M3" s="15"/>
      <c r="N3" s="15" t="s">
        <v>24</v>
      </c>
      <c r="O3" s="15"/>
      <c r="P3" s="15"/>
      <c r="Q3" s="21"/>
      <c r="R3" s="15"/>
      <c r="S3" s="15">
        <v>4050</v>
      </c>
      <c r="T3" s="15"/>
      <c r="U3" s="22">
        <v>74</v>
      </c>
    </row>
    <row r="4" spans="1:21" x14ac:dyDescent="0.25">
      <c r="A4" s="5">
        <v>46129</v>
      </c>
      <c r="B4" s="6" t="s">
        <v>20</v>
      </c>
      <c r="C4" s="7" t="s">
        <v>21</v>
      </c>
      <c r="D4" s="8"/>
      <c r="E4" s="9">
        <v>10110148</v>
      </c>
      <c r="F4" s="6" t="s">
        <v>22</v>
      </c>
      <c r="G4" s="10">
        <v>1</v>
      </c>
      <c r="H4" s="6">
        <v>1350</v>
      </c>
      <c r="I4" s="6">
        <v>1350</v>
      </c>
      <c r="J4" s="6" t="s">
        <v>23</v>
      </c>
      <c r="K4" s="6"/>
      <c r="L4" s="11"/>
      <c r="M4" s="6"/>
      <c r="N4" s="6" t="s">
        <v>24</v>
      </c>
      <c r="O4" s="6"/>
      <c r="P4" s="6"/>
      <c r="Q4" s="12"/>
      <c r="R4" s="6"/>
      <c r="S4" s="6">
        <v>1350</v>
      </c>
      <c r="T4" s="6"/>
      <c r="U4" s="13">
        <v>73</v>
      </c>
    </row>
    <row r="5" spans="1:21" x14ac:dyDescent="0.25">
      <c r="A5" s="14">
        <v>46104</v>
      </c>
      <c r="B5" s="15" t="s">
        <v>27</v>
      </c>
      <c r="C5" s="16" t="s">
        <v>28</v>
      </c>
      <c r="D5" s="17"/>
      <c r="E5" s="18">
        <v>10230001</v>
      </c>
      <c r="F5" s="6" t="s">
        <v>29</v>
      </c>
      <c r="G5" s="19">
        <v>2</v>
      </c>
      <c r="H5" s="15">
        <v>1450</v>
      </c>
      <c r="I5" s="15">
        <v>2900</v>
      </c>
      <c r="J5" s="15" t="s">
        <v>23</v>
      </c>
      <c r="K5" s="15" t="s">
        <v>30</v>
      </c>
      <c r="L5" s="20"/>
      <c r="M5" s="15"/>
      <c r="N5" s="15" t="s">
        <v>31</v>
      </c>
      <c r="O5" s="15"/>
      <c r="P5" s="15"/>
      <c r="Q5" s="21"/>
      <c r="R5" s="15"/>
      <c r="S5" s="15">
        <v>2900</v>
      </c>
      <c r="T5" s="15"/>
      <c r="U5" s="22">
        <v>98</v>
      </c>
    </row>
    <row r="6" spans="1:21" x14ac:dyDescent="0.25">
      <c r="A6" s="5">
        <v>46147</v>
      </c>
      <c r="B6" s="6" t="s">
        <v>32</v>
      </c>
      <c r="C6" s="6" t="s">
        <v>33</v>
      </c>
      <c r="D6" s="23"/>
      <c r="E6" s="11">
        <v>10600007</v>
      </c>
      <c r="F6" s="6" t="s">
        <v>22</v>
      </c>
      <c r="G6" s="10">
        <v>1</v>
      </c>
      <c r="H6" s="6">
        <v>1280</v>
      </c>
      <c r="I6" s="6">
        <v>1280</v>
      </c>
      <c r="J6" s="6" t="s">
        <v>23</v>
      </c>
      <c r="K6" s="6"/>
      <c r="L6" s="11"/>
      <c r="M6" s="6"/>
      <c r="N6" s="6" t="s">
        <v>34</v>
      </c>
      <c r="O6" s="6"/>
      <c r="P6" s="6"/>
      <c r="Q6" s="12"/>
      <c r="R6" s="6"/>
      <c r="S6" s="6">
        <v>1280</v>
      </c>
      <c r="T6" s="6"/>
      <c r="U6" s="13">
        <v>55</v>
      </c>
    </row>
    <row r="7" spans="1:21" x14ac:dyDescent="0.25">
      <c r="A7" s="14">
        <v>46158</v>
      </c>
      <c r="B7" s="15" t="s">
        <v>32</v>
      </c>
      <c r="C7" s="16" t="s">
        <v>33</v>
      </c>
      <c r="D7" s="17"/>
      <c r="E7" s="18">
        <v>10600007</v>
      </c>
      <c r="F7" s="6" t="s">
        <v>22</v>
      </c>
      <c r="G7" s="19">
        <v>1</v>
      </c>
      <c r="H7" s="15">
        <v>1280</v>
      </c>
      <c r="I7" s="15">
        <v>1280</v>
      </c>
      <c r="J7" s="15" t="s">
        <v>23</v>
      </c>
      <c r="K7" s="15"/>
      <c r="L7" s="20"/>
      <c r="M7" s="15"/>
      <c r="N7" s="15"/>
      <c r="O7" s="15"/>
      <c r="P7" s="15"/>
      <c r="Q7" s="21"/>
      <c r="R7" s="15"/>
      <c r="S7" s="15">
        <v>1280</v>
      </c>
      <c r="T7" s="15"/>
      <c r="U7" s="22">
        <v>44</v>
      </c>
    </row>
    <row r="8" spans="1:21" x14ac:dyDescent="0.25">
      <c r="A8" s="5">
        <v>46115</v>
      </c>
      <c r="B8" s="6" t="s">
        <v>35</v>
      </c>
      <c r="C8" s="6" t="s">
        <v>36</v>
      </c>
      <c r="D8" s="23"/>
      <c r="E8" s="11">
        <v>10140011</v>
      </c>
      <c r="F8" s="6" t="s">
        <v>22</v>
      </c>
      <c r="G8" s="10">
        <v>1</v>
      </c>
      <c r="H8" s="6">
        <v>1270</v>
      </c>
      <c r="I8" s="6">
        <v>1270</v>
      </c>
      <c r="J8" s="6" t="s">
        <v>23</v>
      </c>
      <c r="K8" s="6"/>
      <c r="L8" s="11"/>
      <c r="M8" s="6"/>
      <c r="N8" s="6" t="s">
        <v>24</v>
      </c>
      <c r="O8" s="6" t="s">
        <v>37</v>
      </c>
      <c r="P8" s="6"/>
      <c r="Q8" s="12" t="s">
        <v>38</v>
      </c>
      <c r="R8" s="6">
        <v>630</v>
      </c>
      <c r="S8" s="6">
        <v>640</v>
      </c>
      <c r="T8" s="6"/>
      <c r="U8" s="13">
        <v>87</v>
      </c>
    </row>
    <row r="9" spans="1:21" x14ac:dyDescent="0.25">
      <c r="A9" s="14">
        <v>46126</v>
      </c>
      <c r="B9" s="15" t="s">
        <v>35</v>
      </c>
      <c r="C9" s="16" t="s">
        <v>39</v>
      </c>
      <c r="D9" s="17"/>
      <c r="E9" s="18">
        <v>10600010</v>
      </c>
      <c r="F9" s="6" t="s">
        <v>22</v>
      </c>
      <c r="G9" s="19">
        <v>2</v>
      </c>
      <c r="H9" s="15">
        <v>1300</v>
      </c>
      <c r="I9" s="15">
        <v>2600</v>
      </c>
      <c r="J9" s="15" t="s">
        <v>23</v>
      </c>
      <c r="K9" s="15"/>
      <c r="L9" s="20"/>
      <c r="M9" s="15"/>
      <c r="N9" s="15" t="s">
        <v>24</v>
      </c>
      <c r="O9" s="15" t="s">
        <v>25</v>
      </c>
      <c r="P9" s="15" t="s">
        <v>40</v>
      </c>
      <c r="Q9" s="21">
        <v>46128</v>
      </c>
      <c r="R9" s="15">
        <v>2560</v>
      </c>
      <c r="S9" s="15">
        <v>40</v>
      </c>
      <c r="T9" s="15"/>
      <c r="U9" s="22">
        <v>76</v>
      </c>
    </row>
    <row r="10" spans="1:21" x14ac:dyDescent="0.25">
      <c r="A10" s="5">
        <v>46172</v>
      </c>
      <c r="B10" s="6" t="s">
        <v>35</v>
      </c>
      <c r="C10" s="6" t="s">
        <v>36</v>
      </c>
      <c r="D10" s="23"/>
      <c r="E10" s="11">
        <v>10140011</v>
      </c>
      <c r="F10" s="6" t="s">
        <v>22</v>
      </c>
      <c r="G10" s="10">
        <v>2</v>
      </c>
      <c r="H10" s="6">
        <v>1270</v>
      </c>
      <c r="I10" s="6">
        <v>2540</v>
      </c>
      <c r="J10" s="6" t="s">
        <v>23</v>
      </c>
      <c r="K10" s="6"/>
      <c r="L10" s="11"/>
      <c r="M10" s="6"/>
      <c r="N10" s="12" t="s">
        <v>34</v>
      </c>
      <c r="O10" s="6"/>
      <c r="P10" s="6"/>
      <c r="Q10" s="12"/>
      <c r="R10" s="6"/>
      <c r="S10" s="6">
        <v>2540</v>
      </c>
      <c r="T10" s="6"/>
      <c r="U10" s="13">
        <v>30</v>
      </c>
    </row>
    <row r="11" spans="1:21" x14ac:dyDescent="0.25">
      <c r="A11" s="14">
        <v>45854</v>
      </c>
      <c r="B11" s="15" t="s">
        <v>41</v>
      </c>
      <c r="C11" s="16" t="s">
        <v>42</v>
      </c>
      <c r="D11" s="17"/>
      <c r="E11" s="18">
        <v>10530052</v>
      </c>
      <c r="F11" s="6" t="s">
        <v>29</v>
      </c>
      <c r="G11" s="19">
        <v>0</v>
      </c>
      <c r="H11" s="15">
        <v>0</v>
      </c>
      <c r="I11" s="15">
        <v>600</v>
      </c>
      <c r="J11" s="15" t="s">
        <v>23</v>
      </c>
      <c r="K11" s="15"/>
      <c r="L11" s="20"/>
      <c r="M11" s="15"/>
      <c r="N11" s="15" t="s">
        <v>43</v>
      </c>
      <c r="O11" s="15" t="s">
        <v>25</v>
      </c>
      <c r="P11" s="15" t="s">
        <v>44</v>
      </c>
      <c r="Q11" s="21">
        <v>46112</v>
      </c>
      <c r="R11" s="15">
        <v>81</v>
      </c>
      <c r="S11" s="15">
        <v>519</v>
      </c>
      <c r="T11" s="15"/>
      <c r="U11" s="22">
        <v>348</v>
      </c>
    </row>
    <row r="12" spans="1:21" x14ac:dyDescent="0.25">
      <c r="A12" s="5">
        <v>46120</v>
      </c>
      <c r="B12" s="6" t="s">
        <v>41</v>
      </c>
      <c r="C12" s="7" t="s">
        <v>45</v>
      </c>
      <c r="D12" s="24" t="s">
        <v>46</v>
      </c>
      <c r="E12" s="9"/>
      <c r="F12" s="6" t="s">
        <v>22</v>
      </c>
      <c r="G12" s="10">
        <v>1</v>
      </c>
      <c r="H12" s="6">
        <v>1300</v>
      </c>
      <c r="I12" s="6">
        <v>1300</v>
      </c>
      <c r="J12" s="6" t="s">
        <v>23</v>
      </c>
      <c r="K12" s="6"/>
      <c r="L12" s="11"/>
      <c r="M12" s="6"/>
      <c r="N12" s="6" t="s">
        <v>24</v>
      </c>
      <c r="O12" s="6"/>
      <c r="P12" s="6"/>
      <c r="Q12" s="12"/>
      <c r="R12" s="6"/>
      <c r="S12" s="6">
        <v>1300</v>
      </c>
      <c r="T12" s="6"/>
      <c r="U12" s="13">
        <v>82</v>
      </c>
    </row>
    <row r="13" spans="1:21" x14ac:dyDescent="0.25">
      <c r="A13" s="14">
        <v>46126</v>
      </c>
      <c r="B13" s="15" t="s">
        <v>41</v>
      </c>
      <c r="C13" s="16" t="s">
        <v>45</v>
      </c>
      <c r="D13" s="25" t="s">
        <v>46</v>
      </c>
      <c r="E13" s="18"/>
      <c r="F13" s="6" t="s">
        <v>22</v>
      </c>
      <c r="G13" s="19">
        <v>1</v>
      </c>
      <c r="H13" s="15">
        <v>1300</v>
      </c>
      <c r="I13" s="15">
        <v>1300</v>
      </c>
      <c r="J13" s="15" t="s">
        <v>23</v>
      </c>
      <c r="K13" s="15"/>
      <c r="L13" s="20"/>
      <c r="M13" s="15"/>
      <c r="N13" s="15" t="s">
        <v>24</v>
      </c>
      <c r="O13" s="15"/>
      <c r="P13" s="15"/>
      <c r="Q13" s="21"/>
      <c r="R13" s="15"/>
      <c r="S13" s="15">
        <v>1300</v>
      </c>
      <c r="T13" s="15"/>
      <c r="U13" s="22">
        <v>76</v>
      </c>
    </row>
    <row r="14" spans="1:21" x14ac:dyDescent="0.25">
      <c r="A14" s="5">
        <v>45997</v>
      </c>
      <c r="B14" s="6" t="s">
        <v>47</v>
      </c>
      <c r="C14" s="7" t="s">
        <v>48</v>
      </c>
      <c r="D14" s="24" t="s">
        <v>46</v>
      </c>
      <c r="E14" s="9"/>
      <c r="F14" s="6" t="s">
        <v>22</v>
      </c>
      <c r="G14" s="10">
        <v>17</v>
      </c>
      <c r="H14" s="6">
        <v>1300</v>
      </c>
      <c r="I14" s="6">
        <v>22100</v>
      </c>
      <c r="J14" s="6" t="s">
        <v>23</v>
      </c>
      <c r="K14" s="6" t="s">
        <v>49</v>
      </c>
      <c r="L14" s="11"/>
      <c r="M14" s="6"/>
      <c r="N14" s="6" t="s">
        <v>50</v>
      </c>
      <c r="O14" s="6" t="s">
        <v>25</v>
      </c>
      <c r="P14" s="6" t="s">
        <v>51</v>
      </c>
      <c r="Q14" s="12">
        <v>46065</v>
      </c>
      <c r="R14" s="6">
        <v>16706</v>
      </c>
      <c r="S14" s="6">
        <v>5394</v>
      </c>
      <c r="T14" s="6" t="s">
        <v>52</v>
      </c>
      <c r="U14" s="13">
        <v>205</v>
      </c>
    </row>
    <row r="15" spans="1:21" x14ac:dyDescent="0.25">
      <c r="A15" s="14">
        <v>46112</v>
      </c>
      <c r="B15" s="15" t="s">
        <v>47</v>
      </c>
      <c r="C15" s="15" t="s">
        <v>53</v>
      </c>
      <c r="D15" s="26" t="s">
        <v>46</v>
      </c>
      <c r="E15" s="20"/>
      <c r="F15" s="6" t="s">
        <v>22</v>
      </c>
      <c r="G15" s="19">
        <v>4</v>
      </c>
      <c r="H15" s="15">
        <v>500</v>
      </c>
      <c r="I15" s="15">
        <v>2000</v>
      </c>
      <c r="J15" s="15" t="s">
        <v>23</v>
      </c>
      <c r="K15" s="15"/>
      <c r="L15" s="20"/>
      <c r="M15" s="15"/>
      <c r="N15" s="15" t="s">
        <v>31</v>
      </c>
      <c r="O15" s="15"/>
      <c r="P15" s="15"/>
      <c r="Q15" s="21"/>
      <c r="R15" s="15"/>
      <c r="S15" s="15">
        <v>2000</v>
      </c>
      <c r="T15" s="15"/>
      <c r="U15" s="22">
        <v>90</v>
      </c>
    </row>
    <row r="16" spans="1:21" x14ac:dyDescent="0.25">
      <c r="A16" s="5">
        <v>45879</v>
      </c>
      <c r="B16" s="6" t="s">
        <v>54</v>
      </c>
      <c r="C16" s="7" t="s">
        <v>55</v>
      </c>
      <c r="D16" s="8"/>
      <c r="E16" s="9">
        <v>10130095</v>
      </c>
      <c r="F16" s="6" t="s">
        <v>22</v>
      </c>
      <c r="G16" s="10">
        <v>1</v>
      </c>
      <c r="H16" s="6">
        <v>1350</v>
      </c>
      <c r="I16" s="6">
        <v>1350</v>
      </c>
      <c r="J16" s="6" t="s">
        <v>23</v>
      </c>
      <c r="K16" s="6" t="s">
        <v>56</v>
      </c>
      <c r="L16" s="11"/>
      <c r="M16" s="6"/>
      <c r="N16" s="6" t="s">
        <v>57</v>
      </c>
      <c r="O16" s="6" t="s">
        <v>25</v>
      </c>
      <c r="P16" s="6" t="s">
        <v>58</v>
      </c>
      <c r="Q16" s="12">
        <v>45932</v>
      </c>
      <c r="R16" s="6">
        <v>82</v>
      </c>
      <c r="S16" s="6">
        <v>1268</v>
      </c>
      <c r="T16" s="6" t="s">
        <v>59</v>
      </c>
      <c r="U16" s="13">
        <v>323</v>
      </c>
    </row>
    <row r="17" spans="1:21" x14ac:dyDescent="0.25">
      <c r="A17" s="14">
        <v>46111</v>
      </c>
      <c r="B17" s="15" t="s">
        <v>54</v>
      </c>
      <c r="C17" s="15" t="s">
        <v>60</v>
      </c>
      <c r="D17" s="26"/>
      <c r="E17" s="20">
        <v>10130073</v>
      </c>
      <c r="F17" s="6" t="s">
        <v>29</v>
      </c>
      <c r="G17" s="19">
        <v>1</v>
      </c>
      <c r="H17" s="15">
        <v>1500</v>
      </c>
      <c r="I17" s="15">
        <v>1500</v>
      </c>
      <c r="J17" s="15" t="s">
        <v>23</v>
      </c>
      <c r="K17" s="15"/>
      <c r="L17" s="20"/>
      <c r="M17" s="15"/>
      <c r="N17" s="15" t="s">
        <v>31</v>
      </c>
      <c r="O17" s="15" t="s">
        <v>25</v>
      </c>
      <c r="P17" s="15" t="s">
        <v>61</v>
      </c>
      <c r="Q17" s="21">
        <v>46149</v>
      </c>
      <c r="R17" s="15">
        <v>1497</v>
      </c>
      <c r="S17" s="15">
        <v>3</v>
      </c>
      <c r="T17" s="15"/>
      <c r="U17" s="22">
        <v>91</v>
      </c>
    </row>
    <row r="18" spans="1:21" x14ac:dyDescent="0.25">
      <c r="A18" s="5">
        <v>46117</v>
      </c>
      <c r="B18" s="6" t="s">
        <v>54</v>
      </c>
      <c r="C18" s="6" t="s">
        <v>62</v>
      </c>
      <c r="D18" s="27" t="s">
        <v>46</v>
      </c>
      <c r="E18" s="11"/>
      <c r="F18" s="6" t="s">
        <v>22</v>
      </c>
      <c r="G18" s="10">
        <v>3</v>
      </c>
      <c r="H18" s="6">
        <v>1350</v>
      </c>
      <c r="I18" s="6">
        <v>4050</v>
      </c>
      <c r="J18" s="6" t="s">
        <v>23</v>
      </c>
      <c r="K18" s="6"/>
      <c r="L18" s="11"/>
      <c r="M18" s="6"/>
      <c r="N18" s="6" t="s">
        <v>24</v>
      </c>
      <c r="O18" s="6"/>
      <c r="P18" s="6"/>
      <c r="Q18" s="12"/>
      <c r="R18" s="6"/>
      <c r="S18" s="6">
        <v>4050</v>
      </c>
      <c r="T18" s="6"/>
      <c r="U18" s="13">
        <v>85</v>
      </c>
    </row>
    <row r="19" spans="1:21" x14ac:dyDescent="0.25">
      <c r="A19" s="14">
        <v>46117</v>
      </c>
      <c r="B19" s="15" t="s">
        <v>54</v>
      </c>
      <c r="C19" s="15" t="s">
        <v>62</v>
      </c>
      <c r="D19" s="26" t="s">
        <v>46</v>
      </c>
      <c r="E19" s="20"/>
      <c r="F19" s="6" t="s">
        <v>29</v>
      </c>
      <c r="G19" s="19">
        <v>2</v>
      </c>
      <c r="H19" s="15">
        <v>1500</v>
      </c>
      <c r="I19" s="15">
        <v>3000</v>
      </c>
      <c r="J19" s="15" t="s">
        <v>23</v>
      </c>
      <c r="K19" s="15"/>
      <c r="L19" s="20"/>
      <c r="M19" s="15"/>
      <c r="N19" s="15" t="s">
        <v>24</v>
      </c>
      <c r="O19" s="15"/>
      <c r="P19" s="15"/>
      <c r="Q19" s="21"/>
      <c r="R19" s="15"/>
      <c r="S19" s="15">
        <v>3000</v>
      </c>
      <c r="T19" s="15"/>
      <c r="U19" s="22">
        <v>85</v>
      </c>
    </row>
    <row r="20" spans="1:21" x14ac:dyDescent="0.25">
      <c r="A20" s="5">
        <v>46160</v>
      </c>
      <c r="B20" s="6" t="s">
        <v>54</v>
      </c>
      <c r="C20" s="6" t="s">
        <v>60</v>
      </c>
      <c r="D20" s="27"/>
      <c r="E20" s="11">
        <v>10130073</v>
      </c>
      <c r="F20" s="6" t="s">
        <v>29</v>
      </c>
      <c r="G20" s="10">
        <v>1</v>
      </c>
      <c r="H20" s="6">
        <v>1500</v>
      </c>
      <c r="I20" s="6">
        <v>1500</v>
      </c>
      <c r="J20" s="6" t="s">
        <v>23</v>
      </c>
      <c r="K20" s="6"/>
      <c r="L20" s="11"/>
      <c r="M20" s="6"/>
      <c r="N20" s="6" t="s">
        <v>34</v>
      </c>
      <c r="O20" s="6"/>
      <c r="P20" s="6"/>
      <c r="Q20" s="12"/>
      <c r="R20" s="6"/>
      <c r="S20" s="6">
        <v>1500</v>
      </c>
      <c r="T20" s="6"/>
      <c r="U20" s="13">
        <v>42</v>
      </c>
    </row>
    <row r="21" spans="1:21" x14ac:dyDescent="0.25">
      <c r="A21" s="14">
        <v>45830</v>
      </c>
      <c r="B21" s="15" t="s">
        <v>63</v>
      </c>
      <c r="C21" s="15" t="s">
        <v>64</v>
      </c>
      <c r="D21" s="28"/>
      <c r="E21" s="20">
        <v>10120101</v>
      </c>
      <c r="F21" s="6" t="s">
        <v>22</v>
      </c>
      <c r="G21" s="19">
        <v>1</v>
      </c>
      <c r="H21" s="15">
        <v>1300</v>
      </c>
      <c r="I21" s="15">
        <v>1300</v>
      </c>
      <c r="J21" s="15" t="s">
        <v>23</v>
      </c>
      <c r="K21" s="15" t="s">
        <v>65</v>
      </c>
      <c r="L21" s="20">
        <v>8539</v>
      </c>
      <c r="M21" s="15"/>
      <c r="N21" s="15" t="s">
        <v>66</v>
      </c>
      <c r="O21" s="15" t="s">
        <v>25</v>
      </c>
      <c r="P21" s="15" t="s">
        <v>67</v>
      </c>
      <c r="Q21" s="21">
        <v>45820</v>
      </c>
      <c r="R21" s="15">
        <v>825</v>
      </c>
      <c r="S21" s="15">
        <v>475</v>
      </c>
      <c r="T21" s="15" t="s">
        <v>59</v>
      </c>
      <c r="U21" s="22">
        <v>372</v>
      </c>
    </row>
    <row r="22" spans="1:21" x14ac:dyDescent="0.25">
      <c r="A22" s="5">
        <v>46113</v>
      </c>
      <c r="B22" s="6" t="s">
        <v>63</v>
      </c>
      <c r="C22" s="7" t="s">
        <v>68</v>
      </c>
      <c r="D22" s="8"/>
      <c r="E22" s="9"/>
      <c r="F22" s="6" t="s">
        <v>22</v>
      </c>
      <c r="G22" s="10">
        <v>4</v>
      </c>
      <c r="H22" s="6">
        <v>1350</v>
      </c>
      <c r="I22" s="6">
        <v>5400</v>
      </c>
      <c r="J22" s="6" t="s">
        <v>23</v>
      </c>
      <c r="K22" s="6"/>
      <c r="L22" s="11"/>
      <c r="M22" s="6"/>
      <c r="N22" s="6" t="s">
        <v>24</v>
      </c>
      <c r="O22" s="6"/>
      <c r="P22" s="6"/>
      <c r="Q22" s="12"/>
      <c r="R22" s="6"/>
      <c r="S22" s="6">
        <v>5400</v>
      </c>
      <c r="T22" s="6"/>
      <c r="U22" s="13">
        <v>89</v>
      </c>
    </row>
    <row r="23" spans="1:21" x14ac:dyDescent="0.25">
      <c r="A23" s="14">
        <v>45999</v>
      </c>
      <c r="B23" s="15" t="s">
        <v>69</v>
      </c>
      <c r="C23" s="15" t="s">
        <v>70</v>
      </c>
      <c r="D23" s="28" t="s">
        <v>71</v>
      </c>
      <c r="E23" s="20">
        <v>10060025</v>
      </c>
      <c r="F23" s="6" t="s">
        <v>22</v>
      </c>
      <c r="G23" s="19">
        <v>8</v>
      </c>
      <c r="H23" s="15">
        <v>1300</v>
      </c>
      <c r="I23" s="15">
        <v>10400</v>
      </c>
      <c r="J23" s="15" t="s">
        <v>23</v>
      </c>
      <c r="K23" s="15" t="s">
        <v>72</v>
      </c>
      <c r="L23" s="20">
        <v>8904</v>
      </c>
      <c r="M23" s="15"/>
      <c r="N23" s="15" t="s">
        <v>50</v>
      </c>
      <c r="O23" s="15" t="s">
        <v>25</v>
      </c>
      <c r="P23" s="15" t="s">
        <v>73</v>
      </c>
      <c r="Q23" s="21">
        <v>46044</v>
      </c>
      <c r="R23" s="15">
        <v>3382</v>
      </c>
      <c r="S23" s="15">
        <v>7018</v>
      </c>
      <c r="T23" s="15"/>
      <c r="U23" s="22">
        <v>203</v>
      </c>
    </row>
    <row r="24" spans="1:21" x14ac:dyDescent="0.25">
      <c r="A24" s="5">
        <v>46175</v>
      </c>
      <c r="B24" s="7" t="s">
        <v>69</v>
      </c>
      <c r="C24" s="7" t="s">
        <v>74</v>
      </c>
      <c r="D24" s="24"/>
      <c r="E24" s="11">
        <v>10060077</v>
      </c>
      <c r="F24" s="7" t="s">
        <v>22</v>
      </c>
      <c r="G24" s="29">
        <v>10</v>
      </c>
      <c r="H24" s="7">
        <v>1300</v>
      </c>
      <c r="I24" s="7">
        <v>13000</v>
      </c>
      <c r="J24" s="7" t="s">
        <v>23</v>
      </c>
      <c r="K24" s="7"/>
      <c r="L24" s="9"/>
      <c r="M24" s="7"/>
      <c r="N24" s="7" t="s">
        <v>75</v>
      </c>
      <c r="O24" s="7" t="s">
        <v>25</v>
      </c>
      <c r="P24" s="7" t="s">
        <v>76</v>
      </c>
      <c r="Q24" s="30">
        <v>46191</v>
      </c>
      <c r="R24" s="7">
        <v>3160</v>
      </c>
      <c r="S24" s="7">
        <v>9840</v>
      </c>
      <c r="T24" s="7"/>
      <c r="U24" s="31">
        <v>27</v>
      </c>
    </row>
    <row r="25" spans="1:21" x14ac:dyDescent="0.25">
      <c r="A25" s="14">
        <v>46175</v>
      </c>
      <c r="B25" s="16" t="s">
        <v>69</v>
      </c>
      <c r="C25" s="15" t="s">
        <v>77</v>
      </c>
      <c r="D25" s="26"/>
      <c r="E25" s="20">
        <v>10060074</v>
      </c>
      <c r="F25" s="7" t="s">
        <v>22</v>
      </c>
      <c r="G25" s="32">
        <v>28</v>
      </c>
      <c r="H25" s="16">
        <v>1300</v>
      </c>
      <c r="I25" s="16">
        <v>36400</v>
      </c>
      <c r="J25" s="16" t="s">
        <v>23</v>
      </c>
      <c r="K25" s="16"/>
      <c r="L25" s="18"/>
      <c r="M25" s="16"/>
      <c r="N25" s="16" t="s">
        <v>75</v>
      </c>
      <c r="O25" s="16"/>
      <c r="P25" s="16"/>
      <c r="Q25" s="33"/>
      <c r="R25" s="16"/>
      <c r="S25" s="16">
        <v>36400</v>
      </c>
      <c r="T25" s="16"/>
      <c r="U25" s="34">
        <v>27</v>
      </c>
    </row>
    <row r="26" spans="1:21" x14ac:dyDescent="0.25">
      <c r="A26" s="5">
        <v>46176</v>
      </c>
      <c r="B26" s="6" t="s">
        <v>78</v>
      </c>
      <c r="C26" s="6" t="s">
        <v>79</v>
      </c>
      <c r="D26" s="23"/>
      <c r="E26" s="11">
        <v>10570021</v>
      </c>
      <c r="F26" s="6" t="s">
        <v>22</v>
      </c>
      <c r="G26" s="10">
        <v>5</v>
      </c>
      <c r="H26" s="6">
        <v>1400</v>
      </c>
      <c r="I26" s="6">
        <v>7000</v>
      </c>
      <c r="J26" s="6" t="s">
        <v>23</v>
      </c>
      <c r="K26" s="6"/>
      <c r="L26" s="11"/>
      <c r="M26" s="6"/>
      <c r="N26" s="6" t="s">
        <v>75</v>
      </c>
      <c r="O26" s="6" t="s">
        <v>25</v>
      </c>
      <c r="P26" s="6" t="s">
        <v>76</v>
      </c>
      <c r="Q26" s="12">
        <v>46191</v>
      </c>
      <c r="R26" s="6">
        <v>4246</v>
      </c>
      <c r="S26" s="6">
        <v>2754</v>
      </c>
      <c r="T26" s="6"/>
      <c r="U26" s="13">
        <v>26</v>
      </c>
    </row>
    <row r="27" spans="1:21" x14ac:dyDescent="0.25">
      <c r="A27" s="14">
        <v>46174</v>
      </c>
      <c r="B27" s="15" t="s">
        <v>80</v>
      </c>
      <c r="C27" s="15" t="s">
        <v>81</v>
      </c>
      <c r="D27" s="28"/>
      <c r="E27" s="20">
        <v>10110008</v>
      </c>
      <c r="F27" s="6" t="s">
        <v>29</v>
      </c>
      <c r="G27" s="19">
        <v>500</v>
      </c>
      <c r="H27" s="15">
        <v>1390</v>
      </c>
      <c r="I27" s="15">
        <v>695000</v>
      </c>
      <c r="J27" s="15" t="s">
        <v>23</v>
      </c>
      <c r="K27" s="15"/>
      <c r="L27" s="20"/>
      <c r="M27" s="15"/>
      <c r="N27" s="15" t="s">
        <v>75</v>
      </c>
      <c r="O27" s="15" t="s">
        <v>25</v>
      </c>
      <c r="P27" s="35" t="s">
        <v>82</v>
      </c>
      <c r="Q27" s="21" t="s">
        <v>83</v>
      </c>
      <c r="R27" s="15">
        <v>586931</v>
      </c>
      <c r="S27" s="15">
        <v>108069</v>
      </c>
      <c r="T27" s="15"/>
      <c r="U27" s="22">
        <v>28</v>
      </c>
    </row>
    <row r="28" spans="1:21" x14ac:dyDescent="0.25">
      <c r="A28" s="5">
        <v>46175</v>
      </c>
      <c r="B28" s="7" t="s">
        <v>69</v>
      </c>
      <c r="C28" s="7" t="s">
        <v>84</v>
      </c>
      <c r="D28" s="8" t="s">
        <v>85</v>
      </c>
      <c r="E28" s="9">
        <v>10060009</v>
      </c>
      <c r="F28" s="6" t="s">
        <v>29</v>
      </c>
      <c r="G28" s="10">
        <v>20</v>
      </c>
      <c r="H28" s="6">
        <v>1350</v>
      </c>
      <c r="I28" s="6">
        <v>27000</v>
      </c>
      <c r="J28" s="6" t="s">
        <v>23</v>
      </c>
      <c r="K28" s="6"/>
      <c r="L28" s="11"/>
      <c r="M28" s="6"/>
      <c r="N28" s="6" t="s">
        <v>75</v>
      </c>
      <c r="O28" s="6" t="s">
        <v>25</v>
      </c>
      <c r="P28" s="36" t="s">
        <v>76</v>
      </c>
      <c r="Q28" s="12">
        <v>46191</v>
      </c>
      <c r="R28" s="6">
        <v>24245</v>
      </c>
      <c r="S28" s="6">
        <v>2755</v>
      </c>
      <c r="T28" s="6"/>
      <c r="U28" s="13">
        <v>27</v>
      </c>
    </row>
    <row r="29" spans="1:21" x14ac:dyDescent="0.25">
      <c r="A29" s="14">
        <v>46175</v>
      </c>
      <c r="B29" s="16" t="s">
        <v>69</v>
      </c>
      <c r="C29" s="16" t="s">
        <v>77</v>
      </c>
      <c r="D29" s="25"/>
      <c r="E29" s="18">
        <v>10060074</v>
      </c>
      <c r="F29" s="7" t="s">
        <v>29</v>
      </c>
      <c r="G29" s="19">
        <v>4</v>
      </c>
      <c r="H29" s="15">
        <v>1450</v>
      </c>
      <c r="I29" s="15">
        <v>5800</v>
      </c>
      <c r="J29" s="15" t="s">
        <v>23</v>
      </c>
      <c r="K29" s="15"/>
      <c r="L29" s="20"/>
      <c r="M29" s="15"/>
      <c r="N29" s="15" t="s">
        <v>75</v>
      </c>
      <c r="O29" s="15"/>
      <c r="P29" s="15"/>
      <c r="Q29" s="21"/>
      <c r="R29" s="15"/>
      <c r="S29" s="15">
        <v>5800</v>
      </c>
      <c r="T29" s="15"/>
      <c r="U29" s="22">
        <v>27</v>
      </c>
    </row>
    <row r="30" spans="1:21" x14ac:dyDescent="0.25">
      <c r="A30" s="5">
        <v>46175</v>
      </c>
      <c r="B30" s="7" t="s">
        <v>69</v>
      </c>
      <c r="C30" s="37" t="s">
        <v>86</v>
      </c>
      <c r="D30" s="8"/>
      <c r="E30" s="9">
        <v>10060130</v>
      </c>
      <c r="F30" s="6" t="s">
        <v>29</v>
      </c>
      <c r="G30" s="10">
        <v>5</v>
      </c>
      <c r="H30" s="6">
        <v>1450</v>
      </c>
      <c r="I30" s="6">
        <v>7250</v>
      </c>
      <c r="J30" s="6" t="s">
        <v>23</v>
      </c>
      <c r="K30" s="6"/>
      <c r="L30" s="11"/>
      <c r="M30" s="6"/>
      <c r="N30" s="6" t="s">
        <v>75</v>
      </c>
      <c r="O30" s="6" t="s">
        <v>25</v>
      </c>
      <c r="P30" s="6" t="s">
        <v>76</v>
      </c>
      <c r="Q30" s="12">
        <v>46191</v>
      </c>
      <c r="R30" s="6">
        <v>750</v>
      </c>
      <c r="S30" s="6">
        <v>6500</v>
      </c>
      <c r="T30" s="6"/>
      <c r="U30" s="13">
        <v>27</v>
      </c>
    </row>
    <row r="31" spans="1:21" x14ac:dyDescent="0.25">
      <c r="A31" s="38">
        <v>46174</v>
      </c>
      <c r="B31" s="16" t="s">
        <v>87</v>
      </c>
      <c r="C31" s="16" t="s">
        <v>88</v>
      </c>
      <c r="D31" s="17"/>
      <c r="E31" s="18">
        <v>10560017</v>
      </c>
      <c r="F31" s="6" t="s">
        <v>22</v>
      </c>
      <c r="G31" s="32">
        <v>10</v>
      </c>
      <c r="H31" s="16">
        <v>1300</v>
      </c>
      <c r="I31" s="16">
        <v>13000</v>
      </c>
      <c r="J31" s="16" t="s">
        <v>23</v>
      </c>
      <c r="K31" s="16"/>
      <c r="L31" s="18"/>
      <c r="M31" s="16"/>
      <c r="N31" s="16" t="s">
        <v>75</v>
      </c>
      <c r="O31" s="16"/>
      <c r="P31" s="16"/>
      <c r="Q31" s="33"/>
      <c r="R31" s="16"/>
      <c r="S31" s="16">
        <v>13000</v>
      </c>
      <c r="T31" s="16"/>
      <c r="U31" s="34">
        <v>28</v>
      </c>
    </row>
    <row r="32" spans="1:21" x14ac:dyDescent="0.25">
      <c r="A32" s="39">
        <v>46176</v>
      </c>
      <c r="B32" s="7" t="s">
        <v>87</v>
      </c>
      <c r="C32" s="7" t="s">
        <v>89</v>
      </c>
      <c r="D32" s="24"/>
      <c r="E32" s="9">
        <v>10070046</v>
      </c>
      <c r="F32" s="6" t="s">
        <v>22</v>
      </c>
      <c r="G32" s="29">
        <v>10</v>
      </c>
      <c r="H32" s="7">
        <v>1350</v>
      </c>
      <c r="I32" s="7">
        <v>13500</v>
      </c>
      <c r="J32" s="7" t="s">
        <v>23</v>
      </c>
      <c r="K32" s="7"/>
      <c r="L32" s="9"/>
      <c r="M32" s="7"/>
      <c r="N32" s="7" t="s">
        <v>75</v>
      </c>
      <c r="O32" s="7" t="s">
        <v>25</v>
      </c>
      <c r="P32" s="7" t="s">
        <v>76</v>
      </c>
      <c r="Q32" s="30">
        <v>46191</v>
      </c>
      <c r="R32" s="7">
        <v>13037</v>
      </c>
      <c r="S32" s="7">
        <v>463</v>
      </c>
      <c r="T32" s="7"/>
      <c r="U32" s="31">
        <v>26</v>
      </c>
    </row>
    <row r="33" spans="1:21" x14ac:dyDescent="0.25">
      <c r="A33" s="38">
        <v>46181</v>
      </c>
      <c r="B33" s="16" t="s">
        <v>87</v>
      </c>
      <c r="C33" s="15" t="s">
        <v>90</v>
      </c>
      <c r="D33" s="28"/>
      <c r="E33" s="20">
        <v>10560034</v>
      </c>
      <c r="F33" s="6" t="s">
        <v>22</v>
      </c>
      <c r="G33" s="32">
        <v>7</v>
      </c>
      <c r="H33" s="16">
        <v>1350</v>
      </c>
      <c r="I33" s="16">
        <v>9450</v>
      </c>
      <c r="J33" s="16" t="s">
        <v>23</v>
      </c>
      <c r="K33" s="16"/>
      <c r="L33" s="18"/>
      <c r="M33" s="16"/>
      <c r="N33" s="16" t="s">
        <v>75</v>
      </c>
      <c r="O33" s="16"/>
      <c r="P33" s="16"/>
      <c r="Q33" s="33"/>
      <c r="R33" s="16"/>
      <c r="S33" s="16">
        <v>9450</v>
      </c>
      <c r="T33" s="16"/>
      <c r="U33" s="34">
        <v>21</v>
      </c>
    </row>
    <row r="34" spans="1:21" x14ac:dyDescent="0.25">
      <c r="A34" s="39">
        <v>46183</v>
      </c>
      <c r="B34" s="7" t="s">
        <v>87</v>
      </c>
      <c r="C34" s="6" t="s">
        <v>91</v>
      </c>
      <c r="D34" s="23"/>
      <c r="E34" s="11">
        <v>10560037</v>
      </c>
      <c r="F34" s="6" t="s">
        <v>22</v>
      </c>
      <c r="G34" s="29">
        <v>5</v>
      </c>
      <c r="H34" s="7">
        <v>1350</v>
      </c>
      <c r="I34" s="7">
        <v>6750</v>
      </c>
      <c r="J34" s="7" t="s">
        <v>23</v>
      </c>
      <c r="K34" s="7"/>
      <c r="L34" s="9"/>
      <c r="M34" s="7"/>
      <c r="N34" s="7" t="s">
        <v>75</v>
      </c>
      <c r="O34" s="7"/>
      <c r="P34" s="7"/>
      <c r="Q34" s="30"/>
      <c r="R34" s="7"/>
      <c r="S34" s="7">
        <v>6750</v>
      </c>
      <c r="T34" s="7"/>
      <c r="U34" s="31">
        <v>19</v>
      </c>
    </row>
    <row r="35" spans="1:21" x14ac:dyDescent="0.25">
      <c r="A35" s="38">
        <v>46181</v>
      </c>
      <c r="B35" s="16" t="s">
        <v>35</v>
      </c>
      <c r="C35" s="16" t="s">
        <v>92</v>
      </c>
      <c r="D35" s="17"/>
      <c r="E35" s="18"/>
      <c r="F35" s="7" t="s">
        <v>22</v>
      </c>
      <c r="G35" s="32">
        <v>1</v>
      </c>
      <c r="H35" s="16">
        <v>1330</v>
      </c>
      <c r="I35" s="16">
        <v>1330</v>
      </c>
      <c r="J35" s="16" t="s">
        <v>23</v>
      </c>
      <c r="K35" s="16"/>
      <c r="L35" s="18"/>
      <c r="M35" s="16"/>
      <c r="N35" s="16" t="s">
        <v>75</v>
      </c>
      <c r="O35" s="16"/>
      <c r="P35" s="16"/>
      <c r="Q35" s="33"/>
      <c r="R35" s="16"/>
      <c r="S35" s="16">
        <v>1330</v>
      </c>
      <c r="T35" s="16"/>
      <c r="U35" s="34">
        <v>21</v>
      </c>
    </row>
    <row r="36" spans="1:21" x14ac:dyDescent="0.25">
      <c r="A36" s="39">
        <v>46181</v>
      </c>
      <c r="B36" s="6" t="s">
        <v>93</v>
      </c>
      <c r="C36" s="6" t="s">
        <v>94</v>
      </c>
      <c r="D36" s="23"/>
      <c r="E36" s="11">
        <v>10610022</v>
      </c>
      <c r="F36" s="6" t="s">
        <v>29</v>
      </c>
      <c r="G36" s="10">
        <v>1</v>
      </c>
      <c r="H36" s="6">
        <v>1500</v>
      </c>
      <c r="I36" s="7">
        <v>1500</v>
      </c>
      <c r="J36" s="7" t="s">
        <v>23</v>
      </c>
      <c r="K36" s="7"/>
      <c r="L36" s="9"/>
      <c r="M36" s="7"/>
      <c r="N36" s="7" t="s">
        <v>75</v>
      </c>
      <c r="O36" s="7"/>
      <c r="P36" s="7"/>
      <c r="Q36" s="30"/>
      <c r="R36" s="7"/>
      <c r="S36" s="7">
        <v>1500</v>
      </c>
      <c r="T36" s="7"/>
      <c r="U36" s="31">
        <v>21</v>
      </c>
    </row>
    <row r="37" spans="1:21" x14ac:dyDescent="0.25">
      <c r="A37" s="38">
        <v>46182</v>
      </c>
      <c r="B37" s="15" t="s">
        <v>41</v>
      </c>
      <c r="C37" s="15" t="s">
        <v>95</v>
      </c>
      <c r="D37" s="28"/>
      <c r="E37" s="20">
        <v>10530055</v>
      </c>
      <c r="F37" s="6" t="s">
        <v>29</v>
      </c>
      <c r="G37" s="19">
        <v>2</v>
      </c>
      <c r="H37" s="15">
        <v>1550</v>
      </c>
      <c r="I37" s="16">
        <v>3100</v>
      </c>
      <c r="J37" s="16" t="s">
        <v>23</v>
      </c>
      <c r="K37" s="16"/>
      <c r="L37" s="18"/>
      <c r="M37" s="16"/>
      <c r="N37" s="16" t="s">
        <v>75</v>
      </c>
      <c r="O37" s="16" t="s">
        <v>25</v>
      </c>
      <c r="P37" s="40" t="s">
        <v>96</v>
      </c>
      <c r="Q37" s="33" t="s">
        <v>97</v>
      </c>
      <c r="R37" s="16">
        <v>2653</v>
      </c>
      <c r="S37" s="16">
        <v>447</v>
      </c>
      <c r="T37" s="16"/>
      <c r="U37" s="34">
        <v>20</v>
      </c>
    </row>
    <row r="38" spans="1:21" x14ac:dyDescent="0.25">
      <c r="A38" s="39">
        <v>46179</v>
      </c>
      <c r="B38" s="6" t="s">
        <v>80</v>
      </c>
      <c r="C38" s="7" t="s">
        <v>98</v>
      </c>
      <c r="D38" s="8"/>
      <c r="E38" s="9"/>
      <c r="F38" s="7" t="s">
        <v>22</v>
      </c>
      <c r="G38" s="29">
        <v>1</v>
      </c>
      <c r="H38" s="7">
        <v>1400</v>
      </c>
      <c r="I38" s="7">
        <v>1400</v>
      </c>
      <c r="J38" s="7" t="s">
        <v>23</v>
      </c>
      <c r="K38" s="7"/>
      <c r="L38" s="9"/>
      <c r="M38" s="7"/>
      <c r="N38" s="7" t="s">
        <v>75</v>
      </c>
      <c r="O38" s="7"/>
      <c r="P38" s="7"/>
      <c r="Q38" s="30"/>
      <c r="R38" s="7"/>
      <c r="S38" s="7">
        <v>1400</v>
      </c>
      <c r="T38" s="7"/>
      <c r="U38" s="31">
        <v>23</v>
      </c>
    </row>
    <row r="39" spans="1:21" x14ac:dyDescent="0.25">
      <c r="A39" s="38">
        <v>46179</v>
      </c>
      <c r="B39" s="15" t="s">
        <v>80</v>
      </c>
      <c r="C39" s="16" t="s">
        <v>99</v>
      </c>
      <c r="D39" s="17"/>
      <c r="E39" s="18"/>
      <c r="F39" s="7" t="s">
        <v>22</v>
      </c>
      <c r="G39" s="32">
        <v>1</v>
      </c>
      <c r="H39" s="16">
        <v>1400</v>
      </c>
      <c r="I39" s="16">
        <v>1400</v>
      </c>
      <c r="J39" s="16" t="s">
        <v>23</v>
      </c>
      <c r="K39" s="16"/>
      <c r="L39" s="18"/>
      <c r="M39" s="16"/>
      <c r="N39" s="16" t="s">
        <v>75</v>
      </c>
      <c r="O39" s="16"/>
      <c r="P39" s="16"/>
      <c r="Q39" s="33"/>
      <c r="R39" s="16"/>
      <c r="S39" s="16">
        <v>1400</v>
      </c>
      <c r="T39" s="16"/>
      <c r="U39" s="34">
        <v>23</v>
      </c>
    </row>
    <row r="40" spans="1:21" x14ac:dyDescent="0.25">
      <c r="A40" s="39">
        <v>46179</v>
      </c>
      <c r="B40" s="6" t="s">
        <v>80</v>
      </c>
      <c r="C40" s="7" t="s">
        <v>100</v>
      </c>
      <c r="D40" s="8"/>
      <c r="E40" s="9">
        <v>10110013</v>
      </c>
      <c r="F40" s="6" t="s">
        <v>22</v>
      </c>
      <c r="G40" s="10">
        <v>2</v>
      </c>
      <c r="H40" s="6">
        <v>1350</v>
      </c>
      <c r="I40" s="7">
        <v>2700</v>
      </c>
      <c r="J40" s="7" t="s">
        <v>23</v>
      </c>
      <c r="K40" s="7"/>
      <c r="L40" s="9"/>
      <c r="M40" s="7"/>
      <c r="N40" s="7" t="s">
        <v>75</v>
      </c>
      <c r="O40" s="7"/>
      <c r="P40" s="41"/>
      <c r="Q40" s="30"/>
      <c r="R40" s="7">
        <v>1350</v>
      </c>
      <c r="S40" s="7">
        <v>1350</v>
      </c>
      <c r="T40" s="7"/>
      <c r="U40" s="31">
        <v>23</v>
      </c>
    </row>
    <row r="41" spans="1:21" x14ac:dyDescent="0.25">
      <c r="A41" s="38">
        <v>46174</v>
      </c>
      <c r="B41" s="16" t="s">
        <v>101</v>
      </c>
      <c r="C41" s="16" t="s">
        <v>102</v>
      </c>
      <c r="D41" s="17"/>
      <c r="E41" s="18"/>
      <c r="F41" s="7" t="s">
        <v>22</v>
      </c>
      <c r="G41" s="32">
        <v>100</v>
      </c>
      <c r="H41" s="16">
        <v>1350</v>
      </c>
      <c r="I41" s="16">
        <v>135000</v>
      </c>
      <c r="J41" s="16" t="s">
        <v>23</v>
      </c>
      <c r="K41" s="16"/>
      <c r="L41" s="18"/>
      <c r="M41" s="16"/>
      <c r="N41" s="16" t="s">
        <v>75</v>
      </c>
      <c r="O41" s="16"/>
      <c r="P41" s="16"/>
      <c r="Q41" s="33"/>
      <c r="R41" s="16"/>
      <c r="S41" s="16">
        <v>135000</v>
      </c>
      <c r="T41" s="16"/>
      <c r="U41" s="34">
        <v>28</v>
      </c>
    </row>
    <row r="42" spans="1:21" x14ac:dyDescent="0.25">
      <c r="A42" s="39">
        <v>46184</v>
      </c>
      <c r="B42" s="7" t="s">
        <v>69</v>
      </c>
      <c r="C42" s="42" t="s">
        <v>103</v>
      </c>
      <c r="D42" s="8"/>
      <c r="E42" s="9">
        <v>10020035</v>
      </c>
      <c r="F42" s="7" t="s">
        <v>22</v>
      </c>
      <c r="G42" s="29">
        <v>10</v>
      </c>
      <c r="H42" s="7">
        <v>1350</v>
      </c>
      <c r="I42" s="7">
        <v>13500</v>
      </c>
      <c r="J42" s="16" t="s">
        <v>23</v>
      </c>
      <c r="K42" s="7"/>
      <c r="L42" s="9"/>
      <c r="M42" s="7"/>
      <c r="N42" s="7" t="s">
        <v>75</v>
      </c>
      <c r="O42" s="7"/>
      <c r="P42" s="7"/>
      <c r="Q42" s="30"/>
      <c r="R42" s="7"/>
      <c r="S42" s="7">
        <v>13500</v>
      </c>
      <c r="T42" s="7"/>
      <c r="U42" s="31">
        <v>18</v>
      </c>
    </row>
    <row r="43" spans="1:21" x14ac:dyDescent="0.25">
      <c r="A43" s="38">
        <v>46177</v>
      </c>
      <c r="B43" s="15" t="s">
        <v>78</v>
      </c>
      <c r="C43" s="16" t="s">
        <v>104</v>
      </c>
      <c r="D43" s="17"/>
      <c r="E43" s="18">
        <v>10570019</v>
      </c>
      <c r="F43" s="7" t="s">
        <v>22</v>
      </c>
      <c r="G43" s="32">
        <v>1</v>
      </c>
      <c r="H43" s="16">
        <v>1400</v>
      </c>
      <c r="I43" s="16">
        <v>1400</v>
      </c>
      <c r="J43" s="16" t="s">
        <v>23</v>
      </c>
      <c r="K43" s="16"/>
      <c r="L43" s="18"/>
      <c r="M43" s="16"/>
      <c r="N43" s="16" t="s">
        <v>75</v>
      </c>
      <c r="O43" s="16"/>
      <c r="P43" s="16"/>
      <c r="Q43" s="33"/>
      <c r="R43" s="16"/>
      <c r="S43" s="16">
        <v>1400</v>
      </c>
      <c r="T43" s="16"/>
      <c r="U43" s="34">
        <v>25</v>
      </c>
    </row>
    <row r="44" spans="1:21" x14ac:dyDescent="0.25">
      <c r="A44" s="39">
        <v>46182</v>
      </c>
      <c r="B44" s="6" t="s">
        <v>78</v>
      </c>
      <c r="C44" s="6" t="s">
        <v>105</v>
      </c>
      <c r="D44" s="23"/>
      <c r="E44" s="11">
        <v>10570045</v>
      </c>
      <c r="F44" s="7" t="s">
        <v>22</v>
      </c>
      <c r="G44" s="29">
        <v>5</v>
      </c>
      <c r="H44" s="7">
        <v>1400</v>
      </c>
      <c r="I44" s="7">
        <v>7000</v>
      </c>
      <c r="J44" s="16" t="s">
        <v>23</v>
      </c>
      <c r="K44" s="7"/>
      <c r="L44" s="9"/>
      <c r="M44" s="7"/>
      <c r="N44" s="7" t="s">
        <v>75</v>
      </c>
      <c r="O44" s="7" t="s">
        <v>25</v>
      </c>
      <c r="P44" s="7" t="s">
        <v>106</v>
      </c>
      <c r="Q44" s="30">
        <v>46184</v>
      </c>
      <c r="R44" s="7">
        <v>1350</v>
      </c>
      <c r="S44" s="7">
        <v>5650</v>
      </c>
      <c r="T44" s="7"/>
      <c r="U44" s="31">
        <v>20</v>
      </c>
    </row>
    <row r="45" spans="1:21" x14ac:dyDescent="0.25">
      <c r="A45" s="38">
        <v>46184</v>
      </c>
      <c r="B45" s="15" t="s">
        <v>78</v>
      </c>
      <c r="C45" s="43" t="s">
        <v>107</v>
      </c>
      <c r="D45" s="17"/>
      <c r="E45" s="18">
        <v>10570047</v>
      </c>
      <c r="F45" s="7" t="s">
        <v>22</v>
      </c>
      <c r="G45" s="32">
        <v>4</v>
      </c>
      <c r="H45" s="16">
        <v>1400</v>
      </c>
      <c r="I45" s="16">
        <v>5600</v>
      </c>
      <c r="J45" s="16" t="s">
        <v>23</v>
      </c>
      <c r="K45" s="16"/>
      <c r="L45" s="18"/>
      <c r="M45" s="16"/>
      <c r="N45" s="16" t="s">
        <v>75</v>
      </c>
      <c r="O45" s="16"/>
      <c r="P45" s="16"/>
      <c r="Q45" s="33"/>
      <c r="R45" s="16"/>
      <c r="S45" s="16">
        <v>5600</v>
      </c>
      <c r="T45" s="16"/>
      <c r="U45" s="34">
        <v>18</v>
      </c>
    </row>
    <row r="46" spans="1:21" x14ac:dyDescent="0.25">
      <c r="A46" s="39">
        <v>46184</v>
      </c>
      <c r="B46" s="7" t="s">
        <v>78</v>
      </c>
      <c r="C46" s="7" t="s">
        <v>108</v>
      </c>
      <c r="D46" s="8"/>
      <c r="E46" s="9">
        <v>10570051</v>
      </c>
      <c r="F46" s="7" t="s">
        <v>22</v>
      </c>
      <c r="G46" s="29">
        <v>5</v>
      </c>
      <c r="H46" s="7">
        <v>1400</v>
      </c>
      <c r="I46" s="7">
        <v>7000</v>
      </c>
      <c r="J46" s="16" t="s">
        <v>23</v>
      </c>
      <c r="K46" s="7"/>
      <c r="L46" s="9"/>
      <c r="M46" s="7"/>
      <c r="N46" s="7" t="s">
        <v>75</v>
      </c>
      <c r="O46" s="7"/>
      <c r="P46" s="7"/>
      <c r="Q46" s="30"/>
      <c r="R46" s="7"/>
      <c r="S46" s="7">
        <v>7000</v>
      </c>
      <c r="T46" s="7"/>
      <c r="U46" s="31">
        <v>18</v>
      </c>
    </row>
    <row r="47" spans="1:21" x14ac:dyDescent="0.25">
      <c r="A47" s="38">
        <v>46177</v>
      </c>
      <c r="B47" s="15" t="s">
        <v>78</v>
      </c>
      <c r="C47" s="16" t="s">
        <v>104</v>
      </c>
      <c r="D47" s="17"/>
      <c r="E47" s="18">
        <v>10570019</v>
      </c>
      <c r="F47" s="7" t="s">
        <v>29</v>
      </c>
      <c r="G47" s="32">
        <v>1</v>
      </c>
      <c r="H47" s="16">
        <v>1550</v>
      </c>
      <c r="I47" s="16">
        <v>1550</v>
      </c>
      <c r="J47" s="16" t="s">
        <v>23</v>
      </c>
      <c r="K47" s="16"/>
      <c r="L47" s="18"/>
      <c r="M47" s="16"/>
      <c r="N47" s="16" t="s">
        <v>75</v>
      </c>
      <c r="O47" s="16"/>
      <c r="P47" s="16"/>
      <c r="Q47" s="33"/>
      <c r="R47" s="16"/>
      <c r="S47" s="16">
        <v>1550</v>
      </c>
      <c r="T47" s="16"/>
      <c r="U47" s="34">
        <v>25</v>
      </c>
    </row>
    <row r="48" spans="1:21" x14ac:dyDescent="0.25">
      <c r="A48" s="39">
        <v>46184</v>
      </c>
      <c r="B48" s="6" t="s">
        <v>78</v>
      </c>
      <c r="C48" s="44" t="s">
        <v>107</v>
      </c>
      <c r="D48" s="8"/>
      <c r="E48" s="9">
        <v>10570047</v>
      </c>
      <c r="F48" s="7" t="s">
        <v>29</v>
      </c>
      <c r="G48" s="29">
        <v>1</v>
      </c>
      <c r="H48" s="7">
        <v>1550</v>
      </c>
      <c r="I48" s="7">
        <v>1550</v>
      </c>
      <c r="J48" s="16" t="s">
        <v>23</v>
      </c>
      <c r="K48" s="7"/>
      <c r="L48" s="9"/>
      <c r="M48" s="7"/>
      <c r="N48" s="7" t="s">
        <v>75</v>
      </c>
      <c r="O48" s="7"/>
      <c r="P48" s="7"/>
      <c r="Q48" s="30"/>
      <c r="R48" s="7"/>
      <c r="S48" s="7">
        <v>1550</v>
      </c>
      <c r="T48" s="7"/>
      <c r="U48" s="31">
        <v>18</v>
      </c>
    </row>
  </sheetData>
  <autoFilter ref="A1:U48" xr:uid="{8493E1C1-1636-4D75-9CF3-57BD9FC4CA38}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Rupam Kumari</dc:creator>
  <cp:lastModifiedBy>RAHUL PANDIT</cp:lastModifiedBy>
  <dcterms:created xsi:type="dcterms:W3CDTF">2026-06-29T06:44:05Z</dcterms:created>
  <dcterms:modified xsi:type="dcterms:W3CDTF">2026-06-29T08:10:53Z</dcterms:modified>
</cp:coreProperties>
</file>