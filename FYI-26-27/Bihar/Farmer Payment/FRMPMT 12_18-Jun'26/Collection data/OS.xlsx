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Collection data\"/>
    </mc:Choice>
  </mc:AlternateContent>
  <xr:revisionPtr revIDLastSave="0" documentId="13_ncr:1_{8C5CE75B-7653-4E2B-BCF2-13BD7B1D3F90}" xr6:coauthVersionLast="47" xr6:coauthVersionMax="47" xr10:uidLastSave="{00000000-0000-0000-0000-000000000000}"/>
  <bookViews>
    <workbookView xWindow="-120" yWindow="-120" windowWidth="29040" windowHeight="15720" xr2:uid="{ACB1B85F-1BAC-4752-B3D8-42B3E6AB0AFE}"/>
  </bookViews>
  <sheets>
    <sheet name="Sheet2" sheetId="2" r:id="rId1"/>
    <sheet name="Sheet1" sheetId="1" r:id="rId2"/>
  </sheets>
  <calcPr calcId="191029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tc={CE2C9937-5DBB-4B80-B0B7-483A80D9B12F}</author>
  </authors>
  <commentList>
    <comment ref="O11" authorId="0" shapeId="0" xr:uid="{CE2C9937-5DBB-4B80-B0B7-483A80D9B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Raushan yadav transpoter inward apr 26
Reply:
    Apr 330+ feb 300</t>
      </text>
    </comment>
  </commentList>
</comments>
</file>

<file path=xl/sharedStrings.xml><?xml version="1.0" encoding="utf-8"?>
<sst xmlns="http://schemas.openxmlformats.org/spreadsheetml/2006/main" count="519" uniqueCount="163">
  <si>
    <t>Date</t>
  </si>
  <si>
    <t>Godown</t>
  </si>
  <si>
    <t>MPG Name</t>
  </si>
  <si>
    <t>Old Code</t>
  </si>
  <si>
    <t>New Code</t>
  </si>
  <si>
    <t>Name of Product</t>
  </si>
  <si>
    <t>Qty Sold</t>
  </si>
  <si>
    <t>14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</si>
  <si>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</si>
  <si>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</si>
  <si>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</si>
  <si>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</si>
  <si>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</si>
  <si>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</si>
  <si>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</si>
  <si>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</si>
  <si>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</si>
  <si>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</si>
  <si>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</si>
  <si>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</si>
  <si>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</si>
  <si>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Alauli</t>
  </si>
  <si>
    <t>Saharbanni</t>
  </si>
  <si>
    <t>Gomukh Gold 50 Kgs</t>
  </si>
  <si>
    <t>Deduction from Milk Payment</t>
  </si>
  <si>
    <t>Apr-26</t>
  </si>
  <si>
    <t>Farmer</t>
  </si>
  <si>
    <t>10 Apr - 16 Apr</t>
  </si>
  <si>
    <t>Bhikhari Ghat</t>
  </si>
  <si>
    <t>May-26</t>
  </si>
  <si>
    <t>22-5-2026 to 28-5-2026 &amp; 29-04 June &amp; 05-11 June</t>
  </si>
  <si>
    <t>28-05-2026/ 04-06-2026/ 11-6-2026</t>
  </si>
  <si>
    <t>Asarganj</t>
  </si>
  <si>
    <t>Karhariya</t>
  </si>
  <si>
    <t>Buff Spl 50 Kg</t>
  </si>
  <si>
    <t>Madan Mohan Gopal</t>
  </si>
  <si>
    <t>Mar-26</t>
  </si>
  <si>
    <t>Kaykhariya VCC</t>
  </si>
  <si>
    <t>22-5-2026 to 28-5-2026 &amp; 29-04 June</t>
  </si>
  <si>
    <t>28-05-2026/ 29-05-2026</t>
  </si>
  <si>
    <t>Kathara</t>
  </si>
  <si>
    <t>Behiya</t>
  </si>
  <si>
    <t>Nawadin</t>
  </si>
  <si>
    <t>Dumraon</t>
  </si>
  <si>
    <t>Dullahpur</t>
  </si>
  <si>
    <t>Other</t>
  </si>
  <si>
    <t>01-04-2026/ 1-02-2026</t>
  </si>
  <si>
    <t>Salempur</t>
  </si>
  <si>
    <t>10-Apr-16-apr</t>
  </si>
  <si>
    <t>Triloki Pandey Direct</t>
  </si>
  <si>
    <t>Kalyanpur</t>
  </si>
  <si>
    <t>Gomukh Jhahuri</t>
  </si>
  <si>
    <t>Jul-25</t>
  </si>
  <si>
    <t>27 Mar - 31 Mar</t>
  </si>
  <si>
    <t>Cash Sale</t>
  </si>
  <si>
    <t>0000</t>
  </si>
  <si>
    <t>Singhiya W-11</t>
  </si>
  <si>
    <t>Lakhisarai</t>
  </si>
  <si>
    <t>Kunal Local Sale</t>
  </si>
  <si>
    <t>Kunal Kumar</t>
  </si>
  <si>
    <t>Dec-25</t>
  </si>
  <si>
    <t>06 feb - 12 Feb &amp; 27-05 Mar</t>
  </si>
  <si>
    <t>As per Discussed by Kunal ji Maliya ka payment 206+2000 map Mpg  10060090 Amt-7500+7000 Map</t>
  </si>
  <si>
    <t>Damage</t>
  </si>
  <si>
    <t>Muslighrarai</t>
  </si>
  <si>
    <t>Saidpur</t>
  </si>
  <si>
    <t>Deepak Kumar</t>
  </si>
  <si>
    <t>Aug-25</t>
  </si>
  <si>
    <t>26 Sep - 02 Oct</t>
  </si>
  <si>
    <t>Close Mpg</t>
  </si>
  <si>
    <t>Dagarua</t>
  </si>
  <si>
    <t>17 Apr - 23 Apr &amp; 24-30 Apr, 1-may-7-may</t>
  </si>
  <si>
    <t>Ajay Kumar</t>
  </si>
  <si>
    <t>Simri</t>
  </si>
  <si>
    <t>Chhatauna East</t>
  </si>
  <si>
    <t>Mithun Kumar</t>
  </si>
  <si>
    <t>Jun-25</t>
  </si>
  <si>
    <t>06 Jun - 12 Jun &amp; 20-26 Jun</t>
  </si>
  <si>
    <t>Khoksaha</t>
  </si>
  <si>
    <t>Suryagadha</t>
  </si>
  <si>
    <t>Pokhrama</t>
  </si>
  <si>
    <t>1204</t>
  </si>
  <si>
    <t>Umakant</t>
  </si>
  <si>
    <t>16 Jan - 22 Jan &amp; 23-29 Jan 20-26 Feb 13-19 Feb</t>
  </si>
  <si>
    <t>Teghra</t>
  </si>
  <si>
    <t>Sumit Kumar Suman</t>
  </si>
  <si>
    <t>Feb-26</t>
  </si>
  <si>
    <t>Warisnagar</t>
  </si>
  <si>
    <t>Basantpur</t>
  </si>
  <si>
    <t>Balahi 2</t>
  </si>
  <si>
    <t>Tilathi</t>
  </si>
  <si>
    <t>03-04-2026 to 09-04-2026</t>
  </si>
  <si>
    <t>Masudan</t>
  </si>
  <si>
    <t>Kishanpur</t>
  </si>
  <si>
    <t>Jajwara</t>
  </si>
  <si>
    <t>0136</t>
  </si>
  <si>
    <t>Nandpur</t>
  </si>
  <si>
    <t>0118</t>
  </si>
  <si>
    <t>Khajuriya</t>
  </si>
  <si>
    <t>Jun-26</t>
  </si>
  <si>
    <t>Jakarpura</t>
  </si>
  <si>
    <t>0091</t>
  </si>
  <si>
    <t>Piparpati</t>
  </si>
  <si>
    <t>29-05-2026 to 04-06-2026 &amp; 05-11 June</t>
  </si>
  <si>
    <t>Chalish</t>
  </si>
  <si>
    <t>0088</t>
  </si>
  <si>
    <t>Sonvarsha</t>
  </si>
  <si>
    <t>1258</t>
  </si>
  <si>
    <t xml:space="preserve">Maa bhagwati </t>
  </si>
  <si>
    <t>0103</t>
  </si>
  <si>
    <t>Basmatiya</t>
  </si>
  <si>
    <t>Puranidih</t>
  </si>
  <si>
    <t>0124</t>
  </si>
  <si>
    <t>Chautham</t>
  </si>
  <si>
    <t>Pinda</t>
  </si>
  <si>
    <t>Labharchak</t>
  </si>
  <si>
    <t>Sahebpur Kamal</t>
  </si>
  <si>
    <t>Srinagar</t>
  </si>
  <si>
    <t>9831</t>
  </si>
  <si>
    <t>15-05-2026 to 21-05-2026 &amp; 29-04 June&amp; 05-11 June</t>
  </si>
  <si>
    <t>21-05-2026/ 04-06/05-11 June</t>
  </si>
  <si>
    <t>Mohanpur</t>
  </si>
  <si>
    <t>04-06-2026/11-6-2026</t>
  </si>
  <si>
    <t>Chakoti</t>
  </si>
  <si>
    <t>Tengraha</t>
  </si>
  <si>
    <t>Natudoar</t>
  </si>
  <si>
    <t>Rahimpur</t>
  </si>
  <si>
    <t>04-05-2026/11-6-2026</t>
  </si>
  <si>
    <t>Pratpur (Kunal)</t>
  </si>
  <si>
    <t>Bathnama</t>
  </si>
  <si>
    <t>29-05-2026 to 04-06-2026</t>
  </si>
  <si>
    <t>Dubki</t>
  </si>
  <si>
    <t>2464</t>
  </si>
  <si>
    <t>Jatmalpur</t>
  </si>
  <si>
    <t>Baluha</t>
  </si>
  <si>
    <t>29-04 June</t>
  </si>
  <si>
    <t>Gomukh Chautham</t>
  </si>
  <si>
    <t>Tolhar</t>
  </si>
  <si>
    <t>Telouch</t>
  </si>
  <si>
    <t>Panaslawa</t>
  </si>
  <si>
    <t>Subhanpur</t>
  </si>
  <si>
    <t>0302</t>
  </si>
  <si>
    <t>22-5-2026 to 28-5-2026 &amp; 05-11 June</t>
  </si>
  <si>
    <t>28-05-2026/11-06-2026</t>
  </si>
  <si>
    <t>Chapra</t>
  </si>
  <si>
    <t>05-11 June</t>
  </si>
  <si>
    <t>Bochaha</t>
  </si>
  <si>
    <t>2075</t>
  </si>
  <si>
    <t>05-06-2026 to 11-06-2026</t>
  </si>
  <si>
    <t>Gomukh Punas</t>
  </si>
  <si>
    <t>Ghosrawan</t>
  </si>
  <si>
    <t>04-06-2026/11-06-2026</t>
  </si>
  <si>
    <t>Bandra W-6</t>
  </si>
  <si>
    <t>29-05-2026 to 04-06-2026 &amp; 01-07 May &amp; 15-21 May &amp; 05-11 June</t>
  </si>
  <si>
    <t>04-06-2026/11-6/2026</t>
  </si>
  <si>
    <t>Dighra W-6</t>
  </si>
  <si>
    <t>Bharav</t>
  </si>
  <si>
    <t>Arariya</t>
  </si>
  <si>
    <t>Arariya BMC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</si>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</sst>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16" fontId="2" fillId="4" borderId="2" xfId="0" applyNumberFormat="1" applyFont="1" applyFill="1" applyBorder="1"/>
    <xf numFmtId="0" fontId="2" fillId="4" borderId="4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" fontId="2" fillId="0" borderId="2" xfId="0" applyNumberFormat="1" applyFont="1" applyBorder="1"/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quotePrefix="1" applyFont="1" applyFill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4" borderId="3" xfId="0" applyFont="1" applyFill="1" applyBorder="1" applyAlignment="1">
      <alignment vertical="center"/>
    </xf>
    <xf numFmtId="0" fontId="2" fillId="4" borderId="2" xfId="0" quotePrefix="1" applyFont="1" applyFill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1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16" fontId="2" fillId="0" borderId="3" xfId="0" applyNumberFormat="1" applyFont="1" applyBorder="1"/>
    <xf numFmtId="0" fontId="2" fillId="0" borderId="6" xfId="0" applyFont="1" applyBorder="1"/>
    <xf numFmtId="14" fontId="2" fillId="4" borderId="3" xfId="0" applyNumberFormat="1" applyFont="1" applyFill="1" applyBorder="1"/>
    <xf numFmtId="0" fontId="2" fillId="4" borderId="3" xfId="0" applyFont="1" applyFill="1" applyBorder="1" applyAlignment="1">
      <alignment horizontal="center"/>
    </xf>
    <xf numFmtId="16" fontId="2" fillId="4" borderId="3" xfId="0" applyNumberFormat="1" applyFont="1" applyFill="1" applyBorder="1"/>
    <xf numFmtId="0" fontId="2" fillId="4" borderId="6" xfId="0" applyFont="1" applyFill="1" applyBorder="1"/>
    <xf numFmtId="0" fontId="3" fillId="0" borderId="3" xfId="0" applyFont="1" applyBorder="1" applyAlignment="1">
      <alignment horizontal="center"/>
    </xf>
    <xf numFmtId="0" fontId="2" fillId="0" borderId="7" xfId="0" applyFont="1" applyBorder="1"/>
    <xf numFmtId="0" fontId="2" fillId="5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0" fillId="0" borderId="0" xfId="0" pivotButton="1"/>
    <xf numFmtId="0" fontId="4" fillId="4" borderId="9" xfId="0" applyFont="1" applyFill="1" applyBorder="1"/>
    <xf numFmtId="0" fontId="0" fillId="0" borderId="0" xfId="0" applyNumberFormat="1"/>
    <xf numFmtId="0" fontId="4" fillId="4" borderId="10" xfId="0" applyFont="1" applyFill="1" applyBorder="1"/>
    <xf numFmtId="0" fontId="2" fillId="0" borderId="3" xfId="0" applyNumberFormat="1" applyFont="1" applyBorder="1" applyAlignment="1">
      <alignment horizontal="right"/>
    </xf>
    <xf numFmtId="0" fontId="2" fillId="4" borderId="3" xfId="0" applyNumberFormat="1" applyFont="1" applyFill="1" applyBorder="1" applyAlignment="1">
      <alignment horizontal="right"/>
    </xf>
    <xf numFmtId="0" fontId="4" fillId="4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FBEDA190-F2EB-4C2C-9AAA-520C1C9296D0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27579513886" createdVersion="8" refreshedVersion="8" minRefreshableVersion="3" recordCount="80" xr:uid="{97DC4431-E22A-4176-8140-B00781E304BE}">
  <cacheSource type="worksheet">
    <worksheetSource ref="A1:U81" sheet="Sheet1"/>
  </cacheSource>
  <cacheFields count="21">
    <cacheField name="Date" numFmtId="14">
      <sharedItems containsSemiMixedTypes="0" containsNonDate="0" containsDate="1" containsString="0" minDate="2025-06-22T00:00:00" maxDate="2026-06-05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30075" maxValue="10660006" count="54">
        <n v="10110148"/>
        <n v="10540009"/>
        <n v="10230001"/>
        <n v="10030077"/>
        <n v="10030075"/>
        <n v="10600007"/>
        <n v="10140011"/>
        <n v="10600010"/>
        <m/>
        <n v="10530052"/>
        <n v="10530063"/>
        <n v="10130095"/>
        <n v="10130073"/>
        <n v="10120101"/>
        <n v="10060025"/>
        <n v="10570007"/>
        <n v="10570021"/>
        <n v="10060077"/>
        <n v="10060130"/>
        <n v="10330001"/>
        <n v="10060009"/>
        <n v="10340001"/>
        <n v="10060111"/>
        <n v="10320001"/>
        <n v="10060106"/>
        <n v="10060005"/>
        <n v="10060010"/>
        <n v="10060007"/>
        <n v="10060074"/>
        <n v="10060021"/>
        <n v="10070008"/>
        <n v="10080002"/>
        <n v="10110076"/>
        <n v="10110013"/>
        <n v="10570008"/>
        <n v="10570003"/>
        <n v="10570009"/>
        <n v="10110008"/>
        <n v="10590004"/>
        <n v="10110100"/>
        <n v="10140047"/>
        <n v="10660006"/>
        <n v="10560001"/>
        <n v="10560017"/>
        <n v="10070046"/>
        <n v="10560019"/>
        <n v="10120001"/>
        <n v="10120096"/>
        <n v="10120094"/>
        <n v="10530044"/>
        <n v="10530113"/>
        <n v="10530067"/>
        <n v="10530065"/>
        <n v="10530032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500"/>
    </cacheField>
    <cacheField name="14" numFmtId="0">
      <sharedItems containsSemiMixedTypes="0" containsString="0" containsNumber="1" containsInteger="1" minValue="0" maxValue="1550"/>
    </cacheField>
    <cacheField name="Sales Amount" numFmtId="0">
      <sharedItems containsSemiMixedTypes="0" containsString="0" containsNumber="1" containsInteger="1" minValue="600" maxValue="695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8309" maxValue="8904"/>
    </cacheField>
    <cacheField name="Commision Done Yes/No" numFmtId="0">
      <sharedItems containsNonDate="0" containsString="0" containsBlank="1"/>
    </cacheField>
    <cacheField name="Month" numFmtId="0">
      <sharedItems containsBlank="1"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Date="1" containsBlank="1" containsMixedTypes="1" minDate="2025-06-12T00:00:00" maxDate="2026-06-12T00:00:00"/>
    </cacheField>
    <cacheField name="Payment Amt" numFmtId="0">
      <sharedItems containsString="0" containsBlank="1" containsNumber="1" containsInteger="1" minValue="0" maxValue="586931"/>
    </cacheField>
    <cacheField name="Dues" numFmtId="0">
      <sharedItems containsSemiMixedTypes="0" containsString="0" containsNumber="1" containsInteger="1" minValue="3" maxValue="135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8" maxValue="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6-04-15T00:00:00"/>
    <s v="Alauli"/>
    <s v="Saharbanni"/>
    <m/>
    <x v="0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68"/>
  </r>
  <r>
    <d v="2026-04-16T00:00:00"/>
    <s v="Alauli"/>
    <s v="Saharbanni"/>
    <m/>
    <x v="0"/>
    <s v="Gomukh Gold 50 Kgs"/>
    <n v="3"/>
    <n v="1350"/>
    <n v="4050"/>
    <s v="Deduction from Milk Payment"/>
    <m/>
    <m/>
    <m/>
    <s v="Apr-26"/>
    <m/>
    <m/>
    <m/>
    <m/>
    <n v="4050"/>
    <m/>
    <n v="67"/>
  </r>
  <r>
    <d v="2026-04-17T00:00:00"/>
    <s v="Alauli"/>
    <s v="Saharbanni"/>
    <m/>
    <x v="0"/>
    <s v="Gomukh Gold 50 Kgs"/>
    <n v="1"/>
    <n v="1350"/>
    <n v="1350"/>
    <s v="Deduction from Milk Payment"/>
    <m/>
    <m/>
    <m/>
    <s v="Apr-26"/>
    <m/>
    <m/>
    <m/>
    <m/>
    <n v="1350"/>
    <m/>
    <n v="66"/>
  </r>
  <r>
    <d v="2026-05-11T00:00:00"/>
    <s v="Alauli"/>
    <s v="Bhikhari Ghat"/>
    <m/>
    <x v="1"/>
    <s v="Gomukh Gold 50 Kgs"/>
    <n v="18"/>
    <n v="1350"/>
    <n v="24300"/>
    <s v="Deduction from Milk Payment"/>
    <m/>
    <m/>
    <m/>
    <s v="May-26"/>
    <s v="Farmer"/>
    <s v="22-5-2026 to 28-5-2026 &amp; 29-04 June &amp; 05-11 June"/>
    <s v="28-05-2026/ 04-06-2026/ 11-6-2026"/>
    <n v="22602"/>
    <n v="1698"/>
    <m/>
    <n v="42"/>
  </r>
  <r>
    <d v="2026-03-23T00:00:00"/>
    <s v="Asarganj"/>
    <s v="Karhariya"/>
    <m/>
    <x v="2"/>
    <s v="Buff Spl 50 Kg"/>
    <n v="2"/>
    <n v="1450"/>
    <n v="2900"/>
    <s v="Deduction from Milk Payment"/>
    <s v="Madan Mohan Gopal"/>
    <m/>
    <m/>
    <s v="Mar-26"/>
    <m/>
    <m/>
    <m/>
    <m/>
    <n v="2900"/>
    <m/>
    <n v="91"/>
  </r>
  <r>
    <d v="2026-05-15T00:00:00"/>
    <s v="Asarganj"/>
    <s v="Kaykhariya VCC"/>
    <m/>
    <x v="3"/>
    <s v="Buff Spl 50 Kg"/>
    <n v="15"/>
    <n v="1450"/>
    <n v="21750"/>
    <s v="Deduction from Milk Payment"/>
    <m/>
    <m/>
    <m/>
    <s v="May-26"/>
    <s v="Farmer"/>
    <s v="22-5-2026 to 28-5-2026 &amp; 29-04 June"/>
    <s v="28-05-2026/ 29-05-2026"/>
    <n v="15713"/>
    <n v="6037"/>
    <m/>
    <n v="38"/>
  </r>
  <r>
    <d v="2026-05-20T00:00:00"/>
    <s v="Asarganj"/>
    <s v="Kathara"/>
    <m/>
    <x v="4"/>
    <s v="Buff Spl 50 Kg"/>
    <n v="4"/>
    <n v="1450"/>
    <n v="5800"/>
    <s v="Deduction from Milk Payment"/>
    <m/>
    <m/>
    <m/>
    <s v="May-26"/>
    <m/>
    <m/>
    <m/>
    <m/>
    <n v="5800"/>
    <m/>
    <n v="33"/>
  </r>
  <r>
    <d v="2026-05-05T00:00:00"/>
    <s v="Behiya"/>
    <s v="Nawadin"/>
    <m/>
    <x v="5"/>
    <s v="Gomukh Gold 50 Kgs"/>
    <n v="1"/>
    <n v="1280"/>
    <n v="1280"/>
    <s v="Deduction from Milk Payment"/>
    <m/>
    <m/>
    <m/>
    <s v="May-26"/>
    <m/>
    <m/>
    <m/>
    <m/>
    <n v="1280"/>
    <m/>
    <n v="48"/>
  </r>
  <r>
    <d v="2026-05-16T00:00:00"/>
    <s v="Behiya"/>
    <s v="Nawadin"/>
    <m/>
    <x v="5"/>
    <s v="Gomukh Gold 50 Kgs"/>
    <n v="1"/>
    <n v="1280"/>
    <n v="1280"/>
    <s v="Deduction from Milk Payment"/>
    <m/>
    <m/>
    <m/>
    <m/>
    <m/>
    <m/>
    <m/>
    <m/>
    <n v="1280"/>
    <m/>
    <n v="37"/>
  </r>
  <r>
    <d v="2026-04-03T00:00:00"/>
    <s v="Dumraon"/>
    <s v="Dullahpur"/>
    <m/>
    <x v="6"/>
    <s v="Gomukh Gold 50 Kgs"/>
    <n v="1"/>
    <n v="1270"/>
    <n v="1270"/>
    <s v="Deduction from Milk Payment"/>
    <m/>
    <m/>
    <m/>
    <s v="Apr-26"/>
    <s v="Other"/>
    <m/>
    <s v="01-04-2026/ 1-02-2026"/>
    <n v="630"/>
    <n v="640"/>
    <m/>
    <n v="80"/>
  </r>
  <r>
    <d v="2026-04-14T00:00:00"/>
    <s v="Dumraon"/>
    <s v="Salempur"/>
    <m/>
    <x v="7"/>
    <s v="Gomukh Gold 50 Kgs"/>
    <n v="2"/>
    <n v="1300"/>
    <n v="2600"/>
    <s v="Deduction from Milk Payment"/>
    <m/>
    <m/>
    <m/>
    <s v="Apr-26"/>
    <s v="Farmer"/>
    <s v="10-Apr-16-apr"/>
    <d v="2026-04-16T00:00:00"/>
    <n v="2560"/>
    <n v="40"/>
    <m/>
    <n v="69"/>
  </r>
  <r>
    <d v="2026-05-28T00:00:00"/>
    <s v="Dumraon"/>
    <s v="Triloki Pandey Direct"/>
    <m/>
    <x v="8"/>
    <s v="Gomukh Gold 50 Kgs"/>
    <n v="1"/>
    <n v="1300"/>
    <n v="1300"/>
    <s v="Deduction from Milk Payment"/>
    <m/>
    <m/>
    <m/>
    <s v="May-26"/>
    <m/>
    <m/>
    <m/>
    <m/>
    <n v="1300"/>
    <m/>
    <n v="25"/>
  </r>
  <r>
    <d v="2026-05-30T00:00:00"/>
    <s v="Dumraon"/>
    <s v="Dullahpur"/>
    <m/>
    <x v="6"/>
    <s v="Gomukh Gold 50 Kgs"/>
    <n v="2"/>
    <n v="1270"/>
    <n v="2540"/>
    <s v="Deduction from Milk Payment"/>
    <m/>
    <m/>
    <m/>
    <s v="May-26"/>
    <m/>
    <m/>
    <m/>
    <m/>
    <n v="2540"/>
    <m/>
    <n v="23"/>
  </r>
  <r>
    <d v="2025-07-16T00:00:00"/>
    <s v="Kalyanpur"/>
    <s v="Gomukh Jhahuri"/>
    <m/>
    <x v="9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41"/>
  </r>
  <r>
    <d v="2026-04-08T00:00:00"/>
    <s v="Kalyanpur"/>
    <s v="Cash Sale"/>
    <s v="0000"/>
    <x v="8"/>
    <s v="Gomukh Gold 50 Kgs"/>
    <n v="1"/>
    <n v="1300"/>
    <n v="1300"/>
    <s v="Deduction from Milk Payment"/>
    <m/>
    <m/>
    <m/>
    <s v="Apr-26"/>
    <m/>
    <m/>
    <m/>
    <m/>
    <n v="1300"/>
    <m/>
    <n v="75"/>
  </r>
  <r>
    <d v="2026-04-14T00:00:00"/>
    <s v="Kalyanpur"/>
    <s v="Cash Sale"/>
    <s v="0000"/>
    <x v="8"/>
    <s v="Gomukh Gold 50 Kgs"/>
    <n v="1"/>
    <n v="1300"/>
    <n v="1300"/>
    <s v="Deduction from Milk Payment"/>
    <m/>
    <m/>
    <m/>
    <s v="Apr-26"/>
    <m/>
    <m/>
    <m/>
    <m/>
    <n v="1300"/>
    <m/>
    <n v="69"/>
  </r>
  <r>
    <d v="2026-05-09T00:00:00"/>
    <s v="Kalyanpur"/>
    <s v="Singhiya W-11"/>
    <m/>
    <x v="10"/>
    <s v="Buff Spl 50 Kg"/>
    <n v="1"/>
    <n v="1500"/>
    <n v="1500"/>
    <s v="Deduction from Milk Payment"/>
    <m/>
    <m/>
    <m/>
    <s v="May-26"/>
    <m/>
    <m/>
    <m/>
    <n v="0"/>
    <n v="1500"/>
    <m/>
    <n v="44"/>
  </r>
  <r>
    <d v="2025-12-06T00:00:00"/>
    <s v="Lakhisarai"/>
    <s v="Kunal Local Sale"/>
    <s v="0000"/>
    <x v="8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98"/>
  </r>
  <r>
    <d v="2026-03-31T00:00:00"/>
    <s v="Lakhisarai"/>
    <s v="Damage"/>
    <s v="0000"/>
    <x v="8"/>
    <s v="Gomukh Gold 50 Kgs"/>
    <n v="4"/>
    <n v="500"/>
    <n v="2000"/>
    <s v="Deduction from Milk Payment"/>
    <m/>
    <m/>
    <m/>
    <s v="Mar-26"/>
    <m/>
    <m/>
    <m/>
    <m/>
    <n v="2000"/>
    <m/>
    <n v="83"/>
  </r>
  <r>
    <d v="2025-08-10T00:00:00"/>
    <s v="Muslighrarai"/>
    <s v="Saidpur"/>
    <m/>
    <x v="11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316"/>
  </r>
  <r>
    <d v="2026-03-30T00:00:00"/>
    <s v="Muslighrarai"/>
    <s v="Dagarua"/>
    <m/>
    <x v="12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97"/>
    <n v="3"/>
    <m/>
    <n v="84"/>
  </r>
  <r>
    <d v="2026-04-05T00:00:00"/>
    <s v="Muslighrarai"/>
    <s v="Ajay Kumar"/>
    <s v="0000"/>
    <x v="8"/>
    <s v="Gomukh Gold 50 Kgs"/>
    <n v="3"/>
    <n v="1350"/>
    <n v="4050"/>
    <s v="Deduction from Milk Payment"/>
    <m/>
    <m/>
    <m/>
    <s v="Apr-26"/>
    <m/>
    <m/>
    <m/>
    <m/>
    <n v="4050"/>
    <m/>
    <n v="78"/>
  </r>
  <r>
    <d v="2026-04-05T00:00:00"/>
    <s v="Muslighrarai"/>
    <s v="Ajay Kumar"/>
    <s v="0000"/>
    <x v="8"/>
    <s v="Buff Spl 50 Kg"/>
    <n v="2"/>
    <n v="1500"/>
    <n v="3000"/>
    <s v="Deduction from Milk Payment"/>
    <m/>
    <m/>
    <m/>
    <s v="Apr-26"/>
    <m/>
    <m/>
    <m/>
    <m/>
    <n v="3000"/>
    <m/>
    <n v="78"/>
  </r>
  <r>
    <d v="2026-05-18T00:00:00"/>
    <s v="Muslighrarai"/>
    <s v="Dagarua"/>
    <m/>
    <x v="12"/>
    <s v="Buff Spl 50 Kg"/>
    <n v="1"/>
    <n v="1500"/>
    <n v="1500"/>
    <s v="Deduction from Milk Payment"/>
    <m/>
    <m/>
    <m/>
    <s v="May-26"/>
    <m/>
    <m/>
    <m/>
    <m/>
    <n v="1500"/>
    <m/>
    <n v="35"/>
  </r>
  <r>
    <d v="2025-06-22T00:00:00"/>
    <s v="Simri"/>
    <s v="Chhatauna East"/>
    <m/>
    <x v="13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65"/>
  </r>
  <r>
    <d v="2026-04-01T00:00:00"/>
    <s v="Simri"/>
    <s v="Khoksaha"/>
    <m/>
    <x v="8"/>
    <s v="Gomukh Gold 50 Kgs"/>
    <n v="4"/>
    <n v="1350"/>
    <n v="5400"/>
    <s v="Deduction from Milk Payment"/>
    <m/>
    <m/>
    <m/>
    <s v="Apr-26"/>
    <m/>
    <m/>
    <m/>
    <m/>
    <n v="5400"/>
    <m/>
    <n v="82"/>
  </r>
  <r>
    <d v="2025-12-08T00:00:00"/>
    <s v="Suryagadha"/>
    <s v="Pokhrama"/>
    <s v="1204"/>
    <x v="14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96"/>
  </r>
  <r>
    <d v="2026-02-20T00:00:00"/>
    <s v="Teghra"/>
    <s v="Cash Sale"/>
    <s v="0000"/>
    <x v="8"/>
    <s v="Buff Spl 50 Kg"/>
    <n v="2"/>
    <n v="1450"/>
    <n v="2900"/>
    <s v="Deduction from Milk Payment"/>
    <s v="Sumit Kumar Suman"/>
    <n v="8309"/>
    <m/>
    <s v="Feb-26"/>
    <m/>
    <m/>
    <m/>
    <m/>
    <n v="2900"/>
    <m/>
    <n v="122"/>
  </r>
  <r>
    <d v="2026-02-21T00:00:00"/>
    <s v="Teghra"/>
    <s v="Cash Sale"/>
    <s v="0000"/>
    <x v="8"/>
    <s v="Buff Spl 50 Kg"/>
    <n v="8"/>
    <n v="1450"/>
    <n v="11600"/>
    <s v="Deduction from Milk Payment"/>
    <s v="Sumit Kumar Suman"/>
    <n v="8310"/>
    <m/>
    <s v="Feb-26"/>
    <m/>
    <m/>
    <m/>
    <m/>
    <n v="11600"/>
    <m/>
    <n v="121"/>
  </r>
  <r>
    <d v="2026-05-23T00:00:00"/>
    <s v="Warisnagar"/>
    <s v="Basantpur"/>
    <m/>
    <x v="15"/>
    <s v="Gomukh Gold 50 Kgs"/>
    <n v="2"/>
    <n v="1350"/>
    <n v="2700"/>
    <s v="Deduction from Milk Payment"/>
    <m/>
    <m/>
    <m/>
    <s v="May-26"/>
    <m/>
    <m/>
    <m/>
    <m/>
    <n v="2700"/>
    <m/>
    <n v="30"/>
  </r>
  <r>
    <d v="2026-05-27T00:00:00"/>
    <s v="Warisnagar"/>
    <s v="Balahi 2"/>
    <m/>
    <x v="16"/>
    <s v="Gomukh Gold 50 Kgs"/>
    <n v="1"/>
    <n v="1350"/>
    <n v="1350"/>
    <s v="Deduction from Milk Payment"/>
    <m/>
    <m/>
    <m/>
    <s v="May-26"/>
    <m/>
    <m/>
    <m/>
    <m/>
    <n v="1350"/>
    <m/>
    <n v="26"/>
  </r>
  <r>
    <d v="2026-05-30T00:00:00"/>
    <s v="Suryagadha"/>
    <s v="Tilathi"/>
    <m/>
    <x v="17"/>
    <s v="Gomukh Gold 50 Kgs"/>
    <n v="5"/>
    <n v="1300"/>
    <n v="6500"/>
    <s v="Deduction from Milk Payment"/>
    <m/>
    <m/>
    <m/>
    <s v="May-26"/>
    <s v="Farmer"/>
    <s v="03-04-2026 to 09-04-2026"/>
    <d v="2026-04-09T00:00:00"/>
    <n v="1400"/>
    <n v="5100"/>
    <m/>
    <n v="23"/>
  </r>
  <r>
    <d v="2026-05-30T00:00:00"/>
    <s v="Suryagadha"/>
    <s v="Masudan"/>
    <m/>
    <x v="18"/>
    <s v="Gomukh Gold 50 Kgs"/>
    <n v="5"/>
    <n v="1300"/>
    <n v="6500"/>
    <s v="Deduction from Milk Payment"/>
    <m/>
    <m/>
    <m/>
    <s v="May-26"/>
    <m/>
    <m/>
    <m/>
    <m/>
    <n v="6500"/>
    <m/>
    <n v="23"/>
  </r>
  <r>
    <d v="2026-05-30T00:00:00"/>
    <s v="Suryagadha"/>
    <s v="Kishanpur"/>
    <m/>
    <x v="19"/>
    <s v="Gomukh Gold 50 Kgs"/>
    <n v="9"/>
    <n v="1300"/>
    <n v="11700"/>
    <s v="Deduction from Milk Payment"/>
    <m/>
    <m/>
    <m/>
    <s v="May-26"/>
    <m/>
    <m/>
    <m/>
    <m/>
    <n v="11700"/>
    <m/>
    <n v="23"/>
  </r>
  <r>
    <d v="2026-05-30T00:00:00"/>
    <s v="Suryagadha"/>
    <s v="Jajwara"/>
    <s v="0136"/>
    <x v="20"/>
    <s v="Gomukh Gold 50 Kgs"/>
    <n v="20"/>
    <n v="1150"/>
    <n v="23000"/>
    <s v="Deduction from Milk Payment"/>
    <m/>
    <m/>
    <m/>
    <s v="May-26"/>
    <m/>
    <m/>
    <m/>
    <m/>
    <n v="23000"/>
    <m/>
    <n v="23"/>
  </r>
  <r>
    <d v="2026-05-30T00:00:00"/>
    <s v="Suryagadha"/>
    <s v="Nandpur"/>
    <s v="0118"/>
    <x v="21"/>
    <s v="Gomukh Gold 50 Kgs"/>
    <n v="20"/>
    <n v="1300"/>
    <n v="26000"/>
    <s v="Deduction from Milk Payment"/>
    <m/>
    <m/>
    <m/>
    <s v="May-26"/>
    <m/>
    <m/>
    <m/>
    <m/>
    <n v="26000"/>
    <m/>
    <n v="23"/>
  </r>
  <r>
    <d v="2026-06-01T00:00:00"/>
    <s v="Suryagadha"/>
    <s v="Khajuriya"/>
    <m/>
    <x v="22"/>
    <s v="Gomukh Gold 50 Kgs"/>
    <n v="10"/>
    <n v="1300"/>
    <n v="13000"/>
    <s v="Deduction from Milk Payment"/>
    <m/>
    <m/>
    <m/>
    <s v="Jun-26"/>
    <m/>
    <m/>
    <m/>
    <m/>
    <n v="13000"/>
    <m/>
    <n v="21"/>
  </r>
  <r>
    <d v="2026-06-02T00:00:00"/>
    <s v="Suryagadha"/>
    <s v="Jakarpura"/>
    <s v="0091"/>
    <x v="23"/>
    <s v="Gomukh Gold 50 Kgs"/>
    <n v="50"/>
    <n v="1300"/>
    <n v="65000"/>
    <s v="Deduction from Milk Payment"/>
    <m/>
    <m/>
    <m/>
    <s v="Jun-26"/>
    <m/>
    <m/>
    <m/>
    <m/>
    <n v="65000"/>
    <m/>
    <n v="20"/>
  </r>
  <r>
    <d v="2026-06-02T00:00:00"/>
    <s v="Suryagadha"/>
    <s v="Tilathi"/>
    <m/>
    <x v="17"/>
    <s v="Gomukh Gold 50 Kgs"/>
    <n v="10"/>
    <n v="1300"/>
    <n v="13000"/>
    <s v="Deduction from Milk Payment"/>
    <m/>
    <m/>
    <m/>
    <s v="Jun-26"/>
    <m/>
    <m/>
    <m/>
    <m/>
    <n v="13000"/>
    <m/>
    <n v="20"/>
  </r>
  <r>
    <d v="2026-06-02T00:00:00"/>
    <s v="Suryagadha"/>
    <s v="Piparpati"/>
    <m/>
    <x v="24"/>
    <s v="Gomukh Gold 50 Kgs"/>
    <n v="10"/>
    <n v="1300"/>
    <n v="13000"/>
    <s v="Deduction from Milk Payment"/>
    <m/>
    <m/>
    <m/>
    <s v="Jun-26"/>
    <s v="Farmer"/>
    <s v="29-05-2026 to 04-06-2026 &amp; 05-11 June"/>
    <d v="2026-06-11T00:00:00"/>
    <n v="11000"/>
    <n v="2000"/>
    <m/>
    <n v="20"/>
  </r>
  <r>
    <d v="2026-06-02T00:00:00"/>
    <s v="Suryagadha"/>
    <s v="Chalish"/>
    <s v="0088"/>
    <x v="25"/>
    <s v="Gomukh Gold 50 Kgs"/>
    <n v="10"/>
    <n v="1300"/>
    <n v="13000"/>
    <s v="Deduction from Milk Payment"/>
    <m/>
    <m/>
    <m/>
    <s v="Jun-26"/>
    <m/>
    <m/>
    <m/>
    <m/>
    <n v="13000"/>
    <m/>
    <n v="20"/>
  </r>
  <r>
    <d v="2026-06-02T00:00:00"/>
    <s v="Suryagadha"/>
    <s v="Sonvarsha"/>
    <s v="1258"/>
    <x v="26"/>
    <s v="Gomukh Gold 50 Kgs"/>
    <n v="30"/>
    <n v="1300"/>
    <n v="39000"/>
    <s v="Deduction from Milk Payment"/>
    <m/>
    <m/>
    <m/>
    <s v="Jun-26"/>
    <m/>
    <m/>
    <m/>
    <m/>
    <n v="39000"/>
    <m/>
    <n v="20"/>
  </r>
  <r>
    <d v="2026-06-02T00:00:00"/>
    <s v="Suryagadha"/>
    <s v="Masudan"/>
    <m/>
    <x v="18"/>
    <s v="Gomukh Gold 50 Kgs"/>
    <n v="15"/>
    <n v="1300"/>
    <n v="19500"/>
    <s v="Deduction from Milk Payment"/>
    <m/>
    <m/>
    <m/>
    <s v="Jun-26"/>
    <m/>
    <m/>
    <m/>
    <m/>
    <n v="19500"/>
    <m/>
    <n v="20"/>
  </r>
  <r>
    <d v="2026-06-02T00:00:00"/>
    <s v="Suryagadha"/>
    <s v="Maa bhagwati "/>
    <s v="0103"/>
    <x v="27"/>
    <s v="Gomukh Gold 50 Kgs"/>
    <n v="10"/>
    <n v="1300"/>
    <n v="13000"/>
    <s v="Deduction from Milk Payment"/>
    <m/>
    <m/>
    <m/>
    <s v="Jun-26"/>
    <m/>
    <m/>
    <m/>
    <m/>
    <n v="13000"/>
    <m/>
    <n v="20"/>
  </r>
  <r>
    <d v="2026-06-02T00:00:00"/>
    <s v="Suryagadha"/>
    <s v="Basmatiya"/>
    <m/>
    <x v="28"/>
    <s v="Gomukh Gold 50 Kgs"/>
    <n v="28"/>
    <n v="1300"/>
    <n v="36400"/>
    <s v="Deduction from Milk Payment"/>
    <m/>
    <m/>
    <m/>
    <s v="Jun-26"/>
    <m/>
    <m/>
    <m/>
    <m/>
    <n v="36400"/>
    <m/>
    <n v="20"/>
  </r>
  <r>
    <d v="2026-06-02T00:00:00"/>
    <s v="Suryagadha"/>
    <s v="Jajwara"/>
    <s v="0136"/>
    <x v="20"/>
    <s v="Gomukh Gold 50 Kgs"/>
    <n v="20"/>
    <n v="1350"/>
    <n v="27000"/>
    <s v="Deduction from Milk Payment"/>
    <m/>
    <m/>
    <m/>
    <s v="Jun-26"/>
    <m/>
    <m/>
    <m/>
    <m/>
    <n v="27000"/>
    <m/>
    <n v="20"/>
  </r>
  <r>
    <d v="2026-06-02T00:00:00"/>
    <s v="Suryagadha"/>
    <s v="Puranidih"/>
    <s v="0124"/>
    <x v="29"/>
    <s v="Gomukh Gold 50 Kgs"/>
    <n v="10"/>
    <n v="1300"/>
    <n v="13000"/>
    <s v="Deduction from Milk Payment"/>
    <m/>
    <m/>
    <m/>
    <s v="Jun-26"/>
    <m/>
    <m/>
    <m/>
    <m/>
    <n v="13000"/>
    <m/>
    <n v="20"/>
  </r>
  <r>
    <d v="2026-05-30T00:00:00"/>
    <s v="Chautham"/>
    <s v="Pinda"/>
    <m/>
    <x v="30"/>
    <s v="Gomukh Gold 50 Kgs"/>
    <n v="5"/>
    <n v="1300"/>
    <n v="6500"/>
    <s v="Deduction from Milk Payment"/>
    <m/>
    <m/>
    <m/>
    <s v="May-26"/>
    <m/>
    <m/>
    <m/>
    <m/>
    <n v="6500"/>
    <m/>
    <n v="23"/>
  </r>
  <r>
    <d v="2026-05-31T00:00:00"/>
    <s v="Teghra"/>
    <s v="Labharchak"/>
    <m/>
    <x v="31"/>
    <s v="Gomukh Gold 50 Kgs"/>
    <n v="2"/>
    <n v="1300"/>
    <n v="2600"/>
    <s v="Deduction from Milk Payment"/>
    <m/>
    <m/>
    <m/>
    <s v="May-26"/>
    <m/>
    <m/>
    <m/>
    <m/>
    <n v="2600"/>
    <m/>
    <n v="22"/>
  </r>
  <r>
    <d v="2026-06-02T00:00:00"/>
    <s v="Sahebpur Kamal"/>
    <s v="Srinagar"/>
    <s v="9831"/>
    <x v="32"/>
    <s v="Gomukh Gold 50 Kgs"/>
    <n v="37"/>
    <n v="1250"/>
    <n v="46250"/>
    <s v="Deduction from Milk Payment"/>
    <m/>
    <m/>
    <m/>
    <s v="Jun-26"/>
    <s v="Farmer"/>
    <s v="15-05-2026 to 21-05-2026 &amp; 29-04 June&amp; 05-11 June"/>
    <s v="21-05-2026/ 04-06/05-11 June"/>
    <n v="34721"/>
    <n v="11529"/>
    <m/>
    <n v="20"/>
  </r>
  <r>
    <d v="2026-06-02T00:00:00"/>
    <s v="Sahebpur Kamal"/>
    <s v="Mohanpur"/>
    <m/>
    <x v="33"/>
    <s v="Gomukh Gold 50 Kgs"/>
    <n v="2"/>
    <n v="1300"/>
    <n v="2600"/>
    <s v="Deduction from Milk Payment"/>
    <m/>
    <m/>
    <m/>
    <s v="Jun-26"/>
    <s v="Farmer"/>
    <s v="29-05-2026 to 04-06-2026 &amp; 05-11 June"/>
    <s v="04-06-2026/11-6-2026"/>
    <n v="1400"/>
    <n v="1200"/>
    <m/>
    <n v="20"/>
  </r>
  <r>
    <d v="2026-06-02T00:00:00"/>
    <s v="Warisnagar"/>
    <s v="Chakoti"/>
    <m/>
    <x v="34"/>
    <s v="Buff Spl 50 Kg"/>
    <n v="5"/>
    <n v="1500"/>
    <n v="7500"/>
    <s v="Deduction from Milk Payment"/>
    <m/>
    <m/>
    <m/>
    <s v="Jun-26"/>
    <m/>
    <m/>
    <m/>
    <m/>
    <n v="7500"/>
    <m/>
    <n v="20"/>
  </r>
  <r>
    <d v="2026-06-02T00:00:00"/>
    <s v="Warisnagar"/>
    <s v="Chakoti"/>
    <m/>
    <x v="34"/>
    <s v="Gomukh Gold 50 Kgs"/>
    <n v="5"/>
    <n v="1350"/>
    <n v="6750"/>
    <s v="Deduction from Milk Payment"/>
    <m/>
    <m/>
    <m/>
    <s v="Jun-26"/>
    <m/>
    <m/>
    <m/>
    <m/>
    <n v="6750"/>
    <m/>
    <n v="20"/>
  </r>
  <r>
    <d v="2026-06-02T00:00:00"/>
    <s v="Warisnagar"/>
    <s v="Tengraha"/>
    <m/>
    <x v="35"/>
    <s v="Gomukh Gold 50 Kgs"/>
    <n v="5"/>
    <n v="1350"/>
    <n v="6750"/>
    <s v="Deduction from Milk Payment"/>
    <m/>
    <m/>
    <m/>
    <s v="Jun-26"/>
    <m/>
    <m/>
    <m/>
    <m/>
    <n v="6750"/>
    <m/>
    <n v="20"/>
  </r>
  <r>
    <d v="2026-06-03T00:00:00"/>
    <s v="Warisnagar"/>
    <s v="Natudoar"/>
    <m/>
    <x v="36"/>
    <s v="Gomukh Gold 50 Kgs"/>
    <n v="2"/>
    <n v="1400"/>
    <n v="2800"/>
    <s v="Deduction from Milk Payment"/>
    <m/>
    <m/>
    <m/>
    <s v="Jun-26"/>
    <m/>
    <m/>
    <m/>
    <m/>
    <n v="2800"/>
    <m/>
    <n v="19"/>
  </r>
  <r>
    <d v="2026-06-03T00:00:00"/>
    <s v="Warisnagar"/>
    <s v="Balahi 2"/>
    <m/>
    <x v="16"/>
    <s v="Gomukh Gold 50 Kgs"/>
    <n v="5"/>
    <n v="1400"/>
    <n v="7000"/>
    <s v="Deduction from Milk Payment"/>
    <m/>
    <m/>
    <m/>
    <s v="Jun-26"/>
    <m/>
    <m/>
    <m/>
    <m/>
    <n v="7000"/>
    <m/>
    <n v="19"/>
  </r>
  <r>
    <d v="2026-06-01T00:00:00"/>
    <s v="Sahebpur Kamal"/>
    <s v="Rahimpur"/>
    <m/>
    <x v="37"/>
    <s v="Buff Spl 50 Kg"/>
    <n v="500"/>
    <n v="1390"/>
    <n v="695000"/>
    <s v="Deduction from Milk Payment"/>
    <m/>
    <m/>
    <m/>
    <s v="Jun-26"/>
    <s v="Farmer"/>
    <s v="29-05-2026 to 04-06-2026 &amp; 05-11 June"/>
    <s v="04-05-2026/11-6-2026"/>
    <n v="586931"/>
    <n v="108069"/>
    <m/>
    <n v="21"/>
  </r>
  <r>
    <d v="2026-05-20T00:00:00"/>
    <s v="Suryagadha"/>
    <s v="Piparpati"/>
    <m/>
    <x v="24"/>
    <s v="Buff Spl 50 Kg"/>
    <n v="3"/>
    <n v="1400"/>
    <n v="4200"/>
    <s v="Deduction from Milk Payment"/>
    <m/>
    <m/>
    <m/>
    <s v="May-26"/>
    <m/>
    <m/>
    <m/>
    <m/>
    <n v="4200"/>
    <m/>
    <n v="33"/>
  </r>
  <r>
    <d v="2026-05-30T00:00:00"/>
    <s v="Suryagadha"/>
    <s v="Tilathi"/>
    <m/>
    <x v="17"/>
    <s v="Buff Spl 50 Kg"/>
    <n v="2"/>
    <n v="1450"/>
    <n v="2900"/>
    <s v="Deduction from Milk Payment"/>
    <m/>
    <m/>
    <m/>
    <s v="May-26"/>
    <m/>
    <m/>
    <m/>
    <m/>
    <n v="2900"/>
    <m/>
    <n v="23"/>
  </r>
  <r>
    <d v="2026-06-02T00:00:00"/>
    <s v="Suryagadha"/>
    <s v="Jajwara"/>
    <s v="0136"/>
    <x v="20"/>
    <s v="Buff Spl 50 Kg"/>
    <n v="20"/>
    <n v="1350"/>
    <n v="27000"/>
    <s v="Deduction from Milk Payment"/>
    <m/>
    <m/>
    <m/>
    <s v="Jun-26"/>
    <m/>
    <m/>
    <m/>
    <m/>
    <n v="27000"/>
    <m/>
    <n v="20"/>
  </r>
  <r>
    <d v="2026-06-02T00:00:00"/>
    <s v="Suryagadha"/>
    <s v="Basmatiya"/>
    <m/>
    <x v="28"/>
    <s v="Buff Spl 50 Kg"/>
    <n v="4"/>
    <n v="1450"/>
    <n v="5800"/>
    <s v="Deduction from Milk Payment"/>
    <m/>
    <m/>
    <m/>
    <s v="Jun-26"/>
    <m/>
    <m/>
    <m/>
    <m/>
    <n v="5800"/>
    <m/>
    <n v="20"/>
  </r>
  <r>
    <d v="2026-06-02T00:00:00"/>
    <s v="Suryagadha"/>
    <s v="Masudan"/>
    <m/>
    <x v="18"/>
    <s v="Buff Spl 50 Kg"/>
    <n v="5"/>
    <n v="1450"/>
    <n v="7250"/>
    <s v="Deduction from Milk Payment"/>
    <m/>
    <m/>
    <m/>
    <s v="Jun-26"/>
    <m/>
    <m/>
    <m/>
    <m/>
    <n v="7250"/>
    <m/>
    <n v="20"/>
  </r>
  <r>
    <d v="2026-06-02T00:00:00"/>
    <s v="Suryagadha"/>
    <s v="Pratpur (Kunal)"/>
    <m/>
    <x v="38"/>
    <s v="Buff Spl 50 Kg"/>
    <n v="15"/>
    <n v="1450"/>
    <n v="21750"/>
    <s v="Deduction from Milk Payment"/>
    <m/>
    <m/>
    <m/>
    <s v="Jun-26"/>
    <m/>
    <m/>
    <m/>
    <m/>
    <n v="21750"/>
    <m/>
    <n v="20"/>
  </r>
  <r>
    <d v="2026-06-01T00:00:00"/>
    <s v="Alauli"/>
    <s v="Bathnama"/>
    <m/>
    <x v="39"/>
    <s v="Gomukh Gold 50 Kgs"/>
    <n v="6"/>
    <n v="1350"/>
    <n v="8100"/>
    <s v="Deduction from Milk Payment"/>
    <m/>
    <m/>
    <m/>
    <s v="Jun-26"/>
    <s v="Farmer"/>
    <s v="29-05-2026 to 04-06-2026"/>
    <d v="2026-06-04T00:00:00"/>
    <n v="2700"/>
    <n v="5400"/>
    <m/>
    <n v="21"/>
  </r>
  <r>
    <d v="2026-06-01T00:00:00"/>
    <s v="Dumraon"/>
    <s v="Dubki"/>
    <s v="2464"/>
    <x v="40"/>
    <s v="Gomukh Gold 50 Kgs"/>
    <n v="5"/>
    <n v="1280"/>
    <n v="6400"/>
    <s v="Deduction from Milk Payment"/>
    <m/>
    <m/>
    <m/>
    <s v="Jun-26"/>
    <m/>
    <m/>
    <m/>
    <m/>
    <n v="6400"/>
    <m/>
    <n v="21"/>
  </r>
  <r>
    <d v="2026-06-04T00:00:00"/>
    <s v="Jatmalpur"/>
    <s v="Baluha"/>
    <m/>
    <x v="41"/>
    <s v="Buff Spl 50 Kg"/>
    <n v="3"/>
    <n v="1500"/>
    <n v="4500"/>
    <s v="Deduction from Milk Payment"/>
    <m/>
    <m/>
    <m/>
    <s v="Jun-26"/>
    <s v="Farmer"/>
    <s v="29-04 June"/>
    <d v="2026-06-04T00:00:00"/>
    <n v="4400"/>
    <n v="100"/>
    <m/>
    <n v="18"/>
  </r>
  <r>
    <d v="2026-06-01T00:00:00"/>
    <s v="Chautham"/>
    <s v="Gomukh Chautham"/>
    <m/>
    <x v="42"/>
    <s v="Gomukh Gold 50 Kgs"/>
    <n v="20"/>
    <n v="1300"/>
    <n v="26000"/>
    <s v="Deduction from Milk Payment"/>
    <m/>
    <m/>
    <m/>
    <s v="Jun-26"/>
    <m/>
    <m/>
    <m/>
    <m/>
    <n v="26000"/>
    <m/>
    <n v="21"/>
  </r>
  <r>
    <d v="2026-06-01T00:00:00"/>
    <s v="Chautham"/>
    <s v="Tolhar"/>
    <m/>
    <x v="43"/>
    <s v="Gomukh Gold 50 Kgs"/>
    <n v="10"/>
    <n v="1300"/>
    <n v="13000"/>
    <s v="Deduction from Milk Payment"/>
    <m/>
    <m/>
    <m/>
    <s v="Jun-26"/>
    <m/>
    <m/>
    <m/>
    <m/>
    <n v="13000"/>
    <m/>
    <n v="21"/>
  </r>
  <r>
    <d v="2026-06-03T00:00:00"/>
    <s v="Chautham"/>
    <s v="Telouch"/>
    <m/>
    <x v="44"/>
    <s v="Gomukh Gold 50 Kgs"/>
    <n v="10"/>
    <n v="1350"/>
    <n v="13500"/>
    <s v="Deduction from Milk Payment"/>
    <m/>
    <m/>
    <m/>
    <s v="Jun-26"/>
    <m/>
    <m/>
    <m/>
    <m/>
    <n v="13500"/>
    <m/>
    <n v="19"/>
  </r>
  <r>
    <d v="2026-06-04T00:00:00"/>
    <s v="Chautham"/>
    <s v="Panaslawa"/>
    <m/>
    <x v="45"/>
    <s v="Gomukh Gold 50 Kgs"/>
    <n v="2"/>
    <n v="1350"/>
    <n v="2700"/>
    <s v="Deduction from Milk Payment"/>
    <m/>
    <m/>
    <m/>
    <s v="Jun-26"/>
    <m/>
    <m/>
    <m/>
    <m/>
    <n v="2700"/>
    <m/>
    <n v="18"/>
  </r>
  <r>
    <d v="2026-06-02T00:00:00"/>
    <s v="Simri"/>
    <s v="Subhanpur"/>
    <s v="0302"/>
    <x v="46"/>
    <s v="Gomukh Gold 50 Kgs"/>
    <n v="4"/>
    <n v="1350"/>
    <n v="5400"/>
    <s v="Deduction from Milk Payment"/>
    <m/>
    <m/>
    <m/>
    <s v="Jun-26"/>
    <s v="Farmer"/>
    <s v="22-5-2026 to 28-5-2026 &amp; 05-11 June"/>
    <s v="28-05-2026/11-06-2026"/>
    <n v="2700"/>
    <n v="2700"/>
    <m/>
    <n v="20"/>
  </r>
  <r>
    <d v="2026-06-02T00:00:00"/>
    <s v="Simri"/>
    <s v="Chapra"/>
    <m/>
    <x v="47"/>
    <s v="Gomukh Gold 50 Kgs"/>
    <n v="10"/>
    <n v="1250"/>
    <n v="12500"/>
    <s v="Deduction from Milk Payment"/>
    <m/>
    <m/>
    <m/>
    <s v="Jun-26"/>
    <s v="Farmer"/>
    <s v="05-11 June"/>
    <d v="2026-06-11T00:00:00"/>
    <n v="8700"/>
    <n v="3800"/>
    <m/>
    <n v="20"/>
  </r>
  <r>
    <d v="2026-06-02T00:00:00"/>
    <s v="Simri"/>
    <s v="Bochaha"/>
    <s v="2075"/>
    <x v="48"/>
    <s v="Gomukh Gold 50 Kgs"/>
    <n v="5"/>
    <n v="1350"/>
    <n v="6750"/>
    <s v="Deduction from Milk Payment"/>
    <m/>
    <m/>
    <m/>
    <s v="Jun-26"/>
    <s v="Farmer"/>
    <s v="05-06-2026 to 11-06-2026"/>
    <d v="2026-06-11T00:00:00"/>
    <n v="1350"/>
    <n v="5400"/>
    <m/>
    <n v="20"/>
  </r>
  <r>
    <d v="2026-06-02T00:00:00"/>
    <s v="Kalyanpur"/>
    <s v="Gomukh Punas"/>
    <m/>
    <x v="49"/>
    <s v="Buff Spl 50 Kg"/>
    <n v="1"/>
    <n v="1500"/>
    <n v="1500"/>
    <s v="Deduction from Milk Payment"/>
    <m/>
    <m/>
    <m/>
    <s v="Jun-26"/>
    <m/>
    <m/>
    <m/>
    <m/>
    <n v="1500"/>
    <m/>
    <n v="20"/>
  </r>
  <r>
    <d v="2026-06-02T00:00:00"/>
    <s v="Kalyanpur"/>
    <s v="Ghosrawan"/>
    <m/>
    <x v="50"/>
    <s v="Buff Spl 50 Kg"/>
    <n v="15"/>
    <n v="1500"/>
    <n v="22500"/>
    <s v="Deduction from Milk Payment"/>
    <m/>
    <m/>
    <m/>
    <s v="Jun-26"/>
    <s v="Farmer"/>
    <s v="29-05-2026 to 04-06-2026 &amp; 05-11 June"/>
    <s v="04-06-2026/11-06-2026"/>
    <n v="13547"/>
    <n v="8953"/>
    <m/>
    <n v="20"/>
  </r>
  <r>
    <d v="2026-06-02T00:00:00"/>
    <s v="Kalyanpur"/>
    <s v="Bandra W-6"/>
    <m/>
    <x v="51"/>
    <s v="Buff Spl 50 Kg"/>
    <n v="13"/>
    <n v="1500"/>
    <n v="19500"/>
    <s v="Deduction from Milk Payment"/>
    <m/>
    <m/>
    <m/>
    <s v="Jun-26"/>
    <s v="Farmer"/>
    <s v="29-05-2026 to 04-06-2026 &amp; 01-07 May &amp; 15-21 May &amp; 05-11 June"/>
    <s v="04-06-2026/11-6/2026"/>
    <n v="7500"/>
    <n v="12000"/>
    <m/>
    <n v="20"/>
  </r>
  <r>
    <d v="2026-06-04T00:00:00"/>
    <s v="Kalyanpur"/>
    <s v="Dighra W-6"/>
    <m/>
    <x v="52"/>
    <s v="Buff Spl 50 Kg"/>
    <n v="6"/>
    <n v="1550"/>
    <n v="9300"/>
    <s v="Deduction from Milk Payment"/>
    <m/>
    <m/>
    <m/>
    <s v="Jun-26"/>
    <s v="Farmer"/>
    <s v="05-06-2026 to 11-06-2026"/>
    <d v="2026-06-11T00:00:00"/>
    <n v="7954"/>
    <n v="1346"/>
    <m/>
    <n v="18"/>
  </r>
  <r>
    <d v="2026-06-02T00:00:00"/>
    <s v="Kalyanpur"/>
    <s v="Bharav"/>
    <m/>
    <x v="53"/>
    <s v="Gomukh Gold 50 Kgs"/>
    <n v="1"/>
    <n v="1350"/>
    <n v="1350"/>
    <s v="Deduction from Milk Payment"/>
    <m/>
    <m/>
    <m/>
    <s v="Jun-26"/>
    <s v="Farmer"/>
    <s v="29-05-2026 to 04-06-2026 &amp; 05-11 June"/>
    <d v="2026-06-04T00:00:00"/>
    <n v="615"/>
    <n v="735"/>
    <m/>
    <n v="20"/>
  </r>
  <r>
    <d v="2026-06-01T00:00:00"/>
    <s v="Arariya"/>
    <s v="Arariya BMC"/>
    <m/>
    <x v="8"/>
    <s v="Gomukh Gold 50 Kgs"/>
    <n v="100"/>
    <n v="1350"/>
    <n v="135000"/>
    <s v="Deduction from Milk Payment"/>
    <m/>
    <m/>
    <m/>
    <s v="Jun-26"/>
    <m/>
    <m/>
    <m/>
    <m/>
    <n v="135000"/>
    <m/>
    <n v="21"/>
  </r>
  <r>
    <d v="2026-06-02T00:00:00"/>
    <s v="Simri"/>
    <s v="Subhanpur"/>
    <s v="0302"/>
    <x v="46"/>
    <s v="Buff Spl 50 Kg"/>
    <n v="2"/>
    <n v="1500"/>
    <n v="3000"/>
    <s v="Deduction from Milk Payment"/>
    <m/>
    <m/>
    <m/>
    <s v="Jun-26"/>
    <m/>
    <m/>
    <m/>
    <m/>
    <n v="3000"/>
    <m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539BC-F4EB-4EDA-BC61-D9EF33E55EC9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9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5">
        <item x="25"/>
        <item x="27"/>
        <item x="20"/>
        <item x="26"/>
        <item x="29"/>
        <item x="14"/>
        <item x="28"/>
        <item x="17"/>
        <item x="24"/>
        <item x="22"/>
        <item x="18"/>
        <item x="30"/>
        <item x="44"/>
        <item x="31"/>
        <item x="37"/>
        <item x="33"/>
        <item x="32"/>
        <item x="39"/>
        <item x="0"/>
        <item x="46"/>
        <item x="48"/>
        <item x="47"/>
        <item x="13"/>
        <item x="12"/>
        <item x="11"/>
        <item x="6"/>
        <item x="40"/>
        <item x="2"/>
        <item x="23"/>
        <item x="19"/>
        <item x="21"/>
        <item x="53"/>
        <item x="49"/>
        <item x="9"/>
        <item x="10"/>
        <item x="52"/>
        <item x="51"/>
        <item x="50"/>
        <item x="1"/>
        <item x="42"/>
        <item x="43"/>
        <item x="45"/>
        <item x="35"/>
        <item x="15"/>
        <item x="34"/>
        <item x="36"/>
        <item x="16"/>
        <item x="38"/>
        <item x="5"/>
        <item x="7"/>
        <item x="41"/>
        <item x="8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6-06-22T04:47:17.52" personId="{FBEDA190-F2EB-4C2C-9AAA-520C1C9296D0}" id="{CE2C9937-5DBB-4B80-B0B7-483A80D9B12F}">
    <text xml:space="preserve">Raushan yadav transpoter inward apr 26
</text>
  </threadedComment>
  <threadedComment ref="O11" dT="2026-06-22T04:53:46.35" personId="{FBEDA190-F2EB-4C2C-9AAA-520C1C9296D0}" id="{30A0CA36-EC82-48EA-8796-A60203E2A3FE}" parentId="{CE2C9937-5DBB-4B80-B0B7-483A80D9B12F}">
    <text>Apr 330+ feb 300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9BA3-162E-44BF-9D63-575FA5D39071}">
  <dimension ref="A3:J59"/>
  <sheetViews>
    <sheetView tabSelected="1" topLeftCell="A4" workbookViewId="0">
      <selection activeCell="P22" sqref="P22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10" x14ac:dyDescent="0.25">
      <c r="A3" s="44" t="s">
        <v>161</v>
      </c>
    </row>
    <row r="4" spans="1:10" x14ac:dyDescent="0.25">
      <c r="A4" s="44" t="s">
        <v>4</v>
      </c>
      <c r="B4" t="s">
        <v>162</v>
      </c>
      <c r="I4" s="45" t="s">
        <v>4</v>
      </c>
      <c r="J4" s="45" t="s">
        <v>162</v>
      </c>
    </row>
    <row r="5" spans="1:10" x14ac:dyDescent="0.25">
      <c r="A5">
        <v>10060005</v>
      </c>
      <c r="B5" s="46">
        <v>13000</v>
      </c>
      <c r="I5">
        <v>10060005</v>
      </c>
      <c r="J5" s="46">
        <v>13000</v>
      </c>
    </row>
    <row r="6" spans="1:10" x14ac:dyDescent="0.25">
      <c r="A6">
        <v>10060007</v>
      </c>
      <c r="B6" s="46">
        <v>13000</v>
      </c>
      <c r="I6">
        <v>10060007</v>
      </c>
      <c r="J6" s="46">
        <v>13000</v>
      </c>
    </row>
    <row r="7" spans="1:10" x14ac:dyDescent="0.25">
      <c r="A7">
        <v>10060009</v>
      </c>
      <c r="B7" s="46">
        <v>77000</v>
      </c>
      <c r="I7">
        <v>10060009</v>
      </c>
      <c r="J7" s="46">
        <v>77000</v>
      </c>
    </row>
    <row r="8" spans="1:10" x14ac:dyDescent="0.25">
      <c r="A8">
        <v>10060010</v>
      </c>
      <c r="B8" s="46">
        <v>39000</v>
      </c>
      <c r="I8">
        <v>10060010</v>
      </c>
      <c r="J8" s="46">
        <v>39000</v>
      </c>
    </row>
    <row r="9" spans="1:10" x14ac:dyDescent="0.25">
      <c r="A9">
        <v>10060021</v>
      </c>
      <c r="B9" s="46">
        <v>13000</v>
      </c>
      <c r="I9">
        <v>10060021</v>
      </c>
      <c r="J9" s="46">
        <v>13000</v>
      </c>
    </row>
    <row r="10" spans="1:10" x14ac:dyDescent="0.25">
      <c r="A10">
        <v>10060025</v>
      </c>
      <c r="B10" s="46">
        <v>7018</v>
      </c>
      <c r="I10">
        <v>10060025</v>
      </c>
      <c r="J10" s="46">
        <v>7018</v>
      </c>
    </row>
    <row r="11" spans="1:10" x14ac:dyDescent="0.25">
      <c r="A11">
        <v>10060074</v>
      </c>
      <c r="B11" s="46">
        <v>42200</v>
      </c>
      <c r="I11">
        <v>10060074</v>
      </c>
      <c r="J11" s="46">
        <v>42200</v>
      </c>
    </row>
    <row r="12" spans="1:10" x14ac:dyDescent="0.25">
      <c r="A12">
        <v>10060077</v>
      </c>
      <c r="B12" s="46">
        <v>21000</v>
      </c>
      <c r="I12">
        <v>10060077</v>
      </c>
      <c r="J12" s="46">
        <v>21000</v>
      </c>
    </row>
    <row r="13" spans="1:10" x14ac:dyDescent="0.25">
      <c r="A13">
        <v>10060106</v>
      </c>
      <c r="B13" s="46">
        <v>6200</v>
      </c>
      <c r="I13">
        <v>10060106</v>
      </c>
      <c r="J13" s="46">
        <v>6200</v>
      </c>
    </row>
    <row r="14" spans="1:10" x14ac:dyDescent="0.25">
      <c r="A14">
        <v>10060111</v>
      </c>
      <c r="B14" s="46">
        <v>13000</v>
      </c>
      <c r="I14">
        <v>10060111</v>
      </c>
      <c r="J14" s="46">
        <v>13000</v>
      </c>
    </row>
    <row r="15" spans="1:10" x14ac:dyDescent="0.25">
      <c r="A15">
        <v>10060130</v>
      </c>
      <c r="B15" s="46">
        <v>33250</v>
      </c>
      <c r="I15">
        <v>10060130</v>
      </c>
      <c r="J15" s="46">
        <v>33250</v>
      </c>
    </row>
    <row r="16" spans="1:10" x14ac:dyDescent="0.25">
      <c r="A16">
        <v>10070008</v>
      </c>
      <c r="B16" s="46">
        <v>6500</v>
      </c>
      <c r="I16">
        <v>10070008</v>
      </c>
      <c r="J16" s="46">
        <v>6500</v>
      </c>
    </row>
    <row r="17" spans="1:10" x14ac:dyDescent="0.25">
      <c r="A17">
        <v>10070046</v>
      </c>
      <c r="B17" s="46">
        <v>13500</v>
      </c>
      <c r="I17">
        <v>10070046</v>
      </c>
      <c r="J17" s="46">
        <v>13500</v>
      </c>
    </row>
    <row r="18" spans="1:10" x14ac:dyDescent="0.25">
      <c r="A18">
        <v>10080002</v>
      </c>
      <c r="B18" s="46">
        <v>2600</v>
      </c>
      <c r="I18">
        <v>10080002</v>
      </c>
      <c r="J18" s="46">
        <v>2600</v>
      </c>
    </row>
    <row r="19" spans="1:10" x14ac:dyDescent="0.25">
      <c r="A19">
        <v>10110008</v>
      </c>
      <c r="B19" s="46">
        <v>108069</v>
      </c>
      <c r="I19">
        <v>10110008</v>
      </c>
      <c r="J19" s="46">
        <v>108069</v>
      </c>
    </row>
    <row r="20" spans="1:10" x14ac:dyDescent="0.25">
      <c r="A20">
        <v>10110013</v>
      </c>
      <c r="B20" s="46">
        <v>1200</v>
      </c>
      <c r="I20">
        <v>10110013</v>
      </c>
      <c r="J20" s="46">
        <v>1200</v>
      </c>
    </row>
    <row r="21" spans="1:10" x14ac:dyDescent="0.25">
      <c r="A21">
        <v>10110076</v>
      </c>
      <c r="B21" s="46">
        <v>11529</v>
      </c>
      <c r="I21">
        <v>10110076</v>
      </c>
      <c r="J21" s="46">
        <v>11529</v>
      </c>
    </row>
    <row r="22" spans="1:10" x14ac:dyDescent="0.25">
      <c r="A22">
        <v>10110100</v>
      </c>
      <c r="B22" s="46">
        <v>5400</v>
      </c>
      <c r="I22">
        <v>10110100</v>
      </c>
      <c r="J22" s="46">
        <v>5400</v>
      </c>
    </row>
    <row r="23" spans="1:10" x14ac:dyDescent="0.25">
      <c r="A23">
        <v>10110148</v>
      </c>
      <c r="B23" s="46">
        <v>10439</v>
      </c>
      <c r="I23">
        <v>10110148</v>
      </c>
      <c r="J23" s="46">
        <v>10439</v>
      </c>
    </row>
    <row r="24" spans="1:10" x14ac:dyDescent="0.25">
      <c r="A24">
        <v>10120001</v>
      </c>
      <c r="B24" s="46">
        <v>5700</v>
      </c>
      <c r="I24">
        <v>10120001</v>
      </c>
      <c r="J24" s="46">
        <v>5700</v>
      </c>
    </row>
    <row r="25" spans="1:10" x14ac:dyDescent="0.25">
      <c r="A25">
        <v>10120094</v>
      </c>
      <c r="B25" s="46">
        <v>5400</v>
      </c>
      <c r="I25">
        <v>10120094</v>
      </c>
      <c r="J25" s="46">
        <v>5400</v>
      </c>
    </row>
    <row r="26" spans="1:10" x14ac:dyDescent="0.25">
      <c r="A26">
        <v>10120096</v>
      </c>
      <c r="B26" s="46">
        <v>3800</v>
      </c>
      <c r="I26">
        <v>10120096</v>
      </c>
      <c r="J26" s="46">
        <v>3800</v>
      </c>
    </row>
    <row r="27" spans="1:10" x14ac:dyDescent="0.25">
      <c r="A27">
        <v>10120101</v>
      </c>
      <c r="B27" s="46">
        <v>475</v>
      </c>
      <c r="I27">
        <v>10120101</v>
      </c>
      <c r="J27" s="46">
        <v>475</v>
      </c>
    </row>
    <row r="28" spans="1:10" x14ac:dyDescent="0.25">
      <c r="A28">
        <v>10130073</v>
      </c>
      <c r="B28" s="46">
        <v>1503</v>
      </c>
      <c r="I28">
        <v>10130073</v>
      </c>
      <c r="J28" s="46">
        <v>1503</v>
      </c>
    </row>
    <row r="29" spans="1:10" x14ac:dyDescent="0.25">
      <c r="A29">
        <v>10130095</v>
      </c>
      <c r="B29" s="46">
        <v>1268</v>
      </c>
      <c r="I29">
        <v>10130095</v>
      </c>
      <c r="J29" s="46">
        <v>1268</v>
      </c>
    </row>
    <row r="30" spans="1:10" x14ac:dyDescent="0.25">
      <c r="A30">
        <v>10140011</v>
      </c>
      <c r="B30" s="46">
        <v>3180</v>
      </c>
      <c r="I30">
        <v>10140011</v>
      </c>
      <c r="J30" s="46">
        <v>3180</v>
      </c>
    </row>
    <row r="31" spans="1:10" x14ac:dyDescent="0.25">
      <c r="A31">
        <v>10140047</v>
      </c>
      <c r="B31" s="46">
        <v>6400</v>
      </c>
      <c r="I31">
        <v>10140047</v>
      </c>
      <c r="J31" s="46">
        <v>6400</v>
      </c>
    </row>
    <row r="32" spans="1:10" x14ac:dyDescent="0.25">
      <c r="A32">
        <v>10230001</v>
      </c>
      <c r="B32" s="46">
        <v>2900</v>
      </c>
      <c r="I32">
        <v>10230001</v>
      </c>
      <c r="J32" s="46">
        <v>2900</v>
      </c>
    </row>
    <row r="33" spans="1:10" x14ac:dyDescent="0.25">
      <c r="A33">
        <v>10320001</v>
      </c>
      <c r="B33" s="46">
        <v>65000</v>
      </c>
      <c r="I33">
        <v>10320001</v>
      </c>
      <c r="J33" s="46">
        <v>65000</v>
      </c>
    </row>
    <row r="34" spans="1:10" x14ac:dyDescent="0.25">
      <c r="A34">
        <v>10330001</v>
      </c>
      <c r="B34" s="46">
        <v>11700</v>
      </c>
      <c r="I34">
        <v>10330001</v>
      </c>
      <c r="J34" s="46">
        <v>11700</v>
      </c>
    </row>
    <row r="35" spans="1:10" x14ac:dyDescent="0.25">
      <c r="A35">
        <v>10340001</v>
      </c>
      <c r="B35" s="46">
        <v>26000</v>
      </c>
      <c r="I35">
        <v>10340001</v>
      </c>
      <c r="J35" s="46">
        <v>26000</v>
      </c>
    </row>
    <row r="36" spans="1:10" x14ac:dyDescent="0.25">
      <c r="A36">
        <v>10530032</v>
      </c>
      <c r="B36" s="46">
        <v>735</v>
      </c>
      <c r="I36">
        <v>10530032</v>
      </c>
      <c r="J36" s="46">
        <v>735</v>
      </c>
    </row>
    <row r="37" spans="1:10" x14ac:dyDescent="0.25">
      <c r="A37">
        <v>10530044</v>
      </c>
      <c r="B37" s="46">
        <v>1500</v>
      </c>
      <c r="I37">
        <v>10530044</v>
      </c>
      <c r="J37" s="46">
        <v>1500</v>
      </c>
    </row>
    <row r="38" spans="1:10" x14ac:dyDescent="0.25">
      <c r="A38">
        <v>10530052</v>
      </c>
      <c r="B38" s="46">
        <v>519</v>
      </c>
      <c r="I38">
        <v>10530052</v>
      </c>
      <c r="J38" s="46">
        <v>519</v>
      </c>
    </row>
    <row r="39" spans="1:10" x14ac:dyDescent="0.25">
      <c r="A39">
        <v>10530063</v>
      </c>
      <c r="B39" s="46">
        <v>1500</v>
      </c>
      <c r="I39">
        <v>10530063</v>
      </c>
      <c r="J39" s="46">
        <v>1500</v>
      </c>
    </row>
    <row r="40" spans="1:10" x14ac:dyDescent="0.25">
      <c r="A40">
        <v>10530065</v>
      </c>
      <c r="B40" s="46">
        <v>1346</v>
      </c>
      <c r="I40">
        <v>10530065</v>
      </c>
      <c r="J40" s="46">
        <v>1346</v>
      </c>
    </row>
    <row r="41" spans="1:10" x14ac:dyDescent="0.25">
      <c r="A41">
        <v>10530067</v>
      </c>
      <c r="B41" s="46">
        <v>12000</v>
      </c>
      <c r="I41">
        <v>10530067</v>
      </c>
      <c r="J41" s="46">
        <v>12000</v>
      </c>
    </row>
    <row r="42" spans="1:10" x14ac:dyDescent="0.25">
      <c r="A42">
        <v>10530113</v>
      </c>
      <c r="B42" s="46">
        <v>8953</v>
      </c>
      <c r="I42">
        <v>10530113</v>
      </c>
      <c r="J42" s="46">
        <v>8953</v>
      </c>
    </row>
    <row r="43" spans="1:10" x14ac:dyDescent="0.25">
      <c r="A43">
        <v>10540009</v>
      </c>
      <c r="B43" s="46">
        <v>1698</v>
      </c>
      <c r="I43">
        <v>10540009</v>
      </c>
      <c r="J43" s="46">
        <v>1698</v>
      </c>
    </row>
    <row r="44" spans="1:10" x14ac:dyDescent="0.25">
      <c r="A44">
        <v>10560001</v>
      </c>
      <c r="B44" s="46">
        <v>26000</v>
      </c>
      <c r="I44">
        <v>10560001</v>
      </c>
      <c r="J44" s="46">
        <v>26000</v>
      </c>
    </row>
    <row r="45" spans="1:10" x14ac:dyDescent="0.25">
      <c r="A45">
        <v>10560017</v>
      </c>
      <c r="B45" s="46">
        <v>13000</v>
      </c>
      <c r="I45">
        <v>10560017</v>
      </c>
      <c r="J45" s="46">
        <v>13000</v>
      </c>
    </row>
    <row r="46" spans="1:10" x14ac:dyDescent="0.25">
      <c r="A46">
        <v>10560019</v>
      </c>
      <c r="B46" s="46">
        <v>2700</v>
      </c>
      <c r="I46">
        <v>10560019</v>
      </c>
      <c r="J46" s="46">
        <v>2700</v>
      </c>
    </row>
    <row r="47" spans="1:10" x14ac:dyDescent="0.25">
      <c r="A47">
        <v>10570003</v>
      </c>
      <c r="B47" s="46">
        <v>6750</v>
      </c>
      <c r="I47">
        <v>10570003</v>
      </c>
      <c r="J47" s="46">
        <v>6750</v>
      </c>
    </row>
    <row r="48" spans="1:10" x14ac:dyDescent="0.25">
      <c r="A48">
        <v>10570007</v>
      </c>
      <c r="B48" s="46">
        <v>2700</v>
      </c>
      <c r="I48">
        <v>10570007</v>
      </c>
      <c r="J48" s="46">
        <v>2700</v>
      </c>
    </row>
    <row r="49" spans="1:10" x14ac:dyDescent="0.25">
      <c r="A49">
        <v>10570008</v>
      </c>
      <c r="B49" s="46">
        <v>14250</v>
      </c>
      <c r="I49">
        <v>10570008</v>
      </c>
      <c r="J49" s="46">
        <v>14250</v>
      </c>
    </row>
    <row r="50" spans="1:10" x14ac:dyDescent="0.25">
      <c r="A50">
        <v>10570009</v>
      </c>
      <c r="B50" s="46">
        <v>2800</v>
      </c>
      <c r="I50">
        <v>10570009</v>
      </c>
      <c r="J50" s="46">
        <v>2800</v>
      </c>
    </row>
    <row r="51" spans="1:10" x14ac:dyDescent="0.25">
      <c r="A51">
        <v>10570021</v>
      </c>
      <c r="B51" s="46">
        <v>8350</v>
      </c>
      <c r="I51">
        <v>10570021</v>
      </c>
      <c r="J51" s="46">
        <v>8350</v>
      </c>
    </row>
    <row r="52" spans="1:10" x14ac:dyDescent="0.25">
      <c r="A52">
        <v>10590004</v>
      </c>
      <c r="B52" s="46">
        <v>21750</v>
      </c>
      <c r="I52">
        <v>10590004</v>
      </c>
      <c r="J52" s="46">
        <v>21750</v>
      </c>
    </row>
    <row r="53" spans="1:10" x14ac:dyDescent="0.25">
      <c r="A53">
        <v>10600007</v>
      </c>
      <c r="B53" s="46">
        <v>2560</v>
      </c>
      <c r="I53">
        <v>10600007</v>
      </c>
      <c r="J53" s="46">
        <v>2560</v>
      </c>
    </row>
    <row r="54" spans="1:10" x14ac:dyDescent="0.25">
      <c r="A54">
        <v>10600010</v>
      </c>
      <c r="B54" s="46">
        <v>40</v>
      </c>
      <c r="I54">
        <v>10600010</v>
      </c>
      <c r="J54" s="46">
        <v>40</v>
      </c>
    </row>
    <row r="55" spans="1:10" x14ac:dyDescent="0.25">
      <c r="A55">
        <v>10660006</v>
      </c>
      <c r="B55" s="46">
        <v>100</v>
      </c>
      <c r="I55">
        <v>10660006</v>
      </c>
      <c r="J55" s="46">
        <v>100</v>
      </c>
    </row>
    <row r="56" spans="1:10" x14ac:dyDescent="0.25">
      <c r="A56" t="s">
        <v>159</v>
      </c>
      <c r="B56" s="46">
        <v>173244</v>
      </c>
      <c r="I56">
        <v>10030077</v>
      </c>
      <c r="J56" s="46">
        <v>6037</v>
      </c>
    </row>
    <row r="57" spans="1:10" x14ac:dyDescent="0.25">
      <c r="A57">
        <v>10030077</v>
      </c>
      <c r="B57" s="46">
        <v>6037</v>
      </c>
      <c r="I57">
        <v>10030075</v>
      </c>
      <c r="J57" s="46">
        <v>5800</v>
      </c>
    </row>
    <row r="58" spans="1:10" x14ac:dyDescent="0.25">
      <c r="A58">
        <v>10030075</v>
      </c>
      <c r="B58" s="46">
        <v>5800</v>
      </c>
      <c r="I58" s="47" t="s">
        <v>160</v>
      </c>
      <c r="J58" s="50">
        <f>SUM(J5:J57)</f>
        <v>711319</v>
      </c>
    </row>
    <row r="59" spans="1:10" x14ac:dyDescent="0.25">
      <c r="A59" t="s">
        <v>160</v>
      </c>
      <c r="B59" s="46">
        <v>884563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C154-BC81-4A37-96C4-C8545D5B812F}">
  <dimension ref="A1:U81"/>
  <sheetViews>
    <sheetView topLeftCell="A46" workbookViewId="0">
      <selection activeCell="E8" sqref="E8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7" bestFit="1" customWidth="1"/>
    <col min="4" max="4" width="8.28515625" bestFit="1" customWidth="1"/>
    <col min="5" max="5" width="9.140625" bestFit="1" customWidth="1"/>
    <col min="6" max="6" width="17.5703125" bestFit="1" customWidth="1"/>
    <col min="11" max="11" width="17.7109375" bestFit="1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46127</v>
      </c>
      <c r="B2" s="6" t="s">
        <v>21</v>
      </c>
      <c r="C2" s="7" t="s">
        <v>22</v>
      </c>
      <c r="D2" s="8"/>
      <c r="E2" s="9">
        <v>10110148</v>
      </c>
      <c r="F2" s="6" t="s">
        <v>23</v>
      </c>
      <c r="G2" s="10">
        <v>8</v>
      </c>
      <c r="H2" s="6">
        <v>1350</v>
      </c>
      <c r="I2" s="6">
        <v>10800</v>
      </c>
      <c r="J2" s="6" t="s">
        <v>24</v>
      </c>
      <c r="K2" s="6"/>
      <c r="L2" s="11"/>
      <c r="M2" s="6"/>
      <c r="N2" s="6" t="s">
        <v>25</v>
      </c>
      <c r="O2" s="6" t="s">
        <v>26</v>
      </c>
      <c r="P2" s="6" t="s">
        <v>27</v>
      </c>
      <c r="Q2" s="12">
        <v>46128</v>
      </c>
      <c r="R2" s="6">
        <v>5761</v>
      </c>
      <c r="S2" s="6">
        <v>5039</v>
      </c>
      <c r="T2" s="6"/>
      <c r="U2" s="13">
        <v>68</v>
      </c>
    </row>
    <row r="3" spans="1:21" x14ac:dyDescent="0.25">
      <c r="A3" s="14">
        <v>46128</v>
      </c>
      <c r="B3" s="15" t="s">
        <v>21</v>
      </c>
      <c r="C3" s="16" t="s">
        <v>22</v>
      </c>
      <c r="D3" s="17"/>
      <c r="E3" s="18">
        <v>10110148</v>
      </c>
      <c r="F3" s="6" t="s">
        <v>23</v>
      </c>
      <c r="G3" s="19">
        <v>3</v>
      </c>
      <c r="H3" s="15">
        <v>1350</v>
      </c>
      <c r="I3" s="15">
        <v>4050</v>
      </c>
      <c r="J3" s="15" t="s">
        <v>24</v>
      </c>
      <c r="K3" s="15"/>
      <c r="L3" s="20"/>
      <c r="M3" s="15"/>
      <c r="N3" s="15" t="s">
        <v>25</v>
      </c>
      <c r="O3" s="15"/>
      <c r="P3" s="15"/>
      <c r="Q3" s="21"/>
      <c r="R3" s="15"/>
      <c r="S3" s="15">
        <v>4050</v>
      </c>
      <c r="T3" s="15"/>
      <c r="U3" s="22">
        <v>67</v>
      </c>
    </row>
    <row r="4" spans="1:21" x14ac:dyDescent="0.25">
      <c r="A4" s="5">
        <v>46129</v>
      </c>
      <c r="B4" s="6" t="s">
        <v>21</v>
      </c>
      <c r="C4" s="7" t="s">
        <v>22</v>
      </c>
      <c r="D4" s="8"/>
      <c r="E4" s="9">
        <v>10110148</v>
      </c>
      <c r="F4" s="6" t="s">
        <v>23</v>
      </c>
      <c r="G4" s="10">
        <v>1</v>
      </c>
      <c r="H4" s="6">
        <v>1350</v>
      </c>
      <c r="I4" s="6">
        <v>1350</v>
      </c>
      <c r="J4" s="6" t="s">
        <v>24</v>
      </c>
      <c r="K4" s="6"/>
      <c r="L4" s="11"/>
      <c r="M4" s="6"/>
      <c r="N4" s="6" t="s">
        <v>25</v>
      </c>
      <c r="O4" s="6"/>
      <c r="P4" s="6"/>
      <c r="Q4" s="12"/>
      <c r="R4" s="6"/>
      <c r="S4" s="6">
        <v>1350</v>
      </c>
      <c r="T4" s="6"/>
      <c r="U4" s="13">
        <v>66</v>
      </c>
    </row>
    <row r="5" spans="1:21" ht="15.75" thickBot="1" x14ac:dyDescent="0.3">
      <c r="A5" s="14">
        <v>46153</v>
      </c>
      <c r="B5" s="15" t="s">
        <v>21</v>
      </c>
      <c r="C5" s="16" t="s">
        <v>28</v>
      </c>
      <c r="D5" s="17"/>
      <c r="E5" s="18">
        <v>10540009</v>
      </c>
      <c r="F5" s="6" t="s">
        <v>23</v>
      </c>
      <c r="G5" s="19">
        <v>18</v>
      </c>
      <c r="H5" s="15">
        <v>1350</v>
      </c>
      <c r="I5" s="15">
        <v>24300</v>
      </c>
      <c r="J5" s="15" t="s">
        <v>24</v>
      </c>
      <c r="K5" s="15"/>
      <c r="L5" s="20"/>
      <c r="M5" s="15"/>
      <c r="N5" s="15" t="s">
        <v>29</v>
      </c>
      <c r="O5" s="15" t="s">
        <v>26</v>
      </c>
      <c r="P5" s="23" t="s">
        <v>30</v>
      </c>
      <c r="Q5" s="21" t="s">
        <v>31</v>
      </c>
      <c r="R5" s="15">
        <v>22602</v>
      </c>
      <c r="S5" s="15">
        <v>1698</v>
      </c>
      <c r="T5" s="15"/>
      <c r="U5" s="22">
        <v>42</v>
      </c>
    </row>
    <row r="6" spans="1:21" x14ac:dyDescent="0.25">
      <c r="A6" s="5">
        <v>46104</v>
      </c>
      <c r="B6" s="6" t="s">
        <v>32</v>
      </c>
      <c r="C6" s="7" t="s">
        <v>33</v>
      </c>
      <c r="D6" s="8"/>
      <c r="E6" s="9">
        <v>10230001</v>
      </c>
      <c r="F6" s="6" t="s">
        <v>34</v>
      </c>
      <c r="G6" s="10">
        <v>2</v>
      </c>
      <c r="H6" s="6">
        <v>1450</v>
      </c>
      <c r="I6" s="6">
        <v>2900</v>
      </c>
      <c r="J6" s="6" t="s">
        <v>24</v>
      </c>
      <c r="K6" s="6" t="s">
        <v>35</v>
      </c>
      <c r="L6" s="11"/>
      <c r="M6" s="6"/>
      <c r="N6" s="6" t="s">
        <v>36</v>
      </c>
      <c r="O6" s="6"/>
      <c r="P6" s="6"/>
      <c r="Q6" s="12"/>
      <c r="R6" s="6"/>
      <c r="S6" s="6">
        <v>2900</v>
      </c>
      <c r="T6" s="6"/>
      <c r="U6" s="13">
        <v>91</v>
      </c>
    </row>
    <row r="7" spans="1:21" ht="15.75" thickBot="1" x14ac:dyDescent="0.3">
      <c r="A7" s="14">
        <v>46157</v>
      </c>
      <c r="B7" s="15" t="s">
        <v>32</v>
      </c>
      <c r="C7" s="16" t="s">
        <v>37</v>
      </c>
      <c r="D7" s="17"/>
      <c r="E7" s="48">
        <v>10030077</v>
      </c>
      <c r="F7" s="6" t="s">
        <v>34</v>
      </c>
      <c r="G7" s="19">
        <v>15</v>
      </c>
      <c r="H7" s="15">
        <v>1450</v>
      </c>
      <c r="I7" s="15">
        <v>21750</v>
      </c>
      <c r="J7" s="15" t="s">
        <v>24</v>
      </c>
      <c r="K7" s="15"/>
      <c r="L7" s="20"/>
      <c r="M7" s="15"/>
      <c r="N7" s="15" t="s">
        <v>29</v>
      </c>
      <c r="O7" s="15" t="s">
        <v>26</v>
      </c>
      <c r="P7" s="23" t="s">
        <v>38</v>
      </c>
      <c r="Q7" s="21" t="s">
        <v>39</v>
      </c>
      <c r="R7" s="15">
        <v>15713</v>
      </c>
      <c r="S7" s="15">
        <v>6037</v>
      </c>
      <c r="T7" s="15"/>
      <c r="U7" s="22">
        <v>38</v>
      </c>
    </row>
    <row r="8" spans="1:21" x14ac:dyDescent="0.25">
      <c r="A8" s="5">
        <v>46162</v>
      </c>
      <c r="B8" s="6" t="s">
        <v>32</v>
      </c>
      <c r="C8" s="7" t="s">
        <v>40</v>
      </c>
      <c r="D8" s="8"/>
      <c r="E8" s="49">
        <v>10030075</v>
      </c>
      <c r="F8" s="6" t="s">
        <v>34</v>
      </c>
      <c r="G8" s="10">
        <v>4</v>
      </c>
      <c r="H8" s="6">
        <v>1450</v>
      </c>
      <c r="I8" s="6">
        <v>5800</v>
      </c>
      <c r="J8" s="6" t="s">
        <v>24</v>
      </c>
      <c r="K8" s="6"/>
      <c r="L8" s="11"/>
      <c r="M8" s="6"/>
      <c r="N8" s="6" t="s">
        <v>29</v>
      </c>
      <c r="O8" s="6"/>
      <c r="P8" s="6"/>
      <c r="Q8" s="12"/>
      <c r="R8" s="6"/>
      <c r="S8" s="6">
        <v>5800</v>
      </c>
      <c r="T8" s="6"/>
      <c r="U8" s="13">
        <v>33</v>
      </c>
    </row>
    <row r="9" spans="1:21" x14ac:dyDescent="0.25">
      <c r="A9" s="14">
        <v>46147</v>
      </c>
      <c r="B9" s="15" t="s">
        <v>41</v>
      </c>
      <c r="C9" s="15" t="s">
        <v>42</v>
      </c>
      <c r="D9" s="24"/>
      <c r="E9" s="20">
        <v>10600007</v>
      </c>
      <c r="F9" s="6" t="s">
        <v>23</v>
      </c>
      <c r="G9" s="19">
        <v>1</v>
      </c>
      <c r="H9" s="15">
        <v>1280</v>
      </c>
      <c r="I9" s="15">
        <v>1280</v>
      </c>
      <c r="J9" s="15" t="s">
        <v>24</v>
      </c>
      <c r="K9" s="15"/>
      <c r="L9" s="20"/>
      <c r="M9" s="15"/>
      <c r="N9" s="15" t="s">
        <v>29</v>
      </c>
      <c r="O9" s="15"/>
      <c r="P9" s="15"/>
      <c r="Q9" s="21"/>
      <c r="R9" s="15"/>
      <c r="S9" s="15">
        <v>1280</v>
      </c>
      <c r="T9" s="15"/>
      <c r="U9" s="22">
        <v>48</v>
      </c>
    </row>
    <row r="10" spans="1:21" x14ac:dyDescent="0.25">
      <c r="A10" s="5">
        <v>46158</v>
      </c>
      <c r="B10" s="6" t="s">
        <v>41</v>
      </c>
      <c r="C10" s="7" t="s">
        <v>42</v>
      </c>
      <c r="D10" s="8"/>
      <c r="E10" s="9">
        <v>10600007</v>
      </c>
      <c r="F10" s="6" t="s">
        <v>23</v>
      </c>
      <c r="G10" s="10">
        <v>1</v>
      </c>
      <c r="H10" s="6">
        <v>1280</v>
      </c>
      <c r="I10" s="6">
        <v>1280</v>
      </c>
      <c r="J10" s="6" t="s">
        <v>24</v>
      </c>
      <c r="K10" s="6"/>
      <c r="L10" s="11"/>
      <c r="M10" s="6"/>
      <c r="N10" s="6"/>
      <c r="O10" s="6"/>
      <c r="P10" s="6"/>
      <c r="Q10" s="12"/>
      <c r="R10" s="6"/>
      <c r="S10" s="6">
        <v>1280</v>
      </c>
      <c r="T10" s="6"/>
      <c r="U10" s="13">
        <v>37</v>
      </c>
    </row>
    <row r="11" spans="1:21" x14ac:dyDescent="0.25">
      <c r="A11" s="14">
        <v>46115</v>
      </c>
      <c r="B11" s="15" t="s">
        <v>43</v>
      </c>
      <c r="C11" s="15" t="s">
        <v>44</v>
      </c>
      <c r="D11" s="24"/>
      <c r="E11" s="20">
        <v>10140011</v>
      </c>
      <c r="F11" s="6" t="s">
        <v>23</v>
      </c>
      <c r="G11" s="19">
        <v>1</v>
      </c>
      <c r="H11" s="15">
        <v>1270</v>
      </c>
      <c r="I11" s="15">
        <v>1270</v>
      </c>
      <c r="J11" s="15" t="s">
        <v>24</v>
      </c>
      <c r="K11" s="15"/>
      <c r="L11" s="20"/>
      <c r="M11" s="15"/>
      <c r="N11" s="15" t="s">
        <v>25</v>
      </c>
      <c r="O11" s="15" t="s">
        <v>45</v>
      </c>
      <c r="P11" s="15"/>
      <c r="Q11" s="21" t="s">
        <v>46</v>
      </c>
      <c r="R11" s="15">
        <v>630</v>
      </c>
      <c r="S11" s="15">
        <v>640</v>
      </c>
      <c r="T11" s="15"/>
      <c r="U11" s="22">
        <v>80</v>
      </c>
    </row>
    <row r="12" spans="1:21" x14ac:dyDescent="0.25">
      <c r="A12" s="5">
        <v>46126</v>
      </c>
      <c r="B12" s="6" t="s">
        <v>43</v>
      </c>
      <c r="C12" s="7" t="s">
        <v>47</v>
      </c>
      <c r="D12" s="8"/>
      <c r="E12" s="9">
        <v>10600010</v>
      </c>
      <c r="F12" s="6" t="s">
        <v>23</v>
      </c>
      <c r="G12" s="10">
        <v>2</v>
      </c>
      <c r="H12" s="6">
        <v>1300</v>
      </c>
      <c r="I12" s="6">
        <v>2600</v>
      </c>
      <c r="J12" s="6" t="s">
        <v>24</v>
      </c>
      <c r="K12" s="6"/>
      <c r="L12" s="11"/>
      <c r="M12" s="6"/>
      <c r="N12" s="6" t="s">
        <v>25</v>
      </c>
      <c r="O12" s="6" t="s">
        <v>26</v>
      </c>
      <c r="P12" s="6" t="s">
        <v>48</v>
      </c>
      <c r="Q12" s="12">
        <v>46128</v>
      </c>
      <c r="R12" s="6">
        <v>2560</v>
      </c>
      <c r="S12" s="6">
        <v>40</v>
      </c>
      <c r="T12" s="6"/>
      <c r="U12" s="13">
        <v>69</v>
      </c>
    </row>
    <row r="13" spans="1:21" x14ac:dyDescent="0.25">
      <c r="A13" s="14">
        <v>46170</v>
      </c>
      <c r="B13" s="15" t="s">
        <v>43</v>
      </c>
      <c r="C13" s="16" t="s">
        <v>49</v>
      </c>
      <c r="D13" s="17"/>
      <c r="E13" s="18"/>
      <c r="F13" s="6" t="s">
        <v>23</v>
      </c>
      <c r="G13" s="19">
        <v>1</v>
      </c>
      <c r="H13" s="15">
        <v>1300</v>
      </c>
      <c r="I13" s="15">
        <v>1300</v>
      </c>
      <c r="J13" s="15" t="s">
        <v>24</v>
      </c>
      <c r="K13" s="15"/>
      <c r="L13" s="20"/>
      <c r="M13" s="15"/>
      <c r="N13" s="21" t="s">
        <v>29</v>
      </c>
      <c r="O13" s="15"/>
      <c r="P13" s="15"/>
      <c r="Q13" s="21"/>
      <c r="R13" s="15"/>
      <c r="S13" s="15">
        <v>1300</v>
      </c>
      <c r="T13" s="15"/>
      <c r="U13" s="22">
        <v>25</v>
      </c>
    </row>
    <row r="14" spans="1:21" x14ac:dyDescent="0.25">
      <c r="A14" s="5">
        <v>46172</v>
      </c>
      <c r="B14" s="6" t="s">
        <v>43</v>
      </c>
      <c r="C14" s="6" t="s">
        <v>44</v>
      </c>
      <c r="D14" s="25"/>
      <c r="E14" s="11">
        <v>10140011</v>
      </c>
      <c r="F14" s="6" t="s">
        <v>23</v>
      </c>
      <c r="G14" s="10">
        <v>2</v>
      </c>
      <c r="H14" s="6">
        <v>1270</v>
      </c>
      <c r="I14" s="6">
        <v>2540</v>
      </c>
      <c r="J14" s="6" t="s">
        <v>24</v>
      </c>
      <c r="K14" s="6"/>
      <c r="L14" s="11"/>
      <c r="M14" s="6"/>
      <c r="N14" s="12" t="s">
        <v>29</v>
      </c>
      <c r="O14" s="6"/>
      <c r="P14" s="6"/>
      <c r="Q14" s="12"/>
      <c r="R14" s="6"/>
      <c r="S14" s="6">
        <v>2540</v>
      </c>
      <c r="T14" s="6"/>
      <c r="U14" s="13">
        <v>23</v>
      </c>
    </row>
    <row r="15" spans="1:21" x14ac:dyDescent="0.25">
      <c r="A15" s="14">
        <v>45854</v>
      </c>
      <c r="B15" s="15" t="s">
        <v>50</v>
      </c>
      <c r="C15" s="16" t="s">
        <v>51</v>
      </c>
      <c r="D15" s="17"/>
      <c r="E15" s="18">
        <v>10530052</v>
      </c>
      <c r="F15" s="6" t="s">
        <v>34</v>
      </c>
      <c r="G15" s="19">
        <v>0</v>
      </c>
      <c r="H15" s="15">
        <v>0</v>
      </c>
      <c r="I15" s="15">
        <v>600</v>
      </c>
      <c r="J15" s="15" t="s">
        <v>24</v>
      </c>
      <c r="K15" s="15"/>
      <c r="L15" s="20"/>
      <c r="M15" s="15"/>
      <c r="N15" s="15" t="s">
        <v>52</v>
      </c>
      <c r="O15" s="15" t="s">
        <v>26</v>
      </c>
      <c r="P15" s="15" t="s">
        <v>53</v>
      </c>
      <c r="Q15" s="21">
        <v>46112</v>
      </c>
      <c r="R15" s="15">
        <v>81</v>
      </c>
      <c r="S15" s="15">
        <v>519</v>
      </c>
      <c r="T15" s="15"/>
      <c r="U15" s="22">
        <v>341</v>
      </c>
    </row>
    <row r="16" spans="1:21" x14ac:dyDescent="0.25">
      <c r="A16" s="5">
        <v>46120</v>
      </c>
      <c r="B16" s="6" t="s">
        <v>50</v>
      </c>
      <c r="C16" s="7" t="s">
        <v>54</v>
      </c>
      <c r="D16" s="26" t="s">
        <v>55</v>
      </c>
      <c r="E16" s="9"/>
      <c r="F16" s="6" t="s">
        <v>23</v>
      </c>
      <c r="G16" s="10">
        <v>1</v>
      </c>
      <c r="H16" s="6">
        <v>1300</v>
      </c>
      <c r="I16" s="6">
        <v>1300</v>
      </c>
      <c r="J16" s="6" t="s">
        <v>24</v>
      </c>
      <c r="K16" s="6"/>
      <c r="L16" s="11"/>
      <c r="M16" s="6"/>
      <c r="N16" s="6" t="s">
        <v>25</v>
      </c>
      <c r="O16" s="6"/>
      <c r="P16" s="6"/>
      <c r="Q16" s="12"/>
      <c r="R16" s="6"/>
      <c r="S16" s="6">
        <v>1300</v>
      </c>
      <c r="T16" s="6"/>
      <c r="U16" s="13">
        <v>75</v>
      </c>
    </row>
    <row r="17" spans="1:21" x14ac:dyDescent="0.25">
      <c r="A17" s="14">
        <v>46126</v>
      </c>
      <c r="B17" s="15" t="s">
        <v>50</v>
      </c>
      <c r="C17" s="16" t="s">
        <v>54</v>
      </c>
      <c r="D17" s="27" t="s">
        <v>55</v>
      </c>
      <c r="E17" s="18"/>
      <c r="F17" s="6" t="s">
        <v>23</v>
      </c>
      <c r="G17" s="19">
        <v>1</v>
      </c>
      <c r="H17" s="15">
        <v>1300</v>
      </c>
      <c r="I17" s="15">
        <v>1300</v>
      </c>
      <c r="J17" s="15" t="s">
        <v>24</v>
      </c>
      <c r="K17" s="15"/>
      <c r="L17" s="20"/>
      <c r="M17" s="15"/>
      <c r="N17" s="15" t="s">
        <v>25</v>
      </c>
      <c r="O17" s="15"/>
      <c r="P17" s="15"/>
      <c r="Q17" s="21"/>
      <c r="R17" s="15"/>
      <c r="S17" s="15">
        <v>1300</v>
      </c>
      <c r="T17" s="15"/>
      <c r="U17" s="22">
        <v>69</v>
      </c>
    </row>
    <row r="18" spans="1:21" x14ac:dyDescent="0.25">
      <c r="A18" s="5">
        <v>46151</v>
      </c>
      <c r="B18" s="6" t="s">
        <v>50</v>
      </c>
      <c r="C18" s="7" t="s">
        <v>56</v>
      </c>
      <c r="D18" s="8"/>
      <c r="E18" s="9">
        <v>10530063</v>
      </c>
      <c r="F18" s="6" t="s">
        <v>34</v>
      </c>
      <c r="G18" s="10">
        <v>1</v>
      </c>
      <c r="H18" s="6">
        <v>1500</v>
      </c>
      <c r="I18" s="6">
        <v>1500</v>
      </c>
      <c r="J18" s="6" t="s">
        <v>24</v>
      </c>
      <c r="K18" s="6"/>
      <c r="L18" s="11"/>
      <c r="M18" s="6"/>
      <c r="N18" s="6" t="s">
        <v>29</v>
      </c>
      <c r="O18" s="6"/>
      <c r="P18" s="28"/>
      <c r="Q18" s="12"/>
      <c r="R18" s="6">
        <v>0</v>
      </c>
      <c r="S18" s="6">
        <v>1500</v>
      </c>
      <c r="T18" s="6"/>
      <c r="U18" s="13">
        <v>44</v>
      </c>
    </row>
    <row r="19" spans="1:21" x14ac:dyDescent="0.25">
      <c r="A19" s="14">
        <v>45997</v>
      </c>
      <c r="B19" s="15" t="s">
        <v>57</v>
      </c>
      <c r="C19" s="16" t="s">
        <v>58</v>
      </c>
      <c r="D19" s="27" t="s">
        <v>55</v>
      </c>
      <c r="E19" s="18"/>
      <c r="F19" s="6" t="s">
        <v>23</v>
      </c>
      <c r="G19" s="19">
        <v>17</v>
      </c>
      <c r="H19" s="15">
        <v>1300</v>
      </c>
      <c r="I19" s="15">
        <v>22100</v>
      </c>
      <c r="J19" s="15" t="s">
        <v>24</v>
      </c>
      <c r="K19" s="15" t="s">
        <v>59</v>
      </c>
      <c r="L19" s="20"/>
      <c r="M19" s="15"/>
      <c r="N19" s="15" t="s">
        <v>60</v>
      </c>
      <c r="O19" s="15" t="s">
        <v>26</v>
      </c>
      <c r="P19" s="15" t="s">
        <v>61</v>
      </c>
      <c r="Q19" s="21">
        <v>46065</v>
      </c>
      <c r="R19" s="15">
        <v>16706</v>
      </c>
      <c r="S19" s="15">
        <v>5394</v>
      </c>
      <c r="T19" s="15" t="s">
        <v>62</v>
      </c>
      <c r="U19" s="22">
        <v>198</v>
      </c>
    </row>
    <row r="20" spans="1:21" x14ac:dyDescent="0.25">
      <c r="A20" s="5">
        <v>46112</v>
      </c>
      <c r="B20" s="6" t="s">
        <v>57</v>
      </c>
      <c r="C20" s="6" t="s">
        <v>63</v>
      </c>
      <c r="D20" s="29" t="s">
        <v>55</v>
      </c>
      <c r="E20" s="11"/>
      <c r="F20" s="6" t="s">
        <v>23</v>
      </c>
      <c r="G20" s="10">
        <v>4</v>
      </c>
      <c r="H20" s="6">
        <v>500</v>
      </c>
      <c r="I20" s="6">
        <v>2000</v>
      </c>
      <c r="J20" s="6" t="s">
        <v>24</v>
      </c>
      <c r="K20" s="6"/>
      <c r="L20" s="11"/>
      <c r="M20" s="6"/>
      <c r="N20" s="6" t="s">
        <v>36</v>
      </c>
      <c r="O20" s="6"/>
      <c r="P20" s="6"/>
      <c r="Q20" s="12"/>
      <c r="R20" s="6"/>
      <c r="S20" s="6">
        <v>2000</v>
      </c>
      <c r="T20" s="6"/>
      <c r="U20" s="13">
        <v>83</v>
      </c>
    </row>
    <row r="21" spans="1:21" x14ac:dyDescent="0.25">
      <c r="A21" s="14">
        <v>45879</v>
      </c>
      <c r="B21" s="15" t="s">
        <v>64</v>
      </c>
      <c r="C21" s="16" t="s">
        <v>65</v>
      </c>
      <c r="D21" s="17"/>
      <c r="E21" s="18">
        <v>10130095</v>
      </c>
      <c r="F21" s="6" t="s">
        <v>23</v>
      </c>
      <c r="G21" s="19">
        <v>1</v>
      </c>
      <c r="H21" s="15">
        <v>1350</v>
      </c>
      <c r="I21" s="15">
        <v>1350</v>
      </c>
      <c r="J21" s="15" t="s">
        <v>24</v>
      </c>
      <c r="K21" s="15" t="s">
        <v>66</v>
      </c>
      <c r="L21" s="20"/>
      <c r="M21" s="15"/>
      <c r="N21" s="15" t="s">
        <v>67</v>
      </c>
      <c r="O21" s="15" t="s">
        <v>26</v>
      </c>
      <c r="P21" s="15" t="s">
        <v>68</v>
      </c>
      <c r="Q21" s="21">
        <v>45932</v>
      </c>
      <c r="R21" s="15">
        <v>82</v>
      </c>
      <c r="S21" s="15">
        <v>1268</v>
      </c>
      <c r="T21" s="15" t="s">
        <v>69</v>
      </c>
      <c r="U21" s="22">
        <v>316</v>
      </c>
    </row>
    <row r="22" spans="1:21" x14ac:dyDescent="0.25">
      <c r="A22" s="5">
        <v>46111</v>
      </c>
      <c r="B22" s="6" t="s">
        <v>64</v>
      </c>
      <c r="C22" s="6" t="s">
        <v>70</v>
      </c>
      <c r="D22" s="29"/>
      <c r="E22" s="11">
        <v>10130073</v>
      </c>
      <c r="F22" s="6" t="s">
        <v>34</v>
      </c>
      <c r="G22" s="10">
        <v>1</v>
      </c>
      <c r="H22" s="6">
        <v>1500</v>
      </c>
      <c r="I22" s="6">
        <v>1500</v>
      </c>
      <c r="J22" s="6" t="s">
        <v>24</v>
      </c>
      <c r="K22" s="6"/>
      <c r="L22" s="11"/>
      <c r="M22" s="6"/>
      <c r="N22" s="6" t="s">
        <v>36</v>
      </c>
      <c r="O22" s="6" t="s">
        <v>26</v>
      </c>
      <c r="P22" s="6" t="s">
        <v>71</v>
      </c>
      <c r="Q22" s="12">
        <v>46149</v>
      </c>
      <c r="R22" s="6">
        <v>1497</v>
      </c>
      <c r="S22" s="6">
        <v>3</v>
      </c>
      <c r="T22" s="6"/>
      <c r="U22" s="13">
        <v>84</v>
      </c>
    </row>
    <row r="23" spans="1:21" x14ac:dyDescent="0.25">
      <c r="A23" s="14">
        <v>46117</v>
      </c>
      <c r="B23" s="15" t="s">
        <v>64</v>
      </c>
      <c r="C23" s="15" t="s">
        <v>72</v>
      </c>
      <c r="D23" s="30" t="s">
        <v>55</v>
      </c>
      <c r="E23" s="20"/>
      <c r="F23" s="6" t="s">
        <v>23</v>
      </c>
      <c r="G23" s="19">
        <v>3</v>
      </c>
      <c r="H23" s="15">
        <v>1350</v>
      </c>
      <c r="I23" s="15">
        <v>4050</v>
      </c>
      <c r="J23" s="15" t="s">
        <v>24</v>
      </c>
      <c r="K23" s="15"/>
      <c r="L23" s="20"/>
      <c r="M23" s="15"/>
      <c r="N23" s="15" t="s">
        <v>25</v>
      </c>
      <c r="O23" s="15"/>
      <c r="P23" s="15"/>
      <c r="Q23" s="21"/>
      <c r="R23" s="15"/>
      <c r="S23" s="15">
        <v>4050</v>
      </c>
      <c r="T23" s="15"/>
      <c r="U23" s="22">
        <v>78</v>
      </c>
    </row>
    <row r="24" spans="1:21" x14ac:dyDescent="0.25">
      <c r="A24" s="5">
        <v>46117</v>
      </c>
      <c r="B24" s="6" t="s">
        <v>64</v>
      </c>
      <c r="C24" s="6" t="s">
        <v>72</v>
      </c>
      <c r="D24" s="29" t="s">
        <v>55</v>
      </c>
      <c r="E24" s="11"/>
      <c r="F24" s="6" t="s">
        <v>34</v>
      </c>
      <c r="G24" s="10">
        <v>2</v>
      </c>
      <c r="H24" s="6">
        <v>1500</v>
      </c>
      <c r="I24" s="6">
        <v>3000</v>
      </c>
      <c r="J24" s="6" t="s">
        <v>24</v>
      </c>
      <c r="K24" s="6"/>
      <c r="L24" s="11"/>
      <c r="M24" s="6"/>
      <c r="N24" s="6" t="s">
        <v>25</v>
      </c>
      <c r="O24" s="6"/>
      <c r="P24" s="6"/>
      <c r="Q24" s="12"/>
      <c r="R24" s="6"/>
      <c r="S24" s="6">
        <v>3000</v>
      </c>
      <c r="T24" s="6"/>
      <c r="U24" s="13">
        <v>78</v>
      </c>
    </row>
    <row r="25" spans="1:21" x14ac:dyDescent="0.25">
      <c r="A25" s="14">
        <v>46160</v>
      </c>
      <c r="B25" s="15" t="s">
        <v>64</v>
      </c>
      <c r="C25" s="15" t="s">
        <v>70</v>
      </c>
      <c r="D25" s="30"/>
      <c r="E25" s="20">
        <v>10130073</v>
      </c>
      <c r="F25" s="6" t="s">
        <v>34</v>
      </c>
      <c r="G25" s="19">
        <v>1</v>
      </c>
      <c r="H25" s="15">
        <v>1500</v>
      </c>
      <c r="I25" s="15">
        <v>1500</v>
      </c>
      <c r="J25" s="15" t="s">
        <v>24</v>
      </c>
      <c r="K25" s="15"/>
      <c r="L25" s="20"/>
      <c r="M25" s="15"/>
      <c r="N25" s="15" t="s">
        <v>29</v>
      </c>
      <c r="O25" s="15"/>
      <c r="P25" s="15"/>
      <c r="Q25" s="21"/>
      <c r="R25" s="15"/>
      <c r="S25" s="15">
        <v>1500</v>
      </c>
      <c r="T25" s="15"/>
      <c r="U25" s="22">
        <v>35</v>
      </c>
    </row>
    <row r="26" spans="1:21" x14ac:dyDescent="0.25">
      <c r="A26" s="5">
        <v>45830</v>
      </c>
      <c r="B26" s="6" t="s">
        <v>73</v>
      </c>
      <c r="C26" s="6" t="s">
        <v>74</v>
      </c>
      <c r="D26" s="25"/>
      <c r="E26" s="11">
        <v>10120101</v>
      </c>
      <c r="F26" s="6" t="s">
        <v>23</v>
      </c>
      <c r="G26" s="10">
        <v>1</v>
      </c>
      <c r="H26" s="6">
        <v>1300</v>
      </c>
      <c r="I26" s="6">
        <v>1300</v>
      </c>
      <c r="J26" s="6" t="s">
        <v>24</v>
      </c>
      <c r="K26" s="6" t="s">
        <v>75</v>
      </c>
      <c r="L26" s="11">
        <v>8539</v>
      </c>
      <c r="M26" s="6"/>
      <c r="N26" s="6" t="s">
        <v>76</v>
      </c>
      <c r="O26" s="6" t="s">
        <v>26</v>
      </c>
      <c r="P26" s="6" t="s">
        <v>77</v>
      </c>
      <c r="Q26" s="12">
        <v>45820</v>
      </c>
      <c r="R26" s="6">
        <v>825</v>
      </c>
      <c r="S26" s="6">
        <v>475</v>
      </c>
      <c r="T26" s="6" t="s">
        <v>69</v>
      </c>
      <c r="U26" s="13">
        <v>365</v>
      </c>
    </row>
    <row r="27" spans="1:21" x14ac:dyDescent="0.25">
      <c r="A27" s="14">
        <v>46113</v>
      </c>
      <c r="B27" s="15" t="s">
        <v>73</v>
      </c>
      <c r="C27" s="16" t="s">
        <v>78</v>
      </c>
      <c r="D27" s="17"/>
      <c r="E27" s="18"/>
      <c r="F27" s="6" t="s">
        <v>23</v>
      </c>
      <c r="G27" s="19">
        <v>4</v>
      </c>
      <c r="H27" s="15">
        <v>1350</v>
      </c>
      <c r="I27" s="15">
        <v>5400</v>
      </c>
      <c r="J27" s="15" t="s">
        <v>24</v>
      </c>
      <c r="K27" s="15"/>
      <c r="L27" s="20"/>
      <c r="M27" s="15"/>
      <c r="N27" s="15" t="s">
        <v>25</v>
      </c>
      <c r="O27" s="15"/>
      <c r="P27" s="15"/>
      <c r="Q27" s="21"/>
      <c r="R27" s="15"/>
      <c r="S27" s="15">
        <v>5400</v>
      </c>
      <c r="T27" s="15"/>
      <c r="U27" s="22">
        <v>82</v>
      </c>
    </row>
    <row r="28" spans="1:21" x14ac:dyDescent="0.25">
      <c r="A28" s="5">
        <v>45999</v>
      </c>
      <c r="B28" s="6" t="s">
        <v>79</v>
      </c>
      <c r="C28" s="6" t="s">
        <v>80</v>
      </c>
      <c r="D28" s="25" t="s">
        <v>81</v>
      </c>
      <c r="E28" s="11">
        <v>10060025</v>
      </c>
      <c r="F28" s="6" t="s">
        <v>23</v>
      </c>
      <c r="G28" s="10">
        <v>8</v>
      </c>
      <c r="H28" s="6">
        <v>1300</v>
      </c>
      <c r="I28" s="6">
        <v>10400</v>
      </c>
      <c r="J28" s="6" t="s">
        <v>24</v>
      </c>
      <c r="K28" s="6" t="s">
        <v>82</v>
      </c>
      <c r="L28" s="11">
        <v>8904</v>
      </c>
      <c r="M28" s="6"/>
      <c r="N28" s="6" t="s">
        <v>60</v>
      </c>
      <c r="O28" s="6" t="s">
        <v>26</v>
      </c>
      <c r="P28" s="6" t="s">
        <v>83</v>
      </c>
      <c r="Q28" s="12">
        <v>46044</v>
      </c>
      <c r="R28" s="6">
        <v>3382</v>
      </c>
      <c r="S28" s="6">
        <v>7018</v>
      </c>
      <c r="T28" s="6"/>
      <c r="U28" s="13">
        <v>196</v>
      </c>
    </row>
    <row r="29" spans="1:21" x14ac:dyDescent="0.25">
      <c r="A29" s="31">
        <v>46073</v>
      </c>
      <c r="B29" s="16" t="s">
        <v>84</v>
      </c>
      <c r="C29" s="16" t="s">
        <v>54</v>
      </c>
      <c r="D29" s="27" t="s">
        <v>55</v>
      </c>
      <c r="E29" s="18"/>
      <c r="F29" s="7" t="s">
        <v>34</v>
      </c>
      <c r="G29" s="32">
        <v>2</v>
      </c>
      <c r="H29" s="16">
        <v>1450</v>
      </c>
      <c r="I29" s="16">
        <v>2900</v>
      </c>
      <c r="J29" s="16" t="s">
        <v>24</v>
      </c>
      <c r="K29" s="16" t="s">
        <v>85</v>
      </c>
      <c r="L29" s="18">
        <v>8309</v>
      </c>
      <c r="M29" s="16"/>
      <c r="N29" s="16" t="s">
        <v>86</v>
      </c>
      <c r="O29" s="16"/>
      <c r="P29" s="16"/>
      <c r="Q29" s="33"/>
      <c r="R29" s="16"/>
      <c r="S29" s="16">
        <v>2900</v>
      </c>
      <c r="T29" s="16"/>
      <c r="U29" s="34">
        <v>122</v>
      </c>
    </row>
    <row r="30" spans="1:21" x14ac:dyDescent="0.25">
      <c r="A30" s="35">
        <v>46074</v>
      </c>
      <c r="B30" s="7" t="s">
        <v>84</v>
      </c>
      <c r="C30" s="7" t="s">
        <v>54</v>
      </c>
      <c r="D30" s="26" t="s">
        <v>55</v>
      </c>
      <c r="E30" s="9"/>
      <c r="F30" s="7" t="s">
        <v>34</v>
      </c>
      <c r="G30" s="36">
        <v>8</v>
      </c>
      <c r="H30" s="7">
        <v>1450</v>
      </c>
      <c r="I30" s="7">
        <v>11600</v>
      </c>
      <c r="J30" s="7" t="s">
        <v>24</v>
      </c>
      <c r="K30" s="7" t="s">
        <v>85</v>
      </c>
      <c r="L30" s="9">
        <v>8310</v>
      </c>
      <c r="M30" s="7"/>
      <c r="N30" s="7" t="s">
        <v>86</v>
      </c>
      <c r="O30" s="7"/>
      <c r="P30" s="7"/>
      <c r="Q30" s="37"/>
      <c r="R30" s="7"/>
      <c r="S30" s="7">
        <v>11600</v>
      </c>
      <c r="T30" s="7"/>
      <c r="U30" s="38">
        <v>121</v>
      </c>
    </row>
    <row r="31" spans="1:21" x14ac:dyDescent="0.25">
      <c r="A31" s="31">
        <v>46165</v>
      </c>
      <c r="B31" s="16" t="s">
        <v>87</v>
      </c>
      <c r="C31" s="15" t="s">
        <v>88</v>
      </c>
      <c r="D31" s="24"/>
      <c r="E31" s="20">
        <v>10570007</v>
      </c>
      <c r="F31" s="7" t="s">
        <v>23</v>
      </c>
      <c r="G31" s="32">
        <v>2</v>
      </c>
      <c r="H31" s="16">
        <v>1350</v>
      </c>
      <c r="I31" s="16">
        <v>2700</v>
      </c>
      <c r="J31" s="16" t="s">
        <v>24</v>
      </c>
      <c r="K31" s="16"/>
      <c r="L31" s="18"/>
      <c r="M31" s="16"/>
      <c r="N31" s="33" t="s">
        <v>29</v>
      </c>
      <c r="O31" s="16"/>
      <c r="P31" s="16"/>
      <c r="Q31" s="33"/>
      <c r="R31" s="16"/>
      <c r="S31" s="16">
        <v>2700</v>
      </c>
      <c r="T31" s="16"/>
      <c r="U31" s="34">
        <v>30</v>
      </c>
    </row>
    <row r="32" spans="1:21" x14ac:dyDescent="0.25">
      <c r="A32" s="35">
        <v>46169</v>
      </c>
      <c r="B32" s="7" t="s">
        <v>87</v>
      </c>
      <c r="C32" s="7" t="s">
        <v>89</v>
      </c>
      <c r="D32" s="8"/>
      <c r="E32" s="9">
        <v>10570021</v>
      </c>
      <c r="F32" s="7" t="s">
        <v>23</v>
      </c>
      <c r="G32" s="36">
        <v>1</v>
      </c>
      <c r="H32" s="7">
        <v>1350</v>
      </c>
      <c r="I32" s="7">
        <v>1350</v>
      </c>
      <c r="J32" s="7" t="s">
        <v>24</v>
      </c>
      <c r="K32" s="7"/>
      <c r="L32" s="9"/>
      <c r="M32" s="7"/>
      <c r="N32" s="37" t="s">
        <v>29</v>
      </c>
      <c r="O32" s="7"/>
      <c r="P32" s="7"/>
      <c r="Q32" s="37"/>
      <c r="R32" s="7"/>
      <c r="S32" s="7">
        <v>1350</v>
      </c>
      <c r="T32" s="7"/>
      <c r="U32" s="38">
        <v>26</v>
      </c>
    </row>
    <row r="33" spans="1:21" x14ac:dyDescent="0.25">
      <c r="A33" s="14">
        <v>46172</v>
      </c>
      <c r="B33" s="16" t="s">
        <v>79</v>
      </c>
      <c r="C33" s="16" t="s">
        <v>90</v>
      </c>
      <c r="D33" s="27"/>
      <c r="E33" s="18">
        <v>10060077</v>
      </c>
      <c r="F33" s="7" t="s">
        <v>23</v>
      </c>
      <c r="G33" s="19">
        <v>5</v>
      </c>
      <c r="H33" s="15">
        <v>1300</v>
      </c>
      <c r="I33" s="15">
        <v>6500</v>
      </c>
      <c r="J33" s="16" t="s">
        <v>24</v>
      </c>
      <c r="K33" s="15"/>
      <c r="L33" s="20"/>
      <c r="M33" s="15"/>
      <c r="N33" s="15" t="s">
        <v>29</v>
      </c>
      <c r="O33" s="15" t="s">
        <v>26</v>
      </c>
      <c r="P33" s="39" t="s">
        <v>91</v>
      </c>
      <c r="Q33" s="21">
        <v>46121</v>
      </c>
      <c r="R33" s="15">
        <v>1400</v>
      </c>
      <c r="S33" s="15">
        <v>5100</v>
      </c>
      <c r="T33" s="15"/>
      <c r="U33" s="22">
        <v>23</v>
      </c>
    </row>
    <row r="34" spans="1:21" x14ac:dyDescent="0.25">
      <c r="A34" s="5">
        <v>46172</v>
      </c>
      <c r="B34" s="7" t="s">
        <v>79</v>
      </c>
      <c r="C34" s="6" t="s">
        <v>92</v>
      </c>
      <c r="D34" s="25"/>
      <c r="E34" s="11">
        <v>10060130</v>
      </c>
      <c r="F34" s="7" t="s">
        <v>23</v>
      </c>
      <c r="G34" s="10">
        <v>5</v>
      </c>
      <c r="H34" s="6">
        <v>1300</v>
      </c>
      <c r="I34" s="6">
        <v>6500</v>
      </c>
      <c r="J34" s="7" t="s">
        <v>24</v>
      </c>
      <c r="K34" s="6"/>
      <c r="L34" s="11"/>
      <c r="M34" s="6"/>
      <c r="N34" s="6" t="s">
        <v>29</v>
      </c>
      <c r="O34" s="6"/>
      <c r="P34" s="6"/>
      <c r="Q34" s="12"/>
      <c r="R34" s="6"/>
      <c r="S34" s="6">
        <v>6500</v>
      </c>
      <c r="T34" s="6"/>
      <c r="U34" s="13">
        <v>23</v>
      </c>
    </row>
    <row r="35" spans="1:21" x14ac:dyDescent="0.25">
      <c r="A35" s="14">
        <v>46172</v>
      </c>
      <c r="B35" s="16" t="s">
        <v>79</v>
      </c>
      <c r="C35" s="15" t="s">
        <v>93</v>
      </c>
      <c r="D35" s="30"/>
      <c r="E35" s="20">
        <v>10330001</v>
      </c>
      <c r="F35" s="7" t="s">
        <v>23</v>
      </c>
      <c r="G35" s="32">
        <v>9</v>
      </c>
      <c r="H35" s="16">
        <v>1300</v>
      </c>
      <c r="I35" s="16">
        <v>11700</v>
      </c>
      <c r="J35" s="16" t="s">
        <v>24</v>
      </c>
      <c r="K35" s="16"/>
      <c r="L35" s="18"/>
      <c r="M35" s="16"/>
      <c r="N35" s="16" t="s">
        <v>29</v>
      </c>
      <c r="O35" s="16"/>
      <c r="P35" s="16"/>
      <c r="Q35" s="33"/>
      <c r="R35" s="16"/>
      <c r="S35" s="16">
        <v>11700</v>
      </c>
      <c r="T35" s="16"/>
      <c r="U35" s="34">
        <v>23</v>
      </c>
    </row>
    <row r="36" spans="1:21" x14ac:dyDescent="0.25">
      <c r="A36" s="5">
        <v>46172</v>
      </c>
      <c r="B36" s="7" t="s">
        <v>79</v>
      </c>
      <c r="C36" s="7" t="s">
        <v>94</v>
      </c>
      <c r="D36" s="8" t="s">
        <v>95</v>
      </c>
      <c r="E36" s="9">
        <v>10060009</v>
      </c>
      <c r="F36" s="7" t="s">
        <v>23</v>
      </c>
      <c r="G36" s="36">
        <v>20</v>
      </c>
      <c r="H36" s="7">
        <v>1150</v>
      </c>
      <c r="I36" s="7">
        <v>23000</v>
      </c>
      <c r="J36" s="7" t="s">
        <v>24</v>
      </c>
      <c r="K36" s="7"/>
      <c r="L36" s="9"/>
      <c r="M36" s="7"/>
      <c r="N36" s="7" t="s">
        <v>29</v>
      </c>
      <c r="O36" s="7"/>
      <c r="P36" s="7"/>
      <c r="Q36" s="37"/>
      <c r="R36" s="7"/>
      <c r="S36" s="7">
        <v>23000</v>
      </c>
      <c r="T36" s="7"/>
      <c r="U36" s="38">
        <v>23</v>
      </c>
    </row>
    <row r="37" spans="1:21" x14ac:dyDescent="0.25">
      <c r="A37" s="14">
        <v>46172</v>
      </c>
      <c r="B37" s="16" t="s">
        <v>79</v>
      </c>
      <c r="C37" s="15" t="s">
        <v>96</v>
      </c>
      <c r="D37" s="24" t="s">
        <v>97</v>
      </c>
      <c r="E37" s="20">
        <v>10340001</v>
      </c>
      <c r="F37" s="7" t="s">
        <v>23</v>
      </c>
      <c r="G37" s="32">
        <v>20</v>
      </c>
      <c r="H37" s="16">
        <v>1300</v>
      </c>
      <c r="I37" s="16">
        <v>26000</v>
      </c>
      <c r="J37" s="16" t="s">
        <v>24</v>
      </c>
      <c r="K37" s="16"/>
      <c r="L37" s="18"/>
      <c r="M37" s="16"/>
      <c r="N37" s="16" t="s">
        <v>29</v>
      </c>
      <c r="O37" s="16"/>
      <c r="P37" s="16"/>
      <c r="Q37" s="33"/>
      <c r="R37" s="16"/>
      <c r="S37" s="16">
        <v>26000</v>
      </c>
      <c r="T37" s="16"/>
      <c r="U37" s="34">
        <v>23</v>
      </c>
    </row>
    <row r="38" spans="1:21" x14ac:dyDescent="0.25">
      <c r="A38" s="5">
        <v>46174</v>
      </c>
      <c r="B38" s="7" t="s">
        <v>79</v>
      </c>
      <c r="C38" s="7" t="s">
        <v>98</v>
      </c>
      <c r="D38" s="8"/>
      <c r="E38" s="9">
        <v>10060111</v>
      </c>
      <c r="F38" s="7" t="s">
        <v>23</v>
      </c>
      <c r="G38" s="36">
        <v>10</v>
      </c>
      <c r="H38" s="7">
        <v>1300</v>
      </c>
      <c r="I38" s="7">
        <v>13000</v>
      </c>
      <c r="J38" s="7" t="s">
        <v>24</v>
      </c>
      <c r="K38" s="7"/>
      <c r="L38" s="9"/>
      <c r="M38" s="7"/>
      <c r="N38" s="7" t="s">
        <v>99</v>
      </c>
      <c r="O38" s="7"/>
      <c r="P38" s="7"/>
      <c r="Q38" s="37"/>
      <c r="R38" s="7"/>
      <c r="S38" s="7">
        <v>13000</v>
      </c>
      <c r="T38" s="7"/>
      <c r="U38" s="38">
        <v>21</v>
      </c>
    </row>
    <row r="39" spans="1:21" x14ac:dyDescent="0.25">
      <c r="A39" s="14">
        <v>46175</v>
      </c>
      <c r="B39" s="16" t="s">
        <v>79</v>
      </c>
      <c r="C39" s="15" t="s">
        <v>100</v>
      </c>
      <c r="D39" s="24" t="s">
        <v>101</v>
      </c>
      <c r="E39" s="20">
        <v>10320001</v>
      </c>
      <c r="F39" s="7" t="s">
        <v>23</v>
      </c>
      <c r="G39" s="32">
        <v>50</v>
      </c>
      <c r="H39" s="16">
        <v>1300</v>
      </c>
      <c r="I39" s="16">
        <v>65000</v>
      </c>
      <c r="J39" s="16" t="s">
        <v>24</v>
      </c>
      <c r="K39" s="16"/>
      <c r="L39" s="18"/>
      <c r="M39" s="16"/>
      <c r="N39" s="16" t="s">
        <v>99</v>
      </c>
      <c r="O39" s="16"/>
      <c r="P39" s="16"/>
      <c r="Q39" s="33"/>
      <c r="R39" s="16"/>
      <c r="S39" s="16">
        <v>65000</v>
      </c>
      <c r="T39" s="16"/>
      <c r="U39" s="34">
        <v>20</v>
      </c>
    </row>
    <row r="40" spans="1:21" x14ac:dyDescent="0.25">
      <c r="A40" s="5">
        <v>46175</v>
      </c>
      <c r="B40" s="7" t="s">
        <v>79</v>
      </c>
      <c r="C40" s="7" t="s">
        <v>90</v>
      </c>
      <c r="D40" s="26"/>
      <c r="E40" s="11">
        <v>10060077</v>
      </c>
      <c r="F40" s="7" t="s">
        <v>23</v>
      </c>
      <c r="G40" s="36">
        <v>10</v>
      </c>
      <c r="H40" s="7">
        <v>1300</v>
      </c>
      <c r="I40" s="7">
        <v>13000</v>
      </c>
      <c r="J40" s="7" t="s">
        <v>24</v>
      </c>
      <c r="K40" s="7"/>
      <c r="L40" s="9"/>
      <c r="M40" s="7"/>
      <c r="N40" s="7" t="s">
        <v>99</v>
      </c>
      <c r="O40" s="7"/>
      <c r="P40" s="7"/>
      <c r="Q40" s="37"/>
      <c r="R40" s="7"/>
      <c r="S40" s="7">
        <v>13000</v>
      </c>
      <c r="T40" s="7"/>
      <c r="U40" s="38">
        <v>20</v>
      </c>
    </row>
    <row r="41" spans="1:21" x14ac:dyDescent="0.25">
      <c r="A41" s="14">
        <v>46175</v>
      </c>
      <c r="B41" s="16" t="s">
        <v>79</v>
      </c>
      <c r="C41" s="40" t="s">
        <v>102</v>
      </c>
      <c r="D41" s="17"/>
      <c r="E41" s="18">
        <v>10060106</v>
      </c>
      <c r="F41" s="7" t="s">
        <v>23</v>
      </c>
      <c r="G41" s="32">
        <v>10</v>
      </c>
      <c r="H41" s="16">
        <v>1300</v>
      </c>
      <c r="I41" s="16">
        <v>13000</v>
      </c>
      <c r="J41" s="16" t="s">
        <v>24</v>
      </c>
      <c r="K41" s="16"/>
      <c r="L41" s="18"/>
      <c r="M41" s="16"/>
      <c r="N41" s="16" t="s">
        <v>99</v>
      </c>
      <c r="O41" s="16" t="s">
        <v>26</v>
      </c>
      <c r="P41" s="41" t="s">
        <v>103</v>
      </c>
      <c r="Q41" s="33">
        <v>46184</v>
      </c>
      <c r="R41" s="16">
        <v>11000</v>
      </c>
      <c r="S41" s="16">
        <v>2000</v>
      </c>
      <c r="T41" s="16"/>
      <c r="U41" s="34">
        <v>20</v>
      </c>
    </row>
    <row r="42" spans="1:21" x14ac:dyDescent="0.25">
      <c r="A42" s="5">
        <v>46175</v>
      </c>
      <c r="B42" s="7" t="s">
        <v>79</v>
      </c>
      <c r="C42" s="6" t="s">
        <v>104</v>
      </c>
      <c r="D42" s="25" t="s">
        <v>105</v>
      </c>
      <c r="E42" s="11">
        <v>10060005</v>
      </c>
      <c r="F42" s="7" t="s">
        <v>23</v>
      </c>
      <c r="G42" s="36">
        <v>10</v>
      </c>
      <c r="H42" s="7">
        <v>1300</v>
      </c>
      <c r="I42" s="7">
        <v>13000</v>
      </c>
      <c r="J42" s="7" t="s">
        <v>24</v>
      </c>
      <c r="K42" s="7"/>
      <c r="L42" s="9"/>
      <c r="M42" s="7"/>
      <c r="N42" s="7" t="s">
        <v>99</v>
      </c>
      <c r="O42" s="7"/>
      <c r="P42" s="7"/>
      <c r="Q42" s="37"/>
      <c r="R42" s="7"/>
      <c r="S42" s="7">
        <v>13000</v>
      </c>
      <c r="T42" s="7"/>
      <c r="U42" s="38">
        <v>20</v>
      </c>
    </row>
    <row r="43" spans="1:21" x14ac:dyDescent="0.25">
      <c r="A43" s="14">
        <v>46175</v>
      </c>
      <c r="B43" s="16" t="s">
        <v>79</v>
      </c>
      <c r="C43" s="16" t="s">
        <v>106</v>
      </c>
      <c r="D43" s="27" t="s">
        <v>107</v>
      </c>
      <c r="E43" s="18">
        <v>10060010</v>
      </c>
      <c r="F43" s="7" t="s">
        <v>23</v>
      </c>
      <c r="G43" s="32">
        <v>30</v>
      </c>
      <c r="H43" s="16">
        <v>1300</v>
      </c>
      <c r="I43" s="16">
        <v>39000</v>
      </c>
      <c r="J43" s="16" t="s">
        <v>24</v>
      </c>
      <c r="K43" s="16"/>
      <c r="L43" s="18"/>
      <c r="M43" s="16"/>
      <c r="N43" s="16" t="s">
        <v>99</v>
      </c>
      <c r="O43" s="16"/>
      <c r="P43" s="16"/>
      <c r="Q43" s="33"/>
      <c r="R43" s="16"/>
      <c r="S43" s="16">
        <v>39000</v>
      </c>
      <c r="T43" s="16"/>
      <c r="U43" s="34">
        <v>20</v>
      </c>
    </row>
    <row r="44" spans="1:21" x14ac:dyDescent="0.25">
      <c r="A44" s="5">
        <v>46175</v>
      </c>
      <c r="B44" s="7" t="s">
        <v>79</v>
      </c>
      <c r="C44" s="6" t="s">
        <v>92</v>
      </c>
      <c r="D44" s="25"/>
      <c r="E44" s="11">
        <v>10060130</v>
      </c>
      <c r="F44" s="7" t="s">
        <v>23</v>
      </c>
      <c r="G44" s="36">
        <v>15</v>
      </c>
      <c r="H44" s="7">
        <v>1300</v>
      </c>
      <c r="I44" s="7">
        <v>19500</v>
      </c>
      <c r="J44" s="7" t="s">
        <v>24</v>
      </c>
      <c r="K44" s="7"/>
      <c r="L44" s="9"/>
      <c r="M44" s="7"/>
      <c r="N44" s="7" t="s">
        <v>99</v>
      </c>
      <c r="O44" s="7"/>
      <c r="P44" s="7"/>
      <c r="Q44" s="37"/>
      <c r="R44" s="7"/>
      <c r="S44" s="7">
        <v>19500</v>
      </c>
      <c r="T44" s="7"/>
      <c r="U44" s="38">
        <v>20</v>
      </c>
    </row>
    <row r="45" spans="1:21" x14ac:dyDescent="0.25">
      <c r="A45" s="14">
        <v>46175</v>
      </c>
      <c r="B45" s="16" t="s">
        <v>79</v>
      </c>
      <c r="C45" s="15" t="s">
        <v>108</v>
      </c>
      <c r="D45" s="24" t="s">
        <v>109</v>
      </c>
      <c r="E45" s="20">
        <v>10060007</v>
      </c>
      <c r="F45" s="7" t="s">
        <v>23</v>
      </c>
      <c r="G45" s="32">
        <v>10</v>
      </c>
      <c r="H45" s="16">
        <v>1300</v>
      </c>
      <c r="I45" s="16">
        <v>13000</v>
      </c>
      <c r="J45" s="16" t="s">
        <v>24</v>
      </c>
      <c r="K45" s="16"/>
      <c r="L45" s="18"/>
      <c r="M45" s="16"/>
      <c r="N45" s="16" t="s">
        <v>99</v>
      </c>
      <c r="O45" s="16"/>
      <c r="P45" s="16"/>
      <c r="Q45" s="33"/>
      <c r="R45" s="16"/>
      <c r="S45" s="16">
        <v>13000</v>
      </c>
      <c r="T45" s="16"/>
      <c r="U45" s="34">
        <v>20</v>
      </c>
    </row>
    <row r="46" spans="1:21" x14ac:dyDescent="0.25">
      <c r="A46" s="5">
        <v>46175</v>
      </c>
      <c r="B46" s="7" t="s">
        <v>79</v>
      </c>
      <c r="C46" s="6" t="s">
        <v>110</v>
      </c>
      <c r="D46" s="29"/>
      <c r="E46" s="11">
        <v>10060074</v>
      </c>
      <c r="F46" s="7" t="s">
        <v>23</v>
      </c>
      <c r="G46" s="36">
        <v>28</v>
      </c>
      <c r="H46" s="7">
        <v>1300</v>
      </c>
      <c r="I46" s="7">
        <v>36400</v>
      </c>
      <c r="J46" s="7" t="s">
        <v>24</v>
      </c>
      <c r="K46" s="7"/>
      <c r="L46" s="9"/>
      <c r="M46" s="7"/>
      <c r="N46" s="7" t="s">
        <v>99</v>
      </c>
      <c r="O46" s="7"/>
      <c r="P46" s="7"/>
      <c r="Q46" s="37"/>
      <c r="R46" s="7"/>
      <c r="S46" s="7">
        <v>36400</v>
      </c>
      <c r="T46" s="7"/>
      <c r="U46" s="38">
        <v>20</v>
      </c>
    </row>
    <row r="47" spans="1:21" x14ac:dyDescent="0.25">
      <c r="A47" s="14">
        <v>46175</v>
      </c>
      <c r="B47" s="16" t="s">
        <v>79</v>
      </c>
      <c r="C47" s="16" t="s">
        <v>94</v>
      </c>
      <c r="D47" s="17" t="s">
        <v>95</v>
      </c>
      <c r="E47" s="18">
        <v>10060009</v>
      </c>
      <c r="F47" s="7" t="s">
        <v>23</v>
      </c>
      <c r="G47" s="32">
        <v>20</v>
      </c>
      <c r="H47" s="16">
        <v>1350</v>
      </c>
      <c r="I47" s="16">
        <v>27000</v>
      </c>
      <c r="J47" s="16" t="s">
        <v>24</v>
      </c>
      <c r="K47" s="16"/>
      <c r="L47" s="18"/>
      <c r="M47" s="16"/>
      <c r="N47" s="16" t="s">
        <v>99</v>
      </c>
      <c r="O47" s="16"/>
      <c r="P47" s="16"/>
      <c r="Q47" s="33"/>
      <c r="R47" s="16"/>
      <c r="S47" s="16">
        <v>27000</v>
      </c>
      <c r="T47" s="16"/>
      <c r="U47" s="34">
        <v>20</v>
      </c>
    </row>
    <row r="48" spans="1:21" x14ac:dyDescent="0.25">
      <c r="A48" s="5">
        <v>46175</v>
      </c>
      <c r="B48" s="7" t="s">
        <v>79</v>
      </c>
      <c r="C48" s="7" t="s">
        <v>111</v>
      </c>
      <c r="D48" s="8" t="s">
        <v>112</v>
      </c>
      <c r="E48" s="9">
        <v>10060021</v>
      </c>
      <c r="F48" s="7" t="s">
        <v>23</v>
      </c>
      <c r="G48" s="36">
        <v>10</v>
      </c>
      <c r="H48" s="7">
        <v>1300</v>
      </c>
      <c r="I48" s="7">
        <v>13000</v>
      </c>
      <c r="J48" s="7" t="s">
        <v>24</v>
      </c>
      <c r="K48" s="7"/>
      <c r="L48" s="9"/>
      <c r="M48" s="7"/>
      <c r="N48" s="7" t="s">
        <v>99</v>
      </c>
      <c r="O48" s="7"/>
      <c r="P48" s="7"/>
      <c r="Q48" s="37"/>
      <c r="R48" s="7"/>
      <c r="S48" s="7">
        <v>13000</v>
      </c>
      <c r="T48" s="7"/>
      <c r="U48" s="38">
        <v>20</v>
      </c>
    </row>
    <row r="49" spans="1:21" x14ac:dyDescent="0.25">
      <c r="A49" s="31">
        <v>46172</v>
      </c>
      <c r="B49" s="15" t="s">
        <v>113</v>
      </c>
      <c r="C49" s="16" t="s">
        <v>114</v>
      </c>
      <c r="D49" s="17"/>
      <c r="E49" s="18">
        <v>10070008</v>
      </c>
      <c r="F49" s="7" t="s">
        <v>23</v>
      </c>
      <c r="G49" s="32">
        <v>5</v>
      </c>
      <c r="H49" s="16">
        <v>1300</v>
      </c>
      <c r="I49" s="16">
        <v>6500</v>
      </c>
      <c r="J49" s="16" t="s">
        <v>24</v>
      </c>
      <c r="K49" s="16"/>
      <c r="L49" s="18"/>
      <c r="M49" s="16"/>
      <c r="N49" s="16" t="s">
        <v>29</v>
      </c>
      <c r="O49" s="16"/>
      <c r="P49" s="16"/>
      <c r="Q49" s="33"/>
      <c r="R49" s="16"/>
      <c r="S49" s="16">
        <v>6500</v>
      </c>
      <c r="T49" s="16"/>
      <c r="U49" s="34">
        <v>23</v>
      </c>
    </row>
    <row r="50" spans="1:21" x14ac:dyDescent="0.25">
      <c r="A50" s="35">
        <v>46173</v>
      </c>
      <c r="B50" s="7" t="s">
        <v>84</v>
      </c>
      <c r="C50" s="6" t="s">
        <v>115</v>
      </c>
      <c r="D50" s="29"/>
      <c r="E50" s="11">
        <v>10080002</v>
      </c>
      <c r="F50" s="7" t="s">
        <v>23</v>
      </c>
      <c r="G50" s="36">
        <v>2</v>
      </c>
      <c r="H50" s="7">
        <v>1300</v>
      </c>
      <c r="I50" s="7">
        <v>2600</v>
      </c>
      <c r="J50" s="7" t="s">
        <v>24</v>
      </c>
      <c r="K50" s="7"/>
      <c r="L50" s="9"/>
      <c r="M50" s="7"/>
      <c r="N50" s="7" t="s">
        <v>29</v>
      </c>
      <c r="O50" s="7"/>
      <c r="P50" s="7"/>
      <c r="Q50" s="37"/>
      <c r="R50" s="7"/>
      <c r="S50" s="7">
        <v>2600</v>
      </c>
      <c r="T50" s="7"/>
      <c r="U50" s="38">
        <v>22</v>
      </c>
    </row>
    <row r="51" spans="1:21" x14ac:dyDescent="0.25">
      <c r="A51" s="31">
        <v>46175</v>
      </c>
      <c r="B51" s="15" t="s">
        <v>116</v>
      </c>
      <c r="C51" s="15" t="s">
        <v>117</v>
      </c>
      <c r="D51" s="30" t="s">
        <v>118</v>
      </c>
      <c r="E51" s="20">
        <v>10110076</v>
      </c>
      <c r="F51" s="6" t="s">
        <v>23</v>
      </c>
      <c r="G51" s="32">
        <v>37</v>
      </c>
      <c r="H51" s="16">
        <v>1250</v>
      </c>
      <c r="I51" s="16">
        <v>46250</v>
      </c>
      <c r="J51" s="15" t="s">
        <v>24</v>
      </c>
      <c r="K51" s="16"/>
      <c r="L51" s="18"/>
      <c r="M51" s="16"/>
      <c r="N51" s="16" t="s">
        <v>99</v>
      </c>
      <c r="O51" s="16" t="s">
        <v>26</v>
      </c>
      <c r="P51" s="16" t="s">
        <v>119</v>
      </c>
      <c r="Q51" s="33" t="s">
        <v>120</v>
      </c>
      <c r="R51" s="16">
        <v>34721</v>
      </c>
      <c r="S51" s="16">
        <v>11529</v>
      </c>
      <c r="T51" s="16"/>
      <c r="U51" s="34">
        <v>20</v>
      </c>
    </row>
    <row r="52" spans="1:21" x14ac:dyDescent="0.25">
      <c r="A52" s="35">
        <v>46175</v>
      </c>
      <c r="B52" s="6" t="s">
        <v>116</v>
      </c>
      <c r="C52" s="7" t="s">
        <v>121</v>
      </c>
      <c r="D52" s="8"/>
      <c r="E52" s="9">
        <v>10110013</v>
      </c>
      <c r="F52" s="6" t="s">
        <v>23</v>
      </c>
      <c r="G52" s="36">
        <v>2</v>
      </c>
      <c r="H52" s="7">
        <v>1300</v>
      </c>
      <c r="I52" s="7">
        <v>2600</v>
      </c>
      <c r="J52" s="6" t="s">
        <v>24</v>
      </c>
      <c r="K52" s="7"/>
      <c r="L52" s="9"/>
      <c r="M52" s="7"/>
      <c r="N52" s="7" t="s">
        <v>99</v>
      </c>
      <c r="O52" s="7" t="s">
        <v>26</v>
      </c>
      <c r="P52" s="41" t="s">
        <v>103</v>
      </c>
      <c r="Q52" s="37" t="s">
        <v>122</v>
      </c>
      <c r="R52" s="7">
        <v>1400</v>
      </c>
      <c r="S52" s="7">
        <v>1200</v>
      </c>
      <c r="T52" s="7"/>
      <c r="U52" s="38">
        <v>20</v>
      </c>
    </row>
    <row r="53" spans="1:21" x14ac:dyDescent="0.25">
      <c r="A53" s="14">
        <v>46175</v>
      </c>
      <c r="B53" s="15" t="s">
        <v>87</v>
      </c>
      <c r="C53" s="15" t="s">
        <v>123</v>
      </c>
      <c r="D53" s="24"/>
      <c r="E53" s="20">
        <v>10570008</v>
      </c>
      <c r="F53" s="6" t="s">
        <v>34</v>
      </c>
      <c r="G53" s="19">
        <v>5</v>
      </c>
      <c r="H53" s="15">
        <v>1500</v>
      </c>
      <c r="I53" s="15">
        <v>7500</v>
      </c>
      <c r="J53" s="15" t="s">
        <v>24</v>
      </c>
      <c r="K53" s="15"/>
      <c r="L53" s="20"/>
      <c r="M53" s="15"/>
      <c r="N53" s="15" t="s">
        <v>99</v>
      </c>
      <c r="O53" s="15"/>
      <c r="P53" s="15"/>
      <c r="Q53" s="21"/>
      <c r="R53" s="15"/>
      <c r="S53" s="15">
        <v>7500</v>
      </c>
      <c r="T53" s="15"/>
      <c r="U53" s="22">
        <v>20</v>
      </c>
    </row>
    <row r="54" spans="1:21" x14ac:dyDescent="0.25">
      <c r="A54" s="5">
        <v>46175</v>
      </c>
      <c r="B54" s="6" t="s">
        <v>87</v>
      </c>
      <c r="C54" s="6" t="s">
        <v>123</v>
      </c>
      <c r="D54" s="25"/>
      <c r="E54" s="11">
        <v>10570008</v>
      </c>
      <c r="F54" s="6" t="s">
        <v>23</v>
      </c>
      <c r="G54" s="10">
        <v>5</v>
      </c>
      <c r="H54" s="6">
        <v>1350</v>
      </c>
      <c r="I54" s="6">
        <v>6750</v>
      </c>
      <c r="J54" s="6" t="s">
        <v>24</v>
      </c>
      <c r="K54" s="6"/>
      <c r="L54" s="11"/>
      <c r="M54" s="6"/>
      <c r="N54" s="6" t="s">
        <v>99</v>
      </c>
      <c r="O54" s="6"/>
      <c r="P54" s="6"/>
      <c r="Q54" s="12"/>
      <c r="R54" s="6"/>
      <c r="S54" s="6">
        <v>6750</v>
      </c>
      <c r="T54" s="6"/>
      <c r="U54" s="13">
        <v>20</v>
      </c>
    </row>
    <row r="55" spans="1:21" x14ac:dyDescent="0.25">
      <c r="A55" s="14">
        <v>46175</v>
      </c>
      <c r="B55" s="15" t="s">
        <v>87</v>
      </c>
      <c r="C55" s="15" t="s">
        <v>124</v>
      </c>
      <c r="D55" s="24"/>
      <c r="E55" s="20">
        <v>10570003</v>
      </c>
      <c r="F55" s="6" t="s">
        <v>23</v>
      </c>
      <c r="G55" s="19">
        <v>5</v>
      </c>
      <c r="H55" s="15">
        <v>1350</v>
      </c>
      <c r="I55" s="15">
        <v>6750</v>
      </c>
      <c r="J55" s="15" t="s">
        <v>24</v>
      </c>
      <c r="K55" s="15"/>
      <c r="L55" s="20"/>
      <c r="M55" s="15"/>
      <c r="N55" s="15" t="s">
        <v>99</v>
      </c>
      <c r="O55" s="15"/>
      <c r="P55" s="15"/>
      <c r="Q55" s="21"/>
      <c r="R55" s="15"/>
      <c r="S55" s="15">
        <v>6750</v>
      </c>
      <c r="T55" s="15"/>
      <c r="U55" s="22">
        <v>20</v>
      </c>
    </row>
    <row r="56" spans="1:21" x14ac:dyDescent="0.25">
      <c r="A56" s="5">
        <v>46176</v>
      </c>
      <c r="B56" s="6" t="s">
        <v>87</v>
      </c>
      <c r="C56" s="6" t="s">
        <v>125</v>
      </c>
      <c r="D56" s="25"/>
      <c r="E56" s="11">
        <v>10570009</v>
      </c>
      <c r="F56" s="6" t="s">
        <v>23</v>
      </c>
      <c r="G56" s="10">
        <v>2</v>
      </c>
      <c r="H56" s="6">
        <v>1400</v>
      </c>
      <c r="I56" s="6">
        <v>2800</v>
      </c>
      <c r="J56" s="6" t="s">
        <v>24</v>
      </c>
      <c r="K56" s="6"/>
      <c r="L56" s="11"/>
      <c r="M56" s="6"/>
      <c r="N56" s="6" t="s">
        <v>99</v>
      </c>
      <c r="O56" s="6"/>
      <c r="P56" s="6"/>
      <c r="Q56" s="12"/>
      <c r="R56" s="6"/>
      <c r="S56" s="6">
        <v>2800</v>
      </c>
      <c r="T56" s="6"/>
      <c r="U56" s="13">
        <v>19</v>
      </c>
    </row>
    <row r="57" spans="1:21" x14ac:dyDescent="0.25">
      <c r="A57" s="14">
        <v>46176</v>
      </c>
      <c r="B57" s="15" t="s">
        <v>87</v>
      </c>
      <c r="C57" s="15" t="s">
        <v>89</v>
      </c>
      <c r="D57" s="24"/>
      <c r="E57" s="20">
        <v>10570021</v>
      </c>
      <c r="F57" s="6" t="s">
        <v>23</v>
      </c>
      <c r="G57" s="19">
        <v>5</v>
      </c>
      <c r="H57" s="15">
        <v>1400</v>
      </c>
      <c r="I57" s="15">
        <v>7000</v>
      </c>
      <c r="J57" s="15" t="s">
        <v>24</v>
      </c>
      <c r="K57" s="15"/>
      <c r="L57" s="20"/>
      <c r="M57" s="15"/>
      <c r="N57" s="15" t="s">
        <v>99</v>
      </c>
      <c r="O57" s="15"/>
      <c r="P57" s="15"/>
      <c r="Q57" s="21"/>
      <c r="R57" s="15"/>
      <c r="S57" s="15">
        <v>7000</v>
      </c>
      <c r="T57" s="15"/>
      <c r="U57" s="22">
        <v>19</v>
      </c>
    </row>
    <row r="58" spans="1:21" x14ac:dyDescent="0.25">
      <c r="A58" s="5">
        <v>46174</v>
      </c>
      <c r="B58" s="6" t="s">
        <v>116</v>
      </c>
      <c r="C58" s="6" t="s">
        <v>126</v>
      </c>
      <c r="D58" s="25"/>
      <c r="E58" s="11">
        <v>10110008</v>
      </c>
      <c r="F58" s="6" t="s">
        <v>34</v>
      </c>
      <c r="G58" s="10">
        <v>500</v>
      </c>
      <c r="H58" s="6">
        <v>1390</v>
      </c>
      <c r="I58" s="6">
        <v>695000</v>
      </c>
      <c r="J58" s="6" t="s">
        <v>24</v>
      </c>
      <c r="K58" s="6"/>
      <c r="L58" s="11"/>
      <c r="M58" s="6"/>
      <c r="N58" s="6" t="s">
        <v>99</v>
      </c>
      <c r="O58" s="6" t="s">
        <v>26</v>
      </c>
      <c r="P58" s="42" t="s">
        <v>103</v>
      </c>
      <c r="Q58" s="12" t="s">
        <v>127</v>
      </c>
      <c r="R58" s="6">
        <v>586931</v>
      </c>
      <c r="S58" s="6">
        <v>108069</v>
      </c>
      <c r="T58" s="6"/>
      <c r="U58" s="13">
        <v>21</v>
      </c>
    </row>
    <row r="59" spans="1:21" x14ac:dyDescent="0.25">
      <c r="A59" s="14">
        <v>46162</v>
      </c>
      <c r="B59" s="16" t="s">
        <v>79</v>
      </c>
      <c r="C59" s="40" t="s">
        <v>102</v>
      </c>
      <c r="D59" s="17"/>
      <c r="E59" s="18">
        <v>10060106</v>
      </c>
      <c r="F59" s="6" t="s">
        <v>34</v>
      </c>
      <c r="G59" s="19">
        <v>3</v>
      </c>
      <c r="H59" s="15">
        <v>1400</v>
      </c>
      <c r="I59" s="15">
        <v>4200</v>
      </c>
      <c r="J59" s="15" t="s">
        <v>24</v>
      </c>
      <c r="K59" s="15"/>
      <c r="L59" s="20"/>
      <c r="M59" s="15"/>
      <c r="N59" s="15" t="s">
        <v>29</v>
      </c>
      <c r="O59" s="15"/>
      <c r="P59" s="15"/>
      <c r="Q59" s="21"/>
      <c r="R59" s="15"/>
      <c r="S59" s="15">
        <v>4200</v>
      </c>
      <c r="T59" s="15"/>
      <c r="U59" s="22">
        <v>33</v>
      </c>
    </row>
    <row r="60" spans="1:21" x14ac:dyDescent="0.25">
      <c r="A60" s="5">
        <v>46172</v>
      </c>
      <c r="B60" s="7" t="s">
        <v>79</v>
      </c>
      <c r="C60" s="7" t="s">
        <v>90</v>
      </c>
      <c r="D60" s="26"/>
      <c r="E60" s="9">
        <v>10060077</v>
      </c>
      <c r="F60" s="6" t="s">
        <v>34</v>
      </c>
      <c r="G60" s="10">
        <v>2</v>
      </c>
      <c r="H60" s="6">
        <v>1450</v>
      </c>
      <c r="I60" s="6">
        <v>2900</v>
      </c>
      <c r="J60" s="6" t="s">
        <v>24</v>
      </c>
      <c r="K60" s="6"/>
      <c r="L60" s="11"/>
      <c r="M60" s="6"/>
      <c r="N60" s="6" t="s">
        <v>29</v>
      </c>
      <c r="O60" s="6"/>
      <c r="P60" s="6"/>
      <c r="Q60" s="12"/>
      <c r="R60" s="6"/>
      <c r="S60" s="6">
        <v>2900</v>
      </c>
      <c r="T60" s="6"/>
      <c r="U60" s="13">
        <v>23</v>
      </c>
    </row>
    <row r="61" spans="1:21" x14ac:dyDescent="0.25">
      <c r="A61" s="14">
        <v>46175</v>
      </c>
      <c r="B61" s="16" t="s">
        <v>79</v>
      </c>
      <c r="C61" s="16" t="s">
        <v>94</v>
      </c>
      <c r="D61" s="17" t="s">
        <v>95</v>
      </c>
      <c r="E61" s="18">
        <v>10060009</v>
      </c>
      <c r="F61" s="6" t="s">
        <v>34</v>
      </c>
      <c r="G61" s="19">
        <v>20</v>
      </c>
      <c r="H61" s="15">
        <v>1350</v>
      </c>
      <c r="I61" s="15">
        <v>27000</v>
      </c>
      <c r="J61" s="15" t="s">
        <v>24</v>
      </c>
      <c r="K61" s="15"/>
      <c r="L61" s="20"/>
      <c r="M61" s="15"/>
      <c r="N61" s="15" t="s">
        <v>99</v>
      </c>
      <c r="O61" s="15"/>
      <c r="P61" s="15"/>
      <c r="Q61" s="21"/>
      <c r="R61" s="15"/>
      <c r="S61" s="15">
        <v>27000</v>
      </c>
      <c r="T61" s="15"/>
      <c r="U61" s="22">
        <v>20</v>
      </c>
    </row>
    <row r="62" spans="1:21" x14ac:dyDescent="0.25">
      <c r="A62" s="5">
        <v>46175</v>
      </c>
      <c r="B62" s="7" t="s">
        <v>79</v>
      </c>
      <c r="C62" s="7" t="s">
        <v>110</v>
      </c>
      <c r="D62" s="26"/>
      <c r="E62" s="9">
        <v>10060074</v>
      </c>
      <c r="F62" s="7" t="s">
        <v>34</v>
      </c>
      <c r="G62" s="10">
        <v>4</v>
      </c>
      <c r="H62" s="6">
        <v>1450</v>
      </c>
      <c r="I62" s="6">
        <v>5800</v>
      </c>
      <c r="J62" s="6" t="s">
        <v>24</v>
      </c>
      <c r="K62" s="6"/>
      <c r="L62" s="11"/>
      <c r="M62" s="6"/>
      <c r="N62" s="6" t="s">
        <v>99</v>
      </c>
      <c r="O62" s="6"/>
      <c r="P62" s="6"/>
      <c r="Q62" s="12"/>
      <c r="R62" s="6"/>
      <c r="S62" s="6">
        <v>5800</v>
      </c>
      <c r="T62" s="6"/>
      <c r="U62" s="13">
        <v>20</v>
      </c>
    </row>
    <row r="63" spans="1:21" x14ac:dyDescent="0.25">
      <c r="A63" s="14">
        <v>46175</v>
      </c>
      <c r="B63" s="16" t="s">
        <v>79</v>
      </c>
      <c r="C63" s="40" t="s">
        <v>92</v>
      </c>
      <c r="D63" s="17"/>
      <c r="E63" s="18">
        <v>10060130</v>
      </c>
      <c r="F63" s="6" t="s">
        <v>34</v>
      </c>
      <c r="G63" s="19">
        <v>5</v>
      </c>
      <c r="H63" s="15">
        <v>1450</v>
      </c>
      <c r="I63" s="15">
        <v>7250</v>
      </c>
      <c r="J63" s="15" t="s">
        <v>24</v>
      </c>
      <c r="K63" s="15"/>
      <c r="L63" s="20"/>
      <c r="M63" s="15"/>
      <c r="N63" s="15" t="s">
        <v>99</v>
      </c>
      <c r="O63" s="15"/>
      <c r="P63" s="15"/>
      <c r="Q63" s="21"/>
      <c r="R63" s="15"/>
      <c r="S63" s="15">
        <v>7250</v>
      </c>
      <c r="T63" s="15"/>
      <c r="U63" s="22">
        <v>20</v>
      </c>
    </row>
    <row r="64" spans="1:21" x14ac:dyDescent="0.25">
      <c r="A64" s="5">
        <v>46175</v>
      </c>
      <c r="B64" s="7" t="s">
        <v>79</v>
      </c>
      <c r="C64" s="6" t="s">
        <v>128</v>
      </c>
      <c r="D64" s="25"/>
      <c r="E64" s="11">
        <v>10590004</v>
      </c>
      <c r="F64" s="6" t="s">
        <v>34</v>
      </c>
      <c r="G64" s="10">
        <v>15</v>
      </c>
      <c r="H64" s="6">
        <v>1450</v>
      </c>
      <c r="I64" s="6">
        <v>21750</v>
      </c>
      <c r="J64" s="6" t="s">
        <v>24</v>
      </c>
      <c r="K64" s="6"/>
      <c r="L64" s="11"/>
      <c r="M64" s="6"/>
      <c r="N64" s="6" t="s">
        <v>99</v>
      </c>
      <c r="O64" s="6"/>
      <c r="P64" s="6"/>
      <c r="Q64" s="12"/>
      <c r="R64" s="6"/>
      <c r="S64" s="6">
        <v>21750</v>
      </c>
      <c r="T64" s="6"/>
      <c r="U64" s="13">
        <v>20</v>
      </c>
    </row>
    <row r="65" spans="1:21" x14ac:dyDescent="0.25">
      <c r="A65" s="14">
        <v>46174</v>
      </c>
      <c r="B65" s="15" t="s">
        <v>21</v>
      </c>
      <c r="C65" s="16" t="s">
        <v>129</v>
      </c>
      <c r="D65" s="17"/>
      <c r="E65" s="18">
        <v>10110100</v>
      </c>
      <c r="F65" s="7" t="s">
        <v>23</v>
      </c>
      <c r="G65" s="19">
        <v>6</v>
      </c>
      <c r="H65" s="15">
        <v>1350</v>
      </c>
      <c r="I65" s="15">
        <v>8100</v>
      </c>
      <c r="J65" s="15" t="s">
        <v>24</v>
      </c>
      <c r="K65" s="15"/>
      <c r="L65" s="20"/>
      <c r="M65" s="15"/>
      <c r="N65" s="15" t="s">
        <v>99</v>
      </c>
      <c r="O65" s="15" t="s">
        <v>26</v>
      </c>
      <c r="P65" s="41" t="s">
        <v>130</v>
      </c>
      <c r="Q65" s="21">
        <v>46177</v>
      </c>
      <c r="R65" s="15">
        <v>2700</v>
      </c>
      <c r="S65" s="15">
        <v>5400</v>
      </c>
      <c r="T65" s="15"/>
      <c r="U65" s="22">
        <v>21</v>
      </c>
    </row>
    <row r="66" spans="1:21" x14ac:dyDescent="0.25">
      <c r="A66" s="5">
        <v>46174</v>
      </c>
      <c r="B66" s="6" t="s">
        <v>43</v>
      </c>
      <c r="C66" s="6" t="s">
        <v>131</v>
      </c>
      <c r="D66" s="26" t="s">
        <v>132</v>
      </c>
      <c r="E66" s="9">
        <v>10140047</v>
      </c>
      <c r="F66" s="6" t="s">
        <v>23</v>
      </c>
      <c r="G66" s="10">
        <v>5</v>
      </c>
      <c r="H66" s="6">
        <v>1280</v>
      </c>
      <c r="I66" s="6">
        <v>6400</v>
      </c>
      <c r="J66" s="6" t="s">
        <v>24</v>
      </c>
      <c r="K66" s="6"/>
      <c r="L66" s="11"/>
      <c r="M66" s="6"/>
      <c r="N66" s="6" t="s">
        <v>99</v>
      </c>
      <c r="O66" s="6"/>
      <c r="P66" s="6"/>
      <c r="Q66" s="12"/>
      <c r="R66" s="6"/>
      <c r="S66" s="6">
        <v>6400</v>
      </c>
      <c r="T66" s="6"/>
      <c r="U66" s="13">
        <v>21</v>
      </c>
    </row>
    <row r="67" spans="1:21" x14ac:dyDescent="0.25">
      <c r="A67" s="14">
        <v>46177</v>
      </c>
      <c r="B67" s="15" t="s">
        <v>133</v>
      </c>
      <c r="C67" s="15" t="s">
        <v>134</v>
      </c>
      <c r="D67" s="24"/>
      <c r="E67" s="20">
        <v>10660006</v>
      </c>
      <c r="F67" s="6" t="s">
        <v>34</v>
      </c>
      <c r="G67" s="19">
        <v>3</v>
      </c>
      <c r="H67" s="15">
        <v>1500</v>
      </c>
      <c r="I67" s="15">
        <v>4500</v>
      </c>
      <c r="J67" s="15" t="s">
        <v>24</v>
      </c>
      <c r="K67" s="15"/>
      <c r="L67" s="20"/>
      <c r="M67" s="15"/>
      <c r="N67" s="15" t="s">
        <v>99</v>
      </c>
      <c r="O67" s="15" t="s">
        <v>26</v>
      </c>
      <c r="P67" s="15" t="s">
        <v>135</v>
      </c>
      <c r="Q67" s="21">
        <v>46177</v>
      </c>
      <c r="R67" s="15">
        <v>4400</v>
      </c>
      <c r="S67" s="15">
        <v>100</v>
      </c>
      <c r="T67" s="15"/>
      <c r="U67" s="22">
        <v>18</v>
      </c>
    </row>
    <row r="68" spans="1:21" x14ac:dyDescent="0.25">
      <c r="A68" s="35">
        <v>46174</v>
      </c>
      <c r="B68" s="7" t="s">
        <v>113</v>
      </c>
      <c r="C68" s="6" t="s">
        <v>136</v>
      </c>
      <c r="D68" s="25"/>
      <c r="E68" s="11">
        <v>10560001</v>
      </c>
      <c r="F68" s="6" t="s">
        <v>23</v>
      </c>
      <c r="G68" s="36">
        <v>20</v>
      </c>
      <c r="H68" s="7">
        <v>1300</v>
      </c>
      <c r="I68" s="7">
        <v>26000</v>
      </c>
      <c r="J68" s="7" t="s">
        <v>24</v>
      </c>
      <c r="K68" s="7"/>
      <c r="L68" s="9"/>
      <c r="M68" s="7"/>
      <c r="N68" s="7" t="s">
        <v>99</v>
      </c>
      <c r="O68" s="7"/>
      <c r="P68" s="7"/>
      <c r="Q68" s="37"/>
      <c r="R68" s="7"/>
      <c r="S68" s="7">
        <v>26000</v>
      </c>
      <c r="T68" s="7"/>
      <c r="U68" s="38">
        <v>21</v>
      </c>
    </row>
    <row r="69" spans="1:21" x14ac:dyDescent="0.25">
      <c r="A69" s="31">
        <v>46174</v>
      </c>
      <c r="B69" s="16" t="s">
        <v>113</v>
      </c>
      <c r="C69" s="16" t="s">
        <v>137</v>
      </c>
      <c r="D69" s="17"/>
      <c r="E69" s="18">
        <v>10560017</v>
      </c>
      <c r="F69" s="6" t="s">
        <v>23</v>
      </c>
      <c r="G69" s="32">
        <v>10</v>
      </c>
      <c r="H69" s="16">
        <v>1300</v>
      </c>
      <c r="I69" s="16">
        <v>13000</v>
      </c>
      <c r="J69" s="16" t="s">
        <v>24</v>
      </c>
      <c r="K69" s="16"/>
      <c r="L69" s="18"/>
      <c r="M69" s="16"/>
      <c r="N69" s="16" t="s">
        <v>99</v>
      </c>
      <c r="O69" s="16"/>
      <c r="P69" s="16"/>
      <c r="Q69" s="33"/>
      <c r="R69" s="16"/>
      <c r="S69" s="16">
        <v>13000</v>
      </c>
      <c r="T69" s="16"/>
      <c r="U69" s="34">
        <v>21</v>
      </c>
    </row>
    <row r="70" spans="1:21" x14ac:dyDescent="0.25">
      <c r="A70" s="35">
        <v>46176</v>
      </c>
      <c r="B70" s="7" t="s">
        <v>113</v>
      </c>
      <c r="C70" s="7" t="s">
        <v>138</v>
      </c>
      <c r="D70" s="26"/>
      <c r="E70" s="9">
        <v>10070046</v>
      </c>
      <c r="F70" s="6" t="s">
        <v>23</v>
      </c>
      <c r="G70" s="36">
        <v>10</v>
      </c>
      <c r="H70" s="7">
        <v>1350</v>
      </c>
      <c r="I70" s="7">
        <v>13500</v>
      </c>
      <c r="J70" s="7" t="s">
        <v>24</v>
      </c>
      <c r="K70" s="7"/>
      <c r="L70" s="9"/>
      <c r="M70" s="7"/>
      <c r="N70" s="7" t="s">
        <v>99</v>
      </c>
      <c r="O70" s="7"/>
      <c r="P70" s="7"/>
      <c r="Q70" s="37"/>
      <c r="R70" s="7"/>
      <c r="S70" s="7">
        <v>13500</v>
      </c>
      <c r="T70" s="7"/>
      <c r="U70" s="38">
        <v>19</v>
      </c>
    </row>
    <row r="71" spans="1:21" x14ac:dyDescent="0.25">
      <c r="A71" s="31">
        <v>46177</v>
      </c>
      <c r="B71" s="16" t="s">
        <v>113</v>
      </c>
      <c r="C71" s="15" t="s">
        <v>139</v>
      </c>
      <c r="D71" s="24"/>
      <c r="E71" s="20">
        <v>10560019</v>
      </c>
      <c r="F71" s="6" t="s">
        <v>23</v>
      </c>
      <c r="G71" s="32">
        <v>2</v>
      </c>
      <c r="H71" s="16">
        <v>1350</v>
      </c>
      <c r="I71" s="16">
        <v>2700</v>
      </c>
      <c r="J71" s="16" t="s">
        <v>24</v>
      </c>
      <c r="K71" s="16"/>
      <c r="L71" s="18"/>
      <c r="M71" s="16"/>
      <c r="N71" s="16" t="s">
        <v>99</v>
      </c>
      <c r="O71" s="16"/>
      <c r="P71" s="16"/>
      <c r="Q71" s="33"/>
      <c r="R71" s="16"/>
      <c r="S71" s="16">
        <v>2700</v>
      </c>
      <c r="T71" s="16"/>
      <c r="U71" s="34">
        <v>18</v>
      </c>
    </row>
    <row r="72" spans="1:21" x14ac:dyDescent="0.25">
      <c r="A72" s="35">
        <v>46175</v>
      </c>
      <c r="B72" s="6" t="s">
        <v>73</v>
      </c>
      <c r="C72" s="7" t="s">
        <v>140</v>
      </c>
      <c r="D72" s="26" t="s">
        <v>141</v>
      </c>
      <c r="E72" s="9">
        <v>10120001</v>
      </c>
      <c r="F72" s="6" t="s">
        <v>23</v>
      </c>
      <c r="G72" s="10">
        <v>4</v>
      </c>
      <c r="H72" s="6">
        <v>1350</v>
      </c>
      <c r="I72" s="7">
        <v>5400</v>
      </c>
      <c r="J72" s="7" t="s">
        <v>24</v>
      </c>
      <c r="K72" s="7"/>
      <c r="L72" s="9"/>
      <c r="M72" s="7"/>
      <c r="N72" s="7" t="s">
        <v>99</v>
      </c>
      <c r="O72" s="7" t="s">
        <v>26</v>
      </c>
      <c r="P72" s="43" t="s">
        <v>142</v>
      </c>
      <c r="Q72" s="37" t="s">
        <v>143</v>
      </c>
      <c r="R72" s="7">
        <v>2700</v>
      </c>
      <c r="S72" s="7">
        <v>2700</v>
      </c>
      <c r="T72" s="7"/>
      <c r="U72" s="38">
        <v>20</v>
      </c>
    </row>
    <row r="73" spans="1:21" x14ac:dyDescent="0.25">
      <c r="A73" s="31">
        <v>46175</v>
      </c>
      <c r="B73" s="16" t="s">
        <v>73</v>
      </c>
      <c r="C73" s="16" t="s">
        <v>144</v>
      </c>
      <c r="D73" s="17"/>
      <c r="E73" s="18">
        <v>10120096</v>
      </c>
      <c r="F73" s="7" t="s">
        <v>23</v>
      </c>
      <c r="G73" s="32">
        <v>10</v>
      </c>
      <c r="H73" s="16">
        <v>1250</v>
      </c>
      <c r="I73" s="16">
        <v>12500</v>
      </c>
      <c r="J73" s="16" t="s">
        <v>24</v>
      </c>
      <c r="K73" s="16"/>
      <c r="L73" s="18"/>
      <c r="M73" s="16"/>
      <c r="N73" s="16" t="s">
        <v>99</v>
      </c>
      <c r="O73" s="16" t="s">
        <v>26</v>
      </c>
      <c r="P73" s="16" t="s">
        <v>145</v>
      </c>
      <c r="Q73" s="33">
        <v>46184</v>
      </c>
      <c r="R73" s="16">
        <v>8700</v>
      </c>
      <c r="S73" s="16">
        <v>3800</v>
      </c>
      <c r="T73" s="16"/>
      <c r="U73" s="34">
        <v>20</v>
      </c>
    </row>
    <row r="74" spans="1:21" x14ac:dyDescent="0.25">
      <c r="A74" s="35">
        <v>46175</v>
      </c>
      <c r="B74" s="6" t="s">
        <v>73</v>
      </c>
      <c r="C74" s="7" t="s">
        <v>146</v>
      </c>
      <c r="D74" s="26" t="s">
        <v>147</v>
      </c>
      <c r="E74" s="9">
        <v>10120094</v>
      </c>
      <c r="F74" s="6" t="s">
        <v>23</v>
      </c>
      <c r="G74" s="10">
        <v>5</v>
      </c>
      <c r="H74" s="6">
        <v>1350</v>
      </c>
      <c r="I74" s="7">
        <v>6750</v>
      </c>
      <c r="J74" s="7" t="s">
        <v>24</v>
      </c>
      <c r="K74" s="7"/>
      <c r="L74" s="9"/>
      <c r="M74" s="7"/>
      <c r="N74" s="7" t="s">
        <v>99</v>
      </c>
      <c r="O74" s="7" t="s">
        <v>26</v>
      </c>
      <c r="P74" s="28" t="s">
        <v>148</v>
      </c>
      <c r="Q74" s="37">
        <v>46184</v>
      </c>
      <c r="R74" s="7">
        <v>1350</v>
      </c>
      <c r="S74" s="7">
        <v>5400</v>
      </c>
      <c r="T74" s="7"/>
      <c r="U74" s="38">
        <v>20</v>
      </c>
    </row>
    <row r="75" spans="1:21" x14ac:dyDescent="0.25">
      <c r="A75" s="31">
        <v>46175</v>
      </c>
      <c r="B75" s="15" t="s">
        <v>50</v>
      </c>
      <c r="C75" s="15" t="s">
        <v>149</v>
      </c>
      <c r="D75" s="24"/>
      <c r="E75" s="20">
        <v>10530044</v>
      </c>
      <c r="F75" s="6" t="s">
        <v>34</v>
      </c>
      <c r="G75" s="19">
        <v>1</v>
      </c>
      <c r="H75" s="15">
        <v>1500</v>
      </c>
      <c r="I75" s="16">
        <v>1500</v>
      </c>
      <c r="J75" s="16" t="s">
        <v>24</v>
      </c>
      <c r="K75" s="16"/>
      <c r="L75" s="18"/>
      <c r="M75" s="16"/>
      <c r="N75" s="16" t="s">
        <v>99</v>
      </c>
      <c r="O75" s="16"/>
      <c r="P75" s="16"/>
      <c r="Q75" s="33"/>
      <c r="R75" s="16"/>
      <c r="S75" s="16">
        <v>1500</v>
      </c>
      <c r="T75" s="16"/>
      <c r="U75" s="34">
        <v>20</v>
      </c>
    </row>
    <row r="76" spans="1:21" x14ac:dyDescent="0.25">
      <c r="A76" s="35">
        <v>46175</v>
      </c>
      <c r="B76" s="6" t="s">
        <v>50</v>
      </c>
      <c r="C76" s="6" t="s">
        <v>150</v>
      </c>
      <c r="D76" s="25"/>
      <c r="E76" s="11">
        <v>10530113</v>
      </c>
      <c r="F76" s="6" t="s">
        <v>34</v>
      </c>
      <c r="G76" s="10">
        <v>15</v>
      </c>
      <c r="H76" s="6">
        <v>1500</v>
      </c>
      <c r="I76" s="7">
        <v>22500</v>
      </c>
      <c r="J76" s="7" t="s">
        <v>24</v>
      </c>
      <c r="K76" s="7"/>
      <c r="L76" s="9"/>
      <c r="M76" s="7"/>
      <c r="N76" s="7" t="s">
        <v>99</v>
      </c>
      <c r="O76" s="7" t="s">
        <v>26</v>
      </c>
      <c r="P76" s="42" t="s">
        <v>103</v>
      </c>
      <c r="Q76" s="12" t="s">
        <v>151</v>
      </c>
      <c r="R76" s="7">
        <v>13547</v>
      </c>
      <c r="S76" s="7">
        <v>8953</v>
      </c>
      <c r="T76" s="7"/>
      <c r="U76" s="38">
        <v>20</v>
      </c>
    </row>
    <row r="77" spans="1:21" x14ac:dyDescent="0.25">
      <c r="A77" s="31">
        <v>46175</v>
      </c>
      <c r="B77" s="15" t="s">
        <v>50</v>
      </c>
      <c r="C77" s="15" t="s">
        <v>152</v>
      </c>
      <c r="D77" s="24"/>
      <c r="E77" s="20">
        <v>10530067</v>
      </c>
      <c r="F77" s="6" t="s">
        <v>34</v>
      </c>
      <c r="G77" s="19">
        <v>13</v>
      </c>
      <c r="H77" s="15">
        <v>1500</v>
      </c>
      <c r="I77" s="16">
        <v>19500</v>
      </c>
      <c r="J77" s="16" t="s">
        <v>24</v>
      </c>
      <c r="K77" s="16"/>
      <c r="L77" s="18"/>
      <c r="M77" s="16"/>
      <c r="N77" s="16" t="s">
        <v>99</v>
      </c>
      <c r="O77" s="16" t="s">
        <v>26</v>
      </c>
      <c r="P77" s="42" t="s">
        <v>153</v>
      </c>
      <c r="Q77" s="33" t="s">
        <v>154</v>
      </c>
      <c r="R77" s="16">
        <v>7500</v>
      </c>
      <c r="S77" s="16">
        <v>12000</v>
      </c>
      <c r="T77" s="16"/>
      <c r="U77" s="34">
        <v>20</v>
      </c>
    </row>
    <row r="78" spans="1:21" x14ac:dyDescent="0.25">
      <c r="A78" s="35">
        <v>46177</v>
      </c>
      <c r="B78" s="6" t="s">
        <v>50</v>
      </c>
      <c r="C78" s="6" t="s">
        <v>155</v>
      </c>
      <c r="D78" s="25"/>
      <c r="E78" s="11">
        <v>10530065</v>
      </c>
      <c r="F78" s="6" t="s">
        <v>34</v>
      </c>
      <c r="G78" s="10">
        <v>6</v>
      </c>
      <c r="H78" s="6">
        <v>1550</v>
      </c>
      <c r="I78" s="7">
        <v>9300</v>
      </c>
      <c r="J78" s="7" t="s">
        <v>24</v>
      </c>
      <c r="K78" s="7"/>
      <c r="L78" s="9"/>
      <c r="M78" s="7"/>
      <c r="N78" s="7" t="s">
        <v>99</v>
      </c>
      <c r="O78" s="7" t="s">
        <v>26</v>
      </c>
      <c r="P78" s="28" t="s">
        <v>148</v>
      </c>
      <c r="Q78" s="37">
        <v>46184</v>
      </c>
      <c r="R78" s="7">
        <v>7954</v>
      </c>
      <c r="S78" s="7">
        <v>1346</v>
      </c>
      <c r="T78" s="7"/>
      <c r="U78" s="38">
        <v>18</v>
      </c>
    </row>
    <row r="79" spans="1:21" x14ac:dyDescent="0.25">
      <c r="A79" s="31">
        <v>46175</v>
      </c>
      <c r="B79" s="15" t="s">
        <v>50</v>
      </c>
      <c r="C79" s="16" t="s">
        <v>156</v>
      </c>
      <c r="D79" s="17"/>
      <c r="E79" s="18">
        <v>10530032</v>
      </c>
      <c r="F79" s="6" t="s">
        <v>23</v>
      </c>
      <c r="G79" s="19">
        <v>1</v>
      </c>
      <c r="H79" s="15">
        <v>1350</v>
      </c>
      <c r="I79" s="16">
        <v>1350</v>
      </c>
      <c r="J79" s="16" t="s">
        <v>24</v>
      </c>
      <c r="K79" s="16"/>
      <c r="L79" s="18"/>
      <c r="M79" s="16"/>
      <c r="N79" s="16" t="s">
        <v>99</v>
      </c>
      <c r="O79" s="16" t="s">
        <v>26</v>
      </c>
      <c r="P79" s="42" t="s">
        <v>103</v>
      </c>
      <c r="Q79" s="33">
        <v>46177</v>
      </c>
      <c r="R79" s="16">
        <v>615</v>
      </c>
      <c r="S79" s="16">
        <v>735</v>
      </c>
      <c r="T79" s="16"/>
      <c r="U79" s="34">
        <v>20</v>
      </c>
    </row>
    <row r="80" spans="1:21" x14ac:dyDescent="0.25">
      <c r="A80" s="35">
        <v>46174</v>
      </c>
      <c r="B80" s="7" t="s">
        <v>157</v>
      </c>
      <c r="C80" s="7" t="s">
        <v>158</v>
      </c>
      <c r="D80" s="8"/>
      <c r="E80" s="9"/>
      <c r="F80" s="7" t="s">
        <v>23</v>
      </c>
      <c r="G80" s="36">
        <v>100</v>
      </c>
      <c r="H80" s="7">
        <v>1350</v>
      </c>
      <c r="I80" s="7">
        <v>135000</v>
      </c>
      <c r="J80" s="7" t="s">
        <v>24</v>
      </c>
      <c r="K80" s="7"/>
      <c r="L80" s="9"/>
      <c r="M80" s="7"/>
      <c r="N80" s="7" t="s">
        <v>99</v>
      </c>
      <c r="O80" s="7"/>
      <c r="P80" s="7"/>
      <c r="Q80" s="37"/>
      <c r="R80" s="7"/>
      <c r="S80" s="7">
        <v>135000</v>
      </c>
      <c r="T80" s="7"/>
      <c r="U80" s="38">
        <v>21</v>
      </c>
    </row>
    <row r="81" spans="1:21" x14ac:dyDescent="0.25">
      <c r="A81" s="31">
        <v>46175</v>
      </c>
      <c r="B81" s="15" t="s">
        <v>73</v>
      </c>
      <c r="C81" s="15" t="s">
        <v>140</v>
      </c>
      <c r="D81" s="30" t="s">
        <v>141</v>
      </c>
      <c r="E81" s="20">
        <v>10120001</v>
      </c>
      <c r="F81" s="6" t="s">
        <v>34</v>
      </c>
      <c r="G81" s="19">
        <v>2</v>
      </c>
      <c r="H81" s="15">
        <v>1500</v>
      </c>
      <c r="I81" s="16">
        <v>3000</v>
      </c>
      <c r="J81" s="16" t="s">
        <v>24</v>
      </c>
      <c r="K81" s="16"/>
      <c r="L81" s="18"/>
      <c r="M81" s="16"/>
      <c r="N81" s="16" t="s">
        <v>99</v>
      </c>
      <c r="O81" s="16"/>
      <c r="P81" s="16"/>
      <c r="Q81" s="33"/>
      <c r="R81" s="16"/>
      <c r="S81" s="16">
        <v>3000</v>
      </c>
      <c r="T81" s="16"/>
      <c r="U81" s="34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2026-06-22T08:32:51Z</dcterms:created>
  <dcterms:modified xsi:type="dcterms:W3CDTF">2026-06-22T09:51:21Z</dcterms:modified>
</cp:coreProperties>
</file>