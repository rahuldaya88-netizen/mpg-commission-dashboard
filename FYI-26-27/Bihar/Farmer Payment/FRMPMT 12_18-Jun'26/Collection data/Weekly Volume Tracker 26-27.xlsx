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20490" windowHeight="7500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Sheet1!$B$2:$K$2022</definedName>
  </definedNames>
  <calcPr calcId="162913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022" i="1" l="1"/>
  <c r="T2022" i="1"/>
  <c r="S2022" i="1"/>
  <c r="R2022" i="1"/>
  <c r="Q2022" i="1"/>
  <c r="P2022" i="1"/>
  <c r="O2022" i="1"/>
  <c r="N2022" i="1"/>
  <c r="M2022" i="1"/>
  <c r="L2022" i="1"/>
  <c r="U2021" i="1"/>
  <c r="T2021" i="1"/>
  <c r="S2021" i="1"/>
  <c r="R2021" i="1"/>
  <c r="Q2021" i="1"/>
  <c r="P2021" i="1"/>
  <c r="O2021" i="1"/>
  <c r="N2021" i="1"/>
  <c r="M2021" i="1"/>
  <c r="L2021" i="1"/>
  <c r="V2021" i="1" l="1"/>
  <c r="V2022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L2026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2" i="1"/>
  <c r="K2053" i="1"/>
  <c r="K2022" i="1"/>
  <c r="K2021" i="1"/>
  <c r="I2022" i="1"/>
  <c r="V2051" i="1"/>
  <c r="V2054" i="1"/>
  <c r="V2053" i="1"/>
  <c r="V2052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56" i="1"/>
  <c r="V2055" i="1" l="1"/>
  <c r="V2057" i="1" s="1"/>
  <c r="U2048" i="1"/>
  <c r="T2048" i="1"/>
  <c r="S2048" i="1"/>
  <c r="R2048" i="1"/>
  <c r="Q2048" i="1"/>
  <c r="P2048" i="1"/>
  <c r="O2048" i="1"/>
  <c r="U2054" i="1" l="1"/>
  <c r="U2053" i="1"/>
  <c r="U2052" i="1"/>
  <c r="U2050" i="1"/>
  <c r="U2049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56" i="1"/>
  <c r="U2055" i="1" l="1"/>
  <c r="U2057" i="1" s="1"/>
  <c r="T2050" i="1"/>
  <c r="T2034" i="1"/>
  <c r="T2037" i="1"/>
  <c r="T2026" i="1"/>
  <c r="T2041" i="1"/>
  <c r="T2046" i="1"/>
  <c r="T2033" i="1"/>
  <c r="T2038" i="1"/>
  <c r="T2036" i="1"/>
  <c r="T2044" i="1"/>
  <c r="T2028" i="1"/>
  <c r="T2042" i="1"/>
  <c r="T2040" i="1"/>
  <c r="T2054" i="1"/>
  <c r="T2053" i="1"/>
  <c r="T2052" i="1"/>
  <c r="T2049" i="1"/>
  <c r="T2047" i="1"/>
  <c r="T2045" i="1"/>
  <c r="T2043" i="1"/>
  <c r="T2039" i="1"/>
  <c r="T2035" i="1"/>
  <c r="T2032" i="1"/>
  <c r="T2031" i="1"/>
  <c r="T2030" i="1"/>
  <c r="T2029" i="1"/>
  <c r="T2027" i="1"/>
  <c r="T2025" i="1"/>
  <c r="T2056" i="1" l="1"/>
  <c r="T2055" i="1"/>
  <c r="S2056" i="1"/>
  <c r="S2035" i="1"/>
  <c r="S2043" i="1"/>
  <c r="S2026" i="1"/>
  <c r="S2027" i="1"/>
  <c r="S2039" i="1"/>
  <c r="S2046" i="1"/>
  <c r="S2047" i="1"/>
  <c r="S2038" i="1"/>
  <c r="S2036" i="1"/>
  <c r="S2044" i="1"/>
  <c r="S2028" i="1"/>
  <c r="S2031" i="1"/>
  <c r="S2042" i="1"/>
  <c r="S2040" i="1"/>
  <c r="S2054" i="1"/>
  <c r="S2053" i="1"/>
  <c r="S2052" i="1"/>
  <c r="S2050" i="1"/>
  <c r="S2049" i="1"/>
  <c r="S2045" i="1"/>
  <c r="S2041" i="1"/>
  <c r="S2037" i="1"/>
  <c r="S2034" i="1"/>
  <c r="S2033" i="1"/>
  <c r="S2032" i="1"/>
  <c r="S2030" i="1"/>
  <c r="S2029" i="1"/>
  <c r="S2025" i="1"/>
  <c r="T2057" i="1" l="1"/>
  <c r="S2055" i="1"/>
  <c r="R2046" i="1"/>
  <c r="R2033" i="1"/>
  <c r="R2028" i="1"/>
  <c r="R2031" i="1"/>
  <c r="R2042" i="1"/>
  <c r="R2054" i="1"/>
  <c r="R2053" i="1"/>
  <c r="R2052" i="1"/>
  <c r="R2050" i="1"/>
  <c r="R2049" i="1"/>
  <c r="R2047" i="1"/>
  <c r="R2045" i="1"/>
  <c r="R2044" i="1"/>
  <c r="R2043" i="1"/>
  <c r="R2041" i="1"/>
  <c r="R2039" i="1"/>
  <c r="R2038" i="1"/>
  <c r="R2037" i="1"/>
  <c r="R2036" i="1"/>
  <c r="R2035" i="1"/>
  <c r="R2034" i="1"/>
  <c r="R2032" i="1"/>
  <c r="R2030" i="1"/>
  <c r="R2029" i="1"/>
  <c r="R2027" i="1"/>
  <c r="R2026" i="1"/>
  <c r="R2025" i="1"/>
  <c r="S2057" i="1" l="1"/>
  <c r="R2056" i="1"/>
  <c r="R2040" i="1"/>
  <c r="R2055" i="1" s="1"/>
  <c r="R2057" i="1" s="1"/>
  <c r="Q2056" i="1"/>
  <c r="Q2033" i="1"/>
  <c r="Q2036" i="1"/>
  <c r="Q2044" i="1"/>
  <c r="Q2028" i="1"/>
  <c r="Q2040" i="1"/>
  <c r="K2056" i="1"/>
  <c r="Q2054" i="1"/>
  <c r="Q2053" i="1"/>
  <c r="Q2052" i="1"/>
  <c r="Q2050" i="1"/>
  <c r="Q2049" i="1"/>
  <c r="Q2047" i="1"/>
  <c r="Q2046" i="1"/>
  <c r="Q2045" i="1"/>
  <c r="Q2043" i="1"/>
  <c r="Q2042" i="1"/>
  <c r="Q2041" i="1"/>
  <c r="Q2039" i="1"/>
  <c r="Q2038" i="1"/>
  <c r="Q2037" i="1"/>
  <c r="Q2035" i="1"/>
  <c r="Q2034" i="1"/>
  <c r="Q2032" i="1"/>
  <c r="Q2031" i="1"/>
  <c r="Q2030" i="1"/>
  <c r="Q2029" i="1"/>
  <c r="Q2027" i="1"/>
  <c r="Q2026" i="1"/>
  <c r="Q2025" i="1"/>
  <c r="Q2055" i="1" l="1"/>
  <c r="P2030" i="1"/>
  <c r="P2035" i="1"/>
  <c r="P2050" i="1"/>
  <c r="P2034" i="1"/>
  <c r="P2043" i="1"/>
  <c r="P2026" i="1"/>
  <c r="P2027" i="1"/>
  <c r="P2039" i="1"/>
  <c r="P2046" i="1"/>
  <c r="P2047" i="1"/>
  <c r="P2038" i="1"/>
  <c r="P2036" i="1"/>
  <c r="P2044" i="1"/>
  <c r="P2028" i="1"/>
  <c r="P2031" i="1"/>
  <c r="P2042" i="1"/>
  <c r="P2040" i="1"/>
  <c r="P2056" i="1"/>
  <c r="O2056" i="1"/>
  <c r="N2056" i="1"/>
  <c r="M2056" i="1"/>
  <c r="L2056" i="1"/>
  <c r="P2053" i="1"/>
  <c r="P2052" i="1"/>
  <c r="P2049" i="1"/>
  <c r="P2045" i="1"/>
  <c r="P2041" i="1"/>
  <c r="P2037" i="1"/>
  <c r="P2033" i="1"/>
  <c r="P2032" i="1"/>
  <c r="P2029" i="1"/>
  <c r="P2025" i="1"/>
  <c r="Q2057" i="1" l="1"/>
  <c r="P2055" i="1"/>
  <c r="O2037" i="1"/>
  <c r="O2041" i="1"/>
  <c r="O2039" i="1"/>
  <c r="O2033" i="1"/>
  <c r="O2047" i="1"/>
  <c r="O2036" i="1"/>
  <c r="O2044" i="1"/>
  <c r="O2028" i="1"/>
  <c r="O2031" i="1"/>
  <c r="O2040" i="1"/>
  <c r="O2053" i="1"/>
  <c r="O2052" i="1"/>
  <c r="O2050" i="1"/>
  <c r="O2049" i="1"/>
  <c r="O2046" i="1"/>
  <c r="O2045" i="1"/>
  <c r="O2043" i="1"/>
  <c r="O2042" i="1"/>
  <c r="O2038" i="1"/>
  <c r="O2035" i="1"/>
  <c r="O2034" i="1"/>
  <c r="O2032" i="1"/>
  <c r="O2030" i="1"/>
  <c r="O2029" i="1"/>
  <c r="O2027" i="1"/>
  <c r="O2026" i="1"/>
  <c r="O2025" i="1"/>
  <c r="O2055" i="1" l="1"/>
  <c r="O2057" i="1" s="1"/>
  <c r="P2057" i="1"/>
  <c r="N2037" i="1"/>
  <c r="N2043" i="1"/>
  <c r="N2026" i="1"/>
  <c r="N2027" i="1"/>
  <c r="N2041" i="1"/>
  <c r="N2039" i="1"/>
  <c r="N2033" i="1"/>
  <c r="N2047" i="1"/>
  <c r="N2036" i="1"/>
  <c r="N2044" i="1"/>
  <c r="N2028" i="1"/>
  <c r="N2031" i="1"/>
  <c r="N2040" i="1"/>
  <c r="N2053" i="1"/>
  <c r="N2052" i="1"/>
  <c r="N2050" i="1"/>
  <c r="N2049" i="1"/>
  <c r="N2048" i="1"/>
  <c r="N2046" i="1"/>
  <c r="N2045" i="1"/>
  <c r="N2042" i="1"/>
  <c r="N2038" i="1"/>
  <c r="N2035" i="1"/>
  <c r="N2034" i="1"/>
  <c r="N2032" i="1"/>
  <c r="N2030" i="1"/>
  <c r="N2029" i="1"/>
  <c r="N2025" i="1"/>
  <c r="N2055" i="1" l="1"/>
  <c r="M2030" i="1"/>
  <c r="M2035" i="1"/>
  <c r="M2050" i="1"/>
  <c r="M2034" i="1"/>
  <c r="M2043" i="1"/>
  <c r="M2026" i="1"/>
  <c r="M2027" i="1"/>
  <c r="M2041" i="1"/>
  <c r="M2039" i="1"/>
  <c r="M2046" i="1"/>
  <c r="M2033" i="1"/>
  <c r="M2047" i="1"/>
  <c r="M2038" i="1"/>
  <c r="M2031" i="1"/>
  <c r="M2042" i="1"/>
  <c r="M2053" i="1"/>
  <c r="M2052" i="1"/>
  <c r="M2049" i="1"/>
  <c r="M2048" i="1"/>
  <c r="M2045" i="1"/>
  <c r="M2044" i="1"/>
  <c r="M2040" i="1"/>
  <c r="M2037" i="1"/>
  <c r="M2036" i="1"/>
  <c r="M2032" i="1"/>
  <c r="M2029" i="1"/>
  <c r="M2028" i="1"/>
  <c r="M2025" i="1"/>
  <c r="M2055" i="1" l="1"/>
  <c r="N2057" i="1"/>
  <c r="M2057" i="1" l="1"/>
  <c r="L2053" i="1"/>
  <c r="L2052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5" i="1"/>
  <c r="L2055" i="1" l="1"/>
  <c r="L2057" i="1" s="1"/>
  <c r="K2025" i="1" l="1"/>
  <c r="K2055" i="1" l="1"/>
  <c r="K2057" i="1" s="1"/>
</calcChain>
</file>

<file path=xl/sharedStrings.xml><?xml version="1.0" encoding="utf-8"?>
<sst xmlns="http://schemas.openxmlformats.org/spreadsheetml/2006/main" count="10590" uniqueCount="2206">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</sst>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B5" sqref="B5:B19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57"/>
  <sheetViews>
    <sheetView showGridLines="0" tabSelected="1" zoomScale="90" zoomScaleNormal="90" workbookViewId="0">
      <pane xSplit="8" ySplit="2" topLeftCell="L2038" activePane="bottomRight" state="frozen"/>
      <selection pane="topRight" activeCell="D1" sqref="D1"/>
      <selection pane="bottomLeft" activeCell="A3" sqref="A3"/>
      <selection pane="bottomRight" activeCell="T2054" sqref="T2054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16384" width="9.140625" style="2"/>
  </cols>
  <sheetData>
    <row r="1" spans="2:22" x14ac:dyDescent="0.2">
      <c r="F1" s="39"/>
      <c r="G1" s="39"/>
    </row>
    <row r="2" spans="2:22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</row>
    <row r="3" spans="2:22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2:22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</row>
    <row r="5" spans="2:22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</row>
    <row r="6" spans="2:22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</row>
    <row r="7" spans="2:22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</row>
    <row r="8" spans="2:22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</row>
    <row r="9" spans="2:22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</row>
    <row r="10" spans="2:22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</row>
    <row r="11" spans="2:22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  <c r="T11" s="7">
        <v>155.9</v>
      </c>
      <c r="U11" s="7">
        <v>145.6</v>
      </c>
      <c r="V11" s="7">
        <v>154.6</v>
      </c>
    </row>
    <row r="12" spans="2:22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  <c r="T12" s="7">
        <v>36.299999999999997</v>
      </c>
      <c r="U12" s="7">
        <v>32.6</v>
      </c>
      <c r="V12" s="7">
        <v>31.5</v>
      </c>
    </row>
    <row r="13" spans="2:22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  <c r="T13" s="7">
        <v>123.6</v>
      </c>
      <c r="U13" s="7">
        <v>118.3</v>
      </c>
      <c r="V13" s="7">
        <v>104.5</v>
      </c>
    </row>
    <row r="14" spans="2:22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</row>
    <row r="15" spans="2:22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  <c r="T15" s="7">
        <v>128.6</v>
      </c>
      <c r="U15" s="7">
        <v>122.2</v>
      </c>
      <c r="V15" s="7">
        <v>131.5</v>
      </c>
    </row>
    <row r="16" spans="2:22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  <c r="T16" s="7">
        <v>354.7</v>
      </c>
      <c r="U16" s="7">
        <v>390.5</v>
      </c>
      <c r="V16" s="7">
        <v>382.4</v>
      </c>
    </row>
    <row r="17" spans="2:22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  <c r="T17" s="7">
        <v>553.5</v>
      </c>
      <c r="U17" s="7">
        <v>478.8</v>
      </c>
      <c r="V17" s="7">
        <v>485</v>
      </c>
    </row>
    <row r="18" spans="2:22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2:22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</row>
    <row r="20" spans="2:22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  <c r="T20" s="7">
        <v>41.2</v>
      </c>
      <c r="U20" s="7">
        <v>47.5</v>
      </c>
      <c r="V20" s="7">
        <v>50.4</v>
      </c>
    </row>
    <row r="21" spans="2:22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</row>
    <row r="22" spans="2:22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  <c r="T22" s="7">
        <v>32.299999999999997</v>
      </c>
      <c r="U22" s="7">
        <v>32.200000000000003</v>
      </c>
      <c r="V22" s="7">
        <v>31.2</v>
      </c>
    </row>
    <row r="23" spans="2:22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</row>
    <row r="24" spans="2:22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  <c r="T24" s="7">
        <v>395.9</v>
      </c>
      <c r="U24" s="7">
        <v>290.3</v>
      </c>
      <c r="V24" s="7">
        <v>416.6</v>
      </c>
    </row>
    <row r="25" spans="2:22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  <c r="T25" s="7">
        <v>177.6</v>
      </c>
      <c r="U25" s="7">
        <v>179.7</v>
      </c>
      <c r="V25" s="7">
        <v>184.5</v>
      </c>
    </row>
    <row r="26" spans="2:22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  <c r="T26" s="7">
        <v>56.6</v>
      </c>
      <c r="U26" s="7">
        <v>57.7</v>
      </c>
      <c r="V26" s="7">
        <v>47.4</v>
      </c>
    </row>
    <row r="27" spans="2:22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  <c r="T27" s="7">
        <v>11.3</v>
      </c>
      <c r="U27" s="7">
        <v>19.100000000000001</v>
      </c>
      <c r="V27" s="7">
        <v>13.8</v>
      </c>
    </row>
    <row r="28" spans="2:22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  <c r="T28" s="7">
        <v>132.30000000000001</v>
      </c>
      <c r="U28" s="7">
        <v>66.599999999999994</v>
      </c>
      <c r="V28" s="7">
        <v>7.6</v>
      </c>
    </row>
    <row r="29" spans="2:22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  <c r="T29" s="7">
        <v>13.3</v>
      </c>
      <c r="U29" s="7">
        <v>10.7</v>
      </c>
      <c r="V29" s="7">
        <v>5.7</v>
      </c>
    </row>
    <row r="30" spans="2:22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  <c r="T30" s="7">
        <v>731.7</v>
      </c>
      <c r="U30" s="7">
        <v>676.6</v>
      </c>
      <c r="V30" s="7">
        <v>707.5</v>
      </c>
    </row>
    <row r="31" spans="2:22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  <c r="T31" s="7">
        <v>36.5</v>
      </c>
      <c r="U31" s="7">
        <v>32.6</v>
      </c>
      <c r="V31" s="7">
        <v>31.6</v>
      </c>
    </row>
    <row r="32" spans="2:22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  <c r="T32" s="7">
        <v>36.5</v>
      </c>
      <c r="U32" s="7">
        <v>33.200000000000003</v>
      </c>
      <c r="V32" s="7">
        <v>33.1</v>
      </c>
    </row>
    <row r="33" spans="2:22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</row>
    <row r="34" spans="2:22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  <c r="T34" s="7">
        <v>54.6</v>
      </c>
      <c r="U34" s="7">
        <v>60.8</v>
      </c>
      <c r="V34" s="7">
        <v>66.900000000000006</v>
      </c>
    </row>
    <row r="35" spans="2:22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  <c r="T35" s="7">
        <v>51.3</v>
      </c>
      <c r="U35" s="7">
        <v>51.6</v>
      </c>
      <c r="V35" s="7">
        <v>57</v>
      </c>
    </row>
    <row r="36" spans="2:22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</row>
    <row r="37" spans="2:22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  <c r="T37" s="7">
        <v>97.7</v>
      </c>
      <c r="U37" s="7">
        <v>107.9</v>
      </c>
      <c r="V37" s="7">
        <v>129.5</v>
      </c>
    </row>
    <row r="38" spans="2:22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  <c r="T38" s="7">
        <v>62.9</v>
      </c>
      <c r="U38" s="7">
        <v>69.3</v>
      </c>
      <c r="V38" s="7">
        <v>74.2</v>
      </c>
    </row>
    <row r="39" spans="2:22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  <c r="T39" s="7">
        <v>55.7</v>
      </c>
      <c r="U39" s="7">
        <v>56.9</v>
      </c>
      <c r="V39" s="7">
        <v>62</v>
      </c>
    </row>
    <row r="40" spans="2:22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  <c r="T40" s="7">
        <v>73.8</v>
      </c>
      <c r="U40" s="7">
        <v>68.2</v>
      </c>
      <c r="V40" s="7">
        <v>66.8</v>
      </c>
    </row>
    <row r="41" spans="2:22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  <c r="T41" s="7">
        <v>112.8</v>
      </c>
      <c r="U41" s="7">
        <v>113.7</v>
      </c>
      <c r="V41" s="7">
        <v>113</v>
      </c>
    </row>
    <row r="42" spans="2:22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  <c r="T42" s="7">
        <v>44.5</v>
      </c>
      <c r="U42" s="7">
        <v>41.2</v>
      </c>
      <c r="V42" s="7">
        <v>42</v>
      </c>
    </row>
    <row r="43" spans="2:22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  <c r="T43" s="7">
        <v>48.5</v>
      </c>
      <c r="U43" s="7">
        <v>65.7</v>
      </c>
      <c r="V43" s="7">
        <v>64.5</v>
      </c>
    </row>
    <row r="44" spans="2:22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2:22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  <c r="T45" s="7">
        <v>54</v>
      </c>
      <c r="U45" s="7">
        <v>66.2</v>
      </c>
      <c r="V45" s="7">
        <v>65.2</v>
      </c>
    </row>
    <row r="46" spans="2:22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0.6</v>
      </c>
    </row>
    <row r="47" spans="2:22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  <c r="T47" s="7">
        <v>254.9</v>
      </c>
      <c r="U47" s="7">
        <v>254.4</v>
      </c>
      <c r="V47" s="7">
        <v>249</v>
      </c>
    </row>
    <row r="48" spans="2:22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  <c r="T48" s="7">
        <v>105</v>
      </c>
      <c r="U48" s="7">
        <v>108.1</v>
      </c>
      <c r="V48" s="7">
        <v>114.2</v>
      </c>
    </row>
    <row r="49" spans="2:22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2:22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2:22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2:22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  <c r="T52" s="7">
        <v>151.5</v>
      </c>
      <c r="U52" s="7">
        <v>144.1</v>
      </c>
      <c r="V52" s="7">
        <v>132.4</v>
      </c>
    </row>
    <row r="53" spans="2:22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  <c r="T53" s="7">
        <v>52.6</v>
      </c>
      <c r="U53" s="7">
        <v>56.5</v>
      </c>
      <c r="V53" s="7">
        <v>71</v>
      </c>
    </row>
    <row r="54" spans="2:22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  <c r="T54" s="7">
        <v>100.7</v>
      </c>
      <c r="U54" s="7">
        <v>115.4</v>
      </c>
      <c r="V54" s="7">
        <v>130.9</v>
      </c>
    </row>
    <row r="55" spans="2:22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  <c r="T55" s="7">
        <v>28.6</v>
      </c>
      <c r="U55" s="7">
        <v>22.4</v>
      </c>
      <c r="V55" s="7">
        <v>17</v>
      </c>
    </row>
    <row r="56" spans="2:22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  <c r="T56" s="7">
        <v>16.3</v>
      </c>
      <c r="U56" s="7">
        <v>14.1</v>
      </c>
      <c r="V56" s="7">
        <v>17.100000000000001</v>
      </c>
    </row>
    <row r="57" spans="2:22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  <c r="T57" s="7">
        <v>62.8</v>
      </c>
      <c r="U57" s="7">
        <v>72.3</v>
      </c>
      <c r="V57" s="7">
        <v>79</v>
      </c>
    </row>
    <row r="58" spans="2:22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2:22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2:22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2:22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17.100000000000001</v>
      </c>
      <c r="V61" s="7">
        <v>80.5</v>
      </c>
    </row>
    <row r="62" spans="2:22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2:22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  <c r="T63" s="7">
        <v>35.9</v>
      </c>
      <c r="U63" s="7">
        <v>25.2</v>
      </c>
      <c r="V63" s="7">
        <v>29.5</v>
      </c>
    </row>
    <row r="64" spans="2:22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  <c r="T64" s="7">
        <v>0</v>
      </c>
      <c r="U64" s="7">
        <v>0</v>
      </c>
      <c r="V64" s="7">
        <v>0</v>
      </c>
    </row>
    <row r="65" spans="2:22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  <c r="T65" s="7">
        <v>93.1</v>
      </c>
      <c r="U65" s="7">
        <v>94.5</v>
      </c>
      <c r="V65" s="7">
        <v>84.2</v>
      </c>
    </row>
    <row r="66" spans="2:22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2:22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  <c r="T67" s="7">
        <v>88.5</v>
      </c>
      <c r="U67" s="7">
        <v>94.2</v>
      </c>
      <c r="V67" s="7">
        <v>97.6</v>
      </c>
    </row>
    <row r="68" spans="2:22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  <c r="T68" s="7">
        <v>106</v>
      </c>
      <c r="U68" s="7">
        <v>89.4</v>
      </c>
      <c r="V68" s="7">
        <v>81.5</v>
      </c>
    </row>
    <row r="69" spans="2:22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  <c r="T69" s="7">
        <v>102.5</v>
      </c>
      <c r="U69" s="7">
        <v>84.5</v>
      </c>
      <c r="V69" s="7">
        <v>85.3</v>
      </c>
    </row>
    <row r="70" spans="2:22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2:22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  <c r="T71" s="7">
        <v>12.4</v>
      </c>
      <c r="U71" s="7">
        <v>9.6</v>
      </c>
      <c r="V71" s="7">
        <v>30.6</v>
      </c>
    </row>
    <row r="72" spans="2:22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  <c r="T72" s="7">
        <v>382.1</v>
      </c>
      <c r="U72" s="7">
        <v>359.8</v>
      </c>
      <c r="V72" s="7">
        <v>364.7</v>
      </c>
    </row>
    <row r="73" spans="2:22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  <c r="T73" s="7">
        <v>56.8</v>
      </c>
      <c r="U73" s="7">
        <v>55.9</v>
      </c>
      <c r="V73" s="7">
        <v>53.4</v>
      </c>
    </row>
    <row r="74" spans="2:22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2:22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  <c r="T75" s="7">
        <v>587.1</v>
      </c>
      <c r="U75" s="7">
        <v>651.5</v>
      </c>
      <c r="V75" s="7">
        <v>704.5</v>
      </c>
    </row>
    <row r="76" spans="2:22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  <c r="T76" s="7">
        <v>149.6</v>
      </c>
      <c r="U76" s="7">
        <v>155.9</v>
      </c>
      <c r="V76" s="7">
        <v>156.4</v>
      </c>
    </row>
    <row r="77" spans="2:22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2:22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2:22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2:22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</row>
    <row r="81" spans="2:22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spans="2:22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2:22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</row>
    <row r="84" spans="2:22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  <c r="T84" s="7">
        <v>23.3</v>
      </c>
      <c r="U84" s="7">
        <v>33</v>
      </c>
      <c r="V84" s="7">
        <v>42.8</v>
      </c>
    </row>
    <row r="85" spans="2:22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</row>
    <row r="86" spans="2:22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</row>
    <row r="87" spans="2:22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  <c r="T87" s="7">
        <v>44.6</v>
      </c>
      <c r="U87" s="7">
        <v>45.1</v>
      </c>
      <c r="V87" s="7">
        <v>48.2</v>
      </c>
    </row>
    <row r="88" spans="2:22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</row>
    <row r="89" spans="2:22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  <c r="T89" s="7">
        <v>1900.2</v>
      </c>
      <c r="U89" s="7">
        <v>1844</v>
      </c>
      <c r="V89" s="7">
        <v>1994.1</v>
      </c>
    </row>
    <row r="90" spans="2:22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  <c r="T90" s="7">
        <v>990.3</v>
      </c>
      <c r="U90" s="7">
        <v>1163.4000000000001</v>
      </c>
      <c r="V90" s="7">
        <v>1074</v>
      </c>
    </row>
    <row r="91" spans="2:22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  <c r="T91" s="7">
        <v>728.7</v>
      </c>
      <c r="U91" s="7">
        <v>736.3</v>
      </c>
      <c r="V91" s="7">
        <v>725.2</v>
      </c>
    </row>
    <row r="92" spans="2:22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</row>
    <row r="93" spans="2:22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</row>
    <row r="94" spans="2:22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</row>
    <row r="95" spans="2:22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  <c r="T95" s="7">
        <v>111</v>
      </c>
      <c r="U95" s="7">
        <v>104</v>
      </c>
      <c r="V95" s="7">
        <v>110.7</v>
      </c>
    </row>
    <row r="96" spans="2:22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</row>
    <row r="97" spans="2:22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  <c r="T97" s="7">
        <v>644.29999999999995</v>
      </c>
      <c r="U97" s="7">
        <v>675.2</v>
      </c>
      <c r="V97" s="7">
        <v>624.9</v>
      </c>
    </row>
    <row r="98" spans="2:22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</row>
    <row r="99" spans="2:22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</row>
    <row r="100" spans="2:22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</row>
    <row r="101" spans="2:22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</row>
    <row r="102" spans="2:22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</row>
    <row r="103" spans="2:22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</row>
    <row r="104" spans="2:22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  <c r="T104" s="7">
        <v>112.7</v>
      </c>
      <c r="U104" s="7">
        <v>126.1</v>
      </c>
      <c r="V104" s="7">
        <v>123.1</v>
      </c>
    </row>
    <row r="105" spans="2:22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</row>
    <row r="106" spans="2:22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</row>
    <row r="107" spans="2:22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</row>
    <row r="108" spans="2:22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</row>
    <row r="109" spans="2:22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  <c r="T109" s="7">
        <v>29.9</v>
      </c>
      <c r="U109" s="7">
        <v>37.1</v>
      </c>
      <c r="V109" s="7">
        <v>43.2</v>
      </c>
    </row>
    <row r="110" spans="2:22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</row>
    <row r="111" spans="2:22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  <c r="T111" s="7">
        <v>1907.3</v>
      </c>
      <c r="U111" s="7">
        <v>2380.9</v>
      </c>
      <c r="V111" s="7">
        <v>2019.8</v>
      </c>
    </row>
    <row r="112" spans="2:22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  <c r="T112" s="7">
        <v>4.3</v>
      </c>
      <c r="U112" s="7">
        <v>6.4</v>
      </c>
      <c r="V112" s="7">
        <v>2.4</v>
      </c>
    </row>
    <row r="113" spans="2:22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</row>
    <row r="114" spans="2:22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  <c r="T114" s="7">
        <v>256.7</v>
      </c>
      <c r="U114" s="7">
        <v>254.1</v>
      </c>
      <c r="V114" s="7">
        <v>272.89999999999998</v>
      </c>
    </row>
    <row r="115" spans="2:22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</row>
    <row r="116" spans="2:22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</row>
    <row r="117" spans="2:22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  <c r="T117" s="7">
        <v>36</v>
      </c>
      <c r="U117" s="7">
        <v>43.2</v>
      </c>
      <c r="V117" s="7">
        <v>46.1</v>
      </c>
    </row>
    <row r="118" spans="2:22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  <c r="T118" s="7">
        <v>5.5</v>
      </c>
      <c r="U118" s="7">
        <v>14.5</v>
      </c>
      <c r="V118" s="7">
        <v>15.2</v>
      </c>
    </row>
    <row r="119" spans="2:22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</row>
    <row r="120" spans="2:22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</row>
    <row r="121" spans="2:22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</row>
    <row r="122" spans="2:22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</row>
    <row r="123" spans="2:22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  <c r="T123" s="7">
        <v>32.9</v>
      </c>
      <c r="U123" s="7">
        <v>24.8</v>
      </c>
      <c r="V123" s="7">
        <v>21.8</v>
      </c>
    </row>
    <row r="124" spans="2:22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</row>
    <row r="125" spans="2:22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</row>
    <row r="126" spans="2:22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  <c r="T126" s="7">
        <v>31.1</v>
      </c>
      <c r="U126" s="7">
        <v>26.6</v>
      </c>
      <c r="V126" s="7">
        <v>36.799999999999997</v>
      </c>
    </row>
    <row r="127" spans="2:22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  <c r="T127" s="7">
        <v>40.299999999999997</v>
      </c>
      <c r="U127" s="7">
        <v>34.4</v>
      </c>
      <c r="V127" s="7">
        <v>37.4</v>
      </c>
    </row>
    <row r="128" spans="2:22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</row>
    <row r="129" spans="2:22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  <c r="T129" s="7">
        <v>178.7</v>
      </c>
      <c r="U129" s="7">
        <v>182.1</v>
      </c>
      <c r="V129" s="7">
        <v>13.7</v>
      </c>
    </row>
    <row r="130" spans="2:22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</row>
    <row r="131" spans="2:22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</row>
    <row r="132" spans="2:22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  <c r="T132" s="7">
        <v>36.9</v>
      </c>
      <c r="U132" s="7">
        <v>42.8</v>
      </c>
      <c r="V132" s="7">
        <v>67.099999999999994</v>
      </c>
    </row>
    <row r="133" spans="2:22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</row>
    <row r="134" spans="2:22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  <c r="T134" s="7">
        <v>10</v>
      </c>
      <c r="U134" s="7">
        <v>0</v>
      </c>
      <c r="V134" s="7">
        <v>0</v>
      </c>
    </row>
    <row r="135" spans="2:22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  <c r="T135" s="7">
        <v>121.3</v>
      </c>
      <c r="U135" s="7">
        <v>129.30000000000001</v>
      </c>
      <c r="V135" s="7">
        <v>139.1</v>
      </c>
    </row>
    <row r="136" spans="2:22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  <c r="T136" s="7">
        <v>39.299999999999997</v>
      </c>
      <c r="U136" s="7">
        <v>39.9</v>
      </c>
      <c r="V136" s="7">
        <v>47.9</v>
      </c>
    </row>
    <row r="137" spans="2:22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</row>
    <row r="138" spans="2:22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  <c r="T138" s="7">
        <v>80.7</v>
      </c>
      <c r="U138" s="7">
        <v>90.1</v>
      </c>
      <c r="V138" s="7">
        <v>93</v>
      </c>
    </row>
    <row r="139" spans="2:22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  <c r="T139" s="7">
        <v>373.6</v>
      </c>
      <c r="U139" s="7">
        <v>382.4</v>
      </c>
      <c r="V139" s="7">
        <v>392.9</v>
      </c>
    </row>
    <row r="140" spans="2:22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</row>
    <row r="141" spans="2:22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</row>
    <row r="142" spans="2:22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</row>
    <row r="143" spans="2:22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  <c r="T143" s="7">
        <v>93.8</v>
      </c>
      <c r="U143" s="7">
        <v>99.9</v>
      </c>
      <c r="V143" s="7">
        <v>97.3</v>
      </c>
    </row>
    <row r="144" spans="2:22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  <c r="T144" s="7">
        <v>78</v>
      </c>
      <c r="U144" s="7">
        <v>90.4</v>
      </c>
      <c r="V144" s="7">
        <v>236.3</v>
      </c>
    </row>
    <row r="145" spans="2:22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  <c r="T145" s="7">
        <v>1698</v>
      </c>
      <c r="U145" s="7">
        <v>1529.5</v>
      </c>
      <c r="V145" s="7">
        <v>973.2</v>
      </c>
    </row>
    <row r="146" spans="2:22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  <c r="T146" s="7">
        <v>44</v>
      </c>
      <c r="U146" s="7">
        <v>35.4</v>
      </c>
      <c r="V146" s="7">
        <v>39.4</v>
      </c>
    </row>
    <row r="147" spans="2:22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  <c r="T147" s="7">
        <v>270.8</v>
      </c>
      <c r="U147" s="7">
        <v>282.60000000000002</v>
      </c>
      <c r="V147" s="7">
        <v>287.10000000000002</v>
      </c>
    </row>
    <row r="148" spans="2:22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  <c r="T148" s="7">
        <v>167.4</v>
      </c>
      <c r="U148" s="7">
        <v>148.4</v>
      </c>
      <c r="V148" s="7">
        <v>141.30000000000001</v>
      </c>
    </row>
    <row r="149" spans="2:22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  <c r="T149" s="7">
        <v>171.2</v>
      </c>
      <c r="U149" s="7">
        <v>190.4</v>
      </c>
      <c r="V149" s="7">
        <v>197.8</v>
      </c>
    </row>
    <row r="150" spans="2:22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</row>
    <row r="151" spans="2:22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  <c r="T151" s="7">
        <v>115</v>
      </c>
      <c r="U151" s="7">
        <v>80</v>
      </c>
      <c r="V151" s="7">
        <v>51.1</v>
      </c>
    </row>
    <row r="152" spans="2:22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  <c r="T152" s="7">
        <v>196.4</v>
      </c>
      <c r="U152" s="7">
        <v>220.5</v>
      </c>
      <c r="V152" s="7">
        <v>225.4</v>
      </c>
    </row>
    <row r="153" spans="2:22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  <c r="T153" s="7">
        <v>331.6</v>
      </c>
      <c r="U153" s="7">
        <v>374.1</v>
      </c>
      <c r="V153" s="7">
        <v>355.9</v>
      </c>
    </row>
    <row r="154" spans="2:22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  <c r="T154" s="7">
        <v>145.80000000000001</v>
      </c>
      <c r="U154" s="7">
        <v>144.30000000000001</v>
      </c>
      <c r="V154" s="7">
        <v>140.6</v>
      </c>
    </row>
    <row r="155" spans="2:22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  <c r="T155" s="7">
        <v>100.4</v>
      </c>
      <c r="U155" s="7">
        <v>87</v>
      </c>
      <c r="V155" s="7">
        <v>80.900000000000006</v>
      </c>
    </row>
    <row r="156" spans="2:22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</row>
    <row r="157" spans="2:22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  <c r="T157" s="7">
        <v>132</v>
      </c>
      <c r="U157" s="7">
        <v>122</v>
      </c>
      <c r="V157" s="7">
        <v>123.2</v>
      </c>
    </row>
    <row r="158" spans="2:22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  <c r="T158" s="7">
        <v>273.3</v>
      </c>
      <c r="U158" s="7">
        <v>277.89999999999998</v>
      </c>
      <c r="V158" s="7">
        <v>273.3</v>
      </c>
    </row>
    <row r="159" spans="2:22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  <c r="T159" s="7">
        <v>57.8</v>
      </c>
      <c r="U159" s="7">
        <v>54.2</v>
      </c>
      <c r="V159" s="7">
        <v>50.8</v>
      </c>
    </row>
    <row r="160" spans="2:22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</row>
    <row r="161" spans="2:22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  <c r="T161" s="7">
        <v>114.3</v>
      </c>
      <c r="U161" s="7">
        <v>107.9</v>
      </c>
      <c r="V161" s="7">
        <v>114</v>
      </c>
    </row>
    <row r="162" spans="2:22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  <c r="T162" s="7">
        <v>223.1</v>
      </c>
      <c r="U162" s="7">
        <v>244.1</v>
      </c>
      <c r="V162" s="7">
        <v>247.4</v>
      </c>
    </row>
    <row r="163" spans="2:22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  <c r="T163" s="7">
        <v>120.9</v>
      </c>
      <c r="U163" s="7">
        <v>141.80000000000001</v>
      </c>
      <c r="V163" s="7">
        <v>151.80000000000001</v>
      </c>
    </row>
    <row r="164" spans="2:22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  <c r="T164" s="7">
        <v>162.30000000000001</v>
      </c>
      <c r="U164" s="7">
        <v>182.5</v>
      </c>
      <c r="V164" s="7">
        <v>185.9</v>
      </c>
    </row>
    <row r="165" spans="2:22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</row>
    <row r="166" spans="2:22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</row>
    <row r="167" spans="2:22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  <c r="T167" s="7">
        <v>127.6</v>
      </c>
      <c r="U167" s="7">
        <v>132</v>
      </c>
      <c r="V167" s="7">
        <v>141.4</v>
      </c>
    </row>
    <row r="168" spans="2:22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  <c r="T168" s="7">
        <v>319.8</v>
      </c>
      <c r="U168" s="7">
        <v>289.89999999999998</v>
      </c>
      <c r="V168" s="7">
        <v>283.7</v>
      </c>
    </row>
    <row r="169" spans="2:22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</row>
    <row r="170" spans="2:22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  <c r="T170" s="7">
        <v>201.4</v>
      </c>
      <c r="U170" s="7">
        <v>218.6</v>
      </c>
      <c r="V170" s="7">
        <v>229.1</v>
      </c>
    </row>
    <row r="171" spans="2:22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  <c r="T171" s="7">
        <v>120</v>
      </c>
      <c r="U171" s="7">
        <v>122.9</v>
      </c>
      <c r="V171" s="7">
        <v>128.6</v>
      </c>
    </row>
    <row r="172" spans="2:22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</row>
    <row r="173" spans="2:22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  <c r="T173" s="7">
        <v>203.7</v>
      </c>
      <c r="U173" s="7">
        <v>202.5</v>
      </c>
      <c r="V173" s="7">
        <v>212.3</v>
      </c>
    </row>
    <row r="174" spans="2:22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  <c r="T174" s="7">
        <v>126.8</v>
      </c>
      <c r="U174" s="7">
        <v>135.19999999999999</v>
      </c>
      <c r="V174" s="7">
        <v>143.30000000000001</v>
      </c>
    </row>
    <row r="175" spans="2:22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</row>
    <row r="176" spans="2:22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  <c r="T176" s="7">
        <v>68</v>
      </c>
      <c r="U176" s="7">
        <v>67.599999999999994</v>
      </c>
      <c r="V176" s="7">
        <v>62.4</v>
      </c>
    </row>
    <row r="177" spans="2:22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  <c r="T177" s="7">
        <v>173.6</v>
      </c>
      <c r="U177" s="7">
        <v>172</v>
      </c>
      <c r="V177" s="7">
        <v>166.7</v>
      </c>
    </row>
    <row r="178" spans="2:22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  <c r="T178" s="7">
        <v>121.4</v>
      </c>
      <c r="U178" s="7">
        <v>90.5</v>
      </c>
      <c r="V178" s="7">
        <v>31.6</v>
      </c>
    </row>
    <row r="179" spans="2:22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  <c r="T179" s="7">
        <v>1567.7</v>
      </c>
      <c r="U179" s="7">
        <v>1537.9</v>
      </c>
      <c r="V179" s="7">
        <v>901.2</v>
      </c>
    </row>
    <row r="180" spans="2:22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  <c r="T180" s="7">
        <v>1567.7</v>
      </c>
      <c r="U180" s="7">
        <v>1537.8</v>
      </c>
      <c r="V180" s="7">
        <v>835.4</v>
      </c>
    </row>
    <row r="181" spans="2:22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  <c r="T181" s="7">
        <v>121.4</v>
      </c>
      <c r="U181" s="7">
        <v>90.5</v>
      </c>
      <c r="V181" s="7">
        <v>31.6</v>
      </c>
    </row>
    <row r="182" spans="2:22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  <c r="T182" s="7">
        <v>121.4</v>
      </c>
      <c r="U182" s="7">
        <v>90.5</v>
      </c>
      <c r="V182" s="7">
        <v>31.6</v>
      </c>
    </row>
    <row r="183" spans="2:22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  <c r="T183" s="7">
        <v>121.4</v>
      </c>
      <c r="U183" s="7">
        <v>90.5</v>
      </c>
      <c r="V183" s="7">
        <v>31.6</v>
      </c>
    </row>
    <row r="184" spans="2:22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  <c r="T184" s="7">
        <v>121.4</v>
      </c>
      <c r="U184" s="7">
        <v>90.5</v>
      </c>
      <c r="V184" s="7">
        <v>31.6</v>
      </c>
    </row>
    <row r="185" spans="2:22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  <c r="T185" s="7">
        <v>31.3</v>
      </c>
      <c r="U185" s="7">
        <v>29.1</v>
      </c>
      <c r="V185" s="7">
        <v>18.100000000000001</v>
      </c>
    </row>
    <row r="186" spans="2:22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  <c r="T186" s="7">
        <v>82.8</v>
      </c>
      <c r="U186" s="7">
        <v>81.900000000000006</v>
      </c>
      <c r="V186" s="7">
        <v>94.3</v>
      </c>
    </row>
    <row r="187" spans="2:22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  <c r="T187" s="7">
        <v>378.7</v>
      </c>
      <c r="U187" s="7">
        <v>431.7</v>
      </c>
      <c r="V187" s="7">
        <v>441.8</v>
      </c>
    </row>
    <row r="188" spans="2:22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</row>
    <row r="189" spans="2:22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  <c r="T189" s="7">
        <v>42</v>
      </c>
      <c r="U189" s="7">
        <v>47.7</v>
      </c>
      <c r="V189" s="7">
        <v>47.9</v>
      </c>
    </row>
    <row r="190" spans="2:22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</row>
    <row r="191" spans="2:22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  <c r="T191" s="7">
        <v>51.8</v>
      </c>
      <c r="U191" s="7">
        <v>61</v>
      </c>
      <c r="V191" s="7">
        <v>61.4</v>
      </c>
    </row>
    <row r="192" spans="2:22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  <c r="T192" s="7">
        <v>38.1</v>
      </c>
      <c r="U192" s="7">
        <v>23.1</v>
      </c>
      <c r="V192" s="7">
        <v>24</v>
      </c>
    </row>
    <row r="193" spans="2:22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</row>
    <row r="194" spans="2:22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</row>
    <row r="195" spans="2:22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  <c r="T195" s="7">
        <v>121.5</v>
      </c>
      <c r="U195" s="7">
        <v>132.4</v>
      </c>
      <c r="V195" s="7">
        <v>126.6</v>
      </c>
    </row>
    <row r="196" spans="2:22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  <c r="T196" s="7">
        <v>85.4</v>
      </c>
      <c r="U196" s="7">
        <v>55.7</v>
      </c>
      <c r="V196" s="7">
        <v>54.5</v>
      </c>
    </row>
    <row r="197" spans="2:22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  <c r="T197" s="7">
        <v>58.4</v>
      </c>
      <c r="U197" s="7">
        <v>62.2</v>
      </c>
      <c r="V197" s="7">
        <v>60.7</v>
      </c>
    </row>
    <row r="198" spans="2:22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  <c r="T198" s="7">
        <v>0</v>
      </c>
      <c r="U198" s="7">
        <v>0</v>
      </c>
      <c r="V198" s="7">
        <v>0</v>
      </c>
    </row>
    <row r="199" spans="2:22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</row>
    <row r="200" spans="2:22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  <c r="T200" s="7">
        <v>233.9</v>
      </c>
      <c r="U200" s="7">
        <v>249.6</v>
      </c>
      <c r="V200" s="7">
        <v>265</v>
      </c>
    </row>
    <row r="201" spans="2:22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  <c r="T201" s="7">
        <v>366.4</v>
      </c>
      <c r="U201" s="7">
        <v>561.79999999999995</v>
      </c>
      <c r="V201" s="7">
        <v>406</v>
      </c>
    </row>
    <row r="202" spans="2:22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  <c r="T202" s="7">
        <v>246</v>
      </c>
      <c r="U202" s="7">
        <v>249.4</v>
      </c>
      <c r="V202" s="7">
        <v>240.9</v>
      </c>
    </row>
    <row r="203" spans="2:22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</row>
    <row r="204" spans="2:22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  <c r="T204" s="7">
        <v>48.1</v>
      </c>
      <c r="U204" s="7">
        <v>57.3</v>
      </c>
      <c r="V204" s="7">
        <v>70.099999999999994</v>
      </c>
    </row>
    <row r="205" spans="2:22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  <c r="T205" s="7">
        <v>79.599999999999994</v>
      </c>
      <c r="U205" s="7">
        <v>84.8</v>
      </c>
      <c r="V205" s="7">
        <v>91.3</v>
      </c>
    </row>
    <row r="206" spans="2:22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</row>
    <row r="207" spans="2:22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  <c r="T207" s="7">
        <v>177.5</v>
      </c>
      <c r="U207" s="7">
        <v>119.7</v>
      </c>
      <c r="V207" s="7">
        <v>0</v>
      </c>
    </row>
    <row r="208" spans="2:22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</row>
    <row r="209" spans="2:22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  <c r="T209" s="7">
        <v>187.6</v>
      </c>
      <c r="U209" s="7">
        <v>222.8</v>
      </c>
      <c r="V209" s="7">
        <v>273.2</v>
      </c>
    </row>
    <row r="210" spans="2:22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</row>
    <row r="211" spans="2:22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  <c r="T211" s="7">
        <v>269</v>
      </c>
      <c r="U211" s="7">
        <v>274.2</v>
      </c>
      <c r="V211" s="7">
        <v>307.2</v>
      </c>
    </row>
    <row r="212" spans="2:22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  <c r="T212" s="7">
        <v>27.7</v>
      </c>
      <c r="U212" s="7">
        <v>49.6</v>
      </c>
      <c r="V212" s="7">
        <v>48.3</v>
      </c>
    </row>
    <row r="213" spans="2:22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</row>
    <row r="214" spans="2:22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  <c r="T214" s="7">
        <v>412.5</v>
      </c>
      <c r="U214" s="7">
        <v>482.5</v>
      </c>
      <c r="V214" s="7">
        <v>467.4</v>
      </c>
    </row>
    <row r="215" spans="2:22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  <c r="T215" s="7">
        <v>171</v>
      </c>
      <c r="U215" s="7">
        <v>169.1</v>
      </c>
      <c r="V215" s="7">
        <v>156.80000000000001</v>
      </c>
    </row>
    <row r="216" spans="2:22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  <c r="T216" s="7">
        <v>72.5</v>
      </c>
      <c r="U216" s="7">
        <v>116.7</v>
      </c>
      <c r="V216" s="7">
        <v>120.3</v>
      </c>
    </row>
    <row r="217" spans="2:22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  <c r="T217" s="7">
        <v>73.5</v>
      </c>
      <c r="U217" s="7">
        <v>57.6</v>
      </c>
      <c r="V217" s="7">
        <v>55.6</v>
      </c>
    </row>
    <row r="218" spans="2:22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  <c r="T218" s="7">
        <v>144.69999999999999</v>
      </c>
      <c r="U218" s="7">
        <v>140.9</v>
      </c>
      <c r="V218" s="7">
        <v>129.4</v>
      </c>
    </row>
    <row r="219" spans="2:22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  <c r="T219" s="7">
        <v>161.4</v>
      </c>
      <c r="U219" s="7">
        <v>173</v>
      </c>
      <c r="V219" s="7">
        <v>178.9</v>
      </c>
    </row>
    <row r="220" spans="2:22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</row>
    <row r="221" spans="2:22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  <c r="T221" s="7">
        <v>80.400000000000006</v>
      </c>
      <c r="U221" s="7">
        <v>81.599999999999994</v>
      </c>
      <c r="V221" s="7">
        <v>83.7</v>
      </c>
    </row>
    <row r="222" spans="2:22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  <c r="T222" s="7">
        <v>291.89999999999998</v>
      </c>
      <c r="U222" s="7">
        <v>205.1</v>
      </c>
      <c r="V222" s="7">
        <v>204.8</v>
      </c>
    </row>
    <row r="223" spans="2:22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</row>
    <row r="224" spans="2:22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  <c r="T224" s="7">
        <v>26.9</v>
      </c>
      <c r="U224" s="7">
        <v>28.2</v>
      </c>
      <c r="V224" s="7">
        <v>28.8</v>
      </c>
    </row>
    <row r="225" spans="2:22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  <c r="T225" s="7">
        <v>114.6</v>
      </c>
      <c r="U225" s="7">
        <v>116.3</v>
      </c>
      <c r="V225" s="7">
        <v>121.4</v>
      </c>
    </row>
    <row r="226" spans="2:22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  <c r="T226" s="7">
        <v>61.6</v>
      </c>
      <c r="U226" s="7">
        <v>69.2</v>
      </c>
      <c r="V226" s="7">
        <v>61.4</v>
      </c>
    </row>
    <row r="227" spans="2:22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  <c r="T227" s="7">
        <v>14.1</v>
      </c>
      <c r="U227" s="7">
        <v>0</v>
      </c>
      <c r="V227" s="7">
        <v>0</v>
      </c>
    </row>
    <row r="228" spans="2:22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  <c r="T228" s="7">
        <v>159.4</v>
      </c>
      <c r="U228" s="7">
        <v>160.19999999999999</v>
      </c>
      <c r="V228" s="7">
        <v>169.6</v>
      </c>
    </row>
    <row r="229" spans="2:22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  <c r="T229" s="7">
        <v>0</v>
      </c>
      <c r="U229" s="7">
        <v>0</v>
      </c>
      <c r="V229" s="7">
        <v>0</v>
      </c>
    </row>
    <row r="230" spans="2:22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  <c r="T230" s="7">
        <v>86.4</v>
      </c>
      <c r="U230" s="7">
        <v>74.5</v>
      </c>
      <c r="V230" s="7">
        <v>81.900000000000006</v>
      </c>
    </row>
    <row r="231" spans="2:22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  <c r="T231" s="7">
        <v>27.8</v>
      </c>
      <c r="U231" s="7">
        <v>29.6</v>
      </c>
      <c r="V231" s="7">
        <v>46.9</v>
      </c>
    </row>
    <row r="232" spans="2:22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  <c r="T232" s="7">
        <v>123.6</v>
      </c>
      <c r="U232" s="7">
        <v>129.4</v>
      </c>
      <c r="V232" s="7">
        <v>141.80000000000001</v>
      </c>
    </row>
    <row r="233" spans="2:22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  <c r="T233" s="7">
        <v>114.1</v>
      </c>
      <c r="U233" s="7">
        <v>71</v>
      </c>
      <c r="V233" s="7">
        <v>84.3</v>
      </c>
    </row>
    <row r="234" spans="2:22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  <c r="T234" s="7">
        <v>182</v>
      </c>
      <c r="U234" s="7">
        <v>172.9</v>
      </c>
      <c r="V234" s="7">
        <v>90.7</v>
      </c>
    </row>
    <row r="235" spans="2:22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  <c r="T235" s="7">
        <v>15</v>
      </c>
      <c r="U235" s="7">
        <v>27.8</v>
      </c>
      <c r="V235" s="7">
        <v>30.3</v>
      </c>
    </row>
    <row r="236" spans="2:22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  <c r="T236" s="7">
        <v>383.4</v>
      </c>
      <c r="U236" s="7">
        <v>356.3</v>
      </c>
      <c r="V236" s="7">
        <v>365.3</v>
      </c>
    </row>
    <row r="237" spans="2:22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  <c r="T237" s="7">
        <v>106.4</v>
      </c>
      <c r="U237" s="7">
        <v>92</v>
      </c>
      <c r="V237" s="7">
        <v>72.2</v>
      </c>
    </row>
    <row r="238" spans="2:22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  <c r="T238" s="7">
        <v>216.4</v>
      </c>
      <c r="U238" s="7">
        <v>229.2</v>
      </c>
      <c r="V238" s="7">
        <v>222.4</v>
      </c>
    </row>
    <row r="239" spans="2:22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  <c r="T239" s="7">
        <v>17.7</v>
      </c>
      <c r="U239" s="7">
        <v>45.7</v>
      </c>
      <c r="V239" s="7">
        <v>39.9</v>
      </c>
    </row>
    <row r="240" spans="2:22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  <c r="T240" s="7">
        <v>167.2</v>
      </c>
      <c r="U240" s="7">
        <v>179.1</v>
      </c>
      <c r="V240" s="7">
        <v>177.2</v>
      </c>
    </row>
    <row r="241" spans="2:22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  <c r="T241" s="7">
        <v>116.2</v>
      </c>
      <c r="U241" s="7">
        <v>179.2</v>
      </c>
      <c r="V241" s="7">
        <v>108.7</v>
      </c>
    </row>
    <row r="242" spans="2:22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  <c r="T242" s="7">
        <v>85.8</v>
      </c>
      <c r="U242" s="7">
        <v>113.4</v>
      </c>
      <c r="V242" s="7">
        <v>141.9</v>
      </c>
    </row>
    <row r="243" spans="2:22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</row>
    <row r="244" spans="2:22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  <c r="T244" s="7">
        <v>370.7</v>
      </c>
      <c r="U244" s="7">
        <v>404.7</v>
      </c>
      <c r="V244" s="7">
        <v>391.1</v>
      </c>
    </row>
    <row r="245" spans="2:22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</row>
    <row r="246" spans="2:22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  <c r="T246" s="7">
        <v>103.1</v>
      </c>
      <c r="U246" s="7">
        <v>107.1</v>
      </c>
      <c r="V246" s="7">
        <v>102.1</v>
      </c>
    </row>
    <row r="247" spans="2:22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  <c r="T247" s="7">
        <v>44.3</v>
      </c>
      <c r="U247" s="7">
        <v>43.6</v>
      </c>
      <c r="V247" s="7">
        <v>48.7</v>
      </c>
    </row>
    <row r="248" spans="2:22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</row>
    <row r="249" spans="2:22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</row>
    <row r="250" spans="2:22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  <c r="T250" s="7">
        <v>276.7</v>
      </c>
      <c r="U250" s="7">
        <v>268.2</v>
      </c>
      <c r="V250" s="7">
        <v>229.4</v>
      </c>
    </row>
    <row r="251" spans="2:22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</row>
    <row r="252" spans="2:22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6.8</v>
      </c>
      <c r="U252" s="7">
        <v>0</v>
      </c>
      <c r="V252" s="7">
        <v>0</v>
      </c>
    </row>
    <row r="253" spans="2:22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  <c r="T253" s="7">
        <v>221.4</v>
      </c>
      <c r="U253" s="7">
        <v>235.8</v>
      </c>
      <c r="V253" s="7">
        <v>238.6</v>
      </c>
    </row>
    <row r="254" spans="2:22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  <c r="T254" s="7">
        <v>139.30000000000001</v>
      </c>
      <c r="U254" s="7">
        <v>131.69999999999999</v>
      </c>
      <c r="V254" s="7">
        <v>125.1</v>
      </c>
    </row>
    <row r="255" spans="2:22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</row>
    <row r="256" spans="2:22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  <c r="T256" s="7">
        <v>263.2</v>
      </c>
      <c r="U256" s="7">
        <v>254.2</v>
      </c>
      <c r="V256" s="7">
        <v>253.7</v>
      </c>
    </row>
    <row r="257" spans="2:22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  <c r="T257" s="7">
        <v>172</v>
      </c>
      <c r="U257" s="7">
        <v>154.6</v>
      </c>
      <c r="V257" s="7">
        <v>158.6</v>
      </c>
    </row>
    <row r="258" spans="2:22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</row>
    <row r="259" spans="2:22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  <c r="T259" s="7">
        <v>159.69999999999999</v>
      </c>
      <c r="U259" s="7">
        <v>173.3</v>
      </c>
      <c r="V259" s="7">
        <v>170.5</v>
      </c>
    </row>
    <row r="260" spans="2:22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  <c r="T260" s="7">
        <v>16.2</v>
      </c>
      <c r="U260" s="7">
        <v>16.7</v>
      </c>
      <c r="V260" s="7">
        <v>17.600000000000001</v>
      </c>
    </row>
    <row r="261" spans="2:22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  <c r="T261" s="7">
        <v>189.1</v>
      </c>
      <c r="U261" s="7">
        <v>198.9</v>
      </c>
      <c r="V261" s="7">
        <v>193</v>
      </c>
    </row>
    <row r="262" spans="2:22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  <c r="T262" s="7">
        <v>374.3</v>
      </c>
      <c r="U262" s="7">
        <v>375.2</v>
      </c>
      <c r="V262" s="7">
        <v>452.2</v>
      </c>
    </row>
    <row r="263" spans="2:22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</row>
    <row r="264" spans="2:22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  <c r="T264" s="7">
        <v>0</v>
      </c>
      <c r="U264" s="7">
        <v>0</v>
      </c>
      <c r="V264" s="7">
        <v>0</v>
      </c>
    </row>
    <row r="265" spans="2:22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  <c r="T265" s="7">
        <v>30.9</v>
      </c>
      <c r="U265" s="7">
        <v>22.6</v>
      </c>
      <c r="V265" s="7">
        <v>27.3</v>
      </c>
    </row>
    <row r="266" spans="2:22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  <c r="T266" s="7">
        <v>64.5</v>
      </c>
      <c r="U266" s="7">
        <v>59.4</v>
      </c>
      <c r="V266" s="7">
        <v>53.7</v>
      </c>
    </row>
    <row r="267" spans="2:22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</row>
    <row r="268" spans="2:22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</row>
    <row r="269" spans="2:22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  <c r="T269" s="7">
        <v>53.8</v>
      </c>
      <c r="U269" s="7">
        <v>48.4</v>
      </c>
      <c r="V269" s="7">
        <v>59.2</v>
      </c>
    </row>
    <row r="270" spans="2:22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  <c r="T270" s="7">
        <v>60.1</v>
      </c>
      <c r="U270" s="7">
        <v>60.4</v>
      </c>
      <c r="V270" s="7">
        <v>68.099999999999994</v>
      </c>
    </row>
    <row r="271" spans="2:22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  <c r="T271" s="7">
        <v>189.2</v>
      </c>
      <c r="U271" s="7">
        <v>181.1</v>
      </c>
      <c r="V271" s="7">
        <v>180.3</v>
      </c>
    </row>
    <row r="272" spans="2:22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  <c r="T272" s="7">
        <v>9.5</v>
      </c>
      <c r="U272" s="7">
        <v>8.6</v>
      </c>
      <c r="V272" s="7">
        <v>9.1</v>
      </c>
    </row>
    <row r="273" spans="2:22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</row>
    <row r="274" spans="2:22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  <c r="T274" s="7">
        <v>295</v>
      </c>
      <c r="U274" s="7">
        <v>272.2</v>
      </c>
      <c r="V274" s="7">
        <v>307.39999999999998</v>
      </c>
    </row>
    <row r="275" spans="2:22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  <c r="T275" s="7">
        <v>49.2</v>
      </c>
      <c r="U275" s="7">
        <v>59.1</v>
      </c>
      <c r="V275" s="7">
        <v>61.9</v>
      </c>
    </row>
    <row r="276" spans="2:22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  <c r="T276" s="7">
        <v>144.5</v>
      </c>
      <c r="U276" s="7">
        <v>162.9</v>
      </c>
      <c r="V276" s="7">
        <v>150.80000000000001</v>
      </c>
    </row>
    <row r="277" spans="2:22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  <c r="T277" s="7">
        <v>59.5</v>
      </c>
      <c r="U277" s="7">
        <v>54.8</v>
      </c>
      <c r="V277" s="7">
        <v>67.400000000000006</v>
      </c>
    </row>
    <row r="278" spans="2:22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  <c r="T278" s="7">
        <v>180.9</v>
      </c>
      <c r="U278" s="7">
        <v>172.1</v>
      </c>
      <c r="V278" s="7">
        <v>200.6</v>
      </c>
    </row>
    <row r="279" spans="2:22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  <c r="T279" s="7">
        <v>191.6</v>
      </c>
      <c r="U279" s="7">
        <v>161.1</v>
      </c>
      <c r="V279" s="7">
        <v>192.4</v>
      </c>
    </row>
    <row r="280" spans="2:22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  <c r="T280" s="7">
        <v>39.299999999999997</v>
      </c>
      <c r="U280" s="7">
        <v>38.700000000000003</v>
      </c>
      <c r="V280" s="7">
        <v>33.299999999999997</v>
      </c>
    </row>
    <row r="281" spans="2:22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  <c r="T281" s="7">
        <v>69.8</v>
      </c>
      <c r="U281" s="7">
        <v>67.5</v>
      </c>
      <c r="V281" s="7">
        <v>62.9</v>
      </c>
    </row>
    <row r="282" spans="2:22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  <c r="T282" s="7">
        <v>36.5</v>
      </c>
      <c r="U282" s="7">
        <v>44.1</v>
      </c>
      <c r="V282" s="7">
        <v>67.900000000000006</v>
      </c>
    </row>
    <row r="283" spans="2:22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  <c r="T283" s="7">
        <v>33.6</v>
      </c>
      <c r="U283" s="7">
        <v>34.799999999999997</v>
      </c>
      <c r="V283" s="7">
        <v>32.4</v>
      </c>
    </row>
    <row r="284" spans="2:22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</row>
    <row r="285" spans="2:22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</row>
    <row r="286" spans="2:22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  <c r="T286" s="7">
        <v>22.1</v>
      </c>
      <c r="U286" s="7">
        <v>28.7</v>
      </c>
      <c r="V286" s="7">
        <v>23.2</v>
      </c>
    </row>
    <row r="287" spans="2:22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  <c r="T287" s="7">
        <v>45.3</v>
      </c>
      <c r="U287" s="7">
        <v>40.299999999999997</v>
      </c>
      <c r="V287" s="7">
        <v>35.700000000000003</v>
      </c>
    </row>
    <row r="288" spans="2:22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  <c r="T288" s="7">
        <v>32.5</v>
      </c>
      <c r="U288" s="7">
        <v>24.5</v>
      </c>
      <c r="V288" s="7">
        <v>27.3</v>
      </c>
    </row>
    <row r="289" spans="2:22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  <c r="T289" s="7">
        <v>425.6</v>
      </c>
      <c r="U289" s="7">
        <v>421.2</v>
      </c>
      <c r="V289" s="7">
        <v>387</v>
      </c>
    </row>
    <row r="290" spans="2:22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  <c r="T290" s="7">
        <v>4.8</v>
      </c>
      <c r="U290" s="7">
        <v>3.9</v>
      </c>
      <c r="V290" s="7">
        <v>2.6</v>
      </c>
    </row>
    <row r="291" spans="2:22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</row>
    <row r="292" spans="2:22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</row>
    <row r="293" spans="2:22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  <c r="T293" s="7">
        <v>125.2</v>
      </c>
      <c r="U293" s="7">
        <v>108.6</v>
      </c>
      <c r="V293" s="7">
        <v>115.6</v>
      </c>
    </row>
    <row r="294" spans="2:22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</row>
    <row r="295" spans="2:22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  <c r="T295" s="7">
        <v>53.6</v>
      </c>
      <c r="U295" s="7">
        <v>52.8</v>
      </c>
      <c r="V295" s="7">
        <v>66.599999999999994</v>
      </c>
    </row>
    <row r="296" spans="2:22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</row>
    <row r="297" spans="2:22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</row>
    <row r="298" spans="2:22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  <c r="T298" s="7">
        <v>22.1</v>
      </c>
      <c r="U298" s="7">
        <v>23.1</v>
      </c>
      <c r="V298" s="7">
        <v>22.5</v>
      </c>
    </row>
    <row r="299" spans="2:22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  <c r="T299" s="7">
        <v>70.7</v>
      </c>
      <c r="U299" s="7">
        <v>63.9</v>
      </c>
      <c r="V299" s="7">
        <v>61.3</v>
      </c>
    </row>
    <row r="300" spans="2:22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</row>
    <row r="301" spans="2:22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</row>
    <row r="302" spans="2:22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</row>
    <row r="303" spans="2:22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</row>
    <row r="304" spans="2:22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</row>
    <row r="305" spans="2:22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</row>
    <row r="306" spans="2:22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</row>
    <row r="307" spans="2:22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  <c r="T307" s="7">
        <v>38</v>
      </c>
      <c r="U307" s="7">
        <v>38</v>
      </c>
      <c r="V307" s="7">
        <v>40</v>
      </c>
    </row>
    <row r="308" spans="2:22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</row>
    <row r="309" spans="2:22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</row>
    <row r="310" spans="2:22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  <c r="T310" s="7">
        <v>307.2</v>
      </c>
      <c r="U310" s="7">
        <v>316.2</v>
      </c>
      <c r="V310" s="7">
        <v>341.2</v>
      </c>
    </row>
    <row r="311" spans="2:22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</row>
    <row r="312" spans="2:22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</row>
    <row r="313" spans="2:22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  <c r="T313" s="7">
        <v>94.8</v>
      </c>
      <c r="U313" s="7">
        <v>101</v>
      </c>
      <c r="V313" s="7">
        <v>92.6</v>
      </c>
    </row>
    <row r="314" spans="2:22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  <c r="T314" s="7">
        <v>636.4</v>
      </c>
      <c r="U314" s="7">
        <v>482.2</v>
      </c>
      <c r="V314" s="7">
        <v>275.7</v>
      </c>
    </row>
    <row r="315" spans="2:22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  <c r="T315" s="7">
        <v>38.200000000000003</v>
      </c>
      <c r="U315" s="7">
        <v>55.6</v>
      </c>
      <c r="V315" s="7">
        <v>48.9</v>
      </c>
    </row>
    <row r="316" spans="2:22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  <c r="T316" s="7">
        <v>319.39999999999998</v>
      </c>
      <c r="U316" s="7">
        <v>298.7</v>
      </c>
      <c r="V316" s="7">
        <v>290.8</v>
      </c>
    </row>
    <row r="317" spans="2:22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  <c r="T317" s="7">
        <v>44</v>
      </c>
      <c r="U317" s="7">
        <v>35.5</v>
      </c>
      <c r="V317" s="7">
        <v>37.9</v>
      </c>
    </row>
    <row r="318" spans="2:22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</row>
    <row r="319" spans="2:22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</row>
    <row r="320" spans="2:22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</row>
    <row r="321" spans="2:22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</row>
    <row r="322" spans="2:22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</row>
    <row r="323" spans="2:22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</row>
    <row r="324" spans="2:22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  <c r="T324" s="7">
        <v>66.2</v>
      </c>
      <c r="U324" s="7">
        <v>712.9</v>
      </c>
      <c r="V324" s="7">
        <v>236.2</v>
      </c>
    </row>
    <row r="325" spans="2:22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</row>
    <row r="326" spans="2:22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</row>
    <row r="327" spans="2:22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</row>
    <row r="328" spans="2:22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  <c r="T328" s="7">
        <v>21.6</v>
      </c>
      <c r="U328" s="7">
        <v>21.1</v>
      </c>
      <c r="V328" s="7">
        <v>13.7</v>
      </c>
    </row>
    <row r="329" spans="2:22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</row>
    <row r="330" spans="2:22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</row>
    <row r="331" spans="2:22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</row>
    <row r="332" spans="2:22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  <c r="T332" s="7">
        <v>161.19999999999999</v>
      </c>
      <c r="U332" s="7">
        <v>147.9</v>
      </c>
      <c r="V332" s="7">
        <v>148</v>
      </c>
    </row>
    <row r="333" spans="2:22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</row>
    <row r="334" spans="2:22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</row>
    <row r="335" spans="2:22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</row>
    <row r="336" spans="2:22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</row>
    <row r="337" spans="2:22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</row>
    <row r="338" spans="2:22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</row>
    <row r="339" spans="2:22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</row>
    <row r="340" spans="2:22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  <c r="T340" s="7">
        <v>0</v>
      </c>
      <c r="U340" s="7">
        <v>0</v>
      </c>
      <c r="V340" s="7">
        <v>0</v>
      </c>
    </row>
    <row r="341" spans="2:22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  <c r="T341" s="7">
        <v>153.30000000000001</v>
      </c>
      <c r="U341" s="7">
        <v>145.80000000000001</v>
      </c>
      <c r="V341" s="7">
        <v>150.69999999999999</v>
      </c>
    </row>
    <row r="342" spans="2:22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</row>
    <row r="343" spans="2:22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  <c r="T343" s="7">
        <v>63.9</v>
      </c>
      <c r="U343" s="7">
        <v>68.7</v>
      </c>
      <c r="V343" s="7">
        <v>62</v>
      </c>
    </row>
    <row r="344" spans="2:22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  <c r="T344" s="7">
        <v>427.8</v>
      </c>
      <c r="U344" s="7">
        <v>405.5</v>
      </c>
      <c r="V344" s="7">
        <v>484.3</v>
      </c>
    </row>
    <row r="345" spans="2:22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</row>
    <row r="346" spans="2:22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  <c r="T346" s="7">
        <v>750.3</v>
      </c>
      <c r="U346" s="7">
        <v>703.1</v>
      </c>
      <c r="V346" s="7">
        <v>857.8</v>
      </c>
    </row>
    <row r="347" spans="2:22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</row>
    <row r="348" spans="2:22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  <c r="T348" s="7">
        <v>101.2</v>
      </c>
      <c r="U348" s="7">
        <v>99.2</v>
      </c>
      <c r="V348" s="7">
        <v>99.6</v>
      </c>
    </row>
    <row r="349" spans="2:22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</row>
    <row r="350" spans="2:22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  <c r="T350" s="7">
        <v>85.7</v>
      </c>
      <c r="U350" s="7">
        <v>80.599999999999994</v>
      </c>
      <c r="V350" s="7">
        <v>84.3</v>
      </c>
    </row>
    <row r="351" spans="2:22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  <c r="T351" s="7">
        <v>136.30000000000001</v>
      </c>
      <c r="U351" s="7">
        <v>308.5</v>
      </c>
      <c r="V351" s="7">
        <v>106.9</v>
      </c>
    </row>
    <row r="352" spans="2:22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  <c r="T352" s="7">
        <v>132.4</v>
      </c>
      <c r="U352" s="7">
        <v>162.80000000000001</v>
      </c>
      <c r="V352" s="7">
        <v>195.2</v>
      </c>
    </row>
    <row r="353" spans="2:22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  <c r="T353" s="7">
        <v>39.700000000000003</v>
      </c>
      <c r="U353" s="7">
        <v>37.1</v>
      </c>
      <c r="V353" s="7">
        <v>48.9</v>
      </c>
    </row>
    <row r="354" spans="2:22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</row>
    <row r="355" spans="2:22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  <c r="T355" s="7">
        <v>1291</v>
      </c>
      <c r="U355" s="7">
        <v>847.7</v>
      </c>
      <c r="V355" s="7">
        <v>1175.4000000000001</v>
      </c>
    </row>
    <row r="356" spans="2:22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</row>
    <row r="357" spans="2:22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  <c r="T357" s="7">
        <v>283.89999999999998</v>
      </c>
      <c r="U357" s="7">
        <v>235.6</v>
      </c>
      <c r="V357" s="7">
        <v>191.7</v>
      </c>
    </row>
    <row r="358" spans="2:22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</row>
    <row r="359" spans="2:22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</row>
    <row r="360" spans="2:22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</row>
    <row r="361" spans="2:22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  <c r="T361" s="7">
        <v>4752.7</v>
      </c>
      <c r="U361" s="7">
        <v>5763.4</v>
      </c>
      <c r="V361" s="7">
        <v>5099.2</v>
      </c>
    </row>
    <row r="362" spans="2:22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</row>
    <row r="363" spans="2:22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  <c r="T363" s="7">
        <v>57.4</v>
      </c>
      <c r="U363" s="7">
        <v>327.2</v>
      </c>
      <c r="V363" s="7">
        <v>37.700000000000003</v>
      </c>
    </row>
    <row r="364" spans="2:22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  <c r="T364" s="7">
        <v>128.80000000000001</v>
      </c>
      <c r="U364" s="7">
        <v>118.8</v>
      </c>
      <c r="V364" s="7">
        <v>175</v>
      </c>
    </row>
    <row r="365" spans="2:22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  <c r="T365" s="7">
        <v>149.4</v>
      </c>
      <c r="U365" s="7">
        <v>154.19999999999999</v>
      </c>
      <c r="V365" s="7">
        <v>158.9</v>
      </c>
    </row>
    <row r="366" spans="2:22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  <c r="T366" s="7">
        <v>224.4</v>
      </c>
      <c r="U366" s="7">
        <v>257.3</v>
      </c>
      <c r="V366" s="7">
        <v>268.5</v>
      </c>
    </row>
    <row r="367" spans="2:22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  <c r="T367" s="7">
        <v>78.900000000000006</v>
      </c>
      <c r="U367" s="7">
        <v>28</v>
      </c>
      <c r="V367" s="7">
        <v>0</v>
      </c>
    </row>
    <row r="368" spans="2:22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</row>
    <row r="369" spans="2:22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  <c r="T369" s="7">
        <v>147.19999999999999</v>
      </c>
      <c r="U369" s="7">
        <v>127.7</v>
      </c>
      <c r="V369" s="7">
        <v>127.2</v>
      </c>
    </row>
    <row r="370" spans="2:22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  <c r="T370" s="7">
        <v>206.4</v>
      </c>
      <c r="U370" s="7">
        <v>199.6</v>
      </c>
      <c r="V370" s="7">
        <v>151.6</v>
      </c>
    </row>
    <row r="371" spans="2:22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  <c r="T371" s="7">
        <v>32</v>
      </c>
      <c r="U371" s="7">
        <v>34.4</v>
      </c>
      <c r="V371" s="7">
        <v>31.8</v>
      </c>
    </row>
    <row r="372" spans="2:22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  <c r="T372" s="7">
        <v>176.4</v>
      </c>
      <c r="U372" s="7">
        <v>416.6</v>
      </c>
      <c r="V372" s="7">
        <v>311</v>
      </c>
    </row>
    <row r="373" spans="2:22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  <c r="T373" s="7">
        <v>7.9</v>
      </c>
      <c r="U373" s="7">
        <v>11.3</v>
      </c>
      <c r="V373" s="7">
        <v>10.5</v>
      </c>
    </row>
    <row r="374" spans="2:22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  <c r="T374" s="7">
        <v>255.1</v>
      </c>
      <c r="U374" s="7">
        <v>236.8</v>
      </c>
      <c r="V374" s="7">
        <v>245.2</v>
      </c>
    </row>
    <row r="375" spans="2:22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</row>
    <row r="376" spans="2:22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  <c r="T376" s="7">
        <v>92.7</v>
      </c>
      <c r="U376" s="7">
        <v>240.2</v>
      </c>
      <c r="V376" s="7">
        <v>0</v>
      </c>
    </row>
    <row r="377" spans="2:22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</row>
    <row r="378" spans="2:22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  <c r="T378" s="7">
        <v>211.4</v>
      </c>
      <c r="U378" s="7">
        <v>202.6</v>
      </c>
      <c r="V378" s="7">
        <v>202.8</v>
      </c>
    </row>
    <row r="379" spans="2:22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  <c r="T379" s="7">
        <v>64.5</v>
      </c>
      <c r="U379" s="7">
        <v>48.5</v>
      </c>
      <c r="V379" s="7">
        <v>41.8</v>
      </c>
    </row>
    <row r="380" spans="2:22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  <c r="T380" s="7">
        <v>111.7</v>
      </c>
      <c r="U380" s="7">
        <v>98.3</v>
      </c>
      <c r="V380" s="7">
        <v>80.2</v>
      </c>
    </row>
    <row r="381" spans="2:22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  <c r="T381" s="7">
        <v>184.9</v>
      </c>
      <c r="U381" s="7">
        <v>191.5</v>
      </c>
      <c r="V381" s="7">
        <v>171.7</v>
      </c>
    </row>
    <row r="382" spans="2:22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</row>
    <row r="383" spans="2:22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</row>
    <row r="384" spans="2:22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</row>
    <row r="385" spans="2:22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  <c r="T385" s="7">
        <v>108</v>
      </c>
      <c r="U385" s="7">
        <v>85.3</v>
      </c>
      <c r="V385" s="7">
        <v>91.5</v>
      </c>
    </row>
    <row r="386" spans="2:22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  <c r="T386" s="7">
        <v>141.80000000000001</v>
      </c>
      <c r="U386" s="7">
        <v>131.9</v>
      </c>
      <c r="V386" s="7">
        <v>118.5</v>
      </c>
    </row>
    <row r="387" spans="2:22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  <c r="T387" s="7">
        <v>201.9</v>
      </c>
      <c r="U387" s="7">
        <v>170.2</v>
      </c>
      <c r="V387" s="7">
        <v>161.1</v>
      </c>
    </row>
    <row r="388" spans="2:22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</row>
    <row r="389" spans="2:22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</row>
    <row r="390" spans="2:22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  <c r="T390" s="7">
        <v>185.5</v>
      </c>
      <c r="U390" s="7">
        <v>197.1</v>
      </c>
      <c r="V390" s="7">
        <v>158.5</v>
      </c>
    </row>
    <row r="391" spans="2:22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  <c r="T391" s="7">
        <v>524.4</v>
      </c>
      <c r="U391" s="7">
        <v>209</v>
      </c>
      <c r="V391" s="7">
        <v>336</v>
      </c>
    </row>
    <row r="392" spans="2:22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</row>
    <row r="393" spans="2:22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</row>
    <row r="394" spans="2:22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</row>
    <row r="395" spans="2:22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</row>
    <row r="396" spans="2:22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  <c r="T396" s="7">
        <v>83.9</v>
      </c>
      <c r="U396" s="7">
        <v>63</v>
      </c>
      <c r="V396" s="7">
        <v>106.2</v>
      </c>
    </row>
    <row r="397" spans="2:22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</row>
    <row r="398" spans="2:22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  <c r="T398" s="7">
        <v>10.9</v>
      </c>
      <c r="U398" s="7">
        <v>7.1</v>
      </c>
      <c r="V398" s="7">
        <v>0</v>
      </c>
    </row>
    <row r="399" spans="2:22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</row>
    <row r="400" spans="2:22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  <c r="T400" s="7">
        <v>77</v>
      </c>
      <c r="U400" s="7">
        <v>85.5</v>
      </c>
      <c r="V400" s="7">
        <v>65.099999999999994</v>
      </c>
    </row>
    <row r="401" spans="2:22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</row>
    <row r="402" spans="2:22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</row>
    <row r="403" spans="2:22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</row>
    <row r="404" spans="2:22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</row>
    <row r="405" spans="2:22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</row>
    <row r="406" spans="2:22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</row>
    <row r="407" spans="2:22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</row>
    <row r="408" spans="2:22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</row>
    <row r="409" spans="2:22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</row>
    <row r="410" spans="2:22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  <c r="T410" s="7">
        <v>16</v>
      </c>
      <c r="U410" s="7">
        <v>9.4</v>
      </c>
      <c r="V410" s="7">
        <v>16.100000000000001</v>
      </c>
    </row>
    <row r="411" spans="2:22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  <c r="T411" s="7">
        <v>10.1</v>
      </c>
      <c r="U411" s="7">
        <v>8.1999999999999993</v>
      </c>
      <c r="V411" s="7">
        <v>4.9000000000000004</v>
      </c>
    </row>
    <row r="412" spans="2:22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  <c r="T412" s="7">
        <v>51.7</v>
      </c>
      <c r="U412" s="7">
        <v>47.1</v>
      </c>
      <c r="V412" s="7">
        <v>35.200000000000003</v>
      </c>
    </row>
    <row r="413" spans="2:22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</row>
    <row r="414" spans="2:22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</row>
    <row r="415" spans="2:22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</row>
    <row r="416" spans="2:22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</row>
    <row r="417" spans="2:22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  <c r="T417" s="7">
        <v>49.7</v>
      </c>
      <c r="U417" s="7">
        <v>33.799999999999997</v>
      </c>
      <c r="V417" s="7">
        <v>29.7</v>
      </c>
    </row>
    <row r="418" spans="2:22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</row>
    <row r="419" spans="2:22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18.2</v>
      </c>
    </row>
    <row r="420" spans="2:22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</row>
    <row r="421" spans="2:22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  <c r="T421" s="7">
        <v>27.7</v>
      </c>
      <c r="U421" s="7">
        <v>20.6</v>
      </c>
      <c r="V421" s="7">
        <v>17.899999999999999</v>
      </c>
    </row>
    <row r="422" spans="2:22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</row>
    <row r="423" spans="2:22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  <c r="T423" s="7">
        <v>33.5</v>
      </c>
      <c r="U423" s="7">
        <v>23.5</v>
      </c>
      <c r="V423" s="7">
        <v>25.7</v>
      </c>
    </row>
    <row r="424" spans="2:22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</row>
    <row r="425" spans="2:22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  <c r="T425" s="7">
        <v>76.400000000000006</v>
      </c>
      <c r="U425" s="7">
        <v>76.8</v>
      </c>
      <c r="V425" s="7">
        <v>112.5</v>
      </c>
    </row>
    <row r="426" spans="2:22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  <c r="T426" s="7">
        <v>44</v>
      </c>
      <c r="U426" s="7">
        <v>46.1</v>
      </c>
      <c r="V426" s="7">
        <v>15.9</v>
      </c>
    </row>
    <row r="427" spans="2:22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</row>
    <row r="428" spans="2:22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</row>
    <row r="429" spans="2:22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</row>
    <row r="430" spans="2:22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</row>
    <row r="431" spans="2:22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</row>
    <row r="432" spans="2:22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  <c r="T432" s="7">
        <v>91.5</v>
      </c>
      <c r="U432" s="7">
        <v>99.3</v>
      </c>
      <c r="V432" s="7">
        <v>90.8</v>
      </c>
    </row>
    <row r="433" spans="2:22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  <c r="T433" s="7">
        <v>39.799999999999997</v>
      </c>
      <c r="U433" s="7">
        <v>25.1</v>
      </c>
      <c r="V433" s="7">
        <v>44.3</v>
      </c>
    </row>
    <row r="434" spans="2:22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</row>
    <row r="435" spans="2:22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</row>
    <row r="436" spans="2:22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</row>
    <row r="437" spans="2:22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</row>
    <row r="438" spans="2:22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</row>
    <row r="439" spans="2:22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</row>
    <row r="440" spans="2:22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</row>
    <row r="441" spans="2:22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</row>
    <row r="442" spans="2:22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</row>
    <row r="443" spans="2:22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</row>
    <row r="444" spans="2:22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  <c r="T444" s="7">
        <v>60.5</v>
      </c>
      <c r="U444" s="7">
        <v>50.2</v>
      </c>
      <c r="V444" s="7">
        <v>43.9</v>
      </c>
    </row>
    <row r="445" spans="2:22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</row>
    <row r="446" spans="2:22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  <c r="T446" s="7">
        <v>35.9</v>
      </c>
      <c r="U446" s="7">
        <v>69.099999999999994</v>
      </c>
      <c r="V446" s="7">
        <v>64.7</v>
      </c>
    </row>
    <row r="447" spans="2:22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  <c r="T447" s="7">
        <v>63.6</v>
      </c>
      <c r="U447" s="7">
        <v>58.4</v>
      </c>
      <c r="V447" s="7">
        <v>59.2</v>
      </c>
    </row>
    <row r="448" spans="2:22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</row>
    <row r="449" spans="2:22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  <c r="T449" s="7">
        <v>231.2</v>
      </c>
      <c r="U449" s="7">
        <v>246.1</v>
      </c>
      <c r="V449" s="7">
        <v>225.2</v>
      </c>
    </row>
    <row r="450" spans="2:22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</row>
    <row r="451" spans="2:22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</row>
    <row r="452" spans="2:22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</row>
    <row r="453" spans="2:22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</row>
    <row r="454" spans="2:22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</row>
    <row r="455" spans="2:22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</row>
    <row r="456" spans="2:22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</row>
    <row r="457" spans="2:22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</row>
    <row r="458" spans="2:22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</row>
    <row r="459" spans="2:22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</row>
    <row r="460" spans="2:22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</row>
    <row r="461" spans="2:22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  <c r="T461" s="7">
        <v>140.69999999999999</v>
      </c>
      <c r="U461" s="7">
        <v>143.6</v>
      </c>
      <c r="V461" s="7">
        <v>126.9</v>
      </c>
    </row>
    <row r="462" spans="2:22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</row>
    <row r="463" spans="2:22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</row>
    <row r="464" spans="2:22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</row>
    <row r="465" spans="2:22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  <c r="T465" s="7">
        <v>23.7</v>
      </c>
      <c r="U465" s="7">
        <v>22.9</v>
      </c>
      <c r="V465" s="7">
        <v>24.4</v>
      </c>
    </row>
    <row r="466" spans="2:22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</row>
    <row r="467" spans="2:22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</row>
    <row r="468" spans="2:22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</row>
    <row r="469" spans="2:22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</row>
    <row r="470" spans="2:22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</row>
    <row r="471" spans="2:22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</row>
    <row r="472" spans="2:22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  <c r="T472" s="7">
        <v>79.400000000000006</v>
      </c>
      <c r="U472" s="7">
        <v>31.9</v>
      </c>
      <c r="V472" s="7">
        <v>6</v>
      </c>
    </row>
    <row r="473" spans="2:22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</row>
    <row r="474" spans="2:22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</row>
    <row r="475" spans="2:22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  <c r="T475" s="7">
        <v>322.2</v>
      </c>
      <c r="U475" s="7">
        <v>342.3</v>
      </c>
      <c r="V475" s="7">
        <v>323.8</v>
      </c>
    </row>
    <row r="476" spans="2:22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  <c r="T476" s="7">
        <v>221.3</v>
      </c>
      <c r="U476" s="7">
        <v>215.1</v>
      </c>
      <c r="V476" s="7">
        <v>220</v>
      </c>
    </row>
    <row r="477" spans="2:22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</row>
    <row r="478" spans="2:22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  <c r="T478" s="7">
        <v>342.3</v>
      </c>
      <c r="U478" s="7">
        <v>347.9</v>
      </c>
      <c r="V478" s="7">
        <v>344.3</v>
      </c>
    </row>
    <row r="479" spans="2:22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  <c r="T479" s="7">
        <v>25.1</v>
      </c>
      <c r="U479" s="7">
        <v>17.100000000000001</v>
      </c>
      <c r="V479" s="7">
        <v>15.9</v>
      </c>
    </row>
    <row r="480" spans="2:22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</row>
    <row r="481" spans="2:22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</row>
    <row r="482" spans="2:22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</row>
    <row r="483" spans="2:22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</row>
    <row r="484" spans="2:22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  <c r="T484" s="7">
        <v>81.599999999999994</v>
      </c>
      <c r="U484" s="7">
        <v>81</v>
      </c>
      <c r="V484" s="7">
        <v>84.3</v>
      </c>
    </row>
    <row r="485" spans="2:22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</row>
    <row r="486" spans="2:22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  <c r="T486" s="7">
        <v>208.9</v>
      </c>
      <c r="U486" s="7">
        <v>214.3</v>
      </c>
      <c r="V486" s="7">
        <v>224.1</v>
      </c>
    </row>
    <row r="487" spans="2:22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</row>
    <row r="488" spans="2:22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</row>
    <row r="489" spans="2:22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</row>
    <row r="490" spans="2:22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</row>
    <row r="491" spans="2:22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</row>
    <row r="492" spans="2:22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</row>
    <row r="493" spans="2:22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</row>
    <row r="494" spans="2:22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</row>
    <row r="495" spans="2:22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</row>
    <row r="496" spans="2:22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</row>
    <row r="497" spans="2:22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</row>
    <row r="498" spans="2:22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</row>
    <row r="499" spans="2:22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</row>
    <row r="500" spans="2:22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</row>
    <row r="501" spans="2:22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</row>
    <row r="502" spans="2:22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  <c r="T502" s="7">
        <v>37.9</v>
      </c>
      <c r="U502" s="7">
        <v>34.6</v>
      </c>
      <c r="V502" s="7">
        <v>37.6</v>
      </c>
    </row>
    <row r="503" spans="2:22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  <c r="T503" s="7">
        <v>11.9</v>
      </c>
      <c r="U503" s="7">
        <v>11.7</v>
      </c>
      <c r="V503" s="7">
        <v>15.6</v>
      </c>
    </row>
    <row r="504" spans="2:22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</row>
    <row r="505" spans="2:22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  <c r="T505" s="7">
        <v>14.9</v>
      </c>
      <c r="U505" s="7">
        <v>11.5</v>
      </c>
      <c r="V505" s="7">
        <v>14</v>
      </c>
    </row>
    <row r="506" spans="2:22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  <c r="T506" s="7">
        <v>49</v>
      </c>
      <c r="U506" s="7">
        <v>45.6</v>
      </c>
      <c r="V506" s="7">
        <v>35.5</v>
      </c>
    </row>
    <row r="507" spans="2:22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  <c r="T507" s="7">
        <v>24.9</v>
      </c>
      <c r="U507" s="7">
        <v>33.4</v>
      </c>
      <c r="V507" s="7">
        <v>36.5</v>
      </c>
    </row>
    <row r="508" spans="2:22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</row>
    <row r="509" spans="2:22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  <c r="T509" s="7">
        <v>23.1</v>
      </c>
      <c r="U509" s="7">
        <v>21.2</v>
      </c>
      <c r="V509" s="7">
        <v>16.2</v>
      </c>
    </row>
    <row r="510" spans="2:22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</row>
    <row r="511" spans="2:22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  <c r="T511" s="7">
        <v>107.4</v>
      </c>
      <c r="U511" s="7">
        <v>115.1</v>
      </c>
      <c r="V511" s="7">
        <v>78</v>
      </c>
    </row>
    <row r="512" spans="2:22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  <c r="T512" s="7">
        <v>82.2</v>
      </c>
      <c r="U512" s="7">
        <v>66.400000000000006</v>
      </c>
      <c r="V512" s="7">
        <v>69.400000000000006</v>
      </c>
    </row>
    <row r="513" spans="2:22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  <c r="T513" s="7">
        <v>42.9</v>
      </c>
      <c r="U513" s="7">
        <v>50</v>
      </c>
      <c r="V513" s="7">
        <v>43.1</v>
      </c>
    </row>
    <row r="514" spans="2:22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</row>
    <row r="515" spans="2:22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</row>
    <row r="516" spans="2:22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</row>
    <row r="517" spans="2:22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</row>
    <row r="518" spans="2:22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</row>
    <row r="519" spans="2:22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</row>
    <row r="520" spans="2:22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  <c r="T520" s="7">
        <v>0</v>
      </c>
      <c r="U520" s="7">
        <v>0</v>
      </c>
      <c r="V520" s="7">
        <v>0</v>
      </c>
    </row>
    <row r="521" spans="2:22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  <c r="T521" s="7">
        <v>5.5</v>
      </c>
      <c r="U521" s="7">
        <v>2.9</v>
      </c>
      <c r="V521" s="7">
        <v>3.9</v>
      </c>
    </row>
    <row r="522" spans="2:22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</row>
    <row r="523" spans="2:22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</row>
    <row r="524" spans="2:22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</row>
    <row r="525" spans="2:22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</row>
    <row r="526" spans="2:22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  <c r="T526" s="7">
        <v>19.2</v>
      </c>
      <c r="U526" s="7">
        <v>15.7</v>
      </c>
      <c r="V526" s="7">
        <v>13.7</v>
      </c>
    </row>
    <row r="527" spans="2:22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</row>
    <row r="528" spans="2:22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  <c r="T528" s="7">
        <v>126.7</v>
      </c>
      <c r="U528" s="7">
        <v>190.6</v>
      </c>
      <c r="V528" s="7">
        <v>178.2</v>
      </c>
    </row>
    <row r="529" spans="2:22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  <c r="T529" s="7">
        <v>76.2</v>
      </c>
      <c r="U529" s="7">
        <v>14</v>
      </c>
      <c r="V529" s="7">
        <v>63.2</v>
      </c>
    </row>
    <row r="530" spans="2:22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</row>
    <row r="531" spans="2:22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</row>
    <row r="532" spans="2:22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</row>
    <row r="533" spans="2:22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</row>
    <row r="534" spans="2:22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</row>
    <row r="535" spans="2:22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</row>
    <row r="536" spans="2:22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</row>
    <row r="537" spans="2:22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</row>
    <row r="538" spans="2:22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  <c r="T538" s="7">
        <v>65.599999999999994</v>
      </c>
      <c r="U538" s="7">
        <v>66.8</v>
      </c>
      <c r="V538" s="7">
        <v>63.8</v>
      </c>
    </row>
    <row r="539" spans="2:22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</row>
    <row r="540" spans="2:22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</row>
    <row r="541" spans="2:22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  <c r="T541" s="7">
        <v>184.5</v>
      </c>
      <c r="U541" s="7">
        <v>165.9</v>
      </c>
      <c r="V541" s="7">
        <v>182</v>
      </c>
    </row>
    <row r="542" spans="2:22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  <c r="T542" s="7">
        <v>93.9</v>
      </c>
      <c r="U542" s="7">
        <v>96.9</v>
      </c>
      <c r="V542" s="7">
        <v>86.7</v>
      </c>
    </row>
    <row r="543" spans="2:22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</row>
    <row r="544" spans="2:22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</row>
    <row r="545" spans="2:22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  <c r="T545" s="7">
        <v>84.7</v>
      </c>
      <c r="U545" s="7">
        <v>62.7</v>
      </c>
      <c r="V545" s="7">
        <v>62.4</v>
      </c>
    </row>
    <row r="546" spans="2:22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  <c r="T546" s="7">
        <v>110.8</v>
      </c>
      <c r="U546" s="7">
        <v>106.1</v>
      </c>
      <c r="V546" s="7">
        <v>111.9</v>
      </c>
    </row>
    <row r="547" spans="2:22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  <c r="T547" s="7">
        <v>31.2</v>
      </c>
      <c r="U547" s="7">
        <v>32</v>
      </c>
      <c r="V547" s="7">
        <v>14.5</v>
      </c>
    </row>
    <row r="548" spans="2:22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</row>
    <row r="549" spans="2:22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  <c r="T549" s="7">
        <v>193.8</v>
      </c>
      <c r="U549" s="7">
        <v>177.7</v>
      </c>
      <c r="V549" s="7">
        <v>187.8</v>
      </c>
    </row>
    <row r="550" spans="2:22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</row>
    <row r="551" spans="2:22" x14ac:dyDescent="0.2">
      <c r="B551" s="5" t="s">
        <v>2093</v>
      </c>
      <c r="C551" s="5">
        <v>1060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</row>
    <row r="552" spans="2:22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  <c r="T552" s="7">
        <v>21.2</v>
      </c>
      <c r="U552" s="7">
        <v>23.6</v>
      </c>
      <c r="V552" s="7">
        <v>34.1</v>
      </c>
    </row>
    <row r="553" spans="2:22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</row>
    <row r="554" spans="2:22" x14ac:dyDescent="0.2">
      <c r="B554" s="5" t="s">
        <v>2093</v>
      </c>
      <c r="C554" s="5">
        <v>1060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</row>
    <row r="555" spans="2:22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</row>
    <row r="556" spans="2:22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</row>
    <row r="557" spans="2:22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  <c r="T557" s="7">
        <v>78.5</v>
      </c>
      <c r="U557" s="7">
        <v>87.5</v>
      </c>
      <c r="V557" s="7">
        <v>84</v>
      </c>
    </row>
    <row r="558" spans="2:22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</row>
    <row r="559" spans="2:22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</row>
    <row r="560" spans="2:22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  <c r="T560" s="7">
        <v>91.1</v>
      </c>
      <c r="U560" s="7">
        <v>5.3</v>
      </c>
      <c r="V560" s="7">
        <v>6.3</v>
      </c>
    </row>
    <row r="561" spans="2:22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</row>
    <row r="562" spans="2:22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  <c r="T562" s="7">
        <v>142.30000000000001</v>
      </c>
      <c r="U562" s="7">
        <v>116.7</v>
      </c>
      <c r="V562" s="7">
        <v>43.4</v>
      </c>
    </row>
    <row r="563" spans="2:22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  <c r="T563" s="7">
        <v>47.6</v>
      </c>
      <c r="U563" s="7">
        <v>43.5</v>
      </c>
      <c r="V563" s="7">
        <v>78</v>
      </c>
    </row>
    <row r="564" spans="2:22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  <c r="T564" s="7">
        <v>61.7</v>
      </c>
      <c r="U564" s="7">
        <v>56.6</v>
      </c>
      <c r="V564" s="7">
        <v>50.6</v>
      </c>
    </row>
    <row r="565" spans="2:22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  <c r="T565" s="7">
        <v>160.6</v>
      </c>
      <c r="U565" s="7">
        <v>151.19999999999999</v>
      </c>
      <c r="V565" s="7">
        <v>145.6</v>
      </c>
    </row>
    <row r="566" spans="2:22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  <c r="T566" s="7">
        <v>43</v>
      </c>
      <c r="U566" s="7">
        <v>40.700000000000003</v>
      </c>
      <c r="V566" s="7">
        <v>39.6</v>
      </c>
    </row>
    <row r="567" spans="2:22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  <c r="T567" s="7">
        <v>79.599999999999994</v>
      </c>
      <c r="U567" s="7">
        <v>74.599999999999994</v>
      </c>
      <c r="V567" s="7">
        <v>82.1</v>
      </c>
    </row>
    <row r="568" spans="2:22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  <c r="T568" s="7">
        <v>85.8</v>
      </c>
      <c r="U568" s="7">
        <v>56.3</v>
      </c>
      <c r="V568" s="7">
        <v>47</v>
      </c>
    </row>
    <row r="569" spans="2:22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  <c r="T569" s="7">
        <v>24.6</v>
      </c>
      <c r="U569" s="7">
        <v>17.8</v>
      </c>
      <c r="V569" s="7">
        <v>12.1</v>
      </c>
    </row>
    <row r="570" spans="2:22" x14ac:dyDescent="0.2">
      <c r="B570" s="5" t="s">
        <v>809</v>
      </c>
      <c r="C570" s="5">
        <v>1014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  <c r="T570" s="7">
        <v>36.9</v>
      </c>
      <c r="U570" s="7">
        <v>24.5</v>
      </c>
      <c r="V570" s="7">
        <v>22</v>
      </c>
    </row>
    <row r="571" spans="2:22" x14ac:dyDescent="0.2">
      <c r="B571" s="5" t="s">
        <v>809</v>
      </c>
      <c r="C571" s="5">
        <v>1014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  <c r="T571" s="7">
        <v>78.400000000000006</v>
      </c>
      <c r="U571" s="7">
        <v>73.099999999999994</v>
      </c>
      <c r="V571" s="7">
        <v>80.7</v>
      </c>
    </row>
    <row r="572" spans="2:22" x14ac:dyDescent="0.2">
      <c r="B572" s="5" t="s">
        <v>809</v>
      </c>
      <c r="C572" s="5">
        <v>1014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  <c r="T572" s="7">
        <v>26.6</v>
      </c>
      <c r="U572" s="7">
        <v>15.5</v>
      </c>
      <c r="V572" s="7">
        <v>19.399999999999999</v>
      </c>
    </row>
    <row r="573" spans="2:22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</row>
    <row r="574" spans="2:22" x14ac:dyDescent="0.2">
      <c r="B574" s="5" t="s">
        <v>809</v>
      </c>
      <c r="C574" s="5">
        <v>1014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  <c r="T574" s="7">
        <v>9.1999999999999993</v>
      </c>
      <c r="U574" s="7">
        <v>11.3</v>
      </c>
      <c r="V574" s="7">
        <v>9.8000000000000007</v>
      </c>
    </row>
    <row r="575" spans="2:22" x14ac:dyDescent="0.2">
      <c r="B575" s="5" t="s">
        <v>809</v>
      </c>
      <c r="C575" s="5">
        <v>1014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  <c r="T575" s="7">
        <v>79.3</v>
      </c>
      <c r="U575" s="7">
        <v>79.5</v>
      </c>
      <c r="V575" s="7">
        <v>29.9</v>
      </c>
    </row>
    <row r="576" spans="2:22" x14ac:dyDescent="0.2">
      <c r="B576" s="5" t="s">
        <v>809</v>
      </c>
      <c r="C576" s="5">
        <v>1014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  <c r="T576" s="7">
        <v>39.200000000000003</v>
      </c>
      <c r="U576" s="7">
        <v>31</v>
      </c>
      <c r="V576" s="7">
        <v>28.6</v>
      </c>
    </row>
    <row r="577" spans="2:22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  <c r="T577" s="7">
        <v>414.7</v>
      </c>
      <c r="U577" s="7">
        <v>333.5</v>
      </c>
      <c r="V577" s="7">
        <v>229.2</v>
      </c>
    </row>
    <row r="578" spans="2:22" x14ac:dyDescent="0.2">
      <c r="B578" s="5" t="s">
        <v>809</v>
      </c>
      <c r="C578" s="5">
        <v>1014</v>
      </c>
      <c r="D578" s="5" t="s">
        <v>809</v>
      </c>
      <c r="E578" s="5">
        <v>10600009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  <c r="T578" s="7">
        <v>16.5</v>
      </c>
      <c r="U578" s="7">
        <v>31</v>
      </c>
      <c r="V578" s="7">
        <v>28.6</v>
      </c>
    </row>
    <row r="579" spans="2:22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  <c r="T579" s="7">
        <v>108.5</v>
      </c>
      <c r="U579" s="7">
        <v>110.1</v>
      </c>
      <c r="V579" s="7">
        <v>115</v>
      </c>
    </row>
    <row r="580" spans="2:22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  <c r="T580" s="7">
        <v>271.39999999999998</v>
      </c>
      <c r="U580" s="7">
        <v>292.2</v>
      </c>
      <c r="V580" s="7">
        <v>303.5</v>
      </c>
    </row>
    <row r="581" spans="2:22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  <c r="T581" s="7">
        <v>744.6</v>
      </c>
      <c r="U581" s="7">
        <v>740.4</v>
      </c>
      <c r="V581" s="7">
        <v>803.9</v>
      </c>
    </row>
    <row r="582" spans="2:22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</row>
    <row r="583" spans="2:22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  <c r="T583" s="7">
        <v>135</v>
      </c>
      <c r="U583" s="7">
        <v>118.6</v>
      </c>
      <c r="V583" s="7">
        <v>129.80000000000001</v>
      </c>
    </row>
    <row r="584" spans="2:22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  <c r="T584" s="7">
        <v>124.6</v>
      </c>
      <c r="U584" s="7">
        <v>121.5</v>
      </c>
      <c r="V584" s="7">
        <v>122.6</v>
      </c>
    </row>
    <row r="585" spans="2:22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  <c r="T585" s="7">
        <v>69</v>
      </c>
      <c r="U585" s="7">
        <v>67.3</v>
      </c>
      <c r="V585" s="7">
        <v>69.7</v>
      </c>
    </row>
    <row r="586" spans="2:22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  <c r="T586" s="7">
        <v>65.400000000000006</v>
      </c>
      <c r="U586" s="7">
        <v>63</v>
      </c>
      <c r="V586" s="7">
        <v>64.5</v>
      </c>
    </row>
    <row r="587" spans="2:22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  <c r="T587" s="7">
        <v>145.30000000000001</v>
      </c>
      <c r="U587" s="7">
        <v>131.80000000000001</v>
      </c>
      <c r="V587" s="7">
        <v>134.4</v>
      </c>
    </row>
    <row r="588" spans="2:22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  <c r="T588" s="7">
        <v>0</v>
      </c>
      <c r="U588" s="7">
        <v>0</v>
      </c>
      <c r="V588" s="7">
        <v>0</v>
      </c>
    </row>
    <row r="589" spans="2:22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  <c r="T589" s="7">
        <v>202.6</v>
      </c>
      <c r="U589" s="7">
        <v>188.4</v>
      </c>
      <c r="V589" s="7">
        <v>183.4</v>
      </c>
    </row>
    <row r="590" spans="2:22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  <c r="T590" s="7">
        <v>166.7</v>
      </c>
      <c r="U590" s="7">
        <v>163.80000000000001</v>
      </c>
      <c r="V590" s="7">
        <v>188</v>
      </c>
    </row>
    <row r="591" spans="2:22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  <c r="T591" s="7">
        <v>39.9</v>
      </c>
      <c r="U591" s="7">
        <v>42.6</v>
      </c>
      <c r="V591" s="7">
        <v>44</v>
      </c>
    </row>
    <row r="592" spans="2:22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</row>
    <row r="593" spans="2:22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  <c r="T593" s="7">
        <v>264.10000000000002</v>
      </c>
      <c r="U593" s="7">
        <v>211.8</v>
      </c>
      <c r="V593" s="7">
        <v>203.9</v>
      </c>
    </row>
    <row r="594" spans="2:22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  <c r="T594" s="7">
        <v>84.1</v>
      </c>
      <c r="U594" s="7">
        <v>77.400000000000006</v>
      </c>
      <c r="V594" s="7">
        <v>75.400000000000006</v>
      </c>
    </row>
    <row r="595" spans="2:22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  <c r="T595" s="7">
        <v>353.5</v>
      </c>
      <c r="U595" s="7">
        <v>338.4</v>
      </c>
      <c r="V595" s="7">
        <v>321.10000000000002</v>
      </c>
    </row>
    <row r="596" spans="2:22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  <c r="T596" s="7">
        <v>11.1</v>
      </c>
      <c r="U596" s="7">
        <v>13</v>
      </c>
      <c r="V596" s="7">
        <v>10.3</v>
      </c>
    </row>
    <row r="597" spans="2:22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</row>
    <row r="598" spans="2:22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  <c r="T598" s="7">
        <v>71.7</v>
      </c>
      <c r="U598" s="7">
        <v>70.099999999999994</v>
      </c>
      <c r="V598" s="7">
        <v>32</v>
      </c>
    </row>
    <row r="599" spans="2:22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  <c r="T599" s="7">
        <v>232.3</v>
      </c>
      <c r="U599" s="7">
        <v>205.7</v>
      </c>
      <c r="V599" s="7">
        <v>213.7</v>
      </c>
    </row>
    <row r="600" spans="2:22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  <c r="T600" s="7">
        <v>62.4</v>
      </c>
      <c r="U600" s="7">
        <v>67.900000000000006</v>
      </c>
      <c r="V600" s="7">
        <v>47.9</v>
      </c>
    </row>
    <row r="601" spans="2:22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  <c r="T601" s="7">
        <v>159.19999999999999</v>
      </c>
      <c r="U601" s="7">
        <v>156.6</v>
      </c>
      <c r="V601" s="7">
        <v>147.80000000000001</v>
      </c>
    </row>
    <row r="602" spans="2:22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  <c r="T602" s="7">
        <v>93.9</v>
      </c>
      <c r="U602" s="7">
        <v>91.9</v>
      </c>
      <c r="V602" s="7">
        <v>103</v>
      </c>
    </row>
    <row r="603" spans="2:22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</row>
    <row r="604" spans="2:22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  <c r="T604" s="7">
        <v>99.9</v>
      </c>
      <c r="U604" s="7">
        <v>101.6</v>
      </c>
      <c r="V604" s="7">
        <v>176.8</v>
      </c>
    </row>
    <row r="605" spans="2:22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  <c r="T605" s="7">
        <v>142.1</v>
      </c>
      <c r="U605" s="7">
        <v>151.4</v>
      </c>
      <c r="V605" s="7">
        <v>150.19999999999999</v>
      </c>
    </row>
    <row r="606" spans="2:22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</row>
    <row r="607" spans="2:22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  <c r="T607" s="7">
        <v>154.9</v>
      </c>
      <c r="U607" s="7">
        <v>136.4</v>
      </c>
      <c r="V607" s="7">
        <v>120.5</v>
      </c>
    </row>
    <row r="608" spans="2:22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  <c r="T608" s="7">
        <v>81.599999999999994</v>
      </c>
      <c r="U608" s="7">
        <v>99.6</v>
      </c>
      <c r="V608" s="7">
        <v>106.1</v>
      </c>
    </row>
    <row r="609" spans="2:22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</row>
    <row r="610" spans="2:22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  <c r="T610" s="7">
        <v>803</v>
      </c>
      <c r="U610" s="7">
        <v>748.8</v>
      </c>
      <c r="V610" s="7">
        <v>755</v>
      </c>
    </row>
    <row r="611" spans="2:22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  <c r="T611" s="7">
        <v>116.5</v>
      </c>
      <c r="U611" s="7">
        <v>129.4</v>
      </c>
      <c r="V611" s="7">
        <v>104.8</v>
      </c>
    </row>
    <row r="612" spans="2:22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</row>
    <row r="613" spans="2:22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</row>
    <row r="614" spans="2:22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  <c r="T614" s="7">
        <v>200.5</v>
      </c>
      <c r="U614" s="7">
        <v>210.4</v>
      </c>
      <c r="V614" s="7">
        <v>219.2</v>
      </c>
    </row>
    <row r="615" spans="2:22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  <c r="T615" s="7">
        <v>84.7</v>
      </c>
      <c r="U615" s="7">
        <v>72.5</v>
      </c>
      <c r="V615" s="7">
        <v>65.5</v>
      </c>
    </row>
    <row r="616" spans="2:22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</row>
    <row r="617" spans="2:22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  <c r="T617" s="7">
        <v>36</v>
      </c>
      <c r="U617" s="7">
        <v>34.299999999999997</v>
      </c>
      <c r="V617" s="7">
        <v>28.7</v>
      </c>
    </row>
    <row r="618" spans="2:22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  <c r="T618" s="7">
        <v>88</v>
      </c>
      <c r="U618" s="7">
        <v>67</v>
      </c>
      <c r="V618" s="7">
        <v>71.400000000000006</v>
      </c>
    </row>
    <row r="619" spans="2:22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</row>
    <row r="620" spans="2:22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  <c r="T620" s="7">
        <v>356.6</v>
      </c>
      <c r="U620" s="7">
        <v>363.2</v>
      </c>
      <c r="V620" s="7">
        <v>310.60000000000002</v>
      </c>
    </row>
    <row r="621" spans="2:22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</row>
    <row r="622" spans="2:22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  <c r="T622" s="7">
        <v>141.69999999999999</v>
      </c>
      <c r="U622" s="7">
        <v>124.4</v>
      </c>
      <c r="V622" s="7">
        <v>125.3</v>
      </c>
    </row>
    <row r="623" spans="2:22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</row>
    <row r="624" spans="2:22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</row>
    <row r="625" spans="2:22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</row>
    <row r="626" spans="2:22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  <c r="T626" s="7">
        <v>204.4</v>
      </c>
      <c r="U626" s="7">
        <v>219.9</v>
      </c>
      <c r="V626" s="7">
        <v>172.4</v>
      </c>
    </row>
    <row r="627" spans="2:22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</row>
    <row r="628" spans="2:22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</row>
    <row r="629" spans="2:22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  <c r="T629" s="7">
        <v>130.6</v>
      </c>
      <c r="U629" s="7">
        <v>201.9</v>
      </c>
      <c r="V629" s="7">
        <v>182.7</v>
      </c>
    </row>
    <row r="630" spans="2:22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  <c r="T630" s="7">
        <v>129</v>
      </c>
      <c r="U630" s="7">
        <v>132.4</v>
      </c>
      <c r="V630" s="7">
        <v>133.6</v>
      </c>
    </row>
    <row r="631" spans="2:22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</row>
    <row r="632" spans="2:22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</row>
    <row r="633" spans="2:22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</row>
    <row r="634" spans="2:22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  <c r="T634" s="7">
        <v>17.399999999999999</v>
      </c>
      <c r="U634" s="7">
        <v>18</v>
      </c>
      <c r="V634" s="7">
        <v>19.3</v>
      </c>
    </row>
    <row r="635" spans="2:22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  <c r="T635" s="7">
        <v>169.7</v>
      </c>
      <c r="U635" s="7">
        <v>157.5</v>
      </c>
      <c r="V635" s="7">
        <v>172.7</v>
      </c>
    </row>
    <row r="636" spans="2:22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</row>
    <row r="637" spans="2:22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</row>
    <row r="638" spans="2:22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  <c r="T638" s="7">
        <v>93</v>
      </c>
      <c r="U638" s="7">
        <v>16</v>
      </c>
      <c r="V638" s="7">
        <v>17</v>
      </c>
    </row>
    <row r="639" spans="2:22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  <c r="T639" s="7">
        <v>98.3</v>
      </c>
      <c r="U639" s="7">
        <v>73.8</v>
      </c>
      <c r="V639" s="7">
        <v>71.7</v>
      </c>
    </row>
    <row r="640" spans="2:22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  <c r="T640" s="7">
        <v>69.7</v>
      </c>
      <c r="U640" s="7">
        <v>55</v>
      </c>
      <c r="V640" s="7">
        <v>45.7</v>
      </c>
    </row>
    <row r="641" spans="2:22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</row>
    <row r="642" spans="2:22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  <c r="T642" s="7">
        <v>175.9</v>
      </c>
      <c r="U642" s="7">
        <v>174.1</v>
      </c>
      <c r="V642" s="7">
        <v>161.80000000000001</v>
      </c>
    </row>
    <row r="643" spans="2:22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</row>
    <row r="644" spans="2:22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</row>
    <row r="645" spans="2:22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  <c r="T645" s="7">
        <v>167.7</v>
      </c>
      <c r="U645" s="7">
        <v>147.80000000000001</v>
      </c>
      <c r="V645" s="7">
        <v>23.7</v>
      </c>
    </row>
    <row r="646" spans="2:22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</row>
    <row r="647" spans="2:22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</row>
    <row r="648" spans="2:22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  <c r="T648" s="7">
        <v>49.9</v>
      </c>
      <c r="U648" s="7">
        <v>69.400000000000006</v>
      </c>
      <c r="V648" s="7">
        <v>59.4</v>
      </c>
    </row>
    <row r="649" spans="2:22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  <c r="T649" s="7">
        <v>82.5</v>
      </c>
      <c r="U649" s="7">
        <v>71.8</v>
      </c>
      <c r="V649" s="7">
        <v>65.3</v>
      </c>
    </row>
    <row r="650" spans="2:22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  <c r="T650" s="7">
        <v>184</v>
      </c>
      <c r="U650" s="7">
        <v>159.9</v>
      </c>
      <c r="V650" s="7">
        <v>161.30000000000001</v>
      </c>
    </row>
    <row r="651" spans="2:22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  <c r="T651" s="7">
        <v>96.2</v>
      </c>
      <c r="U651" s="7">
        <v>93</v>
      </c>
      <c r="V651" s="7">
        <v>91.9</v>
      </c>
    </row>
    <row r="652" spans="2:22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  <c r="T652" s="7">
        <v>51.1</v>
      </c>
      <c r="U652" s="7">
        <v>60</v>
      </c>
      <c r="V652" s="7">
        <v>82.2</v>
      </c>
    </row>
    <row r="653" spans="2:22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</row>
    <row r="654" spans="2:22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  <c r="T654" s="7">
        <v>33.5</v>
      </c>
      <c r="U654" s="7">
        <v>35.200000000000003</v>
      </c>
      <c r="V654" s="7">
        <v>34.4</v>
      </c>
    </row>
    <row r="655" spans="2:22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</row>
    <row r="656" spans="2:22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  <c r="T656" s="7">
        <v>86.8</v>
      </c>
      <c r="U656" s="7">
        <v>95.2</v>
      </c>
      <c r="V656" s="7">
        <v>81.7</v>
      </c>
    </row>
    <row r="657" spans="2:22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  <c r="T657" s="7">
        <v>29.6</v>
      </c>
      <c r="U657" s="7">
        <v>26.8</v>
      </c>
      <c r="V657" s="7">
        <v>32.4</v>
      </c>
    </row>
    <row r="658" spans="2:22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  <c r="T658" s="7">
        <v>97.8</v>
      </c>
      <c r="U658" s="7">
        <v>98.7</v>
      </c>
      <c r="V658" s="7">
        <v>91.9</v>
      </c>
    </row>
    <row r="659" spans="2:22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</row>
    <row r="660" spans="2:22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</row>
    <row r="661" spans="2:22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109.6</v>
      </c>
    </row>
    <row r="662" spans="2:22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  <c r="T662" s="7">
        <v>78.900000000000006</v>
      </c>
      <c r="U662" s="7">
        <v>78.5</v>
      </c>
      <c r="V662" s="7">
        <v>77.7</v>
      </c>
    </row>
    <row r="663" spans="2:22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</row>
    <row r="664" spans="2:22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  <c r="T664" s="7">
        <v>57.9</v>
      </c>
      <c r="U664" s="7">
        <v>53.2</v>
      </c>
      <c r="V664" s="7">
        <v>67.099999999999994</v>
      </c>
    </row>
    <row r="665" spans="2:22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  <c r="T665" s="7">
        <v>103</v>
      </c>
      <c r="U665" s="7">
        <v>102.7</v>
      </c>
      <c r="V665" s="7">
        <v>95.9</v>
      </c>
    </row>
    <row r="666" spans="2:22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</row>
    <row r="667" spans="2:22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  <c r="T667" s="7">
        <v>2004.8</v>
      </c>
      <c r="U667" s="7">
        <v>1912.9</v>
      </c>
      <c r="V667" s="7">
        <v>2527.4</v>
      </c>
    </row>
    <row r="668" spans="2:22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  <c r="T668" s="7">
        <v>2266</v>
      </c>
      <c r="U668" s="7">
        <v>2326.6999999999998</v>
      </c>
      <c r="V668" s="7">
        <v>2694.7</v>
      </c>
    </row>
    <row r="669" spans="2:22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  <c r="T669" s="7">
        <v>48.5</v>
      </c>
      <c r="U669" s="7">
        <v>46</v>
      </c>
      <c r="V669" s="7">
        <v>31.9</v>
      </c>
    </row>
    <row r="670" spans="2:22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  <c r="T670" s="7">
        <v>205.4</v>
      </c>
      <c r="U670" s="7">
        <v>193.5</v>
      </c>
      <c r="V670" s="7">
        <v>140.4</v>
      </c>
    </row>
    <row r="671" spans="2:22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  <c r="T671" s="7">
        <v>3.9</v>
      </c>
      <c r="U671" s="7">
        <v>0</v>
      </c>
      <c r="V671" s="7">
        <v>0</v>
      </c>
    </row>
    <row r="672" spans="2:22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  <c r="T672" s="7">
        <v>165</v>
      </c>
      <c r="U672" s="7">
        <v>181.8</v>
      </c>
      <c r="V672" s="7">
        <v>158.80000000000001</v>
      </c>
    </row>
    <row r="673" spans="2:22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  <c r="T673" s="7">
        <v>166.1</v>
      </c>
      <c r="U673" s="7">
        <v>112.1</v>
      </c>
      <c r="V673" s="7">
        <v>130</v>
      </c>
    </row>
    <row r="674" spans="2:22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  <c r="T674" s="7">
        <v>0</v>
      </c>
      <c r="U674" s="7">
        <v>0</v>
      </c>
      <c r="V674" s="7">
        <v>0</v>
      </c>
    </row>
    <row r="675" spans="2:22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  <c r="T675" s="7">
        <v>0</v>
      </c>
      <c r="U675" s="7">
        <v>6.5</v>
      </c>
      <c r="V675" s="7">
        <v>35.6</v>
      </c>
    </row>
    <row r="676" spans="2:22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  <c r="T676" s="7">
        <v>60.9</v>
      </c>
      <c r="U676" s="7">
        <v>65.599999999999994</v>
      </c>
      <c r="V676" s="7">
        <v>69</v>
      </c>
    </row>
    <row r="677" spans="2:22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  <c r="T677" s="7">
        <v>31.2</v>
      </c>
      <c r="U677" s="7">
        <v>24.3</v>
      </c>
      <c r="V677" s="7">
        <v>19.8</v>
      </c>
    </row>
    <row r="678" spans="2:22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  <c r="T678" s="7">
        <v>58.6</v>
      </c>
      <c r="U678" s="7">
        <v>49.5</v>
      </c>
      <c r="V678" s="7">
        <v>46.7</v>
      </c>
    </row>
    <row r="679" spans="2:22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  <c r="T679" s="7">
        <v>0</v>
      </c>
      <c r="U679" s="7">
        <v>0</v>
      </c>
      <c r="V679" s="7">
        <v>0</v>
      </c>
    </row>
    <row r="680" spans="2:22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  <c r="T680" s="7">
        <v>27.9</v>
      </c>
      <c r="U680" s="7">
        <v>35.4</v>
      </c>
      <c r="V680" s="7">
        <v>32.700000000000003</v>
      </c>
    </row>
    <row r="681" spans="2:22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</row>
    <row r="682" spans="2:22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</row>
    <row r="683" spans="2:22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</row>
    <row r="684" spans="2:22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</row>
    <row r="685" spans="2:22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  <c r="T685" s="7">
        <v>76</v>
      </c>
      <c r="U685" s="7">
        <v>71.099999999999994</v>
      </c>
      <c r="V685" s="7">
        <v>73.8</v>
      </c>
    </row>
    <row r="686" spans="2:22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  <c r="T686" s="7">
        <v>37.700000000000003</v>
      </c>
      <c r="U686" s="7">
        <v>40.200000000000003</v>
      </c>
      <c r="V686" s="7">
        <v>43.1</v>
      </c>
    </row>
    <row r="687" spans="2:22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  <c r="T687" s="7">
        <v>47.2</v>
      </c>
      <c r="U687" s="7">
        <v>58.1</v>
      </c>
      <c r="V687" s="7">
        <v>54.9</v>
      </c>
    </row>
    <row r="688" spans="2:22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  <c r="T688" s="7">
        <v>14.3</v>
      </c>
      <c r="U688" s="7">
        <v>0</v>
      </c>
      <c r="V688" s="7">
        <v>0</v>
      </c>
    </row>
    <row r="689" spans="2:22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  <c r="T689" s="7">
        <v>62.6</v>
      </c>
      <c r="U689" s="7">
        <v>81</v>
      </c>
      <c r="V689" s="7">
        <v>94.3</v>
      </c>
    </row>
    <row r="690" spans="2:22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  <c r="T690" s="7">
        <v>0</v>
      </c>
      <c r="U690" s="7">
        <v>0</v>
      </c>
      <c r="V690" s="7">
        <v>0</v>
      </c>
    </row>
    <row r="691" spans="2:22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  <c r="T691" s="7">
        <v>76.099999999999994</v>
      </c>
      <c r="U691" s="7">
        <v>78.900000000000006</v>
      </c>
      <c r="V691" s="7">
        <v>74.7</v>
      </c>
    </row>
    <row r="692" spans="2:22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  <c r="T692" s="7">
        <v>39.9</v>
      </c>
      <c r="U692" s="7">
        <v>43.2</v>
      </c>
      <c r="V692" s="7">
        <v>43.6</v>
      </c>
    </row>
    <row r="693" spans="2:22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5.7</v>
      </c>
      <c r="V693" s="7">
        <v>0</v>
      </c>
    </row>
    <row r="694" spans="2:22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  <c r="T694" s="7">
        <v>219.5</v>
      </c>
      <c r="U694" s="7">
        <v>212.1</v>
      </c>
      <c r="V694" s="7">
        <v>188.4</v>
      </c>
    </row>
    <row r="695" spans="2:22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  <c r="T695" s="7">
        <v>36.700000000000003</v>
      </c>
      <c r="U695" s="7">
        <v>43.3</v>
      </c>
      <c r="V695" s="7">
        <v>45.9</v>
      </c>
    </row>
    <row r="696" spans="2:22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4.3</v>
      </c>
      <c r="U696" s="7">
        <v>1.3</v>
      </c>
      <c r="V696" s="7">
        <v>0</v>
      </c>
    </row>
    <row r="697" spans="2:22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  <c r="T697" s="7">
        <v>34.200000000000003</v>
      </c>
      <c r="U697" s="7">
        <v>43.1</v>
      </c>
      <c r="V697" s="7">
        <v>49.1</v>
      </c>
    </row>
    <row r="698" spans="2:22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  <c r="T698" s="7">
        <v>22.7</v>
      </c>
      <c r="U698" s="7">
        <v>20.8</v>
      </c>
      <c r="V698" s="7">
        <v>20.5</v>
      </c>
    </row>
    <row r="699" spans="2:22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  <c r="T699" s="7">
        <v>439.5</v>
      </c>
      <c r="U699" s="7">
        <v>426.9</v>
      </c>
      <c r="V699" s="7">
        <v>421.9</v>
      </c>
    </row>
    <row r="700" spans="2:22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  <c r="T700" s="7">
        <v>0</v>
      </c>
      <c r="U700" s="7">
        <v>0</v>
      </c>
      <c r="V700" s="7">
        <v>0</v>
      </c>
    </row>
    <row r="701" spans="2:22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  <c r="T701" s="7">
        <v>61.5</v>
      </c>
      <c r="U701" s="7">
        <v>55.2</v>
      </c>
      <c r="V701" s="7">
        <v>85.2</v>
      </c>
    </row>
    <row r="702" spans="2:22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  <c r="T702" s="7">
        <v>66.8</v>
      </c>
      <c r="U702" s="7">
        <v>48.2</v>
      </c>
      <c r="V702" s="7">
        <v>82.6</v>
      </c>
    </row>
    <row r="703" spans="2:22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  <c r="T703" s="7">
        <v>227.9</v>
      </c>
      <c r="U703" s="7">
        <v>196</v>
      </c>
      <c r="V703" s="7">
        <v>292</v>
      </c>
    </row>
    <row r="704" spans="2:22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  <c r="T704" s="7">
        <v>443.3</v>
      </c>
      <c r="U704" s="7">
        <v>227.5</v>
      </c>
      <c r="V704" s="7">
        <v>508.5</v>
      </c>
    </row>
    <row r="705" spans="2:22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</row>
    <row r="706" spans="2:22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  <c r="T706" s="7">
        <v>39.1</v>
      </c>
      <c r="U706" s="7">
        <v>39.799999999999997</v>
      </c>
      <c r="V706" s="7">
        <v>34.1</v>
      </c>
    </row>
    <row r="707" spans="2:22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  <c r="T707" s="7">
        <v>35.9</v>
      </c>
      <c r="U707" s="7">
        <v>42.8</v>
      </c>
      <c r="V707" s="7">
        <v>60.2</v>
      </c>
    </row>
    <row r="708" spans="2:22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  <c r="T708" s="7">
        <v>137.30000000000001</v>
      </c>
      <c r="U708" s="7">
        <v>156.4</v>
      </c>
      <c r="V708" s="7">
        <v>159.30000000000001</v>
      </c>
    </row>
    <row r="709" spans="2:22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</row>
    <row r="710" spans="2:22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  <c r="T710" s="7">
        <v>58.1</v>
      </c>
      <c r="U710" s="7">
        <v>66.900000000000006</v>
      </c>
      <c r="V710" s="7">
        <v>67.3</v>
      </c>
    </row>
    <row r="711" spans="2:22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</row>
    <row r="712" spans="2:22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</row>
    <row r="713" spans="2:22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  <c r="T713" s="7">
        <v>62.9</v>
      </c>
      <c r="U713" s="7">
        <v>79.8</v>
      </c>
      <c r="V713" s="7">
        <v>57.4</v>
      </c>
    </row>
    <row r="714" spans="2:22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</row>
    <row r="715" spans="2:22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</row>
    <row r="716" spans="2:22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</row>
    <row r="717" spans="2:22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  <c r="T717" s="7">
        <v>42.8</v>
      </c>
      <c r="U717" s="7">
        <v>39.299999999999997</v>
      </c>
      <c r="V717" s="7">
        <v>40</v>
      </c>
    </row>
    <row r="718" spans="2:22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</row>
    <row r="719" spans="2:22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</row>
    <row r="720" spans="2:22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</row>
    <row r="721" spans="2:22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  <c r="T721" s="7">
        <v>2.5</v>
      </c>
      <c r="U721" s="7">
        <v>0</v>
      </c>
      <c r="V721" s="7">
        <v>0</v>
      </c>
    </row>
    <row r="722" spans="2:22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</row>
    <row r="723" spans="2:22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</row>
    <row r="724" spans="2:22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</row>
    <row r="725" spans="2:22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2.6</v>
      </c>
    </row>
    <row r="726" spans="2:22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</row>
    <row r="727" spans="2:22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  <c r="T727" s="7">
        <v>104.2</v>
      </c>
      <c r="U727" s="7">
        <v>112.7</v>
      </c>
      <c r="V727" s="7">
        <v>103.5</v>
      </c>
    </row>
    <row r="728" spans="2:22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  <c r="T728" s="7">
        <v>225.7</v>
      </c>
      <c r="U728" s="7">
        <v>234.9</v>
      </c>
      <c r="V728" s="7">
        <v>248.6</v>
      </c>
    </row>
    <row r="729" spans="2:22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  <c r="T729" s="7">
        <v>26.6</v>
      </c>
      <c r="U729" s="7">
        <v>11.1</v>
      </c>
      <c r="V729" s="7">
        <v>17.7</v>
      </c>
    </row>
    <row r="730" spans="2:22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</row>
    <row r="731" spans="2:22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</row>
    <row r="732" spans="2:22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  <c r="T732" s="7">
        <v>39.1</v>
      </c>
      <c r="U732" s="7">
        <v>38.4</v>
      </c>
      <c r="V732" s="7">
        <v>30.4</v>
      </c>
    </row>
    <row r="733" spans="2:22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</row>
    <row r="734" spans="2:22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  <c r="T734" s="7">
        <v>233.6</v>
      </c>
      <c r="U734" s="7">
        <v>227.5</v>
      </c>
      <c r="V734" s="7">
        <v>234.6</v>
      </c>
    </row>
    <row r="735" spans="2:22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  <c r="T735" s="7">
        <v>210</v>
      </c>
      <c r="U735" s="7">
        <v>185.7</v>
      </c>
      <c r="V735" s="7">
        <v>165.4</v>
      </c>
    </row>
    <row r="736" spans="2:22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  <c r="T736" s="7">
        <v>91.8</v>
      </c>
      <c r="U736" s="7">
        <v>110.8</v>
      </c>
      <c r="V736" s="7">
        <v>89</v>
      </c>
    </row>
    <row r="737" spans="2:22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</row>
    <row r="738" spans="2:22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  <c r="T738" s="7">
        <v>101.6</v>
      </c>
      <c r="U738" s="7">
        <v>107</v>
      </c>
      <c r="V738" s="7">
        <v>105.9</v>
      </c>
    </row>
    <row r="739" spans="2:22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  <c r="T739" s="7">
        <v>193.7</v>
      </c>
      <c r="U739" s="7">
        <v>215.2</v>
      </c>
      <c r="V739" s="7">
        <v>221</v>
      </c>
    </row>
    <row r="740" spans="2:22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  <c r="T740" s="7">
        <v>62.8</v>
      </c>
      <c r="U740" s="7">
        <v>62.8</v>
      </c>
      <c r="V740" s="7">
        <v>66.099999999999994</v>
      </c>
    </row>
    <row r="741" spans="2:22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  <c r="T741" s="7">
        <v>72.099999999999994</v>
      </c>
      <c r="U741" s="7">
        <v>73.5</v>
      </c>
      <c r="V741" s="7">
        <v>77.2</v>
      </c>
    </row>
    <row r="742" spans="2:22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</row>
    <row r="743" spans="2:22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  <c r="T743" s="7">
        <v>254</v>
      </c>
      <c r="U743" s="7">
        <v>237.4</v>
      </c>
      <c r="V743" s="7">
        <v>213.5</v>
      </c>
    </row>
    <row r="744" spans="2:22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  <c r="T744" s="7">
        <v>65.8</v>
      </c>
      <c r="U744" s="7">
        <v>46.1</v>
      </c>
      <c r="V744" s="7">
        <v>54.5</v>
      </c>
    </row>
    <row r="745" spans="2:22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  <c r="T745" s="7">
        <v>1368.3</v>
      </c>
      <c r="U745" s="7">
        <v>1027.7</v>
      </c>
      <c r="V745" s="7">
        <v>1216.7</v>
      </c>
    </row>
    <row r="746" spans="2:22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  <c r="T746" s="7">
        <v>598.29999999999995</v>
      </c>
      <c r="U746" s="7">
        <v>590.6</v>
      </c>
      <c r="V746" s="7">
        <v>599.4</v>
      </c>
    </row>
    <row r="747" spans="2:22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  <c r="T747" s="7">
        <v>144.6</v>
      </c>
      <c r="U747" s="7">
        <v>131.5</v>
      </c>
      <c r="V747" s="7">
        <v>95.6</v>
      </c>
    </row>
    <row r="748" spans="2:22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  <c r="T748" s="7">
        <v>126.2</v>
      </c>
      <c r="U748" s="7">
        <v>113.3</v>
      </c>
      <c r="V748" s="7">
        <v>106.3</v>
      </c>
    </row>
    <row r="749" spans="2:22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</row>
    <row r="750" spans="2:22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  <c r="T750" s="7">
        <v>443.4</v>
      </c>
      <c r="U750" s="7">
        <v>506.9</v>
      </c>
      <c r="V750" s="7">
        <v>504.1</v>
      </c>
    </row>
    <row r="751" spans="2:22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  <c r="T751" s="7">
        <v>172.1</v>
      </c>
      <c r="U751" s="7">
        <v>73.7</v>
      </c>
      <c r="V751" s="7">
        <v>154.1</v>
      </c>
    </row>
    <row r="752" spans="2:22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  <c r="T752" s="7">
        <v>143.30000000000001</v>
      </c>
      <c r="U752" s="7">
        <v>159.9</v>
      </c>
      <c r="V752" s="7">
        <v>242.8</v>
      </c>
    </row>
    <row r="753" spans="2:22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</row>
    <row r="754" spans="2:22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</row>
    <row r="755" spans="2:22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</row>
    <row r="756" spans="2:22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</row>
    <row r="757" spans="2:22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</row>
    <row r="758" spans="2:22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  <c r="T758" s="7">
        <v>345.7</v>
      </c>
      <c r="U758" s="7">
        <v>357.8</v>
      </c>
      <c r="V758" s="7">
        <v>324</v>
      </c>
    </row>
    <row r="759" spans="2:22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</row>
    <row r="760" spans="2:22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  <c r="T760" s="7">
        <v>57</v>
      </c>
      <c r="U760" s="7">
        <v>42.9</v>
      </c>
      <c r="V760" s="7">
        <v>29</v>
      </c>
    </row>
    <row r="761" spans="2:22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  <c r="T761" s="7">
        <v>268</v>
      </c>
      <c r="U761" s="7">
        <v>229</v>
      </c>
      <c r="V761" s="7">
        <v>214.4</v>
      </c>
    </row>
    <row r="762" spans="2:22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  <c r="T762" s="7">
        <v>210</v>
      </c>
      <c r="U762" s="7">
        <v>294.8</v>
      </c>
      <c r="V762" s="7">
        <v>486.8</v>
      </c>
    </row>
    <row r="763" spans="2:22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</row>
    <row r="764" spans="2:22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  <c r="T764" s="7">
        <v>138.30000000000001</v>
      </c>
      <c r="U764" s="7">
        <v>176.4</v>
      </c>
      <c r="V764" s="7">
        <v>182.1</v>
      </c>
    </row>
    <row r="765" spans="2:22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</row>
    <row r="766" spans="2:22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</row>
    <row r="767" spans="2:22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</row>
    <row r="768" spans="2:22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  <c r="T768" s="7">
        <v>100.1</v>
      </c>
      <c r="U768" s="7">
        <v>95.5</v>
      </c>
      <c r="V768" s="7">
        <v>78.2</v>
      </c>
    </row>
    <row r="769" spans="2:22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</row>
    <row r="770" spans="2:22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  <c r="T770" s="7">
        <v>108.8</v>
      </c>
      <c r="U770" s="7">
        <v>106.5</v>
      </c>
      <c r="V770" s="7">
        <v>110.9</v>
      </c>
    </row>
    <row r="771" spans="2:22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  <c r="T771" s="7">
        <v>349.4</v>
      </c>
      <c r="U771" s="7">
        <v>332.5</v>
      </c>
      <c r="V771" s="7">
        <v>274.7</v>
      </c>
    </row>
    <row r="772" spans="2:22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  <c r="T772" s="7">
        <v>180.7</v>
      </c>
      <c r="U772" s="7">
        <v>163.80000000000001</v>
      </c>
      <c r="V772" s="7">
        <v>159.4</v>
      </c>
    </row>
    <row r="773" spans="2:22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  <c r="T773" s="7">
        <v>236.8</v>
      </c>
      <c r="U773" s="7">
        <v>273.60000000000002</v>
      </c>
      <c r="V773" s="7">
        <v>263.2</v>
      </c>
    </row>
    <row r="774" spans="2:22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  <c r="T774" s="7">
        <v>107</v>
      </c>
      <c r="U774" s="7">
        <v>122.6</v>
      </c>
      <c r="V774" s="7">
        <v>136.69999999999999</v>
      </c>
    </row>
    <row r="775" spans="2:22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  <c r="T775" s="7">
        <v>120.6</v>
      </c>
      <c r="U775" s="7">
        <v>104</v>
      </c>
      <c r="V775" s="7">
        <v>77.599999999999994</v>
      </c>
    </row>
    <row r="776" spans="2:22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</row>
    <row r="777" spans="2:22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  <c r="T777" s="7">
        <v>221.7</v>
      </c>
      <c r="U777" s="7">
        <v>231.8</v>
      </c>
      <c r="V777" s="7">
        <v>228.7</v>
      </c>
    </row>
    <row r="778" spans="2:22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  <c r="T778" s="7">
        <v>33.5</v>
      </c>
      <c r="U778" s="7">
        <v>37</v>
      </c>
      <c r="V778" s="7">
        <v>37.4</v>
      </c>
    </row>
    <row r="779" spans="2:22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  <c r="T779" s="7">
        <v>62.3</v>
      </c>
      <c r="U779" s="7">
        <v>13.9</v>
      </c>
      <c r="V779" s="7">
        <v>0</v>
      </c>
    </row>
    <row r="780" spans="2:22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</row>
    <row r="781" spans="2:22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</row>
    <row r="782" spans="2:22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  <c r="T782" s="7">
        <v>79.400000000000006</v>
      </c>
      <c r="U782" s="7">
        <v>84.7</v>
      </c>
      <c r="V782" s="7">
        <v>82.9</v>
      </c>
    </row>
    <row r="783" spans="2:22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  <c r="T783" s="7">
        <v>50.2</v>
      </c>
      <c r="U783" s="7">
        <v>45.2</v>
      </c>
      <c r="V783" s="7">
        <v>49.7</v>
      </c>
    </row>
    <row r="784" spans="2:22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</row>
    <row r="785" spans="2:22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190.7</v>
      </c>
      <c r="V785" s="7">
        <v>208</v>
      </c>
    </row>
    <row r="786" spans="2:22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</row>
    <row r="787" spans="2:22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  <c r="T787" s="7">
        <v>20.100000000000001</v>
      </c>
      <c r="U787" s="7">
        <v>13.7</v>
      </c>
      <c r="V787" s="7">
        <v>11.8</v>
      </c>
    </row>
    <row r="788" spans="2:22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</row>
    <row r="789" spans="2:22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  <c r="T789" s="7">
        <v>250.7</v>
      </c>
      <c r="U789" s="7">
        <v>248.5</v>
      </c>
      <c r="V789" s="7">
        <v>249.5</v>
      </c>
    </row>
    <row r="790" spans="2:22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  <c r="T790" s="7">
        <v>420</v>
      </c>
      <c r="U790" s="7">
        <v>439.4</v>
      </c>
      <c r="V790" s="7">
        <v>409.9</v>
      </c>
    </row>
    <row r="791" spans="2:22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  <c r="T791" s="7">
        <v>20.100000000000001</v>
      </c>
      <c r="U791" s="7">
        <v>26.8</v>
      </c>
      <c r="V791" s="7">
        <v>44.5</v>
      </c>
    </row>
    <row r="792" spans="2:22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  <c r="T792" s="7">
        <v>108.3</v>
      </c>
      <c r="U792" s="7">
        <v>104.6</v>
      </c>
      <c r="V792" s="7">
        <v>109.6</v>
      </c>
    </row>
    <row r="793" spans="2:22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</row>
    <row r="794" spans="2:22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  <c r="T794" s="7">
        <v>83</v>
      </c>
      <c r="U794" s="7">
        <v>108.1</v>
      </c>
      <c r="V794" s="7">
        <v>67.3</v>
      </c>
    </row>
    <row r="795" spans="2:22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  <c r="T795" s="7">
        <v>146.4</v>
      </c>
      <c r="U795" s="7">
        <v>170.9</v>
      </c>
      <c r="V795" s="7">
        <v>178.2</v>
      </c>
    </row>
    <row r="796" spans="2:22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  <c r="T796" s="7">
        <v>148.69999999999999</v>
      </c>
      <c r="U796" s="7">
        <v>160.9</v>
      </c>
      <c r="V796" s="7">
        <v>182.2</v>
      </c>
    </row>
    <row r="797" spans="2:22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  <c r="T797" s="7">
        <v>75.3</v>
      </c>
      <c r="U797" s="7">
        <v>56.5</v>
      </c>
      <c r="V797" s="7">
        <v>33</v>
      </c>
    </row>
    <row r="798" spans="2:22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  <c r="T798" s="7">
        <v>181.9</v>
      </c>
      <c r="U798" s="7">
        <v>172.7</v>
      </c>
      <c r="V798" s="7">
        <v>166.3</v>
      </c>
    </row>
    <row r="799" spans="2:22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</row>
    <row r="800" spans="2:22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  <c r="T800" s="7">
        <v>102.9</v>
      </c>
      <c r="U800" s="7">
        <v>93.4</v>
      </c>
      <c r="V800" s="7">
        <v>99</v>
      </c>
    </row>
    <row r="801" spans="2:22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  <c r="T801" s="7">
        <v>110.6</v>
      </c>
      <c r="U801" s="7">
        <v>134.6</v>
      </c>
      <c r="V801" s="7">
        <v>144.69999999999999</v>
      </c>
    </row>
    <row r="802" spans="2:22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  <c r="T802" s="7">
        <v>104.6</v>
      </c>
      <c r="U802" s="7">
        <v>121</v>
      </c>
      <c r="V802" s="7">
        <v>123.4</v>
      </c>
    </row>
    <row r="803" spans="2:22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  <c r="T803" s="7">
        <v>70.8</v>
      </c>
      <c r="U803" s="7">
        <v>74.400000000000006</v>
      </c>
      <c r="V803" s="7">
        <v>79.099999999999994</v>
      </c>
    </row>
    <row r="804" spans="2:22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  <c r="T804" s="7">
        <v>41.3</v>
      </c>
      <c r="U804" s="7">
        <v>47.9</v>
      </c>
      <c r="V804" s="7">
        <v>47.8</v>
      </c>
    </row>
    <row r="805" spans="2:22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  <c r="T805" s="7">
        <v>125</v>
      </c>
      <c r="U805" s="7">
        <v>117.3</v>
      </c>
      <c r="V805" s="7">
        <v>116.4</v>
      </c>
    </row>
    <row r="806" spans="2:22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  <c r="T806" s="7">
        <v>412.7</v>
      </c>
      <c r="U806" s="7">
        <v>419.1</v>
      </c>
      <c r="V806" s="7">
        <v>427.8</v>
      </c>
    </row>
    <row r="807" spans="2:22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  <c r="T807" s="7">
        <v>41.3</v>
      </c>
      <c r="U807" s="7">
        <v>47.6</v>
      </c>
      <c r="V807" s="7">
        <v>53</v>
      </c>
    </row>
    <row r="808" spans="2:22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  <c r="T808" s="7">
        <v>316.7</v>
      </c>
      <c r="U808" s="7">
        <v>303.60000000000002</v>
      </c>
      <c r="V808" s="7">
        <v>315.2</v>
      </c>
    </row>
    <row r="809" spans="2:22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  <c r="T809" s="7">
        <v>181</v>
      </c>
      <c r="U809" s="7">
        <v>192.4</v>
      </c>
      <c r="V809" s="7">
        <v>224.3</v>
      </c>
    </row>
    <row r="810" spans="2:22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  <c r="T810" s="7">
        <v>17.899999999999999</v>
      </c>
      <c r="U810" s="7">
        <v>17.899999999999999</v>
      </c>
      <c r="V810" s="7">
        <v>18.8</v>
      </c>
    </row>
    <row r="811" spans="2:22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  <c r="T811" s="7">
        <v>115.1</v>
      </c>
      <c r="U811" s="7">
        <v>114.4</v>
      </c>
      <c r="V811" s="7">
        <v>104.5</v>
      </c>
    </row>
    <row r="812" spans="2:22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  <c r="T812" s="7">
        <v>32.4</v>
      </c>
      <c r="U812" s="7">
        <v>31.8</v>
      </c>
      <c r="V812" s="7">
        <v>27.2</v>
      </c>
    </row>
    <row r="813" spans="2:22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  <c r="T813" s="7">
        <v>154.69999999999999</v>
      </c>
      <c r="U813" s="7">
        <v>137.69999999999999</v>
      </c>
      <c r="V813" s="7">
        <v>255.2</v>
      </c>
    </row>
    <row r="814" spans="2:22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</row>
    <row r="815" spans="2:22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  <c r="T815" s="7">
        <v>137.4</v>
      </c>
      <c r="U815" s="7">
        <v>127.1</v>
      </c>
      <c r="V815" s="7">
        <v>119.1</v>
      </c>
    </row>
    <row r="816" spans="2:22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  <c r="T816" s="7">
        <v>215.7</v>
      </c>
      <c r="U816" s="7">
        <v>190.4</v>
      </c>
      <c r="V816" s="7">
        <v>196.7</v>
      </c>
    </row>
    <row r="817" spans="2:22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  <c r="T817" s="7">
        <v>174.1</v>
      </c>
      <c r="U817" s="7">
        <v>169.7</v>
      </c>
      <c r="V817" s="7">
        <v>164</v>
      </c>
    </row>
    <row r="818" spans="2:22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  <c r="T818" s="7">
        <v>39.1</v>
      </c>
      <c r="U818" s="7">
        <v>28.9</v>
      </c>
      <c r="V818" s="7">
        <v>35.9</v>
      </c>
    </row>
    <row r="819" spans="2:22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</row>
    <row r="820" spans="2:22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</row>
    <row r="821" spans="2:22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32.9</v>
      </c>
    </row>
    <row r="822" spans="2:22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  <c r="T822" s="7">
        <v>347.9</v>
      </c>
      <c r="U822" s="7">
        <v>344.3</v>
      </c>
      <c r="V822" s="7">
        <v>356.9</v>
      </c>
    </row>
    <row r="823" spans="2:22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  <c r="T823" s="7">
        <v>189.7</v>
      </c>
      <c r="U823" s="7">
        <v>244.5</v>
      </c>
      <c r="V823" s="7">
        <v>279.5</v>
      </c>
    </row>
    <row r="824" spans="2:22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  <c r="T824" s="7">
        <v>107.1</v>
      </c>
      <c r="U824" s="7">
        <v>118.8</v>
      </c>
      <c r="V824" s="7">
        <v>129.69999999999999</v>
      </c>
    </row>
    <row r="825" spans="2:22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</row>
    <row r="826" spans="2:22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</row>
    <row r="827" spans="2:22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</row>
    <row r="828" spans="2:22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  <c r="T828" s="7">
        <v>80.5</v>
      </c>
      <c r="U828" s="7">
        <v>73.3</v>
      </c>
      <c r="V828" s="7">
        <v>91.5</v>
      </c>
    </row>
    <row r="829" spans="2:22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  <c r="T829" s="7">
        <v>929.2</v>
      </c>
      <c r="U829" s="7">
        <v>925.8</v>
      </c>
      <c r="V829" s="7">
        <v>722.2</v>
      </c>
    </row>
    <row r="830" spans="2:22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  <c r="T830" s="7">
        <v>68.3</v>
      </c>
      <c r="U830" s="7">
        <v>149.69999999999999</v>
      </c>
      <c r="V830" s="7">
        <v>65.7</v>
      </c>
    </row>
    <row r="831" spans="2:22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  <c r="T831" s="7">
        <v>488.3</v>
      </c>
      <c r="U831" s="7">
        <v>478.9</v>
      </c>
      <c r="V831" s="7">
        <v>464.8</v>
      </c>
    </row>
    <row r="832" spans="2:22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</row>
    <row r="833" spans="2:22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  <c r="T833" s="7">
        <v>47.4</v>
      </c>
      <c r="U833" s="7">
        <v>48.8</v>
      </c>
      <c r="V833" s="7">
        <v>51.6</v>
      </c>
    </row>
    <row r="834" spans="2:22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  <c r="T834" s="7">
        <v>18.3</v>
      </c>
      <c r="U834" s="7">
        <v>18.3</v>
      </c>
      <c r="V834" s="7">
        <v>16.5</v>
      </c>
    </row>
    <row r="835" spans="2:22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  <c r="T835" s="7">
        <v>12.1</v>
      </c>
      <c r="U835" s="7">
        <v>2.4</v>
      </c>
      <c r="V835" s="7">
        <v>3.6</v>
      </c>
    </row>
    <row r="836" spans="2:22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  <c r="T836" s="7">
        <v>19.600000000000001</v>
      </c>
      <c r="U836" s="7">
        <v>6.2</v>
      </c>
      <c r="V836" s="7">
        <v>0</v>
      </c>
    </row>
    <row r="837" spans="2:22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</row>
    <row r="838" spans="2:22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  <c r="T838" s="7">
        <v>478.6</v>
      </c>
      <c r="U838" s="7">
        <v>450.3</v>
      </c>
      <c r="V838" s="7">
        <v>438.5</v>
      </c>
    </row>
    <row r="839" spans="2:22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</row>
    <row r="840" spans="2:22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  <c r="T840" s="7">
        <v>56.6</v>
      </c>
      <c r="U840" s="7">
        <v>60.9</v>
      </c>
      <c r="V840" s="7">
        <v>63.4</v>
      </c>
    </row>
    <row r="841" spans="2:22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</row>
    <row r="842" spans="2:22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  <c r="T842" s="7">
        <v>27.8</v>
      </c>
      <c r="U842" s="7">
        <v>26.4</v>
      </c>
      <c r="V842" s="7">
        <v>32</v>
      </c>
    </row>
    <row r="843" spans="2:22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  <c r="T843" s="7">
        <v>14.7</v>
      </c>
      <c r="U843" s="7">
        <v>34.4</v>
      </c>
      <c r="V843" s="7">
        <v>27.9</v>
      </c>
    </row>
    <row r="844" spans="2:22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  <c r="T844" s="7">
        <v>272.39999999999998</v>
      </c>
      <c r="U844" s="7">
        <v>307.60000000000002</v>
      </c>
      <c r="V844" s="7">
        <v>135.5</v>
      </c>
    </row>
    <row r="845" spans="2:22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</row>
    <row r="846" spans="2:22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  <c r="T846" s="7">
        <v>50.6</v>
      </c>
      <c r="U846" s="7">
        <v>41</v>
      </c>
      <c r="V846" s="7">
        <v>56.4</v>
      </c>
    </row>
    <row r="847" spans="2:22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</row>
    <row r="848" spans="2:22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  <c r="T848" s="7">
        <v>35.799999999999997</v>
      </c>
      <c r="U848" s="7">
        <v>0</v>
      </c>
      <c r="V848" s="7">
        <v>17.5</v>
      </c>
    </row>
    <row r="849" spans="2:22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  <c r="T849" s="7">
        <v>93.4</v>
      </c>
      <c r="U849" s="7">
        <v>116.5</v>
      </c>
      <c r="V849" s="7">
        <v>102.5</v>
      </c>
    </row>
    <row r="850" spans="2:22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1.3</v>
      </c>
      <c r="U850" s="7">
        <v>0</v>
      </c>
      <c r="V850" s="7">
        <v>0</v>
      </c>
    </row>
    <row r="851" spans="2:22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  <c r="T851" s="7">
        <v>4411</v>
      </c>
      <c r="U851" s="7">
        <v>4272.8999999999996</v>
      </c>
      <c r="V851" s="7">
        <v>4327.8</v>
      </c>
    </row>
    <row r="852" spans="2:22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  <c r="T852" s="7">
        <v>4168</v>
      </c>
      <c r="U852" s="7">
        <v>4396.5</v>
      </c>
      <c r="V852" s="7">
        <v>4252</v>
      </c>
    </row>
    <row r="853" spans="2:22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  <c r="T853" s="7">
        <v>714.3</v>
      </c>
      <c r="U853" s="7">
        <v>727.1</v>
      </c>
      <c r="V853" s="7">
        <v>484.3</v>
      </c>
    </row>
    <row r="854" spans="2:22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  <c r="T854" s="7">
        <v>0</v>
      </c>
      <c r="U854" s="7">
        <v>0</v>
      </c>
      <c r="V854" s="7">
        <v>0</v>
      </c>
    </row>
    <row r="855" spans="2:22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</row>
    <row r="856" spans="2:22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</row>
    <row r="857" spans="2:22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  <c r="T857" s="7">
        <v>928.8</v>
      </c>
      <c r="U857" s="7">
        <v>766.8</v>
      </c>
      <c r="V857" s="7">
        <v>686.3</v>
      </c>
    </row>
    <row r="858" spans="2:22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</row>
    <row r="859" spans="2:22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  <c r="T859" s="7">
        <v>140.80000000000001</v>
      </c>
      <c r="U859" s="7">
        <v>143.30000000000001</v>
      </c>
      <c r="V859" s="7">
        <v>157.69999999999999</v>
      </c>
    </row>
    <row r="860" spans="2:22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  <c r="T860" s="7">
        <v>486.4</v>
      </c>
      <c r="U860" s="7">
        <v>412.8</v>
      </c>
      <c r="V860" s="7">
        <v>430.5</v>
      </c>
    </row>
    <row r="861" spans="2:22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  <c r="T861" s="7">
        <v>130.5</v>
      </c>
      <c r="U861" s="7">
        <v>123.4</v>
      </c>
      <c r="V861" s="7">
        <v>138</v>
      </c>
    </row>
    <row r="862" spans="2:22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  <c r="T862" s="7">
        <v>92.5</v>
      </c>
      <c r="U862" s="7">
        <v>87.6</v>
      </c>
      <c r="V862" s="7">
        <v>85</v>
      </c>
    </row>
    <row r="863" spans="2:22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  <c r="T863" s="7">
        <v>105.5</v>
      </c>
      <c r="U863" s="7">
        <v>110.7</v>
      </c>
      <c r="V863" s="7">
        <v>100.1</v>
      </c>
    </row>
    <row r="864" spans="2:22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</row>
    <row r="865" spans="2:22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  <c r="T865" s="7">
        <v>47.8</v>
      </c>
      <c r="U865" s="7">
        <v>51.6</v>
      </c>
      <c r="V865" s="7">
        <v>59.2</v>
      </c>
    </row>
    <row r="866" spans="2:22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</row>
    <row r="867" spans="2:22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</row>
    <row r="868" spans="2:22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  <c r="T868" s="7">
        <v>210.4</v>
      </c>
      <c r="U868" s="7">
        <v>202.3</v>
      </c>
      <c r="V868" s="7">
        <v>210</v>
      </c>
    </row>
    <row r="869" spans="2:22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</row>
    <row r="870" spans="2:22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  <c r="T870" s="7">
        <v>185.6</v>
      </c>
      <c r="U870" s="7">
        <v>162.4</v>
      </c>
      <c r="V870" s="7">
        <v>158.4</v>
      </c>
    </row>
    <row r="871" spans="2:22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  <c r="T871" s="7">
        <v>247.8</v>
      </c>
      <c r="U871" s="7">
        <v>237.9</v>
      </c>
      <c r="V871" s="7">
        <v>238.3</v>
      </c>
    </row>
    <row r="872" spans="2:22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</row>
    <row r="873" spans="2:22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</row>
    <row r="874" spans="2:22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  <c r="T874" s="7">
        <v>109</v>
      </c>
      <c r="U874" s="7">
        <v>102.3</v>
      </c>
      <c r="V874" s="7">
        <v>110.2</v>
      </c>
    </row>
    <row r="875" spans="2:22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</row>
    <row r="876" spans="2:22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</row>
    <row r="877" spans="2:22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  <c r="T877" s="7">
        <v>48.6</v>
      </c>
      <c r="U877" s="7">
        <v>53</v>
      </c>
      <c r="V877" s="7">
        <v>54.1</v>
      </c>
    </row>
    <row r="878" spans="2:22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  <c r="T878" s="7">
        <v>74.099999999999994</v>
      </c>
      <c r="U878" s="7">
        <v>78.900000000000006</v>
      </c>
      <c r="V878" s="7">
        <v>98.1</v>
      </c>
    </row>
    <row r="879" spans="2:22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  <c r="T879" s="7">
        <v>207.9</v>
      </c>
      <c r="U879" s="7">
        <v>218.4</v>
      </c>
      <c r="V879" s="7">
        <v>207.6</v>
      </c>
    </row>
    <row r="880" spans="2:22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  <c r="T880" s="7">
        <v>209.6</v>
      </c>
      <c r="U880" s="7">
        <v>206.6</v>
      </c>
      <c r="V880" s="7">
        <v>216.7</v>
      </c>
    </row>
    <row r="881" spans="2:22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</row>
    <row r="882" spans="2:22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</row>
    <row r="883" spans="2:22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  <c r="T883" s="7">
        <v>476</v>
      </c>
      <c r="U883" s="7">
        <v>487</v>
      </c>
      <c r="V883" s="7">
        <v>523</v>
      </c>
    </row>
    <row r="884" spans="2:22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</row>
    <row r="885" spans="2:22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</row>
    <row r="886" spans="2:22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  <c r="T886" s="7">
        <v>263.5</v>
      </c>
      <c r="U886" s="7">
        <v>280.39999999999998</v>
      </c>
      <c r="V886" s="7">
        <v>245.7</v>
      </c>
    </row>
    <row r="887" spans="2:22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</row>
    <row r="888" spans="2:22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  <c r="T888" s="7">
        <v>61.2</v>
      </c>
      <c r="U888" s="7">
        <v>0</v>
      </c>
      <c r="V888" s="7">
        <v>20.3</v>
      </c>
    </row>
    <row r="889" spans="2:22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</row>
    <row r="890" spans="2:22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  <c r="T890" s="7">
        <v>259.89999999999998</v>
      </c>
      <c r="U890" s="7">
        <v>292.5</v>
      </c>
      <c r="V890" s="7">
        <v>297.89999999999998</v>
      </c>
    </row>
    <row r="891" spans="2:22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</row>
    <row r="892" spans="2:22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</row>
    <row r="893" spans="2:22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  <c r="T893" s="7">
        <v>521</v>
      </c>
      <c r="U893" s="7">
        <v>488.2</v>
      </c>
      <c r="V893" s="7">
        <v>473.9</v>
      </c>
    </row>
    <row r="894" spans="2:22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  <c r="T894" s="7">
        <v>161.4</v>
      </c>
      <c r="U894" s="7">
        <v>147.9</v>
      </c>
      <c r="V894" s="7">
        <v>138.9</v>
      </c>
    </row>
    <row r="895" spans="2:22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  <c r="T895" s="7">
        <v>253.2</v>
      </c>
      <c r="U895" s="7">
        <v>234.9</v>
      </c>
      <c r="V895" s="7">
        <v>276.60000000000002</v>
      </c>
    </row>
    <row r="896" spans="2:22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</row>
    <row r="897" spans="2:22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</row>
    <row r="898" spans="2:22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  <c r="T898" s="7">
        <v>56.5</v>
      </c>
      <c r="U898" s="7">
        <v>50.5</v>
      </c>
      <c r="V898" s="7">
        <v>46.9</v>
      </c>
    </row>
    <row r="899" spans="2:22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  <c r="T899" s="7">
        <v>196.1</v>
      </c>
      <c r="U899" s="7">
        <v>199</v>
      </c>
      <c r="V899" s="7">
        <v>210</v>
      </c>
    </row>
    <row r="900" spans="2:22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  <c r="T900" s="7">
        <v>210.1</v>
      </c>
      <c r="U900" s="7">
        <v>152.5</v>
      </c>
      <c r="V900" s="7">
        <v>22.8</v>
      </c>
    </row>
    <row r="901" spans="2:22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</row>
    <row r="902" spans="2:22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</row>
    <row r="903" spans="2:22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</row>
    <row r="904" spans="2:22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  <c r="T904" s="7">
        <v>147.80000000000001</v>
      </c>
      <c r="U904" s="7">
        <v>134.30000000000001</v>
      </c>
      <c r="V904" s="7">
        <v>138.4</v>
      </c>
    </row>
    <row r="905" spans="2:22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</row>
    <row r="906" spans="2:22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  <c r="T906" s="7">
        <v>87.3</v>
      </c>
      <c r="U906" s="7">
        <v>70</v>
      </c>
      <c r="V906" s="7">
        <v>81.8</v>
      </c>
    </row>
    <row r="907" spans="2:22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</row>
    <row r="908" spans="2:22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  <c r="T908" s="7">
        <v>213.7</v>
      </c>
      <c r="U908" s="7">
        <v>204.8</v>
      </c>
      <c r="V908" s="7">
        <v>202.7</v>
      </c>
    </row>
    <row r="909" spans="2:22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  <c r="T909" s="7">
        <v>151.4</v>
      </c>
      <c r="U909" s="7">
        <v>145.80000000000001</v>
      </c>
      <c r="V909" s="7">
        <v>181.9</v>
      </c>
    </row>
    <row r="910" spans="2:22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  <c r="T910" s="7">
        <v>31.2</v>
      </c>
      <c r="U910" s="7">
        <v>31.4</v>
      </c>
      <c r="V910" s="7">
        <v>29.6</v>
      </c>
    </row>
    <row r="911" spans="2:22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  <c r="T911" s="7">
        <v>94.5</v>
      </c>
      <c r="U911" s="7">
        <v>89.4</v>
      </c>
      <c r="V911" s="7">
        <v>103.9</v>
      </c>
    </row>
    <row r="912" spans="2:22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  <c r="T912" s="7">
        <v>203.4</v>
      </c>
      <c r="U912" s="7">
        <v>185</v>
      </c>
      <c r="V912" s="7">
        <v>167.6</v>
      </c>
    </row>
    <row r="913" spans="2:22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</row>
    <row r="914" spans="2:22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</row>
    <row r="915" spans="2:22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</row>
    <row r="916" spans="2:22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  <c r="T916" s="7">
        <v>48.5</v>
      </c>
      <c r="U916" s="7">
        <v>44.7</v>
      </c>
      <c r="V916" s="7">
        <v>41</v>
      </c>
    </row>
    <row r="917" spans="2:22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  <c r="T917" s="7">
        <v>44.3</v>
      </c>
      <c r="U917" s="7">
        <v>44.7</v>
      </c>
      <c r="V917" s="7">
        <v>40.1</v>
      </c>
    </row>
    <row r="918" spans="2:22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  <c r="T918" s="7">
        <v>61.3</v>
      </c>
      <c r="U918" s="7">
        <v>71</v>
      </c>
      <c r="V918" s="7">
        <v>72</v>
      </c>
    </row>
    <row r="919" spans="2:22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  <c r="T919" s="7">
        <v>43.2</v>
      </c>
      <c r="U919" s="7">
        <v>39.4</v>
      </c>
      <c r="V919" s="7">
        <v>43.6</v>
      </c>
    </row>
    <row r="920" spans="2:22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</row>
    <row r="921" spans="2:22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  <c r="T921" s="7">
        <v>210.4</v>
      </c>
      <c r="U921" s="7">
        <v>228.8</v>
      </c>
      <c r="V921" s="7">
        <v>223.4</v>
      </c>
    </row>
    <row r="922" spans="2:22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  <c r="T922" s="7">
        <v>384</v>
      </c>
      <c r="U922" s="7">
        <v>364.8</v>
      </c>
      <c r="V922" s="7">
        <v>371.3</v>
      </c>
    </row>
    <row r="923" spans="2:22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  <c r="T923" s="7">
        <v>147.80000000000001</v>
      </c>
      <c r="U923" s="7">
        <v>122.4</v>
      </c>
      <c r="V923" s="7">
        <v>121.6</v>
      </c>
    </row>
    <row r="924" spans="2:22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  <c r="T924" s="7">
        <v>70.7</v>
      </c>
      <c r="U924" s="7">
        <v>65.099999999999994</v>
      </c>
      <c r="V924" s="7">
        <v>56.8</v>
      </c>
    </row>
    <row r="925" spans="2:22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</row>
    <row r="926" spans="2:22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  <c r="T926" s="7">
        <v>0</v>
      </c>
      <c r="U926" s="7">
        <v>0</v>
      </c>
      <c r="V926" s="7">
        <v>0</v>
      </c>
    </row>
    <row r="927" spans="2:22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  <c r="T927" s="7">
        <v>51.7</v>
      </c>
      <c r="U927" s="7">
        <v>51.2</v>
      </c>
      <c r="V927" s="7">
        <v>58.4</v>
      </c>
    </row>
    <row r="928" spans="2:22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</row>
    <row r="929" spans="2:22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</row>
    <row r="930" spans="2:22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  <c r="T930" s="7">
        <v>21</v>
      </c>
      <c r="U930" s="7">
        <v>24.7</v>
      </c>
      <c r="V930" s="7">
        <v>19.7</v>
      </c>
    </row>
    <row r="931" spans="2:22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</row>
    <row r="932" spans="2:22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</row>
    <row r="933" spans="2:22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</row>
    <row r="934" spans="2:22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</row>
    <row r="935" spans="2:22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</row>
    <row r="936" spans="2:22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  <c r="T936" s="7">
        <v>0</v>
      </c>
      <c r="U936" s="7">
        <v>0</v>
      </c>
      <c r="V936" s="7">
        <v>0</v>
      </c>
    </row>
    <row r="937" spans="2:22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</row>
    <row r="938" spans="2:22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</row>
    <row r="939" spans="2:22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</row>
    <row r="940" spans="2:22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</row>
    <row r="941" spans="2:22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</row>
    <row r="942" spans="2:22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</row>
    <row r="943" spans="2:22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  <c r="T943" s="7">
        <v>107.2</v>
      </c>
      <c r="U943" s="7">
        <v>102.4</v>
      </c>
      <c r="V943" s="7">
        <v>100</v>
      </c>
    </row>
    <row r="944" spans="2:22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</row>
    <row r="945" spans="2:22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</row>
    <row r="946" spans="2:22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</row>
    <row r="947" spans="2:22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  <c r="T947" s="7">
        <v>3.7</v>
      </c>
      <c r="U947" s="7">
        <v>3.7</v>
      </c>
      <c r="V947" s="7">
        <v>1.4</v>
      </c>
    </row>
    <row r="948" spans="2:22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</row>
    <row r="949" spans="2:22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  <c r="T949" s="7">
        <v>144.69999999999999</v>
      </c>
      <c r="U949" s="7">
        <v>137.80000000000001</v>
      </c>
      <c r="V949" s="7">
        <v>132.6</v>
      </c>
    </row>
    <row r="950" spans="2:22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</row>
    <row r="951" spans="2:22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</row>
    <row r="952" spans="2:22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</row>
    <row r="953" spans="2:22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</row>
    <row r="954" spans="2:22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</row>
    <row r="955" spans="2:22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</row>
    <row r="956" spans="2:22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</row>
    <row r="957" spans="2:22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</row>
    <row r="958" spans="2:22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</row>
    <row r="959" spans="2:22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</row>
    <row r="960" spans="2:22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</row>
    <row r="961" spans="2:22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</row>
    <row r="962" spans="2:22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</row>
    <row r="963" spans="2:22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</row>
    <row r="964" spans="2:22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</row>
    <row r="965" spans="2:22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</row>
    <row r="966" spans="2:22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</row>
    <row r="967" spans="2:22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</row>
    <row r="968" spans="2:22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</row>
    <row r="969" spans="2:22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</row>
    <row r="970" spans="2:22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</row>
    <row r="971" spans="2:22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</row>
    <row r="972" spans="2:22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</row>
    <row r="973" spans="2:22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</row>
    <row r="974" spans="2:22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</row>
    <row r="975" spans="2:22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  <c r="T975" s="7">
        <v>18.3</v>
      </c>
      <c r="U975" s="7">
        <v>18.899999999999999</v>
      </c>
      <c r="V975" s="7">
        <v>42.2</v>
      </c>
    </row>
    <row r="976" spans="2:22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</row>
    <row r="977" spans="2:22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  <c r="T977" s="7">
        <v>144.9</v>
      </c>
      <c r="U977" s="7">
        <v>42.8</v>
      </c>
      <c r="V977" s="7">
        <v>15.5</v>
      </c>
    </row>
    <row r="978" spans="2:22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</row>
    <row r="979" spans="2:22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</row>
    <row r="980" spans="2:22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</row>
    <row r="981" spans="2:22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  <c r="T981" s="7">
        <v>20.7</v>
      </c>
      <c r="U981" s="7">
        <v>22</v>
      </c>
      <c r="V981" s="7">
        <v>28.2</v>
      </c>
    </row>
    <row r="982" spans="2:22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  <c r="T982" s="7">
        <v>1975.6</v>
      </c>
      <c r="U982" s="7">
        <v>1664.3</v>
      </c>
      <c r="V982" s="7">
        <v>1146</v>
      </c>
    </row>
    <row r="983" spans="2:22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</row>
    <row r="984" spans="2:22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</row>
    <row r="985" spans="2:22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</row>
    <row r="986" spans="2:22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</row>
    <row r="987" spans="2:22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</row>
    <row r="988" spans="2:22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</row>
    <row r="989" spans="2:22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</row>
    <row r="990" spans="2:22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</row>
    <row r="991" spans="2:22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</row>
    <row r="992" spans="2:22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</row>
    <row r="993" spans="2:22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</row>
    <row r="994" spans="2:22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</row>
    <row r="995" spans="2:22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</row>
    <row r="996" spans="2:22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</row>
    <row r="997" spans="2:22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</row>
    <row r="998" spans="2:22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20.9</v>
      </c>
    </row>
    <row r="999" spans="2:22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  <c r="T999" s="7">
        <v>131.19999999999999</v>
      </c>
      <c r="U999" s="7">
        <v>127.1</v>
      </c>
      <c r="V999" s="7">
        <v>79.5</v>
      </c>
    </row>
    <row r="1000" spans="2:22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</row>
    <row r="1001" spans="2:22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</row>
    <row r="1002" spans="2:22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</row>
    <row r="1003" spans="2:22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  <c r="T1003" s="7">
        <v>0</v>
      </c>
      <c r="U1003" s="7">
        <v>0</v>
      </c>
      <c r="V1003" s="7">
        <v>0</v>
      </c>
    </row>
    <row r="1004" spans="2:22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</row>
    <row r="1005" spans="2:22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  <c r="T1005" s="7">
        <v>31.9</v>
      </c>
      <c r="U1005" s="7">
        <v>28.5</v>
      </c>
      <c r="V1005" s="7">
        <v>29.4</v>
      </c>
    </row>
    <row r="1006" spans="2:22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  <c r="T1006" s="7">
        <v>164.3</v>
      </c>
      <c r="U1006" s="7">
        <v>162.4</v>
      </c>
      <c r="V1006" s="7">
        <v>159.69999999999999</v>
      </c>
    </row>
    <row r="1007" spans="2:22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</row>
    <row r="1008" spans="2:22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</row>
    <row r="1009" spans="2:22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</row>
    <row r="1010" spans="2:22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</row>
    <row r="1011" spans="2:22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  <c r="T1011" s="7">
        <v>115.9</v>
      </c>
      <c r="U1011" s="7">
        <v>75.900000000000006</v>
      </c>
      <c r="V1011" s="7">
        <v>42.9</v>
      </c>
    </row>
    <row r="1012" spans="2:22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</row>
    <row r="1013" spans="2:22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</row>
    <row r="1014" spans="2:22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  <c r="T1014" s="7">
        <v>198.6</v>
      </c>
      <c r="U1014" s="7">
        <v>195.8</v>
      </c>
      <c r="V1014" s="7">
        <v>179.9</v>
      </c>
    </row>
    <row r="1015" spans="2:22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</row>
    <row r="1016" spans="2:22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</row>
    <row r="1017" spans="2:22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</row>
    <row r="1018" spans="2:22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</row>
    <row r="1019" spans="2:22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</row>
    <row r="1020" spans="2:22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  <c r="T1020" s="7">
        <v>37.1</v>
      </c>
      <c r="U1020" s="7">
        <v>39.5</v>
      </c>
      <c r="V1020" s="7">
        <v>38.9</v>
      </c>
    </row>
    <row r="1021" spans="2:22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</row>
    <row r="1022" spans="2:22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</row>
    <row r="1023" spans="2:22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  <c r="T1023" s="7">
        <v>36.1</v>
      </c>
      <c r="U1023" s="7">
        <v>38.200000000000003</v>
      </c>
      <c r="V1023" s="7">
        <v>39.700000000000003</v>
      </c>
    </row>
    <row r="1024" spans="2:22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</row>
    <row r="1025" spans="2:22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</row>
    <row r="1026" spans="2:22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</row>
    <row r="1027" spans="2:22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  <c r="T1027" s="7">
        <v>136.19999999999999</v>
      </c>
      <c r="U1027" s="7">
        <v>128.30000000000001</v>
      </c>
      <c r="V1027" s="7">
        <v>144.1</v>
      </c>
    </row>
    <row r="1028" spans="2:22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  <c r="T1028" s="7">
        <v>47.3</v>
      </c>
      <c r="U1028" s="7">
        <v>0</v>
      </c>
      <c r="V1028" s="7">
        <v>0</v>
      </c>
    </row>
    <row r="1029" spans="2:22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</row>
    <row r="1030" spans="2:22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</row>
    <row r="1031" spans="2:22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  <c r="T1031" s="7">
        <v>215.3</v>
      </c>
      <c r="U1031" s="7">
        <v>201.2</v>
      </c>
      <c r="V1031" s="7">
        <v>184.2</v>
      </c>
    </row>
    <row r="1032" spans="2:22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</row>
    <row r="1033" spans="2:22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2.6</v>
      </c>
    </row>
    <row r="1034" spans="2:22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</row>
    <row r="1035" spans="2:22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  <c r="T1035" s="7">
        <v>171.1</v>
      </c>
      <c r="U1035" s="7">
        <v>171.7</v>
      </c>
      <c r="V1035" s="7">
        <v>166.1</v>
      </c>
    </row>
    <row r="1036" spans="2:22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  <c r="T1036" s="7">
        <v>130.19999999999999</v>
      </c>
      <c r="U1036" s="7">
        <v>92.2</v>
      </c>
      <c r="V1036" s="7">
        <v>36.200000000000003</v>
      </c>
    </row>
    <row r="1037" spans="2:22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  <c r="T1037" s="7">
        <v>143.19999999999999</v>
      </c>
      <c r="U1037" s="7">
        <v>166.1</v>
      </c>
      <c r="V1037" s="7">
        <v>136.6</v>
      </c>
    </row>
    <row r="1038" spans="2:22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</row>
    <row r="1039" spans="2:22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</row>
    <row r="1040" spans="2:22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  <c r="T1040" s="7">
        <v>55.6</v>
      </c>
      <c r="U1040" s="7">
        <v>46.7</v>
      </c>
      <c r="V1040" s="7">
        <v>51.1</v>
      </c>
    </row>
    <row r="1041" spans="2:22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  <c r="T1041" s="7">
        <v>102.5</v>
      </c>
      <c r="U1041" s="7">
        <v>127.9</v>
      </c>
      <c r="V1041" s="7">
        <v>103.4</v>
      </c>
    </row>
    <row r="1042" spans="2:22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</row>
    <row r="1043" spans="2:22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</row>
    <row r="1044" spans="2:22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</row>
    <row r="1045" spans="2:22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</row>
    <row r="1046" spans="2:22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</row>
    <row r="1047" spans="2:22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</row>
    <row r="1048" spans="2:22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</row>
    <row r="1049" spans="2:22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</row>
    <row r="1050" spans="2:22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  <c r="T1050" s="7">
        <v>41.6</v>
      </c>
      <c r="U1050" s="7">
        <v>41.5</v>
      </c>
      <c r="V1050" s="7">
        <v>47.6</v>
      </c>
    </row>
    <row r="1051" spans="2:22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  <c r="T1051" s="7">
        <v>13.1</v>
      </c>
      <c r="U1051" s="7">
        <v>16.100000000000001</v>
      </c>
      <c r="V1051" s="7">
        <v>28.1</v>
      </c>
    </row>
    <row r="1052" spans="2:22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</row>
    <row r="1053" spans="2:22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  <c r="T1053" s="7">
        <v>42.9</v>
      </c>
      <c r="U1053" s="7">
        <v>36</v>
      </c>
      <c r="V1053" s="7">
        <v>35.700000000000003</v>
      </c>
    </row>
    <row r="1054" spans="2:22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  <c r="T1054" s="7">
        <v>20.100000000000001</v>
      </c>
      <c r="U1054" s="7">
        <v>19.899999999999999</v>
      </c>
      <c r="V1054" s="7">
        <v>18.5</v>
      </c>
    </row>
    <row r="1055" spans="2:22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</row>
    <row r="1056" spans="2:22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  <c r="T1056" s="7">
        <v>140.1</v>
      </c>
      <c r="U1056" s="7">
        <v>151.4</v>
      </c>
      <c r="V1056" s="7">
        <v>159.19999999999999</v>
      </c>
    </row>
    <row r="1057" spans="2:22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  <c r="T1057" s="7">
        <v>90</v>
      </c>
      <c r="U1057" s="7">
        <v>95.2</v>
      </c>
      <c r="V1057" s="7">
        <v>91.6</v>
      </c>
    </row>
    <row r="1058" spans="2:22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  <c r="T1058" s="7">
        <v>160.9</v>
      </c>
      <c r="U1058" s="7">
        <v>182.2</v>
      </c>
      <c r="V1058" s="7">
        <v>173.4</v>
      </c>
    </row>
    <row r="1059" spans="2:22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</row>
    <row r="1060" spans="2:22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</row>
    <row r="1061" spans="2:22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  <c r="T1061" s="7">
        <v>48.4</v>
      </c>
      <c r="U1061" s="7">
        <v>46.1</v>
      </c>
      <c r="V1061" s="7">
        <v>45.8</v>
      </c>
    </row>
    <row r="1062" spans="2:22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</row>
    <row r="1063" spans="2:22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</row>
    <row r="1064" spans="2:22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</row>
    <row r="1065" spans="2:22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  <c r="T1065" s="7">
        <v>4452</v>
      </c>
      <c r="U1065" s="7">
        <v>3676.1</v>
      </c>
      <c r="V1065" s="7">
        <v>2338</v>
      </c>
    </row>
    <row r="1066" spans="2:22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  <c r="T1066" s="7">
        <v>30.8</v>
      </c>
      <c r="U1066" s="7">
        <v>31.7</v>
      </c>
      <c r="V1066" s="7">
        <v>27.4</v>
      </c>
    </row>
    <row r="1067" spans="2:22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</row>
    <row r="1068" spans="2:22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  <c r="T1068" s="7">
        <v>5.8</v>
      </c>
      <c r="U1068" s="7">
        <v>0</v>
      </c>
      <c r="V1068" s="7">
        <v>0</v>
      </c>
    </row>
    <row r="1069" spans="2:22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  <c r="T1069" s="7">
        <v>73.3</v>
      </c>
      <c r="U1069" s="7">
        <v>79.8</v>
      </c>
      <c r="V1069" s="7">
        <v>61.4</v>
      </c>
    </row>
    <row r="1070" spans="2:22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  <c r="T1070" s="7">
        <v>15.5</v>
      </c>
      <c r="U1070" s="7">
        <v>15.7</v>
      </c>
      <c r="V1070" s="7">
        <v>20.2</v>
      </c>
    </row>
    <row r="1071" spans="2:22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  <c r="T1071" s="7">
        <v>24.5</v>
      </c>
      <c r="U1071" s="7">
        <v>26.4</v>
      </c>
      <c r="V1071" s="7">
        <v>26.7</v>
      </c>
    </row>
    <row r="1072" spans="2:22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</row>
    <row r="1073" spans="2:22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  <c r="T1073" s="7">
        <v>5.5</v>
      </c>
      <c r="U1073" s="7">
        <v>5.8</v>
      </c>
      <c r="V1073" s="7">
        <v>5.6</v>
      </c>
    </row>
    <row r="1074" spans="2:22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  <c r="T1074" s="7">
        <v>74.900000000000006</v>
      </c>
      <c r="U1074" s="7">
        <v>65.3</v>
      </c>
      <c r="V1074" s="7">
        <v>79.5</v>
      </c>
    </row>
    <row r="1075" spans="2:22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</row>
    <row r="1076" spans="2:22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  <c r="T1076" s="7">
        <v>111.5</v>
      </c>
      <c r="U1076" s="7">
        <v>102.4</v>
      </c>
      <c r="V1076" s="7">
        <v>81</v>
      </c>
    </row>
    <row r="1077" spans="2:22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</row>
    <row r="1078" spans="2:22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</row>
    <row r="1079" spans="2:22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</row>
    <row r="1080" spans="2:22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  <c r="T1080" s="7">
        <v>466.2</v>
      </c>
      <c r="U1080" s="7">
        <v>437.5</v>
      </c>
      <c r="V1080" s="7">
        <v>465.6</v>
      </c>
    </row>
    <row r="1081" spans="2:22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</row>
    <row r="1082" spans="2:22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</row>
    <row r="1083" spans="2:22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  <c r="T1083" s="7">
        <v>87.9</v>
      </c>
      <c r="U1083" s="7">
        <v>91</v>
      </c>
      <c r="V1083" s="7">
        <v>93.9</v>
      </c>
    </row>
    <row r="1084" spans="2:22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  <c r="T1084" s="7">
        <v>37.4</v>
      </c>
      <c r="U1084" s="7">
        <v>31.7</v>
      </c>
      <c r="V1084" s="7">
        <v>27.7</v>
      </c>
    </row>
    <row r="1085" spans="2:22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</row>
    <row r="1086" spans="2:22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  <c r="T1086" s="7">
        <v>40.6</v>
      </c>
      <c r="U1086" s="7">
        <v>47</v>
      </c>
      <c r="V1086" s="7">
        <v>43.2</v>
      </c>
    </row>
    <row r="1087" spans="2:22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</row>
    <row r="1088" spans="2:22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  <c r="T1088" s="7">
        <v>70.900000000000006</v>
      </c>
      <c r="U1088" s="7">
        <v>71.5</v>
      </c>
      <c r="V1088" s="7">
        <v>71.7</v>
      </c>
    </row>
    <row r="1089" spans="2:22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</row>
    <row r="1090" spans="2:22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</row>
    <row r="1091" spans="2:22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</row>
    <row r="1092" spans="2:22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</row>
    <row r="1093" spans="2:22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  <c r="T1093" s="7">
        <v>85.3</v>
      </c>
      <c r="U1093" s="7">
        <v>88.9</v>
      </c>
      <c r="V1093" s="7">
        <v>80.8</v>
      </c>
    </row>
    <row r="1094" spans="2:22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  <c r="T1094" s="7">
        <v>46.7</v>
      </c>
      <c r="U1094" s="7">
        <v>50.2</v>
      </c>
      <c r="V1094" s="7">
        <v>40.1</v>
      </c>
    </row>
    <row r="1095" spans="2:22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  <c r="T1095" s="7">
        <v>0</v>
      </c>
      <c r="U1095" s="7">
        <v>0</v>
      </c>
      <c r="V1095" s="7">
        <v>0</v>
      </c>
    </row>
    <row r="1096" spans="2:22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</row>
    <row r="1097" spans="2:22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</row>
    <row r="1098" spans="2:22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  <c r="T1098" s="7">
        <v>29.5</v>
      </c>
      <c r="U1098" s="7">
        <v>28.6</v>
      </c>
      <c r="V1098" s="7">
        <v>34.200000000000003</v>
      </c>
    </row>
    <row r="1099" spans="2:22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  <c r="T1099" s="7">
        <v>72.599999999999994</v>
      </c>
      <c r="U1099" s="7">
        <v>25.1</v>
      </c>
      <c r="V1099" s="7">
        <v>22.7</v>
      </c>
    </row>
    <row r="1100" spans="2:22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  <c r="T1100" s="7">
        <v>11.2</v>
      </c>
      <c r="U1100" s="7">
        <v>15.3</v>
      </c>
      <c r="V1100" s="7">
        <v>15.5</v>
      </c>
    </row>
    <row r="1101" spans="2:22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</row>
    <row r="1102" spans="2:22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</row>
    <row r="1103" spans="2:22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</row>
    <row r="1104" spans="2:22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</row>
    <row r="1105" spans="2:22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</row>
    <row r="1106" spans="2:22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</row>
    <row r="1107" spans="2:22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</row>
    <row r="1108" spans="2:22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  <c r="T1108" s="7">
        <v>131.4</v>
      </c>
      <c r="U1108" s="7">
        <v>102.1</v>
      </c>
      <c r="V1108" s="7">
        <v>115.5</v>
      </c>
    </row>
    <row r="1109" spans="2:22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  <c r="T1109" s="7">
        <v>5.7</v>
      </c>
      <c r="U1109" s="7">
        <v>11.3</v>
      </c>
      <c r="V1109" s="7">
        <v>7.6</v>
      </c>
    </row>
    <row r="1110" spans="2:22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  <c r="T1110" s="7">
        <v>7.8</v>
      </c>
      <c r="U1110" s="7">
        <v>4.9000000000000004</v>
      </c>
      <c r="V1110" s="7">
        <v>3.1</v>
      </c>
    </row>
    <row r="1111" spans="2:22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</row>
    <row r="1112" spans="2:22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  <c r="T1112" s="7">
        <v>602.4</v>
      </c>
      <c r="U1112" s="7">
        <v>577.6</v>
      </c>
      <c r="V1112" s="7">
        <v>424.5</v>
      </c>
    </row>
    <row r="1113" spans="2:22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</row>
    <row r="1114" spans="2:22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  <c r="T1114" s="7">
        <v>55.4</v>
      </c>
      <c r="U1114" s="7">
        <v>57.8</v>
      </c>
      <c r="V1114" s="7">
        <v>61.1</v>
      </c>
    </row>
    <row r="1115" spans="2:22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  <c r="T1115" s="7">
        <v>36.200000000000003</v>
      </c>
      <c r="U1115" s="7">
        <v>35.799999999999997</v>
      </c>
      <c r="V1115" s="7">
        <v>39.9</v>
      </c>
    </row>
    <row r="1116" spans="2:22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</row>
    <row r="1117" spans="2:22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</row>
    <row r="1118" spans="2:22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  <c r="T1118" s="7">
        <v>0</v>
      </c>
      <c r="U1118" s="7">
        <v>3.1</v>
      </c>
      <c r="V1118" s="7">
        <v>0</v>
      </c>
    </row>
    <row r="1119" spans="2:22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  <c r="T1119" s="7">
        <v>182.1</v>
      </c>
      <c r="U1119" s="7">
        <v>166.9</v>
      </c>
      <c r="V1119" s="7">
        <v>183.1</v>
      </c>
    </row>
    <row r="1120" spans="2:22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</row>
    <row r="1121" spans="2:22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  <c r="T1121" s="7">
        <v>109.7</v>
      </c>
      <c r="U1121" s="7">
        <v>96.3</v>
      </c>
      <c r="V1121" s="7">
        <v>142.9</v>
      </c>
    </row>
    <row r="1122" spans="2:22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</row>
    <row r="1123" spans="2:22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</row>
    <row r="1124" spans="2:22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  <c r="T1124" s="7">
        <v>40.799999999999997</v>
      </c>
      <c r="U1124" s="7">
        <v>176.5</v>
      </c>
      <c r="V1124" s="7">
        <v>144.69999999999999</v>
      </c>
    </row>
    <row r="1125" spans="2:22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</row>
    <row r="1126" spans="2:22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</row>
    <row r="1127" spans="2:22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</row>
    <row r="1128" spans="2:22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</row>
    <row r="1129" spans="2:22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</row>
    <row r="1130" spans="2:22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  <c r="T1130" s="7">
        <v>122.1</v>
      </c>
      <c r="U1130" s="7">
        <v>141.80000000000001</v>
      </c>
      <c r="V1130" s="7">
        <v>128.5</v>
      </c>
    </row>
    <row r="1131" spans="2:22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</row>
    <row r="1132" spans="2:22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</row>
    <row r="1133" spans="2:22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</row>
    <row r="1134" spans="2:22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</row>
    <row r="1135" spans="2:22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</row>
    <row r="1136" spans="2:22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</row>
    <row r="1137" spans="2:22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</row>
    <row r="1138" spans="2:22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  <c r="T1138" s="7">
        <v>39.6</v>
      </c>
      <c r="U1138" s="7">
        <v>39.799999999999997</v>
      </c>
      <c r="V1138" s="7">
        <v>43.5</v>
      </c>
    </row>
    <row r="1139" spans="2:22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</row>
    <row r="1140" spans="2:22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</row>
    <row r="1141" spans="2:22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  <c r="T1141" s="7">
        <v>13.3</v>
      </c>
      <c r="U1141" s="7">
        <v>13.5</v>
      </c>
      <c r="V1141" s="7">
        <v>5.0999999999999996</v>
      </c>
    </row>
    <row r="1142" spans="2:22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  <c r="T1142" s="7">
        <v>22.4</v>
      </c>
      <c r="U1142" s="7">
        <v>10.5</v>
      </c>
      <c r="V1142" s="7">
        <v>11.9</v>
      </c>
    </row>
    <row r="1143" spans="2:22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  <c r="T1143" s="7">
        <v>27.9</v>
      </c>
      <c r="U1143" s="7">
        <v>40.799999999999997</v>
      </c>
      <c r="V1143" s="7">
        <v>39.9</v>
      </c>
    </row>
    <row r="1144" spans="2:22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</row>
    <row r="1145" spans="2:22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</row>
    <row r="1146" spans="2:22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</row>
    <row r="1147" spans="2:22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  <c r="T1147" s="7">
        <v>118.8</v>
      </c>
      <c r="U1147" s="7">
        <v>129.69999999999999</v>
      </c>
      <c r="V1147" s="7">
        <v>172</v>
      </c>
    </row>
    <row r="1148" spans="2:22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</row>
    <row r="1149" spans="2:22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</row>
    <row r="1150" spans="2:22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</row>
    <row r="1151" spans="2:22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</row>
    <row r="1152" spans="2:22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  <c r="T1152" s="7">
        <v>29.9</v>
      </c>
      <c r="U1152" s="7">
        <v>45.5</v>
      </c>
      <c r="V1152" s="7">
        <v>41.5</v>
      </c>
    </row>
    <row r="1153" spans="2:22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</row>
    <row r="1154" spans="2:22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</row>
    <row r="1155" spans="2:22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4.8</v>
      </c>
    </row>
    <row r="1156" spans="2:22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  <c r="T1156" s="7">
        <v>45.3</v>
      </c>
      <c r="U1156" s="7">
        <v>42.9</v>
      </c>
      <c r="V1156" s="7">
        <v>48.8</v>
      </c>
    </row>
    <row r="1157" spans="2:22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</row>
    <row r="1158" spans="2:22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</row>
    <row r="1159" spans="2:22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</row>
    <row r="1160" spans="2:22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  <c r="T1160" s="7">
        <v>179.9</v>
      </c>
      <c r="U1160" s="7">
        <v>99.2</v>
      </c>
      <c r="V1160" s="7">
        <v>31.5</v>
      </c>
    </row>
    <row r="1161" spans="2:22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  <c r="T1161" s="7">
        <v>17</v>
      </c>
      <c r="U1161" s="7">
        <v>13.8</v>
      </c>
      <c r="V1161" s="7">
        <v>16.3</v>
      </c>
    </row>
    <row r="1162" spans="2:22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  <c r="T1162" s="7">
        <v>18.899999999999999</v>
      </c>
      <c r="U1162" s="7">
        <v>22.5</v>
      </c>
      <c r="V1162" s="7">
        <v>20.5</v>
      </c>
    </row>
    <row r="1163" spans="2:22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</row>
    <row r="1164" spans="2:22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  <c r="T1164" s="7">
        <v>12.5</v>
      </c>
      <c r="U1164" s="7">
        <v>5</v>
      </c>
      <c r="V1164" s="7">
        <v>4.0999999999999996</v>
      </c>
    </row>
    <row r="1165" spans="2:22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</row>
    <row r="1166" spans="2:22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</row>
    <row r="1167" spans="2:22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  <c r="T1167" s="7">
        <v>0</v>
      </c>
      <c r="U1167" s="7">
        <v>27.7</v>
      </c>
      <c r="V1167" s="7">
        <v>0</v>
      </c>
    </row>
    <row r="1168" spans="2:22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  <c r="T1168" s="7">
        <v>88.1</v>
      </c>
      <c r="U1168" s="7">
        <v>132.19999999999999</v>
      </c>
      <c r="V1168" s="7">
        <v>164.5</v>
      </c>
    </row>
    <row r="1169" spans="2:22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</row>
    <row r="1170" spans="2:22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</row>
    <row r="1171" spans="2:22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  <c r="T1171" s="7">
        <v>212.7</v>
      </c>
      <c r="U1171" s="7">
        <v>183.2</v>
      </c>
      <c r="V1171" s="7">
        <v>0</v>
      </c>
    </row>
    <row r="1172" spans="2:22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</row>
    <row r="1173" spans="2:22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</row>
    <row r="1174" spans="2:22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</row>
    <row r="1175" spans="2:22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  <c r="T1175" s="7">
        <v>72.8</v>
      </c>
      <c r="U1175" s="7">
        <v>10.1</v>
      </c>
      <c r="V1175" s="7">
        <v>9.6999999999999993</v>
      </c>
    </row>
    <row r="1176" spans="2:22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  <c r="T1176" s="7">
        <v>49.8</v>
      </c>
      <c r="U1176" s="7">
        <v>51.8</v>
      </c>
      <c r="V1176" s="7">
        <v>50.6</v>
      </c>
    </row>
    <row r="1177" spans="2:22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  <c r="T1177" s="7">
        <v>2.1</v>
      </c>
      <c r="U1177" s="7">
        <v>0</v>
      </c>
      <c r="V1177" s="7">
        <v>0</v>
      </c>
    </row>
    <row r="1178" spans="2:22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  <c r="T1178" s="7">
        <v>80.599999999999994</v>
      </c>
      <c r="U1178" s="7">
        <v>80.900000000000006</v>
      </c>
      <c r="V1178" s="7">
        <v>96.7</v>
      </c>
    </row>
    <row r="1179" spans="2:22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  <c r="T1179" s="7">
        <v>61.5</v>
      </c>
      <c r="U1179" s="7">
        <v>64.7</v>
      </c>
      <c r="V1179" s="7">
        <v>86.1</v>
      </c>
    </row>
    <row r="1180" spans="2:22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  <c r="T1180" s="7">
        <v>116.3</v>
      </c>
      <c r="U1180" s="7">
        <v>107.4</v>
      </c>
      <c r="V1180" s="7">
        <v>99.7</v>
      </c>
    </row>
    <row r="1181" spans="2:22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  <c r="T1181" s="7">
        <v>73.8</v>
      </c>
      <c r="U1181" s="7">
        <v>61.1</v>
      </c>
      <c r="V1181" s="7">
        <v>69.7</v>
      </c>
    </row>
    <row r="1182" spans="2:22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  <c r="T1182" s="7">
        <v>62.1</v>
      </c>
      <c r="U1182" s="7">
        <v>62.4</v>
      </c>
      <c r="V1182" s="7">
        <v>47.7</v>
      </c>
    </row>
    <row r="1183" spans="2:22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  <c r="T1183" s="7">
        <v>121.1</v>
      </c>
      <c r="U1183" s="7">
        <v>72.2</v>
      </c>
      <c r="V1183" s="7">
        <v>73.5</v>
      </c>
    </row>
    <row r="1184" spans="2:22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</row>
    <row r="1185" spans="2:22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  <c r="T1185" s="7">
        <v>110.7</v>
      </c>
      <c r="U1185" s="7">
        <v>138.30000000000001</v>
      </c>
      <c r="V1185" s="7">
        <v>119.7</v>
      </c>
    </row>
    <row r="1186" spans="2:22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</row>
    <row r="1187" spans="2:22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  <c r="T1187" s="7">
        <v>277.89999999999998</v>
      </c>
      <c r="U1187" s="7">
        <v>331.7</v>
      </c>
      <c r="V1187" s="7">
        <v>314.10000000000002</v>
      </c>
    </row>
    <row r="1188" spans="2:22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  <c r="T1188" s="7">
        <v>14.9</v>
      </c>
      <c r="U1188" s="7">
        <v>13.6</v>
      </c>
      <c r="V1188" s="7">
        <v>26.3</v>
      </c>
    </row>
    <row r="1189" spans="2:22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</row>
    <row r="1190" spans="2:22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</row>
    <row r="1191" spans="2:22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</row>
    <row r="1192" spans="2:22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</row>
    <row r="1193" spans="2:22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  <c r="T1193" s="7">
        <v>193.8</v>
      </c>
      <c r="U1193" s="7">
        <v>204.9</v>
      </c>
      <c r="V1193" s="7">
        <v>196.5</v>
      </c>
    </row>
    <row r="1194" spans="2:22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</row>
    <row r="1195" spans="2:22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</row>
    <row r="1196" spans="2:22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</row>
    <row r="1197" spans="2:22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</row>
    <row r="1198" spans="2:22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  <c r="T1198" s="7">
        <v>52.6</v>
      </c>
      <c r="U1198" s="7">
        <v>61.5</v>
      </c>
      <c r="V1198" s="7">
        <v>69.400000000000006</v>
      </c>
    </row>
    <row r="1199" spans="2:22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  <c r="T1199" s="7">
        <v>36.1</v>
      </c>
      <c r="U1199" s="7">
        <v>25.3</v>
      </c>
      <c r="V1199" s="7">
        <v>7.8</v>
      </c>
    </row>
    <row r="1200" spans="2:22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  <c r="T1200" s="7">
        <v>31.9</v>
      </c>
      <c r="U1200" s="7">
        <v>32.799999999999997</v>
      </c>
      <c r="V1200" s="7">
        <v>37.700000000000003</v>
      </c>
    </row>
    <row r="1201" spans="2:22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</row>
    <row r="1202" spans="2:22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</row>
    <row r="1203" spans="2:22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</row>
    <row r="1204" spans="2:22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</row>
    <row r="1205" spans="2:22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  <c r="T1205" s="7">
        <v>67.900000000000006</v>
      </c>
      <c r="U1205" s="7">
        <v>78.099999999999994</v>
      </c>
      <c r="V1205" s="7">
        <v>87.2</v>
      </c>
    </row>
    <row r="1206" spans="2:22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</row>
    <row r="1207" spans="2:22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</row>
    <row r="1208" spans="2:22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</row>
    <row r="1209" spans="2:22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</row>
    <row r="1210" spans="2:22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  <c r="T1210" s="7">
        <v>109.8</v>
      </c>
      <c r="U1210" s="7">
        <v>103.5</v>
      </c>
      <c r="V1210" s="7">
        <v>131.6</v>
      </c>
    </row>
    <row r="1211" spans="2:22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</row>
    <row r="1212" spans="2:22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  <c r="T1212" s="7">
        <v>65.099999999999994</v>
      </c>
      <c r="U1212" s="7">
        <v>50.2</v>
      </c>
      <c r="V1212" s="7">
        <v>46.6</v>
      </c>
    </row>
    <row r="1213" spans="2:22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</row>
    <row r="1214" spans="2:22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</row>
    <row r="1215" spans="2:22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</row>
    <row r="1216" spans="2:22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</row>
    <row r="1217" spans="2:22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  <c r="T1217" s="7">
        <v>46.1</v>
      </c>
      <c r="U1217" s="7">
        <v>70.099999999999994</v>
      </c>
      <c r="V1217" s="7">
        <v>14.1</v>
      </c>
    </row>
    <row r="1218" spans="2:22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</row>
    <row r="1219" spans="2:22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  <c r="T1219" s="7">
        <v>29</v>
      </c>
      <c r="U1219" s="7">
        <v>23.3</v>
      </c>
      <c r="V1219" s="7">
        <v>0</v>
      </c>
    </row>
    <row r="1220" spans="2:22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</row>
    <row r="1221" spans="2:22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  <c r="T1221" s="7">
        <v>40.9</v>
      </c>
      <c r="U1221" s="7">
        <v>48.4</v>
      </c>
      <c r="V1221" s="7">
        <v>59.4</v>
      </c>
    </row>
    <row r="1222" spans="2:22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</row>
    <row r="1223" spans="2:22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</row>
    <row r="1224" spans="2:22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</row>
    <row r="1225" spans="2:22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</row>
    <row r="1226" spans="2:22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</row>
    <row r="1227" spans="2:22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</row>
    <row r="1228" spans="2:22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  <c r="T1228" s="7">
        <v>151.69999999999999</v>
      </c>
      <c r="U1228" s="7">
        <v>164.7</v>
      </c>
      <c r="V1228" s="7">
        <v>171.3</v>
      </c>
    </row>
    <row r="1229" spans="2:22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  <c r="T1229" s="7">
        <v>492.5</v>
      </c>
      <c r="U1229" s="7">
        <v>476.8</v>
      </c>
      <c r="V1229" s="7">
        <v>499.1</v>
      </c>
    </row>
    <row r="1230" spans="2:22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</row>
    <row r="1231" spans="2:22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  <c r="T1231" s="7">
        <v>232.7</v>
      </c>
      <c r="U1231" s="7">
        <v>304.60000000000002</v>
      </c>
      <c r="V1231" s="7">
        <v>275.39999999999998</v>
      </c>
    </row>
    <row r="1232" spans="2:22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</row>
    <row r="1233" spans="2:22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  <c r="T1233" s="7">
        <v>183.3</v>
      </c>
      <c r="U1233" s="7">
        <v>182.4</v>
      </c>
      <c r="V1233" s="7">
        <v>86</v>
      </c>
    </row>
    <row r="1234" spans="2:22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</row>
    <row r="1235" spans="2:22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</row>
    <row r="1236" spans="2:22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</row>
    <row r="1237" spans="2:22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</row>
    <row r="1238" spans="2:22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  <c r="T1238" s="7">
        <v>29.3</v>
      </c>
      <c r="U1238" s="7">
        <v>30.2</v>
      </c>
      <c r="V1238" s="7">
        <v>37.799999999999997</v>
      </c>
    </row>
    <row r="1239" spans="2:22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  <c r="T1239" s="7">
        <v>25.4</v>
      </c>
      <c r="U1239" s="7">
        <v>34.1</v>
      </c>
      <c r="V1239" s="7">
        <v>40.299999999999997</v>
      </c>
    </row>
    <row r="1240" spans="2:22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</row>
    <row r="1241" spans="2:22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</row>
    <row r="1242" spans="2:22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  <c r="T1242" s="7">
        <v>1690.7</v>
      </c>
      <c r="U1242" s="7">
        <v>1811.3</v>
      </c>
      <c r="V1242" s="7">
        <v>1607.6</v>
      </c>
    </row>
    <row r="1243" spans="2:22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  <c r="T1243" s="7">
        <v>0</v>
      </c>
      <c r="U1243" s="7">
        <v>0</v>
      </c>
      <c r="V1243" s="7">
        <v>0</v>
      </c>
    </row>
    <row r="1244" spans="2:22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  <c r="T1244" s="7">
        <v>152.5</v>
      </c>
      <c r="U1244" s="7">
        <v>172.3</v>
      </c>
      <c r="V1244" s="7">
        <v>164.5</v>
      </c>
    </row>
    <row r="1245" spans="2:22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</row>
    <row r="1246" spans="2:22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</row>
    <row r="1247" spans="2:22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</row>
    <row r="1248" spans="2:22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  <c r="T1248" s="7">
        <v>172.9</v>
      </c>
      <c r="U1248" s="7">
        <v>199.8</v>
      </c>
      <c r="V1248" s="7">
        <v>190.8</v>
      </c>
    </row>
    <row r="1249" spans="2:22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  <c r="T1249" s="7">
        <v>99.9</v>
      </c>
      <c r="U1249" s="7">
        <v>104.7</v>
      </c>
      <c r="V1249" s="7">
        <v>111</v>
      </c>
    </row>
    <row r="1250" spans="2:22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  <c r="T1250" s="7">
        <v>32.1</v>
      </c>
      <c r="U1250" s="7">
        <v>33.299999999999997</v>
      </c>
      <c r="V1250" s="7">
        <v>36</v>
      </c>
    </row>
    <row r="1251" spans="2:22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  <c r="T1251" s="7">
        <v>215.1</v>
      </c>
      <c r="U1251" s="7">
        <v>269.7</v>
      </c>
      <c r="V1251" s="7">
        <v>289</v>
      </c>
    </row>
    <row r="1252" spans="2:22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  <c r="T1252" s="7">
        <v>28.4</v>
      </c>
      <c r="U1252" s="7">
        <v>24.4</v>
      </c>
      <c r="V1252" s="7">
        <v>21.8</v>
      </c>
    </row>
    <row r="1253" spans="2:22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</row>
    <row r="1254" spans="2:22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</row>
    <row r="1255" spans="2:22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  <c r="T1255" s="7">
        <v>54.6</v>
      </c>
      <c r="U1255" s="7">
        <v>51.7</v>
      </c>
      <c r="V1255" s="7">
        <v>43.8</v>
      </c>
    </row>
    <row r="1256" spans="2:22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  <c r="T1256" s="7">
        <v>15.6</v>
      </c>
      <c r="U1256" s="7">
        <v>15.9</v>
      </c>
      <c r="V1256" s="7">
        <v>18</v>
      </c>
    </row>
    <row r="1257" spans="2:22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  <c r="T1257" s="7">
        <v>72.5</v>
      </c>
      <c r="U1257" s="7">
        <v>65.8</v>
      </c>
      <c r="V1257" s="7">
        <v>75.400000000000006</v>
      </c>
    </row>
    <row r="1258" spans="2:22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  <c r="T1258" s="7">
        <v>121.2</v>
      </c>
      <c r="U1258" s="7">
        <v>120.4</v>
      </c>
      <c r="V1258" s="7">
        <v>133.19999999999999</v>
      </c>
    </row>
    <row r="1259" spans="2:22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</row>
    <row r="1260" spans="2:22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  <c r="T1260" s="7">
        <v>0</v>
      </c>
      <c r="U1260" s="7">
        <v>4.2</v>
      </c>
      <c r="V1260" s="7">
        <v>0</v>
      </c>
    </row>
    <row r="1261" spans="2:22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  <c r="T1261" s="7">
        <v>214.6</v>
      </c>
      <c r="U1261" s="7">
        <v>241.1</v>
      </c>
      <c r="V1261" s="7">
        <v>265.39999999999998</v>
      </c>
    </row>
    <row r="1262" spans="2:22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  <c r="T1262" s="7">
        <v>81.2</v>
      </c>
      <c r="U1262" s="7">
        <v>211.1</v>
      </c>
      <c r="V1262" s="7">
        <v>148.5</v>
      </c>
    </row>
    <row r="1263" spans="2:22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</row>
    <row r="1264" spans="2:22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  <c r="T1264" s="7">
        <v>59.4</v>
      </c>
      <c r="U1264" s="7">
        <v>42.8</v>
      </c>
      <c r="V1264" s="7">
        <v>75.599999999999994</v>
      </c>
    </row>
    <row r="1265" spans="2:22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</row>
    <row r="1266" spans="2:22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  <c r="T1266" s="7">
        <v>266.10000000000002</v>
      </c>
      <c r="U1266" s="7">
        <v>284.10000000000002</v>
      </c>
      <c r="V1266" s="7">
        <v>256.39999999999998</v>
      </c>
    </row>
    <row r="1267" spans="2:22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  <c r="T1267" s="7">
        <v>66.099999999999994</v>
      </c>
      <c r="U1267" s="7">
        <v>80.599999999999994</v>
      </c>
      <c r="V1267" s="7">
        <v>80.7</v>
      </c>
    </row>
    <row r="1268" spans="2:22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</row>
    <row r="1269" spans="2:22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</row>
    <row r="1270" spans="2:22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  <c r="T1270" s="7">
        <v>164.7</v>
      </c>
      <c r="U1270" s="7">
        <v>176.5</v>
      </c>
      <c r="V1270" s="7">
        <v>176.9</v>
      </c>
    </row>
    <row r="1271" spans="2:22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  <c r="T1271" s="7">
        <v>90</v>
      </c>
      <c r="U1271" s="7">
        <v>113.4</v>
      </c>
      <c r="V1271" s="7">
        <v>118.3</v>
      </c>
    </row>
    <row r="1272" spans="2:22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  <c r="T1272" s="7">
        <v>149.4</v>
      </c>
      <c r="U1272" s="7">
        <v>135.9</v>
      </c>
      <c r="V1272" s="7">
        <v>135.5</v>
      </c>
    </row>
    <row r="1273" spans="2:22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</row>
    <row r="1274" spans="2:22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</row>
    <row r="1275" spans="2:22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  <c r="T1275" s="7">
        <v>12.2</v>
      </c>
      <c r="U1275" s="7">
        <v>13.2</v>
      </c>
      <c r="V1275" s="7">
        <v>15.3</v>
      </c>
    </row>
    <row r="1276" spans="2:22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  <c r="T1276" s="7">
        <v>78</v>
      </c>
      <c r="U1276" s="7">
        <v>85.8</v>
      </c>
      <c r="V1276" s="7">
        <v>96.9</v>
      </c>
    </row>
    <row r="1277" spans="2:22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  <c r="T1277" s="7">
        <v>3.8</v>
      </c>
      <c r="U1277" s="7">
        <v>3.5</v>
      </c>
      <c r="V1277" s="7">
        <v>2.9</v>
      </c>
    </row>
    <row r="1278" spans="2:22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  <c r="T1278" s="7">
        <v>241.8</v>
      </c>
      <c r="U1278" s="7">
        <v>230.1</v>
      </c>
      <c r="V1278" s="7">
        <v>1293.5</v>
      </c>
    </row>
    <row r="1279" spans="2:22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  <c r="T1279" s="7">
        <v>147.19999999999999</v>
      </c>
      <c r="U1279" s="7">
        <v>206.6</v>
      </c>
      <c r="V1279" s="7">
        <v>187.3</v>
      </c>
    </row>
    <row r="1280" spans="2:22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  <c r="T1280" s="7">
        <v>131.80000000000001</v>
      </c>
      <c r="U1280" s="7">
        <v>95.9</v>
      </c>
      <c r="V1280" s="7">
        <v>92.5</v>
      </c>
    </row>
    <row r="1281" spans="2:22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  <c r="T1281" s="7">
        <v>150.4</v>
      </c>
      <c r="U1281" s="7">
        <v>143.80000000000001</v>
      </c>
      <c r="V1281" s="7">
        <v>132.5</v>
      </c>
    </row>
    <row r="1282" spans="2:22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</row>
    <row r="1283" spans="2:22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  <c r="T1283" s="7">
        <v>38.9</v>
      </c>
      <c r="U1283" s="7">
        <v>39.4</v>
      </c>
      <c r="V1283" s="7">
        <v>39.299999999999997</v>
      </c>
    </row>
    <row r="1284" spans="2:22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  <c r="T1284" s="7">
        <v>108.3</v>
      </c>
      <c r="U1284" s="7">
        <v>115.7</v>
      </c>
      <c r="V1284" s="7">
        <v>101.6</v>
      </c>
    </row>
    <row r="1285" spans="2:22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  <c r="T1285" s="7">
        <v>30.4</v>
      </c>
      <c r="U1285" s="7">
        <v>30</v>
      </c>
      <c r="V1285" s="7">
        <v>30.9</v>
      </c>
    </row>
    <row r="1286" spans="2:22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  <c r="T1286" s="7">
        <v>137.9</v>
      </c>
      <c r="U1286" s="7">
        <v>157.69999999999999</v>
      </c>
      <c r="V1286" s="7">
        <v>167.1</v>
      </c>
    </row>
    <row r="1287" spans="2:22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</row>
    <row r="1288" spans="2:22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  <c r="T1288" s="7">
        <v>58.4</v>
      </c>
      <c r="U1288" s="7">
        <v>55.6</v>
      </c>
      <c r="V1288" s="7">
        <v>48.6</v>
      </c>
    </row>
    <row r="1289" spans="2:22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  <c r="T1289" s="7">
        <v>220.4</v>
      </c>
      <c r="U1289" s="7">
        <v>174.2</v>
      </c>
      <c r="V1289" s="7">
        <v>251.8</v>
      </c>
    </row>
    <row r="1290" spans="2:22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</row>
    <row r="1291" spans="2:22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</row>
    <row r="1292" spans="2:22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  <c r="T1292" s="7">
        <v>307</v>
      </c>
      <c r="U1292" s="7">
        <v>291.3</v>
      </c>
      <c r="V1292" s="7">
        <v>157.4</v>
      </c>
    </row>
    <row r="1293" spans="2:22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  <c r="T1293" s="7">
        <v>145.4</v>
      </c>
      <c r="U1293" s="7">
        <v>135.69999999999999</v>
      </c>
      <c r="V1293" s="7">
        <v>133.30000000000001</v>
      </c>
    </row>
    <row r="1294" spans="2:22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  <c r="T1294" s="7">
        <v>123.7</v>
      </c>
      <c r="U1294" s="7">
        <v>133.6</v>
      </c>
      <c r="V1294" s="7">
        <v>120.1</v>
      </c>
    </row>
    <row r="1295" spans="2:22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  <c r="T1295" s="7">
        <v>162.5</v>
      </c>
      <c r="U1295" s="7">
        <v>164.8</v>
      </c>
      <c r="V1295" s="7">
        <v>158.69999999999999</v>
      </c>
    </row>
    <row r="1296" spans="2:22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  <c r="T1296" s="7">
        <v>94</v>
      </c>
      <c r="U1296" s="7">
        <v>91.3</v>
      </c>
      <c r="V1296" s="7">
        <v>90.5</v>
      </c>
    </row>
    <row r="1297" spans="2:22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  <c r="T1297" s="7">
        <v>6.8</v>
      </c>
      <c r="U1297" s="7">
        <v>11.3</v>
      </c>
      <c r="V1297" s="7">
        <v>6.4</v>
      </c>
    </row>
    <row r="1298" spans="2:22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</row>
    <row r="1299" spans="2:22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</row>
    <row r="1300" spans="2:22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  <c r="T1300" s="7">
        <v>146.30000000000001</v>
      </c>
      <c r="U1300" s="7">
        <v>143.30000000000001</v>
      </c>
      <c r="V1300" s="7">
        <v>129.1</v>
      </c>
    </row>
    <row r="1301" spans="2:22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</row>
    <row r="1302" spans="2:22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</row>
    <row r="1303" spans="2:22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</row>
    <row r="1304" spans="2:22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</row>
    <row r="1305" spans="2:22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</row>
    <row r="1306" spans="2:22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</row>
    <row r="1307" spans="2:22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</row>
    <row r="1308" spans="2:22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</row>
    <row r="1309" spans="2:22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</row>
    <row r="1310" spans="2:22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  <c r="T1310" s="7">
        <v>0</v>
      </c>
      <c r="U1310" s="7">
        <v>0</v>
      </c>
      <c r="V1310" s="7">
        <v>0</v>
      </c>
    </row>
    <row r="1311" spans="2:22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</row>
    <row r="1312" spans="2:22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</row>
    <row r="1313" spans="2:22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  <c r="T1313" s="7">
        <v>89.7</v>
      </c>
      <c r="U1313" s="7">
        <v>80.900000000000006</v>
      </c>
      <c r="V1313" s="7">
        <v>78.599999999999994</v>
      </c>
    </row>
    <row r="1314" spans="2:22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</row>
    <row r="1315" spans="2:22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  <c r="T1315" s="7">
        <v>143.1</v>
      </c>
      <c r="U1315" s="7">
        <v>174.4</v>
      </c>
      <c r="V1315" s="7">
        <v>204.9</v>
      </c>
    </row>
    <row r="1316" spans="2:22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  <c r="T1316" s="7">
        <v>79.8</v>
      </c>
      <c r="U1316" s="7">
        <v>34.799999999999997</v>
      </c>
      <c r="V1316" s="7">
        <v>90.8</v>
      </c>
    </row>
    <row r="1317" spans="2:22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</row>
    <row r="1318" spans="2:22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</row>
    <row r="1319" spans="2:22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</row>
    <row r="1320" spans="2:22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</row>
    <row r="1321" spans="2:22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  <c r="T1321" s="7">
        <v>24.4</v>
      </c>
      <c r="U1321" s="7">
        <v>47.1</v>
      </c>
      <c r="V1321" s="7">
        <v>59.5</v>
      </c>
    </row>
    <row r="1322" spans="2:22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  <c r="T1322" s="7">
        <v>67.599999999999994</v>
      </c>
      <c r="U1322" s="7">
        <v>60</v>
      </c>
      <c r="V1322" s="7">
        <v>64</v>
      </c>
    </row>
    <row r="1323" spans="2:22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  <c r="T1323" s="7">
        <v>168.8</v>
      </c>
      <c r="U1323" s="7">
        <v>157.80000000000001</v>
      </c>
      <c r="V1323" s="7">
        <v>157.6</v>
      </c>
    </row>
    <row r="1324" spans="2:22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  <c r="T1324" s="7">
        <v>140.5</v>
      </c>
      <c r="U1324" s="7">
        <v>118.4</v>
      </c>
      <c r="V1324" s="7">
        <v>105.8</v>
      </c>
    </row>
    <row r="1325" spans="2:22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  <c r="T1325" s="7">
        <v>44.3</v>
      </c>
      <c r="U1325" s="7">
        <v>55.8</v>
      </c>
      <c r="V1325" s="7">
        <v>52.7</v>
      </c>
    </row>
    <row r="1326" spans="2:22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  <c r="T1326" s="7">
        <v>62</v>
      </c>
      <c r="U1326" s="7">
        <v>60.2</v>
      </c>
      <c r="V1326" s="7">
        <v>63.9</v>
      </c>
    </row>
    <row r="1327" spans="2:22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  <c r="T1327" s="7">
        <v>48</v>
      </c>
      <c r="U1327" s="7">
        <v>53.1</v>
      </c>
      <c r="V1327" s="7">
        <v>58.2</v>
      </c>
    </row>
    <row r="1328" spans="2:22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  <c r="T1328" s="7">
        <v>85</v>
      </c>
      <c r="U1328" s="7">
        <v>20.399999999999999</v>
      </c>
      <c r="V1328" s="7">
        <v>16.399999999999999</v>
      </c>
    </row>
    <row r="1329" spans="2:22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  <c r="T1329" s="7">
        <v>115.7</v>
      </c>
      <c r="U1329" s="7">
        <v>112.5</v>
      </c>
      <c r="V1329" s="7">
        <v>21.9</v>
      </c>
    </row>
    <row r="1330" spans="2:22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</row>
    <row r="1331" spans="2:22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  <c r="T1331" s="7">
        <v>175</v>
      </c>
      <c r="U1331" s="7">
        <v>158.6</v>
      </c>
      <c r="V1331" s="7">
        <v>176.4</v>
      </c>
    </row>
    <row r="1332" spans="2:22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  <c r="T1332" s="7">
        <v>82.8</v>
      </c>
      <c r="U1332" s="7">
        <v>93.3</v>
      </c>
      <c r="V1332" s="7">
        <v>101.1</v>
      </c>
    </row>
    <row r="1333" spans="2:22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  <c r="T1333" s="7">
        <v>4.5999999999999996</v>
      </c>
      <c r="U1333" s="7">
        <v>19.899999999999999</v>
      </c>
      <c r="V1333" s="7">
        <v>8.9</v>
      </c>
    </row>
    <row r="1334" spans="2:22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  <c r="T1334" s="7">
        <v>80.2</v>
      </c>
      <c r="U1334" s="7">
        <v>150.5</v>
      </c>
      <c r="V1334" s="7">
        <v>144.6</v>
      </c>
    </row>
    <row r="1335" spans="2:22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</row>
    <row r="1336" spans="2:22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</row>
    <row r="1337" spans="2:22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</row>
    <row r="1338" spans="2:22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  <c r="T1338" s="7">
        <v>228.5</v>
      </c>
      <c r="U1338" s="7">
        <v>217.7</v>
      </c>
      <c r="V1338" s="7">
        <v>219.3</v>
      </c>
    </row>
    <row r="1339" spans="2:22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  <c r="T1339" s="7">
        <v>295.2</v>
      </c>
      <c r="U1339" s="7">
        <v>291.39999999999998</v>
      </c>
      <c r="V1339" s="7">
        <v>328.3</v>
      </c>
    </row>
    <row r="1340" spans="2:22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  <c r="T1340" s="7">
        <v>76.099999999999994</v>
      </c>
      <c r="U1340" s="7">
        <v>102</v>
      </c>
      <c r="V1340" s="7">
        <v>99.4</v>
      </c>
    </row>
    <row r="1341" spans="2:22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</row>
    <row r="1342" spans="2:22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  <c r="T1342" s="7">
        <v>57.6</v>
      </c>
      <c r="U1342" s="7">
        <v>66.7</v>
      </c>
      <c r="V1342" s="7">
        <v>81.099999999999994</v>
      </c>
    </row>
    <row r="1343" spans="2:22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  <c r="T1343" s="7">
        <v>663.8</v>
      </c>
      <c r="U1343" s="7">
        <v>681</v>
      </c>
      <c r="V1343" s="7">
        <v>689.3</v>
      </c>
    </row>
    <row r="1344" spans="2:22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</row>
    <row r="1345" spans="2:22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  <c r="T1345" s="7">
        <v>123.9</v>
      </c>
      <c r="U1345" s="7">
        <v>48</v>
      </c>
      <c r="V1345" s="7">
        <v>41</v>
      </c>
    </row>
    <row r="1346" spans="2:22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  <c r="T1346" s="7">
        <v>1156.7</v>
      </c>
      <c r="U1346" s="7">
        <v>1014.9</v>
      </c>
      <c r="V1346" s="7">
        <v>1140.7</v>
      </c>
    </row>
    <row r="1347" spans="2:22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</row>
    <row r="1348" spans="2:22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</row>
    <row r="1349" spans="2:22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</row>
    <row r="1350" spans="2:22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</row>
    <row r="1351" spans="2:22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  <c r="T1351" s="7">
        <v>147.4</v>
      </c>
      <c r="U1351" s="7">
        <v>122.8</v>
      </c>
      <c r="V1351" s="7">
        <v>140.4</v>
      </c>
    </row>
    <row r="1352" spans="2:22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  <c r="T1352" s="7">
        <v>173.6</v>
      </c>
      <c r="U1352" s="7">
        <v>164.6</v>
      </c>
      <c r="V1352" s="7">
        <v>193.8</v>
      </c>
    </row>
    <row r="1353" spans="2:22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  <c r="T1353" s="7">
        <v>154.5</v>
      </c>
      <c r="U1353" s="7">
        <v>153.80000000000001</v>
      </c>
      <c r="V1353" s="7">
        <v>150.69999999999999</v>
      </c>
    </row>
    <row r="1354" spans="2:22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  <c r="T1354" s="7">
        <v>110.9</v>
      </c>
      <c r="U1354" s="7">
        <v>110.4</v>
      </c>
      <c r="V1354" s="7">
        <v>104.4</v>
      </c>
    </row>
    <row r="1355" spans="2:22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</row>
    <row r="1356" spans="2:22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</row>
    <row r="1357" spans="2:22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</row>
    <row r="1358" spans="2:22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</row>
    <row r="1359" spans="2:22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  <c r="T1359" s="7">
        <v>10.1</v>
      </c>
      <c r="U1359" s="7">
        <v>10.4</v>
      </c>
      <c r="V1359" s="7">
        <v>7.9</v>
      </c>
    </row>
    <row r="1360" spans="2:22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</row>
    <row r="1361" spans="2:22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</row>
    <row r="1362" spans="2:22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</row>
    <row r="1363" spans="2:22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</row>
    <row r="1364" spans="2:22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</row>
    <row r="1365" spans="2:22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</row>
    <row r="1366" spans="2:22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</row>
    <row r="1367" spans="2:22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</row>
    <row r="1368" spans="2:22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</row>
    <row r="1369" spans="2:22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</row>
    <row r="1370" spans="2:22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  <c r="T1370" s="7">
        <v>37.6</v>
      </c>
      <c r="U1370" s="7">
        <v>35.4</v>
      </c>
      <c r="V1370" s="7">
        <v>37.700000000000003</v>
      </c>
    </row>
    <row r="1371" spans="2:22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</row>
    <row r="1372" spans="2:22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</row>
    <row r="1373" spans="2:22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</row>
    <row r="1374" spans="2:22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</row>
    <row r="1375" spans="2:22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</row>
    <row r="1376" spans="2:22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</row>
    <row r="1377" spans="2:22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</row>
    <row r="1378" spans="2:22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</row>
    <row r="1379" spans="2:22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</row>
    <row r="1380" spans="2:22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  <c r="T1380" s="7">
        <v>62.4</v>
      </c>
      <c r="U1380" s="7">
        <v>59.2</v>
      </c>
      <c r="V1380" s="7">
        <v>51.9</v>
      </c>
    </row>
    <row r="1381" spans="2:22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  <c r="T1381" s="7">
        <v>49.8</v>
      </c>
      <c r="U1381" s="7">
        <v>72.2</v>
      </c>
      <c r="V1381" s="7">
        <v>74.2</v>
      </c>
    </row>
    <row r="1382" spans="2:22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</row>
    <row r="1383" spans="2:22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</row>
    <row r="1384" spans="2:22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</row>
    <row r="1385" spans="2:22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</row>
    <row r="1386" spans="2:22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  <c r="T1386" s="7">
        <v>120.6</v>
      </c>
      <c r="U1386" s="7">
        <v>125</v>
      </c>
      <c r="V1386" s="7">
        <v>135.1</v>
      </c>
    </row>
    <row r="1387" spans="2:22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  <c r="T1387" s="7">
        <v>168.5</v>
      </c>
      <c r="U1387" s="7">
        <v>167.9</v>
      </c>
      <c r="V1387" s="7">
        <v>98</v>
      </c>
    </row>
    <row r="1388" spans="2:22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</row>
    <row r="1389" spans="2:22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</row>
    <row r="1390" spans="2:22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  <c r="T1390" s="7">
        <v>49.6</v>
      </c>
      <c r="U1390" s="7">
        <v>42</v>
      </c>
      <c r="V1390" s="7">
        <v>50.4</v>
      </c>
    </row>
    <row r="1391" spans="2:22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</row>
    <row r="1392" spans="2:22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  <c r="T1392" s="7">
        <v>120.6</v>
      </c>
      <c r="U1392" s="7">
        <v>115.4</v>
      </c>
      <c r="V1392" s="7">
        <v>134.80000000000001</v>
      </c>
    </row>
    <row r="1393" spans="2:22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</row>
    <row r="1394" spans="2:22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  <c r="T1394" s="7">
        <v>54.8</v>
      </c>
      <c r="U1394" s="7">
        <v>52.3</v>
      </c>
      <c r="V1394" s="7">
        <v>51</v>
      </c>
    </row>
    <row r="1395" spans="2:22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</row>
    <row r="1396" spans="2:22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</row>
    <row r="1397" spans="2:22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</row>
    <row r="1398" spans="2:22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</row>
    <row r="1399" spans="2:22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</row>
    <row r="1400" spans="2:22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  <c r="T1400" s="7">
        <v>136.1</v>
      </c>
      <c r="U1400" s="7">
        <v>129.1</v>
      </c>
      <c r="V1400" s="7">
        <v>118.6</v>
      </c>
    </row>
    <row r="1401" spans="2:22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  <c r="T1401" s="7">
        <v>152.80000000000001</v>
      </c>
      <c r="U1401" s="7">
        <v>159.9</v>
      </c>
      <c r="V1401" s="7">
        <v>162</v>
      </c>
    </row>
    <row r="1402" spans="2:22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</row>
    <row r="1403" spans="2:22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</row>
    <row r="1404" spans="2:22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</row>
    <row r="1405" spans="2:22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  <c r="T1405" s="7">
        <v>20.6</v>
      </c>
      <c r="U1405" s="7">
        <v>6</v>
      </c>
      <c r="V1405" s="7">
        <v>10.8</v>
      </c>
    </row>
    <row r="1406" spans="2:22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</row>
    <row r="1407" spans="2:22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  <c r="T1407" s="7">
        <v>18</v>
      </c>
      <c r="U1407" s="7">
        <v>22.1</v>
      </c>
      <c r="V1407" s="7">
        <v>36.700000000000003</v>
      </c>
    </row>
    <row r="1408" spans="2:22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</row>
    <row r="1409" spans="2:22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  <c r="T1409" s="7">
        <v>73.099999999999994</v>
      </c>
      <c r="U1409" s="7">
        <v>0</v>
      </c>
      <c r="V1409" s="7">
        <v>34</v>
      </c>
    </row>
    <row r="1410" spans="2:22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  <c r="T1410" s="7">
        <v>22.1</v>
      </c>
      <c r="U1410" s="7">
        <v>14.7</v>
      </c>
      <c r="V1410" s="7">
        <v>12.7</v>
      </c>
    </row>
    <row r="1411" spans="2:22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</row>
    <row r="1412" spans="2:22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  <c r="T1412" s="7">
        <v>247</v>
      </c>
      <c r="U1412" s="7">
        <v>245.6</v>
      </c>
      <c r="V1412" s="7">
        <v>274.39999999999998</v>
      </c>
    </row>
    <row r="1413" spans="2:22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  <c r="T1413" s="7">
        <v>35.9</v>
      </c>
      <c r="U1413" s="7">
        <v>74</v>
      </c>
      <c r="V1413" s="7">
        <v>37.799999999999997</v>
      </c>
    </row>
    <row r="1414" spans="2:22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  <c r="T1414" s="7">
        <v>34.799999999999997</v>
      </c>
      <c r="U1414" s="7">
        <v>40.799999999999997</v>
      </c>
      <c r="V1414" s="7">
        <v>47.5</v>
      </c>
    </row>
    <row r="1415" spans="2:22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</row>
    <row r="1416" spans="2:22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</row>
    <row r="1417" spans="2:22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</row>
    <row r="1418" spans="2:22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</row>
    <row r="1419" spans="2:22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  <c r="T1419" s="7">
        <v>31.1</v>
      </c>
      <c r="U1419" s="7">
        <v>23.5</v>
      </c>
      <c r="V1419" s="7">
        <v>25.2</v>
      </c>
    </row>
    <row r="1420" spans="2:22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  <c r="T1420" s="7">
        <v>79.099999999999994</v>
      </c>
      <c r="U1420" s="7">
        <v>77.099999999999994</v>
      </c>
      <c r="V1420" s="7">
        <v>102.6</v>
      </c>
    </row>
    <row r="1421" spans="2:22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</row>
    <row r="1422" spans="2:22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</row>
    <row r="1423" spans="2:22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</row>
    <row r="1424" spans="2:22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</row>
    <row r="1425" spans="2:22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</row>
    <row r="1426" spans="2:22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</row>
    <row r="1427" spans="2:22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  <c r="T1427" s="7">
        <v>66.5</v>
      </c>
      <c r="U1427" s="7">
        <v>71.5</v>
      </c>
      <c r="V1427" s="7">
        <v>67.2</v>
      </c>
    </row>
    <row r="1428" spans="2:22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  <c r="T1428" s="7">
        <v>82.5</v>
      </c>
      <c r="U1428" s="7">
        <v>93.1</v>
      </c>
      <c r="V1428" s="7">
        <v>94.9</v>
      </c>
    </row>
    <row r="1429" spans="2:22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  <c r="T1429" s="7">
        <v>61.7</v>
      </c>
      <c r="U1429" s="7">
        <v>51.5</v>
      </c>
      <c r="V1429" s="7">
        <v>56.6</v>
      </c>
    </row>
    <row r="1430" spans="2:22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</row>
    <row r="1431" spans="2:22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</row>
    <row r="1432" spans="2:22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</row>
    <row r="1433" spans="2:22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  <c r="T1433" s="7">
        <v>1145.0999999999999</v>
      </c>
      <c r="U1433" s="7">
        <v>1104.3</v>
      </c>
      <c r="V1433" s="7">
        <v>1065.5</v>
      </c>
    </row>
    <row r="1434" spans="2:22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  <c r="T1434" s="7">
        <v>60.7</v>
      </c>
      <c r="U1434" s="7">
        <v>29.7</v>
      </c>
      <c r="V1434" s="7">
        <v>9.1999999999999993</v>
      </c>
    </row>
    <row r="1435" spans="2:22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</row>
    <row r="1436" spans="2:22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</row>
    <row r="1437" spans="2:22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</row>
    <row r="1438" spans="2:22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</row>
    <row r="1439" spans="2:22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</row>
    <row r="1440" spans="2:22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  <c r="T1440" s="7">
        <v>148.6</v>
      </c>
      <c r="U1440" s="7">
        <v>133.1</v>
      </c>
      <c r="V1440" s="7">
        <v>287.3</v>
      </c>
    </row>
    <row r="1441" spans="2:22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</row>
    <row r="1442" spans="2:22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  <c r="T1442" s="7">
        <v>145.19999999999999</v>
      </c>
      <c r="U1442" s="7">
        <v>204.9</v>
      </c>
      <c r="V1442" s="7">
        <v>427.4</v>
      </c>
    </row>
    <row r="1443" spans="2:22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  <c r="T1443" s="7">
        <v>214.7</v>
      </c>
      <c r="U1443" s="7">
        <v>205.6</v>
      </c>
      <c r="V1443" s="7">
        <v>214.3</v>
      </c>
    </row>
    <row r="1444" spans="2:22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  <c r="T1444" s="7">
        <v>940.4</v>
      </c>
      <c r="U1444" s="7">
        <v>1038.4000000000001</v>
      </c>
      <c r="V1444" s="7">
        <v>1063.3</v>
      </c>
    </row>
    <row r="1445" spans="2:22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  <c r="T1445" s="7">
        <v>139.30000000000001</v>
      </c>
      <c r="U1445" s="7">
        <v>157.1</v>
      </c>
      <c r="V1445" s="7">
        <v>205.1</v>
      </c>
    </row>
    <row r="1446" spans="2:22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  <c r="T1446" s="7">
        <v>87.5</v>
      </c>
      <c r="U1446" s="7">
        <v>88.1</v>
      </c>
      <c r="V1446" s="7">
        <v>83.2</v>
      </c>
    </row>
    <row r="1447" spans="2:22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</row>
    <row r="1448" spans="2:22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</row>
    <row r="1449" spans="2:22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  <c r="T1449" s="7">
        <v>58.7</v>
      </c>
      <c r="U1449" s="7">
        <v>56</v>
      </c>
      <c r="V1449" s="7">
        <v>46.4</v>
      </c>
    </row>
    <row r="1450" spans="2:22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</row>
    <row r="1451" spans="2:22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</row>
    <row r="1452" spans="2:22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  <c r="T1452" s="7">
        <v>0</v>
      </c>
      <c r="U1452" s="7">
        <v>0</v>
      </c>
      <c r="V1452" s="7">
        <v>0</v>
      </c>
    </row>
    <row r="1453" spans="2:22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  <c r="T1453" s="7">
        <v>207.3</v>
      </c>
      <c r="U1453" s="7">
        <v>207.4</v>
      </c>
      <c r="V1453" s="7">
        <v>195.5</v>
      </c>
    </row>
    <row r="1454" spans="2:22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  <c r="T1454" s="7">
        <v>170.4</v>
      </c>
      <c r="U1454" s="7">
        <v>219</v>
      </c>
      <c r="V1454" s="7">
        <v>108.5</v>
      </c>
    </row>
    <row r="1455" spans="2:22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  <c r="T1455" s="7">
        <v>38.299999999999997</v>
      </c>
      <c r="U1455" s="7">
        <v>45.3</v>
      </c>
      <c r="V1455" s="7">
        <v>42.6</v>
      </c>
    </row>
    <row r="1456" spans="2:22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</row>
    <row r="1457" spans="2:22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  <c r="T1457" s="7">
        <v>21.1</v>
      </c>
      <c r="U1457" s="7">
        <v>32.700000000000003</v>
      </c>
      <c r="V1457" s="7">
        <v>34.799999999999997</v>
      </c>
    </row>
    <row r="1458" spans="2:22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  <c r="T1458" s="7">
        <v>1211.5</v>
      </c>
      <c r="U1458" s="7">
        <v>1019.1</v>
      </c>
      <c r="V1458" s="7">
        <v>1789.7</v>
      </c>
    </row>
    <row r="1459" spans="2:22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</row>
    <row r="1460" spans="2:22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</row>
    <row r="1461" spans="2:22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  <c r="T1461" s="7">
        <v>239.8</v>
      </c>
      <c r="U1461" s="7">
        <v>223.6</v>
      </c>
      <c r="V1461" s="7">
        <v>248.6</v>
      </c>
    </row>
    <row r="1462" spans="2:22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  <c r="T1462" s="7">
        <v>274.8</v>
      </c>
      <c r="U1462" s="7">
        <v>258.5</v>
      </c>
      <c r="V1462" s="7">
        <v>288.7</v>
      </c>
    </row>
    <row r="1463" spans="2:22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  <c r="T1463" s="7">
        <v>333.5</v>
      </c>
      <c r="U1463" s="7">
        <v>347.1</v>
      </c>
      <c r="V1463" s="7">
        <v>355.6</v>
      </c>
    </row>
    <row r="1464" spans="2:22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  <c r="T1464" s="7">
        <v>173.8</v>
      </c>
      <c r="U1464" s="7">
        <v>150.9</v>
      </c>
      <c r="V1464" s="7">
        <v>157.80000000000001</v>
      </c>
    </row>
    <row r="1465" spans="2:22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</row>
    <row r="1466" spans="2:22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  <c r="T1466" s="7">
        <v>133.4</v>
      </c>
      <c r="U1466" s="7">
        <v>150.5</v>
      </c>
      <c r="V1466" s="7">
        <v>158.5</v>
      </c>
    </row>
    <row r="1467" spans="2:22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  <c r="T1467" s="7">
        <v>81.900000000000006</v>
      </c>
      <c r="U1467" s="7">
        <v>64.7</v>
      </c>
      <c r="V1467" s="7">
        <v>70.599999999999994</v>
      </c>
    </row>
    <row r="1468" spans="2:22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  <c r="T1468" s="7">
        <v>283.39999999999998</v>
      </c>
      <c r="U1468" s="7">
        <v>272.60000000000002</v>
      </c>
      <c r="V1468" s="7">
        <v>280.10000000000002</v>
      </c>
    </row>
    <row r="1469" spans="2:22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  <c r="T1469" s="7">
        <v>293</v>
      </c>
      <c r="U1469" s="7">
        <v>284.3</v>
      </c>
      <c r="V1469" s="7">
        <v>306</v>
      </c>
    </row>
    <row r="1470" spans="2:22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</row>
    <row r="1471" spans="2:22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</row>
    <row r="1472" spans="2:22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  <c r="T1472" s="7">
        <v>25.7</v>
      </c>
      <c r="U1472" s="7">
        <v>37.6</v>
      </c>
      <c r="V1472" s="7">
        <v>36.1</v>
      </c>
    </row>
    <row r="1473" spans="2:22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  <c r="T1473" s="7">
        <v>1.3</v>
      </c>
      <c r="U1473" s="7">
        <v>5.0999999999999996</v>
      </c>
      <c r="V1473" s="7">
        <v>1.6</v>
      </c>
    </row>
    <row r="1474" spans="2:22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</row>
    <row r="1475" spans="2:22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</row>
    <row r="1476" spans="2:22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</row>
    <row r="1477" spans="2:22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</row>
    <row r="1478" spans="2:22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  <c r="T1478" s="7">
        <v>90.8</v>
      </c>
      <c r="U1478" s="7">
        <v>121.6</v>
      </c>
      <c r="V1478" s="7">
        <v>124.9</v>
      </c>
    </row>
    <row r="1479" spans="2:22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  <c r="T1479" s="7">
        <v>284.10000000000002</v>
      </c>
      <c r="U1479" s="7">
        <v>297.89999999999998</v>
      </c>
      <c r="V1479" s="7">
        <v>308.8</v>
      </c>
    </row>
    <row r="1480" spans="2:22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  <c r="T1480" s="7">
        <v>151.6</v>
      </c>
      <c r="U1480" s="7">
        <v>129.80000000000001</v>
      </c>
      <c r="V1480" s="7">
        <v>104.7</v>
      </c>
    </row>
    <row r="1481" spans="2:22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  <c r="T1481" s="7">
        <v>25.7</v>
      </c>
      <c r="U1481" s="7">
        <v>22.7</v>
      </c>
      <c r="V1481" s="7">
        <v>26.6</v>
      </c>
    </row>
    <row r="1482" spans="2:22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</row>
    <row r="1483" spans="2:22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</row>
    <row r="1484" spans="2:22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  <c r="T1484" s="7">
        <v>154.80000000000001</v>
      </c>
      <c r="U1484" s="7">
        <v>150.6</v>
      </c>
      <c r="V1484" s="7">
        <v>196.9</v>
      </c>
    </row>
    <row r="1485" spans="2:22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  <c r="T1485" s="7">
        <v>96.8</v>
      </c>
      <c r="U1485" s="7">
        <v>90.5</v>
      </c>
      <c r="V1485" s="7">
        <v>74.5</v>
      </c>
    </row>
    <row r="1486" spans="2:22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  <c r="T1486" s="7">
        <v>375.5</v>
      </c>
      <c r="U1486" s="7">
        <v>366</v>
      </c>
      <c r="V1486" s="7">
        <v>335</v>
      </c>
    </row>
    <row r="1487" spans="2:22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</row>
    <row r="1488" spans="2:22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  <c r="T1488" s="7">
        <v>67.7</v>
      </c>
      <c r="U1488" s="7">
        <v>78.2</v>
      </c>
      <c r="V1488" s="7">
        <v>83.3</v>
      </c>
    </row>
    <row r="1489" spans="2:22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</row>
    <row r="1490" spans="2:22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</row>
    <row r="1491" spans="2:22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  <c r="T1491" s="7">
        <v>195.1</v>
      </c>
      <c r="U1491" s="7">
        <v>229.6</v>
      </c>
      <c r="V1491" s="7">
        <v>255.1</v>
      </c>
    </row>
    <row r="1492" spans="2:22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</row>
    <row r="1493" spans="2:22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</row>
    <row r="1494" spans="2:22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</row>
    <row r="1495" spans="2:22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13.9</v>
      </c>
      <c r="V1495" s="7">
        <v>0</v>
      </c>
    </row>
    <row r="1496" spans="2:22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  <c r="T1496" s="7">
        <v>22.2</v>
      </c>
      <c r="U1496" s="7">
        <v>51.8</v>
      </c>
      <c r="V1496" s="7">
        <v>11</v>
      </c>
    </row>
    <row r="1497" spans="2:22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</row>
    <row r="1498" spans="2:22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</row>
    <row r="1499" spans="2:22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</row>
    <row r="1500" spans="2:22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</row>
    <row r="1501" spans="2:22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</row>
    <row r="1502" spans="2:22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</row>
    <row r="1503" spans="2:22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</row>
    <row r="1504" spans="2:22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  <c r="T1504" s="7">
        <v>23.2</v>
      </c>
      <c r="U1504" s="7">
        <v>30</v>
      </c>
      <c r="V1504" s="7">
        <v>19.600000000000001</v>
      </c>
    </row>
    <row r="1505" spans="2:22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</row>
    <row r="1506" spans="2:22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</row>
    <row r="1507" spans="2:22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</row>
    <row r="1508" spans="2:22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  <c r="T1508" s="7">
        <v>73.900000000000006</v>
      </c>
      <c r="U1508" s="7">
        <v>108.1</v>
      </c>
      <c r="V1508" s="7">
        <v>42</v>
      </c>
    </row>
    <row r="1509" spans="2:22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</row>
    <row r="1510" spans="2:22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</row>
    <row r="1511" spans="2:22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  <c r="T1511" s="7">
        <v>91.3</v>
      </c>
      <c r="U1511" s="7">
        <v>87.5</v>
      </c>
      <c r="V1511" s="7">
        <v>88.7</v>
      </c>
    </row>
    <row r="1512" spans="2:22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</row>
    <row r="1513" spans="2:22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</row>
    <row r="1514" spans="2:22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  <c r="T1514" s="7">
        <v>81.3</v>
      </c>
      <c r="U1514" s="7">
        <v>81.5</v>
      </c>
      <c r="V1514" s="7">
        <v>73.7</v>
      </c>
    </row>
    <row r="1515" spans="2:22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  <c r="T1515" s="7">
        <v>57.5</v>
      </c>
      <c r="U1515" s="7">
        <v>62.1</v>
      </c>
      <c r="V1515" s="7">
        <v>62.9</v>
      </c>
    </row>
    <row r="1516" spans="2:22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</row>
    <row r="1517" spans="2:22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</row>
    <row r="1518" spans="2:22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  <c r="T1518" s="7">
        <v>314.10000000000002</v>
      </c>
      <c r="U1518" s="7">
        <v>248.5</v>
      </c>
      <c r="V1518" s="7">
        <v>229.1</v>
      </c>
    </row>
    <row r="1519" spans="2:22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  <c r="T1519" s="7">
        <v>305.89999999999998</v>
      </c>
      <c r="U1519" s="7">
        <v>382.9</v>
      </c>
      <c r="V1519" s="7">
        <v>183.6</v>
      </c>
    </row>
    <row r="1520" spans="2:22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  <c r="T1520" s="7">
        <v>132.6</v>
      </c>
      <c r="U1520" s="7">
        <v>143.6</v>
      </c>
      <c r="V1520" s="7">
        <v>165.3</v>
      </c>
    </row>
    <row r="1521" spans="2:22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  <c r="T1521" s="7">
        <v>394.7</v>
      </c>
      <c r="U1521" s="7">
        <v>365.9</v>
      </c>
      <c r="V1521" s="7">
        <v>397.7</v>
      </c>
    </row>
    <row r="1522" spans="2:22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  <c r="T1522" s="7">
        <v>373.8</v>
      </c>
      <c r="U1522" s="7">
        <v>402.8</v>
      </c>
      <c r="V1522" s="7">
        <v>396.7</v>
      </c>
    </row>
    <row r="1523" spans="2:22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  <c r="T1523" s="7">
        <v>203.4</v>
      </c>
      <c r="U1523" s="7">
        <v>186.5</v>
      </c>
      <c r="V1523" s="7">
        <v>208.7</v>
      </c>
    </row>
    <row r="1524" spans="2:22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  <c r="T1524" s="7">
        <v>255.2</v>
      </c>
      <c r="U1524" s="7">
        <v>281.39999999999998</v>
      </c>
      <c r="V1524" s="7">
        <v>321</v>
      </c>
    </row>
    <row r="1525" spans="2:22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</row>
    <row r="1526" spans="2:22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</row>
    <row r="1527" spans="2:22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</row>
    <row r="1528" spans="2:22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</row>
    <row r="1529" spans="2:22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</row>
    <row r="1530" spans="2:22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</row>
    <row r="1531" spans="2:22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  <c r="T1531" s="7">
        <v>0</v>
      </c>
      <c r="U1531" s="7">
        <v>0</v>
      </c>
      <c r="V1531" s="7">
        <v>0</v>
      </c>
    </row>
    <row r="1532" spans="2:22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</row>
    <row r="1533" spans="2:22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</row>
    <row r="1534" spans="2:22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  <c r="T1534" s="7">
        <v>193.8</v>
      </c>
      <c r="U1534" s="7">
        <v>189.4</v>
      </c>
      <c r="V1534" s="7">
        <v>164.5</v>
      </c>
    </row>
    <row r="1535" spans="2:22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</row>
    <row r="1536" spans="2:22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</row>
    <row r="1537" spans="2:22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</row>
    <row r="1538" spans="2:22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  <c r="T1538" s="7">
        <v>206.9</v>
      </c>
      <c r="U1538" s="7">
        <v>217.6</v>
      </c>
      <c r="V1538" s="7">
        <v>237.9</v>
      </c>
    </row>
    <row r="1539" spans="2:22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</row>
    <row r="1540" spans="2:22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  <c r="T1540" s="7">
        <v>28.4</v>
      </c>
      <c r="U1540" s="7">
        <v>71.5</v>
      </c>
      <c r="V1540" s="7">
        <v>13.2</v>
      </c>
    </row>
    <row r="1541" spans="2:22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</row>
    <row r="1542" spans="2:22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  <c r="T1542" s="7">
        <v>68.599999999999994</v>
      </c>
      <c r="U1542" s="7">
        <v>65.099999999999994</v>
      </c>
      <c r="V1542" s="7">
        <v>67.900000000000006</v>
      </c>
    </row>
    <row r="1543" spans="2:22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</row>
    <row r="1544" spans="2:22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</row>
    <row r="1545" spans="2:22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  <c r="T1545" s="7">
        <v>217.3</v>
      </c>
      <c r="U1545" s="7">
        <v>220.6</v>
      </c>
      <c r="V1545" s="7">
        <v>212.8</v>
      </c>
    </row>
    <row r="1546" spans="2:22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</row>
    <row r="1547" spans="2:22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</row>
    <row r="1548" spans="2:22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  <c r="T1548" s="7">
        <v>177.9</v>
      </c>
      <c r="U1548" s="7">
        <v>243.9</v>
      </c>
      <c r="V1548" s="7">
        <v>177.7</v>
      </c>
    </row>
    <row r="1549" spans="2:22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</row>
    <row r="1550" spans="2:22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</row>
    <row r="1551" spans="2:22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</row>
    <row r="1552" spans="2:22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</row>
    <row r="1553" spans="2:22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</row>
    <row r="1554" spans="2:22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  <c r="T1554" s="7">
        <v>105.4</v>
      </c>
      <c r="U1554" s="7">
        <v>92.9</v>
      </c>
      <c r="V1554" s="7">
        <v>94.6</v>
      </c>
    </row>
    <row r="1555" spans="2:22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</row>
    <row r="1556" spans="2:22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  <c r="T1556" s="7">
        <v>345.8</v>
      </c>
      <c r="U1556" s="7">
        <v>334.3</v>
      </c>
      <c r="V1556" s="7">
        <v>236.2</v>
      </c>
    </row>
    <row r="1557" spans="2:22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  <c r="T1557" s="7">
        <v>237.2</v>
      </c>
      <c r="U1557" s="7">
        <v>164.1</v>
      </c>
      <c r="V1557" s="7">
        <v>115.3</v>
      </c>
    </row>
    <row r="1558" spans="2:22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  <c r="T1558" s="7">
        <v>60.2</v>
      </c>
      <c r="U1558" s="7">
        <v>68.900000000000006</v>
      </c>
      <c r="V1558" s="7">
        <v>75.2</v>
      </c>
    </row>
    <row r="1559" spans="2:22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  <c r="T1559" s="7">
        <v>117.6</v>
      </c>
      <c r="U1559" s="7">
        <v>78.099999999999994</v>
      </c>
      <c r="V1559" s="7">
        <v>65.599999999999994</v>
      </c>
    </row>
    <row r="1560" spans="2:22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  <c r="T1560" s="7">
        <v>106.8</v>
      </c>
      <c r="U1560" s="7">
        <v>122.8</v>
      </c>
      <c r="V1560" s="7">
        <v>126.2</v>
      </c>
    </row>
    <row r="1561" spans="2:22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  <c r="T1561" s="7">
        <v>1.6</v>
      </c>
      <c r="U1561" s="7">
        <v>0.7</v>
      </c>
      <c r="V1561" s="7">
        <v>2.7</v>
      </c>
    </row>
    <row r="1562" spans="2:22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  <c r="T1562" s="7">
        <v>74.5</v>
      </c>
      <c r="U1562" s="7">
        <v>65.8</v>
      </c>
      <c r="V1562" s="7">
        <v>68.400000000000006</v>
      </c>
    </row>
    <row r="1563" spans="2:22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19.5</v>
      </c>
      <c r="U1563" s="7">
        <v>44.7</v>
      </c>
      <c r="V1563" s="7">
        <v>69.599999999999994</v>
      </c>
    </row>
    <row r="1564" spans="2:22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  <c r="T1564" s="7">
        <v>19</v>
      </c>
      <c r="U1564" s="7">
        <v>20.8</v>
      </c>
      <c r="V1564" s="7">
        <v>18.7</v>
      </c>
    </row>
    <row r="1565" spans="2:22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</row>
    <row r="1566" spans="2:22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  <c r="T1566" s="7">
        <v>34.299999999999997</v>
      </c>
      <c r="U1566" s="7">
        <v>30.6</v>
      </c>
      <c r="V1566" s="7">
        <v>43.7</v>
      </c>
    </row>
    <row r="1567" spans="2:22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  <c r="T1567" s="7">
        <v>0</v>
      </c>
      <c r="U1567" s="7">
        <v>0</v>
      </c>
      <c r="V1567" s="7">
        <v>0</v>
      </c>
    </row>
    <row r="1568" spans="2:22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  <c r="T1568" s="7">
        <v>10.5</v>
      </c>
      <c r="U1568" s="7">
        <v>14.5</v>
      </c>
      <c r="V1568" s="7">
        <v>14.4</v>
      </c>
    </row>
    <row r="1569" spans="2:22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</row>
    <row r="1570" spans="2:22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</row>
    <row r="1571" spans="2:22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</row>
    <row r="1572" spans="2:22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  <c r="T1572" s="7">
        <v>144.80000000000001</v>
      </c>
      <c r="U1572" s="7">
        <v>134.80000000000001</v>
      </c>
      <c r="V1572" s="7">
        <v>128.9</v>
      </c>
    </row>
    <row r="1573" spans="2:22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  <c r="T1573" s="7">
        <v>92.3</v>
      </c>
      <c r="U1573" s="7">
        <v>55</v>
      </c>
      <c r="V1573" s="7">
        <v>31.5</v>
      </c>
    </row>
    <row r="1574" spans="2:22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  <c r="T1574" s="7">
        <v>19</v>
      </c>
      <c r="U1574" s="7">
        <v>22</v>
      </c>
      <c r="V1574" s="7">
        <v>21.9</v>
      </c>
    </row>
    <row r="1575" spans="2:22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</row>
    <row r="1576" spans="2:22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  <c r="T1576" s="7">
        <v>151.80000000000001</v>
      </c>
      <c r="U1576" s="7">
        <v>169.5</v>
      </c>
      <c r="V1576" s="7">
        <v>206.6</v>
      </c>
    </row>
    <row r="1577" spans="2:22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  <c r="T1577" s="7">
        <v>109.4</v>
      </c>
      <c r="U1577" s="7">
        <v>103.7</v>
      </c>
      <c r="V1577" s="7">
        <v>104.1</v>
      </c>
    </row>
    <row r="1578" spans="2:22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  <c r="T1578" s="7">
        <v>41.7</v>
      </c>
      <c r="U1578" s="7">
        <v>42.5</v>
      </c>
      <c r="V1578" s="7">
        <v>42.3</v>
      </c>
    </row>
    <row r="1579" spans="2:22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  <c r="T1579" s="7">
        <v>24.1</v>
      </c>
      <c r="U1579" s="7">
        <v>20.9</v>
      </c>
      <c r="V1579" s="7">
        <v>22.1</v>
      </c>
    </row>
    <row r="1580" spans="2:22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  <c r="T1580" s="7">
        <v>8</v>
      </c>
      <c r="U1580" s="7">
        <v>9.5</v>
      </c>
      <c r="V1580" s="7">
        <v>7.9</v>
      </c>
    </row>
    <row r="1581" spans="2:22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</row>
    <row r="1582" spans="2:22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  <c r="T1582" s="7">
        <v>48.3</v>
      </c>
      <c r="U1582" s="7">
        <v>59.2</v>
      </c>
      <c r="V1582" s="7">
        <v>55</v>
      </c>
    </row>
    <row r="1583" spans="2:22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  <c r="T1583" s="7">
        <v>131.30000000000001</v>
      </c>
      <c r="U1583" s="7">
        <v>97.5</v>
      </c>
      <c r="V1583" s="7">
        <v>101.8</v>
      </c>
    </row>
    <row r="1584" spans="2:22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</row>
    <row r="1585" spans="2:22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</row>
    <row r="1586" spans="2:22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</row>
    <row r="1587" spans="2:22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</row>
    <row r="1588" spans="2:22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  <c r="T1588" s="7">
        <v>202.8</v>
      </c>
      <c r="U1588" s="7">
        <v>224</v>
      </c>
      <c r="V1588" s="7">
        <v>161.4</v>
      </c>
    </row>
    <row r="1589" spans="2:22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  <c r="T1589" s="7">
        <v>92.3</v>
      </c>
      <c r="U1589" s="7">
        <v>83.9</v>
      </c>
      <c r="V1589" s="7">
        <v>73.5</v>
      </c>
    </row>
    <row r="1590" spans="2:22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  <c r="T1590" s="7">
        <v>20.8</v>
      </c>
      <c r="U1590" s="7">
        <v>17.2</v>
      </c>
      <c r="V1590" s="7">
        <v>8.5</v>
      </c>
    </row>
    <row r="1591" spans="2:22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  <c r="T1591" s="7">
        <v>363.7</v>
      </c>
      <c r="U1591" s="7">
        <v>328.8</v>
      </c>
      <c r="V1591" s="7">
        <v>192.4</v>
      </c>
    </row>
    <row r="1592" spans="2:22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  <c r="T1592" s="7">
        <v>6.3</v>
      </c>
      <c r="U1592" s="7">
        <v>5.2</v>
      </c>
      <c r="V1592" s="7">
        <v>7.5</v>
      </c>
    </row>
    <row r="1593" spans="2:22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</row>
    <row r="1594" spans="2:22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</row>
    <row r="1595" spans="2:22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</row>
    <row r="1596" spans="2:22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</row>
    <row r="1597" spans="2:22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</row>
    <row r="1598" spans="2:22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  <c r="T1598" s="7">
        <v>46.3</v>
      </c>
      <c r="U1598" s="7">
        <v>43.3</v>
      </c>
      <c r="V1598" s="7">
        <v>43.1</v>
      </c>
    </row>
    <row r="1599" spans="2:22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</row>
    <row r="1600" spans="2:22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  <c r="T1600" s="7">
        <v>491.6</v>
      </c>
      <c r="U1600" s="7">
        <v>335.6</v>
      </c>
      <c r="V1600" s="7">
        <v>163.19999999999999</v>
      </c>
    </row>
    <row r="1601" spans="2:22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  <c r="T1601" s="7">
        <v>118.3</v>
      </c>
      <c r="U1601" s="7">
        <v>105.2</v>
      </c>
      <c r="V1601" s="7">
        <v>120.3</v>
      </c>
    </row>
    <row r="1602" spans="2:22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</row>
    <row r="1603" spans="2:22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</row>
    <row r="1604" spans="2:22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</row>
    <row r="1605" spans="2:22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</row>
    <row r="1606" spans="2:22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</row>
    <row r="1607" spans="2:22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</row>
    <row r="1608" spans="2:22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  <c r="T1608" s="7">
        <v>68.3</v>
      </c>
      <c r="U1608" s="7">
        <v>53.7</v>
      </c>
      <c r="V1608" s="7">
        <v>47.1</v>
      </c>
    </row>
    <row r="1609" spans="2:22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</row>
    <row r="1610" spans="2:22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</row>
    <row r="1611" spans="2:22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</row>
    <row r="1612" spans="2:22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</row>
    <row r="1613" spans="2:22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27</v>
      </c>
      <c r="V1613" s="7">
        <v>21.8</v>
      </c>
    </row>
    <row r="1614" spans="2:22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</row>
    <row r="1615" spans="2:22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1409.8</v>
      </c>
    </row>
    <row r="1616" spans="2:22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  <c r="T1616" s="7">
        <v>144.9</v>
      </c>
      <c r="U1616" s="7">
        <v>139.80000000000001</v>
      </c>
      <c r="V1616" s="7">
        <v>130.9</v>
      </c>
    </row>
    <row r="1617" spans="2:22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  <c r="T1617" s="7">
        <v>26.1</v>
      </c>
      <c r="U1617" s="7">
        <v>22.3</v>
      </c>
      <c r="V1617" s="7">
        <v>20</v>
      </c>
    </row>
    <row r="1618" spans="2:22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</row>
    <row r="1619" spans="2:22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  <c r="T1619" s="7">
        <v>136.19999999999999</v>
      </c>
      <c r="U1619" s="7">
        <v>77.2</v>
      </c>
      <c r="V1619" s="7">
        <v>0</v>
      </c>
    </row>
    <row r="1620" spans="2:22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</row>
    <row r="1621" spans="2:22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</row>
    <row r="1622" spans="2:22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</row>
    <row r="1623" spans="2:22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</row>
    <row r="1624" spans="2:22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  <c r="T1624" s="7">
        <v>86</v>
      </c>
      <c r="U1624" s="7">
        <v>78.5</v>
      </c>
      <c r="V1624" s="7">
        <v>79.599999999999994</v>
      </c>
    </row>
    <row r="1625" spans="2:22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</row>
    <row r="1626" spans="2:22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</row>
    <row r="1627" spans="2:22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</row>
    <row r="1628" spans="2:22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  <c r="T1628" s="7">
        <v>72.900000000000006</v>
      </c>
      <c r="U1628" s="7">
        <v>76</v>
      </c>
      <c r="V1628" s="7">
        <v>77.7</v>
      </c>
    </row>
    <row r="1629" spans="2:22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  <c r="T1629" s="7">
        <v>72.8</v>
      </c>
      <c r="U1629" s="7">
        <v>46.1</v>
      </c>
      <c r="V1629" s="7">
        <v>26.1</v>
      </c>
    </row>
    <row r="1630" spans="2:22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  <c r="T1630" s="7">
        <v>171.9</v>
      </c>
      <c r="U1630" s="7">
        <v>207.9</v>
      </c>
      <c r="V1630" s="7">
        <v>203.8</v>
      </c>
    </row>
    <row r="1631" spans="2:22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  <c r="T1631" s="7">
        <v>85.8</v>
      </c>
      <c r="U1631" s="7">
        <v>75.2</v>
      </c>
      <c r="V1631" s="7">
        <v>66.3</v>
      </c>
    </row>
    <row r="1632" spans="2:22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</row>
    <row r="1633" spans="2:22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</row>
    <row r="1634" spans="2:22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</row>
    <row r="1635" spans="2:22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</row>
    <row r="1636" spans="2:22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</row>
    <row r="1637" spans="2:22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  <c r="T1637" s="7">
        <v>43.4</v>
      </c>
      <c r="U1637" s="7">
        <v>22.7</v>
      </c>
      <c r="V1637" s="7">
        <v>27</v>
      </c>
    </row>
    <row r="1638" spans="2:22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  <c r="T1638" s="7">
        <v>2.7</v>
      </c>
      <c r="U1638" s="7">
        <v>0</v>
      </c>
      <c r="V1638" s="7">
        <v>0</v>
      </c>
    </row>
    <row r="1639" spans="2:22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</row>
    <row r="1640" spans="2:22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</row>
    <row r="1641" spans="2:22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12.3</v>
      </c>
      <c r="U1641" s="7">
        <v>17.899999999999999</v>
      </c>
      <c r="V1641" s="7">
        <v>34.1</v>
      </c>
    </row>
    <row r="1642" spans="2:22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</row>
    <row r="1643" spans="2:22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  <c r="T1643" s="7">
        <v>9.3000000000000007</v>
      </c>
      <c r="U1643" s="7">
        <v>8.6999999999999993</v>
      </c>
      <c r="V1643" s="7">
        <v>8.6999999999999993</v>
      </c>
    </row>
    <row r="1644" spans="2:22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</row>
    <row r="1645" spans="2:22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</row>
    <row r="1646" spans="2:22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</row>
    <row r="1647" spans="2:22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</row>
    <row r="1648" spans="2:22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  <c r="T1648" s="7">
        <v>342.3</v>
      </c>
      <c r="U1648" s="7">
        <v>158.5</v>
      </c>
      <c r="V1648" s="7">
        <v>208.3</v>
      </c>
    </row>
    <row r="1649" spans="2:22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</row>
    <row r="1650" spans="2:22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</row>
    <row r="1651" spans="2:22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  <c r="T1651" s="7">
        <v>11</v>
      </c>
      <c r="U1651" s="7">
        <v>59</v>
      </c>
      <c r="V1651" s="7">
        <v>72.8</v>
      </c>
    </row>
    <row r="1652" spans="2:22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  <c r="T1652" s="7">
        <v>0</v>
      </c>
      <c r="U1652" s="7">
        <v>2.4</v>
      </c>
      <c r="V1652" s="7">
        <v>1.8</v>
      </c>
    </row>
    <row r="1653" spans="2:22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  <c r="T1653" s="7">
        <v>147.19999999999999</v>
      </c>
      <c r="U1653" s="7">
        <v>129.19999999999999</v>
      </c>
      <c r="V1653" s="7">
        <v>164.6</v>
      </c>
    </row>
    <row r="1654" spans="2:22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  <c r="T1654" s="7">
        <v>20.7</v>
      </c>
      <c r="U1654" s="7">
        <v>18.600000000000001</v>
      </c>
      <c r="V1654" s="7">
        <v>16.3</v>
      </c>
    </row>
    <row r="1655" spans="2:22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  <c r="T1655" s="7">
        <v>56</v>
      </c>
      <c r="U1655" s="7">
        <v>41.9</v>
      </c>
      <c r="V1655" s="7">
        <v>43.3</v>
      </c>
    </row>
    <row r="1656" spans="2:22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</row>
    <row r="1657" spans="2:22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  <c r="T1657" s="7">
        <v>19</v>
      </c>
      <c r="U1657" s="7">
        <v>28.2</v>
      </c>
      <c r="V1657" s="7">
        <v>21.8</v>
      </c>
    </row>
    <row r="1658" spans="2:22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  <c r="T1658" s="7">
        <v>64.900000000000006</v>
      </c>
      <c r="U1658" s="7">
        <v>61.6</v>
      </c>
      <c r="V1658" s="7">
        <v>62.1</v>
      </c>
    </row>
    <row r="1659" spans="2:22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</row>
    <row r="1660" spans="2:22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  <c r="T1660" s="7">
        <v>0</v>
      </c>
      <c r="U1660" s="7">
        <v>0</v>
      </c>
      <c r="V1660" s="7">
        <v>6.5</v>
      </c>
    </row>
    <row r="1661" spans="2:22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  <c r="T1661" s="7">
        <v>106.7</v>
      </c>
      <c r="U1661" s="7">
        <v>101.2</v>
      </c>
      <c r="V1661" s="7">
        <v>100.3</v>
      </c>
    </row>
    <row r="1662" spans="2:22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  <c r="T1662" s="7">
        <v>225.6</v>
      </c>
      <c r="U1662" s="7">
        <v>206.4</v>
      </c>
      <c r="V1662" s="7">
        <v>179.9</v>
      </c>
    </row>
    <row r="1663" spans="2:22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  <c r="T1663" s="7">
        <v>16.8</v>
      </c>
      <c r="U1663" s="7">
        <v>12.9</v>
      </c>
      <c r="V1663" s="7">
        <v>9.1999999999999993</v>
      </c>
    </row>
    <row r="1664" spans="2:22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</row>
    <row r="1665" spans="2:22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  <c r="T1665" s="7">
        <v>91.4</v>
      </c>
      <c r="U1665" s="7">
        <v>46.6</v>
      </c>
      <c r="V1665" s="7">
        <v>6.5</v>
      </c>
    </row>
    <row r="1666" spans="2:22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</row>
    <row r="1667" spans="2:22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  <c r="T1667" s="7">
        <v>285.10000000000002</v>
      </c>
      <c r="U1667" s="7">
        <v>99.5</v>
      </c>
      <c r="V1667" s="7">
        <v>21.3</v>
      </c>
    </row>
    <row r="1668" spans="2:22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  <c r="T1668" s="7">
        <v>60.4</v>
      </c>
      <c r="U1668" s="7">
        <v>51.5</v>
      </c>
      <c r="V1668" s="7">
        <v>55.2</v>
      </c>
    </row>
    <row r="1669" spans="2:22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</row>
    <row r="1670" spans="2:22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  <c r="T1670" s="7">
        <v>230.8</v>
      </c>
      <c r="U1670" s="7">
        <v>289.8</v>
      </c>
      <c r="V1670" s="7">
        <v>269.89999999999998</v>
      </c>
    </row>
    <row r="1671" spans="2:22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  <c r="T1671" s="7">
        <v>8.6999999999999993</v>
      </c>
      <c r="U1671" s="7">
        <v>0</v>
      </c>
      <c r="V1671" s="7">
        <v>0</v>
      </c>
    </row>
    <row r="1672" spans="2:22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</row>
    <row r="1673" spans="2:22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  <c r="T1673" s="7">
        <v>37.1</v>
      </c>
      <c r="U1673" s="7">
        <v>25.7</v>
      </c>
      <c r="V1673" s="7">
        <v>21.9</v>
      </c>
    </row>
    <row r="1674" spans="2:22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  <c r="T1674" s="7">
        <v>87.1</v>
      </c>
      <c r="U1674" s="7">
        <v>84.8</v>
      </c>
      <c r="V1674" s="7">
        <v>94.6</v>
      </c>
    </row>
    <row r="1675" spans="2:22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</row>
    <row r="1676" spans="2:22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</row>
    <row r="1677" spans="2:22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</row>
    <row r="1678" spans="2:22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  <c r="T1678" s="7">
        <v>78.5</v>
      </c>
      <c r="U1678" s="7">
        <v>76.099999999999994</v>
      </c>
      <c r="V1678" s="7">
        <v>22.4</v>
      </c>
    </row>
    <row r="1679" spans="2:22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</row>
    <row r="1680" spans="2:22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</row>
    <row r="1681" spans="2:22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  <c r="T1681" s="7">
        <v>0</v>
      </c>
      <c r="U1681" s="7">
        <v>0</v>
      </c>
      <c r="V1681" s="7">
        <v>0</v>
      </c>
    </row>
    <row r="1682" spans="2:22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</row>
    <row r="1683" spans="2:22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  <c r="T1683" s="7">
        <v>155.69999999999999</v>
      </c>
      <c r="U1683" s="7">
        <v>98.6</v>
      </c>
      <c r="V1683" s="7">
        <v>48.7</v>
      </c>
    </row>
    <row r="1684" spans="2:22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  <c r="T1684" s="7">
        <v>188.3</v>
      </c>
      <c r="U1684" s="7">
        <v>160.69999999999999</v>
      </c>
      <c r="V1684" s="7">
        <v>170.8</v>
      </c>
    </row>
    <row r="1685" spans="2:22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</row>
    <row r="1686" spans="2:22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</row>
    <row r="1687" spans="2:22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  <c r="T1687" s="7">
        <v>70.099999999999994</v>
      </c>
      <c r="U1687" s="7">
        <v>82.6</v>
      </c>
      <c r="V1687" s="7">
        <v>75.7</v>
      </c>
    </row>
    <row r="1688" spans="2:22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  <c r="T1688" s="7">
        <v>16.100000000000001</v>
      </c>
      <c r="U1688" s="7">
        <v>9</v>
      </c>
      <c r="V1688" s="7">
        <v>7.9</v>
      </c>
    </row>
    <row r="1689" spans="2:22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  <c r="T1689" s="7">
        <v>248.7</v>
      </c>
      <c r="U1689" s="7">
        <v>0</v>
      </c>
      <c r="V1689" s="7">
        <v>0</v>
      </c>
    </row>
    <row r="1690" spans="2:22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  <c r="T1690" s="7">
        <v>54.2</v>
      </c>
      <c r="U1690" s="7">
        <v>50.1</v>
      </c>
      <c r="V1690" s="7">
        <v>31.1</v>
      </c>
    </row>
    <row r="1691" spans="2:22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</row>
    <row r="1692" spans="2:22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  <c r="T1692" s="7">
        <v>159.19999999999999</v>
      </c>
      <c r="U1692" s="7">
        <v>79.3</v>
      </c>
      <c r="V1692" s="7">
        <v>61.4</v>
      </c>
    </row>
    <row r="1693" spans="2:22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  <c r="T1693" s="7">
        <v>86.6</v>
      </c>
      <c r="U1693" s="7">
        <v>68.400000000000006</v>
      </c>
      <c r="V1693" s="7">
        <v>22.5</v>
      </c>
    </row>
    <row r="1694" spans="2:22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  <c r="T1694" s="7">
        <v>12</v>
      </c>
      <c r="U1694" s="7">
        <v>13.4</v>
      </c>
      <c r="V1694" s="7">
        <v>12.2</v>
      </c>
    </row>
    <row r="1695" spans="2:22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</row>
    <row r="1696" spans="2:22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  <c r="T1696" s="7">
        <v>169.3</v>
      </c>
      <c r="U1696" s="7">
        <v>175.8</v>
      </c>
      <c r="V1696" s="7">
        <v>179.8</v>
      </c>
    </row>
    <row r="1697" spans="2:22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</row>
    <row r="1698" spans="2:22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  <c r="T1698" s="7">
        <v>40.9</v>
      </c>
      <c r="U1698" s="7">
        <v>45.3</v>
      </c>
      <c r="V1698" s="7">
        <v>43.2</v>
      </c>
    </row>
    <row r="1699" spans="2:22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</row>
    <row r="1700" spans="2:22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6.5</v>
      </c>
      <c r="V1700" s="7">
        <v>0</v>
      </c>
    </row>
    <row r="1701" spans="2:22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</row>
    <row r="1702" spans="2:22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  <c r="T1702" s="7">
        <v>156.9</v>
      </c>
      <c r="U1702" s="7">
        <v>134.80000000000001</v>
      </c>
      <c r="V1702" s="7">
        <v>124.6</v>
      </c>
    </row>
    <row r="1703" spans="2:22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  <c r="T1703" s="7">
        <v>129.1</v>
      </c>
      <c r="U1703" s="7">
        <v>84.9</v>
      </c>
      <c r="V1703" s="7">
        <v>0</v>
      </c>
    </row>
    <row r="1704" spans="2:22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</row>
    <row r="1705" spans="2:22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</row>
    <row r="1706" spans="2:22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  <c r="T1706" s="7">
        <v>16.5</v>
      </c>
      <c r="U1706" s="7">
        <v>32.200000000000003</v>
      </c>
      <c r="V1706" s="7">
        <v>31.6</v>
      </c>
    </row>
    <row r="1707" spans="2:22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  <c r="T1707" s="7">
        <v>94.6</v>
      </c>
      <c r="U1707" s="7">
        <v>93</v>
      </c>
      <c r="V1707" s="7">
        <v>85.1</v>
      </c>
    </row>
    <row r="1708" spans="2:22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  <c r="T1708" s="7">
        <v>125</v>
      </c>
      <c r="U1708" s="7">
        <v>115.9</v>
      </c>
      <c r="V1708" s="7">
        <v>118</v>
      </c>
    </row>
    <row r="1709" spans="2:22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</row>
    <row r="1710" spans="2:22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  <c r="T1710" s="7">
        <v>155.5</v>
      </c>
      <c r="U1710" s="7">
        <v>127.8</v>
      </c>
      <c r="V1710" s="7">
        <v>126.4</v>
      </c>
    </row>
    <row r="1711" spans="2:22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  <c r="T1711" s="7">
        <v>136.19999999999999</v>
      </c>
      <c r="U1711" s="7">
        <v>129.4</v>
      </c>
      <c r="V1711" s="7">
        <v>133.5</v>
      </c>
    </row>
    <row r="1712" spans="2:22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  <c r="T1712" s="7">
        <v>48.7</v>
      </c>
      <c r="U1712" s="7">
        <v>48.7</v>
      </c>
      <c r="V1712" s="7">
        <v>54.2</v>
      </c>
    </row>
    <row r="1713" spans="2:22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  <c r="T1713" s="7">
        <v>81.5</v>
      </c>
      <c r="U1713" s="7">
        <v>72.599999999999994</v>
      </c>
      <c r="V1713" s="7">
        <v>84.8</v>
      </c>
    </row>
    <row r="1714" spans="2:22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  <c r="T1714" s="7">
        <v>112.2</v>
      </c>
      <c r="U1714" s="7">
        <v>238.7</v>
      </c>
      <c r="V1714" s="7">
        <v>280.2</v>
      </c>
    </row>
    <row r="1715" spans="2:22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  <c r="T1715" s="7">
        <v>49</v>
      </c>
      <c r="U1715" s="7">
        <v>53.1</v>
      </c>
      <c r="V1715" s="7">
        <v>12.9</v>
      </c>
    </row>
    <row r="1716" spans="2:22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  <c r="T1716" s="7">
        <v>29.3</v>
      </c>
      <c r="U1716" s="7">
        <v>39.299999999999997</v>
      </c>
      <c r="V1716" s="7">
        <v>42.7</v>
      </c>
    </row>
    <row r="1717" spans="2:22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  <c r="T1717" s="7">
        <v>39.4</v>
      </c>
      <c r="U1717" s="7">
        <v>45.6</v>
      </c>
      <c r="V1717" s="7">
        <v>35.6</v>
      </c>
    </row>
    <row r="1718" spans="2:22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  <c r="T1718" s="7">
        <v>35.6</v>
      </c>
      <c r="U1718" s="7">
        <v>33.5</v>
      </c>
      <c r="V1718" s="7">
        <v>33.200000000000003</v>
      </c>
    </row>
    <row r="1719" spans="2:22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  <c r="T1719" s="7">
        <v>25.4</v>
      </c>
      <c r="U1719" s="7">
        <v>27.1</v>
      </c>
      <c r="V1719" s="7">
        <v>26</v>
      </c>
    </row>
    <row r="1720" spans="2:22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  <c r="T1720" s="7">
        <v>28.1</v>
      </c>
      <c r="U1720" s="7">
        <v>23</v>
      </c>
      <c r="V1720" s="7">
        <v>25.2</v>
      </c>
    </row>
    <row r="1721" spans="2:22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  <c r="T1721" s="7">
        <v>15.2</v>
      </c>
      <c r="U1721" s="7">
        <v>26.9</v>
      </c>
      <c r="V1721" s="7">
        <v>43.8</v>
      </c>
    </row>
    <row r="1722" spans="2:22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</row>
    <row r="1723" spans="2:22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  <c r="T1723" s="7">
        <v>10.5</v>
      </c>
      <c r="U1723" s="7">
        <v>11.2</v>
      </c>
      <c r="V1723" s="7">
        <v>13.7</v>
      </c>
    </row>
    <row r="1724" spans="2:22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  <c r="T1724" s="7">
        <v>45.6</v>
      </c>
      <c r="U1724" s="7">
        <v>48.7</v>
      </c>
      <c r="V1724" s="7">
        <v>45.4</v>
      </c>
    </row>
    <row r="1725" spans="2:22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</row>
    <row r="1726" spans="2:22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  <c r="T1726" s="7">
        <v>59.2</v>
      </c>
      <c r="U1726" s="7">
        <v>47.9</v>
      </c>
      <c r="V1726" s="7">
        <v>48.6</v>
      </c>
    </row>
    <row r="1727" spans="2:22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  <c r="T1727" s="7">
        <v>50.3</v>
      </c>
      <c r="U1727" s="7">
        <v>44</v>
      </c>
      <c r="V1727" s="7">
        <v>50.4</v>
      </c>
    </row>
    <row r="1728" spans="2:22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  <c r="T1728" s="7">
        <v>97.2</v>
      </c>
      <c r="U1728" s="7">
        <v>110.8</v>
      </c>
      <c r="V1728" s="7">
        <v>110.4</v>
      </c>
    </row>
    <row r="1729" spans="2:22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  <c r="T1729" s="7">
        <v>31.8</v>
      </c>
      <c r="U1729" s="7">
        <v>29.8</v>
      </c>
      <c r="V1729" s="7">
        <v>41.2</v>
      </c>
    </row>
    <row r="1730" spans="2:22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  <c r="T1730" s="7">
        <v>218.6</v>
      </c>
      <c r="U1730" s="7">
        <v>235.4</v>
      </c>
      <c r="V1730" s="7">
        <v>226.5</v>
      </c>
    </row>
    <row r="1731" spans="2:22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  <c r="T1731" s="7">
        <v>121.1</v>
      </c>
      <c r="U1731" s="7">
        <v>67.7</v>
      </c>
      <c r="V1731" s="7">
        <v>131.6</v>
      </c>
    </row>
    <row r="1732" spans="2:22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  <c r="T1732" s="7">
        <v>159.1</v>
      </c>
      <c r="U1732" s="7">
        <v>165</v>
      </c>
      <c r="V1732" s="7">
        <v>144.69999999999999</v>
      </c>
    </row>
    <row r="1733" spans="2:22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  <c r="T1733" s="7">
        <v>16.600000000000001</v>
      </c>
      <c r="U1733" s="7">
        <v>38.1</v>
      </c>
      <c r="V1733" s="7">
        <v>41.2</v>
      </c>
    </row>
    <row r="1734" spans="2:22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</row>
    <row r="1735" spans="2:22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  <c r="T1735" s="7">
        <v>141.5</v>
      </c>
      <c r="U1735" s="7">
        <v>145.4</v>
      </c>
      <c r="V1735" s="7">
        <v>153.69999999999999</v>
      </c>
    </row>
    <row r="1736" spans="2:22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  <c r="T1736" s="7">
        <v>74.400000000000006</v>
      </c>
      <c r="U1736" s="7">
        <v>67.2</v>
      </c>
      <c r="V1736" s="7">
        <v>67.8</v>
      </c>
    </row>
    <row r="1737" spans="2:22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</row>
    <row r="1738" spans="2:22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  <c r="T1738" s="7">
        <v>137.6</v>
      </c>
      <c r="U1738" s="7">
        <v>131</v>
      </c>
      <c r="V1738" s="7">
        <v>133.80000000000001</v>
      </c>
    </row>
    <row r="1739" spans="2:22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  <c r="T1739" s="7">
        <v>60.2</v>
      </c>
      <c r="U1739" s="7">
        <v>63.3</v>
      </c>
      <c r="V1739" s="7">
        <v>66.599999999999994</v>
      </c>
    </row>
    <row r="1740" spans="2:22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  <c r="T1740" s="7">
        <v>88.7</v>
      </c>
      <c r="U1740" s="7">
        <v>78.400000000000006</v>
      </c>
      <c r="V1740" s="7">
        <v>90.7</v>
      </c>
    </row>
    <row r="1741" spans="2:22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  <c r="T1741" s="7">
        <v>12.6</v>
      </c>
      <c r="U1741" s="7">
        <v>34.5</v>
      </c>
      <c r="V1741" s="7">
        <v>25.1</v>
      </c>
    </row>
    <row r="1742" spans="2:22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  <c r="T1742" s="7">
        <v>185.7</v>
      </c>
      <c r="U1742" s="7">
        <v>28.6</v>
      </c>
      <c r="V1742" s="7">
        <v>32.799999999999997</v>
      </c>
    </row>
    <row r="1743" spans="2:22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  <c r="T1743" s="7">
        <v>60.6</v>
      </c>
      <c r="U1743" s="7">
        <v>67.2</v>
      </c>
      <c r="V1743" s="7">
        <v>82.9</v>
      </c>
    </row>
    <row r="1744" spans="2:22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  <c r="T1744" s="7">
        <v>98.5</v>
      </c>
      <c r="U1744" s="7">
        <v>81.7</v>
      </c>
      <c r="V1744" s="7">
        <v>84.9</v>
      </c>
    </row>
    <row r="1745" spans="2:22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  <c r="T1745" s="7">
        <v>59.5</v>
      </c>
      <c r="U1745" s="7">
        <v>72</v>
      </c>
      <c r="V1745" s="7">
        <v>100.1</v>
      </c>
    </row>
    <row r="1746" spans="2:22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  <c r="T1746" s="7">
        <v>402.3</v>
      </c>
      <c r="U1746" s="7">
        <v>477.3</v>
      </c>
      <c r="V1746" s="7">
        <v>513.29999999999995</v>
      </c>
    </row>
    <row r="1747" spans="2:22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</row>
    <row r="1748" spans="2:22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  <c r="T1748" s="7">
        <v>967.5</v>
      </c>
      <c r="U1748" s="7">
        <v>624.29999999999995</v>
      </c>
      <c r="V1748" s="7">
        <v>471.4</v>
      </c>
    </row>
    <row r="1749" spans="2:22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  <c r="T1749" s="7">
        <v>276.60000000000002</v>
      </c>
      <c r="U1749" s="7">
        <v>244.9</v>
      </c>
      <c r="V1749" s="7">
        <v>269.7</v>
      </c>
    </row>
    <row r="1750" spans="2:22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</row>
    <row r="1751" spans="2:22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  <c r="T1751" s="7">
        <v>18.600000000000001</v>
      </c>
      <c r="U1751" s="7">
        <v>18.399999999999999</v>
      </c>
      <c r="V1751" s="7">
        <v>15.4</v>
      </c>
    </row>
    <row r="1752" spans="2:22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  <c r="T1752" s="7">
        <v>4.7</v>
      </c>
      <c r="U1752" s="7">
        <v>4.7</v>
      </c>
      <c r="V1752" s="7">
        <v>4.7</v>
      </c>
    </row>
    <row r="1753" spans="2:22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</row>
    <row r="1754" spans="2:22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  <c r="T1754" s="7">
        <v>61.2</v>
      </c>
      <c r="U1754" s="7">
        <v>58</v>
      </c>
      <c r="V1754" s="7">
        <v>66.900000000000006</v>
      </c>
    </row>
    <row r="1755" spans="2:22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  <c r="T1755" s="7">
        <v>30.1</v>
      </c>
      <c r="U1755" s="7">
        <v>48</v>
      </c>
      <c r="V1755" s="7">
        <v>7.2</v>
      </c>
    </row>
    <row r="1756" spans="2:22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  <c r="T1756" s="7">
        <v>13.4</v>
      </c>
      <c r="U1756" s="7">
        <v>13.2</v>
      </c>
      <c r="V1756" s="7">
        <v>16.399999999999999</v>
      </c>
    </row>
    <row r="1757" spans="2:22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  <c r="T1757" s="7">
        <v>82.5</v>
      </c>
      <c r="U1757" s="7">
        <v>80.099999999999994</v>
      </c>
      <c r="V1757" s="7">
        <v>155.80000000000001</v>
      </c>
    </row>
    <row r="1758" spans="2:22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  <c r="T1758" s="7">
        <v>33.1</v>
      </c>
      <c r="U1758" s="7">
        <v>26.4</v>
      </c>
      <c r="V1758" s="7">
        <v>28.4</v>
      </c>
    </row>
    <row r="1759" spans="2:22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</row>
    <row r="1760" spans="2:22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  <c r="T1760" s="7">
        <v>3323.2</v>
      </c>
      <c r="U1760" s="7">
        <v>2135.6999999999998</v>
      </c>
      <c r="V1760" s="7">
        <v>2537.5</v>
      </c>
    </row>
    <row r="1761" spans="2:22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</row>
    <row r="1762" spans="2:22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  <c r="T1762" s="7">
        <v>79.5</v>
      </c>
      <c r="U1762" s="7">
        <v>88.2</v>
      </c>
      <c r="V1762" s="7">
        <v>87.5</v>
      </c>
    </row>
    <row r="1763" spans="2:22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</row>
    <row r="1764" spans="2:22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  <c r="T1764" s="7">
        <v>32</v>
      </c>
      <c r="U1764" s="7">
        <v>25.6</v>
      </c>
      <c r="V1764" s="7">
        <v>25.1</v>
      </c>
    </row>
    <row r="1765" spans="2:22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</row>
    <row r="1766" spans="2:22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</row>
    <row r="1767" spans="2:22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</row>
    <row r="1768" spans="2:22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</row>
    <row r="1769" spans="2:22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</row>
    <row r="1770" spans="2:22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  <c r="T1770" s="7">
        <v>49.3</v>
      </c>
      <c r="U1770" s="7">
        <v>44.7</v>
      </c>
      <c r="V1770" s="7">
        <v>43.3</v>
      </c>
    </row>
    <row r="1771" spans="2:22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  <c r="T1771" s="7">
        <v>46</v>
      </c>
      <c r="U1771" s="7">
        <v>44.6</v>
      </c>
      <c r="V1771" s="7">
        <v>55.5</v>
      </c>
    </row>
    <row r="1772" spans="2:22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  <c r="T1772" s="7">
        <v>113.3</v>
      </c>
      <c r="U1772" s="7">
        <v>130</v>
      </c>
      <c r="V1772" s="7">
        <v>121.8</v>
      </c>
    </row>
    <row r="1773" spans="2:22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  <c r="T1773" s="7">
        <v>56.2</v>
      </c>
      <c r="U1773" s="7">
        <v>51</v>
      </c>
      <c r="V1773" s="7">
        <v>0</v>
      </c>
    </row>
    <row r="1774" spans="2:22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  <c r="T1774" s="7">
        <v>32.9</v>
      </c>
      <c r="U1774" s="7">
        <v>28.1</v>
      </c>
      <c r="V1774" s="7">
        <v>45.8</v>
      </c>
    </row>
    <row r="1775" spans="2:22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  <c r="T1775" s="7">
        <v>173.1</v>
      </c>
      <c r="U1775" s="7">
        <v>254.5</v>
      </c>
      <c r="V1775" s="7">
        <v>243</v>
      </c>
    </row>
    <row r="1776" spans="2:22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  <c r="T1776" s="7">
        <v>102.8</v>
      </c>
      <c r="U1776" s="7">
        <v>107.2</v>
      </c>
      <c r="V1776" s="7">
        <v>123.7</v>
      </c>
    </row>
    <row r="1777" spans="2:22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  <c r="T1777" s="7">
        <v>336.9</v>
      </c>
      <c r="U1777" s="7">
        <v>367.8</v>
      </c>
      <c r="V1777" s="7">
        <v>364.8</v>
      </c>
    </row>
    <row r="1778" spans="2:22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  <c r="T1778" s="7">
        <v>126.1</v>
      </c>
      <c r="U1778" s="7">
        <v>126.4</v>
      </c>
      <c r="V1778" s="7">
        <v>139.5</v>
      </c>
    </row>
    <row r="1779" spans="2:22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</row>
    <row r="1780" spans="2:22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  <c r="T1780" s="7">
        <v>69.900000000000006</v>
      </c>
      <c r="U1780" s="7">
        <v>84.5</v>
      </c>
      <c r="V1780" s="7">
        <v>75.400000000000006</v>
      </c>
    </row>
    <row r="1781" spans="2:22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</row>
    <row r="1782" spans="2:22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  <c r="T1782" s="7">
        <v>92.3</v>
      </c>
      <c r="U1782" s="7">
        <v>92.3</v>
      </c>
      <c r="V1782" s="7">
        <v>84.3</v>
      </c>
    </row>
    <row r="1783" spans="2:22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  <c r="T1783" s="7">
        <v>54.7</v>
      </c>
      <c r="U1783" s="7">
        <v>60.9</v>
      </c>
      <c r="V1783" s="7">
        <v>57</v>
      </c>
    </row>
    <row r="1784" spans="2:22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  <c r="T1784" s="7">
        <v>67.900000000000006</v>
      </c>
      <c r="U1784" s="7">
        <v>68.5</v>
      </c>
      <c r="V1784" s="7">
        <v>77.400000000000006</v>
      </c>
    </row>
    <row r="1785" spans="2:22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  <c r="T1785" s="7">
        <v>114.9</v>
      </c>
      <c r="U1785" s="7">
        <v>119.5</v>
      </c>
      <c r="V1785" s="7">
        <v>130</v>
      </c>
    </row>
    <row r="1786" spans="2:22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  <c r="T1786" s="7">
        <v>14</v>
      </c>
      <c r="U1786" s="7">
        <v>0</v>
      </c>
      <c r="V1786" s="7">
        <v>0</v>
      </c>
    </row>
    <row r="1787" spans="2:22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  <c r="T1787" s="7">
        <v>35.1</v>
      </c>
      <c r="U1787" s="7">
        <v>41</v>
      </c>
      <c r="V1787" s="7">
        <v>46.5</v>
      </c>
    </row>
    <row r="1788" spans="2:22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  <c r="T1788" s="7">
        <v>55.6</v>
      </c>
      <c r="U1788" s="7">
        <v>54.1</v>
      </c>
      <c r="V1788" s="7">
        <v>53.9</v>
      </c>
    </row>
    <row r="1789" spans="2:22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</row>
    <row r="1790" spans="2:22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</row>
    <row r="1791" spans="2:22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  <c r="T1791" s="7">
        <v>174.9</v>
      </c>
      <c r="U1791" s="7">
        <v>178.8</v>
      </c>
      <c r="V1791" s="7">
        <v>215.1</v>
      </c>
    </row>
    <row r="1792" spans="2:22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  <c r="T1792" s="7">
        <v>130.69999999999999</v>
      </c>
      <c r="U1792" s="7">
        <v>137.19999999999999</v>
      </c>
      <c r="V1792" s="7">
        <v>152.5</v>
      </c>
    </row>
    <row r="1793" spans="2:22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  <c r="T1793" s="7">
        <v>51.3</v>
      </c>
      <c r="U1793" s="7">
        <v>56.3</v>
      </c>
      <c r="V1793" s="7">
        <v>45</v>
      </c>
    </row>
    <row r="1794" spans="2:22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  <c r="T1794" s="7">
        <v>33.200000000000003</v>
      </c>
      <c r="U1794" s="7">
        <v>27.3</v>
      </c>
      <c r="V1794" s="7">
        <v>24.5</v>
      </c>
    </row>
    <row r="1795" spans="2:22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  <c r="T1795" s="7">
        <v>10.7</v>
      </c>
      <c r="U1795" s="7">
        <v>0</v>
      </c>
      <c r="V1795" s="7">
        <v>1.3</v>
      </c>
    </row>
    <row r="1796" spans="2:22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  <c r="T1796" s="7">
        <v>42</v>
      </c>
      <c r="U1796" s="7">
        <v>31.9</v>
      </c>
      <c r="V1796" s="7">
        <v>31.9</v>
      </c>
    </row>
    <row r="1797" spans="2:22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</row>
    <row r="1798" spans="2:22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  <c r="T1798" s="7">
        <v>59.7</v>
      </c>
      <c r="U1798" s="7">
        <v>0</v>
      </c>
      <c r="V1798" s="7">
        <v>0</v>
      </c>
    </row>
    <row r="1799" spans="2:22" x14ac:dyDescent="0.2">
      <c r="B1799" s="5" t="s">
        <v>809</v>
      </c>
      <c r="C1799" s="5">
        <v>1014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  <c r="T1799" s="7">
        <v>64.599999999999994</v>
      </c>
      <c r="U1799" s="7">
        <v>71.7</v>
      </c>
      <c r="V1799" s="7">
        <v>74.3</v>
      </c>
    </row>
    <row r="1800" spans="2:22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</row>
    <row r="1801" spans="2:22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  <c r="T1801" s="7">
        <v>87.9</v>
      </c>
      <c r="U1801" s="7">
        <v>149.69999999999999</v>
      </c>
      <c r="V1801" s="7">
        <v>114.2</v>
      </c>
    </row>
    <row r="1802" spans="2:22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  <c r="T1802" s="7">
        <v>85.9</v>
      </c>
      <c r="U1802" s="7">
        <v>86.6</v>
      </c>
      <c r="V1802" s="7">
        <v>94.3</v>
      </c>
    </row>
    <row r="1803" spans="2:22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  <c r="T1803" s="7">
        <v>18.399999999999999</v>
      </c>
      <c r="U1803" s="7">
        <v>28.1</v>
      </c>
      <c r="V1803" s="7">
        <v>26.5</v>
      </c>
    </row>
    <row r="1804" spans="2:22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  <c r="T1804" s="7">
        <v>93.1</v>
      </c>
      <c r="U1804" s="7">
        <v>98.4</v>
      </c>
      <c r="V1804" s="7">
        <v>95.8</v>
      </c>
    </row>
    <row r="1805" spans="2:22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  <c r="T1805" s="7">
        <v>25.9</v>
      </c>
      <c r="U1805" s="7">
        <v>34.6</v>
      </c>
      <c r="V1805" s="7">
        <v>69.3</v>
      </c>
    </row>
    <row r="1806" spans="2:22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</row>
    <row r="1807" spans="2:22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  <c r="T1807" s="7">
        <v>55.5</v>
      </c>
      <c r="U1807" s="7">
        <v>51.2</v>
      </c>
      <c r="V1807" s="7">
        <v>48.8</v>
      </c>
    </row>
    <row r="1808" spans="2:22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</row>
    <row r="1809" spans="2:22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  <c r="T1809" s="7">
        <v>44</v>
      </c>
      <c r="U1809" s="7">
        <v>43.2</v>
      </c>
      <c r="V1809" s="7">
        <v>39.200000000000003</v>
      </c>
    </row>
    <row r="1810" spans="2:22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  <c r="T1810" s="7">
        <v>66.900000000000006</v>
      </c>
      <c r="U1810" s="7">
        <v>90.8</v>
      </c>
      <c r="V1810" s="7">
        <v>98.7</v>
      </c>
    </row>
    <row r="1811" spans="2:22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  <c r="T1811" s="7">
        <v>54.9</v>
      </c>
      <c r="U1811" s="7">
        <v>56.5</v>
      </c>
      <c r="V1811" s="7">
        <v>54.2</v>
      </c>
    </row>
    <row r="1812" spans="2:22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  <c r="T1812" s="7">
        <v>27.5</v>
      </c>
      <c r="U1812" s="7">
        <v>34.4</v>
      </c>
      <c r="V1812" s="7">
        <v>46.8</v>
      </c>
    </row>
    <row r="1813" spans="2:22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  <c r="T1813" s="7">
        <v>146.6</v>
      </c>
      <c r="U1813" s="7">
        <v>148.30000000000001</v>
      </c>
      <c r="V1813" s="7">
        <v>146.80000000000001</v>
      </c>
    </row>
    <row r="1814" spans="2:22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  <c r="T1814" s="7">
        <v>67.3</v>
      </c>
      <c r="U1814" s="7">
        <v>66.5</v>
      </c>
      <c r="V1814" s="7">
        <v>63.6</v>
      </c>
    </row>
    <row r="1815" spans="2:22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  <c r="T1815" s="7">
        <v>25.2</v>
      </c>
      <c r="U1815" s="7">
        <v>33.200000000000003</v>
      </c>
      <c r="V1815" s="7">
        <v>31.8</v>
      </c>
    </row>
    <row r="1816" spans="2:22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</row>
    <row r="1817" spans="2:22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  <c r="T1817" s="7">
        <v>34</v>
      </c>
      <c r="U1817" s="7">
        <v>37.299999999999997</v>
      </c>
      <c r="V1817" s="7">
        <v>66</v>
      </c>
    </row>
    <row r="1818" spans="2:22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  <c r="T1818" s="7">
        <v>93.1</v>
      </c>
      <c r="U1818" s="7">
        <v>90.6</v>
      </c>
      <c r="V1818" s="7">
        <v>93.2</v>
      </c>
    </row>
    <row r="1819" spans="2:22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</row>
    <row r="1820" spans="2:22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4</v>
      </c>
      <c r="U1820" s="7">
        <v>0</v>
      </c>
      <c r="V1820" s="7">
        <v>0</v>
      </c>
    </row>
    <row r="1821" spans="2:22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</row>
    <row r="1822" spans="2:22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  <c r="T1822" s="7">
        <v>57.8</v>
      </c>
      <c r="U1822" s="7">
        <v>31.4</v>
      </c>
      <c r="V1822" s="7">
        <v>28.9</v>
      </c>
    </row>
    <row r="1823" spans="2:22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  <c r="T1823" s="7">
        <v>0</v>
      </c>
      <c r="U1823" s="7">
        <v>0</v>
      </c>
      <c r="V1823" s="7">
        <v>0</v>
      </c>
    </row>
    <row r="1824" spans="2:22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  <c r="T1824" s="7">
        <v>23.7</v>
      </c>
      <c r="U1824" s="7">
        <v>22.6</v>
      </c>
      <c r="V1824" s="7">
        <v>24.9</v>
      </c>
    </row>
    <row r="1825" spans="2:22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  <c r="T1825" s="7">
        <v>40.5</v>
      </c>
      <c r="U1825" s="7">
        <v>43.1</v>
      </c>
      <c r="V1825" s="7">
        <v>54.6</v>
      </c>
    </row>
    <row r="1826" spans="2:22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  <c r="T1826" s="7">
        <v>0</v>
      </c>
      <c r="U1826" s="7">
        <v>0</v>
      </c>
      <c r="V1826" s="7">
        <v>0</v>
      </c>
    </row>
    <row r="1827" spans="2:22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  <c r="T1827" s="7">
        <v>189.5</v>
      </c>
      <c r="U1827" s="7">
        <v>198.8</v>
      </c>
      <c r="V1827" s="7">
        <v>204.6</v>
      </c>
    </row>
    <row r="1828" spans="2:22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</row>
    <row r="1829" spans="2:22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</row>
    <row r="1830" spans="2:22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  <c r="T1830" s="7">
        <v>129.5</v>
      </c>
      <c r="U1830" s="7">
        <v>28.8</v>
      </c>
      <c r="V1830" s="7">
        <v>0</v>
      </c>
    </row>
    <row r="1831" spans="2:22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  <c r="T1831" s="7">
        <v>110.9</v>
      </c>
      <c r="U1831" s="7">
        <v>79.8</v>
      </c>
      <c r="V1831" s="7">
        <v>67.2</v>
      </c>
    </row>
    <row r="1832" spans="2:22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  <c r="T1832" s="7">
        <v>0</v>
      </c>
      <c r="U1832" s="7">
        <v>10.6</v>
      </c>
      <c r="V1832" s="7">
        <v>20.8</v>
      </c>
    </row>
    <row r="1833" spans="2:22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64.099999999999994</v>
      </c>
      <c r="V1833" s="7">
        <v>64.400000000000006</v>
      </c>
    </row>
    <row r="1834" spans="2:22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  <c r="T1834" s="7">
        <v>33.6</v>
      </c>
      <c r="U1834" s="7">
        <v>30.6</v>
      </c>
      <c r="V1834" s="7">
        <v>47.4</v>
      </c>
    </row>
    <row r="1835" spans="2:22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</row>
    <row r="1836" spans="2:22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  <c r="T1836" s="7">
        <v>27.2</v>
      </c>
      <c r="U1836" s="7">
        <v>34.700000000000003</v>
      </c>
      <c r="V1836" s="7">
        <v>54</v>
      </c>
    </row>
    <row r="1837" spans="2:22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</row>
    <row r="1838" spans="2:22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  <c r="T1838" s="7">
        <v>4.0999999999999996</v>
      </c>
      <c r="U1838" s="7">
        <v>3.2</v>
      </c>
      <c r="V1838" s="7">
        <v>0</v>
      </c>
    </row>
    <row r="1839" spans="2:22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  <c r="T1839" s="7">
        <v>26.6</v>
      </c>
      <c r="U1839" s="7">
        <v>26.9</v>
      </c>
      <c r="V1839" s="7">
        <v>23.9</v>
      </c>
    </row>
    <row r="1840" spans="2:22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</row>
    <row r="1841" spans="2:22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  <c r="T1841" s="7">
        <v>37.799999999999997</v>
      </c>
      <c r="U1841" s="7">
        <v>43.2</v>
      </c>
      <c r="V1841" s="7">
        <v>46.9</v>
      </c>
    </row>
    <row r="1842" spans="2:22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  <c r="T1842" s="7">
        <v>495.2</v>
      </c>
      <c r="U1842" s="7">
        <v>0</v>
      </c>
      <c r="V1842" s="7">
        <v>0</v>
      </c>
    </row>
    <row r="1843" spans="2:22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  <c r="T1843" s="7">
        <v>30</v>
      </c>
      <c r="U1843" s="7">
        <v>37.5</v>
      </c>
      <c r="V1843" s="7">
        <v>42.5</v>
      </c>
    </row>
    <row r="1844" spans="2:22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  <c r="T1844" s="7">
        <v>46.8</v>
      </c>
      <c r="U1844" s="7">
        <v>53.4</v>
      </c>
      <c r="V1844" s="7">
        <v>58.9</v>
      </c>
    </row>
    <row r="1845" spans="2:22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</row>
    <row r="1846" spans="2:22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  <c r="T1846" s="7">
        <v>1000.2</v>
      </c>
      <c r="U1846" s="7">
        <v>755.6</v>
      </c>
      <c r="V1846" s="7">
        <v>811.4</v>
      </c>
    </row>
    <row r="1847" spans="2:22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  <c r="T1847" s="7">
        <v>49.9</v>
      </c>
      <c r="U1847" s="7">
        <v>93.8</v>
      </c>
      <c r="V1847" s="7">
        <v>57.4</v>
      </c>
    </row>
    <row r="1848" spans="2:22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  <c r="T1848" s="7">
        <v>57.7</v>
      </c>
      <c r="U1848" s="7">
        <v>70.099999999999994</v>
      </c>
      <c r="V1848" s="7">
        <v>65</v>
      </c>
    </row>
    <row r="1849" spans="2:22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  <c r="T1849" s="7">
        <v>24.1</v>
      </c>
      <c r="U1849" s="7">
        <v>28.5</v>
      </c>
      <c r="V1849" s="7">
        <v>29.3</v>
      </c>
    </row>
    <row r="1850" spans="2:22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  <c r="T1850" s="7">
        <v>33.1</v>
      </c>
      <c r="U1850" s="7">
        <v>34.4</v>
      </c>
      <c r="V1850" s="7">
        <v>31.6</v>
      </c>
    </row>
    <row r="1851" spans="2:22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  <c r="T1851" s="7">
        <v>13.8</v>
      </c>
      <c r="U1851" s="7">
        <v>15.3</v>
      </c>
      <c r="V1851" s="7">
        <v>14.9</v>
      </c>
    </row>
    <row r="1852" spans="2:22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  <c r="T1852" s="7">
        <v>37.6</v>
      </c>
      <c r="U1852" s="7">
        <v>35.9</v>
      </c>
      <c r="V1852" s="7">
        <v>31.5</v>
      </c>
    </row>
    <row r="1853" spans="2:22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  <c r="T1853" s="7">
        <v>26.5</v>
      </c>
      <c r="U1853" s="7">
        <v>30.6</v>
      </c>
      <c r="V1853" s="7">
        <v>30.2</v>
      </c>
    </row>
    <row r="1854" spans="2:22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  <c r="T1854" s="7">
        <v>81.5</v>
      </c>
      <c r="U1854" s="7">
        <v>70.900000000000006</v>
      </c>
      <c r="V1854" s="7">
        <v>69.099999999999994</v>
      </c>
    </row>
    <row r="1855" spans="2:22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</row>
    <row r="1856" spans="2:22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  <c r="T1856" s="7">
        <v>33.299999999999997</v>
      </c>
      <c r="U1856" s="7">
        <v>27.7</v>
      </c>
      <c r="V1856" s="7">
        <v>24.2</v>
      </c>
    </row>
    <row r="1857" spans="2:22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</row>
    <row r="1858" spans="2:22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</row>
    <row r="1859" spans="2:22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  <c r="T1859" s="7">
        <v>19.399999999999999</v>
      </c>
      <c r="U1859" s="7">
        <v>0</v>
      </c>
      <c r="V1859" s="7">
        <v>0</v>
      </c>
    </row>
    <row r="1860" spans="2:22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  <c r="T1860" s="7">
        <v>55</v>
      </c>
      <c r="U1860" s="7">
        <v>67.7</v>
      </c>
      <c r="V1860" s="7">
        <v>59.8</v>
      </c>
    </row>
    <row r="1861" spans="2:22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  <c r="T1861" s="7">
        <v>94.4</v>
      </c>
      <c r="U1861" s="7">
        <v>92.3</v>
      </c>
      <c r="V1861" s="7">
        <v>102.1</v>
      </c>
    </row>
    <row r="1862" spans="2:22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  <c r="T1862" s="7">
        <v>157.6</v>
      </c>
      <c r="U1862" s="7">
        <v>184.2</v>
      </c>
      <c r="V1862" s="7">
        <v>197.3</v>
      </c>
    </row>
    <row r="1863" spans="2:22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  <c r="T1863" s="7">
        <v>40.299999999999997</v>
      </c>
      <c r="U1863" s="7">
        <v>97.1</v>
      </c>
      <c r="V1863" s="7">
        <v>109.1</v>
      </c>
    </row>
    <row r="1864" spans="2:22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  <c r="T1864" s="7">
        <v>33.799999999999997</v>
      </c>
      <c r="U1864" s="7">
        <v>25.2</v>
      </c>
      <c r="V1864" s="7">
        <v>30.6</v>
      </c>
    </row>
    <row r="1865" spans="2:22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</row>
    <row r="1866" spans="2:22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  <c r="T1866" s="7">
        <v>36.4</v>
      </c>
      <c r="U1866" s="7">
        <v>40</v>
      </c>
      <c r="V1866" s="7">
        <v>47.9</v>
      </c>
    </row>
    <row r="1867" spans="2:22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  <c r="T1867" s="7">
        <v>85.9</v>
      </c>
      <c r="U1867" s="7">
        <v>88.2</v>
      </c>
      <c r="V1867" s="7">
        <v>92.9</v>
      </c>
    </row>
    <row r="1868" spans="2:22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  <c r="T1868" s="7">
        <v>587.4</v>
      </c>
      <c r="U1868" s="7">
        <v>701</v>
      </c>
      <c r="V1868" s="7">
        <v>797</v>
      </c>
    </row>
    <row r="1869" spans="2:22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  <c r="T1869" s="7">
        <v>42.7</v>
      </c>
      <c r="U1869" s="7">
        <v>34.9</v>
      </c>
      <c r="V1869" s="7">
        <v>48.1</v>
      </c>
    </row>
    <row r="1870" spans="2:22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  <c r="T1870" s="7">
        <v>35.1</v>
      </c>
      <c r="U1870" s="7">
        <v>14.9</v>
      </c>
      <c r="V1870" s="7">
        <v>14.4</v>
      </c>
    </row>
    <row r="1871" spans="2:22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  <c r="T1871" s="7">
        <v>53.4</v>
      </c>
      <c r="U1871" s="7">
        <v>68.400000000000006</v>
      </c>
      <c r="V1871" s="7">
        <v>78.5</v>
      </c>
    </row>
    <row r="1872" spans="2:22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</row>
    <row r="1873" spans="2:22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  <c r="T1873" s="7">
        <v>58.1</v>
      </c>
      <c r="U1873" s="7">
        <v>52.8</v>
      </c>
      <c r="V1873" s="7">
        <v>75</v>
      </c>
    </row>
    <row r="1874" spans="2:22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  <c r="T1874" s="7">
        <v>102.9</v>
      </c>
      <c r="U1874" s="7">
        <v>98.7</v>
      </c>
      <c r="V1874" s="7">
        <v>104.3</v>
      </c>
    </row>
    <row r="1875" spans="2:22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  <c r="T1875" s="7">
        <v>108.9</v>
      </c>
      <c r="U1875" s="7">
        <v>100.3</v>
      </c>
      <c r="V1875" s="7">
        <v>95.5</v>
      </c>
    </row>
    <row r="1876" spans="2:22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  <c r="T1876" s="7">
        <v>324.89999999999998</v>
      </c>
      <c r="U1876" s="7">
        <v>317.89999999999998</v>
      </c>
      <c r="V1876" s="7">
        <v>343.9</v>
      </c>
    </row>
    <row r="1877" spans="2:22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  <c r="T1877" s="7">
        <v>41.5</v>
      </c>
      <c r="U1877" s="7">
        <v>41.2</v>
      </c>
      <c r="V1877" s="7">
        <v>50.5</v>
      </c>
    </row>
    <row r="1878" spans="2:22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  <c r="T1878" s="7">
        <v>61.3</v>
      </c>
      <c r="U1878" s="7">
        <v>64.8</v>
      </c>
      <c r="V1878" s="7">
        <v>68.2</v>
      </c>
    </row>
    <row r="1879" spans="2:22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  <c r="T1879" s="7">
        <v>140.9</v>
      </c>
      <c r="U1879" s="7">
        <v>147.6</v>
      </c>
      <c r="V1879" s="7">
        <v>159.4</v>
      </c>
    </row>
    <row r="1880" spans="2:22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</row>
    <row r="1881" spans="2:22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  <c r="T1881" s="7">
        <v>36.200000000000003</v>
      </c>
      <c r="U1881" s="7">
        <v>32.700000000000003</v>
      </c>
      <c r="V1881" s="7">
        <v>50.9</v>
      </c>
    </row>
    <row r="1882" spans="2:22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  <c r="T1882" s="7">
        <v>0</v>
      </c>
      <c r="U1882" s="7">
        <v>0</v>
      </c>
      <c r="V1882" s="7">
        <v>0</v>
      </c>
    </row>
    <row r="1883" spans="2:22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  <c r="T1883" s="7">
        <v>32.200000000000003</v>
      </c>
      <c r="U1883" s="7">
        <v>45.5</v>
      </c>
      <c r="V1883" s="7">
        <v>0</v>
      </c>
    </row>
    <row r="1884" spans="2:22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  <c r="T1884" s="7">
        <v>38.5</v>
      </c>
      <c r="U1884" s="7">
        <v>41.9</v>
      </c>
      <c r="V1884" s="7">
        <v>36.4</v>
      </c>
    </row>
    <row r="1885" spans="2:22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  <c r="T1885" s="7">
        <v>65.900000000000006</v>
      </c>
      <c r="U1885" s="7">
        <v>66.8</v>
      </c>
      <c r="V1885" s="7">
        <v>65.2</v>
      </c>
    </row>
    <row r="1886" spans="2:22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  <c r="T1886" s="7">
        <v>69.400000000000006</v>
      </c>
      <c r="U1886" s="7">
        <v>72.8</v>
      </c>
      <c r="V1886" s="7">
        <v>83</v>
      </c>
    </row>
    <row r="1887" spans="2:22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  <c r="T1887" s="7">
        <v>19.5</v>
      </c>
      <c r="U1887" s="7">
        <v>19.100000000000001</v>
      </c>
      <c r="V1887" s="7">
        <v>18.899999999999999</v>
      </c>
    </row>
    <row r="1888" spans="2:22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  <c r="T1888" s="7">
        <v>0</v>
      </c>
      <c r="U1888" s="7">
        <v>0</v>
      </c>
      <c r="V1888" s="7">
        <v>0</v>
      </c>
    </row>
    <row r="1889" spans="2:22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</row>
    <row r="1890" spans="2:22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</row>
    <row r="1891" spans="2:22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</row>
    <row r="1892" spans="2:22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  <c r="T1892" s="7">
        <v>42.4</v>
      </c>
      <c r="U1892" s="7">
        <v>45.8</v>
      </c>
      <c r="V1892" s="7">
        <v>62.5</v>
      </c>
    </row>
    <row r="1893" spans="2:22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  <c r="T1893" s="7">
        <v>45.6</v>
      </c>
      <c r="U1893" s="7">
        <v>44.5</v>
      </c>
      <c r="V1893" s="7">
        <v>48.2</v>
      </c>
    </row>
    <row r="1894" spans="2:22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  <c r="T1894" s="7">
        <v>19.100000000000001</v>
      </c>
      <c r="U1894" s="7">
        <v>18.600000000000001</v>
      </c>
      <c r="V1894" s="7">
        <v>12.1</v>
      </c>
    </row>
    <row r="1895" spans="2:22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</row>
    <row r="1896" spans="2:22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  <c r="T1896" s="7">
        <v>82.8</v>
      </c>
      <c r="U1896" s="7">
        <v>78</v>
      </c>
      <c r="V1896" s="7">
        <v>73.7</v>
      </c>
    </row>
    <row r="1897" spans="2:22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  <c r="T1897" s="7">
        <v>109.8</v>
      </c>
      <c r="U1897" s="7">
        <v>112.6</v>
      </c>
      <c r="V1897" s="7">
        <v>123.7</v>
      </c>
    </row>
    <row r="1898" spans="2:22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  <c r="T1898" s="7">
        <v>110.5</v>
      </c>
      <c r="U1898" s="7">
        <v>115.9</v>
      </c>
      <c r="V1898" s="7">
        <v>113.2</v>
      </c>
    </row>
    <row r="1899" spans="2:22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  <c r="T1899" s="7">
        <v>7.9</v>
      </c>
      <c r="U1899" s="7">
        <v>4.2</v>
      </c>
      <c r="V1899" s="7">
        <v>5.2</v>
      </c>
    </row>
    <row r="1900" spans="2:22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</row>
    <row r="1901" spans="2:22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</row>
    <row r="1902" spans="2:22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</row>
    <row r="1903" spans="2:22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  <c r="T1903" s="7">
        <v>24.4</v>
      </c>
      <c r="U1903" s="7">
        <v>27.9</v>
      </c>
      <c r="V1903" s="7">
        <v>32</v>
      </c>
    </row>
    <row r="1904" spans="2:22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  <c r="T1904" s="7">
        <v>65.900000000000006</v>
      </c>
      <c r="U1904" s="7">
        <v>83.6</v>
      </c>
      <c r="V1904" s="7">
        <v>69.400000000000006</v>
      </c>
    </row>
    <row r="1905" spans="2:22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  <c r="T1905" s="7">
        <v>165.8</v>
      </c>
      <c r="U1905" s="7">
        <v>220.2</v>
      </c>
      <c r="V1905" s="7">
        <v>262.10000000000002</v>
      </c>
    </row>
    <row r="1906" spans="2:22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  <c r="T1906" s="7">
        <v>28.3</v>
      </c>
      <c r="U1906" s="7">
        <v>0</v>
      </c>
      <c r="V1906" s="7">
        <v>78.599999999999994</v>
      </c>
    </row>
    <row r="1907" spans="2:22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  <c r="T1907" s="7">
        <v>111.4</v>
      </c>
      <c r="U1907" s="7">
        <v>90.7</v>
      </c>
      <c r="V1907" s="7">
        <v>105.9</v>
      </c>
    </row>
    <row r="1908" spans="2:22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</row>
    <row r="1909" spans="2:22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  <c r="T1909" s="7">
        <v>79.3</v>
      </c>
      <c r="U1909" s="7">
        <v>92.7</v>
      </c>
      <c r="V1909" s="7">
        <v>82.3</v>
      </c>
    </row>
    <row r="1910" spans="2:22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  <c r="T1910" s="7">
        <v>24.4</v>
      </c>
      <c r="U1910" s="7">
        <v>24.3</v>
      </c>
      <c r="V1910" s="7">
        <v>30.5</v>
      </c>
    </row>
    <row r="1911" spans="2:22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</row>
    <row r="1912" spans="2:22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</row>
    <row r="1913" spans="2:22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  <c r="T1913" s="7">
        <v>17.8</v>
      </c>
      <c r="U1913" s="7">
        <v>17</v>
      </c>
      <c r="V1913" s="7">
        <v>24.1</v>
      </c>
    </row>
    <row r="1914" spans="2:22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  <c r="T1914" s="7">
        <v>53.4</v>
      </c>
      <c r="U1914" s="7">
        <v>38.5</v>
      </c>
      <c r="V1914" s="7">
        <v>45.3</v>
      </c>
    </row>
    <row r="1915" spans="2:22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  <c r="T1915" s="7">
        <v>97.9</v>
      </c>
      <c r="U1915" s="7">
        <v>75.400000000000006</v>
      </c>
      <c r="V1915" s="7">
        <v>89.8</v>
      </c>
    </row>
    <row r="1916" spans="2:22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  <c r="T1916" s="7">
        <v>37.4</v>
      </c>
      <c r="U1916" s="7">
        <v>34.299999999999997</v>
      </c>
      <c r="V1916" s="7">
        <v>28.6</v>
      </c>
    </row>
    <row r="1917" spans="2:22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  <c r="T1917" s="7">
        <v>69</v>
      </c>
      <c r="U1917" s="7">
        <v>62.8</v>
      </c>
      <c r="V1917" s="7">
        <v>67.099999999999994</v>
      </c>
    </row>
    <row r="1918" spans="2:22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</row>
    <row r="1919" spans="2:22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  <c r="T1919" s="7">
        <v>19.5</v>
      </c>
      <c r="U1919" s="7">
        <v>23.7</v>
      </c>
      <c r="V1919" s="7">
        <v>29.2</v>
      </c>
    </row>
    <row r="1920" spans="2:22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  <c r="T1920" s="7">
        <v>0</v>
      </c>
      <c r="U1920" s="7">
        <v>0</v>
      </c>
      <c r="V1920" s="7">
        <v>0</v>
      </c>
    </row>
    <row r="1921" spans="2:22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</row>
    <row r="1922" spans="2:22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  <c r="T1922" s="7">
        <v>10.199999999999999</v>
      </c>
      <c r="U1922" s="7">
        <v>5.8</v>
      </c>
      <c r="V1922" s="7">
        <v>2</v>
      </c>
    </row>
    <row r="1923" spans="2:22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  <c r="T1923" s="7">
        <v>52.7</v>
      </c>
      <c r="U1923" s="7">
        <v>54.3</v>
      </c>
      <c r="V1923" s="7">
        <v>52.2</v>
      </c>
    </row>
    <row r="1924" spans="2:22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  <c r="T1924" s="7">
        <v>40.5</v>
      </c>
      <c r="U1924" s="7">
        <v>34.299999999999997</v>
      </c>
      <c r="V1924" s="7">
        <v>0</v>
      </c>
    </row>
    <row r="1925" spans="2:22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  <c r="T1925" s="7">
        <v>25.7</v>
      </c>
      <c r="U1925" s="7">
        <v>0</v>
      </c>
      <c r="V1925" s="7">
        <v>3.5</v>
      </c>
    </row>
    <row r="1926" spans="2:22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  <c r="T1926" s="7">
        <v>43.5</v>
      </c>
      <c r="U1926" s="7">
        <v>40.799999999999997</v>
      </c>
      <c r="V1926" s="7">
        <v>34.4</v>
      </c>
    </row>
    <row r="1927" spans="2:22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</row>
    <row r="1928" spans="2:22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  <c r="T1928" s="7">
        <v>24.9</v>
      </c>
      <c r="U1928" s="7">
        <v>36.200000000000003</v>
      </c>
      <c r="V1928" s="7">
        <v>53.2</v>
      </c>
    </row>
    <row r="1929" spans="2:22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  <c r="T1929" s="7">
        <v>93.1</v>
      </c>
      <c r="U1929" s="7">
        <v>99.3</v>
      </c>
      <c r="V1929" s="7">
        <v>101.9</v>
      </c>
    </row>
    <row r="1930" spans="2:22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</row>
    <row r="1931" spans="2:22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</row>
    <row r="1932" spans="2:22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</row>
    <row r="1933" spans="2:22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  <c r="T1933" s="7">
        <v>0</v>
      </c>
      <c r="U1933" s="7">
        <v>0</v>
      </c>
      <c r="V1933" s="7">
        <v>0</v>
      </c>
    </row>
    <row r="1934" spans="2:22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</row>
    <row r="1935" spans="2:22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  <c r="T1935" s="7">
        <v>70.2</v>
      </c>
      <c r="U1935" s="7">
        <v>83.2</v>
      </c>
      <c r="V1935" s="7">
        <v>19.399999999999999</v>
      </c>
    </row>
    <row r="1936" spans="2:22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</row>
    <row r="1937" spans="2:22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  <c r="T1937" s="7">
        <v>2360.9</v>
      </c>
      <c r="U1937" s="7">
        <v>2650.6</v>
      </c>
      <c r="V1937" s="7">
        <v>3009.9</v>
      </c>
    </row>
    <row r="1938" spans="2:22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  <c r="T1938" s="7">
        <v>13.8</v>
      </c>
      <c r="U1938" s="7">
        <v>28</v>
      </c>
      <c r="V1938" s="7">
        <v>15.5</v>
      </c>
    </row>
    <row r="1939" spans="2:22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  <c r="T1939" s="7">
        <v>40.700000000000003</v>
      </c>
      <c r="U1939" s="7">
        <v>52.3</v>
      </c>
      <c r="V1939" s="7">
        <v>23.5</v>
      </c>
    </row>
    <row r="1940" spans="2:22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  <c r="T1940" s="7">
        <v>188.8</v>
      </c>
      <c r="U1940" s="7">
        <v>354.8</v>
      </c>
      <c r="V1940" s="7">
        <v>340.7</v>
      </c>
    </row>
    <row r="1941" spans="2:22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  <c r="T1941" s="7">
        <v>176.3</v>
      </c>
      <c r="U1941" s="7">
        <v>220</v>
      </c>
      <c r="V1941" s="7">
        <v>225.4</v>
      </c>
    </row>
    <row r="1942" spans="2:22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  <c r="T1942" s="7">
        <v>288.10000000000002</v>
      </c>
      <c r="U1942" s="7">
        <v>273.8</v>
      </c>
      <c r="V1942" s="7">
        <v>258.39999999999998</v>
      </c>
    </row>
    <row r="1943" spans="2:22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  <c r="T1943" s="7">
        <v>40.1</v>
      </c>
      <c r="U1943" s="7">
        <v>34.4</v>
      </c>
      <c r="V1943" s="7">
        <v>32.6</v>
      </c>
    </row>
    <row r="1944" spans="2:22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  <c r="T1944" s="7">
        <v>20.8</v>
      </c>
      <c r="U1944" s="7">
        <v>36.299999999999997</v>
      </c>
      <c r="V1944" s="7">
        <v>98.9</v>
      </c>
    </row>
    <row r="1945" spans="2:22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  <c r="T1945" s="7">
        <v>58.2</v>
      </c>
      <c r="U1945" s="7">
        <v>59.2</v>
      </c>
      <c r="V1945" s="7">
        <v>76.3</v>
      </c>
    </row>
    <row r="1946" spans="2:22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  <c r="T1946" s="7">
        <v>166.7</v>
      </c>
      <c r="U1946" s="7">
        <v>163.80000000000001</v>
      </c>
      <c r="V1946" s="7">
        <v>161</v>
      </c>
    </row>
    <row r="1947" spans="2:22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  <c r="T1947" s="7">
        <v>15.3</v>
      </c>
      <c r="U1947" s="7">
        <v>11.3</v>
      </c>
      <c r="V1947" s="7">
        <v>10</v>
      </c>
    </row>
    <row r="1948" spans="2:22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</row>
    <row r="1949" spans="2:22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  <c r="T1949" s="7">
        <v>149.1</v>
      </c>
      <c r="U1949" s="7">
        <v>50.6</v>
      </c>
      <c r="V1949" s="7">
        <v>4</v>
      </c>
    </row>
    <row r="1950" spans="2:22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  <c r="T1950" s="7">
        <v>0</v>
      </c>
      <c r="U1950" s="7">
        <v>0</v>
      </c>
      <c r="V1950" s="7">
        <v>0</v>
      </c>
    </row>
    <row r="1951" spans="2:22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  <c r="T1951" s="7">
        <v>94.6</v>
      </c>
      <c r="U1951" s="7">
        <v>93.3</v>
      </c>
      <c r="V1951" s="7">
        <v>102.8</v>
      </c>
    </row>
    <row r="1952" spans="2:22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  <c r="T1952" s="7">
        <v>41.6</v>
      </c>
      <c r="U1952" s="7">
        <v>42.3</v>
      </c>
      <c r="V1952" s="7">
        <v>50.4</v>
      </c>
    </row>
    <row r="1953" spans="2:22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  <c r="T1953" s="7">
        <v>32.1</v>
      </c>
      <c r="U1953" s="7">
        <v>37.799999999999997</v>
      </c>
      <c r="V1953" s="7">
        <v>99.1</v>
      </c>
    </row>
    <row r="1954" spans="2:22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  <c r="T1954" s="7">
        <v>90.7</v>
      </c>
      <c r="U1954" s="7">
        <v>94.5</v>
      </c>
      <c r="V1954" s="7">
        <v>94.6</v>
      </c>
    </row>
    <row r="1955" spans="2:22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</row>
    <row r="1956" spans="2:22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  <c r="T1956" s="7">
        <v>170.6</v>
      </c>
      <c r="U1956" s="7">
        <v>140.5</v>
      </c>
      <c r="V1956" s="7">
        <v>139.6</v>
      </c>
    </row>
    <row r="1957" spans="2:22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</row>
    <row r="1958" spans="2:22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  <c r="T1958" s="7">
        <v>432.9</v>
      </c>
      <c r="U1958" s="7">
        <v>381.6</v>
      </c>
      <c r="V1958" s="7">
        <v>270.60000000000002</v>
      </c>
    </row>
    <row r="1959" spans="2:22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  <c r="T1959" s="7">
        <v>42.1</v>
      </c>
      <c r="U1959" s="7">
        <v>41.2</v>
      </c>
      <c r="V1959" s="7">
        <v>40</v>
      </c>
    </row>
    <row r="1960" spans="2:22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  <c r="T1960" s="7">
        <v>35.1</v>
      </c>
      <c r="U1960" s="7">
        <v>48.3</v>
      </c>
      <c r="V1960" s="7">
        <v>53.5</v>
      </c>
    </row>
    <row r="1961" spans="2:22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  <c r="T1961" s="7">
        <v>40.5</v>
      </c>
      <c r="U1961" s="7">
        <v>43.8</v>
      </c>
      <c r="V1961" s="7">
        <v>72.5</v>
      </c>
    </row>
    <row r="1962" spans="2:22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  <c r="T1962" s="7">
        <v>19.5</v>
      </c>
      <c r="U1962" s="7">
        <v>20.8</v>
      </c>
      <c r="V1962" s="7">
        <v>19.899999999999999</v>
      </c>
    </row>
    <row r="1963" spans="2:22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  <c r="T1963" s="7">
        <v>195.9</v>
      </c>
      <c r="U1963" s="7">
        <v>192.4</v>
      </c>
      <c r="V1963" s="7">
        <v>143.5</v>
      </c>
    </row>
    <row r="1964" spans="2:22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  <c r="T1964" s="7">
        <v>52.8</v>
      </c>
      <c r="U1964" s="7">
        <v>55.5</v>
      </c>
      <c r="V1964" s="7">
        <v>50.5</v>
      </c>
    </row>
    <row r="1965" spans="2:22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  <c r="T1965" s="7">
        <v>58.7</v>
      </c>
      <c r="U1965" s="7">
        <v>59</v>
      </c>
      <c r="V1965" s="7">
        <v>81.2</v>
      </c>
    </row>
    <row r="1966" spans="2:22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  <c r="T1966" s="7">
        <v>55.7</v>
      </c>
      <c r="U1966" s="7">
        <v>87</v>
      </c>
      <c r="V1966" s="7">
        <v>92.2</v>
      </c>
    </row>
    <row r="1967" spans="2:22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  <c r="T1967" s="7">
        <v>55.5</v>
      </c>
      <c r="U1967" s="7">
        <v>78.099999999999994</v>
      </c>
      <c r="V1967" s="7">
        <v>101.1</v>
      </c>
    </row>
    <row r="1968" spans="2:22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  <c r="T1968" s="7">
        <v>83.7</v>
      </c>
      <c r="U1968" s="7">
        <v>82</v>
      </c>
      <c r="V1968" s="7">
        <v>93.9</v>
      </c>
    </row>
    <row r="1969" spans="2:22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  <c r="T1969" s="7">
        <v>46.6</v>
      </c>
      <c r="U1969" s="7">
        <v>54.9</v>
      </c>
      <c r="V1969" s="7">
        <v>38</v>
      </c>
    </row>
    <row r="1970" spans="2:22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  <c r="T1970" s="7">
        <v>47.6</v>
      </c>
      <c r="U1970" s="7">
        <v>55.1</v>
      </c>
      <c r="V1970" s="7">
        <v>55.9</v>
      </c>
    </row>
    <row r="1971" spans="2:22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  <c r="T1971" s="7">
        <v>0</v>
      </c>
      <c r="U1971" s="7">
        <v>0</v>
      </c>
      <c r="V1971" s="7">
        <v>0</v>
      </c>
    </row>
    <row r="1972" spans="2:22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  <c r="T1972" s="7">
        <v>13.5</v>
      </c>
      <c r="U1972" s="7">
        <v>0</v>
      </c>
      <c r="V1972" s="7">
        <v>0</v>
      </c>
    </row>
    <row r="1973" spans="2:22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  <c r="T1973" s="7">
        <v>127.8</v>
      </c>
      <c r="U1973" s="7">
        <v>114.2</v>
      </c>
      <c r="V1973" s="7">
        <v>40.6</v>
      </c>
    </row>
    <row r="1974" spans="2:22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  <c r="T1974" s="7">
        <v>823.5</v>
      </c>
      <c r="U1974" s="7">
        <v>533.5</v>
      </c>
      <c r="V1974" s="7">
        <v>371.8</v>
      </c>
    </row>
    <row r="1975" spans="2:22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  <c r="T1975" s="7">
        <v>0</v>
      </c>
      <c r="U1975" s="7">
        <v>0</v>
      </c>
      <c r="V1975" s="7">
        <v>0</v>
      </c>
    </row>
    <row r="1976" spans="2:22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  <c r="T1976" s="7">
        <v>173.8</v>
      </c>
      <c r="U1976" s="7">
        <v>155.9</v>
      </c>
      <c r="V1976" s="7">
        <v>219.2</v>
      </c>
    </row>
    <row r="1977" spans="2:22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  <c r="T1977" s="7">
        <v>3.6</v>
      </c>
      <c r="U1977" s="7">
        <v>27.3</v>
      </c>
      <c r="V1977" s="7">
        <v>11</v>
      </c>
    </row>
    <row r="1978" spans="2:22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  <c r="T1978" s="7">
        <v>22.5</v>
      </c>
      <c r="U1978" s="7">
        <v>43.1</v>
      </c>
      <c r="V1978" s="7">
        <v>13.4</v>
      </c>
    </row>
    <row r="1979" spans="2:22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  <c r="T1979" s="7">
        <v>522.1</v>
      </c>
      <c r="U1979" s="7">
        <v>639.6</v>
      </c>
      <c r="V1979" s="7">
        <v>682.9</v>
      </c>
    </row>
    <row r="1980" spans="2:22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  <c r="T1980" s="7">
        <v>113.6</v>
      </c>
      <c r="U1980" s="7">
        <v>109.4</v>
      </c>
      <c r="V1980" s="7">
        <v>93.6</v>
      </c>
    </row>
    <row r="1981" spans="2:22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  <c r="T1981" s="7">
        <v>18.600000000000001</v>
      </c>
      <c r="U1981" s="7">
        <v>89.4</v>
      </c>
      <c r="V1981" s="7">
        <v>26.1</v>
      </c>
    </row>
    <row r="1982" spans="2:22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  <c r="T1982" s="7">
        <v>1138.5</v>
      </c>
      <c r="U1982" s="7">
        <v>1003.1</v>
      </c>
      <c r="V1982" s="7">
        <v>940.5</v>
      </c>
    </row>
    <row r="1983" spans="2:22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  <c r="T1983" s="7">
        <v>18</v>
      </c>
      <c r="U1983" s="7">
        <v>0</v>
      </c>
      <c r="V1983" s="7">
        <v>16.3</v>
      </c>
    </row>
    <row r="1984" spans="2:22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  <c r="T1984" s="7">
        <v>45</v>
      </c>
      <c r="U1984" s="7">
        <v>46.4</v>
      </c>
      <c r="V1984" s="7">
        <v>41.3</v>
      </c>
    </row>
    <row r="1985" spans="2:22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  <c r="T1985" s="7">
        <v>0</v>
      </c>
      <c r="U1985" s="7">
        <v>0</v>
      </c>
      <c r="V1985" s="7">
        <v>0</v>
      </c>
    </row>
    <row r="1986" spans="2:22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  <c r="T1986" s="7">
        <v>2.4</v>
      </c>
      <c r="U1986" s="7">
        <v>27.5</v>
      </c>
      <c r="V1986" s="7">
        <v>0</v>
      </c>
    </row>
    <row r="1987" spans="2:22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  <c r="T1987" s="7">
        <v>25.4</v>
      </c>
      <c r="U1987" s="7">
        <v>33.200000000000003</v>
      </c>
      <c r="V1987" s="7">
        <v>42.2</v>
      </c>
    </row>
    <row r="1988" spans="2:22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  <c r="T1988" s="7">
        <v>121.7</v>
      </c>
      <c r="U1988" s="7">
        <v>74.2</v>
      </c>
      <c r="V1988" s="7">
        <v>62.5</v>
      </c>
    </row>
    <row r="1989" spans="2:22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  <c r="T1989" s="7">
        <v>0</v>
      </c>
      <c r="U1989" s="7">
        <v>0</v>
      </c>
      <c r="V1989" s="7">
        <v>0</v>
      </c>
    </row>
    <row r="1990" spans="2:22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  <c r="T1990" s="7">
        <v>1185.0999999999999</v>
      </c>
      <c r="U1990" s="7">
        <v>0</v>
      </c>
      <c r="V1990" s="7">
        <v>0</v>
      </c>
    </row>
    <row r="1991" spans="2:22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  <c r="T1991" s="7">
        <v>38.6</v>
      </c>
      <c r="U1991" s="7">
        <v>34.799999999999997</v>
      </c>
      <c r="V1991" s="7">
        <v>34</v>
      </c>
    </row>
    <row r="1992" spans="2:22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  <c r="T1992" s="7">
        <v>36</v>
      </c>
      <c r="U1992" s="7">
        <v>38.5</v>
      </c>
      <c r="V1992" s="7">
        <v>49.2</v>
      </c>
    </row>
    <row r="1993" spans="2:22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  <c r="T1993" s="7">
        <v>0</v>
      </c>
      <c r="U1993" s="7">
        <v>0</v>
      </c>
      <c r="V1993" s="7">
        <v>0</v>
      </c>
    </row>
    <row r="1994" spans="2:22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  <c r="T1994" s="7">
        <v>17.7</v>
      </c>
      <c r="U1994" s="7">
        <v>3.7</v>
      </c>
      <c r="V1994" s="7">
        <v>0</v>
      </c>
    </row>
    <row r="1995" spans="2:22" x14ac:dyDescent="0.2">
      <c r="B1995" s="5" t="s">
        <v>242</v>
      </c>
      <c r="C1995" s="5">
        <v>1002</v>
      </c>
      <c r="D1995" s="5" t="s">
        <v>242</v>
      </c>
      <c r="E1995" s="5">
        <v>10020088</v>
      </c>
      <c r="F1995" s="38">
        <v>46176</v>
      </c>
      <c r="G1995" s="38" t="s">
        <v>1019</v>
      </c>
      <c r="H1995" s="1" t="s">
        <v>2178</v>
      </c>
      <c r="I1995" s="5" t="s">
        <v>1</v>
      </c>
      <c r="J1995" s="5"/>
      <c r="K1995" s="7"/>
      <c r="L1995" s="7"/>
      <c r="M1995" s="7"/>
      <c r="N1995" s="7"/>
      <c r="O1995" s="7"/>
      <c r="P1995" s="7"/>
      <c r="Q1995" s="7"/>
      <c r="R1995" s="7"/>
      <c r="S1995" s="7"/>
      <c r="T1995" s="7">
        <v>4.7</v>
      </c>
      <c r="U1995" s="7">
        <v>16.5</v>
      </c>
      <c r="V1995" s="7">
        <v>17.2</v>
      </c>
    </row>
    <row r="1996" spans="2:22" x14ac:dyDescent="0.2">
      <c r="B1996" s="5" t="s">
        <v>814</v>
      </c>
      <c r="C1996" s="5">
        <v>1007</v>
      </c>
      <c r="D1996" s="5" t="s">
        <v>814</v>
      </c>
      <c r="E1996" s="5">
        <v>10070079</v>
      </c>
      <c r="F1996" s="38">
        <v>46171</v>
      </c>
      <c r="G1996" s="38" t="s">
        <v>1018</v>
      </c>
      <c r="H1996" s="1" t="s">
        <v>2179</v>
      </c>
      <c r="I1996" s="5" t="s">
        <v>2</v>
      </c>
      <c r="J1996" s="5"/>
      <c r="K1996" s="7"/>
      <c r="L1996" s="7"/>
      <c r="M1996" s="7"/>
      <c r="N1996" s="7"/>
      <c r="O1996" s="7"/>
      <c r="P1996" s="7"/>
      <c r="Q1996" s="7"/>
      <c r="R1996" s="7"/>
      <c r="S1996" s="7"/>
      <c r="T1996" s="7">
        <v>44.9</v>
      </c>
      <c r="U1996" s="7">
        <v>36.6</v>
      </c>
      <c r="V1996" s="7">
        <v>23.7</v>
      </c>
    </row>
    <row r="1997" spans="2:22" x14ac:dyDescent="0.2">
      <c r="B1997" s="5" t="s">
        <v>809</v>
      </c>
      <c r="C1997" s="5">
        <v>1014</v>
      </c>
      <c r="D1997" s="5" t="s">
        <v>809</v>
      </c>
      <c r="E1997" s="5">
        <v>10140207</v>
      </c>
      <c r="F1997" s="38">
        <v>46174</v>
      </c>
      <c r="G1997" s="38" t="s">
        <v>1019</v>
      </c>
      <c r="H1997" s="1" t="s">
        <v>2180</v>
      </c>
      <c r="I1997" s="5" t="s">
        <v>1</v>
      </c>
      <c r="J1997" s="5"/>
      <c r="K1997" s="7"/>
      <c r="L1997" s="7"/>
      <c r="M1997" s="7"/>
      <c r="N1997" s="7"/>
      <c r="O1997" s="7"/>
      <c r="P1997" s="7"/>
      <c r="Q1997" s="7"/>
      <c r="R1997" s="7"/>
      <c r="S1997" s="7"/>
      <c r="T1997" s="7">
        <v>69.599999999999994</v>
      </c>
      <c r="U1997" s="7">
        <v>63.1</v>
      </c>
      <c r="V1997" s="7">
        <v>40.4</v>
      </c>
    </row>
    <row r="1998" spans="2:22" x14ac:dyDescent="0.2">
      <c r="B1998" s="5" t="s">
        <v>1426</v>
      </c>
      <c r="C1998" s="5">
        <v>1054</v>
      </c>
      <c r="D1998" s="5" t="s">
        <v>1426</v>
      </c>
      <c r="E1998" s="5">
        <v>10540047</v>
      </c>
      <c r="F1998" s="38">
        <v>46175</v>
      </c>
      <c r="G1998" s="38" t="s">
        <v>1019</v>
      </c>
      <c r="H1998" s="1" t="s">
        <v>2181</v>
      </c>
      <c r="I1998" s="5" t="s">
        <v>1</v>
      </c>
      <c r="J1998" s="5"/>
      <c r="K1998" s="7"/>
      <c r="L1998" s="7"/>
      <c r="M1998" s="7"/>
      <c r="N1998" s="7"/>
      <c r="O1998" s="7"/>
      <c r="P1998" s="7"/>
      <c r="Q1998" s="7"/>
      <c r="R1998" s="7"/>
      <c r="S1998" s="7"/>
      <c r="T1998" s="7">
        <v>5.7</v>
      </c>
      <c r="U1998" s="7">
        <v>11.6</v>
      </c>
      <c r="V1998" s="7">
        <v>12.7</v>
      </c>
    </row>
    <row r="1999" spans="2:22" x14ac:dyDescent="0.2">
      <c r="B1999" s="5" t="s">
        <v>1484</v>
      </c>
      <c r="C1999" s="5">
        <v>1056</v>
      </c>
      <c r="D1999" s="5" t="s">
        <v>1484</v>
      </c>
      <c r="E1999" s="5">
        <v>10560041</v>
      </c>
      <c r="F1999" s="38">
        <v>46172</v>
      </c>
      <c r="G1999" s="38" t="s">
        <v>1018</v>
      </c>
      <c r="H1999" s="1" t="s">
        <v>2182</v>
      </c>
      <c r="I1999" s="5" t="s">
        <v>2</v>
      </c>
      <c r="J1999" s="5"/>
      <c r="K1999" s="7"/>
      <c r="L1999" s="7"/>
      <c r="M1999" s="7"/>
      <c r="N1999" s="7"/>
      <c r="O1999" s="7"/>
      <c r="P1999" s="7"/>
      <c r="Q1999" s="7"/>
      <c r="R1999" s="7"/>
      <c r="S1999" s="7"/>
      <c r="T1999" s="7">
        <v>26.5</v>
      </c>
      <c r="U1999" s="7">
        <v>0</v>
      </c>
      <c r="V1999" s="7">
        <v>0</v>
      </c>
    </row>
    <row r="2000" spans="2:22" x14ac:dyDescent="0.2">
      <c r="B2000" s="5" t="s">
        <v>1596</v>
      </c>
      <c r="C2000" s="5">
        <v>1057</v>
      </c>
      <c r="D2000" s="5" t="s">
        <v>1596</v>
      </c>
      <c r="E2000" s="5">
        <v>10570051</v>
      </c>
      <c r="F2000" s="38">
        <v>46174</v>
      </c>
      <c r="G2000" s="38" t="s">
        <v>1019</v>
      </c>
      <c r="H2000" s="1" t="s">
        <v>2183</v>
      </c>
      <c r="I2000" s="5" t="s">
        <v>1</v>
      </c>
      <c r="J2000" s="5"/>
      <c r="K2000" s="7"/>
      <c r="L2000" s="7"/>
      <c r="M2000" s="7"/>
      <c r="N2000" s="7"/>
      <c r="O2000" s="7"/>
      <c r="P2000" s="7"/>
      <c r="Q2000" s="7"/>
      <c r="R2000" s="7"/>
      <c r="S2000" s="7"/>
      <c r="T2000" s="7">
        <v>11.1</v>
      </c>
      <c r="U2000" s="7">
        <v>18.2</v>
      </c>
      <c r="V2000" s="7">
        <v>22.6</v>
      </c>
    </row>
    <row r="2001" spans="2:22" x14ac:dyDescent="0.2">
      <c r="B2001" s="5" t="s">
        <v>1596</v>
      </c>
      <c r="C2001" s="5">
        <v>1057</v>
      </c>
      <c r="D2001" s="5" t="s">
        <v>1596</v>
      </c>
      <c r="E2001" s="5">
        <v>10630022</v>
      </c>
      <c r="F2001" s="38">
        <v>46174</v>
      </c>
      <c r="G2001" s="38" t="s">
        <v>1018</v>
      </c>
      <c r="H2001" s="1" t="s">
        <v>2184</v>
      </c>
      <c r="I2001" s="5" t="s">
        <v>2</v>
      </c>
      <c r="J2001" s="5"/>
      <c r="K2001" s="7"/>
      <c r="L2001" s="7"/>
      <c r="M2001" s="7"/>
      <c r="N2001" s="7"/>
      <c r="O2001" s="7"/>
      <c r="P2001" s="7"/>
      <c r="Q2001" s="7"/>
      <c r="R2001" s="7"/>
      <c r="S2001" s="7"/>
      <c r="T2001" s="7">
        <v>13</v>
      </c>
      <c r="U2001" s="7">
        <v>29.1</v>
      </c>
      <c r="V2001" s="7">
        <v>32.4</v>
      </c>
    </row>
    <row r="2002" spans="2:22" x14ac:dyDescent="0.2">
      <c r="B2002" s="5" t="s">
        <v>2007</v>
      </c>
      <c r="C2002" s="5">
        <v>1061</v>
      </c>
      <c r="D2002" s="5" t="s">
        <v>2007</v>
      </c>
      <c r="E2002" s="5">
        <v>10610059</v>
      </c>
      <c r="F2002" s="38">
        <v>46176</v>
      </c>
      <c r="G2002" s="38" t="s">
        <v>1018</v>
      </c>
      <c r="H2002" s="1" t="s">
        <v>2185</v>
      </c>
      <c r="I2002" s="5" t="s">
        <v>2</v>
      </c>
      <c r="J2002" s="5"/>
      <c r="K2002" s="7"/>
      <c r="L2002" s="7"/>
      <c r="M2002" s="7"/>
      <c r="N2002" s="7"/>
      <c r="O2002" s="7"/>
      <c r="P2002" s="7"/>
      <c r="Q2002" s="7"/>
      <c r="R2002" s="7"/>
      <c r="S2002" s="7"/>
      <c r="T2002" s="7">
        <v>4.4000000000000004</v>
      </c>
      <c r="U2002" s="7">
        <v>22</v>
      </c>
      <c r="V2002" s="7">
        <v>56.9</v>
      </c>
    </row>
    <row r="2003" spans="2:22" x14ac:dyDescent="0.2">
      <c r="B2003" s="5" t="s">
        <v>2008</v>
      </c>
      <c r="C2003" s="5">
        <v>1065</v>
      </c>
      <c r="D2003" s="5" t="s">
        <v>2008</v>
      </c>
      <c r="E2003" s="5">
        <v>10650018</v>
      </c>
      <c r="F2003" s="38">
        <v>46172</v>
      </c>
      <c r="G2003" s="38" t="s">
        <v>1018</v>
      </c>
      <c r="H2003" s="1" t="s">
        <v>2186</v>
      </c>
      <c r="I2003" s="5" t="s">
        <v>2</v>
      </c>
      <c r="J2003" s="5"/>
      <c r="K2003" s="7"/>
      <c r="L2003" s="7"/>
      <c r="M2003" s="7"/>
      <c r="N2003" s="7"/>
      <c r="O2003" s="7"/>
      <c r="P2003" s="7"/>
      <c r="Q2003" s="7"/>
      <c r="R2003" s="7"/>
      <c r="S2003" s="7"/>
      <c r="T2003" s="7">
        <v>141.9</v>
      </c>
      <c r="U2003" s="7">
        <v>224.7</v>
      </c>
      <c r="V2003" s="7">
        <v>159.19999999999999</v>
      </c>
    </row>
    <row r="2004" spans="2:22" x14ac:dyDescent="0.2">
      <c r="B2004" s="5" t="s">
        <v>807</v>
      </c>
      <c r="C2004" s="5">
        <v>1013</v>
      </c>
      <c r="D2004" s="5" t="s">
        <v>807</v>
      </c>
      <c r="E2004" s="5">
        <v>10130122</v>
      </c>
      <c r="F2004" s="38">
        <v>46180</v>
      </c>
      <c r="G2004" s="38" t="s">
        <v>1018</v>
      </c>
      <c r="H2004" s="1" t="s">
        <v>2189</v>
      </c>
      <c r="I2004" s="5" t="s">
        <v>2</v>
      </c>
      <c r="J2004" s="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>
        <v>53.4</v>
      </c>
      <c r="V2004" s="7">
        <v>85.1</v>
      </c>
    </row>
    <row r="2005" spans="2:22" x14ac:dyDescent="0.2">
      <c r="B2005" s="5" t="s">
        <v>1234</v>
      </c>
      <c r="C2005" s="5">
        <v>1053</v>
      </c>
      <c r="D2005" s="5" t="s">
        <v>1234</v>
      </c>
      <c r="E2005" s="5">
        <v>10530116</v>
      </c>
      <c r="F2005" s="38">
        <v>46184</v>
      </c>
      <c r="G2005" s="38" t="s">
        <v>1018</v>
      </c>
      <c r="H2005" s="1" t="s">
        <v>2190</v>
      </c>
      <c r="I2005" s="5" t="s">
        <v>2</v>
      </c>
      <c r="J2005" s="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>
        <v>22.3</v>
      </c>
      <c r="V2005" s="7">
        <v>179.8</v>
      </c>
    </row>
    <row r="2006" spans="2:22" x14ac:dyDescent="0.2">
      <c r="B2006" s="5" t="s">
        <v>1520</v>
      </c>
      <c r="C2006" s="5">
        <v>1055</v>
      </c>
      <c r="D2006" s="5" t="s">
        <v>1520</v>
      </c>
      <c r="E2006" s="5">
        <v>10550011</v>
      </c>
      <c r="F2006" s="38">
        <v>46179</v>
      </c>
      <c r="G2006" s="38" t="s">
        <v>1019</v>
      </c>
      <c r="H2006" s="1" t="s">
        <v>2191</v>
      </c>
      <c r="I2006" s="5" t="s">
        <v>1</v>
      </c>
      <c r="J2006" s="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>
        <v>54.9</v>
      </c>
      <c r="V2006" s="7">
        <v>53.7</v>
      </c>
    </row>
    <row r="2007" spans="2:22" x14ac:dyDescent="0.2">
      <c r="B2007" s="5" t="s">
        <v>1484</v>
      </c>
      <c r="C2007" s="5">
        <v>1056</v>
      </c>
      <c r="D2007" s="5" t="s">
        <v>1484</v>
      </c>
      <c r="E2007" s="5">
        <v>10560040</v>
      </c>
      <c r="F2007" s="38">
        <v>46183</v>
      </c>
      <c r="G2007" s="38" t="s">
        <v>1018</v>
      </c>
      <c r="H2007" s="1" t="s">
        <v>2192</v>
      </c>
      <c r="I2007" s="5" t="s">
        <v>2</v>
      </c>
      <c r="J2007" s="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>
        <v>3.2</v>
      </c>
      <c r="V2007" s="7">
        <v>21.3</v>
      </c>
    </row>
    <row r="2008" spans="2:22" x14ac:dyDescent="0.2">
      <c r="B2008" s="5" t="s">
        <v>1596</v>
      </c>
      <c r="C2008" s="5">
        <v>1057</v>
      </c>
      <c r="D2008" s="5" t="s">
        <v>1596</v>
      </c>
      <c r="E2008" s="5">
        <v>10570066</v>
      </c>
      <c r="F2008" s="38">
        <v>46184</v>
      </c>
      <c r="G2008" s="38" t="s">
        <v>1018</v>
      </c>
      <c r="H2008" s="1" t="s">
        <v>2193</v>
      </c>
      <c r="I2008" s="5" t="s">
        <v>2</v>
      </c>
      <c r="J2008" s="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>
        <v>5.7</v>
      </c>
      <c r="V2008" s="7">
        <v>155.5</v>
      </c>
    </row>
    <row r="2009" spans="2:22" x14ac:dyDescent="0.2">
      <c r="B2009" s="5" t="s">
        <v>1596</v>
      </c>
      <c r="C2009" s="5">
        <v>1057</v>
      </c>
      <c r="D2009" s="5" t="s">
        <v>1596</v>
      </c>
      <c r="E2009" s="5">
        <v>10570065</v>
      </c>
      <c r="F2009" s="38">
        <v>46184</v>
      </c>
      <c r="G2009" s="38" t="s">
        <v>1018</v>
      </c>
      <c r="H2009" s="1" t="s">
        <v>2194</v>
      </c>
      <c r="I2009" s="5" t="s">
        <v>2</v>
      </c>
      <c r="J2009" s="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>
        <v>9.6999999999999993</v>
      </c>
      <c r="V2009" s="7">
        <v>88.1</v>
      </c>
    </row>
    <row r="2010" spans="2:22" x14ac:dyDescent="0.2">
      <c r="B2010" s="5" t="s">
        <v>2007</v>
      </c>
      <c r="C2010" s="5">
        <v>1061</v>
      </c>
      <c r="D2010" s="5" t="s">
        <v>2007</v>
      </c>
      <c r="E2010" s="5">
        <v>10610054</v>
      </c>
      <c r="F2010" s="38">
        <v>46184</v>
      </c>
      <c r="G2010" s="38" t="s">
        <v>1019</v>
      </c>
      <c r="H2010" s="1" t="s">
        <v>2195</v>
      </c>
      <c r="I2010" s="5" t="s">
        <v>1</v>
      </c>
      <c r="J2010" s="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>
        <v>4</v>
      </c>
      <c r="V2010" s="7">
        <v>57.9</v>
      </c>
    </row>
    <row r="2011" spans="2:22" x14ac:dyDescent="0.2">
      <c r="B2011" s="5" t="s">
        <v>2008</v>
      </c>
      <c r="C2011" s="5">
        <v>1065</v>
      </c>
      <c r="D2011" s="5" t="s">
        <v>2008</v>
      </c>
      <c r="E2011" s="5">
        <v>10650024</v>
      </c>
      <c r="F2011" s="38">
        <v>46178</v>
      </c>
      <c r="G2011" s="38" t="s">
        <v>1018</v>
      </c>
      <c r="H2011" s="1" t="s">
        <v>2196</v>
      </c>
      <c r="I2011" s="5" t="s">
        <v>2</v>
      </c>
      <c r="J2011" s="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>
        <v>116.5</v>
      </c>
      <c r="V2011" s="7">
        <v>23.2</v>
      </c>
    </row>
    <row r="2012" spans="2:22" x14ac:dyDescent="0.2">
      <c r="B2012" s="5" t="s">
        <v>2008</v>
      </c>
      <c r="C2012" s="5">
        <v>1065</v>
      </c>
      <c r="D2012" s="5" t="s">
        <v>2008</v>
      </c>
      <c r="E2012" s="5">
        <v>10650015</v>
      </c>
      <c r="F2012" s="38">
        <v>46179</v>
      </c>
      <c r="G2012" s="38" t="s">
        <v>1019</v>
      </c>
      <c r="H2012" s="1" t="s">
        <v>2197</v>
      </c>
      <c r="I2012" s="5" t="s">
        <v>1</v>
      </c>
      <c r="J2012" s="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>
        <v>20.399999999999999</v>
      </c>
      <c r="V2012" s="7">
        <v>22.1</v>
      </c>
    </row>
    <row r="2013" spans="2:22" x14ac:dyDescent="0.2">
      <c r="B2013" s="5" t="s">
        <v>2008</v>
      </c>
      <c r="C2013" s="5">
        <v>1065</v>
      </c>
      <c r="D2013" s="5" t="s">
        <v>2008</v>
      </c>
      <c r="E2013" s="5">
        <v>10650020</v>
      </c>
      <c r="F2013" s="38">
        <v>46181</v>
      </c>
      <c r="G2013" s="38" t="s">
        <v>1018</v>
      </c>
      <c r="H2013" s="1" t="s">
        <v>2198</v>
      </c>
      <c r="I2013" s="5" t="s">
        <v>2</v>
      </c>
      <c r="J2013" s="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>
        <v>46.4</v>
      </c>
      <c r="V2013" s="7">
        <v>1.5</v>
      </c>
    </row>
    <row r="2014" spans="2:22" x14ac:dyDescent="0.2">
      <c r="B2014" s="5" t="s">
        <v>809</v>
      </c>
      <c r="C2014" s="5">
        <v>1060</v>
      </c>
      <c r="D2014" s="5" t="s">
        <v>809</v>
      </c>
      <c r="E2014" s="5">
        <v>10600005</v>
      </c>
      <c r="F2014" s="38">
        <v>46185</v>
      </c>
      <c r="G2014" s="38" t="s">
        <v>1019</v>
      </c>
      <c r="H2014" s="1" t="s">
        <v>1884</v>
      </c>
      <c r="I2014" s="5" t="s">
        <v>1</v>
      </c>
      <c r="J2014" s="5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>
        <v>8.6999999999999993</v>
      </c>
    </row>
    <row r="2015" spans="2:22" x14ac:dyDescent="0.2">
      <c r="B2015" s="5" t="s">
        <v>809</v>
      </c>
      <c r="C2015" s="5">
        <v>1014</v>
      </c>
      <c r="D2015" s="5" t="s">
        <v>809</v>
      </c>
      <c r="E2015" s="5">
        <v>10140208</v>
      </c>
      <c r="F2015" s="38">
        <v>46187</v>
      </c>
      <c r="G2015" s="38" t="s">
        <v>1019</v>
      </c>
      <c r="H2015" s="1" t="s">
        <v>2200</v>
      </c>
      <c r="I2015" s="5" t="s">
        <v>1</v>
      </c>
      <c r="J2015" s="5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>
        <v>71.5</v>
      </c>
    </row>
    <row r="2016" spans="2:22" x14ac:dyDescent="0.2">
      <c r="B2016" s="5" t="s">
        <v>1520</v>
      </c>
      <c r="C2016" s="5">
        <v>1055</v>
      </c>
      <c r="D2016" s="5" t="s">
        <v>1520</v>
      </c>
      <c r="E2016" s="5">
        <v>10550010</v>
      </c>
      <c r="F2016" s="38">
        <v>46191</v>
      </c>
      <c r="G2016" s="38" t="s">
        <v>1019</v>
      </c>
      <c r="H2016" s="1" t="s">
        <v>2201</v>
      </c>
      <c r="I2016" s="5" t="s">
        <v>1</v>
      </c>
      <c r="J2016" s="5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>
        <v>3.1</v>
      </c>
    </row>
    <row r="2017" spans="2:22" x14ac:dyDescent="0.2">
      <c r="B2017" s="5" t="s">
        <v>2202</v>
      </c>
      <c r="C2017" s="5">
        <v>1063</v>
      </c>
      <c r="D2017" s="5" t="s">
        <v>2202</v>
      </c>
      <c r="E2017" s="5">
        <v>10630021</v>
      </c>
      <c r="F2017" s="38">
        <v>46190</v>
      </c>
      <c r="G2017" s="38" t="s">
        <v>1018</v>
      </c>
      <c r="H2017" s="1" t="s">
        <v>2203</v>
      </c>
      <c r="I2017" s="5" t="s">
        <v>2</v>
      </c>
      <c r="J2017" s="5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>
        <v>2.2999999999999998</v>
      </c>
    </row>
    <row r="2018" spans="2:22" x14ac:dyDescent="0.2">
      <c r="B2018" s="5" t="s">
        <v>2163</v>
      </c>
      <c r="C2018" s="5">
        <v>1066</v>
      </c>
      <c r="D2018" s="5" t="s">
        <v>2163</v>
      </c>
      <c r="E2018" s="5">
        <v>10660032</v>
      </c>
      <c r="F2018" s="38">
        <v>46185</v>
      </c>
      <c r="G2018" s="38" t="s">
        <v>1018</v>
      </c>
      <c r="H2018" s="1" t="s">
        <v>2146</v>
      </c>
      <c r="I2018" s="5" t="s">
        <v>2</v>
      </c>
      <c r="J2018" s="5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>
        <v>30.5</v>
      </c>
    </row>
    <row r="2019" spans="2:22" x14ac:dyDescent="0.2">
      <c r="B2019" s="5" t="s">
        <v>2163</v>
      </c>
      <c r="C2019" s="5">
        <v>1066</v>
      </c>
      <c r="D2019" s="5" t="s">
        <v>2163</v>
      </c>
      <c r="E2019" s="5">
        <v>10660030</v>
      </c>
      <c r="F2019" s="38">
        <v>46185</v>
      </c>
      <c r="G2019" s="38" t="s">
        <v>1018</v>
      </c>
      <c r="H2019" s="1" t="s">
        <v>2204</v>
      </c>
      <c r="I2019" s="5" t="s">
        <v>2</v>
      </c>
      <c r="J2019" s="5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>
        <v>8.1999999999999993</v>
      </c>
    </row>
    <row r="2020" spans="2:22" x14ac:dyDescent="0.2">
      <c r="B2020" s="5" t="s">
        <v>2163</v>
      </c>
      <c r="C2020" s="5">
        <v>1066</v>
      </c>
      <c r="D2020" s="5" t="s">
        <v>2163</v>
      </c>
      <c r="E2020" s="5">
        <v>10660031</v>
      </c>
      <c r="F2020" s="38">
        <v>46186</v>
      </c>
      <c r="G2020" s="38" t="s">
        <v>1018</v>
      </c>
      <c r="H2020" s="1" t="s">
        <v>2205</v>
      </c>
      <c r="I2020" s="5" t="s">
        <v>2</v>
      </c>
      <c r="J2020" s="5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>
        <v>6.3</v>
      </c>
    </row>
    <row r="2021" spans="2:22" x14ac:dyDescent="0.2">
      <c r="B2021" s="1"/>
      <c r="C2021" s="1"/>
      <c r="D2021" s="1"/>
      <c r="E2021" s="15"/>
      <c r="F2021" s="4" t="s">
        <v>173</v>
      </c>
      <c r="G2021" s="15"/>
      <c r="H2021" s="4"/>
      <c r="I2021" s="5"/>
      <c r="J2021" s="5"/>
      <c r="K2021" s="16">
        <f>SUBTOTAL(9,K3:K2020)</f>
        <v>206104.09999999974</v>
      </c>
      <c r="L2021" s="16">
        <f t="shared" ref="L2021:V2021" si="0">SUBTOTAL(9,L3:L2020)</f>
        <v>199130.7999999999</v>
      </c>
      <c r="M2021" s="16">
        <f t="shared" si="0"/>
        <v>167290.50000000015</v>
      </c>
      <c r="N2021" s="16">
        <f t="shared" si="0"/>
        <v>122629.59999999999</v>
      </c>
      <c r="O2021" s="16">
        <f t="shared" si="0"/>
        <v>114017.09999999999</v>
      </c>
      <c r="P2021" s="16">
        <f t="shared" si="0"/>
        <v>137766.99999999991</v>
      </c>
      <c r="Q2021" s="16">
        <f t="shared" si="0"/>
        <v>156529.40000000011</v>
      </c>
      <c r="R2021" s="16">
        <f t="shared" si="0"/>
        <v>187505.50000000009</v>
      </c>
      <c r="S2021" s="16">
        <f t="shared" si="0"/>
        <v>184117.40000000026</v>
      </c>
      <c r="T2021" s="16">
        <f t="shared" si="0"/>
        <v>187591.7</v>
      </c>
      <c r="U2021" s="16">
        <f t="shared" si="0"/>
        <v>181553.39999999982</v>
      </c>
      <c r="V2021" s="16">
        <f t="shared" si="0"/>
        <v>181090.19999999992</v>
      </c>
    </row>
    <row r="2022" spans="2:22" ht="13.5" thickBot="1" x14ac:dyDescent="0.25">
      <c r="B2022" s="13"/>
      <c r="C2022" s="13"/>
      <c r="D2022" s="13"/>
      <c r="E2022" s="18"/>
      <c r="F2022" s="14" t="s">
        <v>172</v>
      </c>
      <c r="G2022" s="35"/>
      <c r="H2022" s="4"/>
      <c r="I2022" s="15">
        <f>COUNTA(I3:I2020)</f>
        <v>2018</v>
      </c>
      <c r="J2022" s="15"/>
      <c r="K2022" s="16">
        <f>COUNTIF(K3:K2020,"&gt;0")</f>
        <v>1028</v>
      </c>
      <c r="L2022" s="16">
        <f t="shared" ref="L2022:V2022" si="1">COUNTIF(L3:L2020,"&gt;0")</f>
        <v>1103</v>
      </c>
      <c r="M2022" s="16">
        <f t="shared" si="1"/>
        <v>1071</v>
      </c>
      <c r="N2022" s="16">
        <f t="shared" si="1"/>
        <v>1049</v>
      </c>
      <c r="O2022" s="16">
        <f t="shared" si="1"/>
        <v>972</v>
      </c>
      <c r="P2022" s="16">
        <f t="shared" si="1"/>
        <v>992</v>
      </c>
      <c r="Q2022" s="16">
        <f t="shared" si="1"/>
        <v>1022</v>
      </c>
      <c r="R2022" s="16">
        <f t="shared" si="1"/>
        <v>1047</v>
      </c>
      <c r="S2022" s="16">
        <f t="shared" si="1"/>
        <v>1056</v>
      </c>
      <c r="T2022" s="16">
        <f t="shared" si="1"/>
        <v>1055</v>
      </c>
      <c r="U2022" s="16">
        <f t="shared" si="1"/>
        <v>1050</v>
      </c>
      <c r="V2022" s="16">
        <f t="shared" si="1"/>
        <v>1049</v>
      </c>
    </row>
    <row r="2023" spans="2:22" x14ac:dyDescent="0.2">
      <c r="E2023" s="3"/>
      <c r="F2023" s="3"/>
      <c r="G2023" s="3"/>
    </row>
    <row r="2025" spans="2:22" s="8" customFormat="1" ht="25.5" x14ac:dyDescent="0.2">
      <c r="H2025" s="33" t="s">
        <v>241</v>
      </c>
      <c r="I2025" s="33" t="s">
        <v>181</v>
      </c>
      <c r="J2025" s="33"/>
      <c r="K2025" s="34" t="str">
        <f t="shared" ref="K2025:Q2025" si="2">K2</f>
        <v>01 -02 Apr</v>
      </c>
      <c r="L2025" s="34" t="str">
        <f t="shared" si="2"/>
        <v>03 -09 Apr</v>
      </c>
      <c r="M2025" s="34" t="str">
        <f t="shared" si="2"/>
        <v>10 -16 Apr</v>
      </c>
      <c r="N2025" s="34" t="str">
        <f t="shared" si="2"/>
        <v>17 -23 Apr</v>
      </c>
      <c r="O2025" s="34" t="str">
        <f t="shared" si="2"/>
        <v>24 -30 Apr</v>
      </c>
      <c r="P2025" s="34" t="str">
        <f t="shared" si="2"/>
        <v>01 -07 May</v>
      </c>
      <c r="Q2025" s="34" t="str">
        <f t="shared" si="2"/>
        <v>08 -14 May</v>
      </c>
      <c r="R2025" s="34" t="str">
        <f t="shared" ref="R2025:S2025" si="3">R2</f>
        <v>15 -21 May</v>
      </c>
      <c r="S2025" s="34" t="str">
        <f t="shared" si="3"/>
        <v>22 -28 May</v>
      </c>
      <c r="T2025" s="34" t="str">
        <f t="shared" ref="T2025:U2025" si="4">T2</f>
        <v>29 -04 Jun</v>
      </c>
      <c r="U2025" s="34" t="str">
        <f t="shared" si="4"/>
        <v>05 -11 Jun</v>
      </c>
      <c r="V2025" s="34" t="str">
        <f t="shared" ref="V2025" si="5">V2</f>
        <v>12 -18 Jun</v>
      </c>
    </row>
    <row r="2026" spans="2:22" s="8" customFormat="1" ht="15" x14ac:dyDescent="0.25">
      <c r="H2026" s="12" t="s">
        <v>815</v>
      </c>
      <c r="I2026" s="30">
        <f>VLOOKUP(H2026,$B$3:$C$2020,2,0)</f>
        <v>1001</v>
      </c>
      <c r="J2026" s="6"/>
      <c r="K2026" s="7">
        <f>SUMIF($B$2:$B$2021,$H2026,K$2:K$2021)</f>
        <v>5161.9000000000015</v>
      </c>
      <c r="L2026" s="7">
        <f>SUMIF($B$2:$B$2021,$H2026,L$2:L$2021)</f>
        <v>5190.5</v>
      </c>
      <c r="M2026" s="7">
        <f>SUMIF($B$2:$B$2021,$H2026,M$2:M$2021)</f>
        <v>4666.2</v>
      </c>
      <c r="N2026" s="7">
        <f>SUMIF($B$2:$B$2021,$H2026,N$2:N$2021)</f>
        <v>3205.9000000000005</v>
      </c>
      <c r="O2026" s="7">
        <f>SUMIF($B$2:$B$2021,$H2026,O$2:O$2021)</f>
        <v>2645.4999999999991</v>
      </c>
      <c r="P2026" s="7">
        <f>SUMIF($B$2:$B$2021,$H2026,P$2:P$2021)</f>
        <v>3358.6</v>
      </c>
      <c r="Q2026" s="7">
        <f>SUMIF($B$2:$B$2021,$H2026,Q$2:Q$2021)</f>
        <v>3368.7000000000007</v>
      </c>
      <c r="R2026" s="7">
        <f>SUMIF($B$2:$B$2021,$H2026,R$2:R$2021)</f>
        <v>3981.2</v>
      </c>
      <c r="S2026" s="7">
        <f>SUMIF($B$2:$B$2021,$H2026,S$2:S$2021)</f>
        <v>3536.1000000000004</v>
      </c>
      <c r="T2026" s="7">
        <f>SUMIF($B$2:$B$2021,$H2026,T$2:T$2021)</f>
        <v>4557.9000000000015</v>
      </c>
      <c r="U2026" s="7">
        <f>SUMIF($B$2:$B$2021,$H2026,U$2:U$2021)</f>
        <v>3968.4999999999995</v>
      </c>
      <c r="V2026" s="7">
        <f>SUMIF($B$2:$B$2021,$H2026,V$2:V$2021)</f>
        <v>3250.0999999999995</v>
      </c>
    </row>
    <row r="2027" spans="2:22" ht="15" x14ac:dyDescent="0.25">
      <c r="H2027" s="12" t="s">
        <v>242</v>
      </c>
      <c r="I2027" s="30">
        <f t="shared" ref="I2027:I2054" si="6">VLOOKUP(H2027,$B$3:$C$2020,2,0)</f>
        <v>1002</v>
      </c>
      <c r="J2027" s="6"/>
      <c r="K2027" s="7">
        <f>SUMIF($B$2:$B$2021,$H2027,K$2:K$2021)</f>
        <v>17577.899999999998</v>
      </c>
      <c r="L2027" s="7">
        <f>SUMIF($B$2:$B$2021,$H2027,L$2:L$2021)</f>
        <v>19359.600000000002</v>
      </c>
      <c r="M2027" s="7">
        <f>SUMIF($B$2:$B$2021,$H2027,M$2:M$2021)</f>
        <v>13022.300000000007</v>
      </c>
      <c r="N2027" s="7">
        <f>SUMIF($B$2:$B$2021,$H2027,N$2:N$2021)</f>
        <v>9682.0999999999985</v>
      </c>
      <c r="O2027" s="7">
        <f>SUMIF($B$2:$B$2021,$H2027,O$2:O$2021)</f>
        <v>13935.700000000006</v>
      </c>
      <c r="P2027" s="7">
        <f>SUMIF($B$2:$B$2021,$H2027,P$2:P$2021)</f>
        <v>15603.199999999999</v>
      </c>
      <c r="Q2027" s="7">
        <f>SUMIF($B$2:$B$2021,$H2027,Q$2:Q$2021)</f>
        <v>17105.900000000001</v>
      </c>
      <c r="R2027" s="7">
        <f>SUMIF($B$2:$B$2021,$H2027,R$2:R$2021)</f>
        <v>18312.099999999991</v>
      </c>
      <c r="S2027" s="7">
        <f>SUMIF($B$2:$B$2021,$H2027,S$2:S$2021)</f>
        <v>17023.5</v>
      </c>
      <c r="T2027" s="7">
        <f>SUMIF($B$2:$B$2021,$H2027,T$2:T$2021)</f>
        <v>17995</v>
      </c>
      <c r="U2027" s="7">
        <f>SUMIF($B$2:$B$2021,$H2027,U$2:U$2021)</f>
        <v>17623.799999999996</v>
      </c>
      <c r="V2027" s="7">
        <f>SUMIF($B$2:$B$2021,$H2027,V$2:V$2021)</f>
        <v>17076.899999999998</v>
      </c>
    </row>
    <row r="2028" spans="2:22" ht="15" x14ac:dyDescent="0.25">
      <c r="H2028" s="12" t="s">
        <v>243</v>
      </c>
      <c r="I2028" s="30">
        <f t="shared" si="6"/>
        <v>1003</v>
      </c>
      <c r="J2028" s="6"/>
      <c r="K2028" s="7">
        <f>SUMIF($B$2:$B$2021,$H2028,K$2:K$2021)</f>
        <v>8156.8</v>
      </c>
      <c r="L2028" s="7">
        <f>SUMIF($B$2:$B$2021,$H2028,L$2:L$2021)</f>
        <v>12651.100000000006</v>
      </c>
      <c r="M2028" s="7">
        <f>SUMIF($B$2:$B$2021,$H2028,M$2:M$2021)</f>
        <v>9817.4000000000033</v>
      </c>
      <c r="N2028" s="7">
        <f>SUMIF($B$2:$B$2021,$H2028,N$2:N$2021)</f>
        <v>8011.7</v>
      </c>
      <c r="O2028" s="7">
        <f>SUMIF($B$2:$B$2021,$H2028,O$2:O$2021)</f>
        <v>7486.3</v>
      </c>
      <c r="P2028" s="7">
        <f>SUMIF($B$2:$B$2021,$H2028,P$2:P$2021)</f>
        <v>9494.2999999999975</v>
      </c>
      <c r="Q2028" s="7">
        <f>SUMIF($B$2:$B$2021,$H2028,Q$2:Q$2021)</f>
        <v>10321.9</v>
      </c>
      <c r="R2028" s="7">
        <f>SUMIF($B$2:$B$2021,$H2028,R$2:R$2021)</f>
        <v>15533.599999999995</v>
      </c>
      <c r="S2028" s="7">
        <f>SUMIF($B$2:$B$2021,$H2028,S$2:S$2021)</f>
        <v>14754.599999999999</v>
      </c>
      <c r="T2028" s="7">
        <f>SUMIF($B$2:$B$2021,$H2028,T$2:T$2021)</f>
        <v>14948.499999999996</v>
      </c>
      <c r="U2028" s="7">
        <f>SUMIF($B$2:$B$2021,$H2028,U$2:U$2021)</f>
        <v>15023.500000000005</v>
      </c>
      <c r="V2028" s="7">
        <f>SUMIF($B$2:$B$2021,$H2028,V$2:V$2021)</f>
        <v>12868.999999999996</v>
      </c>
    </row>
    <row r="2029" spans="2:22" ht="15" x14ac:dyDescent="0.25">
      <c r="H2029" s="12" t="s">
        <v>811</v>
      </c>
      <c r="I2029" s="30">
        <f t="shared" si="6"/>
        <v>1004</v>
      </c>
      <c r="J2029" s="6"/>
      <c r="K2029" s="7">
        <f>SUMIF($B$2:$B$2021,$H2029,K$2:K$2021)</f>
        <v>294.5</v>
      </c>
      <c r="L2029" s="7">
        <f>SUMIF($B$2:$B$2021,$H2029,L$2:L$2021)</f>
        <v>177.5</v>
      </c>
      <c r="M2029" s="7">
        <f>SUMIF($B$2:$B$2021,$H2029,M$2:M$2021)</f>
        <v>0</v>
      </c>
      <c r="N2029" s="7">
        <f>SUMIF($B$2:$B$2021,$H2029,N$2:N$2021)</f>
        <v>86</v>
      </c>
      <c r="O2029" s="7">
        <f>SUMIF($B$2:$B$2021,$H2029,O$2:O$2021)</f>
        <v>0</v>
      </c>
      <c r="P2029" s="7">
        <f>SUMIF($B$2:$B$2021,$H2029,P$2:P$2021)</f>
        <v>59.5</v>
      </c>
      <c r="Q2029" s="7">
        <f>SUMIF($B$2:$B$2021,$H2029,Q$2:Q$2021)</f>
        <v>0</v>
      </c>
      <c r="R2029" s="7">
        <f>SUMIF($B$2:$B$2021,$H2029,R$2:R$2021)</f>
        <v>0</v>
      </c>
      <c r="S2029" s="7">
        <f>SUMIF($B$2:$B$2021,$H2029,S$2:S$2021)</f>
        <v>0</v>
      </c>
      <c r="T2029" s="7">
        <f>SUMIF($B$2:$B$2021,$H2029,T$2:T$2021)</f>
        <v>0</v>
      </c>
      <c r="U2029" s="7">
        <f>SUMIF($B$2:$B$2021,$H2029,U$2:U$2021)</f>
        <v>0</v>
      </c>
      <c r="V2029" s="7">
        <f>SUMIF($B$2:$B$2021,$H2029,V$2:V$2021)</f>
        <v>0</v>
      </c>
    </row>
    <row r="2030" spans="2:22" ht="15" x14ac:dyDescent="0.25">
      <c r="H2030" s="4" t="s">
        <v>244</v>
      </c>
      <c r="I2030" s="30">
        <f t="shared" si="6"/>
        <v>1006</v>
      </c>
      <c r="J2030" s="6"/>
      <c r="K2030" s="7">
        <f>SUMIF($B$2:$B$2021,$H2030,K$2:K$2021)</f>
        <v>9693.9000000000015</v>
      </c>
      <c r="L2030" s="7">
        <f>SUMIF($B$2:$B$2021,$H2030,L$2:L$2021)</f>
        <v>9434.4999999999982</v>
      </c>
      <c r="M2030" s="7">
        <f>SUMIF($B$2:$B$2021,$H2030,M$2:M$2021)</f>
        <v>9026.4</v>
      </c>
      <c r="N2030" s="7">
        <f>SUMIF($B$2:$B$2021,$H2030,N$2:N$2021)</f>
        <v>5523.4</v>
      </c>
      <c r="O2030" s="7">
        <f>SUMIF($B$2:$B$2021,$H2030,O$2:O$2021)</f>
        <v>4448.1000000000004</v>
      </c>
      <c r="P2030" s="7">
        <f>SUMIF($B$2:$B$2021,$H2030,P$2:P$2021)</f>
        <v>6125.1000000000022</v>
      </c>
      <c r="Q2030" s="7">
        <f>SUMIF($B$2:$B$2021,$H2030,Q$2:Q$2021)</f>
        <v>7035.4999999999991</v>
      </c>
      <c r="R2030" s="7">
        <f>SUMIF($B$2:$B$2021,$H2030,R$2:R$2021)</f>
        <v>7546.7999999999993</v>
      </c>
      <c r="S2030" s="7">
        <f>SUMIF($B$2:$B$2021,$H2030,S$2:S$2021)</f>
        <v>7743.5000000000009</v>
      </c>
      <c r="T2030" s="7">
        <f>SUMIF($B$2:$B$2021,$H2030,T$2:T$2021)</f>
        <v>8175.8000000000011</v>
      </c>
      <c r="U2030" s="7">
        <f>SUMIF($B$2:$B$2021,$H2030,U$2:U$2021)</f>
        <v>8306.3000000000011</v>
      </c>
      <c r="V2030" s="7">
        <f>SUMIF($B$2:$B$2021,$H2030,V$2:V$2021)</f>
        <v>7909.1999999999971</v>
      </c>
    </row>
    <row r="2031" spans="2:22" ht="15" x14ac:dyDescent="0.25">
      <c r="H2031" s="12" t="s">
        <v>814</v>
      </c>
      <c r="I2031" s="30">
        <f t="shared" si="6"/>
        <v>1007</v>
      </c>
      <c r="J2031" s="6"/>
      <c r="K2031" s="7">
        <f>SUMIF($B$2:$B$2021,$H2031,K$2:K$2021)</f>
        <v>9777.7000000000007</v>
      </c>
      <c r="L2031" s="7">
        <f>SUMIF($B$2:$B$2021,$H2031,L$2:L$2021)</f>
        <v>10981.6</v>
      </c>
      <c r="M2031" s="7">
        <f>SUMIF($B$2:$B$2021,$H2031,M$2:M$2021)</f>
        <v>7989.3999999999978</v>
      </c>
      <c r="N2031" s="7">
        <f>SUMIF($B$2:$B$2021,$H2031,N$2:N$2021)</f>
        <v>5997.8</v>
      </c>
      <c r="O2031" s="7">
        <f>SUMIF($B$2:$B$2021,$H2031,O$2:O$2021)</f>
        <v>7322.4000000000015</v>
      </c>
      <c r="P2031" s="7">
        <f>SUMIF($B$2:$B$2021,$H2031,P$2:P$2021)</f>
        <v>8234.7000000000025</v>
      </c>
      <c r="Q2031" s="7">
        <f>SUMIF($B$2:$B$2021,$H2031,Q$2:Q$2021)</f>
        <v>8947.6000000000022</v>
      </c>
      <c r="R2031" s="7">
        <f>SUMIF($B$2:$B$2021,$H2031,R$2:R$2021)</f>
        <v>7723.9000000000024</v>
      </c>
      <c r="S2031" s="7">
        <f>SUMIF($B$2:$B$2021,$H2031,S$2:S$2021)</f>
        <v>6930.9</v>
      </c>
      <c r="T2031" s="7">
        <f>SUMIF($B$2:$B$2021,$H2031,T$2:T$2021)</f>
        <v>8066.9</v>
      </c>
      <c r="U2031" s="7">
        <f>SUMIF($B$2:$B$2021,$H2031,U$2:U$2021)</f>
        <v>8787.1999999999989</v>
      </c>
      <c r="V2031" s="7">
        <f>SUMIF($B$2:$B$2021,$H2031,V$2:V$2021)</f>
        <v>8391</v>
      </c>
    </row>
    <row r="2032" spans="2:22" ht="15" x14ac:dyDescent="0.25">
      <c r="H2032" s="4" t="s">
        <v>246</v>
      </c>
      <c r="I2032" s="30">
        <f t="shared" si="6"/>
        <v>1008</v>
      </c>
      <c r="J2032" s="6"/>
      <c r="K2032" s="7">
        <f>SUMIF($B$2:$B$2021,$H2032,K$2:K$2021)</f>
        <v>7429.2000000000007</v>
      </c>
      <c r="L2032" s="7">
        <f>SUMIF($B$2:$B$2021,$H2032,L$2:L$2021)</f>
        <v>7131.3000000000011</v>
      </c>
      <c r="M2032" s="7">
        <f>SUMIF($B$2:$B$2021,$H2032,M$2:M$2021)</f>
        <v>5047.300000000002</v>
      </c>
      <c r="N2032" s="7">
        <f>SUMIF($B$2:$B$2021,$H2032,N$2:N$2021)</f>
        <v>3958</v>
      </c>
      <c r="O2032" s="7">
        <f>SUMIF($B$2:$B$2021,$H2032,O$2:O$2021)</f>
        <v>2219.0000000000009</v>
      </c>
      <c r="P2032" s="7">
        <f>SUMIF($B$2:$B$2021,$H2032,P$2:P$2021)</f>
        <v>3251.8</v>
      </c>
      <c r="Q2032" s="7">
        <f>SUMIF($B$2:$B$2021,$H2032,Q$2:Q$2021)</f>
        <v>3495.5</v>
      </c>
      <c r="R2032" s="7">
        <f>SUMIF($B$2:$B$2021,$H2032,R$2:R$2021)</f>
        <v>5288.9</v>
      </c>
      <c r="S2032" s="7">
        <f>SUMIF($B$2:$B$2021,$H2032,S$2:S$2021)</f>
        <v>4922.3</v>
      </c>
      <c r="T2032" s="7">
        <f>SUMIF($B$2:$B$2021,$H2032,T$2:T$2021)</f>
        <v>5474.5000000000018</v>
      </c>
      <c r="U2032" s="7">
        <f>SUMIF($B$2:$B$2021,$H2032,U$2:U$2021)</f>
        <v>4400.8999999999996</v>
      </c>
      <c r="V2032" s="7">
        <f>SUMIF($B$2:$B$2021,$H2032,V$2:V$2021)</f>
        <v>5159.8999999999996</v>
      </c>
    </row>
    <row r="2033" spans="8:22" ht="15" x14ac:dyDescent="0.25">
      <c r="H2033" s="12" t="s">
        <v>245</v>
      </c>
      <c r="I2033" s="30">
        <f t="shared" si="6"/>
        <v>1009</v>
      </c>
      <c r="J2033" s="6"/>
      <c r="K2033" s="7">
        <f>SUMIF($B$2:$B$2021,$H2033,K$2:K$2021)</f>
        <v>15552.300000000001</v>
      </c>
      <c r="L2033" s="7">
        <f>SUMIF($B$2:$B$2021,$H2033,L$2:L$2021)</f>
        <v>9752.6999999999989</v>
      </c>
      <c r="M2033" s="7">
        <f>SUMIF($B$2:$B$2021,$H2033,M$2:M$2021)</f>
        <v>8419.6000000000022</v>
      </c>
      <c r="N2033" s="7">
        <f>SUMIF($B$2:$B$2021,$H2033,N$2:N$2021)</f>
        <v>6701.9000000000015</v>
      </c>
      <c r="O2033" s="7">
        <f>SUMIF($B$2:$B$2021,$H2033,O$2:O$2021)</f>
        <v>8677.5</v>
      </c>
      <c r="P2033" s="7">
        <f>SUMIF($B$2:$B$2021,$H2033,P$2:P$2021)</f>
        <v>8979.5000000000018</v>
      </c>
      <c r="Q2033" s="7">
        <f>SUMIF($B$2:$B$2021,$H2033,Q$2:Q$2021)</f>
        <v>9273.9</v>
      </c>
      <c r="R2033" s="7">
        <f>SUMIF($B$2:$B$2021,$H2033,R$2:R$2021)</f>
        <v>9116.4</v>
      </c>
      <c r="S2033" s="7">
        <f>SUMIF($B$2:$B$2021,$H2033,S$2:S$2021)</f>
        <v>10726.5</v>
      </c>
      <c r="T2033" s="7">
        <f>SUMIF($B$2:$B$2021,$H2033,T$2:T$2021)</f>
        <v>10022.199999999997</v>
      </c>
      <c r="U2033" s="7">
        <f>SUMIF($B$2:$B$2021,$H2033,U$2:U$2021)</f>
        <v>9814.6000000000022</v>
      </c>
      <c r="V2033" s="7">
        <f>SUMIF($B$2:$B$2021,$H2033,V$2:V$2021)</f>
        <v>10631.499999999998</v>
      </c>
    </row>
    <row r="2034" spans="8:22" ht="15" x14ac:dyDescent="0.25">
      <c r="H2034" s="12" t="s">
        <v>247</v>
      </c>
      <c r="I2034" s="30">
        <f t="shared" si="6"/>
        <v>1010</v>
      </c>
      <c r="J2034" s="6"/>
      <c r="K2034" s="7">
        <f>SUMIF($B$2:$B$2021,$H2034,K$2:K$2021)</f>
        <v>4795.1000000000004</v>
      </c>
      <c r="L2034" s="7">
        <f>SUMIF($B$2:$B$2021,$H2034,L$2:L$2021)</f>
        <v>4503.4000000000005</v>
      </c>
      <c r="M2034" s="7">
        <f>SUMIF($B$2:$B$2021,$H2034,M$2:M$2021)</f>
        <v>5777.2999999999993</v>
      </c>
      <c r="N2034" s="7">
        <f>SUMIF($B$2:$B$2021,$H2034,N$2:N$2021)</f>
        <v>4214.2000000000007</v>
      </c>
      <c r="O2034" s="7">
        <f>SUMIF($B$2:$B$2021,$H2034,O$2:O$2021)</f>
        <v>3376.1000000000004</v>
      </c>
      <c r="P2034" s="7">
        <f>SUMIF($B$2:$B$2021,$H2034,P$2:P$2021)</f>
        <v>3888.4</v>
      </c>
      <c r="Q2034" s="7">
        <f>SUMIF($B$2:$B$2021,$H2034,Q$2:Q$2021)</f>
        <v>4005.2000000000003</v>
      </c>
      <c r="R2034" s="7">
        <f>SUMIF($B$2:$B$2021,$H2034,R$2:R$2021)</f>
        <v>6678.3999999999987</v>
      </c>
      <c r="S2034" s="7">
        <f>SUMIF($B$2:$B$2021,$H2034,S$2:S$2021)</f>
        <v>9096.5</v>
      </c>
      <c r="T2034" s="7">
        <f>SUMIF($B$2:$B$2021,$H2034,T$2:T$2021)</f>
        <v>9409.1</v>
      </c>
      <c r="U2034" s="7">
        <f>SUMIF($B$2:$B$2021,$H2034,U$2:U$2021)</f>
        <v>8747.6999999999989</v>
      </c>
      <c r="V2034" s="7">
        <f>SUMIF($B$2:$B$2021,$H2034,V$2:V$2021)</f>
        <v>8787.9000000000015</v>
      </c>
    </row>
    <row r="2035" spans="8:22" ht="15" x14ac:dyDescent="0.25">
      <c r="H2035" s="12" t="s">
        <v>813</v>
      </c>
      <c r="I2035" s="30">
        <f t="shared" si="6"/>
        <v>1011</v>
      </c>
      <c r="J2035" s="6"/>
      <c r="K2035" s="7">
        <f>SUMIF($B$2:$B$2021,$H2035,K$2:K$2021)</f>
        <v>14945.800000000001</v>
      </c>
      <c r="L2035" s="7">
        <f>SUMIF($B$2:$B$2021,$H2035,L$2:L$2021)</f>
        <v>13417.099999999997</v>
      </c>
      <c r="M2035" s="7">
        <f>SUMIF($B$2:$B$2021,$H2035,M$2:M$2021)</f>
        <v>11722.300000000001</v>
      </c>
      <c r="N2035" s="7">
        <f>SUMIF($B$2:$B$2021,$H2035,N$2:N$2021)</f>
        <v>8386.2000000000025</v>
      </c>
      <c r="O2035" s="7">
        <f>SUMIF($B$2:$B$2021,$H2035,O$2:O$2021)</f>
        <v>7197.7000000000007</v>
      </c>
      <c r="P2035" s="7">
        <f>SUMIF($B$2:$B$2021,$H2035,P$2:P$2021)</f>
        <v>8774.0999999999985</v>
      </c>
      <c r="Q2035" s="7">
        <f>SUMIF($B$2:$B$2021,$H2035,Q$2:Q$2021)</f>
        <v>8782.7000000000025</v>
      </c>
      <c r="R2035" s="7">
        <f>SUMIF($B$2:$B$2021,$H2035,R$2:R$2021)</f>
        <v>10500.9</v>
      </c>
      <c r="S2035" s="7">
        <f>SUMIF($B$2:$B$2021,$H2035,S$2:S$2021)</f>
        <v>10180.799999999999</v>
      </c>
      <c r="T2035" s="7">
        <f>SUMIF($B$2:$B$2021,$H2035,T$2:T$2021)</f>
        <v>10110.099999999999</v>
      </c>
      <c r="U2035" s="7">
        <f>SUMIF($B$2:$B$2021,$H2035,U$2:U$2021)</f>
        <v>9801.9</v>
      </c>
      <c r="V2035" s="7">
        <f>SUMIF($B$2:$B$2021,$H2035,V$2:V$2021)</f>
        <v>11123.899999999998</v>
      </c>
    </row>
    <row r="2036" spans="8:22" ht="15" x14ac:dyDescent="0.25">
      <c r="H2036" s="12" t="s">
        <v>806</v>
      </c>
      <c r="I2036" s="30">
        <f t="shared" si="6"/>
        <v>1012</v>
      </c>
      <c r="J2036" s="6"/>
      <c r="K2036" s="7">
        <f>SUMIF($B$2:$B$2021,$H2036,K$2:K$2021)</f>
        <v>13898.900000000003</v>
      </c>
      <c r="L2036" s="7">
        <f>SUMIF($B$2:$B$2021,$H2036,L$2:L$2021)</f>
        <v>14697.200000000004</v>
      </c>
      <c r="M2036" s="7">
        <f>SUMIF($B$2:$B$2021,$H2036,M$2:M$2021)</f>
        <v>12541.799999999997</v>
      </c>
      <c r="N2036" s="7">
        <f>SUMIF($B$2:$B$2021,$H2036,N$2:N$2021)</f>
        <v>7758.6000000000013</v>
      </c>
      <c r="O2036" s="7">
        <f>SUMIF($B$2:$B$2021,$H2036,O$2:O$2021)</f>
        <v>7340.6999999999971</v>
      </c>
      <c r="P2036" s="7">
        <f>SUMIF($B$2:$B$2021,$H2036,P$2:P$2021)</f>
        <v>9242.8000000000011</v>
      </c>
      <c r="Q2036" s="7">
        <f>SUMIF($B$2:$B$2021,$H2036,Q$2:Q$2021)</f>
        <v>10554.300000000005</v>
      </c>
      <c r="R2036" s="7">
        <f>SUMIF($B$2:$B$2021,$H2036,R$2:R$2021)</f>
        <v>12966.200000000004</v>
      </c>
      <c r="S2036" s="7">
        <f>SUMIF($B$2:$B$2021,$H2036,S$2:S$2021)</f>
        <v>14117.699999999997</v>
      </c>
      <c r="T2036" s="7">
        <f>SUMIF($B$2:$B$2021,$H2036,T$2:T$2021)</f>
        <v>14182.299999999994</v>
      </c>
      <c r="U2036" s="7">
        <f>SUMIF($B$2:$B$2021,$H2036,U$2:U$2021)</f>
        <v>15811.200000000003</v>
      </c>
      <c r="V2036" s="7">
        <f>SUMIF($B$2:$B$2021,$H2036,V$2:V$2021)</f>
        <v>14295</v>
      </c>
    </row>
    <row r="2037" spans="8:22" ht="15" x14ac:dyDescent="0.25">
      <c r="H2037" s="17" t="s">
        <v>807</v>
      </c>
      <c r="I2037" s="30">
        <f t="shared" si="6"/>
        <v>1013</v>
      </c>
      <c r="J2037" s="6"/>
      <c r="K2037" s="7">
        <f>SUMIF($B$2:$B$2021,$H2037,K$2:K$2021)</f>
        <v>7023.8000000000011</v>
      </c>
      <c r="L2037" s="7">
        <f>SUMIF($B$2:$B$2021,$H2037,L$2:L$2021)</f>
        <v>6926.5</v>
      </c>
      <c r="M2037" s="7">
        <f>SUMIF($B$2:$B$2021,$H2037,M$2:M$2021)</f>
        <v>5823.2999999999975</v>
      </c>
      <c r="N2037" s="7">
        <f>SUMIF($B$2:$B$2021,$H2037,N$2:N$2021)</f>
        <v>3761.5000000000009</v>
      </c>
      <c r="O2037" s="7">
        <f>SUMIF($B$2:$B$2021,$H2037,O$2:O$2021)</f>
        <v>3593.6000000000008</v>
      </c>
      <c r="P2037" s="7">
        <f>SUMIF($B$2:$B$2021,$H2037,P$2:P$2021)</f>
        <v>4766.7</v>
      </c>
      <c r="Q2037" s="7">
        <f>SUMIF($B$2:$B$2021,$H2037,Q$2:Q$2021)</f>
        <v>4432.8</v>
      </c>
      <c r="R2037" s="7">
        <f>SUMIF($B$2:$B$2021,$H2037,R$2:R$2021)</f>
        <v>4972.0999999999985</v>
      </c>
      <c r="S2037" s="7">
        <f>SUMIF($B$2:$B$2021,$H2037,S$2:S$2021)</f>
        <v>5696.9</v>
      </c>
      <c r="T2037" s="7">
        <f>SUMIF($B$2:$B$2021,$H2037,T$2:T$2021)</f>
        <v>5276.7000000000016</v>
      </c>
      <c r="U2037" s="7">
        <f>SUMIF($B$2:$B$2021,$H2037,U$2:U$2021)</f>
        <v>4870.2</v>
      </c>
      <c r="V2037" s="7">
        <f>SUMIF($B$2:$B$2021,$H2037,V$2:V$2021)</f>
        <v>4438.4999999999991</v>
      </c>
    </row>
    <row r="2038" spans="8:22" ht="15" x14ac:dyDescent="0.25">
      <c r="H2038" s="12" t="s">
        <v>809</v>
      </c>
      <c r="I2038" s="30">
        <f t="shared" si="6"/>
        <v>1014</v>
      </c>
      <c r="J2038" s="6"/>
      <c r="K2038" s="7">
        <f>SUMIF($B$2:$B$2021,$H2038,K$2:K$2021)</f>
        <v>8728.6999999999989</v>
      </c>
      <c r="L2038" s="7">
        <f>SUMIF($B$2:$B$2021,$H2038,L$2:L$2021)</f>
        <v>8431.3999999999978</v>
      </c>
      <c r="M2038" s="7">
        <f>SUMIF($B$2:$B$2021,$H2038,M$2:M$2021)</f>
        <v>7264.0999999999995</v>
      </c>
      <c r="N2038" s="7">
        <f>SUMIF($B$2:$B$2021,$H2038,N$2:N$2021)</f>
        <v>4862.0999999999995</v>
      </c>
      <c r="O2038" s="7">
        <f>SUMIF($B$2:$B$2021,$H2038,O$2:O$2021)</f>
        <v>4004.8999999999987</v>
      </c>
      <c r="P2038" s="7">
        <f>SUMIF($B$2:$B$2021,$H2038,P$2:P$2021)</f>
        <v>4420.5</v>
      </c>
      <c r="Q2038" s="7">
        <f>SUMIF($B$2:$B$2021,$H2038,Q$2:Q$2021)</f>
        <v>6194.9</v>
      </c>
      <c r="R2038" s="7">
        <f>SUMIF($B$2:$B$2021,$H2038,R$2:R$2021)</f>
        <v>6629.5000000000009</v>
      </c>
      <c r="S2038" s="7">
        <f>SUMIF($B$2:$B$2021,$H2038,S$2:S$2021)</f>
        <v>6707.1000000000013</v>
      </c>
      <c r="T2038" s="7">
        <f>SUMIF($B$2:$B$2021,$H2038,T$2:T$2021)</f>
        <v>7190.9000000000015</v>
      </c>
      <c r="U2038" s="7">
        <f>SUMIF($B$2:$B$2021,$H2038,U$2:U$2021)</f>
        <v>6417.3000000000011</v>
      </c>
      <c r="V2038" s="7">
        <f>SUMIF($B$2:$B$2021,$H2038,V$2:V$2021)</f>
        <v>6184.2000000000016</v>
      </c>
    </row>
    <row r="2039" spans="8:22" ht="15" x14ac:dyDescent="0.25">
      <c r="H2039" s="12" t="s">
        <v>843</v>
      </c>
      <c r="I2039" s="30">
        <f t="shared" si="6"/>
        <v>1036</v>
      </c>
      <c r="J2039" s="6"/>
      <c r="K2039" s="7">
        <f>SUMIF($B$2:$B$2021,$H2039,K$2:K$2021)</f>
        <v>1131.4000000000001</v>
      </c>
      <c r="L2039" s="7">
        <f>SUMIF($B$2:$B$2021,$H2039,L$2:L$2021)</f>
        <v>1824.7</v>
      </c>
      <c r="M2039" s="7">
        <f>SUMIF($B$2:$B$2021,$H2039,M$2:M$2021)</f>
        <v>2161.5</v>
      </c>
      <c r="N2039" s="7">
        <f>SUMIF($B$2:$B$2021,$H2039,N$2:N$2021)</f>
        <v>1679.8</v>
      </c>
      <c r="O2039" s="7">
        <f>SUMIF($B$2:$B$2021,$H2039,O$2:O$2021)</f>
        <v>1105.8</v>
      </c>
      <c r="P2039" s="7">
        <f>SUMIF($B$2:$B$2021,$H2039,P$2:P$2021)</f>
        <v>1751.5</v>
      </c>
      <c r="Q2039" s="7">
        <f>SUMIF($B$2:$B$2021,$H2039,Q$2:Q$2021)</f>
        <v>1841.8000000000002</v>
      </c>
      <c r="R2039" s="7">
        <f>SUMIF($B$2:$B$2021,$H2039,R$2:R$2021)</f>
        <v>1711.1999999999998</v>
      </c>
      <c r="S2039" s="7">
        <f>SUMIF($B$2:$B$2021,$H2039,S$2:S$2021)</f>
        <v>1957.9</v>
      </c>
      <c r="T2039" s="7">
        <f>SUMIF($B$2:$B$2021,$H2039,T$2:T$2021)</f>
        <v>2013.1999999999998</v>
      </c>
      <c r="U2039" s="7">
        <f>SUMIF($B$2:$B$2021,$H2039,U$2:U$2021)</f>
        <v>1775.9</v>
      </c>
      <c r="V2039" s="7">
        <f>SUMIF($B$2:$B$2021,$H2039,V$2:V$2021)</f>
        <v>2211.2999999999997</v>
      </c>
    </row>
    <row r="2040" spans="8:22" ht="15" x14ac:dyDescent="0.25">
      <c r="H2040" s="12" t="s">
        <v>989</v>
      </c>
      <c r="I2040" s="30">
        <f t="shared" si="6"/>
        <v>1052</v>
      </c>
      <c r="J2040" s="6"/>
      <c r="K2040" s="7">
        <f>SUMIF($B$2:$B$2021,$H2040,K$2:K$2021)</f>
        <v>16073.099999999999</v>
      </c>
      <c r="L2040" s="7">
        <f>SUMIF($B$2:$B$2021,$H2040,L$2:L$2021)</f>
        <v>13564.8</v>
      </c>
      <c r="M2040" s="7">
        <f>SUMIF($B$2:$B$2021,$H2040,M$2:M$2021)</f>
        <v>8387.4000000000015</v>
      </c>
      <c r="N2040" s="7">
        <f>SUMIF($B$2:$B$2021,$H2040,N$2:N$2021)</f>
        <v>6439</v>
      </c>
      <c r="O2040" s="7">
        <f>SUMIF($B$2:$B$2021,$H2040,O$2:O$2021)</f>
        <v>2581.1999999999998</v>
      </c>
      <c r="P2040" s="7">
        <f>SUMIF($B$2:$B$2021,$H2040,P$2:P$2021)</f>
        <v>7073.2</v>
      </c>
      <c r="Q2040" s="7">
        <f>SUMIF($B$2:$B$2021,$H2040,Q$2:Q$2021)</f>
        <v>6803.0999999999995</v>
      </c>
      <c r="R2040" s="7">
        <f>SUMIF($B$2:$B$2021,$H2040,R$2:R$2021)</f>
        <v>13138.9</v>
      </c>
      <c r="S2040" s="7">
        <f>SUMIF($B$2:$B$2021,$H2040,S$2:S$2021)</f>
        <v>12220.9</v>
      </c>
      <c r="T2040" s="7">
        <f>SUMIF($B$2:$B$2021,$H2040,T$2:T$2021)</f>
        <v>14285.699999999999</v>
      </c>
      <c r="U2040" s="7">
        <f>SUMIF($B$2:$B$2021,$H2040,U$2:U$2021)</f>
        <v>12628.3</v>
      </c>
      <c r="V2040" s="7">
        <f>SUMIF($B$2:$B$2021,$H2040,V$2:V$2021)</f>
        <v>14305.499999999998</v>
      </c>
    </row>
    <row r="2041" spans="8:22" ht="15" x14ac:dyDescent="0.25">
      <c r="H2041" s="40" t="s">
        <v>1234</v>
      </c>
      <c r="I2041" s="30">
        <f t="shared" si="6"/>
        <v>1053</v>
      </c>
      <c r="J2041" s="6"/>
      <c r="K2041" s="7">
        <f>SUMIF($B$2:$B$2021,$H2041,K$2:K$2021)</f>
        <v>13953.899999999998</v>
      </c>
      <c r="L2041" s="7">
        <f>SUMIF($B$2:$B$2021,$H2041,L$2:L$2021)</f>
        <v>14498</v>
      </c>
      <c r="M2041" s="7">
        <f>SUMIF($B$2:$B$2021,$H2041,M$2:M$2021)</f>
        <v>12432.700000000003</v>
      </c>
      <c r="N2041" s="7">
        <f>SUMIF($B$2:$B$2021,$H2041,N$2:N$2021)</f>
        <v>11022.000000000004</v>
      </c>
      <c r="O2041" s="7">
        <f>SUMIF($B$2:$B$2021,$H2041,O$2:O$2021)</f>
        <v>9512</v>
      </c>
      <c r="P2041" s="7">
        <f>SUMIF($B$2:$B$2021,$H2041,P$2:P$2021)</f>
        <v>11820.599999999995</v>
      </c>
      <c r="Q2041" s="7">
        <f>SUMIF($B$2:$B$2021,$H2041,Q$2:Q$2021)</f>
        <v>13048.200000000004</v>
      </c>
      <c r="R2041" s="7">
        <f>SUMIF($B$2:$B$2021,$H2041,R$2:R$2021)</f>
        <v>14596.2</v>
      </c>
      <c r="S2041" s="7">
        <f>SUMIF($B$2:$B$2021,$H2041,S$2:S$2021)</f>
        <v>13747.500000000002</v>
      </c>
      <c r="T2041" s="7">
        <f>SUMIF($B$2:$B$2021,$H2041,T$2:T$2021)</f>
        <v>14079.300000000003</v>
      </c>
      <c r="U2041" s="7">
        <f>SUMIF($B$2:$B$2021,$H2041,U$2:U$2021)</f>
        <v>13979.299999999992</v>
      </c>
      <c r="V2041" s="7">
        <f>SUMIF($B$2:$B$2021,$H2041,V$2:V$2021)</f>
        <v>14532.799999999997</v>
      </c>
    </row>
    <row r="2042" spans="8:22" ht="15" x14ac:dyDescent="0.25">
      <c r="H2042" s="40" t="s">
        <v>1426</v>
      </c>
      <c r="I2042" s="30">
        <f t="shared" si="6"/>
        <v>1054</v>
      </c>
      <c r="J2042" s="6"/>
      <c r="K2042" s="7">
        <f>SUMIF($B$2:$B$2021,$H2042,K$2:K$2021)</f>
        <v>6481.2</v>
      </c>
      <c r="L2042" s="7">
        <f>SUMIF($B$2:$B$2021,$H2042,L$2:L$2021)</f>
        <v>6396.9000000000005</v>
      </c>
      <c r="M2042" s="7">
        <f>SUMIF($B$2:$B$2021,$H2042,M$2:M$2021)</f>
        <v>5825.3999999999987</v>
      </c>
      <c r="N2042" s="7">
        <f>SUMIF($B$2:$B$2021,$H2042,N$2:N$2021)</f>
        <v>4834.9999999999973</v>
      </c>
      <c r="O2042" s="7">
        <f>SUMIF($B$2:$B$2021,$H2042,O$2:O$2021)</f>
        <v>4622.6000000000004</v>
      </c>
      <c r="P2042" s="7">
        <f>SUMIF($B$2:$B$2021,$H2042,P$2:P$2021)</f>
        <v>5168.0000000000009</v>
      </c>
      <c r="Q2042" s="7">
        <f>SUMIF($B$2:$B$2021,$H2042,Q$2:Q$2021)</f>
        <v>5188.8999999999978</v>
      </c>
      <c r="R2042" s="7">
        <f>SUMIF($B$2:$B$2021,$H2042,R$2:R$2021)</f>
        <v>5681.8000000000011</v>
      </c>
      <c r="S2042" s="7">
        <f>SUMIF($B$2:$B$2021,$H2042,S$2:S$2021)</f>
        <v>5960.4</v>
      </c>
      <c r="T2042" s="7">
        <f>SUMIF($B$2:$B$2021,$H2042,T$2:T$2021)</f>
        <v>6032.8</v>
      </c>
      <c r="U2042" s="7">
        <f>SUMIF($B$2:$B$2021,$H2042,U$2:U$2021)</f>
        <v>5727.7999999999993</v>
      </c>
      <c r="V2042" s="7">
        <f>SUMIF($B$2:$B$2021,$H2042,V$2:V$2021)</f>
        <v>5942.4999999999991</v>
      </c>
    </row>
    <row r="2043" spans="8:22" ht="15" x14ac:dyDescent="0.25">
      <c r="H2043" s="40" t="s">
        <v>1520</v>
      </c>
      <c r="I2043" s="30">
        <f t="shared" si="6"/>
        <v>1055</v>
      </c>
      <c r="J2043" s="6"/>
      <c r="K2043" s="7">
        <f>SUMIF($B$2:$B$2021,$H2043,K$2:K$2021)</f>
        <v>6449.5</v>
      </c>
      <c r="L2043" s="7">
        <f>SUMIF($B$2:$B$2021,$H2043,L$2:L$2021)</f>
        <v>3662.4999999999995</v>
      </c>
      <c r="M2043" s="7">
        <f>SUMIF($B$2:$B$2021,$H2043,M$2:M$2021)</f>
        <v>4937.4000000000005</v>
      </c>
      <c r="N2043" s="7">
        <f>SUMIF($B$2:$B$2021,$H2043,N$2:N$2021)</f>
        <v>2461</v>
      </c>
      <c r="O2043" s="7">
        <f>SUMIF($B$2:$B$2021,$H2043,O$2:O$2021)</f>
        <v>1972.9</v>
      </c>
      <c r="P2043" s="7">
        <f>SUMIF($B$2:$B$2021,$H2043,P$2:P$2021)</f>
        <v>2608.9999999999995</v>
      </c>
      <c r="Q2043" s="7">
        <f>SUMIF($B$2:$B$2021,$H2043,Q$2:Q$2021)</f>
        <v>5390.2999999999993</v>
      </c>
      <c r="R2043" s="7">
        <f>SUMIF($B$2:$B$2021,$H2043,R$2:R$2021)</f>
        <v>5596.8</v>
      </c>
      <c r="S2043" s="7">
        <f>SUMIF($B$2:$B$2021,$H2043,S$2:S$2021)</f>
        <v>3636.8</v>
      </c>
      <c r="T2043" s="7">
        <f>SUMIF($B$2:$B$2021,$H2043,T$2:T$2021)</f>
        <v>5385.8</v>
      </c>
      <c r="U2043" s="7">
        <f>SUMIF($B$2:$B$2021,$H2043,U$2:U$2021)</f>
        <v>4941.5</v>
      </c>
      <c r="V2043" s="7">
        <f>SUMIF($B$2:$B$2021,$H2043,V$2:V$2021)</f>
        <v>3596.7</v>
      </c>
    </row>
    <row r="2044" spans="8:22" ht="15" x14ac:dyDescent="0.25">
      <c r="H2044" s="40" t="s">
        <v>1484</v>
      </c>
      <c r="I2044" s="30">
        <f t="shared" si="6"/>
        <v>1056</v>
      </c>
      <c r="J2044" s="6"/>
      <c r="K2044" s="7">
        <f>SUMIF($B$2:$B$2021,$H2044,K$2:K$2021)</f>
        <v>4973.2999999999993</v>
      </c>
      <c r="L2044" s="7">
        <f>SUMIF($B$2:$B$2021,$H2044,L$2:L$2021)</f>
        <v>4441.9999999999991</v>
      </c>
      <c r="M2044" s="7">
        <f>SUMIF($B$2:$B$2021,$H2044,M$2:M$2021)</f>
        <v>4302.8999999999996</v>
      </c>
      <c r="N2044" s="7">
        <f>SUMIF($B$2:$B$2021,$H2044,N$2:N$2021)</f>
        <v>3940.7000000000003</v>
      </c>
      <c r="O2044" s="7">
        <f>SUMIF($B$2:$B$2021,$H2044,O$2:O$2021)</f>
        <v>3594.8</v>
      </c>
      <c r="P2044" s="7">
        <f>SUMIF($B$2:$B$2021,$H2044,P$2:P$2021)</f>
        <v>4087.8</v>
      </c>
      <c r="Q2044" s="7">
        <f>SUMIF($B$2:$B$2021,$H2044,Q$2:Q$2021)</f>
        <v>3972.6000000000004</v>
      </c>
      <c r="R2044" s="7">
        <f>SUMIF($B$2:$B$2021,$H2044,R$2:R$2021)</f>
        <v>4223.8000000000011</v>
      </c>
      <c r="S2044" s="7">
        <f>SUMIF($B$2:$B$2021,$H2044,S$2:S$2021)</f>
        <v>4204.5</v>
      </c>
      <c r="T2044" s="7">
        <f>SUMIF($B$2:$B$2021,$H2044,T$2:T$2021)</f>
        <v>4268.3</v>
      </c>
      <c r="U2044" s="7">
        <f>SUMIF($B$2:$B$2021,$H2044,U$2:U$2021)</f>
        <v>4480.2</v>
      </c>
      <c r="V2044" s="7">
        <f>SUMIF($B$2:$B$2021,$H2044,V$2:V$2021)</f>
        <v>4379.1999999999989</v>
      </c>
    </row>
    <row r="2045" spans="8:22" ht="15" x14ac:dyDescent="0.25">
      <c r="H2045" s="40" t="s">
        <v>1596</v>
      </c>
      <c r="I2045" s="30">
        <f t="shared" si="6"/>
        <v>1057</v>
      </c>
      <c r="J2045" s="6"/>
      <c r="K2045" s="7">
        <f>SUMIF($B$2:$B$2021,$H2045,K$2:K$2021)</f>
        <v>4559.4000000000005</v>
      </c>
      <c r="L2045" s="7">
        <f>SUMIF($B$2:$B$2021,$H2045,L$2:L$2021)</f>
        <v>4000.2999999999997</v>
      </c>
      <c r="M2045" s="7">
        <f>SUMIF($B$2:$B$2021,$H2045,M$2:M$2021)</f>
        <v>3726.3999999999992</v>
      </c>
      <c r="N2045" s="7">
        <f>SUMIF($B$2:$B$2021,$H2045,N$2:N$2021)</f>
        <v>3264.5000000000018</v>
      </c>
      <c r="O2045" s="7">
        <f>SUMIF($B$2:$B$2021,$H2045,O$2:O$2021)</f>
        <v>3109.2000000000003</v>
      </c>
      <c r="P2045" s="7">
        <f>SUMIF($B$2:$B$2021,$H2045,P$2:P$2021)</f>
        <v>3540.7000000000016</v>
      </c>
      <c r="Q2045" s="7">
        <f>SUMIF($B$2:$B$2021,$H2045,Q$2:Q$2021)</f>
        <v>3892.3</v>
      </c>
      <c r="R2045" s="7">
        <f>SUMIF($B$2:$B$2021,$H2045,R$2:R$2021)</f>
        <v>4380.6000000000004</v>
      </c>
      <c r="S2045" s="7">
        <f>SUMIF($B$2:$B$2021,$H2045,S$2:S$2021)</f>
        <v>4054.4000000000005</v>
      </c>
      <c r="T2045" s="7">
        <f>SUMIF($B$2:$B$2021,$H2045,T$2:T$2021)</f>
        <v>3882.2999999999988</v>
      </c>
      <c r="U2045" s="7">
        <f>SUMIF($B$2:$B$2021,$H2045,U$2:U$2021)</f>
        <v>3861.099999999999</v>
      </c>
      <c r="V2045" s="7">
        <f>SUMIF($B$2:$B$2021,$H2045,V$2:V$2021)</f>
        <v>3969.1000000000022</v>
      </c>
    </row>
    <row r="2046" spans="8:22" ht="15" x14ac:dyDescent="0.25">
      <c r="H2046" s="40" t="s">
        <v>1782</v>
      </c>
      <c r="I2046" s="30">
        <f t="shared" si="6"/>
        <v>1058</v>
      </c>
      <c r="J2046" s="6"/>
      <c r="K2046" s="7">
        <f>SUMIF($B$2:$B$2021,$H2046,K$2:K$2021)</f>
        <v>2342.1999999999994</v>
      </c>
      <c r="L2046" s="7">
        <f>SUMIF($B$2:$B$2021,$H2046,L$2:L$2021)</f>
        <v>2299.0999999999995</v>
      </c>
      <c r="M2046" s="7">
        <f>SUMIF($B$2:$B$2021,$H2046,M$2:M$2021)</f>
        <v>2138.9999999999995</v>
      </c>
      <c r="N2046" s="7">
        <f>SUMIF($B$2:$B$2021,$H2046,N$2:N$2021)</f>
        <v>1661</v>
      </c>
      <c r="O2046" s="7">
        <f>SUMIF($B$2:$B$2021,$H2046,O$2:O$2021)</f>
        <v>1435.4999999999998</v>
      </c>
      <c r="P2046" s="7">
        <f>SUMIF($B$2:$B$2021,$H2046,P$2:P$2021)</f>
        <v>1678.3999999999999</v>
      </c>
      <c r="Q2046" s="7">
        <f>SUMIF($B$2:$B$2021,$H2046,Q$2:Q$2021)</f>
        <v>1848.8000000000004</v>
      </c>
      <c r="R2046" s="7">
        <f>SUMIF($B$2:$B$2021,$H2046,R$2:R$2021)</f>
        <v>2085.6000000000004</v>
      </c>
      <c r="S2046" s="7">
        <f>SUMIF($B$2:$B$2021,$H2046,S$2:S$2021)</f>
        <v>1700.5000000000002</v>
      </c>
      <c r="T2046" s="7">
        <f>SUMIF($B$2:$B$2021,$H2046,T$2:T$2021)</f>
        <v>1932.7000000000003</v>
      </c>
      <c r="U2046" s="7">
        <f>SUMIF($B$2:$B$2021,$H2046,U$2:U$2021)</f>
        <v>1907.3999999999994</v>
      </c>
      <c r="V2046" s="7">
        <f>SUMIF($B$2:$B$2021,$H2046,V$2:V$2021)</f>
        <v>1885.3000000000002</v>
      </c>
    </row>
    <row r="2047" spans="8:22" ht="15" x14ac:dyDescent="0.25">
      <c r="H2047" s="40" t="s">
        <v>1783</v>
      </c>
      <c r="I2047" s="30">
        <f t="shared" si="6"/>
        <v>1059</v>
      </c>
      <c r="J2047" s="6"/>
      <c r="K2047" s="7">
        <f>SUMIF($B$2:$B$2021,$H2047,K$2:K$2021)</f>
        <v>2302.2000000000007</v>
      </c>
      <c r="L2047" s="7">
        <f>SUMIF($B$2:$B$2021,$H2047,L$2:L$2021)</f>
        <v>2387.1999999999994</v>
      </c>
      <c r="M2047" s="7">
        <f>SUMIF($B$2:$B$2021,$H2047,M$2:M$2021)</f>
        <v>2519.4</v>
      </c>
      <c r="N2047" s="7">
        <f>SUMIF($B$2:$B$2021,$H2047,N$2:N$2021)</f>
        <v>2290.2000000000003</v>
      </c>
      <c r="O2047" s="7">
        <f>SUMIF($B$2:$B$2021,$H2047,O$2:O$2021)</f>
        <v>2355.1</v>
      </c>
      <c r="P2047" s="7">
        <f>SUMIF($B$2:$B$2021,$H2047,P$2:P$2021)</f>
        <v>2537.2999999999997</v>
      </c>
      <c r="Q2047" s="7">
        <f>SUMIF($B$2:$B$2021,$H2047,Q$2:Q$2021)</f>
        <v>2632.8</v>
      </c>
      <c r="R2047" s="7">
        <f>SUMIF($B$2:$B$2021,$H2047,R$2:R$2021)</f>
        <v>2895.3</v>
      </c>
      <c r="S2047" s="7">
        <f>SUMIF($B$2:$B$2021,$H2047,S$2:S$2021)</f>
        <v>3035.0000000000009</v>
      </c>
      <c r="T2047" s="7">
        <f>SUMIF($B$2:$B$2021,$H2047,T$2:T$2021)</f>
        <v>3259.2000000000003</v>
      </c>
      <c r="U2047" s="7">
        <f>SUMIF($B$2:$B$2021,$H2047,U$2:U$2021)</f>
        <v>3229.2999999999993</v>
      </c>
      <c r="V2047" s="7">
        <f>SUMIF($B$2:$B$2021,$H2047,V$2:V$2021)</f>
        <v>3384.5</v>
      </c>
    </row>
    <row r="2048" spans="8:22" ht="15" x14ac:dyDescent="0.25">
      <c r="H2048" s="40" t="s">
        <v>2093</v>
      </c>
      <c r="I2048" s="30">
        <f t="shared" si="6"/>
        <v>1060</v>
      </c>
      <c r="J2048" s="6"/>
      <c r="K2048" s="7">
        <f>SUMIF($B$2:$B$2021,$H2048,K$2:K$2021)</f>
        <v>561.69999999999993</v>
      </c>
      <c r="L2048" s="7">
        <f>SUMIF($B$2:$B$2021,$H2048,L$2:L$2021)</f>
        <v>542.29999999999995</v>
      </c>
      <c r="M2048" s="7">
        <f>SUMIF($B$2:$B$2021,$H2048,M$2:M$2021)</f>
        <v>482.3</v>
      </c>
      <c r="N2048" s="7">
        <f>SUMIF($B$2:$B$2021,$H2048,N$2:N$2021)</f>
        <v>328.2</v>
      </c>
      <c r="O2048" s="7">
        <f>SUMIF($B$2:$B$2021,$H2048,O$2:O$2021)</f>
        <v>206.9</v>
      </c>
      <c r="P2048" s="7">
        <f>SUMIF($B$2:$B$2021,$H2048,P$2:P$2021)</f>
        <v>63.6</v>
      </c>
      <c r="Q2048" s="7">
        <f>SUMIF($B$2:$B$2021,$H2048,Q$2:Q$2021)</f>
        <v>0</v>
      </c>
      <c r="R2048" s="7">
        <f>SUMIF($B$2:$B$2021,$H2048,R$2:R$2021)</f>
        <v>0</v>
      </c>
      <c r="S2048" s="7">
        <f>SUMIF($B$2:$B$2021,$H2048,S$2:S$2021)</f>
        <v>0</v>
      </c>
      <c r="T2048" s="7">
        <f>SUMIF($B$2:$B$2021,$H2048,T$2:T$2021)</f>
        <v>0</v>
      </c>
      <c r="U2048" s="7">
        <f>SUMIF($B$2:$B$2021,$H2048,U$2:U$2021)</f>
        <v>0</v>
      </c>
      <c r="V2048" s="7">
        <f>SUMIF($B$2:$B$2021,$H2048,V$2:V$2021)</f>
        <v>0</v>
      </c>
    </row>
    <row r="2049" spans="8:22" ht="15" x14ac:dyDescent="0.25">
      <c r="H2049" s="40" t="s">
        <v>2007</v>
      </c>
      <c r="I2049" s="30">
        <f t="shared" si="6"/>
        <v>1061</v>
      </c>
      <c r="J2049" s="6"/>
      <c r="K2049" s="7">
        <f>SUMIF($B$2:$B$2021,$H2049,K$2:K$2021)</f>
        <v>2324.0000000000005</v>
      </c>
      <c r="L2049" s="7">
        <f>SUMIF($B$2:$B$2021,$H2049,L$2:L$2021)</f>
        <v>2957.0000000000005</v>
      </c>
      <c r="M2049" s="7">
        <f>SUMIF($B$2:$B$2021,$H2049,M$2:M$2021)</f>
        <v>2658.3</v>
      </c>
      <c r="N2049" s="7">
        <f>SUMIF($B$2:$B$2021,$H2049,N$2:N$2021)</f>
        <v>2443.1999999999998</v>
      </c>
      <c r="O2049" s="7">
        <f>SUMIF($B$2:$B$2021,$H2049,O$2:O$2021)</f>
        <v>1767.8999999999999</v>
      </c>
      <c r="P2049" s="7">
        <f>SUMIF($B$2:$B$2021,$H2049,P$2:P$2021)</f>
        <v>1643.3000000000006</v>
      </c>
      <c r="Q2049" s="7">
        <f>SUMIF($B$2:$B$2021,$H2049,Q$2:Q$2021)</f>
        <v>1460.3</v>
      </c>
      <c r="R2049" s="7">
        <f>SUMIF($B$2:$B$2021,$H2049,R$2:R$2021)</f>
        <v>1574.8999999999999</v>
      </c>
      <c r="S2049" s="7">
        <f>SUMIF($B$2:$B$2021,$H2049,S$2:S$2021)</f>
        <v>1605.4000000000003</v>
      </c>
      <c r="T2049" s="7">
        <f>SUMIF($B$2:$B$2021,$H2049,T$2:T$2021)</f>
        <v>1638.2999999999997</v>
      </c>
      <c r="U2049" s="7">
        <f>SUMIF($B$2:$B$2021,$H2049,U$2:U$2021)</f>
        <v>1711.2</v>
      </c>
      <c r="V2049" s="7">
        <f>SUMIF($B$2:$B$2021,$H2049,V$2:V$2021)</f>
        <v>2045.1000000000001</v>
      </c>
    </row>
    <row r="2050" spans="8:22" ht="15" x14ac:dyDescent="0.25">
      <c r="H2050" s="40" t="s">
        <v>1880</v>
      </c>
      <c r="I2050" s="30">
        <f t="shared" si="6"/>
        <v>1062</v>
      </c>
      <c r="J2050" s="6"/>
      <c r="K2050" s="7">
        <f>SUMIF($B$2:$B$2021,$H2050,K$2:K$2021)</f>
        <v>21157.7</v>
      </c>
      <c r="L2050" s="7">
        <f>SUMIF($B$2:$B$2021,$H2050,L$2:L$2021)</f>
        <v>19104.899999999994</v>
      </c>
      <c r="M2050" s="7">
        <f>SUMIF($B$2:$B$2021,$H2050,M$2:M$2021)</f>
        <v>15730.100000000004</v>
      </c>
      <c r="N2050" s="7">
        <f>SUMIF($B$2:$B$2021,$H2050,N$2:N$2021)</f>
        <v>9249.3000000000011</v>
      </c>
      <c r="O2050" s="7">
        <f>SUMIF($B$2:$B$2021,$H2050,O$2:O$2021)</f>
        <v>8723.6999999999989</v>
      </c>
      <c r="P2050" s="7">
        <f>SUMIF($B$2:$B$2021,$H2050,P$2:P$2021)</f>
        <v>8614.4999999999982</v>
      </c>
      <c r="Q2050" s="7">
        <f>SUMIF($B$2:$B$2021,$H2050,Q$2:Q$2021)</f>
        <v>14887.499999999996</v>
      </c>
      <c r="R2050" s="7">
        <f>SUMIF($B$2:$B$2021,$H2050,R$2:R$2021)</f>
        <v>19137.600000000002</v>
      </c>
      <c r="S2050" s="7">
        <f>SUMIF($B$2:$B$2021,$H2050,S$2:S$2021)</f>
        <v>17406.200000000008</v>
      </c>
      <c r="T2050" s="7">
        <f>SUMIF($B$2:$B$2021,$H2050,T$2:T$2021)</f>
        <v>11454.900000000001</v>
      </c>
      <c r="U2050" s="7">
        <f>SUMIF($B$2:$B$2021,$H2050,U$2:U$2021)</f>
        <v>9618.6</v>
      </c>
      <c r="V2050" s="7">
        <f>SUMIF($B$2:$B$2021,$H2050,V$2:V$2021)</f>
        <v>11055.6</v>
      </c>
    </row>
    <row r="2051" spans="8:22" ht="15" x14ac:dyDescent="0.25">
      <c r="H2051" s="40" t="s">
        <v>2202</v>
      </c>
      <c r="I2051" s="30">
        <f t="shared" si="6"/>
        <v>1063</v>
      </c>
      <c r="J2051" s="6"/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f>SUMIF($B$2:$B$2021,$H2051,V$2:V$2021)</f>
        <v>2.2999999999999998</v>
      </c>
    </row>
    <row r="2052" spans="8:22" ht="15" x14ac:dyDescent="0.25">
      <c r="H2052" s="40" t="s">
        <v>1974</v>
      </c>
      <c r="I2052" s="30">
        <f t="shared" si="6"/>
        <v>1064</v>
      </c>
      <c r="J2052" s="6"/>
      <c r="K2052" s="7">
        <f>SUMIF($B$2:$B$2021,$H2052,K$2:K$2021)</f>
        <v>410.5</v>
      </c>
      <c r="L2052" s="7">
        <f>SUMIF($B$2:$B$2021,$H2052,L$2:L$2021)</f>
        <v>409.40000000000003</v>
      </c>
      <c r="M2052" s="7">
        <f>SUMIF($B$2:$B$2021,$H2052,M$2:M$2021)</f>
        <v>399.40000000000009</v>
      </c>
      <c r="N2052" s="7">
        <f>SUMIF($B$2:$B$2021,$H2052,N$2:N$2021)</f>
        <v>361.9</v>
      </c>
      <c r="O2052" s="7">
        <f>SUMIF($B$2:$B$2021,$H2052,O$2:O$2021)</f>
        <v>380.5</v>
      </c>
      <c r="P2052" s="7">
        <f>SUMIF($B$2:$B$2021,$H2052,P$2:P$2021)</f>
        <v>557.49999999999989</v>
      </c>
      <c r="Q2052" s="7">
        <f>SUMIF($B$2:$B$2021,$H2052,Q$2:Q$2021)</f>
        <v>605.70000000000005</v>
      </c>
      <c r="R2052" s="7">
        <f>SUMIF($B$2:$B$2021,$H2052,R$2:R$2021)</f>
        <v>732.49999999999989</v>
      </c>
      <c r="S2052" s="7">
        <f>SUMIF($B$2:$B$2021,$H2052,S$2:S$2021)</f>
        <v>676.09999999999991</v>
      </c>
      <c r="T2052" s="7">
        <f>SUMIF($B$2:$B$2021,$H2052,T$2:T$2021)</f>
        <v>685.69999999999993</v>
      </c>
      <c r="U2052" s="7">
        <f>SUMIF($B$2:$B$2021,$H2052,U$2:U$2021)</f>
        <v>705.09999999999991</v>
      </c>
      <c r="V2052" s="7">
        <f>SUMIF($B$2:$B$2021,$H2052,V$2:V$2021)</f>
        <v>711.1</v>
      </c>
    </row>
    <row r="2053" spans="8:22" ht="15" x14ac:dyDescent="0.25">
      <c r="H2053" s="40" t="s">
        <v>2008</v>
      </c>
      <c r="I2053" s="30">
        <f t="shared" si="6"/>
        <v>1065</v>
      </c>
      <c r="J2053" s="6"/>
      <c r="K2053" s="7">
        <f>SUMIF($B$2:$B$2021,$H2053,K$2:K$2021)</f>
        <v>293.39999999999998</v>
      </c>
      <c r="L2053" s="7">
        <f>SUMIF($B$2:$B$2021,$H2053,L$2:L$2021)</f>
        <v>336.90000000000003</v>
      </c>
      <c r="M2053" s="7">
        <f>SUMIF($B$2:$B$2021,$H2053,M$2:M$2021)</f>
        <v>416.5</v>
      </c>
      <c r="N2053" s="7">
        <f>SUMIF($B$2:$B$2021,$H2053,N$2:N$2021)</f>
        <v>448.40000000000003</v>
      </c>
      <c r="O2053" s="7">
        <f>SUMIF($B$2:$B$2021,$H2053,O$2:O$2021)</f>
        <v>341.2</v>
      </c>
      <c r="P2053" s="7">
        <f>SUMIF($B$2:$B$2021,$H2053,P$2:P$2021)</f>
        <v>360.00000000000006</v>
      </c>
      <c r="Q2053" s="7">
        <f>SUMIF($B$2:$B$2021,$H2053,Q$2:Q$2021)</f>
        <v>363.40000000000003</v>
      </c>
      <c r="R2053" s="7">
        <f>SUMIF($B$2:$B$2021,$H2053,R$2:R$2021)</f>
        <v>433.40000000000003</v>
      </c>
      <c r="S2053" s="7">
        <f>SUMIF($B$2:$B$2021,$H2053,S$2:S$2021)</f>
        <v>422.69999999999993</v>
      </c>
      <c r="T2053" s="7">
        <f>SUMIF($B$2:$B$2021,$H2053,T$2:T$2021)</f>
        <v>755.30000000000007</v>
      </c>
      <c r="U2053" s="7">
        <f>SUMIF($B$2:$B$2021,$H2053,U$2:U$2021)</f>
        <v>931.09999999999991</v>
      </c>
      <c r="V2053" s="7">
        <f>SUMIF($B$2:$B$2021,$H2053,V$2:V$2021)</f>
        <v>714.1</v>
      </c>
    </row>
    <row r="2054" spans="8:22" ht="15" x14ac:dyDescent="0.25">
      <c r="H2054" s="40" t="s">
        <v>2163</v>
      </c>
      <c r="I2054" s="30">
        <f t="shared" si="6"/>
        <v>1066</v>
      </c>
      <c r="J2054" s="6"/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f>SUMIF($B$2:$B$2021,$H2054,Q$2:Q$2021)</f>
        <v>1016.5999999999999</v>
      </c>
      <c r="R2054" s="7">
        <f>SUMIF($B$2:$B$2021,$H2054,R$2:R$2021)</f>
        <v>2002.5</v>
      </c>
      <c r="S2054" s="7">
        <f>SUMIF($B$2:$B$2021,$H2054,S$2:S$2021)</f>
        <v>1985.6000000000004</v>
      </c>
      <c r="T2054" s="7">
        <f>SUMIF($B$2:$B$2021,$H2054,T$2:T$2021)</f>
        <v>2435.5999999999995</v>
      </c>
      <c r="U2054" s="7">
        <f>SUMIF($B$2:$B$2021,$H2054,U$2:U$2021)</f>
        <v>2407.6</v>
      </c>
      <c r="V2054" s="7">
        <f>SUMIF($B$2:$B$2021,$H2054,V$2:V$2021)</f>
        <v>2159.9</v>
      </c>
    </row>
    <row r="2055" spans="8:22" ht="15" x14ac:dyDescent="0.25">
      <c r="H2055" s="43" t="s">
        <v>992</v>
      </c>
      <c r="I2055" s="44"/>
      <c r="J2055" s="31"/>
      <c r="K2055" s="32">
        <f>SUM(K2026:K2054)</f>
        <v>206050.00000000003</v>
      </c>
      <c r="L2055" s="32">
        <f t="shared" ref="L2055:Q2055" si="7">SUM(L2026:L2054)</f>
        <v>199080.39999999997</v>
      </c>
      <c r="M2055" s="32">
        <f t="shared" si="7"/>
        <v>167236.1</v>
      </c>
      <c r="N2055" s="32">
        <f t="shared" si="7"/>
        <v>122573.59999999999</v>
      </c>
      <c r="O2055" s="32">
        <f t="shared" si="7"/>
        <v>113956.79999999999</v>
      </c>
      <c r="P2055" s="32">
        <f t="shared" si="7"/>
        <v>137704.6</v>
      </c>
      <c r="Q2055" s="32">
        <f t="shared" si="7"/>
        <v>156471.20000000001</v>
      </c>
      <c r="R2055" s="32">
        <f t="shared" ref="R2055" si="8">SUM(R2026:R2054)</f>
        <v>187441.09999999992</v>
      </c>
      <c r="S2055" s="32">
        <f>SUM(S2026:S2054)</f>
        <v>184050.3</v>
      </c>
      <c r="T2055" s="32">
        <f>SUM(T2026:T2054)</f>
        <v>187518.99999999994</v>
      </c>
      <c r="U2055" s="32">
        <f>SUM(U2026:U2054)</f>
        <v>181477.5</v>
      </c>
      <c r="V2055" s="32">
        <f>SUM(V2026:V2054)</f>
        <v>181012.1</v>
      </c>
    </row>
    <row r="2056" spans="8:22" ht="15" x14ac:dyDescent="0.25">
      <c r="H2056" s="43" t="s">
        <v>991</v>
      </c>
      <c r="I2056" s="44"/>
      <c r="J2056" s="31"/>
      <c r="K2056" s="32">
        <f>K2022</f>
        <v>1028</v>
      </c>
      <c r="L2056" s="32">
        <f t="shared" ref="L2056:P2056" si="9">L2022</f>
        <v>1103</v>
      </c>
      <c r="M2056" s="32">
        <f t="shared" si="9"/>
        <v>1071</v>
      </c>
      <c r="N2056" s="32">
        <f t="shared" si="9"/>
        <v>1049</v>
      </c>
      <c r="O2056" s="32">
        <f t="shared" si="9"/>
        <v>972</v>
      </c>
      <c r="P2056" s="32">
        <f t="shared" si="9"/>
        <v>992</v>
      </c>
      <c r="Q2056" s="32">
        <f t="shared" ref="Q2056:R2056" si="10">Q2022</f>
        <v>1022</v>
      </c>
      <c r="R2056" s="32">
        <f t="shared" si="10"/>
        <v>1047</v>
      </c>
      <c r="S2056" s="32">
        <f>S2022</f>
        <v>1056</v>
      </c>
      <c r="T2056" s="32">
        <f>T2022</f>
        <v>1055</v>
      </c>
      <c r="U2056" s="32">
        <f>U2022</f>
        <v>1050</v>
      </c>
      <c r="V2056" s="32">
        <f>V2022</f>
        <v>1049</v>
      </c>
    </row>
    <row r="2057" spans="8:22" x14ac:dyDescent="0.2">
      <c r="K2057" s="42">
        <f t="shared" ref="K2057:Q2057" si="11">K2055-K2021</f>
        <v>-54.099999999714782</v>
      </c>
      <c r="L2057" s="42">
        <f t="shared" si="11"/>
        <v>-50.399999999935972</v>
      </c>
      <c r="M2057" s="42">
        <f t="shared" si="11"/>
        <v>-54.400000000139698</v>
      </c>
      <c r="N2057" s="42">
        <f t="shared" si="11"/>
        <v>-56</v>
      </c>
      <c r="O2057" s="42">
        <f t="shared" si="11"/>
        <v>-60.30000000000291</v>
      </c>
      <c r="P2057" s="42">
        <f t="shared" si="11"/>
        <v>-62.399999999906868</v>
      </c>
      <c r="Q2057" s="42">
        <f t="shared" si="11"/>
        <v>-58.200000000098953</v>
      </c>
      <c r="R2057" s="42">
        <f t="shared" ref="R2057:S2057" si="12">R2055-R2021</f>
        <v>-64.400000000168802</v>
      </c>
      <c r="S2057" s="42">
        <f t="shared" si="12"/>
        <v>-67.100000000267755</v>
      </c>
      <c r="T2057" s="42">
        <f t="shared" ref="T2057:U2057" si="13">T2055-T2021</f>
        <v>-72.700000000069849</v>
      </c>
      <c r="U2057" s="42">
        <f t="shared" si="13"/>
        <v>-75.899999999819556</v>
      </c>
      <c r="V2057" s="42">
        <f t="shared" ref="V2057" si="14">V2055-V2021</f>
        <v>-78.099999999918509</v>
      </c>
    </row>
  </sheetData>
  <autoFilter ref="B2:K2022"/>
  <sortState ref="B3:BD1726">
    <sortCondition ref="B3"/>
  </sortState>
  <mergeCells count="2">
    <mergeCell ref="H2055:I2055"/>
    <mergeCell ref="H2056:I2056"/>
  </mergeCells>
  <conditionalFormatting sqref="K2021:K2022">
    <cfRule type="cellIs" dxfId="19" priority="553" operator="lessThan">
      <formula>1</formula>
    </cfRule>
  </conditionalFormatting>
  <conditionalFormatting sqref="E259">
    <cfRule type="duplicateValues" dxfId="18" priority="636"/>
  </conditionalFormatting>
  <conditionalFormatting sqref="E260:E264 E4:E258">
    <cfRule type="duplicateValues" dxfId="17" priority="637"/>
  </conditionalFormatting>
  <conditionalFormatting sqref="K3:K2020">
    <cfRule type="cellIs" dxfId="16" priority="37" operator="lessThan">
      <formula>1</formula>
    </cfRule>
  </conditionalFormatting>
  <conditionalFormatting sqref="L3:L2020">
    <cfRule type="cellIs" dxfId="15" priority="33" operator="lessThan">
      <formula>1</formula>
    </cfRule>
  </conditionalFormatting>
  <conditionalFormatting sqref="M3:M2020">
    <cfRule type="cellIs" dxfId="14" priority="31" operator="lessThan">
      <formula>1</formula>
    </cfRule>
  </conditionalFormatting>
  <conditionalFormatting sqref="N3:N2020">
    <cfRule type="cellIs" dxfId="13" priority="28" operator="lessThan">
      <formula>1</formula>
    </cfRule>
  </conditionalFormatting>
  <conditionalFormatting sqref="O3:O2020">
    <cfRule type="cellIs" dxfId="12" priority="25" operator="lessThan">
      <formula>1</formula>
    </cfRule>
  </conditionalFormatting>
  <conditionalFormatting sqref="P3:P2020">
    <cfRule type="cellIs" dxfId="11" priority="22" operator="lessThan">
      <formula>1</formula>
    </cfRule>
  </conditionalFormatting>
  <conditionalFormatting sqref="Q3:Q2020">
    <cfRule type="cellIs" dxfId="10" priority="19" operator="lessThan">
      <formula>1</formula>
    </cfRule>
  </conditionalFormatting>
  <conditionalFormatting sqref="E3:E577 E579:E2020">
    <cfRule type="duplicateValues" dxfId="9" priority="673"/>
  </conditionalFormatting>
  <conditionalFormatting sqref="R3:R2020">
    <cfRule type="cellIs" dxfId="8" priority="16" operator="lessThan">
      <formula>1</formula>
    </cfRule>
  </conditionalFormatting>
  <conditionalFormatting sqref="S3:S2020">
    <cfRule type="cellIs" dxfId="7" priority="13" operator="lessThan">
      <formula>1</formula>
    </cfRule>
  </conditionalFormatting>
  <conditionalFormatting sqref="T3:T2020">
    <cfRule type="cellIs" dxfId="6" priority="10" operator="lessThan">
      <formula>1</formula>
    </cfRule>
  </conditionalFormatting>
  <conditionalFormatting sqref="U3:U2020">
    <cfRule type="cellIs" dxfId="5" priority="7" operator="lessThan">
      <formula>1</formula>
    </cfRule>
  </conditionalFormatting>
  <conditionalFormatting sqref="E578">
    <cfRule type="duplicateValues" dxfId="4" priority="5"/>
  </conditionalFormatting>
  <conditionalFormatting sqref="V3:V2020">
    <cfRule type="cellIs" dxfId="2" priority="3" operator="lessThan">
      <formula>1</formula>
    </cfRule>
  </conditionalFormatting>
  <conditionalFormatting sqref="L2021:V2022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2026-06-22T07:10:13Z</dcterms:modified>
</cp:coreProperties>
</file>