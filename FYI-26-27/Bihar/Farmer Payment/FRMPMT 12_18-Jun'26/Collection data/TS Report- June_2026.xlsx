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Collection data\"/>
    </mc:Choice>
  </mc:AlternateContent>
  <xr:revisionPtr revIDLastSave="0" documentId="13_ncr:1_{36CA1025-307D-46BC-987C-CE69AEC728B4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umarry" sheetId="1" r:id="rId1"/>
    <sheet name="Manjhaul" sheetId="2" r:id="rId2"/>
    <sheet name="Hasanpur" sheetId="22" r:id="rId3"/>
    <sheet name="Singhia " sheetId="28" r:id="rId4"/>
    <sheet name="Sahibpur Kamal" sheetId="3" r:id="rId5"/>
    <sheet name="Matihani" sheetId="20" r:id="rId6"/>
    <sheet name="Daily Losses" sheetId="16" state="veryHidden" r:id="rId7"/>
    <sheet name="Bachhwara" sheetId="30" r:id="rId8"/>
    <sheet name="Alauli" sheetId="18" r:id="rId9"/>
    <sheet name="Dalsingsarai" sheetId="5" r:id="rId10"/>
    <sheet name="Musrigharari" sheetId="4" r:id="rId11"/>
    <sheet name="Mahua" sheetId="29" r:id="rId12"/>
    <sheet name="Warisnagar" sheetId="21" r:id="rId13"/>
    <sheet name="Rosera" sheetId="32" r:id="rId14"/>
    <sheet name="Kalyanpur" sheetId="17" r:id="rId15"/>
    <sheet name="Gaighat" sheetId="31" r:id="rId16"/>
    <sheet name="Buxar" sheetId="7" r:id="rId17"/>
    <sheet name="Asarganj" sheetId="9" r:id="rId18"/>
    <sheet name="Laldiyara" sheetId="8" r:id="rId19"/>
    <sheet name="Parbatta" sheetId="27" r:id="rId20"/>
    <sheet name="Gopalpur" sheetId="26" r:id="rId21"/>
    <sheet name="Sonvarsha" sheetId="11" r:id="rId22"/>
    <sheet name="Madhatpur" sheetId="10" r:id="rId23"/>
    <sheet name="Araiya" sheetId="12" r:id="rId24"/>
    <sheet name="Chautham" sheetId="19" r:id="rId25"/>
    <sheet name="Teghra" sheetId="13" r:id="rId26"/>
    <sheet name="Halsi" sheetId="14" r:id="rId27"/>
  </sheets>
  <definedNames>
    <definedName name="_xlnm._FilterDatabase" localSheetId="14" hidden="1">Kalyanpur!$A$1:$AR$66</definedName>
    <definedName name="_xlnm._FilterDatabase" localSheetId="1" hidden="1">Manjhaul!$D$3:$AQ$66</definedName>
    <definedName name="_xlnm._FilterDatabase" localSheetId="4" hidden="1">'Sahibpur Kamal'!$D$3:$AQ$66</definedName>
    <definedName name="_xlnm.Print_Area" localSheetId="0">Sumarry!$C$2:$P$59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X71" i="32"/>
  <c r="V71" i="32"/>
  <c r="Z70" i="32"/>
  <c r="Y70" i="32"/>
  <c r="Z69" i="32"/>
  <c r="Z71" i="32" s="1"/>
  <c r="Y69" i="32"/>
  <c r="J66" i="32"/>
  <c r="G15" i="1" s="1"/>
  <c r="AR65" i="32"/>
  <c r="AM65" i="32"/>
  <c r="AL65" i="32"/>
  <c r="AK65" i="32"/>
  <c r="AG65" i="32"/>
  <c r="AF65" i="32"/>
  <c r="AB65" i="32"/>
  <c r="AA65" i="32"/>
  <c r="T65" i="32"/>
  <c r="S65" i="32"/>
  <c r="R65" i="32"/>
  <c r="H65" i="32"/>
  <c r="G65" i="32"/>
  <c r="AR64" i="32"/>
  <c r="AO64" i="32"/>
  <c r="AL64" i="32"/>
  <c r="AK64" i="32"/>
  <c r="AG64" i="32"/>
  <c r="AF64" i="32"/>
  <c r="AB64" i="32"/>
  <c r="AA64" i="32"/>
  <c r="T64" i="32"/>
  <c r="S64" i="32"/>
  <c r="R64" i="32"/>
  <c r="AM64" i="32" s="1"/>
  <c r="H64" i="32"/>
  <c r="G64" i="32"/>
  <c r="AM63" i="32"/>
  <c r="AL63" i="32"/>
  <c r="AK63" i="32"/>
  <c r="AG63" i="32"/>
  <c r="AF63" i="32"/>
  <c r="AB63" i="32"/>
  <c r="AA63" i="32"/>
  <c r="T63" i="32"/>
  <c r="S63" i="32"/>
  <c r="R63" i="32"/>
  <c r="H63" i="32"/>
  <c r="AO63" i="32" s="1"/>
  <c r="G63" i="32"/>
  <c r="AN63" i="32" s="1"/>
  <c r="AP63" i="32" s="1"/>
  <c r="AR62" i="32"/>
  <c r="AL62" i="32"/>
  <c r="AK62" i="32"/>
  <c r="AG62" i="32"/>
  <c r="AF62" i="32"/>
  <c r="AB62" i="32"/>
  <c r="AA62" i="32"/>
  <c r="T62" i="32"/>
  <c r="S62" i="32"/>
  <c r="R62" i="32"/>
  <c r="AM62" i="32" s="1"/>
  <c r="H62" i="32"/>
  <c r="G62" i="32"/>
  <c r="AN62" i="32" s="1"/>
  <c r="AR61" i="32"/>
  <c r="AL61" i="32"/>
  <c r="AK61" i="32"/>
  <c r="AG61" i="32"/>
  <c r="AF61" i="32"/>
  <c r="AB61" i="32"/>
  <c r="AA61" i="32"/>
  <c r="T61" i="32"/>
  <c r="S61" i="32"/>
  <c r="R61" i="32"/>
  <c r="AM61" i="32" s="1"/>
  <c r="H61" i="32"/>
  <c r="AO61" i="32" s="1"/>
  <c r="G61" i="32"/>
  <c r="AR60" i="32"/>
  <c r="AL60" i="32"/>
  <c r="AK60" i="32"/>
  <c r="AG60" i="32"/>
  <c r="AF60" i="32"/>
  <c r="AB60" i="32"/>
  <c r="AA60" i="32"/>
  <c r="T60" i="32"/>
  <c r="S60" i="32"/>
  <c r="R60" i="32"/>
  <c r="AM60" i="32" s="1"/>
  <c r="H60" i="32"/>
  <c r="AO60" i="32" s="1"/>
  <c r="G60" i="32"/>
  <c r="AR59" i="32"/>
  <c r="AM59" i="32"/>
  <c r="AL59" i="32"/>
  <c r="AK59" i="32"/>
  <c r="AG59" i="32"/>
  <c r="AF59" i="32"/>
  <c r="AB59" i="32"/>
  <c r="AA59" i="32"/>
  <c r="T59" i="32"/>
  <c r="S59" i="32"/>
  <c r="R59" i="32"/>
  <c r="H59" i="32"/>
  <c r="G59" i="32"/>
  <c r="AN59" i="32" s="1"/>
  <c r="AR58" i="32"/>
  <c r="AM58" i="32"/>
  <c r="AL58" i="32"/>
  <c r="AK58" i="32"/>
  <c r="AG58" i="32"/>
  <c r="AF58" i="32"/>
  <c r="AB58" i="32"/>
  <c r="AA58" i="32"/>
  <c r="T58" i="32"/>
  <c r="S58" i="32"/>
  <c r="R58" i="32"/>
  <c r="H58" i="32"/>
  <c r="G58" i="32"/>
  <c r="AN58" i="32" s="1"/>
  <c r="AR57" i="32"/>
  <c r="AO57" i="32"/>
  <c r="AL57" i="32"/>
  <c r="AK57" i="32"/>
  <c r="AG57" i="32"/>
  <c r="AF57" i="32"/>
  <c r="AB57" i="32"/>
  <c r="AA57" i="32"/>
  <c r="T57" i="32"/>
  <c r="S57" i="32"/>
  <c r="R57" i="32"/>
  <c r="AM57" i="32" s="1"/>
  <c r="H57" i="32"/>
  <c r="G57" i="32"/>
  <c r="AN57" i="32" s="1"/>
  <c r="AP57" i="32" s="1"/>
  <c r="AR56" i="32"/>
  <c r="AN56" i="32"/>
  <c r="AL56" i="32"/>
  <c r="AK56" i="32"/>
  <c r="AG56" i="32"/>
  <c r="AF56" i="32"/>
  <c r="AB56" i="32"/>
  <c r="AA56" i="32"/>
  <c r="T56" i="32"/>
  <c r="S56" i="32"/>
  <c r="R56" i="32"/>
  <c r="AM56" i="32" s="1"/>
  <c r="H56" i="32"/>
  <c r="AO56" i="32" s="1"/>
  <c r="G56" i="32"/>
  <c r="AR55" i="32"/>
  <c r="AM55" i="32"/>
  <c r="AL55" i="32"/>
  <c r="AK55" i="32"/>
  <c r="AG55" i="32"/>
  <c r="AF55" i="32"/>
  <c r="AB55" i="32"/>
  <c r="AA55" i="32"/>
  <c r="T55" i="32"/>
  <c r="S55" i="32"/>
  <c r="R55" i="32"/>
  <c r="H55" i="32"/>
  <c r="AO55" i="32" s="1"/>
  <c r="G55" i="32"/>
  <c r="AN55" i="32" s="1"/>
  <c r="AP55" i="32" s="1"/>
  <c r="AR54" i="32"/>
  <c r="AL54" i="32"/>
  <c r="AK54" i="32"/>
  <c r="AG54" i="32"/>
  <c r="AF54" i="32"/>
  <c r="AB54" i="32"/>
  <c r="AA54" i="32"/>
  <c r="T54" i="32"/>
  <c r="S54" i="32"/>
  <c r="R54" i="32"/>
  <c r="AM54" i="32" s="1"/>
  <c r="H54" i="32"/>
  <c r="G54" i="32"/>
  <c r="AN54" i="32" s="1"/>
  <c r="AR53" i="32"/>
  <c r="AL53" i="32"/>
  <c r="AK53" i="32"/>
  <c r="AG53" i="32"/>
  <c r="AF53" i="32"/>
  <c r="AB53" i="32"/>
  <c r="AA53" i="32"/>
  <c r="T53" i="32"/>
  <c r="S53" i="32"/>
  <c r="R53" i="32"/>
  <c r="AM53" i="32" s="1"/>
  <c r="H53" i="32"/>
  <c r="G53" i="32"/>
  <c r="AR52" i="32"/>
  <c r="AL52" i="32"/>
  <c r="AK52" i="32"/>
  <c r="AG52" i="32"/>
  <c r="AF52" i="32"/>
  <c r="AB52" i="32"/>
  <c r="AA52" i="32"/>
  <c r="T52" i="32"/>
  <c r="S52" i="32"/>
  <c r="R52" i="32"/>
  <c r="AM52" i="32" s="1"/>
  <c r="H52" i="32"/>
  <c r="AO52" i="32" s="1"/>
  <c r="G52" i="32"/>
  <c r="AN52" i="32" s="1"/>
  <c r="AP52" i="32" s="1"/>
  <c r="AR51" i="32"/>
  <c r="AM51" i="32"/>
  <c r="AL51" i="32"/>
  <c r="AK51" i="32"/>
  <c r="AG51" i="32"/>
  <c r="AF51" i="32"/>
  <c r="AB51" i="32"/>
  <c r="AA51" i="32"/>
  <c r="T51" i="32"/>
  <c r="S51" i="32"/>
  <c r="R51" i="32"/>
  <c r="H51" i="32"/>
  <c r="G51" i="32"/>
  <c r="AN51" i="32" s="1"/>
  <c r="AR50" i="32"/>
  <c r="AM50" i="32"/>
  <c r="AL50" i="32"/>
  <c r="AK50" i="32"/>
  <c r="AG50" i="32"/>
  <c r="AF50" i="32"/>
  <c r="AB50" i="32"/>
  <c r="AA50" i="32"/>
  <c r="T50" i="32"/>
  <c r="S50" i="32"/>
  <c r="R50" i="32"/>
  <c r="H50" i="32"/>
  <c r="G50" i="32"/>
  <c r="AN50" i="32" s="1"/>
  <c r="AR49" i="32"/>
  <c r="AO49" i="32"/>
  <c r="AL49" i="32"/>
  <c r="AK49" i="32"/>
  <c r="AG49" i="32"/>
  <c r="AF49" i="32"/>
  <c r="AB49" i="32"/>
  <c r="AA49" i="32"/>
  <c r="T49" i="32"/>
  <c r="S49" i="32"/>
  <c r="R49" i="32"/>
  <c r="AM49" i="32" s="1"/>
  <c r="H49" i="32"/>
  <c r="G49" i="32"/>
  <c r="AN49" i="32" s="1"/>
  <c r="AP49" i="32" s="1"/>
  <c r="AR48" i="32"/>
  <c r="AN48" i="32"/>
  <c r="AL48" i="32"/>
  <c r="AK48" i="32"/>
  <c r="AG48" i="32"/>
  <c r="AF48" i="32"/>
  <c r="AB48" i="32"/>
  <c r="AA48" i="32"/>
  <c r="T48" i="32"/>
  <c r="S48" i="32"/>
  <c r="R48" i="32"/>
  <c r="AM48" i="32" s="1"/>
  <c r="H48" i="32"/>
  <c r="AO48" i="32" s="1"/>
  <c r="G48" i="32"/>
  <c r="AR47" i="32"/>
  <c r="AM47" i="32"/>
  <c r="AL47" i="32"/>
  <c r="AK47" i="32"/>
  <c r="AG47" i="32"/>
  <c r="AF47" i="32"/>
  <c r="AB47" i="32"/>
  <c r="AA47" i="32"/>
  <c r="T47" i="32"/>
  <c r="S47" i="32"/>
  <c r="R47" i="32"/>
  <c r="H47" i="32"/>
  <c r="AO47" i="32" s="1"/>
  <c r="G47" i="32"/>
  <c r="AN47" i="32" s="1"/>
  <c r="AP47" i="32" s="1"/>
  <c r="AR46" i="32"/>
  <c r="AL46" i="32"/>
  <c r="AK46" i="32"/>
  <c r="AG46" i="32"/>
  <c r="AF46" i="32"/>
  <c r="AB46" i="32"/>
  <c r="AA46" i="32"/>
  <c r="T46" i="32"/>
  <c r="S46" i="32"/>
  <c r="R46" i="32"/>
  <c r="AM46" i="32" s="1"/>
  <c r="H46" i="32"/>
  <c r="G46" i="32"/>
  <c r="AN46" i="32" s="1"/>
  <c r="AR45" i="32"/>
  <c r="AL45" i="32"/>
  <c r="AK45" i="32"/>
  <c r="AG45" i="32"/>
  <c r="AF45" i="32"/>
  <c r="AB45" i="32"/>
  <c r="AA45" i="32"/>
  <c r="T45" i="32"/>
  <c r="S45" i="32"/>
  <c r="R45" i="32"/>
  <c r="AM45" i="32" s="1"/>
  <c r="H45" i="32"/>
  <c r="AO45" i="32" s="1"/>
  <c r="G45" i="32"/>
  <c r="AR44" i="32"/>
  <c r="AL44" i="32"/>
  <c r="AK44" i="32"/>
  <c r="AG44" i="32"/>
  <c r="AF44" i="32"/>
  <c r="AB44" i="32"/>
  <c r="AA44" i="32"/>
  <c r="T44" i="32"/>
  <c r="S44" i="32"/>
  <c r="R44" i="32"/>
  <c r="AM44" i="32" s="1"/>
  <c r="H44" i="32"/>
  <c r="AO44" i="32" s="1"/>
  <c r="G44" i="32"/>
  <c r="AN44" i="32" s="1"/>
  <c r="AP44" i="32" s="1"/>
  <c r="AR43" i="32"/>
  <c r="AM43" i="32"/>
  <c r="AL43" i="32"/>
  <c r="AK43" i="32"/>
  <c r="AG43" i="32"/>
  <c r="AF43" i="32"/>
  <c r="AB43" i="32"/>
  <c r="AA43" i="32"/>
  <c r="T43" i="32"/>
  <c r="S43" i="32"/>
  <c r="R43" i="32"/>
  <c r="H43" i="32"/>
  <c r="G43" i="32"/>
  <c r="AN43" i="32" s="1"/>
  <c r="AR42" i="32"/>
  <c r="AM42" i="32"/>
  <c r="AL42" i="32"/>
  <c r="AK42" i="32"/>
  <c r="AG42" i="32"/>
  <c r="AF42" i="32"/>
  <c r="AB42" i="32"/>
  <c r="AA42" i="32"/>
  <c r="T42" i="32"/>
  <c r="S42" i="32"/>
  <c r="R42" i="32"/>
  <c r="H42" i="32"/>
  <c r="G42" i="32"/>
  <c r="AN42" i="32" s="1"/>
  <c r="AR41" i="32"/>
  <c r="AO41" i="32"/>
  <c r="AL41" i="32"/>
  <c r="AK41" i="32"/>
  <c r="AG41" i="32"/>
  <c r="AF41" i="32"/>
  <c r="AB41" i="32"/>
  <c r="AA41" i="32"/>
  <c r="T41" i="32"/>
  <c r="S41" i="32"/>
  <c r="R41" i="32"/>
  <c r="AM41" i="32" s="1"/>
  <c r="H41" i="32"/>
  <c r="G41" i="32"/>
  <c r="AN41" i="32" s="1"/>
  <c r="AP41" i="32" s="1"/>
  <c r="AR40" i="32"/>
  <c r="AN40" i="32"/>
  <c r="AP40" i="32" s="1"/>
  <c r="AL40" i="32"/>
  <c r="AK40" i="32"/>
  <c r="AG40" i="32"/>
  <c r="AF40" i="32"/>
  <c r="AB40" i="32"/>
  <c r="AA40" i="32"/>
  <c r="T40" i="32"/>
  <c r="S40" i="32"/>
  <c r="R40" i="32"/>
  <c r="AM40" i="32" s="1"/>
  <c r="H40" i="32"/>
  <c r="AO40" i="32" s="1"/>
  <c r="G40" i="32"/>
  <c r="AR39" i="32"/>
  <c r="AL39" i="32"/>
  <c r="AK39" i="32"/>
  <c r="AG39" i="32"/>
  <c r="AF39" i="32"/>
  <c r="AB39" i="32"/>
  <c r="AA39" i="32"/>
  <c r="T39" i="32"/>
  <c r="S39" i="32"/>
  <c r="R39" i="32"/>
  <c r="AM39" i="32" s="1"/>
  <c r="H39" i="32"/>
  <c r="G39" i="32"/>
  <c r="AN39" i="32" s="1"/>
  <c r="AR38" i="32"/>
  <c r="AL38" i="32"/>
  <c r="AK38" i="32"/>
  <c r="AG38" i="32"/>
  <c r="AF38" i="32"/>
  <c r="AB38" i="32"/>
  <c r="AA38" i="32"/>
  <c r="T38" i="32"/>
  <c r="S38" i="32"/>
  <c r="R38" i="32"/>
  <c r="AM38" i="32" s="1"/>
  <c r="H38" i="32"/>
  <c r="G38" i="32"/>
  <c r="AN38" i="32" s="1"/>
  <c r="AR37" i="32"/>
  <c r="AL37" i="32"/>
  <c r="AK37" i="32"/>
  <c r="AG37" i="32"/>
  <c r="AF37" i="32"/>
  <c r="AB37" i="32"/>
  <c r="AA37" i="32"/>
  <c r="T37" i="32"/>
  <c r="S37" i="32"/>
  <c r="R37" i="32"/>
  <c r="AM37" i="32" s="1"/>
  <c r="H37" i="32"/>
  <c r="G37" i="32"/>
  <c r="AR36" i="32"/>
  <c r="AL36" i="32"/>
  <c r="AK36" i="32"/>
  <c r="AG36" i="32"/>
  <c r="AF36" i="32"/>
  <c r="AB36" i="32"/>
  <c r="AA36" i="32"/>
  <c r="T36" i="32"/>
  <c r="S36" i="32"/>
  <c r="R36" i="32"/>
  <c r="AM36" i="32" s="1"/>
  <c r="H36" i="32"/>
  <c r="G36" i="32"/>
  <c r="AN36" i="32" s="1"/>
  <c r="AR35" i="32"/>
  <c r="AL35" i="32"/>
  <c r="AK35" i="32"/>
  <c r="AG35" i="32"/>
  <c r="AF35" i="32"/>
  <c r="AB35" i="32"/>
  <c r="AA35" i="32"/>
  <c r="T35" i="32"/>
  <c r="S35" i="32"/>
  <c r="R35" i="32"/>
  <c r="AM35" i="32" s="1"/>
  <c r="H35" i="32"/>
  <c r="G35" i="32"/>
  <c r="AR34" i="32"/>
  <c r="AL34" i="32"/>
  <c r="AK34" i="32"/>
  <c r="AG34" i="32"/>
  <c r="AF34" i="32"/>
  <c r="AB34" i="32"/>
  <c r="AA34" i="32"/>
  <c r="T34" i="32"/>
  <c r="S34" i="32"/>
  <c r="R34" i="32"/>
  <c r="AM34" i="32" s="1"/>
  <c r="H34" i="32"/>
  <c r="G34" i="32"/>
  <c r="AR33" i="32"/>
  <c r="AL33" i="32"/>
  <c r="AO33" i="32" s="1"/>
  <c r="AK33" i="32"/>
  <c r="AG33" i="32"/>
  <c r="AF33" i="32"/>
  <c r="AB33" i="32"/>
  <c r="AA33" i="32"/>
  <c r="T33" i="32"/>
  <c r="S33" i="32"/>
  <c r="R33" i="32"/>
  <c r="AM33" i="32" s="1"/>
  <c r="H33" i="32"/>
  <c r="G33" i="32"/>
  <c r="AR32" i="32"/>
  <c r="AL32" i="32"/>
  <c r="AK32" i="32"/>
  <c r="AG32" i="32"/>
  <c r="AF32" i="32"/>
  <c r="AB32" i="32"/>
  <c r="AA32" i="32"/>
  <c r="T32" i="32"/>
  <c r="S32" i="32"/>
  <c r="R32" i="32"/>
  <c r="AM32" i="32" s="1"/>
  <c r="H32" i="32"/>
  <c r="G32" i="32"/>
  <c r="AR31" i="32"/>
  <c r="AL31" i="32"/>
  <c r="AK31" i="32"/>
  <c r="AG31" i="32"/>
  <c r="AF31" i="32"/>
  <c r="AB31" i="32"/>
  <c r="AA31" i="32"/>
  <c r="T31" i="32"/>
  <c r="S31" i="32"/>
  <c r="R31" i="32"/>
  <c r="AM31" i="32" s="1"/>
  <c r="H31" i="32"/>
  <c r="G31" i="32"/>
  <c r="AR30" i="32"/>
  <c r="AL30" i="32"/>
  <c r="AK30" i="32"/>
  <c r="AG30" i="32"/>
  <c r="AF30" i="32"/>
  <c r="AB30" i="32"/>
  <c r="AA30" i="32"/>
  <c r="T30" i="32"/>
  <c r="S30" i="32"/>
  <c r="R30" i="32"/>
  <c r="AM30" i="32" s="1"/>
  <c r="H30" i="32"/>
  <c r="G30" i="32"/>
  <c r="AR29" i="32"/>
  <c r="AL29" i="32"/>
  <c r="AK29" i="32"/>
  <c r="AG29" i="32"/>
  <c r="AF29" i="32"/>
  <c r="AB29" i="32"/>
  <c r="AA29" i="32"/>
  <c r="T29" i="32"/>
  <c r="S29" i="32"/>
  <c r="R29" i="32"/>
  <c r="AM29" i="32" s="1"/>
  <c r="H29" i="32"/>
  <c r="G29" i="32"/>
  <c r="AR28" i="32"/>
  <c r="AL28" i="32"/>
  <c r="AK28" i="32"/>
  <c r="AG28" i="32"/>
  <c r="AF28" i="32"/>
  <c r="AB28" i="32"/>
  <c r="AA28" i="32"/>
  <c r="T28" i="32"/>
  <c r="S28" i="32"/>
  <c r="R28" i="32"/>
  <c r="AM28" i="32" s="1"/>
  <c r="H28" i="32"/>
  <c r="G28" i="32"/>
  <c r="AR27" i="32"/>
  <c r="AL27" i="32"/>
  <c r="AK27" i="32"/>
  <c r="AG27" i="32"/>
  <c r="AF27" i="32"/>
  <c r="AB27" i="32"/>
  <c r="AA27" i="32"/>
  <c r="T27" i="32"/>
  <c r="S27" i="32"/>
  <c r="R27" i="32"/>
  <c r="AM27" i="32" s="1"/>
  <c r="H27" i="32"/>
  <c r="G27" i="32"/>
  <c r="AR26" i="32"/>
  <c r="AL26" i="32"/>
  <c r="AK26" i="32"/>
  <c r="AG26" i="32"/>
  <c r="AF26" i="32"/>
  <c r="AB26" i="32"/>
  <c r="AA26" i="32"/>
  <c r="T26" i="32"/>
  <c r="S26" i="32"/>
  <c r="R26" i="32"/>
  <c r="AM26" i="32" s="1"/>
  <c r="H26" i="32"/>
  <c r="G26" i="32"/>
  <c r="AR25" i="32"/>
  <c r="AL25" i="32"/>
  <c r="AO25" i="32" s="1"/>
  <c r="AK25" i="32"/>
  <c r="AG25" i="32"/>
  <c r="AF25" i="32"/>
  <c r="AB25" i="32"/>
  <c r="AA25" i="32"/>
  <c r="T25" i="32"/>
  <c r="S25" i="32"/>
  <c r="R25" i="32"/>
  <c r="AM25" i="32" s="1"/>
  <c r="H25" i="32"/>
  <c r="G25" i="32"/>
  <c r="AR24" i="32"/>
  <c r="AL24" i="32"/>
  <c r="AK24" i="32"/>
  <c r="AG24" i="32"/>
  <c r="AF24" i="32"/>
  <c r="AB24" i="32"/>
  <c r="AA24" i="32"/>
  <c r="T24" i="32"/>
  <c r="S24" i="32"/>
  <c r="R24" i="32"/>
  <c r="AM24" i="32" s="1"/>
  <c r="H24" i="32"/>
  <c r="G24" i="32"/>
  <c r="AR23" i="32"/>
  <c r="AM23" i="32"/>
  <c r="AL23" i="32"/>
  <c r="AK23" i="32"/>
  <c r="AG23" i="32"/>
  <c r="AF23" i="32"/>
  <c r="AB23" i="32"/>
  <c r="AA23" i="32"/>
  <c r="T23" i="32"/>
  <c r="S23" i="32"/>
  <c r="R23" i="32"/>
  <c r="H23" i="32"/>
  <c r="G23" i="32"/>
  <c r="AR22" i="32"/>
  <c r="AL22" i="32"/>
  <c r="AK22" i="32"/>
  <c r="AG22" i="32"/>
  <c r="AF22" i="32"/>
  <c r="AB22" i="32"/>
  <c r="AA22" i="32"/>
  <c r="T22" i="32"/>
  <c r="S22" i="32"/>
  <c r="R22" i="32"/>
  <c r="AM22" i="32" s="1"/>
  <c r="H22" i="32"/>
  <c r="G22" i="32"/>
  <c r="AR21" i="32"/>
  <c r="AL21" i="32"/>
  <c r="AK21" i="32"/>
  <c r="AG21" i="32"/>
  <c r="AF21" i="32"/>
  <c r="AB21" i="32"/>
  <c r="AA21" i="32"/>
  <c r="T21" i="32"/>
  <c r="S21" i="32"/>
  <c r="R21" i="32"/>
  <c r="AM21" i="32" s="1"/>
  <c r="H21" i="32"/>
  <c r="G21" i="32"/>
  <c r="AR20" i="32"/>
  <c r="AL20" i="32"/>
  <c r="AK20" i="32"/>
  <c r="AG20" i="32"/>
  <c r="AF20" i="32"/>
  <c r="AB20" i="32"/>
  <c r="AA20" i="32"/>
  <c r="T20" i="32"/>
  <c r="S20" i="32"/>
  <c r="R20" i="32"/>
  <c r="AM20" i="32" s="1"/>
  <c r="H20" i="32"/>
  <c r="G20" i="32"/>
  <c r="AR19" i="32"/>
  <c r="AL19" i="32"/>
  <c r="AK19" i="32"/>
  <c r="AG19" i="32"/>
  <c r="AF19" i="32"/>
  <c r="AB19" i="32"/>
  <c r="AA19" i="32"/>
  <c r="T19" i="32"/>
  <c r="S19" i="32"/>
  <c r="R19" i="32"/>
  <c r="AM19" i="32" s="1"/>
  <c r="H19" i="32"/>
  <c r="G19" i="32"/>
  <c r="AR18" i="32"/>
  <c r="AL18" i="32"/>
  <c r="AK18" i="32"/>
  <c r="AG18" i="32"/>
  <c r="AF18" i="32"/>
  <c r="AB18" i="32"/>
  <c r="AA18" i="32"/>
  <c r="T18" i="32"/>
  <c r="S18" i="32"/>
  <c r="R18" i="32"/>
  <c r="AM18" i="32" s="1"/>
  <c r="H18" i="32"/>
  <c r="G18" i="32"/>
  <c r="AR17" i="32"/>
  <c r="AL17" i="32"/>
  <c r="AK17" i="32"/>
  <c r="AG17" i="32"/>
  <c r="AF17" i="32"/>
  <c r="AB17" i="32"/>
  <c r="AA17" i="32"/>
  <c r="T17" i="32"/>
  <c r="S17" i="32"/>
  <c r="R17" i="32"/>
  <c r="AM17" i="32" s="1"/>
  <c r="H17" i="32"/>
  <c r="G17" i="32"/>
  <c r="AR16" i="32"/>
  <c r="AM16" i="32"/>
  <c r="AL16" i="32"/>
  <c r="AK16" i="32"/>
  <c r="AG16" i="32"/>
  <c r="AF16" i="32"/>
  <c r="AB16" i="32"/>
  <c r="AA16" i="32"/>
  <c r="T16" i="32"/>
  <c r="S16" i="32"/>
  <c r="R16" i="32"/>
  <c r="H16" i="32"/>
  <c r="G16" i="32"/>
  <c r="AR15" i="32"/>
  <c r="AL15" i="32"/>
  <c r="AK15" i="32"/>
  <c r="AG15" i="32"/>
  <c r="AF15" i="32"/>
  <c r="AB15" i="32"/>
  <c r="AA15" i="32"/>
  <c r="T15" i="32"/>
  <c r="S15" i="32"/>
  <c r="R15" i="32"/>
  <c r="AM15" i="32" s="1"/>
  <c r="H15" i="32"/>
  <c r="G15" i="32"/>
  <c r="AN15" i="32" s="1"/>
  <c r="AR14" i="32"/>
  <c r="AL14" i="32"/>
  <c r="AK14" i="32"/>
  <c r="AG14" i="32"/>
  <c r="AF14" i="32"/>
  <c r="AB14" i="32"/>
  <c r="AA14" i="32"/>
  <c r="T14" i="32"/>
  <c r="S14" i="32"/>
  <c r="R14" i="32"/>
  <c r="AM14" i="32" s="1"/>
  <c r="H14" i="32"/>
  <c r="G14" i="32"/>
  <c r="AR13" i="32"/>
  <c r="AL13" i="32"/>
  <c r="AK13" i="32"/>
  <c r="AG13" i="32"/>
  <c r="AF13" i="32"/>
  <c r="AB13" i="32"/>
  <c r="AA13" i="32"/>
  <c r="T13" i="32"/>
  <c r="AO13" i="32" s="1"/>
  <c r="S13" i="32"/>
  <c r="R13" i="32"/>
  <c r="AM13" i="32" s="1"/>
  <c r="H13" i="32"/>
  <c r="G13" i="32"/>
  <c r="AR12" i="32"/>
  <c r="AL12" i="32"/>
  <c r="AK12" i="32"/>
  <c r="AG12" i="32"/>
  <c r="AF12" i="32"/>
  <c r="AB12" i="32"/>
  <c r="AA12" i="32"/>
  <c r="T12" i="32"/>
  <c r="S12" i="32"/>
  <c r="R12" i="32"/>
  <c r="AM12" i="32" s="1"/>
  <c r="H12" i="32"/>
  <c r="G12" i="32"/>
  <c r="AR11" i="32"/>
  <c r="AL11" i="32"/>
  <c r="AK11" i="32"/>
  <c r="AG11" i="32"/>
  <c r="AF11" i="32"/>
  <c r="AB11" i="32"/>
  <c r="AA11" i="32"/>
  <c r="T11" i="32"/>
  <c r="S11" i="32"/>
  <c r="R11" i="32"/>
  <c r="AM11" i="32" s="1"/>
  <c r="H11" i="32"/>
  <c r="G11" i="32"/>
  <c r="AR10" i="32"/>
  <c r="AL10" i="32"/>
  <c r="AK10" i="32"/>
  <c r="AG10" i="32"/>
  <c r="AF10" i="32"/>
  <c r="AB10" i="32"/>
  <c r="AA10" i="32"/>
  <c r="T10" i="32"/>
  <c r="S10" i="32"/>
  <c r="R10" i="32"/>
  <c r="AM10" i="32" s="1"/>
  <c r="H10" i="32"/>
  <c r="G10" i="32"/>
  <c r="AR9" i="32"/>
  <c r="AL9" i="32"/>
  <c r="AK9" i="32"/>
  <c r="AG9" i="32"/>
  <c r="AF9" i="32"/>
  <c r="AB9" i="32"/>
  <c r="AA9" i="32"/>
  <c r="T9" i="32"/>
  <c r="S9" i="32"/>
  <c r="R9" i="32"/>
  <c r="AM9" i="32" s="1"/>
  <c r="H9" i="32"/>
  <c r="G9" i="32"/>
  <c r="AR8" i="32"/>
  <c r="AM8" i="32"/>
  <c r="AL8" i="32"/>
  <c r="AK8" i="32"/>
  <c r="AG8" i="32"/>
  <c r="AF8" i="32"/>
  <c r="AB8" i="32"/>
  <c r="AA8" i="32"/>
  <c r="T8" i="32"/>
  <c r="S8" i="32"/>
  <c r="R8" i="32"/>
  <c r="H8" i="32"/>
  <c r="G8" i="32"/>
  <c r="AR7" i="32"/>
  <c r="AL7" i="32"/>
  <c r="AK7" i="32"/>
  <c r="AG7" i="32"/>
  <c r="AF7" i="32"/>
  <c r="AB7" i="32"/>
  <c r="AA7" i="32"/>
  <c r="T7" i="32"/>
  <c r="S7" i="32"/>
  <c r="R7" i="32"/>
  <c r="AM7" i="32" s="1"/>
  <c r="H7" i="32"/>
  <c r="G7" i="32"/>
  <c r="AR6" i="32"/>
  <c r="AL6" i="32"/>
  <c r="AK6" i="32"/>
  <c r="AG6" i="32"/>
  <c r="AF6" i="32"/>
  <c r="AB6" i="32"/>
  <c r="AA6" i="32"/>
  <c r="T6" i="32"/>
  <c r="S6" i="32"/>
  <c r="R6" i="32"/>
  <c r="AM6" i="32" s="1"/>
  <c r="H6" i="32"/>
  <c r="G6" i="32"/>
  <c r="B6" i="32"/>
  <c r="B8" i="32" s="1"/>
  <c r="AR5" i="32"/>
  <c r="AL5" i="32"/>
  <c r="AK5" i="32"/>
  <c r="AG5" i="32"/>
  <c r="AF5" i="32"/>
  <c r="AB5" i="32"/>
  <c r="AA5" i="32"/>
  <c r="T5" i="32"/>
  <c r="S5" i="32"/>
  <c r="R5" i="32"/>
  <c r="AM5" i="32" s="1"/>
  <c r="H5" i="32"/>
  <c r="G5" i="32"/>
  <c r="B5" i="32"/>
  <c r="B7" i="32" s="1"/>
  <c r="A5" i="32"/>
  <c r="AR4" i="32"/>
  <c r="AL4" i="32"/>
  <c r="AK4" i="32"/>
  <c r="AG4" i="32"/>
  <c r="AF4" i="32"/>
  <c r="AB4" i="32"/>
  <c r="AA4" i="32"/>
  <c r="T4" i="32"/>
  <c r="S4" i="32"/>
  <c r="R4" i="32"/>
  <c r="H4" i="32"/>
  <c r="G4" i="32"/>
  <c r="A4" i="32"/>
  <c r="AP1" i="32"/>
  <c r="AS25" i="19"/>
  <c r="AO39" i="32" l="1"/>
  <c r="AP39" i="32" s="1"/>
  <c r="AN13" i="32"/>
  <c r="AN19" i="32"/>
  <c r="AN20" i="32"/>
  <c r="AN22" i="32"/>
  <c r="AN23" i="32"/>
  <c r="AO18" i="32"/>
  <c r="AO5" i="32"/>
  <c r="AP13" i="32"/>
  <c r="AN27" i="32"/>
  <c r="AN30" i="32"/>
  <c r="AN31" i="32"/>
  <c r="AN4" i="32"/>
  <c r="AP4" i="32" s="1"/>
  <c r="AN7" i="32"/>
  <c r="AN8" i="32"/>
  <c r="AO14" i="32"/>
  <c r="AN16" i="32"/>
  <c r="AO20" i="32"/>
  <c r="AO23" i="32"/>
  <c r="AN24" i="32"/>
  <c r="AN25" i="32"/>
  <c r="AP25" i="32" s="1"/>
  <c r="AO28" i="32"/>
  <c r="AO29" i="32"/>
  <c r="AO31" i="32"/>
  <c r="AP31" i="32" s="1"/>
  <c r="AN32" i="32"/>
  <c r="AN33" i="32"/>
  <c r="AP33" i="32" s="1"/>
  <c r="AO36" i="32"/>
  <c r="AP36" i="32" s="1"/>
  <c r="AO37" i="32"/>
  <c r="AO4" i="32"/>
  <c r="AO7" i="32"/>
  <c r="AO8" i="32"/>
  <c r="AP8" i="32" s="1"/>
  <c r="AN9" i="32"/>
  <c r="AN11" i="32"/>
  <c r="AN12" i="32"/>
  <c r="AO16" i="32"/>
  <c r="AN17" i="32"/>
  <c r="AO24" i="32"/>
  <c r="AN26" i="32"/>
  <c r="AO32" i="32"/>
  <c r="AN34" i="32"/>
  <c r="AN5" i="32"/>
  <c r="AO12" i="32"/>
  <c r="AO17" i="32"/>
  <c r="AN35" i="32"/>
  <c r="AO6" i="32"/>
  <c r="AO10" i="32"/>
  <c r="AP23" i="32"/>
  <c r="AO9" i="32"/>
  <c r="A8" i="32"/>
  <c r="B10" i="32"/>
  <c r="B9" i="32"/>
  <c r="A7" i="32"/>
  <c r="AO11" i="32"/>
  <c r="AP11" i="32" s="1"/>
  <c r="R66" i="32"/>
  <c r="AN6" i="32"/>
  <c r="S66" i="32"/>
  <c r="AM4" i="32"/>
  <c r="AM66" i="32" s="1"/>
  <c r="H15" i="1" s="1"/>
  <c r="AN10" i="32"/>
  <c r="AO15" i="32"/>
  <c r="AP15" i="32" s="1"/>
  <c r="AN18" i="32"/>
  <c r="AP18" i="32" s="1"/>
  <c r="AP48" i="32"/>
  <c r="T66" i="32"/>
  <c r="A6" i="32"/>
  <c r="AN14" i="32"/>
  <c r="AO21" i="32"/>
  <c r="AN28" i="32"/>
  <c r="AO53" i="32"/>
  <c r="AP56" i="32"/>
  <c r="AN60" i="32"/>
  <c r="AP60" i="32" s="1"/>
  <c r="AO19" i="32"/>
  <c r="AP19" i="32" s="1"/>
  <c r="AO26" i="32"/>
  <c r="AO27" i="32"/>
  <c r="AO34" i="32"/>
  <c r="AO35" i="32"/>
  <c r="AO42" i="32"/>
  <c r="AO43" i="32"/>
  <c r="AP43" i="32" s="1"/>
  <c r="AO50" i="32"/>
  <c r="AP50" i="32" s="1"/>
  <c r="AO51" i="32"/>
  <c r="AP51" i="32" s="1"/>
  <c r="AO58" i="32"/>
  <c r="AP58" i="32" s="1"/>
  <c r="AO59" i="32"/>
  <c r="AP59" i="32" s="1"/>
  <c r="AN64" i="32"/>
  <c r="AP64" i="32" s="1"/>
  <c r="AN65" i="32"/>
  <c r="Y71" i="32"/>
  <c r="W71" i="32" s="1"/>
  <c r="AN21" i="32"/>
  <c r="AP21" i="32" s="1"/>
  <c r="AN29" i="32"/>
  <c r="AN37" i="32"/>
  <c r="AN45" i="32"/>
  <c r="AP45" i="32" s="1"/>
  <c r="AN53" i="32"/>
  <c r="AP53" i="32" s="1"/>
  <c r="AN61" i="32"/>
  <c r="AP61" i="32" s="1"/>
  <c r="AO65" i="32"/>
  <c r="AO22" i="32"/>
  <c r="AO30" i="32"/>
  <c r="AP30" i="32" s="1"/>
  <c r="AO38" i="32"/>
  <c r="AP38" i="32" s="1"/>
  <c r="AO46" i="32"/>
  <c r="AP46" i="32" s="1"/>
  <c r="AO54" i="32"/>
  <c r="AO62" i="32"/>
  <c r="AP62" i="32" s="1"/>
  <c r="AS25" i="13"/>
  <c r="AP37" i="32" l="1"/>
  <c r="AP29" i="32"/>
  <c r="AP5" i="32"/>
  <c r="AP7" i="32"/>
  <c r="AP20" i="32"/>
  <c r="AP16" i="32"/>
  <c r="AP35" i="32"/>
  <c r="AP28" i="32"/>
  <c r="AP34" i="32"/>
  <c r="AP9" i="32"/>
  <c r="AP24" i="32"/>
  <c r="AP6" i="32"/>
  <c r="AP12" i="32"/>
  <c r="AP14" i="32"/>
  <c r="AP17" i="32"/>
  <c r="AP32" i="32"/>
  <c r="AP10" i="32"/>
  <c r="AP26" i="32"/>
  <c r="B12" i="32"/>
  <c r="A10" i="32"/>
  <c r="AP54" i="32"/>
  <c r="AP22" i="32"/>
  <c r="AP42" i="32"/>
  <c r="B11" i="32"/>
  <c r="A9" i="32"/>
  <c r="AP27" i="32"/>
  <c r="AP65" i="32"/>
  <c r="AO66" i="32"/>
  <c r="J15" i="1" s="1"/>
  <c r="AN66" i="32"/>
  <c r="I15" i="1" s="1"/>
  <c r="J69" i="13"/>
  <c r="I67" i="13"/>
  <c r="O68" i="13"/>
  <c r="M15" i="1" l="1"/>
  <c r="N15" i="1" s="1"/>
  <c r="A12" i="32"/>
  <c r="B14" i="32"/>
  <c r="B13" i="32"/>
  <c r="A11" i="32"/>
  <c r="Q68" i="2"/>
  <c r="Q67" i="2"/>
  <c r="A13" i="32" l="1"/>
  <c r="B15" i="32"/>
  <c r="B16" i="32"/>
  <c r="A14" i="32"/>
  <c r="AS59" i="19"/>
  <c r="AS65" i="19"/>
  <c r="AS65" i="13"/>
  <c r="AS59" i="13"/>
  <c r="A16" i="32" l="1"/>
  <c r="B18" i="32"/>
  <c r="B17" i="32"/>
  <c r="A15" i="32"/>
  <c r="L20" i="1"/>
  <c r="B19" i="32" l="1"/>
  <c r="A17" i="32"/>
  <c r="B20" i="32"/>
  <c r="A18" i="32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A20" i="32" l="1"/>
  <c r="B22" i="32"/>
  <c r="B21" i="32"/>
  <c r="A19" i="32"/>
  <c r="AS45" i="19"/>
  <c r="AS45" i="13"/>
  <c r="B23" i="32" l="1"/>
  <c r="A21" i="32"/>
  <c r="B24" i="32"/>
  <c r="A22" i="32"/>
  <c r="AS31" i="12"/>
  <c r="A24" i="32" l="1"/>
  <c r="B26" i="32"/>
  <c r="A23" i="32"/>
  <c r="B25" i="32"/>
  <c r="M56" i="1"/>
  <c r="N56" i="1" s="1"/>
  <c r="B27" i="32" l="1"/>
  <c r="A25" i="32"/>
  <c r="B28" i="32"/>
  <c r="A26" i="32"/>
  <c r="AS31" i="13"/>
  <c r="A28" i="32" l="1"/>
  <c r="B30" i="32"/>
  <c r="A27" i="32"/>
  <c r="B29" i="32"/>
  <c r="AS17" i="14"/>
  <c r="AS17" i="9"/>
  <c r="B31" i="32" l="1"/>
  <c r="A29" i="32"/>
  <c r="B32" i="32"/>
  <c r="A30" i="32"/>
  <c r="G59" i="1"/>
  <c r="H59" i="1"/>
  <c r="I59" i="1"/>
  <c r="J59" i="1"/>
  <c r="A31" i="32" l="1"/>
  <c r="B33" i="32"/>
  <c r="A32" i="32"/>
  <c r="B34" i="32"/>
  <c r="AS17" i="8"/>
  <c r="B35" i="32" l="1"/>
  <c r="A33" i="32"/>
  <c r="B36" i="32"/>
  <c r="A34" i="32"/>
  <c r="AS17" i="13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36" i="32" l="1"/>
  <c r="B38" i="32"/>
  <c r="A35" i="32"/>
  <c r="B37" i="32"/>
  <c r="AK5" i="19"/>
  <c r="AL5" i="19"/>
  <c r="AK6" i="19"/>
  <c r="AL6" i="19"/>
  <c r="AK7" i="19"/>
  <c r="AL7" i="19"/>
  <c r="AK8" i="19"/>
  <c r="AL8" i="19"/>
  <c r="AK9" i="19"/>
  <c r="AL9" i="19"/>
  <c r="AK10" i="19"/>
  <c r="AL10" i="19"/>
  <c r="AK11" i="19"/>
  <c r="AL11" i="19"/>
  <c r="AK12" i="19"/>
  <c r="AL12" i="19"/>
  <c r="AK13" i="19"/>
  <c r="AL13" i="19"/>
  <c r="AK14" i="19"/>
  <c r="AL14" i="19"/>
  <c r="AK15" i="19"/>
  <c r="AL15" i="19"/>
  <c r="AK16" i="19"/>
  <c r="AL16" i="19"/>
  <c r="AK17" i="19"/>
  <c r="AL17" i="19"/>
  <c r="AK18" i="19"/>
  <c r="AL18" i="19"/>
  <c r="AK19" i="19"/>
  <c r="AL19" i="19"/>
  <c r="AK20" i="19"/>
  <c r="AL20" i="19"/>
  <c r="AK21" i="19"/>
  <c r="AL21" i="19"/>
  <c r="AK22" i="19"/>
  <c r="AL22" i="19"/>
  <c r="AK23" i="19"/>
  <c r="AL23" i="19"/>
  <c r="AK24" i="19"/>
  <c r="AL24" i="19"/>
  <c r="AK25" i="19"/>
  <c r="AL25" i="19"/>
  <c r="AK26" i="19"/>
  <c r="AL26" i="19"/>
  <c r="AK27" i="19"/>
  <c r="AL27" i="19"/>
  <c r="AK28" i="19"/>
  <c r="AL28" i="19"/>
  <c r="AK29" i="19"/>
  <c r="AL29" i="19"/>
  <c r="AK30" i="19"/>
  <c r="AL30" i="19"/>
  <c r="AK31" i="19"/>
  <c r="AL31" i="19"/>
  <c r="AK32" i="19"/>
  <c r="AL32" i="19"/>
  <c r="AK33" i="19"/>
  <c r="AL33" i="19"/>
  <c r="AK34" i="19"/>
  <c r="AL34" i="19"/>
  <c r="AK35" i="19"/>
  <c r="AL35" i="19"/>
  <c r="AK36" i="19"/>
  <c r="AL36" i="19"/>
  <c r="AK37" i="19"/>
  <c r="AL37" i="19"/>
  <c r="AK38" i="19"/>
  <c r="AL38" i="19"/>
  <c r="AK39" i="19"/>
  <c r="AL39" i="19"/>
  <c r="AK40" i="19"/>
  <c r="AL40" i="19"/>
  <c r="AK41" i="19"/>
  <c r="AL41" i="19"/>
  <c r="AK42" i="19"/>
  <c r="AL42" i="19"/>
  <c r="AK43" i="19"/>
  <c r="AL43" i="19"/>
  <c r="AK44" i="19"/>
  <c r="AL44" i="19"/>
  <c r="AK45" i="19"/>
  <c r="AL45" i="19"/>
  <c r="AK46" i="19"/>
  <c r="AL46" i="19"/>
  <c r="AK47" i="19"/>
  <c r="AL47" i="19"/>
  <c r="AK48" i="19"/>
  <c r="AL48" i="19"/>
  <c r="AK49" i="19"/>
  <c r="AL49" i="19"/>
  <c r="AK50" i="19"/>
  <c r="AL50" i="19"/>
  <c r="AK51" i="19"/>
  <c r="AL51" i="19"/>
  <c r="AK52" i="19"/>
  <c r="AL52" i="19"/>
  <c r="AK53" i="19"/>
  <c r="AL53" i="19"/>
  <c r="AK54" i="19"/>
  <c r="AL54" i="19"/>
  <c r="AK55" i="19"/>
  <c r="AL55" i="19"/>
  <c r="AK56" i="19"/>
  <c r="AL56" i="19"/>
  <c r="AK57" i="19"/>
  <c r="AL57" i="19"/>
  <c r="AK58" i="19"/>
  <c r="AL58" i="19"/>
  <c r="AK59" i="19"/>
  <c r="AL59" i="19"/>
  <c r="AK60" i="19"/>
  <c r="AL60" i="19"/>
  <c r="AK61" i="19"/>
  <c r="AL61" i="19"/>
  <c r="AK62" i="19"/>
  <c r="AL62" i="19"/>
  <c r="AK63" i="19"/>
  <c r="AL63" i="19"/>
  <c r="AK64" i="19"/>
  <c r="AL64" i="19"/>
  <c r="AK65" i="19"/>
  <c r="AL65" i="19"/>
  <c r="AF5" i="19"/>
  <c r="AG5" i="19"/>
  <c r="AF6" i="19"/>
  <c r="AG6" i="19"/>
  <c r="AF7" i="19"/>
  <c r="AG7" i="19"/>
  <c r="AF8" i="19"/>
  <c r="AG8" i="19"/>
  <c r="AF9" i="19"/>
  <c r="AG9" i="19"/>
  <c r="AF10" i="19"/>
  <c r="AG10" i="19"/>
  <c r="AF11" i="19"/>
  <c r="AG11" i="19"/>
  <c r="AF12" i="19"/>
  <c r="AG12" i="19"/>
  <c r="AF13" i="19"/>
  <c r="AG13" i="19"/>
  <c r="AF14" i="19"/>
  <c r="AG14" i="19"/>
  <c r="AF15" i="19"/>
  <c r="AG15" i="19"/>
  <c r="AF16" i="19"/>
  <c r="AG16" i="19"/>
  <c r="AF17" i="19"/>
  <c r="AG17" i="19"/>
  <c r="AF18" i="19"/>
  <c r="AG18" i="19"/>
  <c r="AF19" i="19"/>
  <c r="AG19" i="19"/>
  <c r="AF20" i="19"/>
  <c r="AG20" i="19"/>
  <c r="AF21" i="19"/>
  <c r="AG21" i="19"/>
  <c r="AF22" i="19"/>
  <c r="AG22" i="19"/>
  <c r="AF23" i="19"/>
  <c r="AG23" i="19"/>
  <c r="AF24" i="19"/>
  <c r="AG24" i="19"/>
  <c r="AF25" i="19"/>
  <c r="AG25" i="19"/>
  <c r="AF26" i="19"/>
  <c r="AG26" i="19"/>
  <c r="AF27" i="19"/>
  <c r="AG27" i="19"/>
  <c r="AF28" i="19"/>
  <c r="AG28" i="19"/>
  <c r="AF29" i="19"/>
  <c r="AG29" i="19"/>
  <c r="AF30" i="19"/>
  <c r="AG30" i="19"/>
  <c r="AF31" i="19"/>
  <c r="AG31" i="19"/>
  <c r="AF32" i="19"/>
  <c r="AG32" i="19"/>
  <c r="AF33" i="19"/>
  <c r="AG33" i="19"/>
  <c r="AF34" i="19"/>
  <c r="AG34" i="19"/>
  <c r="AF35" i="19"/>
  <c r="AG35" i="19"/>
  <c r="AF36" i="19"/>
  <c r="AG36" i="19"/>
  <c r="AF37" i="19"/>
  <c r="AG37" i="19"/>
  <c r="AF38" i="19"/>
  <c r="AG38" i="19"/>
  <c r="AF39" i="19"/>
  <c r="AG39" i="19"/>
  <c r="AF40" i="19"/>
  <c r="AG40" i="19"/>
  <c r="AF41" i="19"/>
  <c r="AG41" i="19"/>
  <c r="AF42" i="19"/>
  <c r="AG42" i="19"/>
  <c r="AF43" i="19"/>
  <c r="AG43" i="19"/>
  <c r="AF44" i="19"/>
  <c r="AG44" i="19"/>
  <c r="AF45" i="19"/>
  <c r="AG45" i="19"/>
  <c r="AF46" i="19"/>
  <c r="AG46" i="19"/>
  <c r="AF47" i="19"/>
  <c r="AG47" i="19"/>
  <c r="AF48" i="19"/>
  <c r="AG48" i="19"/>
  <c r="AF49" i="19"/>
  <c r="AG49" i="19"/>
  <c r="AF50" i="19"/>
  <c r="AG50" i="19"/>
  <c r="AF51" i="19"/>
  <c r="AG51" i="19"/>
  <c r="AF52" i="19"/>
  <c r="AG52" i="19"/>
  <c r="AF53" i="19"/>
  <c r="AG53" i="19"/>
  <c r="AF54" i="19"/>
  <c r="AG54" i="19"/>
  <c r="AF55" i="19"/>
  <c r="AG55" i="19"/>
  <c r="AF56" i="19"/>
  <c r="AG56" i="19"/>
  <c r="AF57" i="19"/>
  <c r="AG57" i="19"/>
  <c r="AF58" i="19"/>
  <c r="AG58" i="19"/>
  <c r="AF59" i="19"/>
  <c r="AG59" i="19"/>
  <c r="AF60" i="19"/>
  <c r="AG60" i="19"/>
  <c r="AF61" i="19"/>
  <c r="AG61" i="19"/>
  <c r="AF62" i="19"/>
  <c r="AG62" i="19"/>
  <c r="AF63" i="19"/>
  <c r="AG63" i="19"/>
  <c r="AF64" i="19"/>
  <c r="AG64" i="19"/>
  <c r="AF65" i="19"/>
  <c r="AG65" i="19"/>
  <c r="AA5" i="19"/>
  <c r="AB5" i="19"/>
  <c r="AA6" i="19"/>
  <c r="AB6" i="19"/>
  <c r="AA7" i="19"/>
  <c r="AB7" i="19"/>
  <c r="AA8" i="19"/>
  <c r="AB8" i="19"/>
  <c r="AA9" i="19"/>
  <c r="AB9" i="19"/>
  <c r="AA10" i="19"/>
  <c r="AB10" i="19"/>
  <c r="AA11" i="19"/>
  <c r="AB11" i="19"/>
  <c r="AA12" i="19"/>
  <c r="AB12" i="19"/>
  <c r="AA13" i="19"/>
  <c r="AB13" i="19"/>
  <c r="AA14" i="19"/>
  <c r="AB14" i="19"/>
  <c r="AA15" i="19"/>
  <c r="AB15" i="19"/>
  <c r="AA16" i="19"/>
  <c r="AB16" i="19"/>
  <c r="AA17" i="19"/>
  <c r="AB17" i="19"/>
  <c r="AA18" i="19"/>
  <c r="AB18" i="19"/>
  <c r="AA19" i="19"/>
  <c r="AB19" i="19"/>
  <c r="AA20" i="19"/>
  <c r="AB20" i="19"/>
  <c r="AA21" i="19"/>
  <c r="AB21" i="19"/>
  <c r="AA22" i="19"/>
  <c r="AB22" i="19"/>
  <c r="AA23" i="19"/>
  <c r="AB23" i="19"/>
  <c r="AA24" i="19"/>
  <c r="AB24" i="19"/>
  <c r="AA25" i="19"/>
  <c r="AB25" i="19"/>
  <c r="AA26" i="19"/>
  <c r="AB26" i="19"/>
  <c r="AA27" i="19"/>
  <c r="AB27" i="19"/>
  <c r="AA28" i="19"/>
  <c r="AB28" i="19"/>
  <c r="AA29" i="19"/>
  <c r="AB29" i="19"/>
  <c r="AA30" i="19"/>
  <c r="AB30" i="19"/>
  <c r="AA31" i="19"/>
  <c r="AB31" i="19"/>
  <c r="AA32" i="19"/>
  <c r="AB32" i="19"/>
  <c r="AA33" i="19"/>
  <c r="AB33" i="19"/>
  <c r="AA34" i="19"/>
  <c r="AB34" i="19"/>
  <c r="AA35" i="19"/>
  <c r="AB35" i="19"/>
  <c r="AA36" i="19"/>
  <c r="AB36" i="19"/>
  <c r="AA37" i="19"/>
  <c r="AB37" i="19"/>
  <c r="AA38" i="19"/>
  <c r="AB38" i="19"/>
  <c r="AA39" i="19"/>
  <c r="AB39" i="19"/>
  <c r="AA40" i="19"/>
  <c r="AB40" i="19"/>
  <c r="AA41" i="19"/>
  <c r="AB41" i="19"/>
  <c r="AA42" i="19"/>
  <c r="AB42" i="19"/>
  <c r="AA43" i="19"/>
  <c r="AB43" i="19"/>
  <c r="AA44" i="19"/>
  <c r="AB44" i="19"/>
  <c r="AA45" i="19"/>
  <c r="AB45" i="19"/>
  <c r="AA46" i="19"/>
  <c r="AB46" i="19"/>
  <c r="AA47" i="19"/>
  <c r="AB47" i="19"/>
  <c r="AA48" i="19"/>
  <c r="AB48" i="19"/>
  <c r="AA49" i="19"/>
  <c r="AB49" i="19"/>
  <c r="AA50" i="19"/>
  <c r="AB50" i="19"/>
  <c r="AA51" i="19"/>
  <c r="AB51" i="19"/>
  <c r="AA52" i="19"/>
  <c r="AB52" i="19"/>
  <c r="AA53" i="19"/>
  <c r="AB53" i="19"/>
  <c r="AA54" i="19"/>
  <c r="AB54" i="19"/>
  <c r="AA55" i="19"/>
  <c r="AB55" i="19"/>
  <c r="AA56" i="19"/>
  <c r="AB56" i="19"/>
  <c r="AA57" i="19"/>
  <c r="AB57" i="19"/>
  <c r="AA58" i="19"/>
  <c r="AB58" i="19"/>
  <c r="AA59" i="19"/>
  <c r="AB59" i="19"/>
  <c r="AA60" i="19"/>
  <c r="AB60" i="19"/>
  <c r="AA61" i="19"/>
  <c r="AB61" i="19"/>
  <c r="AA62" i="19"/>
  <c r="AB62" i="19"/>
  <c r="AA63" i="19"/>
  <c r="AB63" i="19"/>
  <c r="AA64" i="19"/>
  <c r="AB64" i="19"/>
  <c r="AA65" i="19"/>
  <c r="AB65" i="19"/>
  <c r="R5" i="19"/>
  <c r="S5" i="19"/>
  <c r="T5" i="19"/>
  <c r="R6" i="19"/>
  <c r="S6" i="19"/>
  <c r="T6" i="19"/>
  <c r="R7" i="19"/>
  <c r="S7" i="19"/>
  <c r="T7" i="19"/>
  <c r="R8" i="19"/>
  <c r="S8" i="19"/>
  <c r="T8" i="19"/>
  <c r="R9" i="19"/>
  <c r="S9" i="19"/>
  <c r="T9" i="19"/>
  <c r="R10" i="19"/>
  <c r="S10" i="19"/>
  <c r="T10" i="19"/>
  <c r="R11" i="19"/>
  <c r="S11" i="19"/>
  <c r="T11" i="19"/>
  <c r="R12" i="19"/>
  <c r="S12" i="19"/>
  <c r="T12" i="19"/>
  <c r="R13" i="19"/>
  <c r="S13" i="19"/>
  <c r="T13" i="19"/>
  <c r="R14" i="19"/>
  <c r="S14" i="19"/>
  <c r="T14" i="19"/>
  <c r="R15" i="19"/>
  <c r="S15" i="19"/>
  <c r="T15" i="19"/>
  <c r="R16" i="19"/>
  <c r="S16" i="19"/>
  <c r="T16" i="19"/>
  <c r="R17" i="19"/>
  <c r="S17" i="19"/>
  <c r="T17" i="19"/>
  <c r="R18" i="19"/>
  <c r="S18" i="19"/>
  <c r="T18" i="19"/>
  <c r="R19" i="19"/>
  <c r="S19" i="19"/>
  <c r="T19" i="19"/>
  <c r="R20" i="19"/>
  <c r="S20" i="19"/>
  <c r="T20" i="19"/>
  <c r="R21" i="19"/>
  <c r="S21" i="19"/>
  <c r="T21" i="19"/>
  <c r="R22" i="19"/>
  <c r="S22" i="19"/>
  <c r="T22" i="19"/>
  <c r="R23" i="19"/>
  <c r="S23" i="19"/>
  <c r="T23" i="19"/>
  <c r="R24" i="19"/>
  <c r="S24" i="19"/>
  <c r="T24" i="19"/>
  <c r="R25" i="19"/>
  <c r="S25" i="19"/>
  <c r="T25" i="19"/>
  <c r="R26" i="19"/>
  <c r="S26" i="19"/>
  <c r="T26" i="19"/>
  <c r="R27" i="19"/>
  <c r="S27" i="19"/>
  <c r="T27" i="19"/>
  <c r="R28" i="19"/>
  <c r="S28" i="19"/>
  <c r="T28" i="19"/>
  <c r="R29" i="19"/>
  <c r="S29" i="19"/>
  <c r="T29" i="19"/>
  <c r="R30" i="19"/>
  <c r="S30" i="19"/>
  <c r="T30" i="19"/>
  <c r="R31" i="19"/>
  <c r="S31" i="19"/>
  <c r="T31" i="19"/>
  <c r="R32" i="19"/>
  <c r="S32" i="19"/>
  <c r="T32" i="19"/>
  <c r="R33" i="19"/>
  <c r="S33" i="19"/>
  <c r="T33" i="19"/>
  <c r="R34" i="19"/>
  <c r="S34" i="19"/>
  <c r="T34" i="19"/>
  <c r="R35" i="19"/>
  <c r="S35" i="19"/>
  <c r="T35" i="19"/>
  <c r="R36" i="19"/>
  <c r="S36" i="19"/>
  <c r="T36" i="19"/>
  <c r="R37" i="19"/>
  <c r="S37" i="19"/>
  <c r="T37" i="19"/>
  <c r="R38" i="19"/>
  <c r="S38" i="19"/>
  <c r="T38" i="19"/>
  <c r="R39" i="19"/>
  <c r="S39" i="19"/>
  <c r="T39" i="19"/>
  <c r="R40" i="19"/>
  <c r="S40" i="19"/>
  <c r="T40" i="19"/>
  <c r="R41" i="19"/>
  <c r="S41" i="19"/>
  <c r="T41" i="19"/>
  <c r="R42" i="19"/>
  <c r="S42" i="19"/>
  <c r="T42" i="19"/>
  <c r="R43" i="19"/>
  <c r="S43" i="19"/>
  <c r="T43" i="19"/>
  <c r="R44" i="19"/>
  <c r="S44" i="19"/>
  <c r="T44" i="19"/>
  <c r="R45" i="19"/>
  <c r="S45" i="19"/>
  <c r="T45" i="19"/>
  <c r="R46" i="19"/>
  <c r="S46" i="19"/>
  <c r="T46" i="19"/>
  <c r="R47" i="19"/>
  <c r="S47" i="19"/>
  <c r="T47" i="19"/>
  <c r="R48" i="19"/>
  <c r="S48" i="19"/>
  <c r="T48" i="19"/>
  <c r="R49" i="19"/>
  <c r="S49" i="19"/>
  <c r="T49" i="19"/>
  <c r="R50" i="19"/>
  <c r="S50" i="19"/>
  <c r="T50" i="19"/>
  <c r="R51" i="19"/>
  <c r="S51" i="19"/>
  <c r="T51" i="19"/>
  <c r="R52" i="19"/>
  <c r="S52" i="19"/>
  <c r="T52" i="19"/>
  <c r="R53" i="19"/>
  <c r="S53" i="19"/>
  <c r="T53" i="19"/>
  <c r="R54" i="19"/>
  <c r="S54" i="19"/>
  <c r="T54" i="19"/>
  <c r="R55" i="19"/>
  <c r="S55" i="19"/>
  <c r="T55" i="19"/>
  <c r="R56" i="19"/>
  <c r="S56" i="19"/>
  <c r="T56" i="19"/>
  <c r="R57" i="19"/>
  <c r="S57" i="19"/>
  <c r="T57" i="19"/>
  <c r="R58" i="19"/>
  <c r="S58" i="19"/>
  <c r="T58" i="19"/>
  <c r="R59" i="19"/>
  <c r="S59" i="19"/>
  <c r="T59" i="19"/>
  <c r="R60" i="19"/>
  <c r="S60" i="19"/>
  <c r="T60" i="19"/>
  <c r="R61" i="19"/>
  <c r="S61" i="19"/>
  <c r="T61" i="19"/>
  <c r="R62" i="19"/>
  <c r="S62" i="19"/>
  <c r="T62" i="19"/>
  <c r="R63" i="19"/>
  <c r="S63" i="19"/>
  <c r="T63" i="19"/>
  <c r="R64" i="19"/>
  <c r="S64" i="19"/>
  <c r="T64" i="19"/>
  <c r="R65" i="19"/>
  <c r="S65" i="19"/>
  <c r="T65" i="19"/>
  <c r="G5" i="19"/>
  <c r="H5" i="19"/>
  <c r="G6" i="19"/>
  <c r="H6" i="19"/>
  <c r="G7" i="19"/>
  <c r="H7" i="19"/>
  <c r="G8" i="19"/>
  <c r="H8" i="19"/>
  <c r="G9" i="19"/>
  <c r="H9" i="19"/>
  <c r="G10" i="19"/>
  <c r="H10" i="19"/>
  <c r="G11" i="19"/>
  <c r="H11" i="19"/>
  <c r="G12" i="19"/>
  <c r="H12" i="19"/>
  <c r="G13" i="19"/>
  <c r="H13" i="19"/>
  <c r="G14" i="19"/>
  <c r="H14" i="19"/>
  <c r="G15" i="19"/>
  <c r="H15" i="19"/>
  <c r="G16" i="19"/>
  <c r="H16" i="19"/>
  <c r="G17" i="19"/>
  <c r="H17" i="19"/>
  <c r="G18" i="19"/>
  <c r="H18" i="19"/>
  <c r="G19" i="19"/>
  <c r="H19" i="19"/>
  <c r="G20" i="19"/>
  <c r="H20" i="19"/>
  <c r="G21" i="19"/>
  <c r="H21" i="19"/>
  <c r="G22" i="19"/>
  <c r="H22" i="19"/>
  <c r="G23" i="19"/>
  <c r="H23" i="19"/>
  <c r="G24" i="19"/>
  <c r="H24" i="19"/>
  <c r="G25" i="19"/>
  <c r="H25" i="19"/>
  <c r="G26" i="19"/>
  <c r="H26" i="19"/>
  <c r="G36" i="19"/>
  <c r="H36" i="19"/>
  <c r="G37" i="19"/>
  <c r="H37" i="19"/>
  <c r="G38" i="19"/>
  <c r="H38" i="19"/>
  <c r="G39" i="19"/>
  <c r="H39" i="19"/>
  <c r="G40" i="19"/>
  <c r="H40" i="19"/>
  <c r="G41" i="19"/>
  <c r="H41" i="19"/>
  <c r="G42" i="19"/>
  <c r="H42" i="19"/>
  <c r="G43" i="19"/>
  <c r="H43" i="19"/>
  <c r="G44" i="19"/>
  <c r="H44" i="19"/>
  <c r="G45" i="19"/>
  <c r="H45" i="19"/>
  <c r="G46" i="19"/>
  <c r="H46" i="19"/>
  <c r="G47" i="19"/>
  <c r="H47" i="19"/>
  <c r="G48" i="19"/>
  <c r="H48" i="19"/>
  <c r="G49" i="19"/>
  <c r="H49" i="19"/>
  <c r="G50" i="19"/>
  <c r="H50" i="19"/>
  <c r="G51" i="19"/>
  <c r="H51" i="19"/>
  <c r="G52" i="19"/>
  <c r="H52" i="19"/>
  <c r="G53" i="19"/>
  <c r="H53" i="19"/>
  <c r="G54" i="19"/>
  <c r="H54" i="19"/>
  <c r="G55" i="19"/>
  <c r="H55" i="19"/>
  <c r="G56" i="19"/>
  <c r="H56" i="19"/>
  <c r="G57" i="19"/>
  <c r="H57" i="19"/>
  <c r="G58" i="19"/>
  <c r="H58" i="19"/>
  <c r="G59" i="19"/>
  <c r="H59" i="19"/>
  <c r="G60" i="19"/>
  <c r="H60" i="19"/>
  <c r="G61" i="19"/>
  <c r="H61" i="19"/>
  <c r="G62" i="19"/>
  <c r="H62" i="19"/>
  <c r="G63" i="19"/>
  <c r="H63" i="19"/>
  <c r="G64" i="19"/>
  <c r="H64" i="19"/>
  <c r="G65" i="19"/>
  <c r="H65" i="19"/>
  <c r="B39" i="32" l="1"/>
  <c r="A37" i="32"/>
  <c r="B40" i="32"/>
  <c r="A38" i="32"/>
  <c r="AS63" i="11"/>
  <c r="AS49" i="11"/>
  <c r="A40" i="32" l="1"/>
  <c r="B42" i="32"/>
  <c r="A39" i="32"/>
  <c r="B41" i="32"/>
  <c r="AP1" i="17"/>
  <c r="T65" i="17"/>
  <c r="S65" i="17"/>
  <c r="R65" i="17"/>
  <c r="AM65" i="17" s="1"/>
  <c r="T64" i="17"/>
  <c r="S64" i="17"/>
  <c r="R64" i="17"/>
  <c r="AM64" i="17" s="1"/>
  <c r="T63" i="17"/>
  <c r="S63" i="17"/>
  <c r="R63" i="17"/>
  <c r="T62" i="17"/>
  <c r="S62" i="17"/>
  <c r="R62" i="17"/>
  <c r="AM62" i="17" s="1"/>
  <c r="T61" i="17"/>
  <c r="S61" i="17"/>
  <c r="R61" i="17"/>
  <c r="AM61" i="17" s="1"/>
  <c r="T60" i="17"/>
  <c r="S60" i="17"/>
  <c r="R60" i="17"/>
  <c r="AM60" i="17" s="1"/>
  <c r="T59" i="17"/>
  <c r="S59" i="17"/>
  <c r="R59" i="17"/>
  <c r="AM59" i="17" s="1"/>
  <c r="T58" i="17"/>
  <c r="S58" i="17"/>
  <c r="R58" i="17"/>
  <c r="AM58" i="17" s="1"/>
  <c r="T57" i="17"/>
  <c r="S57" i="17"/>
  <c r="R57" i="17"/>
  <c r="AM57" i="17" s="1"/>
  <c r="T56" i="17"/>
  <c r="S56" i="17"/>
  <c r="R56" i="17"/>
  <c r="AM56" i="17" s="1"/>
  <c r="T55" i="17"/>
  <c r="S55" i="17"/>
  <c r="R55" i="17"/>
  <c r="AM55" i="17" s="1"/>
  <c r="T54" i="17"/>
  <c r="S54" i="17"/>
  <c r="R54" i="17"/>
  <c r="AM54" i="17" s="1"/>
  <c r="T53" i="17"/>
  <c r="S53" i="17"/>
  <c r="R53" i="17"/>
  <c r="AM53" i="17" s="1"/>
  <c r="T52" i="17"/>
  <c r="S52" i="17"/>
  <c r="R52" i="17"/>
  <c r="AM52" i="17" s="1"/>
  <c r="T51" i="17"/>
  <c r="S51" i="17"/>
  <c r="R51" i="17"/>
  <c r="AM51" i="17" s="1"/>
  <c r="T50" i="17"/>
  <c r="S50" i="17"/>
  <c r="R50" i="17"/>
  <c r="AM50" i="17" s="1"/>
  <c r="T49" i="17"/>
  <c r="S49" i="17"/>
  <c r="R49" i="17"/>
  <c r="AM49" i="17" s="1"/>
  <c r="T48" i="17"/>
  <c r="S48" i="17"/>
  <c r="R48" i="17"/>
  <c r="AM48" i="17" s="1"/>
  <c r="T47" i="17"/>
  <c r="S47" i="17"/>
  <c r="R47" i="17"/>
  <c r="AM47" i="17" s="1"/>
  <c r="T46" i="17"/>
  <c r="S46" i="17"/>
  <c r="R46" i="17"/>
  <c r="AM46" i="17" s="1"/>
  <c r="T45" i="17"/>
  <c r="S45" i="17"/>
  <c r="R45" i="17"/>
  <c r="AM45" i="17" s="1"/>
  <c r="T44" i="17"/>
  <c r="S44" i="17"/>
  <c r="R44" i="17"/>
  <c r="AM44" i="17" s="1"/>
  <c r="T43" i="17"/>
  <c r="S43" i="17"/>
  <c r="R43" i="17"/>
  <c r="AM43" i="17" s="1"/>
  <c r="T42" i="17"/>
  <c r="S42" i="17"/>
  <c r="R42" i="17"/>
  <c r="AM42" i="17" s="1"/>
  <c r="T41" i="17"/>
  <c r="S41" i="17"/>
  <c r="R41" i="17"/>
  <c r="AM41" i="17" s="1"/>
  <c r="T40" i="17"/>
  <c r="S40" i="17"/>
  <c r="R40" i="17"/>
  <c r="AM40" i="17" s="1"/>
  <c r="T39" i="17"/>
  <c r="S39" i="17"/>
  <c r="R39" i="17"/>
  <c r="AM39" i="17" s="1"/>
  <c r="T38" i="17"/>
  <c r="S38" i="17"/>
  <c r="R38" i="17"/>
  <c r="AM38" i="17" s="1"/>
  <c r="T37" i="17"/>
  <c r="S37" i="17"/>
  <c r="R37" i="17"/>
  <c r="AM37" i="17" s="1"/>
  <c r="T36" i="17"/>
  <c r="S36" i="17"/>
  <c r="R36" i="17"/>
  <c r="AM36" i="17" s="1"/>
  <c r="T35" i="17"/>
  <c r="S35" i="17"/>
  <c r="R35" i="17"/>
  <c r="AM35" i="17" s="1"/>
  <c r="T34" i="17"/>
  <c r="S34" i="17"/>
  <c r="R34" i="17"/>
  <c r="AM34" i="17" s="1"/>
  <c r="T33" i="17"/>
  <c r="S33" i="17"/>
  <c r="R33" i="17"/>
  <c r="AM33" i="17" s="1"/>
  <c r="T32" i="17"/>
  <c r="S32" i="17"/>
  <c r="R32" i="17"/>
  <c r="AM32" i="17" s="1"/>
  <c r="T31" i="17"/>
  <c r="S31" i="17"/>
  <c r="R31" i="17"/>
  <c r="AM31" i="17" s="1"/>
  <c r="T30" i="17"/>
  <c r="S30" i="17"/>
  <c r="R30" i="17"/>
  <c r="AM30" i="17" s="1"/>
  <c r="T29" i="17"/>
  <c r="S29" i="17"/>
  <c r="R29" i="17"/>
  <c r="AM29" i="17" s="1"/>
  <c r="T28" i="17"/>
  <c r="S28" i="17"/>
  <c r="R28" i="17"/>
  <c r="AM28" i="17" s="1"/>
  <c r="T27" i="17"/>
  <c r="S27" i="17"/>
  <c r="R27" i="17"/>
  <c r="AM27" i="17" s="1"/>
  <c r="T26" i="17"/>
  <c r="S26" i="17"/>
  <c r="R26" i="17"/>
  <c r="AM26" i="17" s="1"/>
  <c r="T25" i="17"/>
  <c r="S25" i="17"/>
  <c r="R25" i="17"/>
  <c r="AM25" i="17" s="1"/>
  <c r="T24" i="17"/>
  <c r="S24" i="17"/>
  <c r="R24" i="17"/>
  <c r="AM24" i="17" s="1"/>
  <c r="T23" i="17"/>
  <c r="S23" i="17"/>
  <c r="R23" i="17"/>
  <c r="T22" i="17"/>
  <c r="S22" i="17"/>
  <c r="R22" i="17"/>
  <c r="AM22" i="17" s="1"/>
  <c r="T21" i="17"/>
  <c r="S21" i="17"/>
  <c r="R21" i="17"/>
  <c r="AM21" i="17" s="1"/>
  <c r="T20" i="17"/>
  <c r="S20" i="17"/>
  <c r="R20" i="17"/>
  <c r="AM20" i="17" s="1"/>
  <c r="T19" i="17"/>
  <c r="S19" i="17"/>
  <c r="R19" i="17"/>
  <c r="AM19" i="17" s="1"/>
  <c r="T18" i="17"/>
  <c r="S18" i="17"/>
  <c r="R18" i="17"/>
  <c r="AM18" i="17" s="1"/>
  <c r="T17" i="17"/>
  <c r="S17" i="17"/>
  <c r="R17" i="17"/>
  <c r="AM17" i="17" s="1"/>
  <c r="T16" i="17"/>
  <c r="S16" i="17"/>
  <c r="R16" i="17"/>
  <c r="T15" i="17"/>
  <c r="S15" i="17"/>
  <c r="R15" i="17"/>
  <c r="AM15" i="17" s="1"/>
  <c r="T14" i="17"/>
  <c r="S14" i="17"/>
  <c r="R14" i="17"/>
  <c r="AM14" i="17" s="1"/>
  <c r="T13" i="17"/>
  <c r="S13" i="17"/>
  <c r="R13" i="17"/>
  <c r="AM13" i="17" s="1"/>
  <c r="T12" i="17"/>
  <c r="S12" i="17"/>
  <c r="R12" i="17"/>
  <c r="AM12" i="17" s="1"/>
  <c r="T11" i="17"/>
  <c r="S11" i="17"/>
  <c r="R11" i="17"/>
  <c r="AM11" i="17" s="1"/>
  <c r="T10" i="17"/>
  <c r="S10" i="17"/>
  <c r="R10" i="17"/>
  <c r="AM10" i="17" s="1"/>
  <c r="T9" i="17"/>
  <c r="S9" i="17"/>
  <c r="R9" i="17"/>
  <c r="T8" i="17"/>
  <c r="S8" i="17"/>
  <c r="R8" i="17"/>
  <c r="AM8" i="17" s="1"/>
  <c r="T7" i="17"/>
  <c r="S7" i="17"/>
  <c r="R7" i="17"/>
  <c r="AM7" i="17" s="1"/>
  <c r="T6" i="17"/>
  <c r="S6" i="17"/>
  <c r="R6" i="17"/>
  <c r="AM6" i="17" s="1"/>
  <c r="T5" i="17"/>
  <c r="S5" i="17"/>
  <c r="R5" i="17"/>
  <c r="AM63" i="17"/>
  <c r="AM23" i="17"/>
  <c r="AM16" i="17"/>
  <c r="AM9" i="17"/>
  <c r="AL65" i="17"/>
  <c r="AK65" i="17"/>
  <c r="AL64" i="17"/>
  <c r="AK64" i="17"/>
  <c r="AL63" i="17"/>
  <c r="AK63" i="17"/>
  <c r="AL62" i="17"/>
  <c r="AK62" i="17"/>
  <c r="AL61" i="17"/>
  <c r="AK61" i="17"/>
  <c r="AL60" i="17"/>
  <c r="AK60" i="17"/>
  <c r="AL59" i="17"/>
  <c r="AK59" i="17"/>
  <c r="AL58" i="17"/>
  <c r="AK58" i="17"/>
  <c r="AL57" i="17"/>
  <c r="AK57" i="17"/>
  <c r="AL56" i="17"/>
  <c r="AK56" i="17"/>
  <c r="AL55" i="17"/>
  <c r="AK55" i="17"/>
  <c r="AL54" i="17"/>
  <c r="AK54" i="17"/>
  <c r="AL53" i="17"/>
  <c r="AK53" i="17"/>
  <c r="AL52" i="17"/>
  <c r="AK52" i="17"/>
  <c r="AL51" i="17"/>
  <c r="AK51" i="17"/>
  <c r="AL50" i="17"/>
  <c r="AK50" i="17"/>
  <c r="AL49" i="17"/>
  <c r="AK49" i="17"/>
  <c r="AL48" i="17"/>
  <c r="AK48" i="17"/>
  <c r="AL47" i="17"/>
  <c r="AK47" i="17"/>
  <c r="AL46" i="17"/>
  <c r="AK46" i="17"/>
  <c r="AL45" i="17"/>
  <c r="AK45" i="17"/>
  <c r="AL44" i="17"/>
  <c r="AK44" i="17"/>
  <c r="AL43" i="17"/>
  <c r="AK43" i="17"/>
  <c r="AL42" i="17"/>
  <c r="AK42" i="17"/>
  <c r="AL41" i="17"/>
  <c r="AK41" i="17"/>
  <c r="AL40" i="17"/>
  <c r="AK40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G65" i="17"/>
  <c r="AF65" i="17"/>
  <c r="AG64" i="17"/>
  <c r="AF64" i="17"/>
  <c r="AG63" i="17"/>
  <c r="AF63" i="17"/>
  <c r="AG62" i="17"/>
  <c r="AF62" i="17"/>
  <c r="AG61" i="17"/>
  <c r="AF61" i="17"/>
  <c r="AG60" i="17"/>
  <c r="AF60" i="17"/>
  <c r="AG59" i="17"/>
  <c r="AF59" i="17"/>
  <c r="AG58" i="17"/>
  <c r="AF58" i="17"/>
  <c r="AG57" i="17"/>
  <c r="AF57" i="17"/>
  <c r="AG56" i="17"/>
  <c r="AF56" i="17"/>
  <c r="AG55" i="17"/>
  <c r="AF55" i="17"/>
  <c r="AG54" i="17"/>
  <c r="AF54" i="17"/>
  <c r="AG53" i="17"/>
  <c r="AF53" i="17"/>
  <c r="AG52" i="17"/>
  <c r="AF52" i="17"/>
  <c r="AG51" i="17"/>
  <c r="AF51" i="17"/>
  <c r="AG50" i="17"/>
  <c r="AF50" i="17"/>
  <c r="AG49" i="17"/>
  <c r="AF49" i="17"/>
  <c r="AG48" i="17"/>
  <c r="AF48" i="17"/>
  <c r="AG47" i="17"/>
  <c r="AF47" i="17"/>
  <c r="AG46" i="17"/>
  <c r="AF46" i="17"/>
  <c r="AG45" i="17"/>
  <c r="AF45" i="17"/>
  <c r="AG44" i="17"/>
  <c r="AF44" i="17"/>
  <c r="AG43" i="17"/>
  <c r="AF43" i="17"/>
  <c r="AG42" i="17"/>
  <c r="AF42" i="17"/>
  <c r="AG41" i="17"/>
  <c r="AF41" i="17"/>
  <c r="AG40" i="17"/>
  <c r="AF40" i="17"/>
  <c r="AG39" i="17"/>
  <c r="AF39" i="17"/>
  <c r="AG38" i="17"/>
  <c r="AF38" i="17"/>
  <c r="AG37" i="17"/>
  <c r="AF37" i="17"/>
  <c r="AG36" i="17"/>
  <c r="AF36" i="17"/>
  <c r="AG35" i="17"/>
  <c r="AF35" i="17"/>
  <c r="AG34" i="17"/>
  <c r="AF34" i="17"/>
  <c r="AG33" i="17"/>
  <c r="AF33" i="17"/>
  <c r="AG32" i="17"/>
  <c r="AF32" i="17"/>
  <c r="AG31" i="17"/>
  <c r="AF31" i="17"/>
  <c r="AG30" i="17"/>
  <c r="AF30" i="17"/>
  <c r="AG29" i="17"/>
  <c r="AF29" i="17"/>
  <c r="AG28" i="17"/>
  <c r="AF28" i="17"/>
  <c r="AG27" i="17"/>
  <c r="AF27" i="17"/>
  <c r="AG26" i="17"/>
  <c r="AF26" i="17"/>
  <c r="AG25" i="17"/>
  <c r="AF25" i="17"/>
  <c r="AG24" i="17"/>
  <c r="AF24" i="17"/>
  <c r="AG23" i="17"/>
  <c r="AF23" i="17"/>
  <c r="AG22" i="17"/>
  <c r="AF22" i="17"/>
  <c r="AG21" i="17"/>
  <c r="AF21" i="17"/>
  <c r="AG20" i="17"/>
  <c r="AF20" i="17"/>
  <c r="AG19" i="17"/>
  <c r="AF19" i="17"/>
  <c r="AG18" i="17"/>
  <c r="AF18" i="17"/>
  <c r="AG17" i="17"/>
  <c r="AF17" i="17"/>
  <c r="AG16" i="17"/>
  <c r="AF16" i="17"/>
  <c r="AG15" i="17"/>
  <c r="AF15" i="17"/>
  <c r="AG14" i="17"/>
  <c r="AF14" i="17"/>
  <c r="AG13" i="17"/>
  <c r="AF13" i="17"/>
  <c r="AG12" i="17"/>
  <c r="AF12" i="17"/>
  <c r="AG11" i="17"/>
  <c r="AF11" i="17"/>
  <c r="AG10" i="17"/>
  <c r="AF10" i="17"/>
  <c r="AG9" i="17"/>
  <c r="AF9" i="17"/>
  <c r="AG8" i="17"/>
  <c r="AF8" i="17"/>
  <c r="AG7" i="17"/>
  <c r="AF7" i="17"/>
  <c r="AG6" i="17"/>
  <c r="AF6" i="17"/>
  <c r="AG5" i="17"/>
  <c r="AF5" i="17"/>
  <c r="AS21" i="27"/>
  <c r="B43" i="32" l="1"/>
  <c r="A41" i="32"/>
  <c r="B44" i="32"/>
  <c r="A42" i="32"/>
  <c r="AS35" i="27"/>
  <c r="A44" i="32" l="1"/>
  <c r="B46" i="32"/>
  <c r="A43" i="32"/>
  <c r="B45" i="32"/>
  <c r="AS35" i="9"/>
  <c r="B47" i="32" l="1"/>
  <c r="A45" i="32"/>
  <c r="B48" i="32"/>
  <c r="A46" i="32"/>
  <c r="AS21" i="8"/>
  <c r="A47" i="32" l="1"/>
  <c r="B49" i="32"/>
  <c r="A48" i="32"/>
  <c r="B50" i="32"/>
  <c r="AF20" i="13"/>
  <c r="B52" i="32" l="1"/>
  <c r="A50" i="32"/>
  <c r="B51" i="32"/>
  <c r="A49" i="32"/>
  <c r="AA4" i="22"/>
  <c r="AB4" i="22"/>
  <c r="AA5" i="22"/>
  <c r="AB5" i="22"/>
  <c r="AA6" i="22"/>
  <c r="AB6" i="22"/>
  <c r="AA7" i="22"/>
  <c r="AB7" i="22"/>
  <c r="AA8" i="22"/>
  <c r="AB8" i="22"/>
  <c r="AA9" i="22"/>
  <c r="AB9" i="22"/>
  <c r="AA10" i="22"/>
  <c r="AB10" i="22"/>
  <c r="AA11" i="22"/>
  <c r="AB11" i="22"/>
  <c r="AA12" i="22"/>
  <c r="AB12" i="22"/>
  <c r="AA13" i="22"/>
  <c r="AB13" i="22"/>
  <c r="AA14" i="22"/>
  <c r="AB14" i="22"/>
  <c r="AA15" i="22"/>
  <c r="AB15" i="22"/>
  <c r="AA16" i="22"/>
  <c r="AB16" i="22"/>
  <c r="AA17" i="22"/>
  <c r="AB17" i="22"/>
  <c r="AA18" i="22"/>
  <c r="AB18" i="22"/>
  <c r="AA19" i="22"/>
  <c r="AB19" i="22"/>
  <c r="AA20" i="22"/>
  <c r="AB20" i="22"/>
  <c r="AA21" i="22"/>
  <c r="AB21" i="22"/>
  <c r="AA22" i="22"/>
  <c r="AB22" i="22"/>
  <c r="AA23" i="22"/>
  <c r="AB23" i="22"/>
  <c r="AA24" i="22"/>
  <c r="AB24" i="22"/>
  <c r="AA25" i="22"/>
  <c r="AB25" i="22"/>
  <c r="AA26" i="22"/>
  <c r="AB26" i="22"/>
  <c r="AA27" i="22"/>
  <c r="AB27" i="22"/>
  <c r="AA28" i="22"/>
  <c r="AB28" i="22"/>
  <c r="AA29" i="22"/>
  <c r="AB29" i="22"/>
  <c r="AA30" i="22"/>
  <c r="AB30" i="22"/>
  <c r="AA31" i="22"/>
  <c r="AB31" i="22"/>
  <c r="AA32" i="22"/>
  <c r="AB32" i="22"/>
  <c r="AA33" i="22"/>
  <c r="AB33" i="22"/>
  <c r="AA34" i="22"/>
  <c r="AB34" i="22"/>
  <c r="AA35" i="22"/>
  <c r="AB35" i="22"/>
  <c r="AA36" i="22"/>
  <c r="AB36" i="22"/>
  <c r="AA37" i="22"/>
  <c r="AB37" i="22"/>
  <c r="AA38" i="22"/>
  <c r="AB38" i="22"/>
  <c r="AA39" i="22"/>
  <c r="AB39" i="22"/>
  <c r="AA40" i="22"/>
  <c r="AB40" i="22"/>
  <c r="AA41" i="22"/>
  <c r="AB41" i="22"/>
  <c r="AA42" i="22"/>
  <c r="AB42" i="22"/>
  <c r="AA43" i="22"/>
  <c r="AB43" i="22"/>
  <c r="AA44" i="22"/>
  <c r="AB44" i="22"/>
  <c r="AA45" i="22"/>
  <c r="AB45" i="22"/>
  <c r="AA46" i="22"/>
  <c r="AB46" i="22"/>
  <c r="AA47" i="22"/>
  <c r="AB47" i="22"/>
  <c r="AA48" i="22"/>
  <c r="AB48" i="22"/>
  <c r="AA49" i="22"/>
  <c r="AB49" i="22"/>
  <c r="AA50" i="22"/>
  <c r="AB50" i="22"/>
  <c r="AA51" i="22"/>
  <c r="AB51" i="22"/>
  <c r="AA52" i="22"/>
  <c r="AB52" i="22"/>
  <c r="AA53" i="22"/>
  <c r="AB53" i="22"/>
  <c r="AA54" i="22"/>
  <c r="AB54" i="22"/>
  <c r="AA55" i="22"/>
  <c r="AB55" i="22"/>
  <c r="AA56" i="22"/>
  <c r="AB56" i="22"/>
  <c r="AA57" i="22"/>
  <c r="AB57" i="22"/>
  <c r="AA58" i="22"/>
  <c r="AB58" i="22"/>
  <c r="AA59" i="22"/>
  <c r="AB59" i="22"/>
  <c r="AA60" i="22"/>
  <c r="AB60" i="22"/>
  <c r="AA61" i="22"/>
  <c r="AB61" i="22"/>
  <c r="AA62" i="22"/>
  <c r="AB62" i="22"/>
  <c r="AA63" i="22"/>
  <c r="AB63" i="22"/>
  <c r="AA64" i="22"/>
  <c r="AB64" i="22"/>
  <c r="AA65" i="22"/>
  <c r="AB65" i="22"/>
  <c r="A51" i="32" l="1"/>
  <c r="B53" i="32"/>
  <c r="A52" i="32"/>
  <c r="B54" i="32"/>
  <c r="L14" i="1"/>
  <c r="J66" i="31"/>
  <c r="G14" i="1" s="1"/>
  <c r="AR65" i="31"/>
  <c r="AL65" i="31"/>
  <c r="AK65" i="31"/>
  <c r="AG65" i="31"/>
  <c r="AF65" i="31"/>
  <c r="AB65" i="31"/>
  <c r="AA65" i="31"/>
  <c r="T65" i="31"/>
  <c r="S65" i="31"/>
  <c r="R65" i="31"/>
  <c r="AM65" i="31" s="1"/>
  <c r="H65" i="31"/>
  <c r="G65" i="31"/>
  <c r="AR64" i="31"/>
  <c r="AL64" i="31"/>
  <c r="AK64" i="31"/>
  <c r="AG64" i="31"/>
  <c r="AF64" i="31"/>
  <c r="AB64" i="31"/>
  <c r="AA64" i="31"/>
  <c r="T64" i="31"/>
  <c r="S64" i="31"/>
  <c r="R64" i="31"/>
  <c r="AM64" i="31" s="1"/>
  <c r="H64" i="31"/>
  <c r="G64" i="31"/>
  <c r="AR63" i="31"/>
  <c r="AL63" i="31"/>
  <c r="AK63" i="31"/>
  <c r="AG63" i="31"/>
  <c r="AF63" i="31"/>
  <c r="AB63" i="31"/>
  <c r="AA63" i="31"/>
  <c r="T63" i="31"/>
  <c r="S63" i="31"/>
  <c r="R63" i="31"/>
  <c r="AM63" i="31" s="1"/>
  <c r="H63" i="31"/>
  <c r="G63" i="31"/>
  <c r="AR62" i="31"/>
  <c r="AL62" i="31"/>
  <c r="AK62" i="31"/>
  <c r="AG62" i="31"/>
  <c r="AF62" i="31"/>
  <c r="AB62" i="31"/>
  <c r="AA62" i="31"/>
  <c r="T62" i="31"/>
  <c r="S62" i="31"/>
  <c r="R62" i="31"/>
  <c r="AM62" i="31" s="1"/>
  <c r="H62" i="31"/>
  <c r="G62" i="31"/>
  <c r="AR61" i="31"/>
  <c r="AL61" i="31"/>
  <c r="AK61" i="31"/>
  <c r="AG61" i="31"/>
  <c r="AF61" i="31"/>
  <c r="AB61" i="31"/>
  <c r="AA61" i="31"/>
  <c r="T61" i="31"/>
  <c r="S61" i="31"/>
  <c r="R61" i="31"/>
  <c r="AM61" i="31" s="1"/>
  <c r="H61" i="31"/>
  <c r="G61" i="31"/>
  <c r="AR60" i="31"/>
  <c r="AL60" i="31"/>
  <c r="AK60" i="31"/>
  <c r="AG60" i="31"/>
  <c r="AF60" i="31"/>
  <c r="AB60" i="31"/>
  <c r="AA60" i="31"/>
  <c r="T60" i="31"/>
  <c r="S60" i="31"/>
  <c r="R60" i="31"/>
  <c r="AM60" i="31" s="1"/>
  <c r="H60" i="31"/>
  <c r="G60" i="31"/>
  <c r="AR59" i="31"/>
  <c r="AL59" i="31"/>
  <c r="AK59" i="31"/>
  <c r="AG59" i="31"/>
  <c r="AF59" i="31"/>
  <c r="AB59" i="31"/>
  <c r="AA59" i="31"/>
  <c r="T59" i="31"/>
  <c r="S59" i="31"/>
  <c r="R59" i="31"/>
  <c r="AM59" i="31" s="1"/>
  <c r="H59" i="31"/>
  <c r="G59" i="31"/>
  <c r="AR58" i="31"/>
  <c r="AL58" i="31"/>
  <c r="AK58" i="31"/>
  <c r="AG58" i="31"/>
  <c r="AF58" i="31"/>
  <c r="AB58" i="31"/>
  <c r="AA58" i="31"/>
  <c r="T58" i="31"/>
  <c r="S58" i="31"/>
  <c r="R58" i="31"/>
  <c r="AM58" i="31" s="1"/>
  <c r="H58" i="31"/>
  <c r="G58" i="31"/>
  <c r="AR57" i="31"/>
  <c r="AL57" i="31"/>
  <c r="AK57" i="31"/>
  <c r="AG57" i="31"/>
  <c r="AF57" i="31"/>
  <c r="T57" i="31"/>
  <c r="S57" i="31"/>
  <c r="R57" i="31"/>
  <c r="AM57" i="31" s="1"/>
  <c r="H57" i="31"/>
  <c r="G57" i="31"/>
  <c r="AR56" i="31"/>
  <c r="AL56" i="31"/>
  <c r="AK56" i="31"/>
  <c r="AG56" i="31"/>
  <c r="AF56" i="31"/>
  <c r="AB56" i="31"/>
  <c r="AA56" i="31"/>
  <c r="T56" i="31"/>
  <c r="S56" i="31"/>
  <c r="R56" i="31"/>
  <c r="AM56" i="31" s="1"/>
  <c r="H56" i="31"/>
  <c r="G56" i="31"/>
  <c r="AR55" i="31"/>
  <c r="AL55" i="31"/>
  <c r="AK55" i="31"/>
  <c r="AG55" i="31"/>
  <c r="AF55" i="31"/>
  <c r="AB55" i="31"/>
  <c r="AA55" i="31"/>
  <c r="T55" i="31"/>
  <c r="S55" i="31"/>
  <c r="R55" i="31"/>
  <c r="AM55" i="31" s="1"/>
  <c r="H55" i="31"/>
  <c r="G55" i="31"/>
  <c r="AR54" i="31"/>
  <c r="AL54" i="31"/>
  <c r="AK54" i="31"/>
  <c r="AG54" i="31"/>
  <c r="AF54" i="31"/>
  <c r="AB54" i="31"/>
  <c r="AA54" i="31"/>
  <c r="T54" i="31"/>
  <c r="S54" i="31"/>
  <c r="R54" i="31"/>
  <c r="AM54" i="31" s="1"/>
  <c r="H54" i="31"/>
  <c r="G54" i="31"/>
  <c r="AR53" i="31"/>
  <c r="AL53" i="31"/>
  <c r="AK53" i="31"/>
  <c r="AG53" i="31"/>
  <c r="AF53" i="31"/>
  <c r="AB53" i="31"/>
  <c r="AA53" i="31"/>
  <c r="T53" i="31"/>
  <c r="S53" i="31"/>
  <c r="R53" i="31"/>
  <c r="AM53" i="31" s="1"/>
  <c r="H53" i="31"/>
  <c r="G53" i="31"/>
  <c r="AR52" i="31"/>
  <c r="AL52" i="31"/>
  <c r="AK52" i="31"/>
  <c r="AG52" i="31"/>
  <c r="AF52" i="31"/>
  <c r="AB52" i="31"/>
  <c r="AA52" i="31"/>
  <c r="T52" i="31"/>
  <c r="S52" i="31"/>
  <c r="R52" i="31"/>
  <c r="AM52" i="31" s="1"/>
  <c r="H52" i="31"/>
  <c r="G52" i="31"/>
  <c r="AR51" i="31"/>
  <c r="AL51" i="31"/>
  <c r="AK51" i="31"/>
  <c r="AG51" i="31"/>
  <c r="AF51" i="31"/>
  <c r="AB51" i="31"/>
  <c r="AA51" i="31"/>
  <c r="T51" i="31"/>
  <c r="S51" i="31"/>
  <c r="R51" i="31"/>
  <c r="AM51" i="31" s="1"/>
  <c r="H51" i="31"/>
  <c r="G51" i="31"/>
  <c r="AR50" i="31"/>
  <c r="AL50" i="31"/>
  <c r="AK50" i="31"/>
  <c r="AG50" i="31"/>
  <c r="AF50" i="31"/>
  <c r="AB50" i="31"/>
  <c r="AA50" i="31"/>
  <c r="T50" i="31"/>
  <c r="S50" i="31"/>
  <c r="R50" i="31"/>
  <c r="AM50" i="31" s="1"/>
  <c r="H50" i="31"/>
  <c r="G50" i="31"/>
  <c r="AR49" i="31"/>
  <c r="AL49" i="31"/>
  <c r="AK49" i="31"/>
  <c r="AG49" i="31"/>
  <c r="AF49" i="31"/>
  <c r="AB49" i="31"/>
  <c r="AA49" i="31"/>
  <c r="T49" i="31"/>
  <c r="S49" i="31"/>
  <c r="R49" i="31"/>
  <c r="AM49" i="31" s="1"/>
  <c r="H49" i="31"/>
  <c r="G49" i="31"/>
  <c r="AR48" i="31"/>
  <c r="AL48" i="31"/>
  <c r="AK48" i="31"/>
  <c r="AG48" i="31"/>
  <c r="AF48" i="31"/>
  <c r="AB48" i="31"/>
  <c r="AA48" i="31"/>
  <c r="T48" i="31"/>
  <c r="S48" i="31"/>
  <c r="R48" i="31"/>
  <c r="AM48" i="31" s="1"/>
  <c r="H48" i="31"/>
  <c r="G48" i="31"/>
  <c r="AR47" i="31"/>
  <c r="AL47" i="31"/>
  <c r="AK47" i="31"/>
  <c r="AG47" i="31"/>
  <c r="AF47" i="31"/>
  <c r="AB47" i="31"/>
  <c r="AA47" i="31"/>
  <c r="T47" i="31"/>
  <c r="S47" i="31"/>
  <c r="R47" i="31"/>
  <c r="AM47" i="31" s="1"/>
  <c r="H47" i="31"/>
  <c r="G47" i="31"/>
  <c r="AR46" i="31"/>
  <c r="AL46" i="31"/>
  <c r="AK46" i="31"/>
  <c r="AG46" i="31"/>
  <c r="AF46" i="31"/>
  <c r="AB46" i="31"/>
  <c r="AA46" i="31"/>
  <c r="T46" i="31"/>
  <c r="S46" i="31"/>
  <c r="R46" i="31"/>
  <c r="AM46" i="31" s="1"/>
  <c r="H46" i="31"/>
  <c r="G46" i="31"/>
  <c r="AR45" i="31"/>
  <c r="AL45" i="31"/>
  <c r="AK45" i="31"/>
  <c r="AG45" i="31"/>
  <c r="AF45" i="31"/>
  <c r="AB45" i="31"/>
  <c r="AA45" i="31"/>
  <c r="T45" i="31"/>
  <c r="S45" i="31"/>
  <c r="R45" i="31"/>
  <c r="AM45" i="31" s="1"/>
  <c r="H45" i="31"/>
  <c r="G45" i="31"/>
  <c r="AR44" i="31"/>
  <c r="AL44" i="31"/>
  <c r="AK44" i="31"/>
  <c r="AG44" i="31"/>
  <c r="AF44" i="31"/>
  <c r="AB44" i="31"/>
  <c r="AA44" i="31"/>
  <c r="T44" i="31"/>
  <c r="S44" i="31"/>
  <c r="R44" i="31"/>
  <c r="AM44" i="31" s="1"/>
  <c r="H44" i="31"/>
  <c r="G44" i="31"/>
  <c r="AR43" i="31"/>
  <c r="AL43" i="31"/>
  <c r="AK43" i="31"/>
  <c r="AG43" i="31"/>
  <c r="AF43" i="31"/>
  <c r="AB43" i="31"/>
  <c r="AA43" i="31"/>
  <c r="T43" i="31"/>
  <c r="S43" i="31"/>
  <c r="R43" i="31"/>
  <c r="AM43" i="31" s="1"/>
  <c r="H43" i="31"/>
  <c r="G43" i="31"/>
  <c r="AR42" i="31"/>
  <c r="AL42" i="31"/>
  <c r="AK42" i="31"/>
  <c r="AG42" i="31"/>
  <c r="AF42" i="31"/>
  <c r="AB42" i="31"/>
  <c r="AA42" i="31"/>
  <c r="T42" i="31"/>
  <c r="S42" i="31"/>
  <c r="R42" i="31"/>
  <c r="AM42" i="31" s="1"/>
  <c r="H42" i="31"/>
  <c r="G42" i="31"/>
  <c r="AR41" i="31"/>
  <c r="AL41" i="31"/>
  <c r="AK41" i="31"/>
  <c r="AG41" i="31"/>
  <c r="AF41" i="31"/>
  <c r="AB41" i="31"/>
  <c r="AA41" i="31"/>
  <c r="T41" i="31"/>
  <c r="S41" i="31"/>
  <c r="R41" i="31"/>
  <c r="AM41" i="31" s="1"/>
  <c r="H41" i="31"/>
  <c r="G41" i="31"/>
  <c r="AR40" i="31"/>
  <c r="AL40" i="31"/>
  <c r="AK40" i="31"/>
  <c r="AG40" i="31"/>
  <c r="AF40" i="31"/>
  <c r="AB40" i="31"/>
  <c r="AA40" i="31"/>
  <c r="T40" i="31"/>
  <c r="S40" i="31"/>
  <c r="R40" i="31"/>
  <c r="AM40" i="31" s="1"/>
  <c r="H40" i="31"/>
  <c r="G40" i="31"/>
  <c r="AR39" i="31"/>
  <c r="AL39" i="31"/>
  <c r="AK39" i="31"/>
  <c r="AG39" i="31"/>
  <c r="AF39" i="31"/>
  <c r="AB39" i="31"/>
  <c r="AA39" i="31"/>
  <c r="T39" i="31"/>
  <c r="S39" i="31"/>
  <c r="R39" i="31"/>
  <c r="AM39" i="31" s="1"/>
  <c r="H39" i="31"/>
  <c r="G39" i="31"/>
  <c r="AR38" i="31"/>
  <c r="AL38" i="31"/>
  <c r="AK38" i="31"/>
  <c r="AG38" i="31"/>
  <c r="AF38" i="31"/>
  <c r="AB38" i="31"/>
  <c r="AA38" i="31"/>
  <c r="T38" i="31"/>
  <c r="S38" i="31"/>
  <c r="R38" i="31"/>
  <c r="AM38" i="31" s="1"/>
  <c r="H38" i="31"/>
  <c r="G38" i="31"/>
  <c r="AR37" i="31"/>
  <c r="AL37" i="31"/>
  <c r="AK37" i="31"/>
  <c r="AG37" i="31"/>
  <c r="AF37" i="31"/>
  <c r="AB37" i="31"/>
  <c r="AA37" i="31"/>
  <c r="T37" i="31"/>
  <c r="S37" i="31"/>
  <c r="R37" i="31"/>
  <c r="AM37" i="31" s="1"/>
  <c r="H37" i="31"/>
  <c r="G37" i="31"/>
  <c r="AR36" i="31"/>
  <c r="AL36" i="31"/>
  <c r="AK36" i="31"/>
  <c r="AG36" i="31"/>
  <c r="AF36" i="31"/>
  <c r="AB36" i="31"/>
  <c r="AA36" i="31"/>
  <c r="T36" i="31"/>
  <c r="S36" i="31"/>
  <c r="R36" i="31"/>
  <c r="AM36" i="31" s="1"/>
  <c r="H36" i="31"/>
  <c r="G36" i="31"/>
  <c r="AR35" i="31"/>
  <c r="AL35" i="31"/>
  <c r="AK35" i="31"/>
  <c r="AG35" i="31"/>
  <c r="AF35" i="31"/>
  <c r="AB35" i="31"/>
  <c r="AA35" i="31"/>
  <c r="T35" i="31"/>
  <c r="S35" i="31"/>
  <c r="R35" i="31"/>
  <c r="AM35" i="31" s="1"/>
  <c r="H35" i="31"/>
  <c r="G35" i="31"/>
  <c r="AR34" i="31"/>
  <c r="AL34" i="31"/>
  <c r="AK34" i="31"/>
  <c r="AG34" i="31"/>
  <c r="AF34" i="31"/>
  <c r="AB34" i="31"/>
  <c r="AA34" i="31"/>
  <c r="T34" i="31"/>
  <c r="S34" i="31"/>
  <c r="R34" i="31"/>
  <c r="AM34" i="31" s="1"/>
  <c r="H34" i="31"/>
  <c r="G34" i="31"/>
  <c r="AR33" i="31"/>
  <c r="AL33" i="31"/>
  <c r="AK33" i="31"/>
  <c r="AG33" i="31"/>
  <c r="AF33" i="31"/>
  <c r="AB33" i="31"/>
  <c r="AA33" i="31"/>
  <c r="T33" i="31"/>
  <c r="S33" i="31"/>
  <c r="R33" i="31"/>
  <c r="AM33" i="31" s="1"/>
  <c r="H33" i="31"/>
  <c r="G33" i="31"/>
  <c r="AR32" i="31"/>
  <c r="AL32" i="31"/>
  <c r="AK32" i="31"/>
  <c r="AG32" i="31"/>
  <c r="AF32" i="31"/>
  <c r="AB32" i="31"/>
  <c r="AA32" i="31"/>
  <c r="T32" i="31"/>
  <c r="S32" i="31"/>
  <c r="R32" i="31"/>
  <c r="AM32" i="31" s="1"/>
  <c r="H32" i="31"/>
  <c r="G32" i="31"/>
  <c r="AR31" i="31"/>
  <c r="AL31" i="31"/>
  <c r="AK31" i="31"/>
  <c r="AG31" i="31"/>
  <c r="AF31" i="31"/>
  <c r="AB31" i="31"/>
  <c r="AA31" i="31"/>
  <c r="T31" i="31"/>
  <c r="S31" i="31"/>
  <c r="R31" i="31"/>
  <c r="AM31" i="31" s="1"/>
  <c r="H31" i="31"/>
  <c r="G31" i="31"/>
  <c r="AR30" i="31"/>
  <c r="AL30" i="31"/>
  <c r="AK30" i="31"/>
  <c r="AG30" i="31"/>
  <c r="AF30" i="31"/>
  <c r="AB30" i="31"/>
  <c r="AA30" i="31"/>
  <c r="T30" i="31"/>
  <c r="S30" i="31"/>
  <c r="R30" i="31"/>
  <c r="AM30" i="31" s="1"/>
  <c r="H30" i="31"/>
  <c r="G30" i="31"/>
  <c r="AR29" i="31"/>
  <c r="AL29" i="31"/>
  <c r="AK29" i="31"/>
  <c r="AG29" i="31"/>
  <c r="AF29" i="31"/>
  <c r="AB29" i="31"/>
  <c r="AA29" i="31"/>
  <c r="T29" i="31"/>
  <c r="S29" i="31"/>
  <c r="R29" i="31"/>
  <c r="AM29" i="31" s="1"/>
  <c r="H29" i="31"/>
  <c r="G29" i="31"/>
  <c r="AR28" i="31"/>
  <c r="AL28" i="31"/>
  <c r="AK28" i="31"/>
  <c r="AG28" i="31"/>
  <c r="AF28" i="31"/>
  <c r="AB28" i="31"/>
  <c r="AA28" i="31"/>
  <c r="T28" i="31"/>
  <c r="S28" i="31"/>
  <c r="R28" i="31"/>
  <c r="AM28" i="31" s="1"/>
  <c r="H28" i="31"/>
  <c r="G28" i="31"/>
  <c r="AR27" i="31"/>
  <c r="AL27" i="31"/>
  <c r="AK27" i="31"/>
  <c r="AG27" i="31"/>
  <c r="AF27" i="31"/>
  <c r="AB27" i="31"/>
  <c r="AA27" i="31"/>
  <c r="T27" i="31"/>
  <c r="S27" i="31"/>
  <c r="R27" i="31"/>
  <c r="AM27" i="31" s="1"/>
  <c r="H27" i="31"/>
  <c r="G27" i="31"/>
  <c r="AR26" i="31"/>
  <c r="AL26" i="31"/>
  <c r="AK26" i="31"/>
  <c r="AG26" i="31"/>
  <c r="AF26" i="31"/>
  <c r="AB26" i="31"/>
  <c r="AA26" i="31"/>
  <c r="T26" i="31"/>
  <c r="S26" i="31"/>
  <c r="R26" i="31"/>
  <c r="AM26" i="31" s="1"/>
  <c r="H26" i="31"/>
  <c r="G26" i="31"/>
  <c r="AR25" i="31"/>
  <c r="AL25" i="31"/>
  <c r="AK25" i="31"/>
  <c r="AG25" i="31"/>
  <c r="AF25" i="31"/>
  <c r="AB25" i="31"/>
  <c r="AA25" i="31"/>
  <c r="T25" i="31"/>
  <c r="S25" i="31"/>
  <c r="R25" i="31"/>
  <c r="AM25" i="31" s="1"/>
  <c r="H25" i="31"/>
  <c r="G25" i="31"/>
  <c r="AR24" i="31"/>
  <c r="AL24" i="31"/>
  <c r="AK24" i="31"/>
  <c r="AG24" i="31"/>
  <c r="AF24" i="31"/>
  <c r="AB24" i="31"/>
  <c r="AA24" i="31"/>
  <c r="T24" i="31"/>
  <c r="S24" i="31"/>
  <c r="R24" i="31"/>
  <c r="AM24" i="31" s="1"/>
  <c r="H24" i="31"/>
  <c r="G24" i="31"/>
  <c r="AR23" i="31"/>
  <c r="AL23" i="31"/>
  <c r="AK23" i="31"/>
  <c r="AG23" i="31"/>
  <c r="AF23" i="31"/>
  <c r="AB23" i="31"/>
  <c r="AA23" i="31"/>
  <c r="T23" i="31"/>
  <c r="S23" i="31"/>
  <c r="R23" i="31"/>
  <c r="AM23" i="31" s="1"/>
  <c r="H23" i="31"/>
  <c r="G23" i="31"/>
  <c r="AR22" i="31"/>
  <c r="AL22" i="31"/>
  <c r="AK22" i="31"/>
  <c r="AG22" i="31"/>
  <c r="AF22" i="31"/>
  <c r="AB22" i="31"/>
  <c r="AA22" i="31"/>
  <c r="T22" i="31"/>
  <c r="S22" i="31"/>
  <c r="R22" i="31"/>
  <c r="AM22" i="31" s="1"/>
  <c r="H22" i="31"/>
  <c r="G22" i="31"/>
  <c r="AR21" i="31"/>
  <c r="AL21" i="31"/>
  <c r="AK21" i="31"/>
  <c r="AG21" i="31"/>
  <c r="AF21" i="31"/>
  <c r="AB21" i="31"/>
  <c r="AA21" i="31"/>
  <c r="T21" i="31"/>
  <c r="S21" i="31"/>
  <c r="R21" i="31"/>
  <c r="AM21" i="31" s="1"/>
  <c r="H21" i="31"/>
  <c r="G21" i="31"/>
  <c r="AR20" i="31"/>
  <c r="AL20" i="31"/>
  <c r="AK20" i="31"/>
  <c r="AG20" i="31"/>
  <c r="AF20" i="31"/>
  <c r="AB20" i="31"/>
  <c r="AA20" i="31"/>
  <c r="T20" i="31"/>
  <c r="S20" i="31"/>
  <c r="R20" i="31"/>
  <c r="AM20" i="31" s="1"/>
  <c r="H20" i="31"/>
  <c r="G20" i="31"/>
  <c r="AR19" i="31"/>
  <c r="AL19" i="31"/>
  <c r="AK19" i="31"/>
  <c r="AG19" i="31"/>
  <c r="AF19" i="31"/>
  <c r="AB19" i="31"/>
  <c r="AA19" i="31"/>
  <c r="T19" i="31"/>
  <c r="S19" i="31"/>
  <c r="R19" i="31"/>
  <c r="AM19" i="31" s="1"/>
  <c r="H19" i="31"/>
  <c r="G19" i="31"/>
  <c r="AR18" i="31"/>
  <c r="AL18" i="31"/>
  <c r="AK18" i="31"/>
  <c r="AG18" i="31"/>
  <c r="AF18" i="31"/>
  <c r="AB18" i="31"/>
  <c r="AA18" i="31"/>
  <c r="T18" i="31"/>
  <c r="S18" i="31"/>
  <c r="R18" i="31"/>
  <c r="AM18" i="31" s="1"/>
  <c r="H18" i="31"/>
  <c r="G18" i="31"/>
  <c r="AR17" i="31"/>
  <c r="AL17" i="31"/>
  <c r="AK17" i="31"/>
  <c r="AG17" i="31"/>
  <c r="AF17" i="31"/>
  <c r="AB17" i="31"/>
  <c r="AA17" i="31"/>
  <c r="T17" i="31"/>
  <c r="S17" i="31"/>
  <c r="R17" i="31"/>
  <c r="AM17" i="31" s="1"/>
  <c r="H17" i="31"/>
  <c r="G17" i="31"/>
  <c r="AR16" i="31"/>
  <c r="AL16" i="31"/>
  <c r="AK16" i="31"/>
  <c r="AG16" i="31"/>
  <c r="AF16" i="31"/>
  <c r="AB16" i="31"/>
  <c r="AA16" i="31"/>
  <c r="T16" i="31"/>
  <c r="S16" i="31"/>
  <c r="R16" i="31"/>
  <c r="AM16" i="31" s="1"/>
  <c r="H16" i="31"/>
  <c r="G16" i="31"/>
  <c r="AR15" i="31"/>
  <c r="AL15" i="31"/>
  <c r="AK15" i="31"/>
  <c r="AG15" i="31"/>
  <c r="AF15" i="31"/>
  <c r="AB15" i="31"/>
  <c r="AA15" i="31"/>
  <c r="T15" i="31"/>
  <c r="S15" i="31"/>
  <c r="R15" i="31"/>
  <c r="AM15" i="31" s="1"/>
  <c r="H15" i="31"/>
  <c r="G15" i="31"/>
  <c r="AR14" i="31"/>
  <c r="AL14" i="31"/>
  <c r="AK14" i="31"/>
  <c r="AG14" i="31"/>
  <c r="AF14" i="31"/>
  <c r="AB14" i="31"/>
  <c r="AA14" i="31"/>
  <c r="T14" i="31"/>
  <c r="S14" i="31"/>
  <c r="R14" i="31"/>
  <c r="AM14" i="31" s="1"/>
  <c r="H14" i="31"/>
  <c r="G14" i="31"/>
  <c r="AR13" i="31"/>
  <c r="AL13" i="31"/>
  <c r="AK13" i="31"/>
  <c r="AG13" i="31"/>
  <c r="AF13" i="31"/>
  <c r="AB13" i="31"/>
  <c r="AA13" i="31"/>
  <c r="T13" i="31"/>
  <c r="S13" i="31"/>
  <c r="R13" i="31"/>
  <c r="AM13" i="31" s="1"/>
  <c r="H13" i="31"/>
  <c r="G13" i="31"/>
  <c r="AR12" i="31"/>
  <c r="AL12" i="31"/>
  <c r="AK12" i="31"/>
  <c r="AG12" i="31"/>
  <c r="AF12" i="31"/>
  <c r="AB12" i="31"/>
  <c r="AA12" i="31"/>
  <c r="T12" i="31"/>
  <c r="S12" i="31"/>
  <c r="R12" i="31"/>
  <c r="AM12" i="31" s="1"/>
  <c r="H12" i="31"/>
  <c r="G12" i="31"/>
  <c r="AR11" i="31"/>
  <c r="AL11" i="31"/>
  <c r="AK11" i="31"/>
  <c r="AG11" i="31"/>
  <c r="AF11" i="31"/>
  <c r="AB11" i="31"/>
  <c r="AA11" i="31"/>
  <c r="T11" i="31"/>
  <c r="S11" i="31"/>
  <c r="R11" i="31"/>
  <c r="AM11" i="31" s="1"/>
  <c r="H11" i="31"/>
  <c r="G11" i="31"/>
  <c r="AR10" i="31"/>
  <c r="AL10" i="31"/>
  <c r="AK10" i="31"/>
  <c r="AG10" i="31"/>
  <c r="AF10" i="31"/>
  <c r="AB10" i="31"/>
  <c r="AA10" i="31"/>
  <c r="T10" i="31"/>
  <c r="S10" i="31"/>
  <c r="R10" i="31"/>
  <c r="AM10" i="31" s="1"/>
  <c r="H10" i="31"/>
  <c r="G10" i="31"/>
  <c r="AR9" i="31"/>
  <c r="AL9" i="31"/>
  <c r="AK9" i="31"/>
  <c r="AG9" i="31"/>
  <c r="AF9" i="31"/>
  <c r="AB9" i="31"/>
  <c r="AA9" i="31"/>
  <c r="T9" i="31"/>
  <c r="S9" i="31"/>
  <c r="R9" i="31"/>
  <c r="AM9" i="31" s="1"/>
  <c r="H9" i="31"/>
  <c r="G9" i="31"/>
  <c r="AR8" i="31"/>
  <c r="AL8" i="31"/>
  <c r="AK8" i="31"/>
  <c r="AG8" i="31"/>
  <c r="AF8" i="31"/>
  <c r="AB8" i="31"/>
  <c r="AA8" i="31"/>
  <c r="T8" i="31"/>
  <c r="S8" i="31"/>
  <c r="R8" i="31"/>
  <c r="AM8" i="31" s="1"/>
  <c r="H8" i="31"/>
  <c r="G8" i="31"/>
  <c r="AR7" i="31"/>
  <c r="AL7" i="31"/>
  <c r="AK7" i="31"/>
  <c r="AG7" i="31"/>
  <c r="AF7" i="31"/>
  <c r="AB7" i="31"/>
  <c r="AA7" i="31"/>
  <c r="T7" i="31"/>
  <c r="S7" i="31"/>
  <c r="R7" i="31"/>
  <c r="AM7" i="31" s="1"/>
  <c r="H7" i="31"/>
  <c r="G7" i="31"/>
  <c r="AR6" i="31"/>
  <c r="AL6" i="31"/>
  <c r="AK6" i="31"/>
  <c r="AG6" i="31"/>
  <c r="AF6" i="31"/>
  <c r="AB6" i="31"/>
  <c r="AA6" i="31"/>
  <c r="T6" i="31"/>
  <c r="S6" i="31"/>
  <c r="R6" i="31"/>
  <c r="AM6" i="31" s="1"/>
  <c r="H6" i="31"/>
  <c r="G6" i="31"/>
  <c r="B6" i="31"/>
  <c r="A6" i="31" s="1"/>
  <c r="AR5" i="31"/>
  <c r="AL5" i="31"/>
  <c r="AK5" i="31"/>
  <c r="AG5" i="31"/>
  <c r="AF5" i="31"/>
  <c r="AB5" i="31"/>
  <c r="AA5" i="31"/>
  <c r="T5" i="31"/>
  <c r="S5" i="31"/>
  <c r="R5" i="31"/>
  <c r="AM5" i="31" s="1"/>
  <c r="H5" i="31"/>
  <c r="G5" i="31"/>
  <c r="B5" i="31"/>
  <c r="B7" i="31" s="1"/>
  <c r="AR4" i="31"/>
  <c r="AL4" i="31"/>
  <c r="AK4" i="31"/>
  <c r="AG4" i="31"/>
  <c r="AF4" i="31"/>
  <c r="AB4" i="31"/>
  <c r="AA4" i="31"/>
  <c r="T4" i="31"/>
  <c r="S4" i="31"/>
  <c r="R4" i="31"/>
  <c r="AM4" i="31" s="1"/>
  <c r="H4" i="31"/>
  <c r="G4" i="31"/>
  <c r="A4" i="31"/>
  <c r="AP1" i="31"/>
  <c r="B56" i="32" l="1"/>
  <c r="A54" i="32"/>
  <c r="B55" i="32"/>
  <c r="A53" i="32"/>
  <c r="AO64" i="31"/>
  <c r="AO65" i="31"/>
  <c r="AN64" i="31"/>
  <c r="AN65" i="31"/>
  <c r="AP65" i="31" s="1"/>
  <c r="AO56" i="31"/>
  <c r="AO57" i="31"/>
  <c r="AO12" i="31"/>
  <c r="A5" i="31"/>
  <c r="AN17" i="31"/>
  <c r="AN19" i="31"/>
  <c r="AN28" i="31"/>
  <c r="AN35" i="31"/>
  <c r="AN29" i="31"/>
  <c r="AN30" i="31"/>
  <c r="AN31" i="31"/>
  <c r="AN32" i="31"/>
  <c r="AN33" i="31"/>
  <c r="AN34" i="31"/>
  <c r="AO63" i="31"/>
  <c r="AO5" i="31"/>
  <c r="AN6" i="31"/>
  <c r="AN7" i="31"/>
  <c r="AN8" i="31"/>
  <c r="AN9" i="31"/>
  <c r="AN10" i="31"/>
  <c r="AO28" i="31"/>
  <c r="AO29" i="31"/>
  <c r="AO30" i="31"/>
  <c r="AO31" i="31"/>
  <c r="AN44" i="31"/>
  <c r="AN45" i="31"/>
  <c r="AN46" i="31"/>
  <c r="AN47" i="31"/>
  <c r="AN48" i="31"/>
  <c r="AN49" i="31"/>
  <c r="AN50" i="31"/>
  <c r="AN51" i="31"/>
  <c r="AN4" i="31"/>
  <c r="AO6" i="31"/>
  <c r="AO44" i="31"/>
  <c r="AO45" i="31"/>
  <c r="AO46" i="31"/>
  <c r="AO47" i="31"/>
  <c r="AO16" i="31"/>
  <c r="AO4" i="31"/>
  <c r="AO7" i="31"/>
  <c r="AO8" i="31"/>
  <c r="AP8" i="31" s="1"/>
  <c r="AO9" i="31"/>
  <c r="AO10" i="31"/>
  <c r="AN11" i="31"/>
  <c r="AN12" i="31"/>
  <c r="AP12" i="31" s="1"/>
  <c r="AO17" i="31"/>
  <c r="AO18" i="31"/>
  <c r="AO19" i="31"/>
  <c r="AN20" i="31"/>
  <c r="AN21" i="31"/>
  <c r="AN22" i="31"/>
  <c r="AN23" i="31"/>
  <c r="AO32" i="31"/>
  <c r="AO33" i="31"/>
  <c r="AO34" i="31"/>
  <c r="AO35" i="31"/>
  <c r="AN36" i="31"/>
  <c r="AN37" i="31"/>
  <c r="AN38" i="31"/>
  <c r="AN39" i="31"/>
  <c r="AO48" i="31"/>
  <c r="AO49" i="31"/>
  <c r="AO50" i="31"/>
  <c r="AO51" i="31"/>
  <c r="AN52" i="31"/>
  <c r="AN53" i="31"/>
  <c r="AN54" i="31"/>
  <c r="AN55" i="31"/>
  <c r="AN58" i="31"/>
  <c r="AN59" i="31"/>
  <c r="AN60" i="31"/>
  <c r="AN61" i="31"/>
  <c r="AN5" i="31"/>
  <c r="AO11" i="31"/>
  <c r="AN13" i="31"/>
  <c r="AN14" i="31"/>
  <c r="AO20" i="31"/>
  <c r="AP20" i="31" s="1"/>
  <c r="AO21" i="31"/>
  <c r="AO22" i="31"/>
  <c r="AO23" i="31"/>
  <c r="AN24" i="31"/>
  <c r="AN25" i="31"/>
  <c r="AN26" i="31"/>
  <c r="AN27" i="31"/>
  <c r="AO36" i="31"/>
  <c r="AP36" i="31" s="1"/>
  <c r="AO37" i="31"/>
  <c r="AO38" i="31"/>
  <c r="AO39" i="31"/>
  <c r="AN40" i="31"/>
  <c r="AN41" i="31"/>
  <c r="AN42" i="31"/>
  <c r="AN43" i="31"/>
  <c r="AO52" i="31"/>
  <c r="AP52" i="31" s="1"/>
  <c r="AO53" i="31"/>
  <c r="AO54" i="31"/>
  <c r="AO55" i="31"/>
  <c r="AN56" i="31"/>
  <c r="AO58" i="31"/>
  <c r="AO59" i="31"/>
  <c r="AO60" i="31"/>
  <c r="AO61" i="31"/>
  <c r="AN62" i="31"/>
  <c r="AN63" i="31"/>
  <c r="AO14" i="31"/>
  <c r="AP14" i="31" s="1"/>
  <c r="AN15" i="31"/>
  <c r="AO24" i="31"/>
  <c r="AO25" i="31"/>
  <c r="AO26" i="31"/>
  <c r="AO27" i="31"/>
  <c r="AO40" i="31"/>
  <c r="AO41" i="31"/>
  <c r="AO42" i="31"/>
  <c r="AO43" i="31"/>
  <c r="AO62" i="31"/>
  <c r="AM66" i="31"/>
  <c r="H14" i="1" s="1"/>
  <c r="AO15" i="31"/>
  <c r="AP63" i="31"/>
  <c r="AN57" i="31"/>
  <c r="B9" i="31"/>
  <c r="A7" i="31"/>
  <c r="B8" i="31"/>
  <c r="AN18" i="31"/>
  <c r="AP18" i="31" s="1"/>
  <c r="AO13" i="31"/>
  <c r="AN16" i="31"/>
  <c r="A55" i="32" l="1"/>
  <c r="B57" i="32"/>
  <c r="A56" i="32"/>
  <c r="B58" i="32"/>
  <c r="AP6" i="31"/>
  <c r="AP31" i="31"/>
  <c r="AP64" i="31"/>
  <c r="AP26" i="31"/>
  <c r="AP60" i="31"/>
  <c r="AP28" i="31"/>
  <c r="AP56" i="31"/>
  <c r="AP51" i="31"/>
  <c r="AP54" i="31"/>
  <c r="AP34" i="31"/>
  <c r="AP19" i="31"/>
  <c r="AP22" i="31"/>
  <c r="AP48" i="31"/>
  <c r="AP47" i="31"/>
  <c r="AP44" i="31"/>
  <c r="AP46" i="31"/>
  <c r="AP38" i="31"/>
  <c r="AP41" i="31"/>
  <c r="AP42" i="31"/>
  <c r="AP29" i="31"/>
  <c r="AP30" i="31"/>
  <c r="AP32" i="31"/>
  <c r="AP10" i="31"/>
  <c r="AP25" i="31"/>
  <c r="AP13" i="31"/>
  <c r="AP7" i="31"/>
  <c r="AP53" i="31"/>
  <c r="AP21" i="31"/>
  <c r="AP37" i="31"/>
  <c r="AP49" i="31"/>
  <c r="AP45" i="31"/>
  <c r="AP4" i="31"/>
  <c r="AP57" i="31"/>
  <c r="AP59" i="31"/>
  <c r="AP35" i="31"/>
  <c r="AP40" i="31"/>
  <c r="AP24" i="31"/>
  <c r="AP16" i="31"/>
  <c r="AP58" i="31"/>
  <c r="AP50" i="31"/>
  <c r="AP33" i="31"/>
  <c r="AP43" i="31"/>
  <c r="AP27" i="31"/>
  <c r="AP9" i="31"/>
  <c r="AP5" i="31"/>
  <c r="AP17" i="31"/>
  <c r="AP61" i="31"/>
  <c r="AP55" i="31"/>
  <c r="AP39" i="31"/>
  <c r="AP23" i="31"/>
  <c r="AP15" i="31"/>
  <c r="AP11" i="31"/>
  <c r="AP62" i="31"/>
  <c r="B11" i="31"/>
  <c r="A9" i="31"/>
  <c r="AN66" i="31"/>
  <c r="I14" i="1" s="1"/>
  <c r="AO66" i="31"/>
  <c r="J14" i="1" s="1"/>
  <c r="A8" i="31"/>
  <c r="B10" i="31"/>
  <c r="B60" i="32" l="1"/>
  <c r="A58" i="32"/>
  <c r="B59" i="32"/>
  <c r="A57" i="32"/>
  <c r="M14" i="1"/>
  <c r="N14" i="1" s="1"/>
  <c r="B12" i="31"/>
  <c r="A10" i="31"/>
  <c r="B13" i="31"/>
  <c r="A11" i="31"/>
  <c r="A59" i="32" l="1"/>
  <c r="B61" i="32"/>
  <c r="A60" i="32"/>
  <c r="B62" i="32"/>
  <c r="B15" i="31"/>
  <c r="A13" i="31"/>
  <c r="B14" i="31"/>
  <c r="A12" i="31"/>
  <c r="B64" i="32" l="1"/>
  <c r="A64" i="32" s="1"/>
  <c r="A62" i="32"/>
  <c r="B63" i="32"/>
  <c r="A61" i="32"/>
  <c r="A14" i="31"/>
  <c r="B16" i="31"/>
  <c r="A15" i="31"/>
  <c r="B17" i="31"/>
  <c r="A63" i="32" l="1"/>
  <c r="B65" i="32"/>
  <c r="A65" i="32" s="1"/>
  <c r="B19" i="31"/>
  <c r="A17" i="31"/>
  <c r="B18" i="31"/>
  <c r="A16" i="31"/>
  <c r="A18" i="31" l="1"/>
  <c r="B20" i="31"/>
  <c r="B21" i="31"/>
  <c r="A19" i="31"/>
  <c r="A21" i="31" l="1"/>
  <c r="B23" i="31"/>
  <c r="A20" i="31"/>
  <c r="B22" i="31"/>
  <c r="A22" i="31" l="1"/>
  <c r="B24" i="31"/>
  <c r="B25" i="31"/>
  <c r="A23" i="31"/>
  <c r="A25" i="31" l="1"/>
  <c r="B27" i="31"/>
  <c r="A24" i="31"/>
  <c r="B26" i="31"/>
  <c r="A26" i="31" l="1"/>
  <c r="B28" i="31"/>
  <c r="B29" i="31"/>
  <c r="A27" i="31"/>
  <c r="A29" i="31" l="1"/>
  <c r="B31" i="31"/>
  <c r="A28" i="31"/>
  <c r="B30" i="31"/>
  <c r="A30" i="31" l="1"/>
  <c r="B32" i="31"/>
  <c r="B33" i="31"/>
  <c r="A31" i="31"/>
  <c r="A33" i="31" l="1"/>
  <c r="B35" i="31"/>
  <c r="A32" i="31"/>
  <c r="B34" i="31"/>
  <c r="A34" i="31" l="1"/>
  <c r="B36" i="31"/>
  <c r="B37" i="31"/>
  <c r="A35" i="31"/>
  <c r="A37" i="31" l="1"/>
  <c r="B39" i="31"/>
  <c r="A36" i="31"/>
  <c r="B38" i="31"/>
  <c r="B41" i="31" l="1"/>
  <c r="A39" i="31"/>
  <c r="A38" i="31"/>
  <c r="B40" i="31"/>
  <c r="A40" i="31" l="1"/>
  <c r="B42" i="31"/>
  <c r="A41" i="31"/>
  <c r="B43" i="31"/>
  <c r="B45" i="31" l="1"/>
  <c r="A43" i="31"/>
  <c r="A42" i="31"/>
  <c r="B44" i="31"/>
  <c r="A44" i="31" l="1"/>
  <c r="B46" i="31"/>
  <c r="A45" i="31"/>
  <c r="B47" i="31"/>
  <c r="A46" i="31" l="1"/>
  <c r="B48" i="31"/>
  <c r="B49" i="31"/>
  <c r="A47" i="31"/>
  <c r="A49" i="31" l="1"/>
  <c r="B51" i="31"/>
  <c r="A48" i="31"/>
  <c r="B50" i="31"/>
  <c r="A50" i="31" l="1"/>
  <c r="B52" i="31"/>
  <c r="B53" i="31"/>
  <c r="A51" i="31"/>
  <c r="A53" i="31" l="1"/>
  <c r="B55" i="31"/>
  <c r="A52" i="31"/>
  <c r="B54" i="31"/>
  <c r="A54" i="31" l="1"/>
  <c r="B56" i="31"/>
  <c r="B57" i="31"/>
  <c r="A55" i="31"/>
  <c r="B59" i="31" l="1"/>
  <c r="A57" i="31"/>
  <c r="A56" i="31"/>
  <c r="B58" i="31"/>
  <c r="A58" i="31" l="1"/>
  <c r="B60" i="31"/>
  <c r="A59" i="31"/>
  <c r="B61" i="31"/>
  <c r="A60" i="31" l="1"/>
  <c r="B62" i="31"/>
  <c r="B63" i="31"/>
  <c r="A61" i="31"/>
  <c r="A63" i="31" l="1"/>
  <c r="B65" i="31"/>
  <c r="A65" i="31" s="1"/>
  <c r="A62" i="31"/>
  <c r="B64" i="31"/>
  <c r="A64" i="31" s="1"/>
  <c r="AS55" i="12" l="1"/>
  <c r="AS41" i="8" l="1"/>
  <c r="J66" i="22" l="1"/>
  <c r="AL40" i="22"/>
  <c r="L12" i="1" l="1"/>
  <c r="L7" i="1"/>
  <c r="J66" i="30"/>
  <c r="G7" i="1" s="1"/>
  <c r="AR65" i="30"/>
  <c r="AL65" i="30"/>
  <c r="AK65" i="30"/>
  <c r="AG65" i="30"/>
  <c r="AF65" i="30"/>
  <c r="AB65" i="30"/>
  <c r="AA65" i="30"/>
  <c r="T65" i="30"/>
  <c r="S65" i="30"/>
  <c r="R65" i="30"/>
  <c r="AM65" i="30" s="1"/>
  <c r="H65" i="30"/>
  <c r="G65" i="30"/>
  <c r="AR64" i="30"/>
  <c r="AL64" i="30"/>
  <c r="AK64" i="30"/>
  <c r="AG64" i="30"/>
  <c r="AF64" i="30"/>
  <c r="AB64" i="30"/>
  <c r="AA64" i="30"/>
  <c r="T64" i="30"/>
  <c r="S64" i="30"/>
  <c r="R64" i="30"/>
  <c r="AM64" i="30" s="1"/>
  <c r="H64" i="30"/>
  <c r="G64" i="30"/>
  <c r="AR63" i="30"/>
  <c r="AL63" i="30"/>
  <c r="AK63" i="30"/>
  <c r="AG63" i="30"/>
  <c r="AF63" i="30"/>
  <c r="AB63" i="30"/>
  <c r="AA63" i="30"/>
  <c r="T63" i="30"/>
  <c r="S63" i="30"/>
  <c r="R63" i="30"/>
  <c r="AM63" i="30" s="1"/>
  <c r="H63" i="30"/>
  <c r="G63" i="30"/>
  <c r="AR62" i="30"/>
  <c r="AL62" i="30"/>
  <c r="AK62" i="30"/>
  <c r="AG62" i="30"/>
  <c r="AF62" i="30"/>
  <c r="AB62" i="30"/>
  <c r="AA62" i="30"/>
  <c r="T62" i="30"/>
  <c r="S62" i="30"/>
  <c r="R62" i="30"/>
  <c r="AM62" i="30" s="1"/>
  <c r="H62" i="30"/>
  <c r="G62" i="30"/>
  <c r="AR61" i="30"/>
  <c r="AL61" i="30"/>
  <c r="AK61" i="30"/>
  <c r="AG61" i="30"/>
  <c r="AF61" i="30"/>
  <c r="AB61" i="30"/>
  <c r="AA61" i="30"/>
  <c r="T61" i="30"/>
  <c r="S61" i="30"/>
  <c r="R61" i="30"/>
  <c r="AM61" i="30" s="1"/>
  <c r="H61" i="30"/>
  <c r="G61" i="30"/>
  <c r="AR60" i="30"/>
  <c r="AL60" i="30"/>
  <c r="AK60" i="30"/>
  <c r="AG60" i="30"/>
  <c r="AF60" i="30"/>
  <c r="AB60" i="30"/>
  <c r="AA60" i="30"/>
  <c r="T60" i="30"/>
  <c r="S60" i="30"/>
  <c r="R60" i="30"/>
  <c r="AM60" i="30" s="1"/>
  <c r="H60" i="30"/>
  <c r="G60" i="30"/>
  <c r="AR59" i="30"/>
  <c r="AL59" i="30"/>
  <c r="AK59" i="30"/>
  <c r="AG59" i="30"/>
  <c r="AF59" i="30"/>
  <c r="AB59" i="30"/>
  <c r="AA59" i="30"/>
  <c r="T59" i="30"/>
  <c r="S59" i="30"/>
  <c r="R59" i="30"/>
  <c r="AM59" i="30" s="1"/>
  <c r="H59" i="30"/>
  <c r="G59" i="30"/>
  <c r="AR58" i="30"/>
  <c r="AL58" i="30"/>
  <c r="AK58" i="30"/>
  <c r="AG58" i="30"/>
  <c r="AF58" i="30"/>
  <c r="AB58" i="30"/>
  <c r="AA58" i="30"/>
  <c r="T58" i="30"/>
  <c r="S58" i="30"/>
  <c r="R58" i="30"/>
  <c r="AM58" i="30" s="1"/>
  <c r="H58" i="30"/>
  <c r="G58" i="30"/>
  <c r="AR57" i="30"/>
  <c r="AL57" i="30"/>
  <c r="AK57" i="30"/>
  <c r="AG57" i="30"/>
  <c r="AF57" i="30"/>
  <c r="AB57" i="30"/>
  <c r="AA57" i="30"/>
  <c r="T57" i="30"/>
  <c r="S57" i="30"/>
  <c r="R57" i="30"/>
  <c r="AM57" i="30" s="1"/>
  <c r="H57" i="30"/>
  <c r="G57" i="30"/>
  <c r="AR56" i="30"/>
  <c r="AL56" i="30"/>
  <c r="AK56" i="30"/>
  <c r="AG56" i="30"/>
  <c r="AF56" i="30"/>
  <c r="AB56" i="30"/>
  <c r="AA56" i="30"/>
  <c r="T56" i="30"/>
  <c r="S56" i="30"/>
  <c r="R56" i="30"/>
  <c r="AM56" i="30" s="1"/>
  <c r="H56" i="30"/>
  <c r="G56" i="30"/>
  <c r="AR55" i="30"/>
  <c r="AL55" i="30"/>
  <c r="AK55" i="30"/>
  <c r="AG55" i="30"/>
  <c r="AF55" i="30"/>
  <c r="AB55" i="30"/>
  <c r="AA55" i="30"/>
  <c r="T55" i="30"/>
  <c r="S55" i="30"/>
  <c r="R55" i="30"/>
  <c r="AM55" i="30" s="1"/>
  <c r="H55" i="30"/>
  <c r="G55" i="30"/>
  <c r="AR54" i="30"/>
  <c r="AL54" i="30"/>
  <c r="AK54" i="30"/>
  <c r="AG54" i="30"/>
  <c r="AF54" i="30"/>
  <c r="AB54" i="30"/>
  <c r="AA54" i="30"/>
  <c r="T54" i="30"/>
  <c r="S54" i="30"/>
  <c r="R54" i="30"/>
  <c r="AM54" i="30" s="1"/>
  <c r="H54" i="30"/>
  <c r="G54" i="30"/>
  <c r="AR53" i="30"/>
  <c r="AL53" i="30"/>
  <c r="AK53" i="30"/>
  <c r="AG53" i="30"/>
  <c r="AF53" i="30"/>
  <c r="AB53" i="30"/>
  <c r="AA53" i="30"/>
  <c r="T53" i="30"/>
  <c r="S53" i="30"/>
  <c r="R53" i="30"/>
  <c r="AM53" i="30" s="1"/>
  <c r="H53" i="30"/>
  <c r="G53" i="30"/>
  <c r="AR52" i="30"/>
  <c r="AL52" i="30"/>
  <c r="AK52" i="30"/>
  <c r="AG52" i="30"/>
  <c r="AF52" i="30"/>
  <c r="AB52" i="30"/>
  <c r="AA52" i="30"/>
  <c r="T52" i="30"/>
  <c r="S52" i="30"/>
  <c r="R52" i="30"/>
  <c r="AM52" i="30" s="1"/>
  <c r="H52" i="30"/>
  <c r="G52" i="30"/>
  <c r="AR51" i="30"/>
  <c r="AL51" i="30"/>
  <c r="AK51" i="30"/>
  <c r="AG51" i="30"/>
  <c r="AF51" i="30"/>
  <c r="AB51" i="30"/>
  <c r="AA51" i="30"/>
  <c r="T51" i="30"/>
  <c r="S51" i="30"/>
  <c r="R51" i="30"/>
  <c r="AM51" i="30" s="1"/>
  <c r="H51" i="30"/>
  <c r="G51" i="30"/>
  <c r="AR50" i="30"/>
  <c r="AL50" i="30"/>
  <c r="AK50" i="30"/>
  <c r="AG50" i="30"/>
  <c r="AF50" i="30"/>
  <c r="AB50" i="30"/>
  <c r="AA50" i="30"/>
  <c r="T50" i="30"/>
  <c r="S50" i="30"/>
  <c r="R50" i="30"/>
  <c r="AM50" i="30" s="1"/>
  <c r="H50" i="30"/>
  <c r="G50" i="30"/>
  <c r="AR49" i="30"/>
  <c r="AL49" i="30"/>
  <c r="AK49" i="30"/>
  <c r="AG49" i="30"/>
  <c r="AF49" i="30"/>
  <c r="AB49" i="30"/>
  <c r="AA49" i="30"/>
  <c r="T49" i="30"/>
  <c r="S49" i="30"/>
  <c r="R49" i="30"/>
  <c r="AM49" i="30" s="1"/>
  <c r="H49" i="30"/>
  <c r="G49" i="30"/>
  <c r="AR48" i="30"/>
  <c r="AL48" i="30"/>
  <c r="AK48" i="30"/>
  <c r="AG48" i="30"/>
  <c r="AF48" i="30"/>
  <c r="AB48" i="30"/>
  <c r="AA48" i="30"/>
  <c r="T48" i="30"/>
  <c r="S48" i="30"/>
  <c r="R48" i="30"/>
  <c r="AM48" i="30" s="1"/>
  <c r="H48" i="30"/>
  <c r="G48" i="30"/>
  <c r="AR47" i="30"/>
  <c r="AL47" i="30"/>
  <c r="AK47" i="30"/>
  <c r="AG47" i="30"/>
  <c r="AF47" i="30"/>
  <c r="AB47" i="30"/>
  <c r="AA47" i="30"/>
  <c r="T47" i="30"/>
  <c r="S47" i="30"/>
  <c r="R47" i="30"/>
  <c r="AM47" i="30" s="1"/>
  <c r="H47" i="30"/>
  <c r="G47" i="30"/>
  <c r="AR46" i="30"/>
  <c r="AL46" i="30"/>
  <c r="AK46" i="30"/>
  <c r="AG46" i="30"/>
  <c r="AF46" i="30"/>
  <c r="AB46" i="30"/>
  <c r="AA46" i="30"/>
  <c r="T46" i="30"/>
  <c r="S46" i="30"/>
  <c r="R46" i="30"/>
  <c r="AM46" i="30" s="1"/>
  <c r="H46" i="30"/>
  <c r="G46" i="30"/>
  <c r="AR45" i="30"/>
  <c r="AL45" i="30"/>
  <c r="AK45" i="30"/>
  <c r="AG45" i="30"/>
  <c r="AF45" i="30"/>
  <c r="AB45" i="30"/>
  <c r="AA45" i="30"/>
  <c r="T45" i="30"/>
  <c r="S45" i="30"/>
  <c r="R45" i="30"/>
  <c r="AM45" i="30" s="1"/>
  <c r="H45" i="30"/>
  <c r="G45" i="30"/>
  <c r="AR44" i="30"/>
  <c r="AL44" i="30"/>
  <c r="AK44" i="30"/>
  <c r="AG44" i="30"/>
  <c r="AF44" i="30"/>
  <c r="AB44" i="30"/>
  <c r="AA44" i="30"/>
  <c r="T44" i="30"/>
  <c r="S44" i="30"/>
  <c r="R44" i="30"/>
  <c r="AM44" i="30" s="1"/>
  <c r="H44" i="30"/>
  <c r="G44" i="30"/>
  <c r="AR43" i="30"/>
  <c r="AL43" i="30"/>
  <c r="AK43" i="30"/>
  <c r="AG43" i="30"/>
  <c r="AF43" i="30"/>
  <c r="AB43" i="30"/>
  <c r="AA43" i="30"/>
  <c r="T43" i="30"/>
  <c r="S43" i="30"/>
  <c r="R43" i="30"/>
  <c r="AM43" i="30" s="1"/>
  <c r="H43" i="30"/>
  <c r="G43" i="30"/>
  <c r="AR42" i="30"/>
  <c r="AL42" i="30"/>
  <c r="AK42" i="30"/>
  <c r="AG42" i="30"/>
  <c r="AF42" i="30"/>
  <c r="AB42" i="30"/>
  <c r="AA42" i="30"/>
  <c r="T42" i="30"/>
  <c r="S42" i="30"/>
  <c r="R42" i="30"/>
  <c r="AM42" i="30" s="1"/>
  <c r="H42" i="30"/>
  <c r="G42" i="30"/>
  <c r="AR41" i="30"/>
  <c r="AL41" i="30"/>
  <c r="AK41" i="30"/>
  <c r="AG41" i="30"/>
  <c r="AF41" i="30"/>
  <c r="AB41" i="30"/>
  <c r="AA41" i="30"/>
  <c r="T41" i="30"/>
  <c r="S41" i="30"/>
  <c r="R41" i="30"/>
  <c r="AM41" i="30" s="1"/>
  <c r="H41" i="30"/>
  <c r="G41" i="30"/>
  <c r="AR40" i="30"/>
  <c r="AL40" i="30"/>
  <c r="AK40" i="30"/>
  <c r="AG40" i="30"/>
  <c r="AF40" i="30"/>
  <c r="AB40" i="30"/>
  <c r="AA40" i="30"/>
  <c r="T40" i="30"/>
  <c r="S40" i="30"/>
  <c r="R40" i="30"/>
  <c r="AM40" i="30" s="1"/>
  <c r="H40" i="30"/>
  <c r="G40" i="30"/>
  <c r="AR39" i="30"/>
  <c r="AL39" i="30"/>
  <c r="AK39" i="30"/>
  <c r="AG39" i="30"/>
  <c r="AF39" i="30"/>
  <c r="AB39" i="30"/>
  <c r="AA39" i="30"/>
  <c r="T39" i="30"/>
  <c r="S39" i="30"/>
  <c r="R39" i="30"/>
  <c r="AM39" i="30" s="1"/>
  <c r="H39" i="30"/>
  <c r="G39" i="30"/>
  <c r="AR38" i="30"/>
  <c r="AL38" i="30"/>
  <c r="AK38" i="30"/>
  <c r="AG38" i="30"/>
  <c r="AF38" i="30"/>
  <c r="AB38" i="30"/>
  <c r="AA38" i="30"/>
  <c r="T38" i="30"/>
  <c r="S38" i="30"/>
  <c r="R38" i="30"/>
  <c r="AM38" i="30" s="1"/>
  <c r="H38" i="30"/>
  <c r="G38" i="30"/>
  <c r="AR37" i="30"/>
  <c r="AL37" i="30"/>
  <c r="AK37" i="30"/>
  <c r="AG37" i="30"/>
  <c r="AF37" i="30"/>
  <c r="AB37" i="30"/>
  <c r="AA37" i="30"/>
  <c r="T37" i="30"/>
  <c r="S37" i="30"/>
  <c r="R37" i="30"/>
  <c r="AM37" i="30" s="1"/>
  <c r="H37" i="30"/>
  <c r="G37" i="30"/>
  <c r="AR36" i="30"/>
  <c r="AL36" i="30"/>
  <c r="AK36" i="30"/>
  <c r="AG36" i="30"/>
  <c r="AF36" i="30"/>
  <c r="AB36" i="30"/>
  <c r="AA36" i="30"/>
  <c r="T36" i="30"/>
  <c r="S36" i="30"/>
  <c r="R36" i="30"/>
  <c r="AM36" i="30" s="1"/>
  <c r="H36" i="30"/>
  <c r="G36" i="30"/>
  <c r="AR35" i="30"/>
  <c r="AL35" i="30"/>
  <c r="AK35" i="30"/>
  <c r="AG35" i="30"/>
  <c r="AF35" i="30"/>
  <c r="AB35" i="30"/>
  <c r="AA35" i="30"/>
  <c r="T35" i="30"/>
  <c r="S35" i="30"/>
  <c r="R35" i="30"/>
  <c r="AM35" i="30" s="1"/>
  <c r="H35" i="30"/>
  <c r="G35" i="30"/>
  <c r="AR34" i="30"/>
  <c r="AL34" i="30"/>
  <c r="AK34" i="30"/>
  <c r="AG34" i="30"/>
  <c r="AF34" i="30"/>
  <c r="AB34" i="30"/>
  <c r="AA34" i="30"/>
  <c r="T34" i="30"/>
  <c r="S34" i="30"/>
  <c r="R34" i="30"/>
  <c r="AM34" i="30" s="1"/>
  <c r="H34" i="30"/>
  <c r="G34" i="30"/>
  <c r="AR33" i="30"/>
  <c r="AL33" i="30"/>
  <c r="AK33" i="30"/>
  <c r="AG33" i="30"/>
  <c r="AF33" i="30"/>
  <c r="AB33" i="30"/>
  <c r="AA33" i="30"/>
  <c r="T33" i="30"/>
  <c r="S33" i="30"/>
  <c r="R33" i="30"/>
  <c r="AM33" i="30" s="1"/>
  <c r="H33" i="30"/>
  <c r="G33" i="30"/>
  <c r="AR32" i="30"/>
  <c r="AL32" i="30"/>
  <c r="AK32" i="30"/>
  <c r="AG32" i="30"/>
  <c r="AF32" i="30"/>
  <c r="AB32" i="30"/>
  <c r="AA32" i="30"/>
  <c r="T32" i="30"/>
  <c r="S32" i="30"/>
  <c r="R32" i="30"/>
  <c r="AM32" i="30" s="1"/>
  <c r="H32" i="30"/>
  <c r="G32" i="30"/>
  <c r="AR31" i="30"/>
  <c r="AL31" i="30"/>
  <c r="AK31" i="30"/>
  <c r="AG31" i="30"/>
  <c r="AF31" i="30"/>
  <c r="AB31" i="30"/>
  <c r="AA31" i="30"/>
  <c r="T31" i="30"/>
  <c r="S31" i="30"/>
  <c r="R31" i="30"/>
  <c r="AM31" i="30" s="1"/>
  <c r="H31" i="30"/>
  <c r="G31" i="30"/>
  <c r="AR30" i="30"/>
  <c r="AL30" i="30"/>
  <c r="AK30" i="30"/>
  <c r="AG30" i="30"/>
  <c r="AF30" i="30"/>
  <c r="AB30" i="30"/>
  <c r="AA30" i="30"/>
  <c r="T30" i="30"/>
  <c r="S30" i="30"/>
  <c r="R30" i="30"/>
  <c r="AM30" i="30" s="1"/>
  <c r="H30" i="30"/>
  <c r="G30" i="30"/>
  <c r="AR29" i="30"/>
  <c r="AL29" i="30"/>
  <c r="AK29" i="30"/>
  <c r="AG29" i="30"/>
  <c r="AF29" i="30"/>
  <c r="AB29" i="30"/>
  <c r="AA29" i="30"/>
  <c r="T29" i="30"/>
  <c r="S29" i="30"/>
  <c r="R29" i="30"/>
  <c r="AM29" i="30" s="1"/>
  <c r="H29" i="30"/>
  <c r="G29" i="30"/>
  <c r="AR28" i="30"/>
  <c r="AL28" i="30"/>
  <c r="AK28" i="30"/>
  <c r="AG28" i="30"/>
  <c r="AF28" i="30"/>
  <c r="AB28" i="30"/>
  <c r="AA28" i="30"/>
  <c r="T28" i="30"/>
  <c r="S28" i="30"/>
  <c r="R28" i="30"/>
  <c r="AM28" i="30" s="1"/>
  <c r="H28" i="30"/>
  <c r="G28" i="30"/>
  <c r="AR27" i="30"/>
  <c r="AL27" i="30"/>
  <c r="AK27" i="30"/>
  <c r="AG27" i="30"/>
  <c r="AF27" i="30"/>
  <c r="AB27" i="30"/>
  <c r="AA27" i="30"/>
  <c r="T27" i="30"/>
  <c r="S27" i="30"/>
  <c r="R27" i="30"/>
  <c r="AM27" i="30" s="1"/>
  <c r="H27" i="30"/>
  <c r="G27" i="30"/>
  <c r="AR26" i="30"/>
  <c r="AL26" i="30"/>
  <c r="AK26" i="30"/>
  <c r="AG26" i="30"/>
  <c r="AF26" i="30"/>
  <c r="AB26" i="30"/>
  <c r="AA26" i="30"/>
  <c r="T26" i="30"/>
  <c r="S26" i="30"/>
  <c r="R26" i="30"/>
  <c r="AM26" i="30" s="1"/>
  <c r="H26" i="30"/>
  <c r="G26" i="30"/>
  <c r="AR25" i="30"/>
  <c r="AL25" i="30"/>
  <c r="AK25" i="30"/>
  <c r="AG25" i="30"/>
  <c r="AF25" i="30"/>
  <c r="AB25" i="30"/>
  <c r="AA25" i="30"/>
  <c r="T25" i="30"/>
  <c r="S25" i="30"/>
  <c r="R25" i="30"/>
  <c r="AM25" i="30" s="1"/>
  <c r="H25" i="30"/>
  <c r="G25" i="30"/>
  <c r="AR24" i="30"/>
  <c r="AL24" i="30"/>
  <c r="AK24" i="30"/>
  <c r="AG24" i="30"/>
  <c r="AF24" i="30"/>
  <c r="AB24" i="30"/>
  <c r="AA24" i="30"/>
  <c r="T24" i="30"/>
  <c r="S24" i="30"/>
  <c r="R24" i="30"/>
  <c r="AM24" i="30" s="1"/>
  <c r="H24" i="30"/>
  <c r="G24" i="30"/>
  <c r="AR23" i="30"/>
  <c r="AL23" i="30"/>
  <c r="AK23" i="30"/>
  <c r="AG23" i="30"/>
  <c r="AF23" i="30"/>
  <c r="AB23" i="30"/>
  <c r="AA23" i="30"/>
  <c r="T23" i="30"/>
  <c r="S23" i="30"/>
  <c r="R23" i="30"/>
  <c r="AM23" i="30" s="1"/>
  <c r="H23" i="30"/>
  <c r="G23" i="30"/>
  <c r="AR22" i="30"/>
  <c r="AL22" i="30"/>
  <c r="AK22" i="30"/>
  <c r="AG22" i="30"/>
  <c r="AF22" i="30"/>
  <c r="AB22" i="30"/>
  <c r="AA22" i="30"/>
  <c r="T22" i="30"/>
  <c r="S22" i="30"/>
  <c r="R22" i="30"/>
  <c r="AM22" i="30" s="1"/>
  <c r="H22" i="30"/>
  <c r="G22" i="30"/>
  <c r="AR21" i="30"/>
  <c r="AL21" i="30"/>
  <c r="AK21" i="30"/>
  <c r="AG21" i="30"/>
  <c r="AF21" i="30"/>
  <c r="AB21" i="30"/>
  <c r="AA21" i="30"/>
  <c r="T21" i="30"/>
  <c r="S21" i="30"/>
  <c r="R21" i="30"/>
  <c r="AM21" i="30" s="1"/>
  <c r="H21" i="30"/>
  <c r="G21" i="30"/>
  <c r="AR20" i="30"/>
  <c r="AL20" i="30"/>
  <c r="AK20" i="30"/>
  <c r="AG20" i="30"/>
  <c r="AF20" i="30"/>
  <c r="AB20" i="30"/>
  <c r="AA20" i="30"/>
  <c r="T20" i="30"/>
  <c r="S20" i="30"/>
  <c r="R20" i="30"/>
  <c r="AM20" i="30" s="1"/>
  <c r="H20" i="30"/>
  <c r="G20" i="30"/>
  <c r="AR19" i="30"/>
  <c r="AL19" i="30"/>
  <c r="AK19" i="30"/>
  <c r="AG19" i="30"/>
  <c r="AF19" i="30"/>
  <c r="AB19" i="30"/>
  <c r="AA19" i="30"/>
  <c r="T19" i="30"/>
  <c r="S19" i="30"/>
  <c r="R19" i="30"/>
  <c r="AM19" i="30" s="1"/>
  <c r="H19" i="30"/>
  <c r="G19" i="30"/>
  <c r="AR18" i="30"/>
  <c r="AL18" i="30"/>
  <c r="AK18" i="30"/>
  <c r="AG18" i="30"/>
  <c r="AF18" i="30"/>
  <c r="AB18" i="30"/>
  <c r="AA18" i="30"/>
  <c r="T18" i="30"/>
  <c r="S18" i="30"/>
  <c r="R18" i="30"/>
  <c r="AM18" i="30" s="1"/>
  <c r="H18" i="30"/>
  <c r="G18" i="30"/>
  <c r="AR17" i="30"/>
  <c r="AL17" i="30"/>
  <c r="AK17" i="30"/>
  <c r="AG17" i="30"/>
  <c r="AF17" i="30"/>
  <c r="AB17" i="30"/>
  <c r="AA17" i="30"/>
  <c r="T17" i="30"/>
  <c r="S17" i="30"/>
  <c r="R17" i="30"/>
  <c r="AM17" i="30" s="1"/>
  <c r="H17" i="30"/>
  <c r="G17" i="30"/>
  <c r="AR16" i="30"/>
  <c r="AL16" i="30"/>
  <c r="AK16" i="30"/>
  <c r="AG16" i="30"/>
  <c r="AF16" i="30"/>
  <c r="AB16" i="30"/>
  <c r="AA16" i="30"/>
  <c r="T16" i="30"/>
  <c r="S16" i="30"/>
  <c r="R16" i="30"/>
  <c r="AM16" i="30" s="1"/>
  <c r="H16" i="30"/>
  <c r="G16" i="30"/>
  <c r="AR15" i="30"/>
  <c r="AL15" i="30"/>
  <c r="AK15" i="30"/>
  <c r="AG15" i="30"/>
  <c r="AF15" i="30"/>
  <c r="AB15" i="30"/>
  <c r="AA15" i="30"/>
  <c r="T15" i="30"/>
  <c r="S15" i="30"/>
  <c r="R15" i="30"/>
  <c r="AM15" i="30" s="1"/>
  <c r="H15" i="30"/>
  <c r="G15" i="30"/>
  <c r="AR14" i="30"/>
  <c r="AL14" i="30"/>
  <c r="AK14" i="30"/>
  <c r="AG14" i="30"/>
  <c r="AF14" i="30"/>
  <c r="AB14" i="30"/>
  <c r="AA14" i="30"/>
  <c r="T14" i="30"/>
  <c r="S14" i="30"/>
  <c r="R14" i="30"/>
  <c r="AM14" i="30" s="1"/>
  <c r="H14" i="30"/>
  <c r="G14" i="30"/>
  <c r="AR13" i="30"/>
  <c r="AL13" i="30"/>
  <c r="AK13" i="30"/>
  <c r="AG13" i="30"/>
  <c r="AF13" i="30"/>
  <c r="AB13" i="30"/>
  <c r="AA13" i="30"/>
  <c r="T13" i="30"/>
  <c r="S13" i="30"/>
  <c r="R13" i="30"/>
  <c r="AM13" i="30" s="1"/>
  <c r="H13" i="30"/>
  <c r="G13" i="30"/>
  <c r="AR12" i="30"/>
  <c r="AL12" i="30"/>
  <c r="AK12" i="30"/>
  <c r="AG12" i="30"/>
  <c r="AF12" i="30"/>
  <c r="AB12" i="30"/>
  <c r="AA12" i="30"/>
  <c r="T12" i="30"/>
  <c r="S12" i="30"/>
  <c r="R12" i="30"/>
  <c r="AM12" i="30" s="1"/>
  <c r="H12" i="30"/>
  <c r="G12" i="30"/>
  <c r="AR11" i="30"/>
  <c r="AL11" i="30"/>
  <c r="AK11" i="30"/>
  <c r="AG11" i="30"/>
  <c r="AF11" i="30"/>
  <c r="AB11" i="30"/>
  <c r="AA11" i="30"/>
  <c r="T11" i="30"/>
  <c r="S11" i="30"/>
  <c r="R11" i="30"/>
  <c r="AM11" i="30" s="1"/>
  <c r="H11" i="30"/>
  <c r="G11" i="30"/>
  <c r="AR10" i="30"/>
  <c r="AL10" i="30"/>
  <c r="AK10" i="30"/>
  <c r="AG10" i="30"/>
  <c r="AF10" i="30"/>
  <c r="AB10" i="30"/>
  <c r="AA10" i="30"/>
  <c r="T10" i="30"/>
  <c r="S10" i="30"/>
  <c r="R10" i="30"/>
  <c r="AM10" i="30" s="1"/>
  <c r="H10" i="30"/>
  <c r="G10" i="30"/>
  <c r="AR9" i="30"/>
  <c r="AL9" i="30"/>
  <c r="AK9" i="30"/>
  <c r="AG9" i="30"/>
  <c r="AF9" i="30"/>
  <c r="AB9" i="30"/>
  <c r="AA9" i="30"/>
  <c r="T9" i="30"/>
  <c r="S9" i="30"/>
  <c r="R9" i="30"/>
  <c r="AM9" i="30" s="1"/>
  <c r="H9" i="30"/>
  <c r="G9" i="30"/>
  <c r="AR8" i="30"/>
  <c r="AL8" i="30"/>
  <c r="AK8" i="30"/>
  <c r="AG8" i="30"/>
  <c r="AF8" i="30"/>
  <c r="AB8" i="30"/>
  <c r="AA8" i="30"/>
  <c r="T8" i="30"/>
  <c r="S8" i="30"/>
  <c r="R8" i="30"/>
  <c r="AM8" i="30" s="1"/>
  <c r="H8" i="30"/>
  <c r="G8" i="30"/>
  <c r="AR7" i="30"/>
  <c r="AL7" i="30"/>
  <c r="AK7" i="30"/>
  <c r="AG7" i="30"/>
  <c r="AF7" i="30"/>
  <c r="AB7" i="30"/>
  <c r="AA7" i="30"/>
  <c r="T7" i="30"/>
  <c r="S7" i="30"/>
  <c r="R7" i="30"/>
  <c r="AM7" i="30" s="1"/>
  <c r="H7" i="30"/>
  <c r="G7" i="30"/>
  <c r="AR6" i="30"/>
  <c r="AL6" i="30"/>
  <c r="AK6" i="30"/>
  <c r="AG6" i="30"/>
  <c r="AF6" i="30"/>
  <c r="AB6" i="30"/>
  <c r="AA6" i="30"/>
  <c r="T6" i="30"/>
  <c r="S6" i="30"/>
  <c r="R6" i="30"/>
  <c r="AM6" i="30" s="1"/>
  <c r="H6" i="30"/>
  <c r="G6" i="30"/>
  <c r="B6" i="30"/>
  <c r="A6" i="30" s="1"/>
  <c r="AR5" i="30"/>
  <c r="AL5" i="30"/>
  <c r="AK5" i="30"/>
  <c r="AG5" i="30"/>
  <c r="AF5" i="30"/>
  <c r="AB5" i="30"/>
  <c r="AA5" i="30"/>
  <c r="T5" i="30"/>
  <c r="S5" i="30"/>
  <c r="R5" i="30"/>
  <c r="AM5" i="30" s="1"/>
  <c r="H5" i="30"/>
  <c r="G5" i="30"/>
  <c r="B5" i="30"/>
  <c r="B7" i="30" s="1"/>
  <c r="A7" i="30" s="1"/>
  <c r="AR4" i="30"/>
  <c r="AL4" i="30"/>
  <c r="AK4" i="30"/>
  <c r="AG4" i="30"/>
  <c r="AF4" i="30"/>
  <c r="AB4" i="30"/>
  <c r="AA4" i="30"/>
  <c r="T4" i="30"/>
  <c r="S4" i="30"/>
  <c r="R4" i="30"/>
  <c r="AM4" i="30" s="1"/>
  <c r="H4" i="30"/>
  <c r="G4" i="30"/>
  <c r="A4" i="30"/>
  <c r="AP1" i="30"/>
  <c r="AB33" i="29"/>
  <c r="AA33" i="29"/>
  <c r="AB32" i="29"/>
  <c r="AA32" i="29"/>
  <c r="AB31" i="29"/>
  <c r="AA31" i="29"/>
  <c r="AB30" i="29"/>
  <c r="AA30" i="29"/>
  <c r="AB29" i="29"/>
  <c r="AA29" i="29"/>
  <c r="AB28" i="29"/>
  <c r="AA28" i="29"/>
  <c r="AB27" i="29"/>
  <c r="AA27" i="29"/>
  <c r="AB26" i="29"/>
  <c r="AA26" i="29"/>
  <c r="AB25" i="29"/>
  <c r="AA25" i="29"/>
  <c r="AB24" i="29"/>
  <c r="AA24" i="29"/>
  <c r="AB23" i="29"/>
  <c r="AA23" i="29"/>
  <c r="AB22" i="29"/>
  <c r="AA22" i="29"/>
  <c r="AB21" i="29"/>
  <c r="AA21" i="29"/>
  <c r="AB20" i="29"/>
  <c r="AA20" i="29"/>
  <c r="AB19" i="29"/>
  <c r="AA19" i="29"/>
  <c r="AB18" i="29"/>
  <c r="AA18" i="29"/>
  <c r="AB17" i="29"/>
  <c r="AA17" i="29"/>
  <c r="AB16" i="29"/>
  <c r="AA16" i="29"/>
  <c r="AB15" i="29"/>
  <c r="AA15" i="29"/>
  <c r="AB14" i="29"/>
  <c r="AA14" i="29"/>
  <c r="AB13" i="29"/>
  <c r="AA13" i="29"/>
  <c r="AB12" i="29"/>
  <c r="AA12" i="29"/>
  <c r="AB11" i="29"/>
  <c r="AA11" i="29"/>
  <c r="AB10" i="29"/>
  <c r="AA10" i="29"/>
  <c r="AB9" i="29"/>
  <c r="AA9" i="29"/>
  <c r="AB8" i="29"/>
  <c r="AA8" i="29"/>
  <c r="AB7" i="29"/>
  <c r="AA7" i="29"/>
  <c r="AB6" i="29"/>
  <c r="AA6" i="29"/>
  <c r="AB5" i="29"/>
  <c r="AA5" i="29"/>
  <c r="AB4" i="29"/>
  <c r="AA4" i="29"/>
  <c r="AG66" i="29"/>
  <c r="AF66" i="29"/>
  <c r="AB66" i="29"/>
  <c r="AA66" i="29"/>
  <c r="J66" i="29"/>
  <c r="AR65" i="29"/>
  <c r="AL65" i="29"/>
  <c r="AK65" i="29"/>
  <c r="AG65" i="29"/>
  <c r="AF65" i="29"/>
  <c r="AB65" i="29"/>
  <c r="AA65" i="29"/>
  <c r="T65" i="29"/>
  <c r="S65" i="29"/>
  <c r="R65" i="29"/>
  <c r="AM65" i="29" s="1"/>
  <c r="H65" i="29"/>
  <c r="G65" i="29"/>
  <c r="AR64" i="29"/>
  <c r="AL64" i="29"/>
  <c r="AK64" i="29"/>
  <c r="AG64" i="29"/>
  <c r="AF64" i="29"/>
  <c r="AB64" i="29"/>
  <c r="AA64" i="29"/>
  <c r="T64" i="29"/>
  <c r="S64" i="29"/>
  <c r="R64" i="29"/>
  <c r="AM64" i="29" s="1"/>
  <c r="H64" i="29"/>
  <c r="G64" i="29"/>
  <c r="AR63" i="29"/>
  <c r="AL63" i="29"/>
  <c r="AK63" i="29"/>
  <c r="AG63" i="29"/>
  <c r="AF63" i="29"/>
  <c r="AB63" i="29"/>
  <c r="AA63" i="29"/>
  <c r="T63" i="29"/>
  <c r="S63" i="29"/>
  <c r="R63" i="29"/>
  <c r="AM63" i="29" s="1"/>
  <c r="H63" i="29"/>
  <c r="G63" i="29"/>
  <c r="AR62" i="29"/>
  <c r="AL62" i="29"/>
  <c r="AK62" i="29"/>
  <c r="AG62" i="29"/>
  <c r="AF62" i="29"/>
  <c r="AB62" i="29"/>
  <c r="AA62" i="29"/>
  <c r="T62" i="29"/>
  <c r="S62" i="29"/>
  <c r="R62" i="29"/>
  <c r="AM62" i="29" s="1"/>
  <c r="H62" i="29"/>
  <c r="G62" i="29"/>
  <c r="AR61" i="29"/>
  <c r="AL61" i="29"/>
  <c r="AK61" i="29"/>
  <c r="AG61" i="29"/>
  <c r="AF61" i="29"/>
  <c r="AB61" i="29"/>
  <c r="AA61" i="29"/>
  <c r="T61" i="29"/>
  <c r="S61" i="29"/>
  <c r="R61" i="29"/>
  <c r="AM61" i="29" s="1"/>
  <c r="H61" i="29"/>
  <c r="G61" i="29"/>
  <c r="AR60" i="29"/>
  <c r="AL60" i="29"/>
  <c r="AK60" i="29"/>
  <c r="AG60" i="29"/>
  <c r="AF60" i="29"/>
  <c r="AB60" i="29"/>
  <c r="AA60" i="29"/>
  <c r="T60" i="29"/>
  <c r="S60" i="29"/>
  <c r="R60" i="29"/>
  <c r="AM60" i="29" s="1"/>
  <c r="H60" i="29"/>
  <c r="G60" i="29"/>
  <c r="AR59" i="29"/>
  <c r="AL59" i="29"/>
  <c r="AK59" i="29"/>
  <c r="AG59" i="29"/>
  <c r="AF59" i="29"/>
  <c r="AB59" i="29"/>
  <c r="AA59" i="29"/>
  <c r="T59" i="29"/>
  <c r="S59" i="29"/>
  <c r="R59" i="29"/>
  <c r="AM59" i="29" s="1"/>
  <c r="H59" i="29"/>
  <c r="G59" i="29"/>
  <c r="AR58" i="29"/>
  <c r="AL58" i="29"/>
  <c r="AK58" i="29"/>
  <c r="AG58" i="29"/>
  <c r="AF58" i="29"/>
  <c r="AB58" i="29"/>
  <c r="AA58" i="29"/>
  <c r="T58" i="29"/>
  <c r="S58" i="29"/>
  <c r="R58" i="29"/>
  <c r="AM58" i="29" s="1"/>
  <c r="H58" i="29"/>
  <c r="G58" i="29"/>
  <c r="AR57" i="29"/>
  <c r="AL57" i="29"/>
  <c r="AK57" i="29"/>
  <c r="AG57" i="29"/>
  <c r="AF57" i="29"/>
  <c r="AB57" i="29"/>
  <c r="AA57" i="29"/>
  <c r="T57" i="29"/>
  <c r="S57" i="29"/>
  <c r="R57" i="29"/>
  <c r="AM57" i="29" s="1"/>
  <c r="H57" i="29"/>
  <c r="G57" i="29"/>
  <c r="AR56" i="29"/>
  <c r="AL56" i="29"/>
  <c r="AK56" i="29"/>
  <c r="AG56" i="29"/>
  <c r="AF56" i="29"/>
  <c r="AB56" i="29"/>
  <c r="AA56" i="29"/>
  <c r="T56" i="29"/>
  <c r="S56" i="29"/>
  <c r="R56" i="29"/>
  <c r="AM56" i="29" s="1"/>
  <c r="H56" i="29"/>
  <c r="G56" i="29"/>
  <c r="AR55" i="29"/>
  <c r="AL55" i="29"/>
  <c r="AK55" i="29"/>
  <c r="AG55" i="29"/>
  <c r="AF55" i="29"/>
  <c r="AB55" i="29"/>
  <c r="AA55" i="29"/>
  <c r="T55" i="29"/>
  <c r="S55" i="29"/>
  <c r="R55" i="29"/>
  <c r="AM55" i="29" s="1"/>
  <c r="H55" i="29"/>
  <c r="G55" i="29"/>
  <c r="AR54" i="29"/>
  <c r="AL54" i="29"/>
  <c r="AK54" i="29"/>
  <c r="AG54" i="29"/>
  <c r="AF54" i="29"/>
  <c r="AB54" i="29"/>
  <c r="AA54" i="29"/>
  <c r="T54" i="29"/>
  <c r="S54" i="29"/>
  <c r="R54" i="29"/>
  <c r="AM54" i="29" s="1"/>
  <c r="H54" i="29"/>
  <c r="G54" i="29"/>
  <c r="AR53" i="29"/>
  <c r="AL53" i="29"/>
  <c r="AK53" i="29"/>
  <c r="AG53" i="29"/>
  <c r="AF53" i="29"/>
  <c r="AB53" i="29"/>
  <c r="AA53" i="29"/>
  <c r="T53" i="29"/>
  <c r="S53" i="29"/>
  <c r="R53" i="29"/>
  <c r="AM53" i="29" s="1"/>
  <c r="H53" i="29"/>
  <c r="G53" i="29"/>
  <c r="AR52" i="29"/>
  <c r="AL52" i="29"/>
  <c r="AK52" i="29"/>
  <c r="AG52" i="29"/>
  <c r="AF52" i="29"/>
  <c r="AB52" i="29"/>
  <c r="AA52" i="29"/>
  <c r="T52" i="29"/>
  <c r="S52" i="29"/>
  <c r="R52" i="29"/>
  <c r="AM52" i="29" s="1"/>
  <c r="H52" i="29"/>
  <c r="G52" i="29"/>
  <c r="AR51" i="29"/>
  <c r="AL51" i="29"/>
  <c r="AK51" i="29"/>
  <c r="AG51" i="29"/>
  <c r="AF51" i="29"/>
  <c r="AB51" i="29"/>
  <c r="AA51" i="29"/>
  <c r="T51" i="29"/>
  <c r="S51" i="29"/>
  <c r="R51" i="29"/>
  <c r="AM51" i="29" s="1"/>
  <c r="H51" i="29"/>
  <c r="G51" i="29"/>
  <c r="AR50" i="29"/>
  <c r="AL50" i="29"/>
  <c r="AK50" i="29"/>
  <c r="AG50" i="29"/>
  <c r="AF50" i="29"/>
  <c r="AB50" i="29"/>
  <c r="AA50" i="29"/>
  <c r="T50" i="29"/>
  <c r="S50" i="29"/>
  <c r="R50" i="29"/>
  <c r="AM50" i="29" s="1"/>
  <c r="H50" i="29"/>
  <c r="G50" i="29"/>
  <c r="AR49" i="29"/>
  <c r="AL49" i="29"/>
  <c r="AK49" i="29"/>
  <c r="AG49" i="29"/>
  <c r="AF49" i="29"/>
  <c r="AB49" i="29"/>
  <c r="AA49" i="29"/>
  <c r="T49" i="29"/>
  <c r="S49" i="29"/>
  <c r="R49" i="29"/>
  <c r="AM49" i="29" s="1"/>
  <c r="H49" i="29"/>
  <c r="G49" i="29"/>
  <c r="AR48" i="29"/>
  <c r="AL48" i="29"/>
  <c r="AK48" i="29"/>
  <c r="AG48" i="29"/>
  <c r="AF48" i="29"/>
  <c r="AB48" i="29"/>
  <c r="AA48" i="29"/>
  <c r="T48" i="29"/>
  <c r="S48" i="29"/>
  <c r="R48" i="29"/>
  <c r="AM48" i="29" s="1"/>
  <c r="H48" i="29"/>
  <c r="G48" i="29"/>
  <c r="AR47" i="29"/>
  <c r="AL47" i="29"/>
  <c r="AK47" i="29"/>
  <c r="AG47" i="29"/>
  <c r="AF47" i="29"/>
  <c r="AB47" i="29"/>
  <c r="AA47" i="29"/>
  <c r="T47" i="29"/>
  <c r="S47" i="29"/>
  <c r="R47" i="29"/>
  <c r="AM47" i="29" s="1"/>
  <c r="H47" i="29"/>
  <c r="G47" i="29"/>
  <c r="AR46" i="29"/>
  <c r="AL46" i="29"/>
  <c r="AK46" i="29"/>
  <c r="AG46" i="29"/>
  <c r="AF46" i="29"/>
  <c r="AB46" i="29"/>
  <c r="AA46" i="29"/>
  <c r="T46" i="29"/>
  <c r="S46" i="29"/>
  <c r="R46" i="29"/>
  <c r="AM46" i="29" s="1"/>
  <c r="H46" i="29"/>
  <c r="G46" i="29"/>
  <c r="AR45" i="29"/>
  <c r="AL45" i="29"/>
  <c r="AK45" i="29"/>
  <c r="AG45" i="29"/>
  <c r="AF45" i="29"/>
  <c r="AB45" i="29"/>
  <c r="AA45" i="29"/>
  <c r="T45" i="29"/>
  <c r="S45" i="29"/>
  <c r="R45" i="29"/>
  <c r="AM45" i="29" s="1"/>
  <c r="H45" i="29"/>
  <c r="G45" i="29"/>
  <c r="AR44" i="29"/>
  <c r="AL44" i="29"/>
  <c r="AK44" i="29"/>
  <c r="AG44" i="29"/>
  <c r="AF44" i="29"/>
  <c r="AB44" i="29"/>
  <c r="AA44" i="29"/>
  <c r="T44" i="29"/>
  <c r="S44" i="29"/>
  <c r="R44" i="29"/>
  <c r="AM44" i="29" s="1"/>
  <c r="H44" i="29"/>
  <c r="G44" i="29"/>
  <c r="AR43" i="29"/>
  <c r="AL43" i="29"/>
  <c r="AK43" i="29"/>
  <c r="AG43" i="29"/>
  <c r="AF43" i="29"/>
  <c r="AB43" i="29"/>
  <c r="AA43" i="29"/>
  <c r="T43" i="29"/>
  <c r="S43" i="29"/>
  <c r="R43" i="29"/>
  <c r="AM43" i="29" s="1"/>
  <c r="H43" i="29"/>
  <c r="G43" i="29"/>
  <c r="AR42" i="29"/>
  <c r="AL42" i="29"/>
  <c r="AK42" i="29"/>
  <c r="AG42" i="29"/>
  <c r="AF42" i="29"/>
  <c r="AB42" i="29"/>
  <c r="AA42" i="29"/>
  <c r="T42" i="29"/>
  <c r="S42" i="29"/>
  <c r="R42" i="29"/>
  <c r="AM42" i="29" s="1"/>
  <c r="H42" i="29"/>
  <c r="G42" i="29"/>
  <c r="AR41" i="29"/>
  <c r="AL41" i="29"/>
  <c r="AK41" i="29"/>
  <c r="AG41" i="29"/>
  <c r="AF41" i="29"/>
  <c r="AB41" i="29"/>
  <c r="AA41" i="29"/>
  <c r="T41" i="29"/>
  <c r="S41" i="29"/>
  <c r="R41" i="29"/>
  <c r="AM41" i="29" s="1"/>
  <c r="H41" i="29"/>
  <c r="G41" i="29"/>
  <c r="AR40" i="29"/>
  <c r="AL40" i="29"/>
  <c r="AK40" i="29"/>
  <c r="AG40" i="29"/>
  <c r="AF40" i="29"/>
  <c r="AB40" i="29"/>
  <c r="AA40" i="29"/>
  <c r="T40" i="29"/>
  <c r="S40" i="29"/>
  <c r="R40" i="29"/>
  <c r="AM40" i="29" s="1"/>
  <c r="H40" i="29"/>
  <c r="G40" i="29"/>
  <c r="AR39" i="29"/>
  <c r="AL39" i="29"/>
  <c r="AK39" i="29"/>
  <c r="AG39" i="29"/>
  <c r="AF39" i="29"/>
  <c r="AB39" i="29"/>
  <c r="AA39" i="29"/>
  <c r="T39" i="29"/>
  <c r="S39" i="29"/>
  <c r="R39" i="29"/>
  <c r="AM39" i="29" s="1"/>
  <c r="H39" i="29"/>
  <c r="G39" i="29"/>
  <c r="AR38" i="29"/>
  <c r="AL38" i="29"/>
  <c r="AK38" i="29"/>
  <c r="AG38" i="29"/>
  <c r="AF38" i="29"/>
  <c r="AB38" i="29"/>
  <c r="AA38" i="29"/>
  <c r="T38" i="29"/>
  <c r="S38" i="29"/>
  <c r="R38" i="29"/>
  <c r="AM38" i="29" s="1"/>
  <c r="H38" i="29"/>
  <c r="G38" i="29"/>
  <c r="AR37" i="29"/>
  <c r="AL37" i="29"/>
  <c r="AK37" i="29"/>
  <c r="AG37" i="29"/>
  <c r="AF37" i="29"/>
  <c r="AB37" i="29"/>
  <c r="AA37" i="29"/>
  <c r="T37" i="29"/>
  <c r="S37" i="29"/>
  <c r="R37" i="29"/>
  <c r="AM37" i="29" s="1"/>
  <c r="H37" i="29"/>
  <c r="G37" i="29"/>
  <c r="AR36" i="29"/>
  <c r="AL36" i="29"/>
  <c r="AK36" i="29"/>
  <c r="AG36" i="29"/>
  <c r="AF36" i="29"/>
  <c r="AB36" i="29"/>
  <c r="AA36" i="29"/>
  <c r="T36" i="29"/>
  <c r="S36" i="29"/>
  <c r="R36" i="29"/>
  <c r="AM36" i="29" s="1"/>
  <c r="H36" i="29"/>
  <c r="G36" i="29"/>
  <c r="AR35" i="29"/>
  <c r="AL35" i="29"/>
  <c r="AK35" i="29"/>
  <c r="AG35" i="29"/>
  <c r="AF35" i="29"/>
  <c r="AB35" i="29"/>
  <c r="AA35" i="29"/>
  <c r="T35" i="29"/>
  <c r="S35" i="29"/>
  <c r="R35" i="29"/>
  <c r="AM35" i="29" s="1"/>
  <c r="H35" i="29"/>
  <c r="G35" i="29"/>
  <c r="AR34" i="29"/>
  <c r="AL34" i="29"/>
  <c r="AK34" i="29"/>
  <c r="AG34" i="29"/>
  <c r="AF34" i="29"/>
  <c r="AB34" i="29"/>
  <c r="AA34" i="29"/>
  <c r="T34" i="29"/>
  <c r="S34" i="29"/>
  <c r="R34" i="29"/>
  <c r="AM34" i="29" s="1"/>
  <c r="H34" i="29"/>
  <c r="G34" i="29"/>
  <c r="AR33" i="29"/>
  <c r="AL33" i="29"/>
  <c r="AK33" i="29"/>
  <c r="AG33" i="29"/>
  <c r="AF33" i="29"/>
  <c r="T33" i="29"/>
  <c r="S33" i="29"/>
  <c r="R33" i="29"/>
  <c r="AM33" i="29" s="1"/>
  <c r="H33" i="29"/>
  <c r="G33" i="29"/>
  <c r="AR32" i="29"/>
  <c r="AL32" i="29"/>
  <c r="AK32" i="29"/>
  <c r="AG32" i="29"/>
  <c r="AF32" i="29"/>
  <c r="T32" i="29"/>
  <c r="S32" i="29"/>
  <c r="R32" i="29"/>
  <c r="AM32" i="29" s="1"/>
  <c r="H32" i="29"/>
  <c r="G32" i="29"/>
  <c r="AR31" i="29"/>
  <c r="AL31" i="29"/>
  <c r="AK31" i="29"/>
  <c r="AG31" i="29"/>
  <c r="AF31" i="29"/>
  <c r="T31" i="29"/>
  <c r="S31" i="29"/>
  <c r="R31" i="29"/>
  <c r="AM31" i="29" s="1"/>
  <c r="H31" i="29"/>
  <c r="G31" i="29"/>
  <c r="AR30" i="29"/>
  <c r="AL30" i="29"/>
  <c r="AK30" i="29"/>
  <c r="AG30" i="29"/>
  <c r="AF30" i="29"/>
  <c r="T30" i="29"/>
  <c r="S30" i="29"/>
  <c r="R30" i="29"/>
  <c r="AM30" i="29" s="1"/>
  <c r="H30" i="29"/>
  <c r="G30" i="29"/>
  <c r="AR29" i="29"/>
  <c r="AL29" i="29"/>
  <c r="AK29" i="29"/>
  <c r="AG29" i="29"/>
  <c r="AF29" i="29"/>
  <c r="T29" i="29"/>
  <c r="S29" i="29"/>
  <c r="R29" i="29"/>
  <c r="AM29" i="29" s="1"/>
  <c r="H29" i="29"/>
  <c r="G29" i="29"/>
  <c r="AR28" i="29"/>
  <c r="AL28" i="29"/>
  <c r="AK28" i="29"/>
  <c r="AG28" i="29"/>
  <c r="AF28" i="29"/>
  <c r="T28" i="29"/>
  <c r="S28" i="29"/>
  <c r="R28" i="29"/>
  <c r="AM28" i="29" s="1"/>
  <c r="H28" i="29"/>
  <c r="G28" i="29"/>
  <c r="AR27" i="29"/>
  <c r="AL27" i="29"/>
  <c r="AK27" i="29"/>
  <c r="AG27" i="29"/>
  <c r="AF27" i="29"/>
  <c r="T27" i="29"/>
  <c r="S27" i="29"/>
  <c r="R27" i="29"/>
  <c r="AM27" i="29" s="1"/>
  <c r="H27" i="29"/>
  <c r="G27" i="29"/>
  <c r="AR26" i="29"/>
  <c r="AL26" i="29"/>
  <c r="AK26" i="29"/>
  <c r="AG26" i="29"/>
  <c r="AF26" i="29"/>
  <c r="T26" i="29"/>
  <c r="S26" i="29"/>
  <c r="R26" i="29"/>
  <c r="AM26" i="29" s="1"/>
  <c r="H26" i="29"/>
  <c r="G26" i="29"/>
  <c r="AR25" i="29"/>
  <c r="AL25" i="29"/>
  <c r="AK25" i="29"/>
  <c r="AG25" i="29"/>
  <c r="AF25" i="29"/>
  <c r="T25" i="29"/>
  <c r="S25" i="29"/>
  <c r="R25" i="29"/>
  <c r="AM25" i="29" s="1"/>
  <c r="H25" i="29"/>
  <c r="G25" i="29"/>
  <c r="AR24" i="29"/>
  <c r="AL24" i="29"/>
  <c r="AK24" i="29"/>
  <c r="AG24" i="29"/>
  <c r="AF24" i="29"/>
  <c r="T24" i="29"/>
  <c r="S24" i="29"/>
  <c r="R24" i="29"/>
  <c r="AM24" i="29" s="1"/>
  <c r="H24" i="29"/>
  <c r="G24" i="29"/>
  <c r="AW23" i="29"/>
  <c r="AR23" i="29"/>
  <c r="AL23" i="29"/>
  <c r="AK23" i="29"/>
  <c r="AG23" i="29"/>
  <c r="AF23" i="29"/>
  <c r="T23" i="29"/>
  <c r="S23" i="29"/>
  <c r="R23" i="29"/>
  <c r="AM23" i="29" s="1"/>
  <c r="H23" i="29"/>
  <c r="G23" i="29"/>
  <c r="AW22" i="29"/>
  <c r="AW24" i="29" s="1"/>
  <c r="AR22" i="29"/>
  <c r="AL22" i="29"/>
  <c r="AK22" i="29"/>
  <c r="AG22" i="29"/>
  <c r="AF22" i="29"/>
  <c r="T22" i="29"/>
  <c r="S22" i="29"/>
  <c r="R22" i="29"/>
  <c r="AM22" i="29" s="1"/>
  <c r="H22" i="29"/>
  <c r="G22" i="29"/>
  <c r="AR21" i="29"/>
  <c r="AL21" i="29"/>
  <c r="AK21" i="29"/>
  <c r="AG21" i="29"/>
  <c r="AF21" i="29"/>
  <c r="T21" i="29"/>
  <c r="S21" i="29"/>
  <c r="R21" i="29"/>
  <c r="AM21" i="29" s="1"/>
  <c r="H21" i="29"/>
  <c r="G21" i="29"/>
  <c r="AR20" i="29"/>
  <c r="AL20" i="29"/>
  <c r="AK20" i="29"/>
  <c r="AG20" i="29"/>
  <c r="AF20" i="29"/>
  <c r="T20" i="29"/>
  <c r="S20" i="29"/>
  <c r="R20" i="29"/>
  <c r="AM20" i="29" s="1"/>
  <c r="H20" i="29"/>
  <c r="G20" i="29"/>
  <c r="AR19" i="29"/>
  <c r="AL19" i="29"/>
  <c r="AK19" i="29"/>
  <c r="AG19" i="29"/>
  <c r="AF19" i="29"/>
  <c r="T19" i="29"/>
  <c r="S19" i="29"/>
  <c r="R19" i="29"/>
  <c r="AM19" i="29" s="1"/>
  <c r="H19" i="29"/>
  <c r="G19" i="29"/>
  <c r="AR18" i="29"/>
  <c r="AL18" i="29"/>
  <c r="AK18" i="29"/>
  <c r="AG18" i="29"/>
  <c r="AF18" i="29"/>
  <c r="T18" i="29"/>
  <c r="S18" i="29"/>
  <c r="R18" i="29"/>
  <c r="AM18" i="29" s="1"/>
  <c r="H18" i="29"/>
  <c r="G18" i="29"/>
  <c r="AR17" i="29"/>
  <c r="AL17" i="29"/>
  <c r="AK17" i="29"/>
  <c r="AG17" i="29"/>
  <c r="AF17" i="29"/>
  <c r="T17" i="29"/>
  <c r="S17" i="29"/>
  <c r="R17" i="29"/>
  <c r="AM17" i="29" s="1"/>
  <c r="H17" i="29"/>
  <c r="G17" i="29"/>
  <c r="AR16" i="29"/>
  <c r="AL16" i="29"/>
  <c r="AK16" i="29"/>
  <c r="AG16" i="29"/>
  <c r="AF16" i="29"/>
  <c r="T16" i="29"/>
  <c r="S16" i="29"/>
  <c r="R16" i="29"/>
  <c r="AM16" i="29" s="1"/>
  <c r="H16" i="29"/>
  <c r="G16" i="29"/>
  <c r="AR15" i="29"/>
  <c r="AL15" i="29"/>
  <c r="AK15" i="29"/>
  <c r="AG15" i="29"/>
  <c r="AF15" i="29"/>
  <c r="T15" i="29"/>
  <c r="S15" i="29"/>
  <c r="R15" i="29"/>
  <c r="AM15" i="29" s="1"/>
  <c r="H15" i="29"/>
  <c r="G15" i="29"/>
  <c r="AR14" i="29"/>
  <c r="AL14" i="29"/>
  <c r="AK14" i="29"/>
  <c r="AG14" i="29"/>
  <c r="AF14" i="29"/>
  <c r="T14" i="29"/>
  <c r="S14" i="29"/>
  <c r="R14" i="29"/>
  <c r="AM14" i="29" s="1"/>
  <c r="H14" i="29"/>
  <c r="G14" i="29"/>
  <c r="AR13" i="29"/>
  <c r="AL13" i="29"/>
  <c r="AK13" i="29"/>
  <c r="AG13" i="29"/>
  <c r="AF13" i="29"/>
  <c r="T13" i="29"/>
  <c r="S13" i="29"/>
  <c r="R13" i="29"/>
  <c r="AM13" i="29" s="1"/>
  <c r="H13" i="29"/>
  <c r="G13" i="29"/>
  <c r="AR12" i="29"/>
  <c r="AL12" i="29"/>
  <c r="AK12" i="29"/>
  <c r="AG12" i="29"/>
  <c r="AF12" i="29"/>
  <c r="T12" i="29"/>
  <c r="S12" i="29"/>
  <c r="R12" i="29"/>
  <c r="AM12" i="29" s="1"/>
  <c r="H12" i="29"/>
  <c r="G12" i="29"/>
  <c r="AR11" i="29"/>
  <c r="AL11" i="29"/>
  <c r="AK11" i="29"/>
  <c r="AG11" i="29"/>
  <c r="AF11" i="29"/>
  <c r="T11" i="29"/>
  <c r="S11" i="29"/>
  <c r="R11" i="29"/>
  <c r="AM11" i="29" s="1"/>
  <c r="H11" i="29"/>
  <c r="G11" i="29"/>
  <c r="AR10" i="29"/>
  <c r="AL10" i="29"/>
  <c r="AK10" i="29"/>
  <c r="AG10" i="29"/>
  <c r="AF10" i="29"/>
  <c r="T10" i="29"/>
  <c r="S10" i="29"/>
  <c r="R10" i="29"/>
  <c r="AM10" i="29" s="1"/>
  <c r="H10" i="29"/>
  <c r="G10" i="29"/>
  <c r="AR9" i="29"/>
  <c r="AL9" i="29"/>
  <c r="AK9" i="29"/>
  <c r="AG9" i="29"/>
  <c r="AF9" i="29"/>
  <c r="T9" i="29"/>
  <c r="S9" i="29"/>
  <c r="R9" i="29"/>
  <c r="AM9" i="29" s="1"/>
  <c r="H9" i="29"/>
  <c r="G9" i="29"/>
  <c r="AR8" i="29"/>
  <c r="AL8" i="29"/>
  <c r="AK8" i="29"/>
  <c r="AG8" i="29"/>
  <c r="AF8" i="29"/>
  <c r="T8" i="29"/>
  <c r="S8" i="29"/>
  <c r="R8" i="29"/>
  <c r="AM8" i="29" s="1"/>
  <c r="H8" i="29"/>
  <c r="G8" i="29"/>
  <c r="AR7" i="29"/>
  <c r="AL7" i="29"/>
  <c r="AK7" i="29"/>
  <c r="AG7" i="29"/>
  <c r="AF7" i="29"/>
  <c r="T7" i="29"/>
  <c r="S7" i="29"/>
  <c r="R7" i="29"/>
  <c r="AM7" i="29" s="1"/>
  <c r="H7" i="29"/>
  <c r="G7" i="29"/>
  <c r="AR6" i="29"/>
  <c r="AL6" i="29"/>
  <c r="AK6" i="29"/>
  <c r="AG6" i="29"/>
  <c r="AF6" i="29"/>
  <c r="T6" i="29"/>
  <c r="S6" i="29"/>
  <c r="R6" i="29"/>
  <c r="AM6" i="29" s="1"/>
  <c r="H6" i="29"/>
  <c r="G6" i="29"/>
  <c r="B6" i="29"/>
  <c r="B8" i="29" s="1"/>
  <c r="A6" i="29"/>
  <c r="AR5" i="29"/>
  <c r="AL5" i="29"/>
  <c r="AK5" i="29"/>
  <c r="AG5" i="29"/>
  <c r="AF5" i="29"/>
  <c r="T5" i="29"/>
  <c r="S5" i="29"/>
  <c r="R5" i="29"/>
  <c r="AM5" i="29" s="1"/>
  <c r="H5" i="29"/>
  <c r="G5" i="29"/>
  <c r="B5" i="29"/>
  <c r="B7" i="29" s="1"/>
  <c r="A7" i="29" s="1"/>
  <c r="A5" i="29"/>
  <c r="AR4" i="29"/>
  <c r="AL4" i="29"/>
  <c r="AK4" i="29"/>
  <c r="AG4" i="29"/>
  <c r="AF4" i="29"/>
  <c r="T4" i="29"/>
  <c r="S4" i="29"/>
  <c r="R4" i="29"/>
  <c r="AM4" i="29" s="1"/>
  <c r="H4" i="29"/>
  <c r="G4" i="29"/>
  <c r="A4" i="29"/>
  <c r="AP1" i="29"/>
  <c r="B8" i="30" l="1"/>
  <c r="A8" i="30" s="1"/>
  <c r="AN64" i="30"/>
  <c r="AO62" i="30"/>
  <c r="AO63" i="30"/>
  <c r="AP63" i="30" s="1"/>
  <c r="AN62" i="30"/>
  <c r="AN63" i="30"/>
  <c r="AN14" i="30"/>
  <c r="AN15" i="30"/>
  <c r="AO13" i="29"/>
  <c r="AO15" i="29"/>
  <c r="AO5" i="30"/>
  <c r="AO8" i="30"/>
  <c r="AO22" i="29"/>
  <c r="AO57" i="29"/>
  <c r="AN25" i="29"/>
  <c r="AN27" i="29"/>
  <c r="AO54" i="29"/>
  <c r="AO55" i="29"/>
  <c r="AN57" i="29"/>
  <c r="AN58" i="29"/>
  <c r="AN60" i="29"/>
  <c r="AO58" i="29"/>
  <c r="AO64" i="30"/>
  <c r="AO65" i="30"/>
  <c r="AO19" i="30"/>
  <c r="AN32" i="30"/>
  <c r="AN33" i="30"/>
  <c r="AO13" i="30"/>
  <c r="AN9" i="30"/>
  <c r="AO30" i="30"/>
  <c r="AO31" i="30"/>
  <c r="AN4" i="30"/>
  <c r="AN6" i="30"/>
  <c r="AO9" i="30"/>
  <c r="AN11" i="30"/>
  <c r="AO14" i="30"/>
  <c r="AO15" i="30"/>
  <c r="AN56" i="30"/>
  <c r="AO4" i="30"/>
  <c r="AO6" i="30"/>
  <c r="AO7" i="30"/>
  <c r="AO10" i="30"/>
  <c r="AO11" i="30"/>
  <c r="AN12" i="30"/>
  <c r="AO16" i="30"/>
  <c r="AN17" i="30"/>
  <c r="AO26" i="30"/>
  <c r="AO27" i="30"/>
  <c r="AN28" i="30"/>
  <c r="AN29" i="30"/>
  <c r="AN7" i="30"/>
  <c r="AN10" i="30"/>
  <c r="AN16" i="30"/>
  <c r="AO33" i="30"/>
  <c r="AN5" i="30"/>
  <c r="AP5" i="30" s="1"/>
  <c r="AN8" i="30"/>
  <c r="AO12" i="30"/>
  <c r="AN13" i="30"/>
  <c r="AO17" i="30"/>
  <c r="AN18" i="30"/>
  <c r="AO29" i="30"/>
  <c r="AN30" i="30"/>
  <c r="AN20" i="30"/>
  <c r="A5" i="30"/>
  <c r="AO65" i="29"/>
  <c r="AN64" i="29"/>
  <c r="AO64" i="29"/>
  <c r="AN65" i="29"/>
  <c r="AO59" i="29"/>
  <c r="AN56" i="29"/>
  <c r="AO60" i="29"/>
  <c r="AN61" i="29"/>
  <c r="AN62" i="29"/>
  <c r="AO56" i="29"/>
  <c r="AO61" i="29"/>
  <c r="AO62" i="29"/>
  <c r="AO63" i="29"/>
  <c r="AO58" i="30"/>
  <c r="AO59" i="30"/>
  <c r="AN60" i="30"/>
  <c r="AO56" i="30"/>
  <c r="AO57" i="30"/>
  <c r="AN58" i="30"/>
  <c r="AN59" i="30"/>
  <c r="AO60" i="30"/>
  <c r="AO61" i="30"/>
  <c r="AN54" i="30"/>
  <c r="AO53" i="29"/>
  <c r="AN52" i="29"/>
  <c r="AO51" i="29"/>
  <c r="AO52" i="29"/>
  <c r="AN53" i="29"/>
  <c r="AN50" i="29"/>
  <c r="AN51" i="29"/>
  <c r="AP51" i="29" s="1"/>
  <c r="AN54" i="29"/>
  <c r="AN55" i="30"/>
  <c r="AO46" i="30"/>
  <c r="AO47" i="30"/>
  <c r="AO54" i="30"/>
  <c r="AO55" i="30"/>
  <c r="AN47" i="30"/>
  <c r="AN48" i="30"/>
  <c r="AO48" i="30"/>
  <c r="AO49" i="30"/>
  <c r="AN50" i="30"/>
  <c r="AN51" i="30"/>
  <c r="AO50" i="30"/>
  <c r="AO51" i="30"/>
  <c r="AN52" i="30"/>
  <c r="AN46" i="30"/>
  <c r="AO52" i="30"/>
  <c r="AO53" i="30"/>
  <c r="AN44" i="29"/>
  <c r="AO42" i="29"/>
  <c r="AO43" i="29"/>
  <c r="AO49" i="29"/>
  <c r="AO45" i="29"/>
  <c r="AN46" i="29"/>
  <c r="AN47" i="29"/>
  <c r="AN42" i="29"/>
  <c r="AO47" i="29"/>
  <c r="AN48" i="29"/>
  <c r="AN34" i="30"/>
  <c r="AN42" i="30"/>
  <c r="AO42" i="30"/>
  <c r="AO43" i="30"/>
  <c r="AN44" i="30"/>
  <c r="AO44" i="30"/>
  <c r="AO45" i="30"/>
  <c r="AN37" i="29"/>
  <c r="AN40" i="29"/>
  <c r="AN41" i="29"/>
  <c r="AO40" i="29"/>
  <c r="AO41" i="29"/>
  <c r="AO40" i="30"/>
  <c r="AO37" i="30"/>
  <c r="AN38" i="30"/>
  <c r="AO41" i="30"/>
  <c r="AO34" i="30"/>
  <c r="AO35" i="30"/>
  <c r="AN36" i="30"/>
  <c r="AN37" i="30"/>
  <c r="AO38" i="30"/>
  <c r="AO39" i="30"/>
  <c r="AN40" i="30"/>
  <c r="AN38" i="29"/>
  <c r="AO36" i="29"/>
  <c r="AO37" i="29"/>
  <c r="AN35" i="29"/>
  <c r="AO38" i="29"/>
  <c r="AO39" i="29"/>
  <c r="AO35" i="29"/>
  <c r="AN36" i="29"/>
  <c r="AN21" i="30"/>
  <c r="AO23" i="30"/>
  <c r="AN24" i="30"/>
  <c r="AN25" i="30"/>
  <c r="AO21" i="30"/>
  <c r="AN22" i="30"/>
  <c r="AO25" i="30"/>
  <c r="AN26" i="30"/>
  <c r="AN41" i="30"/>
  <c r="AN45" i="30"/>
  <c r="AN49" i="30"/>
  <c r="AN53" i="30"/>
  <c r="AN57" i="30"/>
  <c r="AN61" i="30"/>
  <c r="AN65" i="30"/>
  <c r="AP65" i="30" s="1"/>
  <c r="B10" i="30"/>
  <c r="AN19" i="30"/>
  <c r="AO22" i="30"/>
  <c r="B9" i="30"/>
  <c r="AO20" i="30"/>
  <c r="AM66" i="30"/>
  <c r="H7" i="1" s="1"/>
  <c r="AO18" i="30"/>
  <c r="AN23" i="30"/>
  <c r="AO24" i="30"/>
  <c r="AN27" i="30"/>
  <c r="AO28" i="30"/>
  <c r="AN31" i="30"/>
  <c r="AO32" i="30"/>
  <c r="AN35" i="30"/>
  <c r="AO36" i="30"/>
  <c r="AN39" i="30"/>
  <c r="AN43" i="30"/>
  <c r="AN7" i="29"/>
  <c r="AN14" i="29"/>
  <c r="AN16" i="29"/>
  <c r="AO25" i="29"/>
  <c r="AO30" i="29"/>
  <c r="AO32" i="29"/>
  <c r="AN5" i="29"/>
  <c r="AO7" i="29"/>
  <c r="AO12" i="29"/>
  <c r="AO14" i="29"/>
  <c r="AO21" i="29"/>
  <c r="AN23" i="29"/>
  <c r="AN26" i="29"/>
  <c r="AN33" i="29"/>
  <c r="AO6" i="29"/>
  <c r="AN8" i="29"/>
  <c r="AN13" i="29"/>
  <c r="AN15" i="29"/>
  <c r="AO24" i="29"/>
  <c r="AO31" i="29"/>
  <c r="AO33" i="29"/>
  <c r="AN4" i="29"/>
  <c r="AO4" i="29"/>
  <c r="AN6" i="29"/>
  <c r="AO9" i="29"/>
  <c r="AO10" i="29"/>
  <c r="AO11" i="29"/>
  <c r="AN12" i="29"/>
  <c r="AO17" i="29"/>
  <c r="AO18" i="29"/>
  <c r="AO20" i="29"/>
  <c r="AN21" i="29"/>
  <c r="AN22" i="29"/>
  <c r="AN24" i="29"/>
  <c r="AO29" i="29"/>
  <c r="AN31" i="29"/>
  <c r="AP31" i="29" s="1"/>
  <c r="AN32" i="29"/>
  <c r="AO5" i="29"/>
  <c r="AO8" i="29"/>
  <c r="AN9" i="29"/>
  <c r="AN10" i="29"/>
  <c r="AN11" i="29"/>
  <c r="AO16" i="29"/>
  <c r="AN17" i="29"/>
  <c r="AN18" i="29"/>
  <c r="AN19" i="29"/>
  <c r="AO23" i="29"/>
  <c r="AO26" i="29"/>
  <c r="AO27" i="29"/>
  <c r="AN28" i="29"/>
  <c r="AN29" i="29"/>
  <c r="AO19" i="29"/>
  <c r="AM66" i="29"/>
  <c r="H12" i="1" s="1"/>
  <c r="A8" i="29"/>
  <c r="B10" i="29"/>
  <c r="AN20" i="29"/>
  <c r="AN39" i="29"/>
  <c r="AO44" i="29"/>
  <c r="AN55" i="29"/>
  <c r="AN59" i="29"/>
  <c r="AN63" i="29"/>
  <c r="B9" i="29"/>
  <c r="AN34" i="29"/>
  <c r="AN43" i="29"/>
  <c r="AN45" i="29"/>
  <c r="AO46" i="29"/>
  <c r="AO48" i="29"/>
  <c r="T66" i="29"/>
  <c r="S66" i="29"/>
  <c r="R66" i="29"/>
  <c r="G12" i="1" s="1"/>
  <c r="AO28" i="29"/>
  <c r="AN30" i="29"/>
  <c r="AO34" i="29"/>
  <c r="AN49" i="29"/>
  <c r="AO50" i="29"/>
  <c r="AP16" i="30" l="1"/>
  <c r="AP64" i="29"/>
  <c r="AP14" i="30"/>
  <c r="AP33" i="30"/>
  <c r="AP61" i="30"/>
  <c r="AP64" i="30"/>
  <c r="AP15" i="30"/>
  <c r="AP62" i="30"/>
  <c r="AP65" i="29"/>
  <c r="AP58" i="29"/>
  <c r="AP21" i="30"/>
  <c r="AP53" i="29"/>
  <c r="AP54" i="29"/>
  <c r="AP57" i="29"/>
  <c r="AP18" i="30"/>
  <c r="AP4" i="30"/>
  <c r="AP56" i="30"/>
  <c r="AP25" i="29"/>
  <c r="AP29" i="29"/>
  <c r="AP26" i="29"/>
  <c r="AP27" i="29"/>
  <c r="AP31" i="30"/>
  <c r="AP26" i="30"/>
  <c r="AP23" i="30"/>
  <c r="AP17" i="29"/>
  <c r="AP14" i="29"/>
  <c r="AP13" i="29"/>
  <c r="AP12" i="30"/>
  <c r="AP15" i="29"/>
  <c r="AP7" i="29"/>
  <c r="AP8" i="30"/>
  <c r="AP6" i="30"/>
  <c r="AP7" i="30"/>
  <c r="AP11" i="30"/>
  <c r="AP61" i="29"/>
  <c r="AP60" i="29"/>
  <c r="AP30" i="29"/>
  <c r="AP43" i="29"/>
  <c r="AP23" i="29"/>
  <c r="AP16" i="29"/>
  <c r="AP50" i="29"/>
  <c r="AP20" i="29"/>
  <c r="AP55" i="29"/>
  <c r="AP59" i="29"/>
  <c r="AP4" i="29"/>
  <c r="AP33" i="29"/>
  <c r="AP37" i="29"/>
  <c r="AP22" i="30"/>
  <c r="AP27" i="30"/>
  <c r="AP57" i="30"/>
  <c r="AP54" i="30"/>
  <c r="AP28" i="30"/>
  <c r="AP19" i="30"/>
  <c r="AP47" i="30"/>
  <c r="AP32" i="30"/>
  <c r="AP13" i="30"/>
  <c r="AP9" i="30"/>
  <c r="AP55" i="30"/>
  <c r="AP30" i="30"/>
  <c r="AP29" i="30"/>
  <c r="AP17" i="30"/>
  <c r="AP10" i="30"/>
  <c r="AP59" i="30"/>
  <c r="AP24" i="30"/>
  <c r="AP46" i="30"/>
  <c r="AP58" i="30"/>
  <c r="AP62" i="29"/>
  <c r="AP63" i="29"/>
  <c r="AP56" i="29"/>
  <c r="AP60" i="30"/>
  <c r="AP51" i="30"/>
  <c r="AP50" i="30"/>
  <c r="AP52" i="29"/>
  <c r="AP46" i="29"/>
  <c r="AP45" i="29"/>
  <c r="AP48" i="30"/>
  <c r="AP52" i="30"/>
  <c r="AP53" i="30"/>
  <c r="AP49" i="30"/>
  <c r="AP44" i="30"/>
  <c r="AP42" i="29"/>
  <c r="AP38" i="29"/>
  <c r="AP49" i="29"/>
  <c r="AP48" i="29"/>
  <c r="AP44" i="29"/>
  <c r="AP47" i="29"/>
  <c r="AP41" i="29"/>
  <c r="AP35" i="29"/>
  <c r="AP40" i="29"/>
  <c r="AP43" i="30"/>
  <c r="AP34" i="30"/>
  <c r="AP45" i="30"/>
  <c r="AP42" i="30"/>
  <c r="AP40" i="30"/>
  <c r="AP38" i="30"/>
  <c r="AP36" i="30"/>
  <c r="AP41" i="30"/>
  <c r="AP35" i="30"/>
  <c r="AP37" i="30"/>
  <c r="AP39" i="29"/>
  <c r="AP36" i="29"/>
  <c r="AP39" i="30"/>
  <c r="AP25" i="30"/>
  <c r="B12" i="30"/>
  <c r="A10" i="30"/>
  <c r="AP20" i="30"/>
  <c r="A9" i="30"/>
  <c r="B11" i="30"/>
  <c r="AO66" i="30"/>
  <c r="J7" i="1" s="1"/>
  <c r="AN66" i="30"/>
  <c r="I7" i="1" s="1"/>
  <c r="AP8" i="29"/>
  <c r="AP5" i="29"/>
  <c r="AP24" i="29"/>
  <c r="AP32" i="29"/>
  <c r="AP11" i="29"/>
  <c r="AP21" i="29"/>
  <c r="AP12" i="29"/>
  <c r="AP6" i="29"/>
  <c r="AP18" i="29"/>
  <c r="AP19" i="29"/>
  <c r="AP9" i="29"/>
  <c r="AO66" i="29"/>
  <c r="J12" i="1" s="1"/>
  <c r="AP10" i="29"/>
  <c r="AP22" i="29"/>
  <c r="A9" i="29"/>
  <c r="B11" i="29"/>
  <c r="AP34" i="29"/>
  <c r="AN66" i="29"/>
  <c r="I12" i="1" s="1"/>
  <c r="B12" i="29"/>
  <c r="A10" i="29"/>
  <c r="AP28" i="29"/>
  <c r="J66" i="28"/>
  <c r="G20" i="1" s="1"/>
  <c r="AR65" i="28"/>
  <c r="AL65" i="28"/>
  <c r="AK65" i="28"/>
  <c r="AG65" i="28"/>
  <c r="AF65" i="28"/>
  <c r="AB65" i="28"/>
  <c r="AA65" i="28"/>
  <c r="T65" i="28"/>
  <c r="S65" i="28"/>
  <c r="R65" i="28"/>
  <c r="AM65" i="28" s="1"/>
  <c r="H65" i="28"/>
  <c r="G65" i="28"/>
  <c r="AR64" i="28"/>
  <c r="AL64" i="28"/>
  <c r="AK64" i="28"/>
  <c r="AG64" i="28"/>
  <c r="AF64" i="28"/>
  <c r="AB64" i="28"/>
  <c r="AA64" i="28"/>
  <c r="T64" i="28"/>
  <c r="S64" i="28"/>
  <c r="R64" i="28"/>
  <c r="AM64" i="28" s="1"/>
  <c r="H64" i="28"/>
  <c r="G64" i="28"/>
  <c r="AR63" i="28"/>
  <c r="AL63" i="28"/>
  <c r="AK63" i="28"/>
  <c r="AG63" i="28"/>
  <c r="AF63" i="28"/>
  <c r="AB63" i="28"/>
  <c r="AA63" i="28"/>
  <c r="T63" i="28"/>
  <c r="S63" i="28"/>
  <c r="R63" i="28"/>
  <c r="AM63" i="28" s="1"/>
  <c r="H63" i="28"/>
  <c r="G63" i="28"/>
  <c r="AR62" i="28"/>
  <c r="AL62" i="28"/>
  <c r="AK62" i="28"/>
  <c r="AG62" i="28"/>
  <c r="AF62" i="28"/>
  <c r="AB62" i="28"/>
  <c r="AA62" i="28"/>
  <c r="T62" i="28"/>
  <c r="S62" i="28"/>
  <c r="R62" i="28"/>
  <c r="AM62" i="28" s="1"/>
  <c r="H62" i="28"/>
  <c r="G62" i="28"/>
  <c r="AR61" i="28"/>
  <c r="AL61" i="28"/>
  <c r="AK61" i="28"/>
  <c r="AG61" i="28"/>
  <c r="AF61" i="28"/>
  <c r="AB61" i="28"/>
  <c r="AA61" i="28"/>
  <c r="T61" i="28"/>
  <c r="S61" i="28"/>
  <c r="R61" i="28"/>
  <c r="AM61" i="28" s="1"/>
  <c r="H61" i="28"/>
  <c r="G61" i="28"/>
  <c r="AR60" i="28"/>
  <c r="AL60" i="28"/>
  <c r="AK60" i="28"/>
  <c r="AG60" i="28"/>
  <c r="AF60" i="28"/>
  <c r="AB60" i="28"/>
  <c r="AA60" i="28"/>
  <c r="T60" i="28"/>
  <c r="S60" i="28"/>
  <c r="R60" i="28"/>
  <c r="AM60" i="28" s="1"/>
  <c r="H60" i="28"/>
  <c r="G60" i="28"/>
  <c r="AR59" i="28"/>
  <c r="AL59" i="28"/>
  <c r="AK59" i="28"/>
  <c r="AG59" i="28"/>
  <c r="AF59" i="28"/>
  <c r="AB59" i="28"/>
  <c r="AA59" i="28"/>
  <c r="T59" i="28"/>
  <c r="S59" i="28"/>
  <c r="R59" i="28"/>
  <c r="AM59" i="28" s="1"/>
  <c r="H59" i="28"/>
  <c r="G59" i="28"/>
  <c r="AR58" i="28"/>
  <c r="AL58" i="28"/>
  <c r="AK58" i="28"/>
  <c r="AG58" i="28"/>
  <c r="AF58" i="28"/>
  <c r="AB58" i="28"/>
  <c r="AA58" i="28"/>
  <c r="T58" i="28"/>
  <c r="S58" i="28"/>
  <c r="R58" i="28"/>
  <c r="AM58" i="28" s="1"/>
  <c r="H58" i="28"/>
  <c r="G58" i="28"/>
  <c r="AR57" i="28"/>
  <c r="AL57" i="28"/>
  <c r="AK57" i="28"/>
  <c r="AG57" i="28"/>
  <c r="AF57" i="28"/>
  <c r="AB57" i="28"/>
  <c r="AA57" i="28"/>
  <c r="T57" i="28"/>
  <c r="S57" i="28"/>
  <c r="R57" i="28"/>
  <c r="AM57" i="28" s="1"/>
  <c r="H57" i="28"/>
  <c r="G57" i="28"/>
  <c r="AR56" i="28"/>
  <c r="AL56" i="28"/>
  <c r="AK56" i="28"/>
  <c r="AG56" i="28"/>
  <c r="AF56" i="28"/>
  <c r="AB56" i="28"/>
  <c r="AA56" i="28"/>
  <c r="T56" i="28"/>
  <c r="S56" i="28"/>
  <c r="R56" i="28"/>
  <c r="AM56" i="28" s="1"/>
  <c r="H56" i="28"/>
  <c r="G56" i="28"/>
  <c r="AR55" i="28"/>
  <c r="AL55" i="28"/>
  <c r="AK55" i="28"/>
  <c r="AG55" i="28"/>
  <c r="AF55" i="28"/>
  <c r="AB55" i="28"/>
  <c r="AA55" i="28"/>
  <c r="T55" i="28"/>
  <c r="S55" i="28"/>
  <c r="R55" i="28"/>
  <c r="AM55" i="28" s="1"/>
  <c r="H55" i="28"/>
  <c r="G55" i="28"/>
  <c r="AR54" i="28"/>
  <c r="AL54" i="28"/>
  <c r="AK54" i="28"/>
  <c r="AG54" i="28"/>
  <c r="AF54" i="28"/>
  <c r="AB54" i="28"/>
  <c r="AA54" i="28"/>
  <c r="T54" i="28"/>
  <c r="S54" i="28"/>
  <c r="R54" i="28"/>
  <c r="AM54" i="28" s="1"/>
  <c r="H54" i="28"/>
  <c r="G54" i="28"/>
  <c r="AR53" i="28"/>
  <c r="AL53" i="28"/>
  <c r="AK53" i="28"/>
  <c r="AG53" i="28"/>
  <c r="AF53" i="28"/>
  <c r="AB53" i="28"/>
  <c r="AA53" i="28"/>
  <c r="T53" i="28"/>
  <c r="S53" i="28"/>
  <c r="R53" i="28"/>
  <c r="AM53" i="28" s="1"/>
  <c r="H53" i="28"/>
  <c r="G53" i="28"/>
  <c r="AR52" i="28"/>
  <c r="AL52" i="28"/>
  <c r="AK52" i="28"/>
  <c r="AG52" i="28"/>
  <c r="AF52" i="28"/>
  <c r="AB52" i="28"/>
  <c r="AA52" i="28"/>
  <c r="T52" i="28"/>
  <c r="S52" i="28"/>
  <c r="R52" i="28"/>
  <c r="AM52" i="28" s="1"/>
  <c r="H52" i="28"/>
  <c r="G52" i="28"/>
  <c r="AR51" i="28"/>
  <c r="AL51" i="28"/>
  <c r="AK51" i="28"/>
  <c r="AG51" i="28"/>
  <c r="AF51" i="28"/>
  <c r="AB51" i="28"/>
  <c r="AA51" i="28"/>
  <c r="T51" i="28"/>
  <c r="S51" i="28"/>
  <c r="R51" i="28"/>
  <c r="AM51" i="28" s="1"/>
  <c r="H51" i="28"/>
  <c r="G51" i="28"/>
  <c r="AR50" i="28"/>
  <c r="AL50" i="28"/>
  <c r="AK50" i="28"/>
  <c r="AG50" i="28"/>
  <c r="AF50" i="28"/>
  <c r="AB50" i="28"/>
  <c r="AA50" i="28"/>
  <c r="T50" i="28"/>
  <c r="S50" i="28"/>
  <c r="R50" i="28"/>
  <c r="AM50" i="28" s="1"/>
  <c r="H50" i="28"/>
  <c r="G50" i="28"/>
  <c r="AR49" i="28"/>
  <c r="AL49" i="28"/>
  <c r="AK49" i="28"/>
  <c r="AG49" i="28"/>
  <c r="AF49" i="28"/>
  <c r="AB49" i="28"/>
  <c r="AA49" i="28"/>
  <c r="T49" i="28"/>
  <c r="S49" i="28"/>
  <c r="R49" i="28"/>
  <c r="AM49" i="28" s="1"/>
  <c r="H49" i="28"/>
  <c r="G49" i="28"/>
  <c r="AR48" i="28"/>
  <c r="AL48" i="28"/>
  <c r="AK48" i="28"/>
  <c r="AG48" i="28"/>
  <c r="AF48" i="28"/>
  <c r="AB48" i="28"/>
  <c r="AA48" i="28"/>
  <c r="T48" i="28"/>
  <c r="S48" i="28"/>
  <c r="R48" i="28"/>
  <c r="AM48" i="28" s="1"/>
  <c r="H48" i="28"/>
  <c r="G48" i="28"/>
  <c r="AR47" i="28"/>
  <c r="AL47" i="28"/>
  <c r="AK47" i="28"/>
  <c r="AG47" i="28"/>
  <c r="AF47" i="28"/>
  <c r="AB47" i="28"/>
  <c r="AA47" i="28"/>
  <c r="T47" i="28"/>
  <c r="S47" i="28"/>
  <c r="R47" i="28"/>
  <c r="AM47" i="28" s="1"/>
  <c r="H47" i="28"/>
  <c r="G47" i="28"/>
  <c r="AR46" i="28"/>
  <c r="AL46" i="28"/>
  <c r="AK46" i="28"/>
  <c r="AG46" i="28"/>
  <c r="AF46" i="28"/>
  <c r="AB46" i="28"/>
  <c r="AA46" i="28"/>
  <c r="T46" i="28"/>
  <c r="S46" i="28"/>
  <c r="R46" i="28"/>
  <c r="AM46" i="28" s="1"/>
  <c r="H46" i="28"/>
  <c r="G46" i="28"/>
  <c r="AR45" i="28"/>
  <c r="AL45" i="28"/>
  <c r="AK45" i="28"/>
  <c r="AG45" i="28"/>
  <c r="AF45" i="28"/>
  <c r="AB45" i="28"/>
  <c r="AA45" i="28"/>
  <c r="T45" i="28"/>
  <c r="S45" i="28"/>
  <c r="R45" i="28"/>
  <c r="AM45" i="28" s="1"/>
  <c r="H45" i="28"/>
  <c r="G45" i="28"/>
  <c r="AR44" i="28"/>
  <c r="AL44" i="28"/>
  <c r="AK44" i="28"/>
  <c r="AG44" i="28"/>
  <c r="AF44" i="28"/>
  <c r="AB44" i="28"/>
  <c r="AA44" i="28"/>
  <c r="T44" i="28"/>
  <c r="S44" i="28"/>
  <c r="R44" i="28"/>
  <c r="AM44" i="28" s="1"/>
  <c r="H44" i="28"/>
  <c r="G44" i="28"/>
  <c r="AR43" i="28"/>
  <c r="AL43" i="28"/>
  <c r="AK43" i="28"/>
  <c r="AG43" i="28"/>
  <c r="AF43" i="28"/>
  <c r="AB43" i="28"/>
  <c r="AA43" i="28"/>
  <c r="T43" i="28"/>
  <c r="S43" i="28"/>
  <c r="R43" i="28"/>
  <c r="AM43" i="28" s="1"/>
  <c r="H43" i="28"/>
  <c r="G43" i="28"/>
  <c r="AR42" i="28"/>
  <c r="AL42" i="28"/>
  <c r="AK42" i="28"/>
  <c r="AG42" i="28"/>
  <c r="AF42" i="28"/>
  <c r="AB42" i="28"/>
  <c r="AA42" i="28"/>
  <c r="T42" i="28"/>
  <c r="S42" i="28"/>
  <c r="R42" i="28"/>
  <c r="AM42" i="28" s="1"/>
  <c r="H42" i="28"/>
  <c r="G42" i="28"/>
  <c r="AR41" i="28"/>
  <c r="AL41" i="28"/>
  <c r="AK41" i="28"/>
  <c r="AG41" i="28"/>
  <c r="AF41" i="28"/>
  <c r="AB41" i="28"/>
  <c r="AA41" i="28"/>
  <c r="T41" i="28"/>
  <c r="S41" i="28"/>
  <c r="R41" i="28"/>
  <c r="AM41" i="28" s="1"/>
  <c r="H41" i="28"/>
  <c r="G41" i="28"/>
  <c r="AR40" i="28"/>
  <c r="AL40" i="28"/>
  <c r="AK40" i="28"/>
  <c r="AG40" i="28"/>
  <c r="AF40" i="28"/>
  <c r="AB40" i="28"/>
  <c r="AA40" i="28"/>
  <c r="T40" i="28"/>
  <c r="S40" i="28"/>
  <c r="R40" i="28"/>
  <c r="AM40" i="28" s="1"/>
  <c r="H40" i="28"/>
  <c r="G40" i="28"/>
  <c r="AR39" i="28"/>
  <c r="AL39" i="28"/>
  <c r="AK39" i="28"/>
  <c r="AG39" i="28"/>
  <c r="AF39" i="28"/>
  <c r="AB39" i="28"/>
  <c r="AA39" i="28"/>
  <c r="T39" i="28"/>
  <c r="S39" i="28"/>
  <c r="R39" i="28"/>
  <c r="AM39" i="28" s="1"/>
  <c r="H39" i="28"/>
  <c r="G39" i="28"/>
  <c r="AR38" i="28"/>
  <c r="AL38" i="28"/>
  <c r="AK38" i="28"/>
  <c r="AG38" i="28"/>
  <c r="AF38" i="28"/>
  <c r="AB38" i="28"/>
  <c r="AA38" i="28"/>
  <c r="T38" i="28"/>
  <c r="S38" i="28"/>
  <c r="R38" i="28"/>
  <c r="AM38" i="28" s="1"/>
  <c r="H38" i="28"/>
  <c r="G38" i="28"/>
  <c r="AR37" i="28"/>
  <c r="AL37" i="28"/>
  <c r="AK37" i="28"/>
  <c r="AG37" i="28"/>
  <c r="AF37" i="28"/>
  <c r="AB37" i="28"/>
  <c r="AA37" i="28"/>
  <c r="T37" i="28"/>
  <c r="S37" i="28"/>
  <c r="R37" i="28"/>
  <c r="AM37" i="28" s="1"/>
  <c r="H37" i="28"/>
  <c r="G37" i="28"/>
  <c r="AR36" i="28"/>
  <c r="AL36" i="28"/>
  <c r="AK36" i="28"/>
  <c r="AG36" i="28"/>
  <c r="AF36" i="28"/>
  <c r="AB36" i="28"/>
  <c r="AA36" i="28"/>
  <c r="T36" i="28"/>
  <c r="S36" i="28"/>
  <c r="R36" i="28"/>
  <c r="AM36" i="28" s="1"/>
  <c r="H36" i="28"/>
  <c r="G36" i="28"/>
  <c r="AR35" i="28"/>
  <c r="AL35" i="28"/>
  <c r="AK35" i="28"/>
  <c r="AG35" i="28"/>
  <c r="AF35" i="28"/>
  <c r="AB35" i="28"/>
  <c r="AA35" i="28"/>
  <c r="T35" i="28"/>
  <c r="S35" i="28"/>
  <c r="R35" i="28"/>
  <c r="AM35" i="28" s="1"/>
  <c r="H35" i="28"/>
  <c r="G35" i="28"/>
  <c r="AR34" i="28"/>
  <c r="AL34" i="28"/>
  <c r="AK34" i="28"/>
  <c r="AG34" i="28"/>
  <c r="AF34" i="28"/>
  <c r="AB34" i="28"/>
  <c r="AA34" i="28"/>
  <c r="T34" i="28"/>
  <c r="S34" i="28"/>
  <c r="R34" i="28"/>
  <c r="AM34" i="28" s="1"/>
  <c r="H34" i="28"/>
  <c r="G34" i="28"/>
  <c r="AR33" i="28"/>
  <c r="AL33" i="28"/>
  <c r="AK33" i="28"/>
  <c r="AG33" i="28"/>
  <c r="AF33" i="28"/>
  <c r="AB33" i="28"/>
  <c r="AA33" i="28"/>
  <c r="T33" i="28"/>
  <c r="S33" i="28"/>
  <c r="R33" i="28"/>
  <c r="AM33" i="28" s="1"/>
  <c r="H33" i="28"/>
  <c r="G33" i="28"/>
  <c r="AR32" i="28"/>
  <c r="AL32" i="28"/>
  <c r="AK32" i="28"/>
  <c r="AG32" i="28"/>
  <c r="AF32" i="28"/>
  <c r="AB32" i="28"/>
  <c r="AA32" i="28"/>
  <c r="T32" i="28"/>
  <c r="S32" i="28"/>
  <c r="R32" i="28"/>
  <c r="AM32" i="28" s="1"/>
  <c r="H32" i="28"/>
  <c r="G32" i="28"/>
  <c r="AR31" i="28"/>
  <c r="AL31" i="28"/>
  <c r="AK31" i="28"/>
  <c r="AG31" i="28"/>
  <c r="AF31" i="28"/>
  <c r="AB31" i="28"/>
  <c r="AA31" i="28"/>
  <c r="T31" i="28"/>
  <c r="S31" i="28"/>
  <c r="R31" i="28"/>
  <c r="AM31" i="28" s="1"/>
  <c r="H31" i="28"/>
  <c r="G31" i="28"/>
  <c r="AR30" i="28"/>
  <c r="AL30" i="28"/>
  <c r="AK30" i="28"/>
  <c r="AG30" i="28"/>
  <c r="AF30" i="28"/>
  <c r="AB30" i="28"/>
  <c r="AA30" i="28"/>
  <c r="T30" i="28"/>
  <c r="S30" i="28"/>
  <c r="R30" i="28"/>
  <c r="AM30" i="28" s="1"/>
  <c r="H30" i="28"/>
  <c r="G30" i="28"/>
  <c r="AR29" i="28"/>
  <c r="AL29" i="28"/>
  <c r="AK29" i="28"/>
  <c r="AG29" i="28"/>
  <c r="AF29" i="28"/>
  <c r="AB29" i="28"/>
  <c r="AA29" i="28"/>
  <c r="T29" i="28"/>
  <c r="S29" i="28"/>
  <c r="R29" i="28"/>
  <c r="AM29" i="28" s="1"/>
  <c r="H29" i="28"/>
  <c r="G29" i="28"/>
  <c r="AR28" i="28"/>
  <c r="AL28" i="28"/>
  <c r="AK28" i="28"/>
  <c r="AG28" i="28"/>
  <c r="AF28" i="28"/>
  <c r="AB28" i="28"/>
  <c r="AA28" i="28"/>
  <c r="T28" i="28"/>
  <c r="S28" i="28"/>
  <c r="R28" i="28"/>
  <c r="AM28" i="28" s="1"/>
  <c r="H28" i="28"/>
  <c r="G28" i="28"/>
  <c r="AR27" i="28"/>
  <c r="AL27" i="28"/>
  <c r="AK27" i="28"/>
  <c r="AG27" i="28"/>
  <c r="AF27" i="28"/>
  <c r="AB27" i="28"/>
  <c r="AA27" i="28"/>
  <c r="T27" i="28"/>
  <c r="S27" i="28"/>
  <c r="R27" i="28"/>
  <c r="AM27" i="28" s="1"/>
  <c r="H27" i="28"/>
  <c r="G27" i="28"/>
  <c r="AR26" i="28"/>
  <c r="AL26" i="28"/>
  <c r="AK26" i="28"/>
  <c r="AG26" i="28"/>
  <c r="AF26" i="28"/>
  <c r="AB26" i="28"/>
  <c r="AA26" i="28"/>
  <c r="T26" i="28"/>
  <c r="S26" i="28"/>
  <c r="R26" i="28"/>
  <c r="AM26" i="28" s="1"/>
  <c r="H26" i="28"/>
  <c r="G26" i="28"/>
  <c r="AR25" i="28"/>
  <c r="AL25" i="28"/>
  <c r="AK25" i="28"/>
  <c r="AG25" i="28"/>
  <c r="AF25" i="28"/>
  <c r="AB25" i="28"/>
  <c r="AA25" i="28"/>
  <c r="T25" i="28"/>
  <c r="S25" i="28"/>
  <c r="R25" i="28"/>
  <c r="AM25" i="28" s="1"/>
  <c r="H25" i="28"/>
  <c r="G25" i="28"/>
  <c r="AR24" i="28"/>
  <c r="AL24" i="28"/>
  <c r="AK24" i="28"/>
  <c r="AG24" i="28"/>
  <c r="AF24" i="28"/>
  <c r="AB24" i="28"/>
  <c r="AA24" i="28"/>
  <c r="T24" i="28"/>
  <c r="S24" i="28"/>
  <c r="R24" i="28"/>
  <c r="AM24" i="28" s="1"/>
  <c r="H24" i="28"/>
  <c r="G24" i="28"/>
  <c r="AR23" i="28"/>
  <c r="AL23" i="28"/>
  <c r="AK23" i="28"/>
  <c r="AG23" i="28"/>
  <c r="AF23" i="28"/>
  <c r="AB23" i="28"/>
  <c r="AA23" i="28"/>
  <c r="T23" i="28"/>
  <c r="S23" i="28"/>
  <c r="R23" i="28"/>
  <c r="AM23" i="28" s="1"/>
  <c r="H23" i="28"/>
  <c r="G23" i="28"/>
  <c r="AR22" i="28"/>
  <c r="AL22" i="28"/>
  <c r="AK22" i="28"/>
  <c r="AG22" i="28"/>
  <c r="AF22" i="28"/>
  <c r="AB22" i="28"/>
  <c r="AA22" i="28"/>
  <c r="T22" i="28"/>
  <c r="S22" i="28"/>
  <c r="R22" i="28"/>
  <c r="AM22" i="28" s="1"/>
  <c r="H22" i="28"/>
  <c r="G22" i="28"/>
  <c r="AR21" i="28"/>
  <c r="AL21" i="28"/>
  <c r="AK21" i="28"/>
  <c r="AG21" i="28"/>
  <c r="AF21" i="28"/>
  <c r="AB21" i="28"/>
  <c r="AA21" i="28"/>
  <c r="T21" i="28"/>
  <c r="S21" i="28"/>
  <c r="R21" i="28"/>
  <c r="AM21" i="28" s="1"/>
  <c r="H21" i="28"/>
  <c r="G21" i="28"/>
  <c r="AR20" i="28"/>
  <c r="AL20" i="28"/>
  <c r="AK20" i="28"/>
  <c r="AG20" i="28"/>
  <c r="AF20" i="28"/>
  <c r="AB20" i="28"/>
  <c r="AA20" i="28"/>
  <c r="T20" i="28"/>
  <c r="S20" i="28"/>
  <c r="R20" i="28"/>
  <c r="AM20" i="28" s="1"/>
  <c r="H20" i="28"/>
  <c r="G20" i="28"/>
  <c r="AR19" i="28"/>
  <c r="AL19" i="28"/>
  <c r="AK19" i="28"/>
  <c r="AG19" i="28"/>
  <c r="AF19" i="28"/>
  <c r="AB19" i="28"/>
  <c r="AA19" i="28"/>
  <c r="T19" i="28"/>
  <c r="S19" i="28"/>
  <c r="R19" i="28"/>
  <c r="AM19" i="28" s="1"/>
  <c r="H19" i="28"/>
  <c r="G19" i="28"/>
  <c r="AR18" i="28"/>
  <c r="AL18" i="28"/>
  <c r="AK18" i="28"/>
  <c r="AG18" i="28"/>
  <c r="AF18" i="28"/>
  <c r="AB18" i="28"/>
  <c r="AA18" i="28"/>
  <c r="T18" i="28"/>
  <c r="S18" i="28"/>
  <c r="R18" i="28"/>
  <c r="AM18" i="28" s="1"/>
  <c r="H18" i="28"/>
  <c r="G18" i="28"/>
  <c r="AR17" i="28"/>
  <c r="AL17" i="28"/>
  <c r="AK17" i="28"/>
  <c r="AG17" i="28"/>
  <c r="AF17" i="28"/>
  <c r="AB17" i="28"/>
  <c r="AA17" i="28"/>
  <c r="T17" i="28"/>
  <c r="S17" i="28"/>
  <c r="R17" i="28"/>
  <c r="AM17" i="28" s="1"/>
  <c r="H17" i="28"/>
  <c r="G17" i="28"/>
  <c r="AR16" i="28"/>
  <c r="AL16" i="28"/>
  <c r="AK16" i="28"/>
  <c r="AG16" i="28"/>
  <c r="AF16" i="28"/>
  <c r="AB16" i="28"/>
  <c r="AA16" i="28"/>
  <c r="T16" i="28"/>
  <c r="S16" i="28"/>
  <c r="R16" i="28"/>
  <c r="AM16" i="28" s="1"/>
  <c r="H16" i="28"/>
  <c r="G16" i="28"/>
  <c r="AR15" i="28"/>
  <c r="AL15" i="28"/>
  <c r="AK15" i="28"/>
  <c r="AG15" i="28"/>
  <c r="AF15" i="28"/>
  <c r="AB15" i="28"/>
  <c r="AA15" i="28"/>
  <c r="T15" i="28"/>
  <c r="S15" i="28"/>
  <c r="R15" i="28"/>
  <c r="AM15" i="28" s="1"/>
  <c r="H15" i="28"/>
  <c r="G15" i="28"/>
  <c r="AR14" i="28"/>
  <c r="AL14" i="28"/>
  <c r="AK14" i="28"/>
  <c r="AG14" i="28"/>
  <c r="AF14" i="28"/>
  <c r="AB14" i="28"/>
  <c r="AA14" i="28"/>
  <c r="T14" i="28"/>
  <c r="S14" i="28"/>
  <c r="R14" i="28"/>
  <c r="AM14" i="28" s="1"/>
  <c r="H14" i="28"/>
  <c r="G14" i="28"/>
  <c r="AR13" i="28"/>
  <c r="AL13" i="28"/>
  <c r="AK13" i="28"/>
  <c r="AG13" i="28"/>
  <c r="AF13" i="28"/>
  <c r="AB13" i="28"/>
  <c r="AA13" i="28"/>
  <c r="T13" i="28"/>
  <c r="S13" i="28"/>
  <c r="R13" i="28"/>
  <c r="AM13" i="28" s="1"/>
  <c r="H13" i="28"/>
  <c r="G13" i="28"/>
  <c r="AR12" i="28"/>
  <c r="AL12" i="28"/>
  <c r="AK12" i="28"/>
  <c r="AG12" i="28"/>
  <c r="AF12" i="28"/>
  <c r="AB12" i="28"/>
  <c r="AA12" i="28"/>
  <c r="T12" i="28"/>
  <c r="S12" i="28"/>
  <c r="R12" i="28"/>
  <c r="AM12" i="28" s="1"/>
  <c r="H12" i="28"/>
  <c r="G12" i="28"/>
  <c r="AR11" i="28"/>
  <c r="AL11" i="28"/>
  <c r="AK11" i="28"/>
  <c r="AG11" i="28"/>
  <c r="AF11" i="28"/>
  <c r="AB11" i="28"/>
  <c r="AA11" i="28"/>
  <c r="T11" i="28"/>
  <c r="S11" i="28"/>
  <c r="R11" i="28"/>
  <c r="AM11" i="28" s="1"/>
  <c r="H11" i="28"/>
  <c r="G11" i="28"/>
  <c r="AR10" i="28"/>
  <c r="AL10" i="28"/>
  <c r="AK10" i="28"/>
  <c r="AG10" i="28"/>
  <c r="AF10" i="28"/>
  <c r="AB10" i="28"/>
  <c r="AA10" i="28"/>
  <c r="T10" i="28"/>
  <c r="S10" i="28"/>
  <c r="R10" i="28"/>
  <c r="AM10" i="28" s="1"/>
  <c r="H10" i="28"/>
  <c r="G10" i="28"/>
  <c r="AR9" i="28"/>
  <c r="AL9" i="28"/>
  <c r="AK9" i="28"/>
  <c r="AG9" i="28"/>
  <c r="AF9" i="28"/>
  <c r="AB9" i="28"/>
  <c r="AA9" i="28"/>
  <c r="T9" i="28"/>
  <c r="S9" i="28"/>
  <c r="R9" i="28"/>
  <c r="AM9" i="28" s="1"/>
  <c r="H9" i="28"/>
  <c r="G9" i="28"/>
  <c r="AR8" i="28"/>
  <c r="AL8" i="28"/>
  <c r="AK8" i="28"/>
  <c r="AG8" i="28"/>
  <c r="AF8" i="28"/>
  <c r="AB8" i="28"/>
  <c r="AA8" i="28"/>
  <c r="T8" i="28"/>
  <c r="S8" i="28"/>
  <c r="R8" i="28"/>
  <c r="AM8" i="28" s="1"/>
  <c r="H8" i="28"/>
  <c r="G8" i="28"/>
  <c r="AR7" i="28"/>
  <c r="AL7" i="28"/>
  <c r="AK7" i="28"/>
  <c r="AG7" i="28"/>
  <c r="AF7" i="28"/>
  <c r="AB7" i="28"/>
  <c r="AA7" i="28"/>
  <c r="T7" i="28"/>
  <c r="S7" i="28"/>
  <c r="R7" i="28"/>
  <c r="AM7" i="28" s="1"/>
  <c r="H7" i="28"/>
  <c r="G7" i="28"/>
  <c r="AR6" i="28"/>
  <c r="AL6" i="28"/>
  <c r="AK6" i="28"/>
  <c r="AG6" i="28"/>
  <c r="AF6" i="28"/>
  <c r="AB6" i="28"/>
  <c r="AA6" i="28"/>
  <c r="T6" i="28"/>
  <c r="S6" i="28"/>
  <c r="R6" i="28"/>
  <c r="AM6" i="28" s="1"/>
  <c r="H6" i="28"/>
  <c r="G6" i="28"/>
  <c r="B6" i="28"/>
  <c r="B8" i="28" s="1"/>
  <c r="A6" i="28"/>
  <c r="AR5" i="28"/>
  <c r="AL5" i="28"/>
  <c r="AK5" i="28"/>
  <c r="AG5" i="28"/>
  <c r="AF5" i="28"/>
  <c r="AB5" i="28"/>
  <c r="AA5" i="28"/>
  <c r="T5" i="28"/>
  <c r="S5" i="28"/>
  <c r="R5" i="28"/>
  <c r="AM5" i="28" s="1"/>
  <c r="H5" i="28"/>
  <c r="G5" i="28"/>
  <c r="B5" i="28"/>
  <c r="A5" i="28" s="1"/>
  <c r="AR4" i="28"/>
  <c r="AL4" i="28"/>
  <c r="AK4" i="28"/>
  <c r="AG4" i="28"/>
  <c r="AF4" i="28"/>
  <c r="AB4" i="28"/>
  <c r="AA4" i="28"/>
  <c r="T4" i="28"/>
  <c r="S4" i="28"/>
  <c r="R4" i="28"/>
  <c r="AM4" i="28" s="1"/>
  <c r="H4" i="28"/>
  <c r="G4" i="28"/>
  <c r="A4" i="28"/>
  <c r="AP1" i="28"/>
  <c r="AS17" i="19"/>
  <c r="AN64" i="28" l="1"/>
  <c r="M12" i="1"/>
  <c r="N12" i="1" s="1"/>
  <c r="M7" i="1"/>
  <c r="N7" i="1" s="1"/>
  <c r="AN8" i="28"/>
  <c r="AN9" i="28"/>
  <c r="AP66" i="30"/>
  <c r="AO5" i="28"/>
  <c r="AN5" i="28"/>
  <c r="B10" i="28"/>
  <c r="B12" i="28" s="1"/>
  <c r="A8" i="28"/>
  <c r="AO56" i="28"/>
  <c r="AO57" i="28"/>
  <c r="AO59" i="28"/>
  <c r="AN60" i="28"/>
  <c r="AN62" i="28"/>
  <c r="AN63" i="28"/>
  <c r="AO64" i="28"/>
  <c r="AP64" i="28" s="1"/>
  <c r="AO60" i="28"/>
  <c r="AO61" i="28"/>
  <c r="AO63" i="28"/>
  <c r="AN56" i="28"/>
  <c r="AN57" i="28"/>
  <c r="AN58" i="28"/>
  <c r="AN59" i="28"/>
  <c r="AO65" i="28"/>
  <c r="AN42" i="28"/>
  <c r="AO53" i="28"/>
  <c r="AO54" i="28"/>
  <c r="AO55" i="28"/>
  <c r="AN43" i="28"/>
  <c r="AO43" i="28"/>
  <c r="AN44" i="28"/>
  <c r="AN46" i="28"/>
  <c r="AO45" i="28"/>
  <c r="AO46" i="28"/>
  <c r="AO47" i="28"/>
  <c r="AN48" i="28"/>
  <c r="AN50" i="28"/>
  <c r="AN51" i="28"/>
  <c r="AO48" i="28"/>
  <c r="AO49" i="28"/>
  <c r="AO51" i="28"/>
  <c r="AN52" i="28"/>
  <c r="AN54" i="28"/>
  <c r="AP54" i="28" s="1"/>
  <c r="AO41" i="28"/>
  <c r="AO35" i="28"/>
  <c r="AN40" i="28"/>
  <c r="AN36" i="28"/>
  <c r="AN38" i="28"/>
  <c r="AO28" i="28"/>
  <c r="AO29" i="28"/>
  <c r="AO40" i="28"/>
  <c r="AN41" i="28"/>
  <c r="AO33" i="28"/>
  <c r="AN32" i="28"/>
  <c r="AN29" i="28"/>
  <c r="AN30" i="28"/>
  <c r="AN31" i="28"/>
  <c r="AO37" i="28"/>
  <c r="AO38" i="28"/>
  <c r="AO39" i="28"/>
  <c r="AO32" i="28"/>
  <c r="AN33" i="28"/>
  <c r="AN34" i="28"/>
  <c r="AN35" i="28"/>
  <c r="AN28" i="28"/>
  <c r="A11" i="30"/>
  <c r="B13" i="30"/>
  <c r="A12" i="30"/>
  <c r="B14" i="30"/>
  <c r="A12" i="29"/>
  <c r="B14" i="29"/>
  <c r="A11" i="29"/>
  <c r="B13" i="29"/>
  <c r="AO22" i="28"/>
  <c r="AN23" i="28"/>
  <c r="AO21" i="28"/>
  <c r="AN25" i="28"/>
  <c r="AN26" i="28"/>
  <c r="AN27" i="28"/>
  <c r="AN4" i="28"/>
  <c r="AO10" i="28"/>
  <c r="AN12" i="28"/>
  <c r="AN13" i="28"/>
  <c r="AN6" i="28"/>
  <c r="AN7" i="28"/>
  <c r="AO14" i="28"/>
  <c r="AO15" i="28"/>
  <c r="AN16" i="28"/>
  <c r="AN17" i="28"/>
  <c r="AO11" i="28"/>
  <c r="AO24" i="28"/>
  <c r="AO20" i="28"/>
  <c r="AO12" i="28"/>
  <c r="AO13" i="28"/>
  <c r="AN14" i="28"/>
  <c r="AN15" i="28"/>
  <c r="AO7" i="28"/>
  <c r="AO9" i="28"/>
  <c r="AN10" i="28"/>
  <c r="AN11" i="28"/>
  <c r="AO16" i="28"/>
  <c r="AO17" i="28"/>
  <c r="AN18" i="28"/>
  <c r="AN19" i="28"/>
  <c r="AN20" i="28"/>
  <c r="AO23" i="28"/>
  <c r="AN24" i="28"/>
  <c r="AO25" i="28"/>
  <c r="AO18" i="28"/>
  <c r="AO4" i="28"/>
  <c r="AO6" i="28"/>
  <c r="AO8" i="28"/>
  <c r="AM66" i="28"/>
  <c r="H20" i="1" s="1"/>
  <c r="B7" i="28"/>
  <c r="AO19" i="28"/>
  <c r="AP19" i="28" s="1"/>
  <c r="AN21" i="28"/>
  <c r="AN22" i="28"/>
  <c r="AO26" i="28"/>
  <c r="AO27" i="28"/>
  <c r="AO34" i="28"/>
  <c r="AO36" i="28"/>
  <c r="AN37" i="28"/>
  <c r="AN39" i="28"/>
  <c r="AO50" i="28"/>
  <c r="AO52" i="28"/>
  <c r="AN53" i="28"/>
  <c r="AN55" i="28"/>
  <c r="AN49" i="28"/>
  <c r="AO62" i="28"/>
  <c r="AN65" i="28"/>
  <c r="AO30" i="28"/>
  <c r="AO31" i="28"/>
  <c r="AO42" i="28"/>
  <c r="AP42" i="28" s="1"/>
  <c r="AO44" i="28"/>
  <c r="AN45" i="28"/>
  <c r="AN47" i="28"/>
  <c r="AO58" i="28"/>
  <c r="AN61" i="28"/>
  <c r="R4" i="2"/>
  <c r="S4" i="2"/>
  <c r="T4" i="2"/>
  <c r="R5" i="2"/>
  <c r="S5" i="2"/>
  <c r="T5" i="2"/>
  <c r="R6" i="2"/>
  <c r="S6" i="2"/>
  <c r="T6" i="2"/>
  <c r="R7" i="2"/>
  <c r="S7" i="2"/>
  <c r="T7" i="2"/>
  <c r="R8" i="2"/>
  <c r="S8" i="2"/>
  <c r="T8" i="2"/>
  <c r="R9" i="2"/>
  <c r="S9" i="2"/>
  <c r="T9" i="2"/>
  <c r="R10" i="2"/>
  <c r="S10" i="2"/>
  <c r="T10" i="2"/>
  <c r="R11" i="2"/>
  <c r="S11" i="2"/>
  <c r="T11" i="2"/>
  <c r="R12" i="2"/>
  <c r="S12" i="2"/>
  <c r="T12" i="2"/>
  <c r="R13" i="2"/>
  <c r="S13" i="2"/>
  <c r="T13" i="2"/>
  <c r="R14" i="2"/>
  <c r="S14" i="2"/>
  <c r="T14" i="2"/>
  <c r="R15" i="2"/>
  <c r="S15" i="2"/>
  <c r="T15" i="2"/>
  <c r="R16" i="2"/>
  <c r="S16" i="2"/>
  <c r="T16" i="2"/>
  <c r="R17" i="2"/>
  <c r="S17" i="2"/>
  <c r="T17" i="2"/>
  <c r="R18" i="2"/>
  <c r="S18" i="2"/>
  <c r="T18" i="2"/>
  <c r="R19" i="2"/>
  <c r="S19" i="2"/>
  <c r="T19" i="2"/>
  <c r="R20" i="2"/>
  <c r="S20" i="2"/>
  <c r="T20" i="2"/>
  <c r="R21" i="2"/>
  <c r="S21" i="2"/>
  <c r="T21" i="2"/>
  <c r="R22" i="2"/>
  <c r="S22" i="2"/>
  <c r="T22" i="2"/>
  <c r="R23" i="2"/>
  <c r="S23" i="2"/>
  <c r="T23" i="2"/>
  <c r="R24" i="2"/>
  <c r="S24" i="2"/>
  <c r="T24" i="2"/>
  <c r="R25" i="2"/>
  <c r="S25" i="2"/>
  <c r="T25" i="2"/>
  <c r="R26" i="2"/>
  <c r="S26" i="2"/>
  <c r="T26" i="2"/>
  <c r="R27" i="2"/>
  <c r="S27" i="2"/>
  <c r="T27" i="2"/>
  <c r="R28" i="2"/>
  <c r="S28" i="2"/>
  <c r="T28" i="2"/>
  <c r="R29" i="2"/>
  <c r="S29" i="2"/>
  <c r="T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R35" i="2"/>
  <c r="S35" i="2"/>
  <c r="T35" i="2"/>
  <c r="R36" i="2"/>
  <c r="S36" i="2"/>
  <c r="T36" i="2"/>
  <c r="R37" i="2"/>
  <c r="S37" i="2"/>
  <c r="T37" i="2"/>
  <c r="R38" i="2"/>
  <c r="S38" i="2"/>
  <c r="T38" i="2"/>
  <c r="R39" i="2"/>
  <c r="S39" i="2"/>
  <c r="T39" i="2"/>
  <c r="R40" i="2"/>
  <c r="S40" i="2"/>
  <c r="T40" i="2"/>
  <c r="R41" i="2"/>
  <c r="S41" i="2"/>
  <c r="T41" i="2"/>
  <c r="R42" i="2"/>
  <c r="S42" i="2"/>
  <c r="T42" i="2"/>
  <c r="R43" i="2"/>
  <c r="S43" i="2"/>
  <c r="T43" i="2"/>
  <c r="R44" i="2"/>
  <c r="S44" i="2"/>
  <c r="T44" i="2"/>
  <c r="R45" i="2"/>
  <c r="S45" i="2"/>
  <c r="T45" i="2"/>
  <c r="R46" i="2"/>
  <c r="S46" i="2"/>
  <c r="T46" i="2"/>
  <c r="R47" i="2"/>
  <c r="S47" i="2"/>
  <c r="T47" i="2"/>
  <c r="R48" i="2"/>
  <c r="S48" i="2"/>
  <c r="T48" i="2"/>
  <c r="R49" i="2"/>
  <c r="S49" i="2"/>
  <c r="T49" i="2"/>
  <c r="R50" i="2"/>
  <c r="S50" i="2"/>
  <c r="T50" i="2"/>
  <c r="R51" i="2"/>
  <c r="S51" i="2"/>
  <c r="T51" i="2"/>
  <c r="R52" i="2"/>
  <c r="S52" i="2"/>
  <c r="T52" i="2"/>
  <c r="R53" i="2"/>
  <c r="S53" i="2"/>
  <c r="T53" i="2"/>
  <c r="R54" i="2"/>
  <c r="S54" i="2"/>
  <c r="T54" i="2"/>
  <c r="R55" i="2"/>
  <c r="S55" i="2"/>
  <c r="T55" i="2"/>
  <c r="R56" i="2"/>
  <c r="S56" i="2"/>
  <c r="T56" i="2"/>
  <c r="R57" i="2"/>
  <c r="S57" i="2"/>
  <c r="T57" i="2"/>
  <c r="R58" i="2"/>
  <c r="S58" i="2"/>
  <c r="T58" i="2"/>
  <c r="R59" i="2"/>
  <c r="S59" i="2"/>
  <c r="T59" i="2"/>
  <c r="R60" i="2"/>
  <c r="S60" i="2"/>
  <c r="T60" i="2"/>
  <c r="R61" i="2"/>
  <c r="S61" i="2"/>
  <c r="T61" i="2"/>
  <c r="R62" i="2"/>
  <c r="S62" i="2"/>
  <c r="T62" i="2"/>
  <c r="R63" i="2"/>
  <c r="S63" i="2"/>
  <c r="T63" i="2"/>
  <c r="R64" i="2"/>
  <c r="S64" i="2"/>
  <c r="T64" i="2"/>
  <c r="R65" i="2"/>
  <c r="S65" i="2"/>
  <c r="T65" i="2"/>
  <c r="AS55" i="14"/>
  <c r="AP35" i="28" l="1"/>
  <c r="A10" i="28"/>
  <c r="AP59" i="28"/>
  <c r="AP38" i="28"/>
  <c r="AP5" i="28"/>
  <c r="AP23" i="28"/>
  <c r="AP8" i="28"/>
  <c r="AP12" i="28"/>
  <c r="AP50" i="28"/>
  <c r="AP45" i="28"/>
  <c r="AP57" i="28"/>
  <c r="AP51" i="28"/>
  <c r="AP43" i="28"/>
  <c r="AP58" i="28"/>
  <c r="AP62" i="28"/>
  <c r="AP63" i="28"/>
  <c r="AP10" i="28"/>
  <c r="AP60" i="28"/>
  <c r="AP7" i="28"/>
  <c r="AP21" i="28"/>
  <c r="AP18" i="28"/>
  <c r="AP56" i="28"/>
  <c r="AP61" i="28"/>
  <c r="AP37" i="28"/>
  <c r="AP4" i="28"/>
  <c r="AP65" i="28"/>
  <c r="AP55" i="28"/>
  <c r="AP44" i="28"/>
  <c r="AP53" i="28"/>
  <c r="AP47" i="28"/>
  <c r="AP48" i="28"/>
  <c r="AP46" i="28"/>
  <c r="AP49" i="28"/>
  <c r="AP41" i="28"/>
  <c r="AP33" i="28"/>
  <c r="AP40" i="28"/>
  <c r="AP36" i="28"/>
  <c r="AP28" i="28"/>
  <c r="AP29" i="28"/>
  <c r="AP32" i="28"/>
  <c r="AP39" i="28"/>
  <c r="AP30" i="28"/>
  <c r="AP31" i="28"/>
  <c r="B16" i="30"/>
  <c r="A14" i="30"/>
  <c r="A13" i="30"/>
  <c r="B15" i="30"/>
  <c r="A13" i="29"/>
  <c r="B15" i="29"/>
  <c r="B16" i="29"/>
  <c r="A14" i="29"/>
  <c r="AP25" i="28"/>
  <c r="AP14" i="28"/>
  <c r="AP20" i="28"/>
  <c r="AP16" i="28"/>
  <c r="AP15" i="28"/>
  <c r="AP13" i="28"/>
  <c r="AP6" i="28"/>
  <c r="AP11" i="28"/>
  <c r="AP9" i="28"/>
  <c r="AP17" i="28"/>
  <c r="AP24" i="28"/>
  <c r="AP27" i="28"/>
  <c r="AP22" i="28"/>
  <c r="AP34" i="28"/>
  <c r="A7" i="28"/>
  <c r="B9" i="28"/>
  <c r="AP52" i="28"/>
  <c r="AP26" i="28"/>
  <c r="A12" i="28"/>
  <c r="B14" i="28"/>
  <c r="AO66" i="28"/>
  <c r="J20" i="1" s="1"/>
  <c r="AN66" i="28"/>
  <c r="I20" i="1" s="1"/>
  <c r="M20" i="1" l="1"/>
  <c r="N20" i="1" s="1"/>
  <c r="A16" i="30"/>
  <c r="B18" i="30"/>
  <c r="A15" i="30"/>
  <c r="B17" i="30"/>
  <c r="A15" i="29"/>
  <c r="B17" i="29"/>
  <c r="A16" i="29"/>
  <c r="B18" i="29"/>
  <c r="AP66" i="28"/>
  <c r="B16" i="28"/>
  <c r="A14" i="28"/>
  <c r="A9" i="28"/>
  <c r="B11" i="28"/>
  <c r="A17" i="30" l="1"/>
  <c r="B19" i="30"/>
  <c r="B20" i="30"/>
  <c r="A18" i="30"/>
  <c r="B20" i="29"/>
  <c r="A18" i="29"/>
  <c r="B19" i="29"/>
  <c r="A17" i="29"/>
  <c r="A11" i="28"/>
  <c r="B13" i="28"/>
  <c r="A16" i="28"/>
  <c r="B18" i="28"/>
  <c r="AS27" i="14"/>
  <c r="B22" i="30" l="1"/>
  <c r="A20" i="30"/>
  <c r="A19" i="30"/>
  <c r="B21" i="30"/>
  <c r="B22" i="29"/>
  <c r="A20" i="29"/>
  <c r="A19" i="29"/>
  <c r="B21" i="29"/>
  <c r="A18" i="28"/>
  <c r="B20" i="28"/>
  <c r="A13" i="28"/>
  <c r="B15" i="28"/>
  <c r="AS41" i="11"/>
  <c r="AS41" i="12"/>
  <c r="AS41" i="14"/>
  <c r="A21" i="30" l="1"/>
  <c r="B23" i="30"/>
  <c r="B24" i="30"/>
  <c r="A22" i="30"/>
  <c r="A22" i="29"/>
  <c r="B24" i="29"/>
  <c r="B23" i="29"/>
  <c r="A21" i="29"/>
  <c r="A20" i="28"/>
  <c r="B22" i="28"/>
  <c r="A15" i="28"/>
  <c r="B17" i="28"/>
  <c r="B26" i="30" l="1"/>
  <c r="A24" i="30"/>
  <c r="A23" i="30"/>
  <c r="B25" i="30"/>
  <c r="A23" i="29"/>
  <c r="B25" i="29"/>
  <c r="B26" i="29"/>
  <c r="A24" i="29"/>
  <c r="B19" i="28"/>
  <c r="A17" i="28"/>
  <c r="B24" i="28"/>
  <c r="A22" i="28"/>
  <c r="A25" i="30" l="1"/>
  <c r="B27" i="30"/>
  <c r="A26" i="30"/>
  <c r="B28" i="30"/>
  <c r="A25" i="29"/>
  <c r="B27" i="29"/>
  <c r="A26" i="29"/>
  <c r="B28" i="29"/>
  <c r="A24" i="28"/>
  <c r="B26" i="28"/>
  <c r="B21" i="28"/>
  <c r="A19" i="28"/>
  <c r="G28" i="21"/>
  <c r="H28" i="21"/>
  <c r="G29" i="21"/>
  <c r="H29" i="21"/>
  <c r="G30" i="21"/>
  <c r="H30" i="21"/>
  <c r="G31" i="21"/>
  <c r="H31" i="21"/>
  <c r="G32" i="21"/>
  <c r="H32" i="21"/>
  <c r="G33" i="21"/>
  <c r="H33" i="21"/>
  <c r="G34" i="21"/>
  <c r="H34" i="21"/>
  <c r="G35" i="21"/>
  <c r="H35" i="21"/>
  <c r="G36" i="21"/>
  <c r="H36" i="21"/>
  <c r="G37" i="21"/>
  <c r="H37" i="21"/>
  <c r="B30" i="30" l="1"/>
  <c r="A28" i="30"/>
  <c r="A27" i="30"/>
  <c r="B29" i="30"/>
  <c r="B30" i="29"/>
  <c r="A28" i="29"/>
  <c r="B29" i="29"/>
  <c r="A27" i="29"/>
  <c r="B23" i="28"/>
  <c r="A21" i="28"/>
  <c r="B28" i="28"/>
  <c r="A26" i="28"/>
  <c r="A29" i="30" l="1"/>
  <c r="B31" i="30"/>
  <c r="A30" i="30"/>
  <c r="B32" i="30"/>
  <c r="A29" i="29"/>
  <c r="B31" i="29"/>
  <c r="B32" i="29"/>
  <c r="A30" i="29"/>
  <c r="A23" i="28"/>
  <c r="B25" i="28"/>
  <c r="A28" i="28"/>
  <c r="B30" i="28"/>
  <c r="B34" i="30" l="1"/>
  <c r="A32" i="30"/>
  <c r="A31" i="30"/>
  <c r="B33" i="30"/>
  <c r="B33" i="29"/>
  <c r="A31" i="29"/>
  <c r="A32" i="29"/>
  <c r="B34" i="29"/>
  <c r="B32" i="28"/>
  <c r="A30" i="28"/>
  <c r="B27" i="28"/>
  <c r="A25" i="28"/>
  <c r="AS27" i="11"/>
  <c r="A33" i="30" l="1"/>
  <c r="B35" i="30"/>
  <c r="A34" i="30"/>
  <c r="B36" i="30"/>
  <c r="A33" i="29"/>
  <c r="B35" i="29"/>
  <c r="B36" i="29"/>
  <c r="A34" i="29"/>
  <c r="A27" i="28"/>
  <c r="B29" i="28"/>
  <c r="B34" i="28"/>
  <c r="A32" i="28"/>
  <c r="R4" i="13"/>
  <c r="R5" i="13"/>
  <c r="R6" i="13"/>
  <c r="R7" i="13"/>
  <c r="R8" i="13"/>
  <c r="R9" i="13"/>
  <c r="R10" i="13"/>
  <c r="R11" i="13"/>
  <c r="R12" i="13"/>
  <c r="R13" i="13"/>
  <c r="B38" i="30" l="1"/>
  <c r="A36" i="30"/>
  <c r="A35" i="30"/>
  <c r="B37" i="30"/>
  <c r="A36" i="29"/>
  <c r="B38" i="29"/>
  <c r="A35" i="29"/>
  <c r="B37" i="29"/>
  <c r="B31" i="28"/>
  <c r="A29" i="28"/>
  <c r="B36" i="28"/>
  <c r="A34" i="28"/>
  <c r="M49" i="1"/>
  <c r="N49" i="1" s="1"/>
  <c r="A37" i="30" l="1"/>
  <c r="B39" i="30"/>
  <c r="A38" i="30"/>
  <c r="B40" i="30"/>
  <c r="A37" i="29"/>
  <c r="B39" i="29"/>
  <c r="B40" i="29"/>
  <c r="A38" i="29"/>
  <c r="B38" i="28"/>
  <c r="A36" i="28"/>
  <c r="A31" i="28"/>
  <c r="B33" i="28"/>
  <c r="R5" i="26"/>
  <c r="S5" i="26"/>
  <c r="T5" i="26"/>
  <c r="AA5" i="26"/>
  <c r="AB5" i="26"/>
  <c r="AF5" i="26"/>
  <c r="AG5" i="26"/>
  <c r="R6" i="26"/>
  <c r="S6" i="26"/>
  <c r="T6" i="26"/>
  <c r="AA6" i="26"/>
  <c r="AB6" i="26"/>
  <c r="AF6" i="26"/>
  <c r="AG6" i="26"/>
  <c r="R7" i="26"/>
  <c r="S7" i="26"/>
  <c r="T7" i="26"/>
  <c r="AA7" i="26"/>
  <c r="AB7" i="26"/>
  <c r="AF7" i="26"/>
  <c r="AG7" i="26"/>
  <c r="R8" i="26"/>
  <c r="S8" i="26"/>
  <c r="T8" i="26"/>
  <c r="AA8" i="26"/>
  <c r="AB8" i="26"/>
  <c r="AF8" i="26"/>
  <c r="AG8" i="26"/>
  <c r="R9" i="26"/>
  <c r="S9" i="26"/>
  <c r="T9" i="26"/>
  <c r="AA9" i="26"/>
  <c r="AB9" i="26"/>
  <c r="AF9" i="26"/>
  <c r="AG9" i="26"/>
  <c r="R10" i="26"/>
  <c r="S10" i="26"/>
  <c r="T10" i="26"/>
  <c r="AA10" i="26"/>
  <c r="AB10" i="26"/>
  <c r="AF10" i="26"/>
  <c r="AG10" i="26"/>
  <c r="R11" i="26"/>
  <c r="S11" i="26"/>
  <c r="T11" i="26"/>
  <c r="AA11" i="26"/>
  <c r="AB11" i="26"/>
  <c r="AF11" i="26"/>
  <c r="AG11" i="26"/>
  <c r="R12" i="26"/>
  <c r="S12" i="26"/>
  <c r="T12" i="26"/>
  <c r="AA12" i="26"/>
  <c r="AB12" i="26"/>
  <c r="AF12" i="26"/>
  <c r="AG12" i="26"/>
  <c r="R13" i="26"/>
  <c r="S13" i="26"/>
  <c r="T13" i="26"/>
  <c r="AA13" i="26"/>
  <c r="AB13" i="26"/>
  <c r="AF13" i="26"/>
  <c r="AG13" i="26"/>
  <c r="R14" i="26"/>
  <c r="S14" i="26"/>
  <c r="T14" i="26"/>
  <c r="AA14" i="26"/>
  <c r="AB14" i="26"/>
  <c r="AF14" i="26"/>
  <c r="AG14" i="26"/>
  <c r="R15" i="26"/>
  <c r="S15" i="26"/>
  <c r="T15" i="26"/>
  <c r="AA15" i="26"/>
  <c r="AB15" i="26"/>
  <c r="AF15" i="26"/>
  <c r="AG15" i="26"/>
  <c r="R16" i="26"/>
  <c r="S16" i="26"/>
  <c r="T16" i="26"/>
  <c r="AA16" i="26"/>
  <c r="AB16" i="26"/>
  <c r="AF16" i="26"/>
  <c r="AG16" i="26"/>
  <c r="R17" i="26"/>
  <c r="S17" i="26"/>
  <c r="T17" i="26"/>
  <c r="AA17" i="26"/>
  <c r="AB17" i="26"/>
  <c r="AF17" i="26"/>
  <c r="AG17" i="26"/>
  <c r="R18" i="26"/>
  <c r="S18" i="26"/>
  <c r="T18" i="26"/>
  <c r="AA18" i="26"/>
  <c r="AB18" i="26"/>
  <c r="AF18" i="26"/>
  <c r="AG18" i="26"/>
  <c r="R19" i="26"/>
  <c r="S19" i="26"/>
  <c r="T19" i="26"/>
  <c r="AA19" i="26"/>
  <c r="AB19" i="26"/>
  <c r="AF19" i="26"/>
  <c r="AG19" i="26"/>
  <c r="R20" i="26"/>
  <c r="S20" i="26"/>
  <c r="T20" i="26"/>
  <c r="AA20" i="26"/>
  <c r="AB20" i="26"/>
  <c r="AF20" i="26"/>
  <c r="AG20" i="26"/>
  <c r="R21" i="26"/>
  <c r="S21" i="26"/>
  <c r="T21" i="26"/>
  <c r="AA21" i="26"/>
  <c r="AB21" i="26"/>
  <c r="AF21" i="26"/>
  <c r="AG21" i="26"/>
  <c r="R22" i="26"/>
  <c r="S22" i="26"/>
  <c r="T22" i="26"/>
  <c r="AA22" i="26"/>
  <c r="AB22" i="26"/>
  <c r="AF22" i="26"/>
  <c r="AG22" i="26"/>
  <c r="R23" i="26"/>
  <c r="S23" i="26"/>
  <c r="T23" i="26"/>
  <c r="AA23" i="26"/>
  <c r="AB23" i="26"/>
  <c r="AF23" i="26"/>
  <c r="AG23" i="26"/>
  <c r="R24" i="26"/>
  <c r="S24" i="26"/>
  <c r="T24" i="26"/>
  <c r="AA24" i="26"/>
  <c r="AB24" i="26"/>
  <c r="AF24" i="26"/>
  <c r="AG24" i="26"/>
  <c r="R25" i="26"/>
  <c r="S25" i="26"/>
  <c r="T25" i="26"/>
  <c r="AA25" i="26"/>
  <c r="AB25" i="26"/>
  <c r="AF25" i="26"/>
  <c r="AG25" i="26"/>
  <c r="R26" i="26"/>
  <c r="S26" i="26"/>
  <c r="T26" i="26"/>
  <c r="AA26" i="26"/>
  <c r="AB26" i="26"/>
  <c r="AF26" i="26"/>
  <c r="AG26" i="26"/>
  <c r="R27" i="26"/>
  <c r="S27" i="26"/>
  <c r="T27" i="26"/>
  <c r="AA27" i="26"/>
  <c r="AB27" i="26"/>
  <c r="AF27" i="26"/>
  <c r="AG27" i="26"/>
  <c r="R28" i="26"/>
  <c r="S28" i="26"/>
  <c r="T28" i="26"/>
  <c r="AA28" i="26"/>
  <c r="AB28" i="26"/>
  <c r="AF28" i="26"/>
  <c r="AG28" i="26"/>
  <c r="R29" i="26"/>
  <c r="S29" i="26"/>
  <c r="T29" i="26"/>
  <c r="AA29" i="26"/>
  <c r="AB29" i="26"/>
  <c r="AF29" i="26"/>
  <c r="AG29" i="26"/>
  <c r="R30" i="26"/>
  <c r="S30" i="26"/>
  <c r="T30" i="26"/>
  <c r="AA30" i="26"/>
  <c r="AB30" i="26"/>
  <c r="AF30" i="26"/>
  <c r="AG30" i="26"/>
  <c r="R31" i="26"/>
  <c r="S31" i="26"/>
  <c r="T31" i="26"/>
  <c r="AA31" i="26"/>
  <c r="AB31" i="26"/>
  <c r="AF31" i="26"/>
  <c r="AG31" i="26"/>
  <c r="R32" i="26"/>
  <c r="S32" i="26"/>
  <c r="T32" i="26"/>
  <c r="AA32" i="26"/>
  <c r="AB32" i="26"/>
  <c r="AF32" i="26"/>
  <c r="AG32" i="26"/>
  <c r="R33" i="26"/>
  <c r="S33" i="26"/>
  <c r="T33" i="26"/>
  <c r="AA33" i="26"/>
  <c r="AB33" i="26"/>
  <c r="AF33" i="26"/>
  <c r="AG33" i="26"/>
  <c r="R34" i="26"/>
  <c r="S34" i="26"/>
  <c r="T34" i="26"/>
  <c r="AA34" i="26"/>
  <c r="AB34" i="26"/>
  <c r="AF34" i="26"/>
  <c r="AG34" i="26"/>
  <c r="R35" i="26"/>
  <c r="S35" i="26"/>
  <c r="T35" i="26"/>
  <c r="AA35" i="26"/>
  <c r="AB35" i="26"/>
  <c r="AF35" i="26"/>
  <c r="AG35" i="26"/>
  <c r="R36" i="26"/>
  <c r="S36" i="26"/>
  <c r="T36" i="26"/>
  <c r="AA36" i="26"/>
  <c r="AB36" i="26"/>
  <c r="AF36" i="26"/>
  <c r="AG36" i="26"/>
  <c r="R37" i="26"/>
  <c r="S37" i="26"/>
  <c r="T37" i="26"/>
  <c r="AA37" i="26"/>
  <c r="AB37" i="26"/>
  <c r="AF37" i="26"/>
  <c r="AG37" i="26"/>
  <c r="R38" i="26"/>
  <c r="S38" i="26"/>
  <c r="T38" i="26"/>
  <c r="AA38" i="26"/>
  <c r="AB38" i="26"/>
  <c r="AF38" i="26"/>
  <c r="AG38" i="26"/>
  <c r="R39" i="26"/>
  <c r="S39" i="26"/>
  <c r="T39" i="26"/>
  <c r="AA39" i="26"/>
  <c r="AB39" i="26"/>
  <c r="AF39" i="26"/>
  <c r="AG39" i="26"/>
  <c r="R40" i="26"/>
  <c r="S40" i="26"/>
  <c r="T40" i="26"/>
  <c r="AA40" i="26"/>
  <c r="AB40" i="26"/>
  <c r="AF40" i="26"/>
  <c r="AG40" i="26"/>
  <c r="R41" i="26"/>
  <c r="S41" i="26"/>
  <c r="T41" i="26"/>
  <c r="AA41" i="26"/>
  <c r="AB41" i="26"/>
  <c r="AF41" i="26"/>
  <c r="AG41" i="26"/>
  <c r="R42" i="26"/>
  <c r="S42" i="26"/>
  <c r="T42" i="26"/>
  <c r="AA42" i="26"/>
  <c r="AB42" i="26"/>
  <c r="AF42" i="26"/>
  <c r="AG42" i="26"/>
  <c r="R43" i="26"/>
  <c r="S43" i="26"/>
  <c r="T43" i="26"/>
  <c r="AA43" i="26"/>
  <c r="AB43" i="26"/>
  <c r="AF43" i="26"/>
  <c r="AG43" i="26"/>
  <c r="R44" i="26"/>
  <c r="S44" i="26"/>
  <c r="T44" i="26"/>
  <c r="AA44" i="26"/>
  <c r="AB44" i="26"/>
  <c r="AF44" i="26"/>
  <c r="AG44" i="26"/>
  <c r="R45" i="26"/>
  <c r="S45" i="26"/>
  <c r="T45" i="26"/>
  <c r="AA45" i="26"/>
  <c r="AB45" i="26"/>
  <c r="AF45" i="26"/>
  <c r="AG45" i="26"/>
  <c r="R46" i="26"/>
  <c r="S46" i="26"/>
  <c r="T46" i="26"/>
  <c r="AA46" i="26"/>
  <c r="AB46" i="26"/>
  <c r="AF46" i="26"/>
  <c r="AG46" i="26"/>
  <c r="R47" i="26"/>
  <c r="S47" i="26"/>
  <c r="T47" i="26"/>
  <c r="AA47" i="26"/>
  <c r="AB47" i="26"/>
  <c r="AF47" i="26"/>
  <c r="AG47" i="26"/>
  <c r="R48" i="26"/>
  <c r="S48" i="26"/>
  <c r="T48" i="26"/>
  <c r="AA48" i="26"/>
  <c r="AB48" i="26"/>
  <c r="AF48" i="26"/>
  <c r="AG48" i="26"/>
  <c r="R49" i="26"/>
  <c r="S49" i="26"/>
  <c r="T49" i="26"/>
  <c r="AA49" i="26"/>
  <c r="AB49" i="26"/>
  <c r="AF49" i="26"/>
  <c r="AG49" i="26"/>
  <c r="R50" i="26"/>
  <c r="S50" i="26"/>
  <c r="T50" i="26"/>
  <c r="AA50" i="26"/>
  <c r="AB50" i="26"/>
  <c r="AF50" i="26"/>
  <c r="AG50" i="26"/>
  <c r="R51" i="26"/>
  <c r="S51" i="26"/>
  <c r="T51" i="26"/>
  <c r="AA51" i="26"/>
  <c r="AB51" i="26"/>
  <c r="AF51" i="26"/>
  <c r="AG51" i="26"/>
  <c r="R52" i="26"/>
  <c r="S52" i="26"/>
  <c r="T52" i="26"/>
  <c r="AA52" i="26"/>
  <c r="AB52" i="26"/>
  <c r="AF52" i="26"/>
  <c r="AG52" i="26"/>
  <c r="R53" i="26"/>
  <c r="S53" i="26"/>
  <c r="T53" i="26"/>
  <c r="AA53" i="26"/>
  <c r="AB53" i="26"/>
  <c r="AF53" i="26"/>
  <c r="AG53" i="26"/>
  <c r="R54" i="26"/>
  <c r="S54" i="26"/>
  <c r="T54" i="26"/>
  <c r="AA54" i="26"/>
  <c r="AB54" i="26"/>
  <c r="AF54" i="26"/>
  <c r="AG54" i="26"/>
  <c r="R55" i="26"/>
  <c r="S55" i="26"/>
  <c r="T55" i="26"/>
  <c r="AA55" i="26"/>
  <c r="AB55" i="26"/>
  <c r="AF55" i="26"/>
  <c r="AG55" i="26"/>
  <c r="R56" i="26"/>
  <c r="S56" i="26"/>
  <c r="T56" i="26"/>
  <c r="AA56" i="26"/>
  <c r="AB56" i="26"/>
  <c r="AF56" i="26"/>
  <c r="AG56" i="26"/>
  <c r="R57" i="26"/>
  <c r="S57" i="26"/>
  <c r="T57" i="26"/>
  <c r="AA57" i="26"/>
  <c r="AB57" i="26"/>
  <c r="AF57" i="26"/>
  <c r="AG57" i="26"/>
  <c r="R58" i="26"/>
  <c r="S58" i="26"/>
  <c r="T58" i="26"/>
  <c r="AA58" i="26"/>
  <c r="AB58" i="26"/>
  <c r="AF58" i="26"/>
  <c r="AG58" i="26"/>
  <c r="R59" i="26"/>
  <c r="S59" i="26"/>
  <c r="T59" i="26"/>
  <c r="AA59" i="26"/>
  <c r="AB59" i="26"/>
  <c r="AF59" i="26"/>
  <c r="AG59" i="26"/>
  <c r="R60" i="26"/>
  <c r="S60" i="26"/>
  <c r="T60" i="26"/>
  <c r="AA60" i="26"/>
  <c r="AB60" i="26"/>
  <c r="AF60" i="26"/>
  <c r="AG60" i="26"/>
  <c r="R61" i="26"/>
  <c r="S61" i="26"/>
  <c r="T61" i="26"/>
  <c r="AA61" i="26"/>
  <c r="AB61" i="26"/>
  <c r="AF61" i="26"/>
  <c r="AG61" i="26"/>
  <c r="R62" i="26"/>
  <c r="S62" i="26"/>
  <c r="T62" i="26"/>
  <c r="AA62" i="26"/>
  <c r="AB62" i="26"/>
  <c r="AF62" i="26"/>
  <c r="AG62" i="26"/>
  <c r="R63" i="26"/>
  <c r="S63" i="26"/>
  <c r="T63" i="26"/>
  <c r="AA63" i="26"/>
  <c r="AB63" i="26"/>
  <c r="AF63" i="26"/>
  <c r="AG63" i="26"/>
  <c r="R64" i="26"/>
  <c r="S64" i="26"/>
  <c r="T64" i="26"/>
  <c r="AA64" i="26"/>
  <c r="AB64" i="26"/>
  <c r="AF64" i="26"/>
  <c r="AG64" i="26"/>
  <c r="R65" i="26"/>
  <c r="S65" i="26"/>
  <c r="T65" i="26"/>
  <c r="AA65" i="26"/>
  <c r="AB65" i="26"/>
  <c r="AF65" i="26"/>
  <c r="AG65" i="26"/>
  <c r="AS65" i="26"/>
  <c r="AS65" i="11"/>
  <c r="A39" i="30" l="1"/>
  <c r="B41" i="30"/>
  <c r="B42" i="30"/>
  <c r="A40" i="30"/>
  <c r="A40" i="29"/>
  <c r="B42" i="29"/>
  <c r="A39" i="29"/>
  <c r="B41" i="29"/>
  <c r="A33" i="28"/>
  <c r="B35" i="28"/>
  <c r="B40" i="28"/>
  <c r="A38" i="28"/>
  <c r="AS61" i="14"/>
  <c r="A42" i="30" l="1"/>
  <c r="B44" i="30"/>
  <c r="A41" i="30"/>
  <c r="B43" i="30"/>
  <c r="A41" i="29"/>
  <c r="B43" i="29"/>
  <c r="B44" i="29"/>
  <c r="A42" i="29"/>
  <c r="B42" i="28"/>
  <c r="A40" i="28"/>
  <c r="A35" i="28"/>
  <c r="B37" i="28"/>
  <c r="A43" i="30" l="1"/>
  <c r="B45" i="30"/>
  <c r="B46" i="30"/>
  <c r="A44" i="30"/>
  <c r="A44" i="29"/>
  <c r="B46" i="29"/>
  <c r="A43" i="29"/>
  <c r="B45" i="29"/>
  <c r="B44" i="28"/>
  <c r="A42" i="28"/>
  <c r="A37" i="28"/>
  <c r="B39" i="28"/>
  <c r="A46" i="30" l="1"/>
  <c r="B48" i="30"/>
  <c r="A45" i="30"/>
  <c r="B47" i="30"/>
  <c r="B48" i="29"/>
  <c r="A46" i="29"/>
  <c r="A45" i="29"/>
  <c r="B47" i="29"/>
  <c r="B46" i="28"/>
  <c r="A44" i="28"/>
  <c r="A39" i="28"/>
  <c r="B41" i="28"/>
  <c r="AS47" i="26"/>
  <c r="B50" i="30" l="1"/>
  <c r="A48" i="30"/>
  <c r="A47" i="30"/>
  <c r="B49" i="30"/>
  <c r="A47" i="29"/>
  <c r="B49" i="29"/>
  <c r="A48" i="29"/>
  <c r="B50" i="29"/>
  <c r="A41" i="28"/>
  <c r="B43" i="28"/>
  <c r="B48" i="28"/>
  <c r="A46" i="28"/>
  <c r="L27" i="1"/>
  <c r="J66" i="26"/>
  <c r="G27" i="1" s="1"/>
  <c r="AR65" i="26"/>
  <c r="AL65" i="26"/>
  <c r="AK65" i="26"/>
  <c r="AM65" i="26"/>
  <c r="H65" i="26"/>
  <c r="G65" i="26"/>
  <c r="AR64" i="26"/>
  <c r="AL64" i="26"/>
  <c r="AK64" i="26"/>
  <c r="AM64" i="26"/>
  <c r="H64" i="26"/>
  <c r="G64" i="26"/>
  <c r="AR63" i="26"/>
  <c r="AL63" i="26"/>
  <c r="AK63" i="26"/>
  <c r="AM63" i="26"/>
  <c r="H63" i="26"/>
  <c r="G63" i="26"/>
  <c r="AR62" i="26"/>
  <c r="AM62" i="26"/>
  <c r="AL62" i="26"/>
  <c r="AK62" i="26"/>
  <c r="H62" i="26"/>
  <c r="G62" i="26"/>
  <c r="AS61" i="26"/>
  <c r="AR61" i="26"/>
  <c r="AL61" i="26"/>
  <c r="AK61" i="26"/>
  <c r="AM61" i="26"/>
  <c r="H61" i="26"/>
  <c r="G61" i="26"/>
  <c r="AR60" i="26"/>
  <c r="AL60" i="26"/>
  <c r="AK60" i="26"/>
  <c r="AM60" i="26"/>
  <c r="H60" i="26"/>
  <c r="G60" i="26"/>
  <c r="AR59" i="26"/>
  <c r="AL59" i="26"/>
  <c r="AK59" i="26"/>
  <c r="AM59" i="26"/>
  <c r="H59" i="26"/>
  <c r="G59" i="26"/>
  <c r="AR58" i="26"/>
  <c r="AL58" i="26"/>
  <c r="AK58" i="26"/>
  <c r="AM58" i="26"/>
  <c r="H58" i="26"/>
  <c r="G58" i="26"/>
  <c r="AR57" i="26"/>
  <c r="AL57" i="26"/>
  <c r="AK57" i="26"/>
  <c r="AM57" i="26"/>
  <c r="H57" i="26"/>
  <c r="G57" i="26"/>
  <c r="AR56" i="26"/>
  <c r="AL56" i="26"/>
  <c r="AK56" i="26"/>
  <c r="AM56" i="26"/>
  <c r="H56" i="26"/>
  <c r="G56" i="26"/>
  <c r="AR55" i="26"/>
  <c r="AL55" i="26"/>
  <c r="AK55" i="26"/>
  <c r="AM55" i="26"/>
  <c r="H55" i="26"/>
  <c r="G55" i="26"/>
  <c r="AR54" i="26"/>
  <c r="AL54" i="26"/>
  <c r="AK54" i="26"/>
  <c r="AM54" i="26"/>
  <c r="H54" i="26"/>
  <c r="G54" i="26"/>
  <c r="AS53" i="26"/>
  <c r="AR53" i="26"/>
  <c r="AL53" i="26"/>
  <c r="AK53" i="26"/>
  <c r="AM53" i="26"/>
  <c r="H53" i="26"/>
  <c r="G53" i="26"/>
  <c r="AR52" i="26"/>
  <c r="AL52" i="26"/>
  <c r="AK52" i="26"/>
  <c r="AM52" i="26"/>
  <c r="H52" i="26"/>
  <c r="G52" i="26"/>
  <c r="AR51" i="26"/>
  <c r="AL51" i="26"/>
  <c r="AK51" i="26"/>
  <c r="AM51" i="26"/>
  <c r="H51" i="26"/>
  <c r="G51" i="26"/>
  <c r="AR50" i="26"/>
  <c r="AL50" i="26"/>
  <c r="AK50" i="26"/>
  <c r="AM50" i="26"/>
  <c r="H50" i="26"/>
  <c r="G50" i="26"/>
  <c r="AS49" i="26"/>
  <c r="AR49" i="26"/>
  <c r="AL49" i="26"/>
  <c r="AK49" i="26"/>
  <c r="AM49" i="26"/>
  <c r="H49" i="26"/>
  <c r="G49" i="26"/>
  <c r="AR48" i="26"/>
  <c r="AL48" i="26"/>
  <c r="AK48" i="26"/>
  <c r="AM48" i="26"/>
  <c r="H48" i="26"/>
  <c r="G48" i="26"/>
  <c r="AR47" i="26"/>
  <c r="AL47" i="26"/>
  <c r="AK47" i="26"/>
  <c r="AM47" i="26"/>
  <c r="H47" i="26"/>
  <c r="G47" i="26"/>
  <c r="AR46" i="26"/>
  <c r="AL46" i="26"/>
  <c r="AK46" i="26"/>
  <c r="AM46" i="26"/>
  <c r="H46" i="26"/>
  <c r="G46" i="26"/>
  <c r="AR45" i="26"/>
  <c r="AL45" i="26"/>
  <c r="AK45" i="26"/>
  <c r="AM45" i="26"/>
  <c r="H45" i="26"/>
  <c r="G45" i="26"/>
  <c r="AR44" i="26"/>
  <c r="AL44" i="26"/>
  <c r="AK44" i="26"/>
  <c r="AM44" i="26"/>
  <c r="H44" i="26"/>
  <c r="G44" i="26"/>
  <c r="AR43" i="26"/>
  <c r="AL43" i="26"/>
  <c r="AK43" i="26"/>
  <c r="AM43" i="26"/>
  <c r="H43" i="26"/>
  <c r="G43" i="26"/>
  <c r="AR42" i="26"/>
  <c r="AL42" i="26"/>
  <c r="AK42" i="26"/>
  <c r="AM42" i="26"/>
  <c r="H42" i="26"/>
  <c r="G42" i="26"/>
  <c r="AR41" i="26"/>
  <c r="AL41" i="26"/>
  <c r="AK41" i="26"/>
  <c r="AM41" i="26"/>
  <c r="H41" i="26"/>
  <c r="G41" i="26"/>
  <c r="AR40" i="26"/>
  <c r="AL40" i="26"/>
  <c r="AK40" i="26"/>
  <c r="AM40" i="26"/>
  <c r="H40" i="26"/>
  <c r="G40" i="26"/>
  <c r="AS39" i="26"/>
  <c r="AR39" i="26"/>
  <c r="AL39" i="26"/>
  <c r="AK39" i="26"/>
  <c r="AM39" i="26"/>
  <c r="H39" i="26"/>
  <c r="G39" i="26"/>
  <c r="AR38" i="26"/>
  <c r="AL38" i="26"/>
  <c r="AK38" i="26"/>
  <c r="AM38" i="26"/>
  <c r="H38" i="26"/>
  <c r="G38" i="26"/>
  <c r="AR37" i="26"/>
  <c r="AM37" i="26"/>
  <c r="AL37" i="26"/>
  <c r="AK37" i="26"/>
  <c r="H37" i="26"/>
  <c r="G37" i="26"/>
  <c r="AR36" i="26"/>
  <c r="AL36" i="26"/>
  <c r="AK36" i="26"/>
  <c r="AM36" i="26"/>
  <c r="H36" i="26"/>
  <c r="G36" i="26"/>
  <c r="AR35" i="26"/>
  <c r="AL35" i="26"/>
  <c r="AK35" i="26"/>
  <c r="AM35" i="26"/>
  <c r="H35" i="26"/>
  <c r="G35" i="26"/>
  <c r="AR34" i="26"/>
  <c r="AL34" i="26"/>
  <c r="AK34" i="26"/>
  <c r="AM34" i="26"/>
  <c r="H34" i="26"/>
  <c r="G34" i="26"/>
  <c r="AS33" i="26"/>
  <c r="AR33" i="26"/>
  <c r="AL33" i="26"/>
  <c r="AK33" i="26"/>
  <c r="AM33" i="26"/>
  <c r="H33" i="26"/>
  <c r="G33" i="26"/>
  <c r="AR32" i="26"/>
  <c r="AL32" i="26"/>
  <c r="AK32" i="26"/>
  <c r="AM32" i="26"/>
  <c r="H32" i="26"/>
  <c r="G32" i="26"/>
  <c r="AR31" i="26"/>
  <c r="AM31" i="26"/>
  <c r="AL31" i="26"/>
  <c r="AK31" i="26"/>
  <c r="H31" i="26"/>
  <c r="G31" i="26"/>
  <c r="AR30" i="26"/>
  <c r="AL30" i="26"/>
  <c r="AK30" i="26"/>
  <c r="AM30" i="26"/>
  <c r="H30" i="26"/>
  <c r="G30" i="26"/>
  <c r="AR29" i="26"/>
  <c r="AM29" i="26"/>
  <c r="AL29" i="26"/>
  <c r="AK29" i="26"/>
  <c r="H29" i="26"/>
  <c r="G29" i="26"/>
  <c r="AR28" i="26"/>
  <c r="AL28" i="26"/>
  <c r="AK28" i="26"/>
  <c r="AM28" i="26"/>
  <c r="H28" i="26"/>
  <c r="G28" i="26"/>
  <c r="AR27" i="26"/>
  <c r="AL27" i="26"/>
  <c r="AK27" i="26"/>
  <c r="AM27" i="26"/>
  <c r="H27" i="26"/>
  <c r="G27" i="26"/>
  <c r="AR26" i="26"/>
  <c r="AL26" i="26"/>
  <c r="AK26" i="26"/>
  <c r="AM26" i="26"/>
  <c r="H26" i="26"/>
  <c r="G26" i="26"/>
  <c r="AR25" i="26"/>
  <c r="AL25" i="26"/>
  <c r="AK25" i="26"/>
  <c r="AM25" i="26"/>
  <c r="H25" i="26"/>
  <c r="G25" i="26"/>
  <c r="AR24" i="26"/>
  <c r="AL24" i="26"/>
  <c r="AK24" i="26"/>
  <c r="AM24" i="26"/>
  <c r="H24" i="26"/>
  <c r="G24" i="26"/>
  <c r="AR23" i="26"/>
  <c r="AL23" i="26"/>
  <c r="AK23" i="26"/>
  <c r="AM23" i="26"/>
  <c r="H23" i="26"/>
  <c r="G23" i="26"/>
  <c r="AR22" i="26"/>
  <c r="AL22" i="26"/>
  <c r="AK22" i="26"/>
  <c r="AM22" i="26"/>
  <c r="H22" i="26"/>
  <c r="G22" i="26"/>
  <c r="AR21" i="26"/>
  <c r="AL21" i="26"/>
  <c r="AK21" i="26"/>
  <c r="AM21" i="26"/>
  <c r="H21" i="26"/>
  <c r="G21" i="26"/>
  <c r="AR20" i="26"/>
  <c r="AM20" i="26"/>
  <c r="AL20" i="26"/>
  <c r="AK20" i="26"/>
  <c r="H20" i="26"/>
  <c r="G20" i="26"/>
  <c r="AS19" i="26"/>
  <c r="AR19" i="26"/>
  <c r="AL19" i="26"/>
  <c r="AK19" i="26"/>
  <c r="AM19" i="26"/>
  <c r="H19" i="26"/>
  <c r="G19" i="26"/>
  <c r="AR18" i="26"/>
  <c r="AL18" i="26"/>
  <c r="AK18" i="26"/>
  <c r="AM18" i="26"/>
  <c r="H18" i="26"/>
  <c r="G18" i="26"/>
  <c r="AR17" i="26"/>
  <c r="AL17" i="26"/>
  <c r="AK17" i="26"/>
  <c r="AM17" i="26"/>
  <c r="H17" i="26"/>
  <c r="G17" i="26"/>
  <c r="AR16" i="26"/>
  <c r="AL16" i="26"/>
  <c r="AK16" i="26"/>
  <c r="AM16" i="26"/>
  <c r="H16" i="26"/>
  <c r="G16" i="26"/>
  <c r="AR15" i="26"/>
  <c r="AM15" i="26"/>
  <c r="AL15" i="26"/>
  <c r="AK15" i="26"/>
  <c r="H15" i="26"/>
  <c r="G15" i="26"/>
  <c r="AR14" i="26"/>
  <c r="AM14" i="26"/>
  <c r="AL14" i="26"/>
  <c r="AK14" i="26"/>
  <c r="H14" i="26"/>
  <c r="G14" i="26"/>
  <c r="AR13" i="26"/>
  <c r="AL13" i="26"/>
  <c r="AK13" i="26"/>
  <c r="AM13" i="26"/>
  <c r="H13" i="26"/>
  <c r="G13" i="26"/>
  <c r="AR12" i="26"/>
  <c r="AL12" i="26"/>
  <c r="AK12" i="26"/>
  <c r="AM12" i="26"/>
  <c r="H12" i="26"/>
  <c r="G12" i="26"/>
  <c r="AR11" i="26"/>
  <c r="AL11" i="26"/>
  <c r="AK11" i="26"/>
  <c r="AM11" i="26"/>
  <c r="H11" i="26"/>
  <c r="G11" i="26"/>
  <c r="AR10" i="26"/>
  <c r="AL10" i="26"/>
  <c r="AK10" i="26"/>
  <c r="AM10" i="26"/>
  <c r="H10" i="26"/>
  <c r="G10" i="26"/>
  <c r="AR9" i="26"/>
  <c r="AL9" i="26"/>
  <c r="AK9" i="26"/>
  <c r="AM9" i="26"/>
  <c r="H9" i="26"/>
  <c r="G9" i="26"/>
  <c r="AR8" i="26"/>
  <c r="AL8" i="26"/>
  <c r="AK8" i="26"/>
  <c r="AM8" i="26"/>
  <c r="H8" i="26"/>
  <c r="G8" i="26"/>
  <c r="AR7" i="26"/>
  <c r="AL7" i="26"/>
  <c r="AK7" i="26"/>
  <c r="AM7" i="26"/>
  <c r="H7" i="26"/>
  <c r="G7" i="26"/>
  <c r="AR6" i="26"/>
  <c r="AM6" i="26"/>
  <c r="AL6" i="26"/>
  <c r="AK6" i="26"/>
  <c r="H6" i="26"/>
  <c r="G6" i="26"/>
  <c r="B6" i="26"/>
  <c r="B8" i="26" s="1"/>
  <c r="A8" i="26" s="1"/>
  <c r="AR5" i="26"/>
  <c r="AL5" i="26"/>
  <c r="AK5" i="26"/>
  <c r="AM5" i="26"/>
  <c r="H5" i="26"/>
  <c r="G5" i="26"/>
  <c r="B5" i="26"/>
  <c r="A5" i="26" s="1"/>
  <c r="AR4" i="26"/>
  <c r="AL4" i="26"/>
  <c r="AK4" i="26"/>
  <c r="AG4" i="26"/>
  <c r="AF4" i="26"/>
  <c r="AB4" i="26"/>
  <c r="AA4" i="26"/>
  <c r="T4" i="26"/>
  <c r="S4" i="26"/>
  <c r="R4" i="26"/>
  <c r="AM4" i="26" s="1"/>
  <c r="H4" i="26"/>
  <c r="G4" i="26"/>
  <c r="A4" i="26"/>
  <c r="AP1" i="26"/>
  <c r="L23" i="1"/>
  <c r="J66" i="27"/>
  <c r="G23" i="1" s="1"/>
  <c r="AL65" i="27"/>
  <c r="AK65" i="27"/>
  <c r="AG65" i="27"/>
  <c r="AF65" i="27"/>
  <c r="AB65" i="27"/>
  <c r="AA65" i="27"/>
  <c r="T65" i="27"/>
  <c r="S65" i="27"/>
  <c r="R65" i="27"/>
  <c r="AM65" i="27" s="1"/>
  <c r="H65" i="27"/>
  <c r="G65" i="27"/>
  <c r="AL64" i="27"/>
  <c r="AK64" i="27"/>
  <c r="AG64" i="27"/>
  <c r="AF64" i="27"/>
  <c r="AB64" i="27"/>
  <c r="AA64" i="27"/>
  <c r="T64" i="27"/>
  <c r="S64" i="27"/>
  <c r="R64" i="27"/>
  <c r="AM64" i="27" s="1"/>
  <c r="H64" i="27"/>
  <c r="G64" i="27"/>
  <c r="AR63" i="27"/>
  <c r="AL63" i="27"/>
  <c r="AK63" i="27"/>
  <c r="AG63" i="27"/>
  <c r="AF63" i="27"/>
  <c r="AB63" i="27"/>
  <c r="AA63" i="27"/>
  <c r="T63" i="27"/>
  <c r="S63" i="27"/>
  <c r="R63" i="27"/>
  <c r="AM63" i="27" s="1"/>
  <c r="H63" i="27"/>
  <c r="G63" i="27"/>
  <c r="AR62" i="27"/>
  <c r="AL62" i="27"/>
  <c r="AK62" i="27"/>
  <c r="AG62" i="27"/>
  <c r="AF62" i="27"/>
  <c r="AB62" i="27"/>
  <c r="AA62" i="27"/>
  <c r="T62" i="27"/>
  <c r="S62" i="27"/>
  <c r="R62" i="27"/>
  <c r="AM62" i="27" s="1"/>
  <c r="H62" i="27"/>
  <c r="G62" i="27"/>
  <c r="AS61" i="27"/>
  <c r="AR61" i="27"/>
  <c r="AL61" i="27"/>
  <c r="AK61" i="27"/>
  <c r="AG61" i="27"/>
  <c r="AF61" i="27"/>
  <c r="AB61" i="27"/>
  <c r="AA61" i="27"/>
  <c r="T61" i="27"/>
  <c r="S61" i="27"/>
  <c r="R61" i="27"/>
  <c r="AM61" i="27" s="1"/>
  <c r="H61" i="27"/>
  <c r="G61" i="27"/>
  <c r="AR60" i="27"/>
  <c r="AL60" i="27"/>
  <c r="AK60" i="27"/>
  <c r="AG60" i="27"/>
  <c r="AF60" i="27"/>
  <c r="AB60" i="27"/>
  <c r="AA60" i="27"/>
  <c r="T60" i="27"/>
  <c r="S60" i="27"/>
  <c r="R60" i="27"/>
  <c r="AM60" i="27" s="1"/>
  <c r="H60" i="27"/>
  <c r="G60" i="27"/>
  <c r="AR59" i="27"/>
  <c r="AL59" i="27"/>
  <c r="AK59" i="27"/>
  <c r="AG59" i="27"/>
  <c r="AF59" i="27"/>
  <c r="AB59" i="27"/>
  <c r="AA59" i="27"/>
  <c r="T59" i="27"/>
  <c r="S59" i="27"/>
  <c r="R59" i="27"/>
  <c r="AM59" i="27" s="1"/>
  <c r="H59" i="27"/>
  <c r="G59" i="27"/>
  <c r="AR58" i="27"/>
  <c r="AL58" i="27"/>
  <c r="AK58" i="27"/>
  <c r="AG58" i="27"/>
  <c r="AF58" i="27"/>
  <c r="AB58" i="27"/>
  <c r="AA58" i="27"/>
  <c r="T58" i="27"/>
  <c r="S58" i="27"/>
  <c r="R58" i="27"/>
  <c r="AM58" i="27" s="1"/>
  <c r="H58" i="27"/>
  <c r="G58" i="27"/>
  <c r="AR57" i="27"/>
  <c r="AL57" i="27"/>
  <c r="AK57" i="27"/>
  <c r="AG57" i="27"/>
  <c r="AF57" i="27"/>
  <c r="AB57" i="27"/>
  <c r="AA57" i="27"/>
  <c r="T57" i="27"/>
  <c r="S57" i="27"/>
  <c r="R57" i="27"/>
  <c r="AM57" i="27" s="1"/>
  <c r="H57" i="27"/>
  <c r="G57" i="27"/>
  <c r="AR56" i="27"/>
  <c r="AL56" i="27"/>
  <c r="AK56" i="27"/>
  <c r="AG56" i="27"/>
  <c r="AF56" i="27"/>
  <c r="AB56" i="27"/>
  <c r="AA56" i="27"/>
  <c r="T56" i="27"/>
  <c r="S56" i="27"/>
  <c r="R56" i="27"/>
  <c r="AM56" i="27" s="1"/>
  <c r="H56" i="27"/>
  <c r="G56" i="27"/>
  <c r="AS55" i="27"/>
  <c r="AR55" i="27"/>
  <c r="AL55" i="27"/>
  <c r="AK55" i="27"/>
  <c r="AG55" i="27"/>
  <c r="AF55" i="27"/>
  <c r="AB55" i="27"/>
  <c r="AA55" i="27"/>
  <c r="T55" i="27"/>
  <c r="S55" i="27"/>
  <c r="R55" i="27"/>
  <c r="AM55" i="27" s="1"/>
  <c r="H55" i="27"/>
  <c r="G55" i="27"/>
  <c r="AR54" i="27"/>
  <c r="AL54" i="27"/>
  <c r="AK54" i="27"/>
  <c r="AG54" i="27"/>
  <c r="AF54" i="27"/>
  <c r="AB54" i="27"/>
  <c r="AA54" i="27"/>
  <c r="T54" i="27"/>
  <c r="S54" i="27"/>
  <c r="R54" i="27"/>
  <c r="AM54" i="27" s="1"/>
  <c r="H54" i="27"/>
  <c r="G54" i="27"/>
  <c r="AS53" i="27"/>
  <c r="AR53" i="27"/>
  <c r="AL53" i="27"/>
  <c r="AK53" i="27"/>
  <c r="AG53" i="27"/>
  <c r="AF53" i="27"/>
  <c r="AB53" i="27"/>
  <c r="AA53" i="27"/>
  <c r="T53" i="27"/>
  <c r="S53" i="27"/>
  <c r="R53" i="27"/>
  <c r="AM53" i="27" s="1"/>
  <c r="H53" i="27"/>
  <c r="G53" i="27"/>
  <c r="AR52" i="27"/>
  <c r="AL52" i="27"/>
  <c r="AK52" i="27"/>
  <c r="AG52" i="27"/>
  <c r="AF52" i="27"/>
  <c r="AB52" i="27"/>
  <c r="AA52" i="27"/>
  <c r="T52" i="27"/>
  <c r="S52" i="27"/>
  <c r="R52" i="27"/>
  <c r="AM52" i="27" s="1"/>
  <c r="H52" i="27"/>
  <c r="G52" i="27"/>
  <c r="AR51" i="27"/>
  <c r="AL51" i="27"/>
  <c r="AK51" i="27"/>
  <c r="AG51" i="27"/>
  <c r="AF51" i="27"/>
  <c r="AB51" i="27"/>
  <c r="AA51" i="27"/>
  <c r="T51" i="27"/>
  <c r="S51" i="27"/>
  <c r="R51" i="27"/>
  <c r="AM51" i="27" s="1"/>
  <c r="H51" i="27"/>
  <c r="G51" i="27"/>
  <c r="AR50" i="27"/>
  <c r="AL50" i="27"/>
  <c r="AK50" i="27"/>
  <c r="AG50" i="27"/>
  <c r="AF50" i="27"/>
  <c r="AB50" i="27"/>
  <c r="AA50" i="27"/>
  <c r="T50" i="27"/>
  <c r="S50" i="27"/>
  <c r="R50" i="27"/>
  <c r="AM50" i="27" s="1"/>
  <c r="H50" i="27"/>
  <c r="G50" i="27"/>
  <c r="AR49" i="27"/>
  <c r="AL49" i="27"/>
  <c r="AK49" i="27"/>
  <c r="AG49" i="27"/>
  <c r="AF49" i="27"/>
  <c r="AB49" i="27"/>
  <c r="AA49" i="27"/>
  <c r="T49" i="27"/>
  <c r="S49" i="27"/>
  <c r="R49" i="27"/>
  <c r="AM49" i="27" s="1"/>
  <c r="H49" i="27"/>
  <c r="G49" i="27"/>
  <c r="AR48" i="27"/>
  <c r="AL48" i="27"/>
  <c r="AK48" i="27"/>
  <c r="AG48" i="27"/>
  <c r="AF48" i="27"/>
  <c r="AB48" i="27"/>
  <c r="AA48" i="27"/>
  <c r="T48" i="27"/>
  <c r="S48" i="27"/>
  <c r="R48" i="27"/>
  <c r="AM48" i="27" s="1"/>
  <c r="H48" i="27"/>
  <c r="G48" i="27"/>
  <c r="AR47" i="27"/>
  <c r="AL47" i="27"/>
  <c r="AK47" i="27"/>
  <c r="AG47" i="27"/>
  <c r="AF47" i="27"/>
  <c r="AB47" i="27"/>
  <c r="AA47" i="27"/>
  <c r="T47" i="27"/>
  <c r="S47" i="27"/>
  <c r="R47" i="27"/>
  <c r="AM47" i="27" s="1"/>
  <c r="H47" i="27"/>
  <c r="G47" i="27"/>
  <c r="AR46" i="27"/>
  <c r="AL46" i="27"/>
  <c r="AK46" i="27"/>
  <c r="AG46" i="27"/>
  <c r="AF46" i="27"/>
  <c r="AB46" i="27"/>
  <c r="AA46" i="27"/>
  <c r="T46" i="27"/>
  <c r="S46" i="27"/>
  <c r="R46" i="27"/>
  <c r="AM46" i="27" s="1"/>
  <c r="H46" i="27"/>
  <c r="G46" i="27"/>
  <c r="AR45" i="27"/>
  <c r="AL45" i="27"/>
  <c r="AK45" i="27"/>
  <c r="AG45" i="27"/>
  <c r="AF45" i="27"/>
  <c r="AB45" i="27"/>
  <c r="AA45" i="27"/>
  <c r="T45" i="27"/>
  <c r="S45" i="27"/>
  <c r="R45" i="27"/>
  <c r="AM45" i="27" s="1"/>
  <c r="H45" i="27"/>
  <c r="G45" i="27"/>
  <c r="AR44" i="27"/>
  <c r="AL44" i="27"/>
  <c r="AK44" i="27"/>
  <c r="AG44" i="27"/>
  <c r="AF44" i="27"/>
  <c r="AB44" i="27"/>
  <c r="AA44" i="27"/>
  <c r="T44" i="27"/>
  <c r="S44" i="27"/>
  <c r="R44" i="27"/>
  <c r="AM44" i="27" s="1"/>
  <c r="H44" i="27"/>
  <c r="G44" i="27"/>
  <c r="AR43" i="27"/>
  <c r="AL43" i="27"/>
  <c r="AK43" i="27"/>
  <c r="AG43" i="27"/>
  <c r="AF43" i="27"/>
  <c r="AB43" i="27"/>
  <c r="AA43" i="27"/>
  <c r="T43" i="27"/>
  <c r="S43" i="27"/>
  <c r="R43" i="27"/>
  <c r="AM43" i="27" s="1"/>
  <c r="H43" i="27"/>
  <c r="G43" i="27"/>
  <c r="AR42" i="27"/>
  <c r="AL42" i="27"/>
  <c r="AK42" i="27"/>
  <c r="AG42" i="27"/>
  <c r="AF42" i="27"/>
  <c r="AB42" i="27"/>
  <c r="AA42" i="27"/>
  <c r="T42" i="27"/>
  <c r="S42" i="27"/>
  <c r="R42" i="27"/>
  <c r="AM42" i="27" s="1"/>
  <c r="H42" i="27"/>
  <c r="G42" i="27"/>
  <c r="AS41" i="27"/>
  <c r="AR41" i="27"/>
  <c r="AL41" i="27"/>
  <c r="AK41" i="27"/>
  <c r="AG41" i="27"/>
  <c r="AF41" i="27"/>
  <c r="AB41" i="27"/>
  <c r="AA41" i="27"/>
  <c r="T41" i="27"/>
  <c r="S41" i="27"/>
  <c r="R41" i="27"/>
  <c r="AM41" i="27" s="1"/>
  <c r="H41" i="27"/>
  <c r="G41" i="27"/>
  <c r="AR40" i="27"/>
  <c r="AL40" i="27"/>
  <c r="AK40" i="27"/>
  <c r="AG40" i="27"/>
  <c r="AF40" i="27"/>
  <c r="AB40" i="27"/>
  <c r="AA40" i="27"/>
  <c r="T40" i="27"/>
  <c r="S40" i="27"/>
  <c r="R40" i="27"/>
  <c r="AM40" i="27" s="1"/>
  <c r="H40" i="27"/>
  <c r="G40" i="27"/>
  <c r="AS39" i="27"/>
  <c r="AR39" i="27"/>
  <c r="AL39" i="27"/>
  <c r="AK39" i="27"/>
  <c r="AG39" i="27"/>
  <c r="AF39" i="27"/>
  <c r="AB39" i="27"/>
  <c r="AA39" i="27"/>
  <c r="T39" i="27"/>
  <c r="S39" i="27"/>
  <c r="R39" i="27"/>
  <c r="AM39" i="27" s="1"/>
  <c r="H39" i="27"/>
  <c r="G39" i="27"/>
  <c r="AR38" i="27"/>
  <c r="AL38" i="27"/>
  <c r="AK38" i="27"/>
  <c r="AG38" i="27"/>
  <c r="AF38" i="27"/>
  <c r="AB38" i="27"/>
  <c r="AA38" i="27"/>
  <c r="T38" i="27"/>
  <c r="S38" i="27"/>
  <c r="R38" i="27"/>
  <c r="AM38" i="27" s="1"/>
  <c r="H38" i="27"/>
  <c r="G38" i="27"/>
  <c r="AR37" i="27"/>
  <c r="AL37" i="27"/>
  <c r="AK37" i="27"/>
  <c r="AG37" i="27"/>
  <c r="AF37" i="27"/>
  <c r="AB37" i="27"/>
  <c r="AA37" i="27"/>
  <c r="T37" i="27"/>
  <c r="S37" i="27"/>
  <c r="R37" i="27"/>
  <c r="AM37" i="27" s="1"/>
  <c r="H37" i="27"/>
  <c r="G37" i="27"/>
  <c r="AR36" i="27"/>
  <c r="AL36" i="27"/>
  <c r="AK36" i="27"/>
  <c r="AG36" i="27"/>
  <c r="AF36" i="27"/>
  <c r="AB36" i="27"/>
  <c r="AA36" i="27"/>
  <c r="T36" i="27"/>
  <c r="S36" i="27"/>
  <c r="R36" i="27"/>
  <c r="AM36" i="27" s="1"/>
  <c r="H36" i="27"/>
  <c r="G36" i="27"/>
  <c r="AR35" i="27"/>
  <c r="AL35" i="27"/>
  <c r="AK35" i="27"/>
  <c r="AG35" i="27"/>
  <c r="AF35" i="27"/>
  <c r="AB35" i="27"/>
  <c r="AA35" i="27"/>
  <c r="T35" i="27"/>
  <c r="S35" i="27"/>
  <c r="R35" i="27"/>
  <c r="AM35" i="27" s="1"/>
  <c r="H35" i="27"/>
  <c r="G35" i="27"/>
  <c r="AR34" i="27"/>
  <c r="AL34" i="27"/>
  <c r="AK34" i="27"/>
  <c r="AG34" i="27"/>
  <c r="AF34" i="27"/>
  <c r="AB34" i="27"/>
  <c r="AA34" i="27"/>
  <c r="T34" i="27"/>
  <c r="S34" i="27"/>
  <c r="R34" i="27"/>
  <c r="AM34" i="27" s="1"/>
  <c r="H34" i="27"/>
  <c r="G34" i="27"/>
  <c r="AR33" i="27"/>
  <c r="AL33" i="27"/>
  <c r="AK33" i="27"/>
  <c r="AG33" i="27"/>
  <c r="AF33" i="27"/>
  <c r="AB33" i="27"/>
  <c r="AA33" i="27"/>
  <c r="T33" i="27"/>
  <c r="S33" i="27"/>
  <c r="R33" i="27"/>
  <c r="AM33" i="27" s="1"/>
  <c r="H33" i="27"/>
  <c r="G33" i="27"/>
  <c r="AR32" i="27"/>
  <c r="AL32" i="27"/>
  <c r="AK32" i="27"/>
  <c r="AG32" i="27"/>
  <c r="AF32" i="27"/>
  <c r="AB32" i="27"/>
  <c r="AA32" i="27"/>
  <c r="T32" i="27"/>
  <c r="S32" i="27"/>
  <c r="R32" i="27"/>
  <c r="AM32" i="27" s="1"/>
  <c r="H32" i="27"/>
  <c r="G32" i="27"/>
  <c r="AR31" i="27"/>
  <c r="AL31" i="27"/>
  <c r="AK31" i="27"/>
  <c r="AG31" i="27"/>
  <c r="AF31" i="27"/>
  <c r="AB31" i="27"/>
  <c r="AA31" i="27"/>
  <c r="T31" i="27"/>
  <c r="S31" i="27"/>
  <c r="R31" i="27"/>
  <c r="AM31" i="27" s="1"/>
  <c r="H31" i="27"/>
  <c r="G31" i="27"/>
  <c r="AR30" i="27"/>
  <c r="AL30" i="27"/>
  <c r="AK30" i="27"/>
  <c r="AG30" i="27"/>
  <c r="AF30" i="27"/>
  <c r="AB30" i="27"/>
  <c r="AA30" i="27"/>
  <c r="T30" i="27"/>
  <c r="S30" i="27"/>
  <c r="R30" i="27"/>
  <c r="AM30" i="27" s="1"/>
  <c r="H30" i="27"/>
  <c r="G30" i="27"/>
  <c r="AR29" i="27"/>
  <c r="AL29" i="27"/>
  <c r="AK29" i="27"/>
  <c r="AG29" i="27"/>
  <c r="AF29" i="27"/>
  <c r="AB29" i="27"/>
  <c r="AA29" i="27"/>
  <c r="T29" i="27"/>
  <c r="S29" i="27"/>
  <c r="R29" i="27"/>
  <c r="AM29" i="27" s="1"/>
  <c r="H29" i="27"/>
  <c r="G29" i="27"/>
  <c r="AR28" i="27"/>
  <c r="AL28" i="27"/>
  <c r="AK28" i="27"/>
  <c r="AG28" i="27"/>
  <c r="AF28" i="27"/>
  <c r="AB28" i="27"/>
  <c r="AA28" i="27"/>
  <c r="T28" i="27"/>
  <c r="S28" i="27"/>
  <c r="R28" i="27"/>
  <c r="AM28" i="27" s="1"/>
  <c r="H28" i="27"/>
  <c r="G28" i="27"/>
  <c r="AR27" i="27"/>
  <c r="AL27" i="27"/>
  <c r="AK27" i="27"/>
  <c r="AG27" i="27"/>
  <c r="AF27" i="27"/>
  <c r="AB27" i="27"/>
  <c r="AA27" i="27"/>
  <c r="T27" i="27"/>
  <c r="S27" i="27"/>
  <c r="R27" i="27"/>
  <c r="AM27" i="27" s="1"/>
  <c r="G27" i="27"/>
  <c r="AR26" i="27"/>
  <c r="AL26" i="27"/>
  <c r="AK26" i="27"/>
  <c r="AG26" i="27"/>
  <c r="AF26" i="27"/>
  <c r="AB26" i="27"/>
  <c r="AA26" i="27"/>
  <c r="T26" i="27"/>
  <c r="S26" i="27"/>
  <c r="R26" i="27"/>
  <c r="AM26" i="27" s="1"/>
  <c r="G26" i="27"/>
  <c r="AR25" i="27"/>
  <c r="AL25" i="27"/>
  <c r="AK25" i="27"/>
  <c r="AG25" i="27"/>
  <c r="AF25" i="27"/>
  <c r="AB25" i="27"/>
  <c r="AA25" i="27"/>
  <c r="T25" i="27"/>
  <c r="S25" i="27"/>
  <c r="R25" i="27"/>
  <c r="AM25" i="27" s="1"/>
  <c r="AR24" i="27"/>
  <c r="AL24" i="27"/>
  <c r="AK24" i="27"/>
  <c r="AG24" i="27"/>
  <c r="AF24" i="27"/>
  <c r="AB24" i="27"/>
  <c r="AA24" i="27"/>
  <c r="T24" i="27"/>
  <c r="S24" i="27"/>
  <c r="R24" i="27"/>
  <c r="AM24" i="27" s="1"/>
  <c r="G25" i="27" s="1"/>
  <c r="AR23" i="27"/>
  <c r="AL23" i="27"/>
  <c r="AK23" i="27"/>
  <c r="AG23" i="27"/>
  <c r="AF23" i="27"/>
  <c r="AB23" i="27"/>
  <c r="AA23" i="27"/>
  <c r="T23" i="27"/>
  <c r="S23" i="27"/>
  <c r="R23" i="27"/>
  <c r="AM23" i="27" s="1"/>
  <c r="G24" i="27" s="1"/>
  <c r="AR22" i="27"/>
  <c r="AL22" i="27"/>
  <c r="AK22" i="27"/>
  <c r="AG22" i="27"/>
  <c r="AF22" i="27"/>
  <c r="AB22" i="27"/>
  <c r="AA22" i="27"/>
  <c r="T22" i="27"/>
  <c r="S22" i="27"/>
  <c r="R22" i="27"/>
  <c r="AM22" i="27" s="1"/>
  <c r="G23" i="27" s="1"/>
  <c r="AR21" i="27"/>
  <c r="AL21" i="27"/>
  <c r="AK21" i="27"/>
  <c r="AG21" i="27"/>
  <c r="AF21" i="27"/>
  <c r="AB21" i="27"/>
  <c r="AA21" i="27"/>
  <c r="T21" i="27"/>
  <c r="S21" i="27"/>
  <c r="R21" i="27"/>
  <c r="AM21" i="27" s="1"/>
  <c r="G22" i="27" s="1"/>
  <c r="AR20" i="27"/>
  <c r="AL20" i="27"/>
  <c r="AK20" i="27"/>
  <c r="AG20" i="27"/>
  <c r="AF20" i="27"/>
  <c r="AB20" i="27"/>
  <c r="AA20" i="27"/>
  <c r="T20" i="27"/>
  <c r="S20" i="27"/>
  <c r="R20" i="27"/>
  <c r="AM20" i="27" s="1"/>
  <c r="G21" i="27" s="1"/>
  <c r="AR19" i="27"/>
  <c r="AL19" i="27"/>
  <c r="AK19" i="27"/>
  <c r="AG19" i="27"/>
  <c r="AF19" i="27"/>
  <c r="AB19" i="27"/>
  <c r="AA19" i="27"/>
  <c r="T19" i="27"/>
  <c r="S19" i="27"/>
  <c r="R19" i="27"/>
  <c r="AM19" i="27" s="1"/>
  <c r="G20" i="27" s="1"/>
  <c r="AR18" i="27"/>
  <c r="AL18" i="27"/>
  <c r="AK18" i="27"/>
  <c r="AG18" i="27"/>
  <c r="AF18" i="27"/>
  <c r="AB18" i="27"/>
  <c r="AA18" i="27"/>
  <c r="T18" i="27"/>
  <c r="S18" i="27"/>
  <c r="R18" i="27"/>
  <c r="AM18" i="27" s="1"/>
  <c r="G19" i="27" s="1"/>
  <c r="AR17" i="27"/>
  <c r="AL17" i="27"/>
  <c r="AK17" i="27"/>
  <c r="AG17" i="27"/>
  <c r="AF17" i="27"/>
  <c r="AB17" i="27"/>
  <c r="AA17" i="27"/>
  <c r="T17" i="27"/>
  <c r="S17" i="27"/>
  <c r="R17" i="27"/>
  <c r="AM17" i="27" s="1"/>
  <c r="G18" i="27" s="1"/>
  <c r="AR16" i="27"/>
  <c r="AL16" i="27"/>
  <c r="AK16" i="27"/>
  <c r="AG16" i="27"/>
  <c r="AF16" i="27"/>
  <c r="AB16" i="27"/>
  <c r="AA16" i="27"/>
  <c r="T16" i="27"/>
  <c r="S16" i="27"/>
  <c r="R16" i="27"/>
  <c r="AM16" i="27" s="1"/>
  <c r="G17" i="27" s="1"/>
  <c r="AR15" i="27"/>
  <c r="AL15" i="27"/>
  <c r="AK15" i="27"/>
  <c r="AG15" i="27"/>
  <c r="AF15" i="27"/>
  <c r="AB15" i="27"/>
  <c r="AA15" i="27"/>
  <c r="T15" i="27"/>
  <c r="S15" i="27"/>
  <c r="R15" i="27"/>
  <c r="AM15" i="27" s="1"/>
  <c r="G16" i="27" s="1"/>
  <c r="AR14" i="27"/>
  <c r="AL14" i="27"/>
  <c r="AK14" i="27"/>
  <c r="AG14" i="27"/>
  <c r="AF14" i="27"/>
  <c r="AB14" i="27"/>
  <c r="AA14" i="27"/>
  <c r="T14" i="27"/>
  <c r="S14" i="27"/>
  <c r="R14" i="27"/>
  <c r="AM14" i="27" s="1"/>
  <c r="G15" i="27" s="1"/>
  <c r="H14" i="27"/>
  <c r="G14" i="27"/>
  <c r="AR13" i="27"/>
  <c r="AL13" i="27"/>
  <c r="AK13" i="27"/>
  <c r="AG13" i="27"/>
  <c r="AF13" i="27"/>
  <c r="AB13" i="27"/>
  <c r="AA13" i="27"/>
  <c r="T13" i="27"/>
  <c r="S13" i="27"/>
  <c r="R13" i="27"/>
  <c r="AM13" i="27" s="1"/>
  <c r="H13" i="27"/>
  <c r="G13" i="27"/>
  <c r="AR12" i="27"/>
  <c r="AL12" i="27"/>
  <c r="AK12" i="27"/>
  <c r="AG12" i="27"/>
  <c r="AF12" i="27"/>
  <c r="AB12" i="27"/>
  <c r="AA12" i="27"/>
  <c r="T12" i="27"/>
  <c r="S12" i="27"/>
  <c r="R12" i="27"/>
  <c r="AM12" i="27" s="1"/>
  <c r="H12" i="27"/>
  <c r="G12" i="27"/>
  <c r="AR11" i="27"/>
  <c r="AL11" i="27"/>
  <c r="AK11" i="27"/>
  <c r="AG11" i="27"/>
  <c r="AF11" i="27"/>
  <c r="AB11" i="27"/>
  <c r="AA11" i="27"/>
  <c r="T11" i="27"/>
  <c r="S11" i="27"/>
  <c r="R11" i="27"/>
  <c r="AM11" i="27" s="1"/>
  <c r="AR10" i="27"/>
  <c r="AL10" i="27"/>
  <c r="AK10" i="27"/>
  <c r="AG10" i="27"/>
  <c r="AF10" i="27"/>
  <c r="AB10" i="27"/>
  <c r="AA10" i="27"/>
  <c r="T10" i="27"/>
  <c r="S10" i="27"/>
  <c r="R10" i="27"/>
  <c r="AM10" i="27" s="1"/>
  <c r="G11" i="27" s="1"/>
  <c r="AR9" i="27"/>
  <c r="AL9" i="27"/>
  <c r="AK9" i="27"/>
  <c r="AG9" i="27"/>
  <c r="AF9" i="27"/>
  <c r="AB9" i="27"/>
  <c r="AA9" i="27"/>
  <c r="T9" i="27"/>
  <c r="S9" i="27"/>
  <c r="R9" i="27"/>
  <c r="AM9" i="27" s="1"/>
  <c r="G10" i="27" s="1"/>
  <c r="AR8" i="27"/>
  <c r="AL8" i="27"/>
  <c r="AK8" i="27"/>
  <c r="AG8" i="27"/>
  <c r="AF8" i="27"/>
  <c r="AB8" i="27"/>
  <c r="AA8" i="27"/>
  <c r="T8" i="27"/>
  <c r="S8" i="27"/>
  <c r="R8" i="27"/>
  <c r="AM8" i="27" s="1"/>
  <c r="G9" i="27" s="1"/>
  <c r="AR7" i="27"/>
  <c r="AL7" i="27"/>
  <c r="AK7" i="27"/>
  <c r="AG7" i="27"/>
  <c r="AF7" i="27"/>
  <c r="AB7" i="27"/>
  <c r="AA7" i="27"/>
  <c r="T7" i="27"/>
  <c r="S7" i="27"/>
  <c r="R7" i="27"/>
  <c r="AM7" i="27" s="1"/>
  <c r="G8" i="27" s="1"/>
  <c r="AR6" i="27"/>
  <c r="AL6" i="27"/>
  <c r="AK6" i="27"/>
  <c r="AG6" i="27"/>
  <c r="AF6" i="27"/>
  <c r="AB6" i="27"/>
  <c r="AA6" i="27"/>
  <c r="T6" i="27"/>
  <c r="S6" i="27"/>
  <c r="R6" i="27"/>
  <c r="AM6" i="27" s="1"/>
  <c r="G7" i="27" s="1"/>
  <c r="B6" i="27"/>
  <c r="B8" i="27" s="1"/>
  <c r="AR5" i="27"/>
  <c r="AL5" i="27"/>
  <c r="AK5" i="27"/>
  <c r="AG5" i="27"/>
  <c r="AF5" i="27"/>
  <c r="AB5" i="27"/>
  <c r="AA5" i="27"/>
  <c r="T5" i="27"/>
  <c r="S5" i="27"/>
  <c r="R5" i="27"/>
  <c r="AM5" i="27" s="1"/>
  <c r="G6" i="27" s="1"/>
  <c r="G5" i="27"/>
  <c r="B5" i="27"/>
  <c r="A5" i="27" s="1"/>
  <c r="AR4" i="27"/>
  <c r="AL4" i="27"/>
  <c r="AK4" i="27"/>
  <c r="AG4" i="27"/>
  <c r="AF4" i="27"/>
  <c r="AB4" i="27"/>
  <c r="AA4" i="27"/>
  <c r="T4" i="27"/>
  <c r="S4" i="27"/>
  <c r="R4" i="27"/>
  <c r="AM4" i="27" s="1"/>
  <c r="H4" i="27"/>
  <c r="G4" i="27"/>
  <c r="A4" i="27"/>
  <c r="AP1" i="27"/>
  <c r="L5" i="1"/>
  <c r="G5" i="1"/>
  <c r="AR65" i="22"/>
  <c r="AL65" i="22"/>
  <c r="AK65" i="22"/>
  <c r="AG65" i="22"/>
  <c r="AF65" i="22"/>
  <c r="T65" i="22"/>
  <c r="S65" i="22"/>
  <c r="R65" i="22"/>
  <c r="AM65" i="22" s="1"/>
  <c r="H65" i="22"/>
  <c r="G65" i="22"/>
  <c r="AR64" i="22"/>
  <c r="AL64" i="22"/>
  <c r="AK64" i="22"/>
  <c r="AG64" i="22"/>
  <c r="AF64" i="22"/>
  <c r="T64" i="22"/>
  <c r="S64" i="22"/>
  <c r="R64" i="22"/>
  <c r="AM64" i="22" s="1"/>
  <c r="H64" i="22"/>
  <c r="G64" i="22"/>
  <c r="AR63" i="22"/>
  <c r="AL63" i="22"/>
  <c r="AK63" i="22"/>
  <c r="AG63" i="22"/>
  <c r="AF63" i="22"/>
  <c r="T63" i="22"/>
  <c r="S63" i="22"/>
  <c r="R63" i="22"/>
  <c r="AM63" i="22" s="1"/>
  <c r="H63" i="22"/>
  <c r="G63" i="22"/>
  <c r="AR62" i="22"/>
  <c r="AL62" i="22"/>
  <c r="AK62" i="22"/>
  <c r="AG62" i="22"/>
  <c r="AF62" i="22"/>
  <c r="T62" i="22"/>
  <c r="S62" i="22"/>
  <c r="R62" i="22"/>
  <c r="AM62" i="22" s="1"/>
  <c r="H62" i="22"/>
  <c r="G62" i="22"/>
  <c r="AR61" i="22"/>
  <c r="AL61" i="22"/>
  <c r="AK61" i="22"/>
  <c r="AG61" i="22"/>
  <c r="AF61" i="22"/>
  <c r="T61" i="22"/>
  <c r="S61" i="22"/>
  <c r="R61" i="22"/>
  <c r="AM61" i="22" s="1"/>
  <c r="H61" i="22"/>
  <c r="G61" i="22"/>
  <c r="AR60" i="22"/>
  <c r="AL60" i="22"/>
  <c r="AK60" i="22"/>
  <c r="AG60" i="22"/>
  <c r="AF60" i="22"/>
  <c r="T60" i="22"/>
  <c r="S60" i="22"/>
  <c r="R60" i="22"/>
  <c r="AM60" i="22" s="1"/>
  <c r="H60" i="22"/>
  <c r="G60" i="22"/>
  <c r="AR59" i="22"/>
  <c r="AL59" i="22"/>
  <c r="AK59" i="22"/>
  <c r="AG59" i="22"/>
  <c r="AF59" i="22"/>
  <c r="T59" i="22"/>
  <c r="S59" i="22"/>
  <c r="R59" i="22"/>
  <c r="AM59" i="22" s="1"/>
  <c r="H59" i="22"/>
  <c r="G59" i="22"/>
  <c r="AR58" i="22"/>
  <c r="AL58" i="22"/>
  <c r="AK58" i="22"/>
  <c r="AG58" i="22"/>
  <c r="AF58" i="22"/>
  <c r="T58" i="22"/>
  <c r="S58" i="22"/>
  <c r="R58" i="22"/>
  <c r="AM58" i="22" s="1"/>
  <c r="H58" i="22"/>
  <c r="G58" i="22"/>
  <c r="AR57" i="22"/>
  <c r="AL57" i="22"/>
  <c r="AK57" i="22"/>
  <c r="AG57" i="22"/>
  <c r="AF57" i="22"/>
  <c r="T57" i="22"/>
  <c r="S57" i="22"/>
  <c r="R57" i="22"/>
  <c r="AM57" i="22" s="1"/>
  <c r="H57" i="22"/>
  <c r="G57" i="22"/>
  <c r="AR56" i="22"/>
  <c r="AL56" i="22"/>
  <c r="AK56" i="22"/>
  <c r="AG56" i="22"/>
  <c r="AF56" i="22"/>
  <c r="T56" i="22"/>
  <c r="S56" i="22"/>
  <c r="R56" i="22"/>
  <c r="AM56" i="22" s="1"/>
  <c r="H56" i="22"/>
  <c r="G56" i="22"/>
  <c r="AR55" i="22"/>
  <c r="AL55" i="22"/>
  <c r="AK55" i="22"/>
  <c r="AG55" i="22"/>
  <c r="AF55" i="22"/>
  <c r="T55" i="22"/>
  <c r="S55" i="22"/>
  <c r="R55" i="22"/>
  <c r="AM55" i="22" s="1"/>
  <c r="H55" i="22"/>
  <c r="G55" i="22"/>
  <c r="AR54" i="22"/>
  <c r="AL54" i="22"/>
  <c r="AK54" i="22"/>
  <c r="AG54" i="22"/>
  <c r="AF54" i="22"/>
  <c r="T54" i="22"/>
  <c r="S54" i="22"/>
  <c r="R54" i="22"/>
  <c r="AM54" i="22" s="1"/>
  <c r="H54" i="22"/>
  <c r="G54" i="22"/>
  <c r="AR53" i="22"/>
  <c r="AL53" i="22"/>
  <c r="AK53" i="22"/>
  <c r="AG53" i="22"/>
  <c r="AF53" i="22"/>
  <c r="T53" i="22"/>
  <c r="S53" i="22"/>
  <c r="R53" i="22"/>
  <c r="AM53" i="22" s="1"/>
  <c r="H53" i="22"/>
  <c r="G53" i="22"/>
  <c r="AR52" i="22"/>
  <c r="AL52" i="22"/>
  <c r="AK52" i="22"/>
  <c r="AG52" i="22"/>
  <c r="AF52" i="22"/>
  <c r="T52" i="22"/>
  <c r="S52" i="22"/>
  <c r="R52" i="22"/>
  <c r="AM52" i="22" s="1"/>
  <c r="H52" i="22"/>
  <c r="G52" i="22"/>
  <c r="AR51" i="22"/>
  <c r="AL51" i="22"/>
  <c r="AK51" i="22"/>
  <c r="AG51" i="22"/>
  <c r="AF51" i="22"/>
  <c r="T51" i="22"/>
  <c r="S51" i="22"/>
  <c r="R51" i="22"/>
  <c r="AM51" i="22" s="1"/>
  <c r="H51" i="22"/>
  <c r="G51" i="22"/>
  <c r="AR50" i="22"/>
  <c r="AL50" i="22"/>
  <c r="AK50" i="22"/>
  <c r="AG50" i="22"/>
  <c r="AF50" i="22"/>
  <c r="T50" i="22"/>
  <c r="S50" i="22"/>
  <c r="R50" i="22"/>
  <c r="AM50" i="22" s="1"/>
  <c r="H50" i="22"/>
  <c r="G50" i="22"/>
  <c r="AR49" i="22"/>
  <c r="AL49" i="22"/>
  <c r="AK49" i="22"/>
  <c r="AG49" i="22"/>
  <c r="AF49" i="22"/>
  <c r="T49" i="22"/>
  <c r="S49" i="22"/>
  <c r="R49" i="22"/>
  <c r="AM49" i="22" s="1"/>
  <c r="H49" i="22"/>
  <c r="G49" i="22"/>
  <c r="AR48" i="22"/>
  <c r="AL48" i="22"/>
  <c r="AK48" i="22"/>
  <c r="AG48" i="22"/>
  <c r="AF48" i="22"/>
  <c r="T48" i="22"/>
  <c r="S48" i="22"/>
  <c r="R48" i="22"/>
  <c r="AM48" i="22" s="1"/>
  <c r="H48" i="22"/>
  <c r="G48" i="22"/>
  <c r="AR47" i="22"/>
  <c r="AL47" i="22"/>
  <c r="AK47" i="22"/>
  <c r="AG47" i="22"/>
  <c r="AF47" i="22"/>
  <c r="T47" i="22"/>
  <c r="S47" i="22"/>
  <c r="R47" i="22"/>
  <c r="AM47" i="22" s="1"/>
  <c r="H47" i="22"/>
  <c r="G47" i="22"/>
  <c r="AR46" i="22"/>
  <c r="AL46" i="22"/>
  <c r="AK46" i="22"/>
  <c r="AG46" i="22"/>
  <c r="AF46" i="22"/>
  <c r="T46" i="22"/>
  <c r="S46" i="22"/>
  <c r="R46" i="22"/>
  <c r="AM46" i="22" s="1"/>
  <c r="H46" i="22"/>
  <c r="G46" i="22"/>
  <c r="AR45" i="22"/>
  <c r="AL45" i="22"/>
  <c r="AK45" i="22"/>
  <c r="AG45" i="22"/>
  <c r="AF45" i="22"/>
  <c r="T45" i="22"/>
  <c r="S45" i="22"/>
  <c r="R45" i="22"/>
  <c r="AM45" i="22" s="1"/>
  <c r="H45" i="22"/>
  <c r="G45" i="22"/>
  <c r="AR44" i="22"/>
  <c r="AL44" i="22"/>
  <c r="AK44" i="22"/>
  <c r="AG44" i="22"/>
  <c r="AF44" i="22"/>
  <c r="T44" i="22"/>
  <c r="S44" i="22"/>
  <c r="R44" i="22"/>
  <c r="AM44" i="22" s="1"/>
  <c r="H44" i="22"/>
  <c r="G44" i="22"/>
  <c r="AR43" i="22"/>
  <c r="AL43" i="22"/>
  <c r="AK43" i="22"/>
  <c r="AG43" i="22"/>
  <c r="AF43" i="22"/>
  <c r="T43" i="22"/>
  <c r="S43" i="22"/>
  <c r="R43" i="22"/>
  <c r="AM43" i="22" s="1"/>
  <c r="H43" i="22"/>
  <c r="G43" i="22"/>
  <c r="AR42" i="22"/>
  <c r="AL42" i="22"/>
  <c r="AK42" i="22"/>
  <c r="AG42" i="22"/>
  <c r="AF42" i="22"/>
  <c r="T42" i="22"/>
  <c r="S42" i="22"/>
  <c r="R42" i="22"/>
  <c r="AM42" i="22" s="1"/>
  <c r="H42" i="22"/>
  <c r="G42" i="22"/>
  <c r="AR41" i="22"/>
  <c r="AL41" i="22"/>
  <c r="AK41" i="22"/>
  <c r="AG41" i="22"/>
  <c r="AF41" i="22"/>
  <c r="T41" i="22"/>
  <c r="S41" i="22"/>
  <c r="R41" i="22"/>
  <c r="AM41" i="22" s="1"/>
  <c r="H41" i="22"/>
  <c r="G41" i="22"/>
  <c r="AR40" i="22"/>
  <c r="AK40" i="22"/>
  <c r="AG40" i="22"/>
  <c r="AF40" i="22"/>
  <c r="T40" i="22"/>
  <c r="S40" i="22"/>
  <c r="R40" i="22"/>
  <c r="AM40" i="22" s="1"/>
  <c r="H40" i="22"/>
  <c r="G40" i="22"/>
  <c r="AR39" i="22"/>
  <c r="AL39" i="22"/>
  <c r="AK39" i="22"/>
  <c r="AG39" i="22"/>
  <c r="AF39" i="22"/>
  <c r="T39" i="22"/>
  <c r="S39" i="22"/>
  <c r="R39" i="22"/>
  <c r="AM39" i="22" s="1"/>
  <c r="H39" i="22"/>
  <c r="G39" i="22"/>
  <c r="AR38" i="22"/>
  <c r="AL38" i="22"/>
  <c r="AK38" i="22"/>
  <c r="AG38" i="22"/>
  <c r="AF38" i="22"/>
  <c r="T38" i="22"/>
  <c r="S38" i="22"/>
  <c r="R38" i="22"/>
  <c r="AM38" i="22" s="1"/>
  <c r="H38" i="22"/>
  <c r="G38" i="22"/>
  <c r="AR37" i="22"/>
  <c r="AL37" i="22"/>
  <c r="AK37" i="22"/>
  <c r="AG37" i="22"/>
  <c r="AF37" i="22"/>
  <c r="T37" i="22"/>
  <c r="S37" i="22"/>
  <c r="R37" i="22"/>
  <c r="AM37" i="22" s="1"/>
  <c r="H37" i="22"/>
  <c r="G37" i="22"/>
  <c r="AR36" i="22"/>
  <c r="AL36" i="22"/>
  <c r="AK36" i="22"/>
  <c r="AG36" i="22"/>
  <c r="AF36" i="22"/>
  <c r="T36" i="22"/>
  <c r="S36" i="22"/>
  <c r="R36" i="22"/>
  <c r="AM36" i="22" s="1"/>
  <c r="H36" i="22"/>
  <c r="G36" i="22"/>
  <c r="AR35" i="22"/>
  <c r="AL35" i="22"/>
  <c r="AK35" i="22"/>
  <c r="AG35" i="22"/>
  <c r="AF35" i="22"/>
  <c r="T35" i="22"/>
  <c r="S35" i="22"/>
  <c r="R35" i="22"/>
  <c r="AM35" i="22" s="1"/>
  <c r="H35" i="22"/>
  <c r="G35" i="22"/>
  <c r="AR34" i="22"/>
  <c r="AL34" i="22"/>
  <c r="AK34" i="22"/>
  <c r="AG34" i="22"/>
  <c r="AF34" i="22"/>
  <c r="T34" i="22"/>
  <c r="S34" i="22"/>
  <c r="R34" i="22"/>
  <c r="AM34" i="22" s="1"/>
  <c r="H34" i="22"/>
  <c r="G34" i="22"/>
  <c r="AR33" i="22"/>
  <c r="AL33" i="22"/>
  <c r="AK33" i="22"/>
  <c r="AG33" i="22"/>
  <c r="AF33" i="22"/>
  <c r="T33" i="22"/>
  <c r="S33" i="22"/>
  <c r="R33" i="22"/>
  <c r="AM33" i="22" s="1"/>
  <c r="H33" i="22"/>
  <c r="G33" i="22"/>
  <c r="AR32" i="22"/>
  <c r="AL32" i="22"/>
  <c r="AK32" i="22"/>
  <c r="AG32" i="22"/>
  <c r="AF32" i="22"/>
  <c r="T32" i="22"/>
  <c r="S32" i="22"/>
  <c r="R32" i="22"/>
  <c r="AM32" i="22" s="1"/>
  <c r="H32" i="22"/>
  <c r="G32" i="22"/>
  <c r="AR31" i="22"/>
  <c r="AL31" i="22"/>
  <c r="AK31" i="22"/>
  <c r="AG31" i="22"/>
  <c r="AF31" i="22"/>
  <c r="T31" i="22"/>
  <c r="S31" i="22"/>
  <c r="R31" i="22"/>
  <c r="AM31" i="22" s="1"/>
  <c r="H31" i="22"/>
  <c r="G31" i="22"/>
  <c r="AR30" i="22"/>
  <c r="AL30" i="22"/>
  <c r="AK30" i="22"/>
  <c r="AG30" i="22"/>
  <c r="AF30" i="22"/>
  <c r="T30" i="22"/>
  <c r="S30" i="22"/>
  <c r="R30" i="22"/>
  <c r="AM30" i="22" s="1"/>
  <c r="H30" i="22"/>
  <c r="G30" i="22"/>
  <c r="AR29" i="22"/>
  <c r="AL29" i="22"/>
  <c r="AK29" i="22"/>
  <c r="AG29" i="22"/>
  <c r="AF29" i="22"/>
  <c r="T29" i="22"/>
  <c r="S29" i="22"/>
  <c r="R29" i="22"/>
  <c r="AM29" i="22" s="1"/>
  <c r="H29" i="22"/>
  <c r="G29" i="22"/>
  <c r="AR28" i="22"/>
  <c r="AL28" i="22"/>
  <c r="AK28" i="22"/>
  <c r="AG28" i="22"/>
  <c r="AF28" i="22"/>
  <c r="T28" i="22"/>
  <c r="S28" i="22"/>
  <c r="R28" i="22"/>
  <c r="AM28" i="22" s="1"/>
  <c r="H28" i="22"/>
  <c r="G28" i="22"/>
  <c r="AR27" i="22"/>
  <c r="AL27" i="22"/>
  <c r="AK27" i="22"/>
  <c r="AG27" i="22"/>
  <c r="AF27" i="22"/>
  <c r="T27" i="22"/>
  <c r="S27" i="22"/>
  <c r="R27" i="22"/>
  <c r="AM27" i="22" s="1"/>
  <c r="H27" i="22"/>
  <c r="G27" i="22"/>
  <c r="AR26" i="22"/>
  <c r="AL26" i="22"/>
  <c r="AK26" i="22"/>
  <c r="AG26" i="22"/>
  <c r="AF26" i="22"/>
  <c r="T26" i="22"/>
  <c r="S26" i="22"/>
  <c r="R26" i="22"/>
  <c r="AM26" i="22" s="1"/>
  <c r="H26" i="22"/>
  <c r="G26" i="22"/>
  <c r="AR25" i="22"/>
  <c r="AL25" i="22"/>
  <c r="AK25" i="22"/>
  <c r="AG25" i="22"/>
  <c r="AF25" i="22"/>
  <c r="T25" i="22"/>
  <c r="S25" i="22"/>
  <c r="R25" i="22"/>
  <c r="AM25" i="22" s="1"/>
  <c r="H25" i="22"/>
  <c r="G25" i="22"/>
  <c r="AR24" i="22"/>
  <c r="AL24" i="22"/>
  <c r="AK24" i="22"/>
  <c r="AG24" i="22"/>
  <c r="AF24" i="22"/>
  <c r="T24" i="22"/>
  <c r="S24" i="22"/>
  <c r="R24" i="22"/>
  <c r="AM24" i="22" s="1"/>
  <c r="H24" i="22"/>
  <c r="G24" i="22"/>
  <c r="AR23" i="22"/>
  <c r="AL23" i="22"/>
  <c r="AK23" i="22"/>
  <c r="AG23" i="22"/>
  <c r="AF23" i="22"/>
  <c r="T23" i="22"/>
  <c r="S23" i="22"/>
  <c r="R23" i="22"/>
  <c r="AM23" i="22" s="1"/>
  <c r="H23" i="22"/>
  <c r="G23" i="22"/>
  <c r="AR22" i="22"/>
  <c r="AL22" i="22"/>
  <c r="AK22" i="22"/>
  <c r="AG22" i="22"/>
  <c r="AF22" i="22"/>
  <c r="T22" i="22"/>
  <c r="S22" i="22"/>
  <c r="R22" i="22"/>
  <c r="AM22" i="22" s="1"/>
  <c r="H22" i="22"/>
  <c r="G22" i="22"/>
  <c r="AR21" i="22"/>
  <c r="AL21" i="22"/>
  <c r="AK21" i="22"/>
  <c r="AG21" i="22"/>
  <c r="AF21" i="22"/>
  <c r="T21" i="22"/>
  <c r="S21" i="22"/>
  <c r="R21" i="22"/>
  <c r="AM21" i="22" s="1"/>
  <c r="H21" i="22"/>
  <c r="G21" i="22"/>
  <c r="AR20" i="22"/>
  <c r="AL20" i="22"/>
  <c r="AK20" i="22"/>
  <c r="AG20" i="22"/>
  <c r="AF20" i="22"/>
  <c r="T20" i="22"/>
  <c r="S20" i="22"/>
  <c r="R20" i="22"/>
  <c r="AM20" i="22" s="1"/>
  <c r="H20" i="22"/>
  <c r="G20" i="22"/>
  <c r="AR19" i="22"/>
  <c r="AL19" i="22"/>
  <c r="AK19" i="22"/>
  <c r="AG19" i="22"/>
  <c r="AF19" i="22"/>
  <c r="T19" i="22"/>
  <c r="S19" i="22"/>
  <c r="R19" i="22"/>
  <c r="AM19" i="22" s="1"/>
  <c r="H19" i="22"/>
  <c r="G19" i="22"/>
  <c r="AR18" i="22"/>
  <c r="AL18" i="22"/>
  <c r="AK18" i="22"/>
  <c r="AG18" i="22"/>
  <c r="AF18" i="22"/>
  <c r="T18" i="22"/>
  <c r="S18" i="22"/>
  <c r="R18" i="22"/>
  <c r="AM18" i="22" s="1"/>
  <c r="H18" i="22"/>
  <c r="G18" i="22"/>
  <c r="AR17" i="22"/>
  <c r="AL17" i="22"/>
  <c r="AK17" i="22"/>
  <c r="AG17" i="22"/>
  <c r="AF17" i="22"/>
  <c r="T17" i="22"/>
  <c r="S17" i="22"/>
  <c r="R17" i="22"/>
  <c r="AM17" i="22" s="1"/>
  <c r="H17" i="22"/>
  <c r="G17" i="22"/>
  <c r="AR16" i="22"/>
  <c r="AL16" i="22"/>
  <c r="AK16" i="22"/>
  <c r="AG16" i="22"/>
  <c r="AF16" i="22"/>
  <c r="T16" i="22"/>
  <c r="S16" i="22"/>
  <c r="R16" i="22"/>
  <c r="AM16" i="22" s="1"/>
  <c r="H16" i="22"/>
  <c r="G16" i="22"/>
  <c r="AR15" i="22"/>
  <c r="AL15" i="22"/>
  <c r="AK15" i="22"/>
  <c r="AG15" i="22"/>
  <c r="AF15" i="22"/>
  <c r="T15" i="22"/>
  <c r="S15" i="22"/>
  <c r="R15" i="22"/>
  <c r="AM15" i="22" s="1"/>
  <c r="H15" i="22"/>
  <c r="G15" i="22"/>
  <c r="AR14" i="22"/>
  <c r="AL14" i="22"/>
  <c r="AK14" i="22"/>
  <c r="AG14" i="22"/>
  <c r="AF14" i="22"/>
  <c r="T14" i="22"/>
  <c r="S14" i="22"/>
  <c r="R14" i="22"/>
  <c r="AM14" i="22" s="1"/>
  <c r="H14" i="22"/>
  <c r="G14" i="22"/>
  <c r="AR13" i="22"/>
  <c r="AL13" i="22"/>
  <c r="AK13" i="22"/>
  <c r="AG13" i="22"/>
  <c r="AF13" i="22"/>
  <c r="T13" i="22"/>
  <c r="S13" i="22"/>
  <c r="R13" i="22"/>
  <c r="AM13" i="22" s="1"/>
  <c r="H13" i="22"/>
  <c r="G13" i="22"/>
  <c r="AR12" i="22"/>
  <c r="AL12" i="22"/>
  <c r="AK12" i="22"/>
  <c r="AG12" i="22"/>
  <c r="AF12" i="22"/>
  <c r="T12" i="22"/>
  <c r="S12" i="22"/>
  <c r="R12" i="22"/>
  <c r="AM12" i="22" s="1"/>
  <c r="H12" i="22"/>
  <c r="G12" i="22"/>
  <c r="AR11" i="22"/>
  <c r="AL11" i="22"/>
  <c r="AK11" i="22"/>
  <c r="AG11" i="22"/>
  <c r="AF11" i="22"/>
  <c r="T11" i="22"/>
  <c r="S11" i="22"/>
  <c r="R11" i="22"/>
  <c r="AM11" i="22" s="1"/>
  <c r="H11" i="22"/>
  <c r="G11" i="22"/>
  <c r="AR10" i="22"/>
  <c r="AL10" i="22"/>
  <c r="AK10" i="22"/>
  <c r="AG10" i="22"/>
  <c r="AF10" i="22"/>
  <c r="T10" i="22"/>
  <c r="S10" i="22"/>
  <c r="R10" i="22"/>
  <c r="AM10" i="22" s="1"/>
  <c r="H10" i="22"/>
  <c r="G10" i="22"/>
  <c r="AR9" i="22"/>
  <c r="AL9" i="22"/>
  <c r="AK9" i="22"/>
  <c r="AG9" i="22"/>
  <c r="AF9" i="22"/>
  <c r="T9" i="22"/>
  <c r="S9" i="22"/>
  <c r="R9" i="22"/>
  <c r="AM9" i="22" s="1"/>
  <c r="H9" i="22"/>
  <c r="G9" i="22"/>
  <c r="AR8" i="22"/>
  <c r="AL8" i="22"/>
  <c r="AK8" i="22"/>
  <c r="AG8" i="22"/>
  <c r="AF8" i="22"/>
  <c r="T8" i="22"/>
  <c r="S8" i="22"/>
  <c r="R8" i="22"/>
  <c r="AM8" i="22" s="1"/>
  <c r="H8" i="22"/>
  <c r="G8" i="22"/>
  <c r="AR7" i="22"/>
  <c r="AL7" i="22"/>
  <c r="AK7" i="22"/>
  <c r="AG7" i="22"/>
  <c r="AF7" i="22"/>
  <c r="T7" i="22"/>
  <c r="S7" i="22"/>
  <c r="R7" i="22"/>
  <c r="AM7" i="22" s="1"/>
  <c r="H7" i="22"/>
  <c r="G7" i="22"/>
  <c r="AR6" i="22"/>
  <c r="AL6" i="22"/>
  <c r="AK6" i="22"/>
  <c r="AG6" i="22"/>
  <c r="AF6" i="22"/>
  <c r="T6" i="22"/>
  <c r="S6" i="22"/>
  <c r="R6" i="22"/>
  <c r="AM6" i="22" s="1"/>
  <c r="H6" i="22"/>
  <c r="G6" i="22"/>
  <c r="B6" i="22"/>
  <c r="B8" i="22" s="1"/>
  <c r="AR5" i="22"/>
  <c r="AL5" i="22"/>
  <c r="AK5" i="22"/>
  <c r="AG5" i="22"/>
  <c r="AF5" i="22"/>
  <c r="T5" i="22"/>
  <c r="S5" i="22"/>
  <c r="R5" i="22"/>
  <c r="AM5" i="22" s="1"/>
  <c r="H5" i="22"/>
  <c r="G5" i="22"/>
  <c r="B5" i="22"/>
  <c r="A5" i="22" s="1"/>
  <c r="AR4" i="22"/>
  <c r="AL4" i="22"/>
  <c r="AK4" i="22"/>
  <c r="AG4" i="22"/>
  <c r="AF4" i="22"/>
  <c r="T4" i="22"/>
  <c r="S4" i="22"/>
  <c r="R4" i="22"/>
  <c r="AM4" i="22" s="1"/>
  <c r="H4" i="22"/>
  <c r="G4" i="22"/>
  <c r="A4" i="22"/>
  <c r="AP1" i="22"/>
  <c r="B7" i="26" l="1"/>
  <c r="AO64" i="26"/>
  <c r="AT21" i="27"/>
  <c r="AT35" i="27"/>
  <c r="B7" i="27"/>
  <c r="B9" i="27" s="1"/>
  <c r="AO5" i="26"/>
  <c r="AM66" i="22"/>
  <c r="H5" i="1" s="1"/>
  <c r="A49" i="30"/>
  <c r="B51" i="30"/>
  <c r="A50" i="30"/>
  <c r="B52" i="30"/>
  <c r="B52" i="29"/>
  <c r="A50" i="29"/>
  <c r="A49" i="29"/>
  <c r="B51" i="29"/>
  <c r="B50" i="28"/>
  <c r="A48" i="28"/>
  <c r="A43" i="28"/>
  <c r="B45" i="28"/>
  <c r="AN21" i="26"/>
  <c r="AN34" i="27"/>
  <c r="AN36" i="27"/>
  <c r="AO40" i="27"/>
  <c r="AN41" i="27"/>
  <c r="AN62" i="27"/>
  <c r="AN63" i="27"/>
  <c r="AN65" i="27"/>
  <c r="AO33" i="26"/>
  <c r="AN4" i="26"/>
  <c r="AO4" i="26"/>
  <c r="AN9" i="22"/>
  <c r="AO10" i="22"/>
  <c r="AO45" i="26"/>
  <c r="AT65" i="26"/>
  <c r="AT47" i="26"/>
  <c r="AO59" i="26"/>
  <c r="AO16" i="26"/>
  <c r="AO34" i="27"/>
  <c r="AO33" i="27"/>
  <c r="AO35" i="27"/>
  <c r="AO13" i="27"/>
  <c r="AO38" i="27"/>
  <c r="AO39" i="27"/>
  <c r="AO45" i="27"/>
  <c r="AO47" i="27"/>
  <c r="AO52" i="27"/>
  <c r="AO53" i="27"/>
  <c r="AN10" i="27"/>
  <c r="H11" i="27" s="1"/>
  <c r="AO11" i="27" s="1"/>
  <c r="AO36" i="27"/>
  <c r="AN37" i="27"/>
  <c r="AN38" i="27"/>
  <c r="AN42" i="27"/>
  <c r="AN43" i="27"/>
  <c r="AO62" i="27"/>
  <c r="AN16" i="27"/>
  <c r="H17" i="27" s="1"/>
  <c r="AO17" i="27" s="1"/>
  <c r="AN20" i="27"/>
  <c r="H21" i="27" s="1"/>
  <c r="AO21" i="27" s="1"/>
  <c r="AO37" i="27"/>
  <c r="AO42" i="27"/>
  <c r="AO43" i="27"/>
  <c r="AO29" i="27"/>
  <c r="A6" i="27"/>
  <c r="AO11" i="22"/>
  <c r="AN58" i="22"/>
  <c r="AN59" i="22"/>
  <c r="AN5" i="22"/>
  <c r="AN17" i="22"/>
  <c r="AO21" i="22"/>
  <c r="AN26" i="22"/>
  <c r="B7" i="22"/>
  <c r="A6" i="22"/>
  <c r="AO62" i="26"/>
  <c r="AN64" i="26"/>
  <c r="AO63" i="26"/>
  <c r="AN62" i="26"/>
  <c r="AN63" i="26"/>
  <c r="AO63" i="27"/>
  <c r="AO64" i="27"/>
  <c r="AO65" i="27"/>
  <c r="AN62" i="22"/>
  <c r="AN65" i="22"/>
  <c r="AO62" i="22"/>
  <c r="AO63" i="22"/>
  <c r="AO64" i="22"/>
  <c r="AO65" i="22"/>
  <c r="AN60" i="26"/>
  <c r="AO60" i="26"/>
  <c r="AN61" i="26"/>
  <c r="AO51" i="27"/>
  <c r="AN60" i="27"/>
  <c r="AN61" i="27"/>
  <c r="AO57" i="27"/>
  <c r="AO59" i="22"/>
  <c r="AO60" i="22"/>
  <c r="AO51" i="22"/>
  <c r="AN61" i="22"/>
  <c r="AO58" i="22"/>
  <c r="AO50" i="26"/>
  <c r="AO51" i="26"/>
  <c r="AO58" i="26"/>
  <c r="AN49" i="26"/>
  <c r="AO54" i="26"/>
  <c r="AO55" i="26"/>
  <c r="AO56" i="26"/>
  <c r="AO57" i="26"/>
  <c r="AN58" i="26"/>
  <c r="AN59" i="26"/>
  <c r="AO61" i="27"/>
  <c r="AO58" i="27"/>
  <c r="AO59" i="27"/>
  <c r="AO60" i="27"/>
  <c r="AN56" i="27"/>
  <c r="AN57" i="27"/>
  <c r="AN48" i="27"/>
  <c r="AN58" i="27"/>
  <c r="AO53" i="22"/>
  <c r="AO48" i="26"/>
  <c r="AN48" i="26"/>
  <c r="AN51" i="26"/>
  <c r="AP51" i="26" s="1"/>
  <c r="AN52" i="26"/>
  <c r="AO53" i="26"/>
  <c r="AN54" i="26"/>
  <c r="AN57" i="26"/>
  <c r="AT61" i="26"/>
  <c r="AO49" i="26"/>
  <c r="AN53" i="26"/>
  <c r="AN55" i="27"/>
  <c r="AN50" i="27"/>
  <c r="AO48" i="27"/>
  <c r="AN51" i="27"/>
  <c r="AO54" i="27"/>
  <c r="AO49" i="27"/>
  <c r="AN52" i="27"/>
  <c r="AO55" i="22"/>
  <c r="AN48" i="22"/>
  <c r="AO54" i="22"/>
  <c r="AO49" i="22"/>
  <c r="AN51" i="22"/>
  <c r="AN56" i="22"/>
  <c r="AN57" i="22"/>
  <c r="AO50" i="22"/>
  <c r="AN53" i="22"/>
  <c r="AO56" i="22"/>
  <c r="AO57" i="22"/>
  <c r="AN50" i="22"/>
  <c r="AO47" i="22"/>
  <c r="AN34" i="26"/>
  <c r="AO39" i="26"/>
  <c r="AN39" i="26"/>
  <c r="AO46" i="26"/>
  <c r="AO36" i="26"/>
  <c r="AN41" i="26"/>
  <c r="AN47" i="26"/>
  <c r="AN35" i="26"/>
  <c r="AN37" i="26"/>
  <c r="AO40" i="26"/>
  <c r="AN40" i="26"/>
  <c r="AO41" i="26"/>
  <c r="AN44" i="26"/>
  <c r="AN45" i="26"/>
  <c r="AN46" i="26"/>
  <c r="AO38" i="26"/>
  <c r="AO35" i="26"/>
  <c r="AO44" i="26"/>
  <c r="AN46" i="27"/>
  <c r="AN44" i="27"/>
  <c r="AN45" i="27"/>
  <c r="AO37" i="22"/>
  <c r="AO42" i="22"/>
  <c r="AN46" i="22"/>
  <c r="AN41" i="22"/>
  <c r="AO41" i="22"/>
  <c r="AN42" i="22"/>
  <c r="AN44" i="22"/>
  <c r="AN45" i="22"/>
  <c r="AO43" i="22"/>
  <c r="AO34" i="22"/>
  <c r="AO35" i="22"/>
  <c r="AO38" i="22"/>
  <c r="AO39" i="22"/>
  <c r="AN40" i="22"/>
  <c r="AN35" i="22"/>
  <c r="AN37" i="22"/>
  <c r="AO40" i="22"/>
  <c r="AN34" i="22"/>
  <c r="AO12" i="26"/>
  <c r="AO22" i="26"/>
  <c r="AO17" i="26"/>
  <c r="AO19" i="26"/>
  <c r="AN20" i="26"/>
  <c r="AN7" i="26"/>
  <c r="AN8" i="26"/>
  <c r="AN11" i="26"/>
  <c r="AN12" i="26"/>
  <c r="AN13" i="26"/>
  <c r="AN25" i="26"/>
  <c r="AN29" i="26"/>
  <c r="AO18" i="26"/>
  <c r="AN5" i="26"/>
  <c r="AP5" i="26" s="1"/>
  <c r="AO9" i="26"/>
  <c r="AO10" i="26"/>
  <c r="AO11" i="26"/>
  <c r="AO25" i="26"/>
  <c r="AO6" i="26"/>
  <c r="AO13" i="26"/>
  <c r="AO14" i="26"/>
  <c r="AN15" i="26"/>
  <c r="AO27" i="26"/>
  <c r="AO29" i="26"/>
  <c r="AN30" i="26"/>
  <c r="AN16" i="26"/>
  <c r="AN19" i="26"/>
  <c r="AN22" i="26"/>
  <c r="AN24" i="26"/>
  <c r="AO30" i="26"/>
  <c r="AO31" i="26"/>
  <c r="AN32" i="26"/>
  <c r="AN33" i="26"/>
  <c r="AO8" i="26"/>
  <c r="AO21" i="26"/>
  <c r="AN26" i="26"/>
  <c r="AT49" i="26"/>
  <c r="AT19" i="26"/>
  <c r="AT39" i="26"/>
  <c r="AN6" i="26"/>
  <c r="AN14" i="26"/>
  <c r="AT33" i="26"/>
  <c r="AN38" i="26"/>
  <c r="AT53" i="26"/>
  <c r="AO47" i="26"/>
  <c r="A7" i="26"/>
  <c r="B9" i="26"/>
  <c r="B10" i="26"/>
  <c r="AO15" i="26"/>
  <c r="AN43" i="26"/>
  <c r="AO7" i="26"/>
  <c r="AM66" i="26"/>
  <c r="H27" i="1" s="1"/>
  <c r="A6" i="26"/>
  <c r="AN9" i="26"/>
  <c r="AN10" i="26"/>
  <c r="AN17" i="26"/>
  <c r="AN18" i="26"/>
  <c r="AO20" i="26"/>
  <c r="AO23" i="26"/>
  <c r="AO26" i="26"/>
  <c r="AN27" i="26"/>
  <c r="AN28" i="26"/>
  <c r="AN31" i="26"/>
  <c r="AO32" i="26"/>
  <c r="AO34" i="26"/>
  <c r="AN50" i="26"/>
  <c r="AO52" i="26"/>
  <c r="AO24" i="26"/>
  <c r="AO37" i="26"/>
  <c r="AN42" i="26"/>
  <c r="AO61" i="26"/>
  <c r="AN65" i="26"/>
  <c r="AN23" i="26"/>
  <c r="AO28" i="26"/>
  <c r="AN36" i="26"/>
  <c r="AO42" i="26"/>
  <c r="AO43" i="26"/>
  <c r="AN55" i="26"/>
  <c r="AP55" i="26" s="1"/>
  <c r="AN56" i="26"/>
  <c r="AO65" i="26"/>
  <c r="AN8" i="27"/>
  <c r="H9" i="27" s="1"/>
  <c r="AO9" i="27" s="1"/>
  <c r="AN24" i="27"/>
  <c r="H25" i="27" s="1"/>
  <c r="AO25" i="27" s="1"/>
  <c r="AN29" i="27"/>
  <c r="AN30" i="27"/>
  <c r="AO28" i="27"/>
  <c r="AN4" i="27"/>
  <c r="H5" i="27" s="1"/>
  <c r="AO5" i="27" s="1"/>
  <c r="AN25" i="27"/>
  <c r="H26" i="27" s="1"/>
  <c r="AO26" i="27" s="1"/>
  <c r="AN12" i="27"/>
  <c r="AO31" i="27"/>
  <c r="AN14" i="27"/>
  <c r="H15" i="27" s="1"/>
  <c r="AO15" i="27" s="1"/>
  <c r="AN22" i="27"/>
  <c r="H23" i="27" s="1"/>
  <c r="AO23" i="27" s="1"/>
  <c r="AN23" i="27"/>
  <c r="H24" i="27" s="1"/>
  <c r="AO24" i="27" s="1"/>
  <c r="AN28" i="27"/>
  <c r="AO32" i="27"/>
  <c r="AN33" i="27"/>
  <c r="AO4" i="27"/>
  <c r="AN7" i="27"/>
  <c r="H8" i="27" s="1"/>
  <c r="AN13" i="27"/>
  <c r="AN26" i="27"/>
  <c r="H27" i="27" s="1"/>
  <c r="AO27" i="27" s="1"/>
  <c r="AO30" i="27"/>
  <c r="AN32" i="27"/>
  <c r="AO14" i="27"/>
  <c r="AN17" i="27"/>
  <c r="H18" i="27" s="1"/>
  <c r="AO18" i="27" s="1"/>
  <c r="AN18" i="27"/>
  <c r="AM66" i="27"/>
  <c r="H23" i="1" s="1"/>
  <c r="AN19" i="27"/>
  <c r="H20" i="27" s="1"/>
  <c r="AO20" i="27" s="1"/>
  <c r="A7" i="27"/>
  <c r="AO12" i="27"/>
  <c r="AN15" i="27"/>
  <c r="H16" i="27" s="1"/>
  <c r="AO16" i="27" s="1"/>
  <c r="A8" i="27"/>
  <c r="B10" i="27"/>
  <c r="AN5" i="27"/>
  <c r="H6" i="27" s="1"/>
  <c r="AO6" i="27" s="1"/>
  <c r="AN6" i="27"/>
  <c r="H7" i="27" s="1"/>
  <c r="AO7" i="27" s="1"/>
  <c r="AO8" i="27"/>
  <c r="AN9" i="27"/>
  <c r="H10" i="27" s="1"/>
  <c r="AO10" i="27" s="1"/>
  <c r="AN11" i="27"/>
  <c r="AO56" i="27"/>
  <c r="AN59" i="27"/>
  <c r="AN64" i="27"/>
  <c r="AN21" i="27"/>
  <c r="H22" i="27" s="1"/>
  <c r="AO22" i="27" s="1"/>
  <c r="AN27" i="27"/>
  <c r="AN39" i="27"/>
  <c r="AT53" i="27"/>
  <c r="AO41" i="27"/>
  <c r="AT41" i="27"/>
  <c r="AN40" i="27"/>
  <c r="AO50" i="27"/>
  <c r="AN53" i="27"/>
  <c r="AO55" i="27"/>
  <c r="AT39" i="27"/>
  <c r="AN31" i="27"/>
  <c r="AN35" i="27"/>
  <c r="AT55" i="27"/>
  <c r="AO44" i="27"/>
  <c r="AO46" i="27"/>
  <c r="AN47" i="27"/>
  <c r="AT61" i="27"/>
  <c r="AN49" i="27"/>
  <c r="AN54" i="27"/>
  <c r="AN30" i="22"/>
  <c r="AO13" i="22"/>
  <c r="AO9" i="22"/>
  <c r="AN12" i="22"/>
  <c r="AO7" i="22"/>
  <c r="AN8" i="22"/>
  <c r="AO18" i="22"/>
  <c r="AO19" i="22"/>
  <c r="AO8" i="22"/>
  <c r="AO25" i="22"/>
  <c r="AO5" i="22"/>
  <c r="AO31" i="22"/>
  <c r="AN4" i="22"/>
  <c r="AO6" i="22"/>
  <c r="AN10" i="22"/>
  <c r="AN13" i="22"/>
  <c r="AN16" i="22"/>
  <c r="AN28" i="22"/>
  <c r="AN29" i="22"/>
  <c r="AO33" i="22"/>
  <c r="AO4" i="22"/>
  <c r="AP4" i="22" s="1"/>
  <c r="AO14" i="22"/>
  <c r="AO15" i="22"/>
  <c r="AO16" i="22"/>
  <c r="AO22" i="22"/>
  <c r="AO23" i="22"/>
  <c r="AN24" i="22"/>
  <c r="AN19" i="22"/>
  <c r="AN21" i="22"/>
  <c r="AO24" i="22"/>
  <c r="AN25" i="22"/>
  <c r="AN32" i="22"/>
  <c r="AO27" i="22"/>
  <c r="AO17" i="22"/>
  <c r="AN18" i="22"/>
  <c r="AP18" i="22" s="1"/>
  <c r="AO26" i="22"/>
  <c r="AN11" i="22"/>
  <c r="A8" i="22"/>
  <c r="B10" i="22"/>
  <c r="AO12" i="22"/>
  <c r="AN20" i="22"/>
  <c r="AN23" i="22"/>
  <c r="AO28" i="22"/>
  <c r="AN36" i="22"/>
  <c r="AN39" i="22"/>
  <c r="AO44" i="22"/>
  <c r="AN52" i="22"/>
  <c r="AN55" i="22"/>
  <c r="AO29" i="22"/>
  <c r="AO45" i="22"/>
  <c r="AN60" i="22"/>
  <c r="AN6" i="22"/>
  <c r="AN7" i="22"/>
  <c r="AN14" i="22"/>
  <c r="AN15" i="22"/>
  <c r="AN22" i="22"/>
  <c r="AO30" i="22"/>
  <c r="AN33" i="22"/>
  <c r="AN38" i="22"/>
  <c r="AO46" i="22"/>
  <c r="AN49" i="22"/>
  <c r="AN54" i="22"/>
  <c r="AN27" i="22"/>
  <c r="AO32" i="22"/>
  <c r="AN43" i="22"/>
  <c r="AO48" i="22"/>
  <c r="AO61" i="22"/>
  <c r="AO20" i="22"/>
  <c r="AN31" i="22"/>
  <c r="AO36" i="22"/>
  <c r="AN47" i="22"/>
  <c r="AO52" i="22"/>
  <c r="AN63" i="22"/>
  <c r="AN64" i="22"/>
  <c r="AP34" i="22" l="1"/>
  <c r="AP64" i="22"/>
  <c r="AP62" i="27"/>
  <c r="AP65" i="27"/>
  <c r="AU35" i="27"/>
  <c r="AU21" i="27"/>
  <c r="AV35" i="27"/>
  <c r="AP19" i="22"/>
  <c r="AP21" i="26"/>
  <c r="AP35" i="22"/>
  <c r="AP63" i="22"/>
  <c r="AP60" i="22"/>
  <c r="AP63" i="27"/>
  <c r="AP47" i="27"/>
  <c r="AO66" i="22"/>
  <c r="J5" i="1" s="1"/>
  <c r="AN66" i="22"/>
  <c r="I5" i="1" s="1"/>
  <c r="AP37" i="27"/>
  <c r="A51" i="30"/>
  <c r="B53" i="30"/>
  <c r="B54" i="30"/>
  <c r="A52" i="30"/>
  <c r="A51" i="29"/>
  <c r="B53" i="29"/>
  <c r="A52" i="29"/>
  <c r="B54" i="29"/>
  <c r="A45" i="28"/>
  <c r="B47" i="28"/>
  <c r="B52" i="28"/>
  <c r="A50" i="28"/>
  <c r="AP16" i="26"/>
  <c r="AP9" i="22"/>
  <c r="AP4" i="26"/>
  <c r="AP36" i="27"/>
  <c r="AP26" i="22"/>
  <c r="AP50" i="26"/>
  <c r="AP42" i="22"/>
  <c r="AP45" i="26"/>
  <c r="AP45" i="27"/>
  <c r="AP54" i="27"/>
  <c r="AP53" i="27"/>
  <c r="AP38" i="27"/>
  <c r="AP34" i="27"/>
  <c r="AP10" i="22"/>
  <c r="AP29" i="27"/>
  <c r="AP39" i="27"/>
  <c r="AP30" i="27"/>
  <c r="AP35" i="27"/>
  <c r="AP22" i="26"/>
  <c r="AP22" i="27"/>
  <c r="AP18" i="27"/>
  <c r="H19" i="27"/>
  <c r="AO19" i="27" s="1"/>
  <c r="AV21" i="27" s="1"/>
  <c r="AP21" i="22"/>
  <c r="AP11" i="27"/>
  <c r="AP5" i="27"/>
  <c r="AP6" i="27"/>
  <c r="AP8" i="27"/>
  <c r="AP10" i="27"/>
  <c r="AP25" i="26"/>
  <c r="AP40" i="26"/>
  <c r="AP57" i="26"/>
  <c r="AP8" i="26"/>
  <c r="AU47" i="26"/>
  <c r="AP63" i="26"/>
  <c r="AV65" i="26"/>
  <c r="AV47" i="26"/>
  <c r="AP27" i="26"/>
  <c r="AP9" i="26"/>
  <c r="AP19" i="26"/>
  <c r="AP64" i="26"/>
  <c r="AP12" i="26"/>
  <c r="AP33" i="26"/>
  <c r="AP29" i="26"/>
  <c r="AP11" i="26"/>
  <c r="AP59" i="26"/>
  <c r="AU65" i="26"/>
  <c r="AP31" i="27"/>
  <c r="AP17" i="27"/>
  <c r="AP20" i="27"/>
  <c r="AP42" i="27"/>
  <c r="AP52" i="27"/>
  <c r="AP28" i="27"/>
  <c r="AP9" i="27"/>
  <c r="AP14" i="27"/>
  <c r="AP43" i="27"/>
  <c r="AP64" i="27"/>
  <c r="AP16" i="27"/>
  <c r="AP25" i="27"/>
  <c r="AP24" i="27"/>
  <c r="AP51" i="27"/>
  <c r="AP12" i="27"/>
  <c r="AP56" i="22"/>
  <c r="AP65" i="22"/>
  <c r="AP59" i="22"/>
  <c r="AP58" i="22"/>
  <c r="AP13" i="22"/>
  <c r="AP30" i="22"/>
  <c r="AP6" i="22"/>
  <c r="AP5" i="22"/>
  <c r="AP62" i="22"/>
  <c r="AP17" i="22"/>
  <c r="B9" i="22"/>
  <c r="A7" i="22"/>
  <c r="AP62" i="26"/>
  <c r="AP58" i="26"/>
  <c r="AP60" i="26"/>
  <c r="AP49" i="26"/>
  <c r="AP61" i="26"/>
  <c r="AP56" i="27"/>
  <c r="AP61" i="27"/>
  <c r="AP57" i="27"/>
  <c r="AP60" i="27"/>
  <c r="AP59" i="27"/>
  <c r="AP51" i="22"/>
  <c r="AP61" i="22"/>
  <c r="AP48" i="22"/>
  <c r="AP58" i="27"/>
  <c r="AP56" i="26"/>
  <c r="AP48" i="26"/>
  <c r="AV61" i="26"/>
  <c r="AP53" i="26"/>
  <c r="AP49" i="27"/>
  <c r="AP55" i="27"/>
  <c r="AP48" i="27"/>
  <c r="AP50" i="22"/>
  <c r="AP55" i="22"/>
  <c r="AP54" i="26"/>
  <c r="AP52" i="26"/>
  <c r="AU61" i="27"/>
  <c r="AP46" i="22"/>
  <c r="AP54" i="22"/>
  <c r="AP53" i="22"/>
  <c r="AP49" i="22"/>
  <c r="AP57" i="22"/>
  <c r="AP43" i="22"/>
  <c r="AP37" i="22"/>
  <c r="AP41" i="22"/>
  <c r="AP44" i="27"/>
  <c r="AP38" i="26"/>
  <c r="AP41" i="26"/>
  <c r="AP46" i="26"/>
  <c r="AP39" i="26"/>
  <c r="AP47" i="26"/>
  <c r="AP42" i="26"/>
  <c r="AV53" i="26"/>
  <c r="AP43" i="26"/>
  <c r="AP35" i="26"/>
  <c r="AP44" i="26"/>
  <c r="AP34" i="26"/>
  <c r="AV55" i="27"/>
  <c r="AP45" i="22"/>
  <c r="AP44" i="22"/>
  <c r="AP38" i="22"/>
  <c r="AP39" i="22"/>
  <c r="AP40" i="22"/>
  <c r="AP36" i="22"/>
  <c r="AP32" i="26"/>
  <c r="AP15" i="26"/>
  <c r="AP13" i="26"/>
  <c r="AP31" i="26"/>
  <c r="AP17" i="26"/>
  <c r="AP24" i="26"/>
  <c r="AP14" i="26"/>
  <c r="AP30" i="26"/>
  <c r="AV19" i="26"/>
  <c r="AP23" i="26"/>
  <c r="AP7" i="26"/>
  <c r="AU53" i="26"/>
  <c r="AV33" i="26"/>
  <c r="AO66" i="26"/>
  <c r="J27" i="1" s="1"/>
  <c r="AU19" i="26"/>
  <c r="AP6" i="26"/>
  <c r="AV49" i="26"/>
  <c r="AP37" i="26"/>
  <c r="AU61" i="26"/>
  <c r="AP65" i="26"/>
  <c r="AP28" i="26"/>
  <c r="AP18" i="26"/>
  <c r="AU33" i="26"/>
  <c r="AU39" i="26"/>
  <c r="AP10" i="26"/>
  <c r="AV39" i="26"/>
  <c r="AP26" i="26"/>
  <c r="AU49" i="26"/>
  <c r="AP36" i="26"/>
  <c r="AN66" i="26"/>
  <c r="I27" i="1" s="1"/>
  <c r="B12" i="26"/>
  <c r="A10" i="26"/>
  <c r="B11" i="26"/>
  <c r="A9" i="26"/>
  <c r="AP20" i="26"/>
  <c r="AP4" i="27"/>
  <c r="AV41" i="27"/>
  <c r="AV39" i="27"/>
  <c r="AP26" i="27"/>
  <c r="AP21" i="27"/>
  <c r="AP33" i="27"/>
  <c r="AP15" i="27"/>
  <c r="AP32" i="27"/>
  <c r="AP13" i="27"/>
  <c r="AP7" i="27"/>
  <c r="AP23" i="27"/>
  <c r="AP27" i="27"/>
  <c r="AU39" i="27"/>
  <c r="AP41" i="27"/>
  <c r="AN66" i="27"/>
  <c r="I23" i="1" s="1"/>
  <c r="AP46" i="27"/>
  <c r="AU55" i="27"/>
  <c r="AU41" i="27"/>
  <c r="AP40" i="27"/>
  <c r="AU53" i="27"/>
  <c r="AP50" i="27"/>
  <c r="A9" i="27"/>
  <c r="B11" i="27"/>
  <c r="AV53" i="27"/>
  <c r="AV61" i="27"/>
  <c r="B12" i="27"/>
  <c r="A10" i="27"/>
  <c r="AP23" i="22"/>
  <c r="AP12" i="22"/>
  <c r="AP8" i="22"/>
  <c r="AP14" i="22"/>
  <c r="AP16" i="22"/>
  <c r="AP27" i="22"/>
  <c r="AP22" i="22"/>
  <c r="AP28" i="22"/>
  <c r="AP25" i="22"/>
  <c r="AP29" i="22"/>
  <c r="AP24" i="22"/>
  <c r="AP33" i="22"/>
  <c r="AP31" i="22"/>
  <c r="B12" i="22"/>
  <c r="A10" i="22"/>
  <c r="AP47" i="22"/>
  <c r="AP7" i="22"/>
  <c r="AP52" i="22"/>
  <c r="AP20" i="22"/>
  <c r="AP11" i="22"/>
  <c r="AP32" i="22"/>
  <c r="AP15" i="22"/>
  <c r="M5" i="1" l="1"/>
  <c r="N5" i="1" s="1"/>
  <c r="AP66" i="22"/>
  <c r="A54" i="30"/>
  <c r="B56" i="30"/>
  <c r="A53" i="30"/>
  <c r="B55" i="30"/>
  <c r="B56" i="29"/>
  <c r="A54" i="29"/>
  <c r="A53" i="29"/>
  <c r="B55" i="29"/>
  <c r="B54" i="28"/>
  <c r="A52" i="28"/>
  <c r="A47" i="28"/>
  <c r="B49" i="28"/>
  <c r="AO66" i="27"/>
  <c r="J23" i="1" s="1"/>
  <c r="M23" i="1" s="1"/>
  <c r="N23" i="1" s="1"/>
  <c r="AP19" i="27"/>
  <c r="A9" i="22"/>
  <c r="B11" i="22"/>
  <c r="M27" i="1"/>
  <c r="N27" i="1" s="1"/>
  <c r="A11" i="26"/>
  <c r="B13" i="26"/>
  <c r="A12" i="26"/>
  <c r="B14" i="26"/>
  <c r="A11" i="27"/>
  <c r="B13" i="27"/>
  <c r="A12" i="27"/>
  <c r="B14" i="27"/>
  <c r="A12" i="22"/>
  <c r="B14" i="22"/>
  <c r="A55" i="30" l="1"/>
  <c r="B57" i="30"/>
  <c r="B58" i="30"/>
  <c r="A56" i="30"/>
  <c r="A55" i="29"/>
  <c r="B57" i="29"/>
  <c r="A56" i="29"/>
  <c r="B58" i="29"/>
  <c r="A49" i="28"/>
  <c r="B51" i="28"/>
  <c r="B56" i="28"/>
  <c r="A54" i="28"/>
  <c r="B13" i="22"/>
  <c r="A11" i="22"/>
  <c r="A13" i="26"/>
  <c r="B15" i="26"/>
  <c r="B16" i="26"/>
  <c r="A14" i="26"/>
  <c r="B16" i="27"/>
  <c r="A14" i="27"/>
  <c r="A13" i="27"/>
  <c r="B15" i="27"/>
  <c r="B16" i="22"/>
  <c r="A14" i="22"/>
  <c r="A58" i="30" l="1"/>
  <c r="B60" i="30"/>
  <c r="A57" i="30"/>
  <c r="B59" i="30"/>
  <c r="B60" i="29"/>
  <c r="A58" i="29"/>
  <c r="A57" i="29"/>
  <c r="B59" i="29"/>
  <c r="B58" i="28"/>
  <c r="A56" i="28"/>
  <c r="A51" i="28"/>
  <c r="B53" i="28"/>
  <c r="A13" i="22"/>
  <c r="B15" i="22"/>
  <c r="A16" i="26"/>
  <c r="B18" i="26"/>
  <c r="A15" i="26"/>
  <c r="B17" i="26"/>
  <c r="A15" i="27"/>
  <c r="B17" i="27"/>
  <c r="A16" i="27"/>
  <c r="B18" i="27"/>
  <c r="A16" i="22"/>
  <c r="B18" i="22"/>
  <c r="AS19" i="11"/>
  <c r="B62" i="30" l="1"/>
  <c r="A60" i="30"/>
  <c r="A59" i="30"/>
  <c r="B61" i="30"/>
  <c r="A59" i="29"/>
  <c r="B61" i="29"/>
  <c r="A60" i="29"/>
  <c r="B62" i="29"/>
  <c r="A53" i="28"/>
  <c r="B55" i="28"/>
  <c r="B60" i="28"/>
  <c r="A58" i="28"/>
  <c r="B17" i="22"/>
  <c r="A15" i="22"/>
  <c r="B20" i="26"/>
  <c r="A18" i="26"/>
  <c r="B19" i="26"/>
  <c r="A17" i="26"/>
  <c r="B20" i="27"/>
  <c r="A18" i="27"/>
  <c r="A17" i="27"/>
  <c r="B19" i="27"/>
  <c r="B20" i="22"/>
  <c r="A18" i="22"/>
  <c r="A62" i="30" l="1"/>
  <c r="B64" i="30"/>
  <c r="A64" i="30" s="1"/>
  <c r="A61" i="30"/>
  <c r="B63" i="30"/>
  <c r="A61" i="29"/>
  <c r="B63" i="29"/>
  <c r="B64" i="29"/>
  <c r="A64" i="29" s="1"/>
  <c r="A62" i="29"/>
  <c r="B62" i="28"/>
  <c r="A60" i="28"/>
  <c r="A55" i="28"/>
  <c r="B57" i="28"/>
  <c r="B19" i="22"/>
  <c r="A17" i="22"/>
  <c r="B21" i="26"/>
  <c r="A19" i="26"/>
  <c r="B22" i="26"/>
  <c r="A20" i="26"/>
  <c r="B22" i="27"/>
  <c r="A20" i="27"/>
  <c r="A19" i="27"/>
  <c r="B21" i="27"/>
  <c r="B22" i="22"/>
  <c r="A20" i="22"/>
  <c r="A63" i="30" l="1"/>
  <c r="B65" i="30"/>
  <c r="A65" i="30" s="1"/>
  <c r="A63" i="29"/>
  <c r="B65" i="29"/>
  <c r="A65" i="29" s="1"/>
  <c r="B64" i="28"/>
  <c r="A64" i="28" s="1"/>
  <c r="A62" i="28"/>
  <c r="A57" i="28"/>
  <c r="B59" i="28"/>
  <c r="B21" i="22"/>
  <c r="A19" i="22"/>
  <c r="A22" i="26"/>
  <c r="B24" i="26"/>
  <c r="B23" i="26"/>
  <c r="A21" i="26"/>
  <c r="B23" i="27"/>
  <c r="A21" i="27"/>
  <c r="B24" i="27"/>
  <c r="A22" i="27"/>
  <c r="A22" i="22"/>
  <c r="B24" i="22"/>
  <c r="M34" i="1"/>
  <c r="M35" i="1"/>
  <c r="M36" i="1"/>
  <c r="M37" i="1"/>
  <c r="M38" i="1"/>
  <c r="M39" i="1"/>
  <c r="M40" i="1"/>
  <c r="M41" i="1"/>
  <c r="M42" i="1"/>
  <c r="A59" i="28" l="1"/>
  <c r="B61" i="28"/>
  <c r="A21" i="22"/>
  <c r="B23" i="22"/>
  <c r="B25" i="26"/>
  <c r="A23" i="26"/>
  <c r="B26" i="26"/>
  <c r="A24" i="26"/>
  <c r="B26" i="27"/>
  <c r="A24" i="27"/>
  <c r="A23" i="27"/>
  <c r="B25" i="27"/>
  <c r="B26" i="22"/>
  <c r="A24" i="22"/>
  <c r="A61" i="28" l="1"/>
  <c r="B63" i="28"/>
  <c r="B25" i="22"/>
  <c r="A23" i="22"/>
  <c r="A26" i="26"/>
  <c r="B28" i="26"/>
  <c r="A25" i="26"/>
  <c r="B27" i="26"/>
  <c r="B28" i="27"/>
  <c r="A26" i="27"/>
  <c r="A25" i="27"/>
  <c r="B27" i="27"/>
  <c r="B28" i="22"/>
  <c r="A26" i="22"/>
  <c r="AB34" i="14"/>
  <c r="A63" i="28" l="1"/>
  <c r="B65" i="28"/>
  <c r="A65" i="28" s="1"/>
  <c r="A25" i="22"/>
  <c r="B27" i="22"/>
  <c r="B30" i="26"/>
  <c r="A28" i="26"/>
  <c r="B29" i="26"/>
  <c r="A27" i="26"/>
  <c r="A27" i="27"/>
  <c r="B29" i="27"/>
  <c r="A28" i="27"/>
  <c r="B30" i="27"/>
  <c r="B30" i="22"/>
  <c r="A28" i="22"/>
  <c r="R26" i="12"/>
  <c r="S26" i="12"/>
  <c r="T26" i="12"/>
  <c r="R27" i="12"/>
  <c r="S27" i="12"/>
  <c r="T27" i="12"/>
  <c r="R28" i="12"/>
  <c r="S28" i="12"/>
  <c r="T28" i="12"/>
  <c r="R29" i="12"/>
  <c r="S29" i="12"/>
  <c r="T29" i="12"/>
  <c r="R30" i="12"/>
  <c r="S30" i="12"/>
  <c r="T30" i="12"/>
  <c r="R31" i="12"/>
  <c r="S31" i="12"/>
  <c r="T31" i="12"/>
  <c r="R32" i="12"/>
  <c r="S32" i="12"/>
  <c r="T32" i="12"/>
  <c r="R33" i="12"/>
  <c r="S33" i="12"/>
  <c r="T33" i="12"/>
  <c r="R34" i="12"/>
  <c r="S34" i="12"/>
  <c r="T34" i="12"/>
  <c r="R35" i="12"/>
  <c r="S35" i="12"/>
  <c r="T35" i="12"/>
  <c r="B29" i="22" l="1"/>
  <c r="A27" i="22"/>
  <c r="A29" i="26"/>
  <c r="B31" i="26"/>
  <c r="A30" i="26"/>
  <c r="B32" i="26"/>
  <c r="B32" i="27"/>
  <c r="A30" i="27"/>
  <c r="A29" i="27"/>
  <c r="B31" i="27"/>
  <c r="B32" i="22"/>
  <c r="A30" i="22"/>
  <c r="L30" i="1"/>
  <c r="L29" i="1"/>
  <c r="L28" i="1"/>
  <c r="L26" i="1"/>
  <c r="L25" i="1"/>
  <c r="L24" i="1"/>
  <c r="L22" i="1"/>
  <c r="L21" i="1"/>
  <c r="L6" i="1"/>
  <c r="L8" i="1"/>
  <c r="L9" i="1"/>
  <c r="L10" i="1"/>
  <c r="L11" i="1"/>
  <c r="L13" i="1"/>
  <c r="L16" i="1"/>
  <c r="L17" i="1"/>
  <c r="AQ1" i="17" s="1"/>
  <c r="AF5" i="2"/>
  <c r="AG5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F38" i="2"/>
  <c r="AG38" i="2"/>
  <c r="AF39" i="2"/>
  <c r="AG39" i="2"/>
  <c r="AF40" i="2"/>
  <c r="AG40" i="2"/>
  <c r="AF41" i="2"/>
  <c r="AG41" i="2"/>
  <c r="AF42" i="2"/>
  <c r="AG42" i="2"/>
  <c r="AF43" i="2"/>
  <c r="AG43" i="2"/>
  <c r="AF44" i="2"/>
  <c r="AG44" i="2"/>
  <c r="AF45" i="2"/>
  <c r="AG45" i="2"/>
  <c r="AF46" i="2"/>
  <c r="AG46" i="2"/>
  <c r="AF47" i="2"/>
  <c r="AG47" i="2"/>
  <c r="AF48" i="2"/>
  <c r="AG48" i="2"/>
  <c r="AF49" i="2"/>
  <c r="AG49" i="2"/>
  <c r="AF50" i="2"/>
  <c r="AG50" i="2"/>
  <c r="AF51" i="2"/>
  <c r="AG51" i="2"/>
  <c r="AF52" i="2"/>
  <c r="AG52" i="2"/>
  <c r="AF53" i="2"/>
  <c r="AG53" i="2"/>
  <c r="AF54" i="2"/>
  <c r="AG54" i="2"/>
  <c r="AF55" i="2"/>
  <c r="AG55" i="2"/>
  <c r="AF56" i="2"/>
  <c r="AG56" i="2"/>
  <c r="AF57" i="2"/>
  <c r="AG57" i="2"/>
  <c r="AF58" i="2"/>
  <c r="AG58" i="2"/>
  <c r="AF59" i="2"/>
  <c r="AG59" i="2"/>
  <c r="AF60" i="2"/>
  <c r="AG60" i="2"/>
  <c r="AF61" i="2"/>
  <c r="AG61" i="2"/>
  <c r="AF62" i="2"/>
  <c r="AG62" i="2"/>
  <c r="AF63" i="2"/>
  <c r="AG63" i="2"/>
  <c r="AF64" i="2"/>
  <c r="AG64" i="2"/>
  <c r="AF65" i="2"/>
  <c r="AG65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A57" i="2"/>
  <c r="AB57" i="2"/>
  <c r="AA58" i="2"/>
  <c r="AB58" i="2"/>
  <c r="AA59" i="2"/>
  <c r="AB59" i="2"/>
  <c r="AA60" i="2"/>
  <c r="AB60" i="2"/>
  <c r="AA61" i="2"/>
  <c r="AB61" i="2"/>
  <c r="AA62" i="2"/>
  <c r="AB62" i="2"/>
  <c r="AA63" i="2"/>
  <c r="AB63" i="2"/>
  <c r="AA64" i="2"/>
  <c r="AB64" i="2"/>
  <c r="AA65" i="2"/>
  <c r="AB65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29" i="22" l="1"/>
  <c r="B31" i="22"/>
  <c r="B34" i="26"/>
  <c r="A32" i="26"/>
  <c r="B33" i="26"/>
  <c r="A31" i="26"/>
  <c r="A31" i="27"/>
  <c r="B33" i="27"/>
  <c r="A32" i="27"/>
  <c r="B34" i="27"/>
  <c r="B34" i="22"/>
  <c r="A32" i="22"/>
  <c r="B33" i="22" l="1"/>
  <c r="A31" i="22"/>
  <c r="B35" i="26"/>
  <c r="A33" i="26"/>
  <c r="A34" i="26"/>
  <c r="B36" i="26"/>
  <c r="B36" i="27"/>
  <c r="A34" i="27"/>
  <c r="A33" i="27"/>
  <c r="B35" i="27"/>
  <c r="A34" i="22"/>
  <c r="B36" i="22"/>
  <c r="B35" i="22" l="1"/>
  <c r="A33" i="22"/>
  <c r="A36" i="26"/>
  <c r="B38" i="26"/>
  <c r="A35" i="26"/>
  <c r="B37" i="26"/>
  <c r="A35" i="27"/>
  <c r="B37" i="27"/>
  <c r="A36" i="27"/>
  <c r="B38" i="27"/>
  <c r="B38" i="22"/>
  <c r="A36" i="22"/>
  <c r="AK44" i="18"/>
  <c r="AL44" i="18"/>
  <c r="AK45" i="18"/>
  <c r="AL45" i="18"/>
  <c r="AK46" i="18"/>
  <c r="AL46" i="18"/>
  <c r="AK47" i="18"/>
  <c r="AL47" i="18"/>
  <c r="AK48" i="18"/>
  <c r="AL48" i="18"/>
  <c r="AK49" i="18"/>
  <c r="AL49" i="18"/>
  <c r="AK50" i="18"/>
  <c r="AL50" i="18"/>
  <c r="AK51" i="18"/>
  <c r="AL51" i="18"/>
  <c r="B37" i="22" l="1"/>
  <c r="A35" i="22"/>
  <c r="B39" i="26"/>
  <c r="A37" i="26"/>
  <c r="B40" i="26"/>
  <c r="A38" i="26"/>
  <c r="A38" i="27"/>
  <c r="B40" i="27"/>
  <c r="A37" i="27"/>
  <c r="B39" i="27"/>
  <c r="A38" i="22"/>
  <c r="B40" i="22"/>
  <c r="A37" i="22" l="1"/>
  <c r="B39" i="22"/>
  <c r="A40" i="26"/>
  <c r="B42" i="26"/>
  <c r="B41" i="26"/>
  <c r="A39" i="26"/>
  <c r="B41" i="27"/>
  <c r="A39" i="27"/>
  <c r="B42" i="27"/>
  <c r="A40" i="27"/>
  <c r="B42" i="22"/>
  <c r="A40" i="22"/>
  <c r="AS29" i="8"/>
  <c r="B41" i="22" l="1"/>
  <c r="A39" i="22"/>
  <c r="A41" i="26"/>
  <c r="B43" i="26"/>
  <c r="B44" i="26"/>
  <c r="A42" i="26"/>
  <c r="A42" i="27"/>
  <c r="B44" i="27"/>
  <c r="B43" i="27"/>
  <c r="A41" i="27"/>
  <c r="B44" i="22"/>
  <c r="A42" i="22"/>
  <c r="AG16" i="5"/>
  <c r="AG17" i="5"/>
  <c r="AG18" i="5"/>
  <c r="AG19" i="5"/>
  <c r="AG20" i="5"/>
  <c r="AG21" i="5"/>
  <c r="AG22" i="5"/>
  <c r="AG23" i="5"/>
  <c r="AG24" i="5"/>
  <c r="AG25" i="5"/>
  <c r="A41" i="22" l="1"/>
  <c r="B43" i="22"/>
  <c r="A44" i="26"/>
  <c r="B46" i="26"/>
  <c r="A43" i="26"/>
  <c r="B45" i="26"/>
  <c r="A43" i="27"/>
  <c r="B45" i="27"/>
  <c r="B46" i="27"/>
  <c r="A44" i="27"/>
  <c r="B46" i="22"/>
  <c r="A44" i="22"/>
  <c r="M47" i="1"/>
  <c r="M48" i="1"/>
  <c r="M50" i="1"/>
  <c r="M51" i="1"/>
  <c r="M52" i="1"/>
  <c r="M53" i="1"/>
  <c r="M54" i="1"/>
  <c r="M55" i="1"/>
  <c r="M57" i="1"/>
  <c r="M58" i="1"/>
  <c r="M46" i="1"/>
  <c r="B45" i="22" l="1"/>
  <c r="A43" i="22"/>
  <c r="B47" i="26"/>
  <c r="A45" i="26"/>
  <c r="B48" i="26"/>
  <c r="A46" i="26"/>
  <c r="A46" i="27"/>
  <c r="B48" i="27"/>
  <c r="A45" i="27"/>
  <c r="B47" i="27"/>
  <c r="B48" i="22"/>
  <c r="A46" i="22"/>
  <c r="K18" i="1"/>
  <c r="A45" i="22" l="1"/>
  <c r="B47" i="22"/>
  <c r="B50" i="26"/>
  <c r="A48" i="26"/>
  <c r="A47" i="26"/>
  <c r="B49" i="26"/>
  <c r="B50" i="27"/>
  <c r="A48" i="27"/>
  <c r="A47" i="27"/>
  <c r="B49" i="27"/>
  <c r="B50" i="22"/>
  <c r="A48" i="22"/>
  <c r="G4" i="12"/>
  <c r="G5" i="12"/>
  <c r="G6" i="12"/>
  <c r="G7" i="12"/>
  <c r="B49" i="22" l="1"/>
  <c r="A47" i="22"/>
  <c r="B51" i="26"/>
  <c r="A49" i="26"/>
  <c r="B52" i="26"/>
  <c r="A50" i="26"/>
  <c r="A49" i="27"/>
  <c r="B51" i="27"/>
  <c r="A50" i="27"/>
  <c r="B52" i="27"/>
  <c r="A50" i="22"/>
  <c r="B52" i="22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AF5" i="3"/>
  <c r="AG5" i="3"/>
  <c r="AF6" i="3"/>
  <c r="AG6" i="3"/>
  <c r="AF7" i="3"/>
  <c r="AG7" i="3"/>
  <c r="AF8" i="3"/>
  <c r="AG8" i="3"/>
  <c r="AF9" i="3"/>
  <c r="AG9" i="3"/>
  <c r="AF10" i="3"/>
  <c r="AG10" i="3"/>
  <c r="AF11" i="3"/>
  <c r="AG11" i="3"/>
  <c r="AF12" i="3"/>
  <c r="AG12" i="3"/>
  <c r="AF13" i="3"/>
  <c r="AG13" i="3"/>
  <c r="AF14" i="3"/>
  <c r="AG14" i="3"/>
  <c r="AF15" i="3"/>
  <c r="AG15" i="3"/>
  <c r="AF16" i="3"/>
  <c r="AG16" i="3"/>
  <c r="AF17" i="3"/>
  <c r="AG17" i="3"/>
  <c r="AF18" i="3"/>
  <c r="AG18" i="3"/>
  <c r="AF19" i="3"/>
  <c r="AG19" i="3"/>
  <c r="AF20" i="3"/>
  <c r="AG20" i="3"/>
  <c r="AF21" i="3"/>
  <c r="AG21" i="3"/>
  <c r="AF22" i="3"/>
  <c r="AG22" i="3"/>
  <c r="AF23" i="3"/>
  <c r="AG23" i="3"/>
  <c r="AF24" i="3"/>
  <c r="AG24" i="3"/>
  <c r="AF25" i="3"/>
  <c r="AG25" i="3"/>
  <c r="AF26" i="3"/>
  <c r="AG26" i="3"/>
  <c r="AF27" i="3"/>
  <c r="AG27" i="3"/>
  <c r="AF28" i="3"/>
  <c r="AG28" i="3"/>
  <c r="AF29" i="3"/>
  <c r="AG29" i="3"/>
  <c r="AF30" i="3"/>
  <c r="AG30" i="3"/>
  <c r="AF31" i="3"/>
  <c r="AG31" i="3"/>
  <c r="AF32" i="3"/>
  <c r="AG32" i="3"/>
  <c r="AF33" i="3"/>
  <c r="AG33" i="3"/>
  <c r="AF34" i="3"/>
  <c r="AG34" i="3"/>
  <c r="AF35" i="3"/>
  <c r="AG35" i="3"/>
  <c r="AF36" i="3"/>
  <c r="AG36" i="3"/>
  <c r="AF37" i="3"/>
  <c r="AG37" i="3"/>
  <c r="AF38" i="3"/>
  <c r="AG38" i="3"/>
  <c r="AF39" i="3"/>
  <c r="AG39" i="3"/>
  <c r="AF40" i="3"/>
  <c r="AG40" i="3"/>
  <c r="AF41" i="3"/>
  <c r="AG41" i="3"/>
  <c r="AF42" i="3"/>
  <c r="AG42" i="3"/>
  <c r="AF43" i="3"/>
  <c r="AG43" i="3"/>
  <c r="AF44" i="3"/>
  <c r="AG44" i="3"/>
  <c r="AF45" i="3"/>
  <c r="AG45" i="3"/>
  <c r="AF46" i="3"/>
  <c r="AG46" i="3"/>
  <c r="AF47" i="3"/>
  <c r="AG47" i="3"/>
  <c r="AF48" i="3"/>
  <c r="AG48" i="3"/>
  <c r="AF49" i="3"/>
  <c r="AG49" i="3"/>
  <c r="AF50" i="3"/>
  <c r="AG50" i="3"/>
  <c r="AF51" i="3"/>
  <c r="AG51" i="3"/>
  <c r="AF52" i="3"/>
  <c r="AG52" i="3"/>
  <c r="AF53" i="3"/>
  <c r="AG53" i="3"/>
  <c r="AF54" i="3"/>
  <c r="AG54" i="3"/>
  <c r="AF55" i="3"/>
  <c r="AG55" i="3"/>
  <c r="AF56" i="3"/>
  <c r="AG56" i="3"/>
  <c r="AF57" i="3"/>
  <c r="AG57" i="3"/>
  <c r="AF58" i="3"/>
  <c r="AG58" i="3"/>
  <c r="AF59" i="3"/>
  <c r="AG59" i="3"/>
  <c r="AF60" i="3"/>
  <c r="AG60" i="3"/>
  <c r="AF61" i="3"/>
  <c r="AG61" i="3"/>
  <c r="AF62" i="3"/>
  <c r="AG62" i="3"/>
  <c r="AF63" i="3"/>
  <c r="AG63" i="3"/>
  <c r="AF64" i="3"/>
  <c r="AG64" i="3"/>
  <c r="AF65" i="3"/>
  <c r="AG65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R5" i="3"/>
  <c r="S5" i="3"/>
  <c r="T5" i="3"/>
  <c r="R6" i="3"/>
  <c r="S6" i="3"/>
  <c r="T6" i="3"/>
  <c r="R7" i="3"/>
  <c r="S7" i="3"/>
  <c r="T7" i="3"/>
  <c r="R8" i="3"/>
  <c r="S8" i="3"/>
  <c r="T8" i="3"/>
  <c r="R9" i="3"/>
  <c r="S9" i="3"/>
  <c r="T9" i="3"/>
  <c r="R10" i="3"/>
  <c r="S10" i="3"/>
  <c r="T10" i="3"/>
  <c r="R11" i="3"/>
  <c r="S11" i="3"/>
  <c r="T11" i="3"/>
  <c r="R12" i="3"/>
  <c r="S12" i="3"/>
  <c r="T12" i="3"/>
  <c r="R13" i="3"/>
  <c r="S13" i="3"/>
  <c r="T13" i="3"/>
  <c r="R14" i="3"/>
  <c r="S14" i="3"/>
  <c r="T14" i="3"/>
  <c r="R15" i="3"/>
  <c r="S15" i="3"/>
  <c r="T15" i="3"/>
  <c r="R16" i="3"/>
  <c r="S16" i="3"/>
  <c r="T16" i="3"/>
  <c r="R17" i="3"/>
  <c r="S17" i="3"/>
  <c r="T17" i="3"/>
  <c r="R18" i="3"/>
  <c r="S18" i="3"/>
  <c r="T18" i="3"/>
  <c r="R19" i="3"/>
  <c r="S19" i="3"/>
  <c r="T19" i="3"/>
  <c r="R20" i="3"/>
  <c r="S20" i="3"/>
  <c r="T20" i="3"/>
  <c r="R21" i="3"/>
  <c r="S21" i="3"/>
  <c r="T21" i="3"/>
  <c r="R22" i="3"/>
  <c r="S22" i="3"/>
  <c r="T22" i="3"/>
  <c r="R23" i="3"/>
  <c r="S23" i="3"/>
  <c r="T23" i="3"/>
  <c r="R24" i="3"/>
  <c r="S24" i="3"/>
  <c r="T24" i="3"/>
  <c r="R25" i="3"/>
  <c r="S25" i="3"/>
  <c r="T25" i="3"/>
  <c r="R26" i="3"/>
  <c r="S26" i="3"/>
  <c r="T26" i="3"/>
  <c r="R27" i="3"/>
  <c r="S27" i="3"/>
  <c r="T27" i="3"/>
  <c r="R28" i="3"/>
  <c r="S28" i="3"/>
  <c r="T28" i="3"/>
  <c r="R29" i="3"/>
  <c r="S29" i="3"/>
  <c r="T29" i="3"/>
  <c r="R30" i="3"/>
  <c r="S30" i="3"/>
  <c r="T30" i="3"/>
  <c r="R31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R46" i="3"/>
  <c r="S46" i="3"/>
  <c r="T46" i="3"/>
  <c r="R47" i="3"/>
  <c r="S47" i="3"/>
  <c r="T47" i="3"/>
  <c r="R48" i="3"/>
  <c r="S48" i="3"/>
  <c r="T48" i="3"/>
  <c r="R49" i="3"/>
  <c r="S49" i="3"/>
  <c r="T49" i="3"/>
  <c r="R50" i="3"/>
  <c r="S50" i="3"/>
  <c r="T50" i="3"/>
  <c r="R51" i="3"/>
  <c r="S51" i="3"/>
  <c r="T51" i="3"/>
  <c r="R52" i="3"/>
  <c r="S52" i="3"/>
  <c r="T52" i="3"/>
  <c r="R53" i="3"/>
  <c r="S53" i="3"/>
  <c r="T53" i="3"/>
  <c r="R54" i="3"/>
  <c r="S54" i="3"/>
  <c r="T54" i="3"/>
  <c r="R55" i="3"/>
  <c r="S55" i="3"/>
  <c r="T55" i="3"/>
  <c r="R56" i="3"/>
  <c r="S56" i="3"/>
  <c r="T56" i="3"/>
  <c r="R57" i="3"/>
  <c r="S57" i="3"/>
  <c r="T57" i="3"/>
  <c r="R58" i="3"/>
  <c r="S58" i="3"/>
  <c r="T58" i="3"/>
  <c r="R59" i="3"/>
  <c r="S59" i="3"/>
  <c r="T59" i="3"/>
  <c r="R60" i="3"/>
  <c r="S60" i="3"/>
  <c r="T60" i="3"/>
  <c r="R61" i="3"/>
  <c r="S61" i="3"/>
  <c r="T61" i="3"/>
  <c r="R62" i="3"/>
  <c r="S62" i="3"/>
  <c r="T62" i="3"/>
  <c r="R63" i="3"/>
  <c r="S63" i="3"/>
  <c r="T63" i="3"/>
  <c r="R64" i="3"/>
  <c r="S64" i="3"/>
  <c r="T64" i="3"/>
  <c r="R65" i="3"/>
  <c r="S65" i="3"/>
  <c r="T65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A49" i="22" l="1"/>
  <c r="B51" i="22"/>
  <c r="B54" i="26"/>
  <c r="A52" i="26"/>
  <c r="B53" i="26"/>
  <c r="A51" i="26"/>
  <c r="A52" i="27"/>
  <c r="B54" i="27"/>
  <c r="A51" i="27"/>
  <c r="B53" i="27"/>
  <c r="B54" i="22"/>
  <c r="A52" i="22"/>
  <c r="G43" i="1"/>
  <c r="H43" i="1"/>
  <c r="I43" i="1"/>
  <c r="J43" i="1"/>
  <c r="B53" i="22" l="1"/>
  <c r="A51" i="22"/>
  <c r="B55" i="26"/>
  <c r="A53" i="26"/>
  <c r="A54" i="26"/>
  <c r="B56" i="26"/>
  <c r="B55" i="27"/>
  <c r="A53" i="27"/>
  <c r="B56" i="27"/>
  <c r="A54" i="27"/>
  <c r="A54" i="22"/>
  <c r="B56" i="22"/>
  <c r="AS49" i="8"/>
  <c r="A53" i="22" l="1"/>
  <c r="B55" i="22"/>
  <c r="B58" i="26"/>
  <c r="A56" i="26"/>
  <c r="B57" i="26"/>
  <c r="A55" i="26"/>
  <c r="A56" i="27"/>
  <c r="B58" i="27"/>
  <c r="B57" i="27"/>
  <c r="A55" i="27"/>
  <c r="B58" i="22"/>
  <c r="A56" i="22"/>
  <c r="B57" i="22" l="1"/>
  <c r="A55" i="22"/>
  <c r="A57" i="26"/>
  <c r="B59" i="26"/>
  <c r="A58" i="26"/>
  <c r="B60" i="26"/>
  <c r="A57" i="27"/>
  <c r="B59" i="27"/>
  <c r="B60" i="27"/>
  <c r="A58" i="27"/>
  <c r="B60" i="22"/>
  <c r="A58" i="22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A57" i="22" l="1"/>
  <c r="B59" i="22"/>
  <c r="B62" i="26"/>
  <c r="A60" i="26"/>
  <c r="B61" i="26"/>
  <c r="A59" i="26"/>
  <c r="B62" i="27"/>
  <c r="A60" i="27"/>
  <c r="A59" i="27"/>
  <c r="B61" i="27"/>
  <c r="B62" i="22"/>
  <c r="A60" i="22"/>
  <c r="AA4" i="21"/>
  <c r="AB4" i="21"/>
  <c r="AA5" i="21"/>
  <c r="AB5" i="21"/>
  <c r="AA6" i="21"/>
  <c r="AB6" i="21"/>
  <c r="AA7" i="21"/>
  <c r="AB7" i="21"/>
  <c r="AA8" i="21"/>
  <c r="AB8" i="21"/>
  <c r="AA9" i="21"/>
  <c r="AB9" i="21"/>
  <c r="AA10" i="21"/>
  <c r="AB10" i="21"/>
  <c r="AA11" i="21"/>
  <c r="AB11" i="21"/>
  <c r="AA12" i="21"/>
  <c r="AB12" i="21"/>
  <c r="AA13" i="21"/>
  <c r="AB13" i="21"/>
  <c r="AA14" i="21"/>
  <c r="AB14" i="21"/>
  <c r="AA15" i="21"/>
  <c r="AB15" i="21"/>
  <c r="AA16" i="21"/>
  <c r="AB16" i="21"/>
  <c r="AA17" i="21"/>
  <c r="AB17" i="21"/>
  <c r="AA18" i="21"/>
  <c r="AB18" i="21"/>
  <c r="AA19" i="21"/>
  <c r="AB19" i="21"/>
  <c r="AA20" i="21"/>
  <c r="AB20" i="21"/>
  <c r="AA21" i="21"/>
  <c r="AB21" i="21"/>
  <c r="AA22" i="21"/>
  <c r="AB22" i="21"/>
  <c r="AA23" i="21"/>
  <c r="AB23" i="21"/>
  <c r="AA24" i="21"/>
  <c r="AB24" i="21"/>
  <c r="AA25" i="21"/>
  <c r="AB25" i="21"/>
  <c r="AA26" i="21"/>
  <c r="AB26" i="21"/>
  <c r="AA27" i="21"/>
  <c r="AB27" i="21"/>
  <c r="AA28" i="21"/>
  <c r="AB28" i="21"/>
  <c r="AA29" i="21"/>
  <c r="AB29" i="21"/>
  <c r="AA30" i="21"/>
  <c r="AB30" i="21"/>
  <c r="AA31" i="21"/>
  <c r="AB31" i="21"/>
  <c r="AA32" i="21"/>
  <c r="AB32" i="21"/>
  <c r="AA33" i="21"/>
  <c r="AB33" i="21"/>
  <c r="AA34" i="21"/>
  <c r="AB34" i="21"/>
  <c r="AA35" i="21"/>
  <c r="AB35" i="21"/>
  <c r="AA36" i="21"/>
  <c r="AB36" i="21"/>
  <c r="AA37" i="21"/>
  <c r="AB37" i="21"/>
  <c r="AA38" i="21"/>
  <c r="AB38" i="21"/>
  <c r="AA39" i="21"/>
  <c r="AB39" i="21"/>
  <c r="AA40" i="21"/>
  <c r="AB40" i="21"/>
  <c r="AA41" i="21"/>
  <c r="AB41" i="21"/>
  <c r="AA42" i="21"/>
  <c r="AB42" i="21"/>
  <c r="AA43" i="21"/>
  <c r="AB43" i="21"/>
  <c r="AA44" i="21"/>
  <c r="AB44" i="21"/>
  <c r="AA45" i="21"/>
  <c r="AB45" i="21"/>
  <c r="AA46" i="21"/>
  <c r="AB46" i="21"/>
  <c r="AA47" i="21"/>
  <c r="AB47" i="21"/>
  <c r="AA48" i="21"/>
  <c r="AB48" i="21"/>
  <c r="AA49" i="21"/>
  <c r="AB49" i="21"/>
  <c r="AA50" i="21"/>
  <c r="AB50" i="21"/>
  <c r="AA51" i="21"/>
  <c r="AB51" i="21"/>
  <c r="AA52" i="21"/>
  <c r="AB52" i="21"/>
  <c r="AA53" i="21"/>
  <c r="AB53" i="21"/>
  <c r="AA54" i="21"/>
  <c r="AB54" i="21"/>
  <c r="AA55" i="21"/>
  <c r="AB55" i="21"/>
  <c r="AA56" i="21"/>
  <c r="AB56" i="21"/>
  <c r="AA57" i="21"/>
  <c r="AB57" i="21"/>
  <c r="AA58" i="21"/>
  <c r="AB58" i="21"/>
  <c r="AA59" i="21"/>
  <c r="AB59" i="21"/>
  <c r="AA60" i="21"/>
  <c r="AB60" i="21"/>
  <c r="AA61" i="21"/>
  <c r="AB61" i="21"/>
  <c r="AA62" i="21"/>
  <c r="AB62" i="21"/>
  <c r="AA63" i="21"/>
  <c r="AB63" i="21"/>
  <c r="B61" i="22" l="1"/>
  <c r="A59" i="22"/>
  <c r="B63" i="26"/>
  <c r="A61" i="26"/>
  <c r="A62" i="26"/>
  <c r="B64" i="26"/>
  <c r="A64" i="26" s="1"/>
  <c r="B63" i="27"/>
  <c r="A61" i="27"/>
  <c r="A62" i="27"/>
  <c r="B64" i="27"/>
  <c r="A64" i="27" s="1"/>
  <c r="A62" i="22"/>
  <c r="B64" i="22"/>
  <c r="A64" i="22" s="1"/>
  <c r="A61" i="22" l="1"/>
  <c r="B63" i="22"/>
  <c r="A63" i="26"/>
  <c r="B65" i="26"/>
  <c r="A65" i="26" s="1"/>
  <c r="B65" i="27"/>
  <c r="A65" i="27" s="1"/>
  <c r="A63" i="27"/>
  <c r="AS53" i="8"/>
  <c r="B65" i="22" l="1"/>
  <c r="A65" i="22" s="1"/>
  <c r="A63" i="22"/>
  <c r="R6" i="21"/>
  <c r="AM6" i="21" s="1"/>
  <c r="S6" i="21"/>
  <c r="T6" i="21"/>
  <c r="AF6" i="21"/>
  <c r="AG6" i="21"/>
  <c r="AK6" i="21"/>
  <c r="AL6" i="21"/>
  <c r="R7" i="21"/>
  <c r="AM7" i="21" s="1"/>
  <c r="S7" i="21"/>
  <c r="T7" i="21"/>
  <c r="AF7" i="21"/>
  <c r="AG7" i="21"/>
  <c r="AK7" i="21"/>
  <c r="AL7" i="21"/>
  <c r="R8" i="21"/>
  <c r="S8" i="21"/>
  <c r="T8" i="21"/>
  <c r="AF8" i="21"/>
  <c r="AG8" i="21"/>
  <c r="AK8" i="21"/>
  <c r="AL8" i="21"/>
  <c r="R9" i="21"/>
  <c r="AM9" i="21" s="1"/>
  <c r="S9" i="21"/>
  <c r="T9" i="21"/>
  <c r="AF9" i="21"/>
  <c r="AG9" i="21"/>
  <c r="AK9" i="21"/>
  <c r="AL9" i="21"/>
  <c r="R10" i="21"/>
  <c r="AM10" i="21" s="1"/>
  <c r="S10" i="21"/>
  <c r="T10" i="21"/>
  <c r="AF10" i="21"/>
  <c r="AG10" i="21"/>
  <c r="AK10" i="21"/>
  <c r="AL10" i="21"/>
  <c r="R11" i="21"/>
  <c r="AM11" i="21" s="1"/>
  <c r="S11" i="21"/>
  <c r="T11" i="21"/>
  <c r="AF11" i="21"/>
  <c r="AG11" i="21"/>
  <c r="AK11" i="21"/>
  <c r="AL11" i="21"/>
  <c r="R12" i="21"/>
  <c r="AM12" i="21" s="1"/>
  <c r="S12" i="21"/>
  <c r="T12" i="21"/>
  <c r="AF12" i="21"/>
  <c r="AG12" i="21"/>
  <c r="AK12" i="21"/>
  <c r="AL12" i="21"/>
  <c r="R13" i="21"/>
  <c r="AM13" i="21" s="1"/>
  <c r="S13" i="21"/>
  <c r="T13" i="21"/>
  <c r="AF13" i="21"/>
  <c r="AG13" i="21"/>
  <c r="AK13" i="21"/>
  <c r="AL13" i="21"/>
  <c r="R14" i="21"/>
  <c r="AM14" i="21" s="1"/>
  <c r="S14" i="21"/>
  <c r="T14" i="21"/>
  <c r="AF14" i="21"/>
  <c r="AG14" i="21"/>
  <c r="AK14" i="21"/>
  <c r="AL14" i="21"/>
  <c r="R15" i="21"/>
  <c r="AM15" i="21" s="1"/>
  <c r="S15" i="21"/>
  <c r="T15" i="21"/>
  <c r="AF15" i="21"/>
  <c r="AG15" i="21"/>
  <c r="AK15" i="21"/>
  <c r="AL15" i="21"/>
  <c r="R16" i="21"/>
  <c r="AM16" i="21" s="1"/>
  <c r="S16" i="21"/>
  <c r="T16" i="21"/>
  <c r="AF16" i="21"/>
  <c r="AG16" i="21"/>
  <c r="AK16" i="21"/>
  <c r="AL16" i="21"/>
  <c r="R17" i="21"/>
  <c r="AM17" i="21" s="1"/>
  <c r="S17" i="21"/>
  <c r="T17" i="21"/>
  <c r="AF17" i="21"/>
  <c r="AG17" i="21"/>
  <c r="AK17" i="21"/>
  <c r="AL17" i="21"/>
  <c r="R18" i="21"/>
  <c r="AM18" i="21" s="1"/>
  <c r="S18" i="21"/>
  <c r="T18" i="21"/>
  <c r="AF18" i="21"/>
  <c r="AG18" i="21"/>
  <c r="AK18" i="21"/>
  <c r="AL18" i="21"/>
  <c r="R19" i="21"/>
  <c r="AM19" i="21" s="1"/>
  <c r="S19" i="21"/>
  <c r="T19" i="21"/>
  <c r="AF19" i="21"/>
  <c r="AG19" i="21"/>
  <c r="AK19" i="21"/>
  <c r="AL19" i="21"/>
  <c r="R20" i="21"/>
  <c r="AM20" i="21" s="1"/>
  <c r="S20" i="21"/>
  <c r="T20" i="21"/>
  <c r="AF20" i="21"/>
  <c r="AG20" i="21"/>
  <c r="AK20" i="21"/>
  <c r="AL20" i="21"/>
  <c r="R21" i="21"/>
  <c r="AM21" i="21" s="1"/>
  <c r="S21" i="21"/>
  <c r="T21" i="21"/>
  <c r="AF21" i="21"/>
  <c r="AG21" i="21"/>
  <c r="AK21" i="21"/>
  <c r="AL21" i="21"/>
  <c r="R22" i="21"/>
  <c r="AM22" i="21" s="1"/>
  <c r="S22" i="21"/>
  <c r="T22" i="21"/>
  <c r="AF22" i="21"/>
  <c r="AG22" i="21"/>
  <c r="AK22" i="21"/>
  <c r="AL22" i="21"/>
  <c r="R23" i="21"/>
  <c r="AM23" i="21" s="1"/>
  <c r="S23" i="21"/>
  <c r="T23" i="21"/>
  <c r="AF23" i="21"/>
  <c r="AG23" i="21"/>
  <c r="AK23" i="21"/>
  <c r="AL23" i="21"/>
  <c r="R24" i="21"/>
  <c r="AM24" i="21" s="1"/>
  <c r="S24" i="21"/>
  <c r="T24" i="21"/>
  <c r="AF24" i="21"/>
  <c r="AG24" i="21"/>
  <c r="AK24" i="21"/>
  <c r="AL24" i="21"/>
  <c r="R25" i="21"/>
  <c r="AM25" i="21" s="1"/>
  <c r="S25" i="21"/>
  <c r="T25" i="21"/>
  <c r="AF25" i="21"/>
  <c r="AG25" i="21"/>
  <c r="AK25" i="21"/>
  <c r="AL25" i="21"/>
  <c r="R26" i="21"/>
  <c r="AM26" i="21" s="1"/>
  <c r="S26" i="21"/>
  <c r="T26" i="21"/>
  <c r="AF26" i="21"/>
  <c r="AG26" i="21"/>
  <c r="AK26" i="21"/>
  <c r="AL26" i="21"/>
  <c r="R27" i="21"/>
  <c r="AM27" i="21" s="1"/>
  <c r="S27" i="21"/>
  <c r="T27" i="21"/>
  <c r="AF27" i="21"/>
  <c r="AG27" i="21"/>
  <c r="AK27" i="21"/>
  <c r="AL27" i="21"/>
  <c r="R28" i="21"/>
  <c r="AM28" i="21" s="1"/>
  <c r="S28" i="21"/>
  <c r="T28" i="21"/>
  <c r="AF28" i="21"/>
  <c r="AG28" i="21"/>
  <c r="AK28" i="21"/>
  <c r="AL28" i="21"/>
  <c r="R29" i="21"/>
  <c r="AM29" i="21" s="1"/>
  <c r="S29" i="21"/>
  <c r="T29" i="21"/>
  <c r="AF29" i="21"/>
  <c r="AG29" i="21"/>
  <c r="AK29" i="21"/>
  <c r="AL29" i="21"/>
  <c r="R30" i="21"/>
  <c r="AM30" i="21" s="1"/>
  <c r="S30" i="21"/>
  <c r="T30" i="21"/>
  <c r="AF30" i="21"/>
  <c r="AG30" i="21"/>
  <c r="AK30" i="21"/>
  <c r="AL30" i="21"/>
  <c r="R31" i="21"/>
  <c r="AM31" i="21" s="1"/>
  <c r="S31" i="21"/>
  <c r="T31" i="21"/>
  <c r="AF31" i="21"/>
  <c r="AG31" i="21"/>
  <c r="AK31" i="21"/>
  <c r="AL31" i="21"/>
  <c r="R32" i="21"/>
  <c r="AM32" i="21" s="1"/>
  <c r="S32" i="21"/>
  <c r="T32" i="21"/>
  <c r="AF32" i="21"/>
  <c r="AG32" i="21"/>
  <c r="AK32" i="21"/>
  <c r="AL32" i="21"/>
  <c r="R33" i="21"/>
  <c r="AM33" i="21" s="1"/>
  <c r="S33" i="21"/>
  <c r="T33" i="21"/>
  <c r="AF33" i="21"/>
  <c r="AG33" i="21"/>
  <c r="AK33" i="21"/>
  <c r="AL33" i="21"/>
  <c r="R34" i="21"/>
  <c r="AM34" i="21" s="1"/>
  <c r="S34" i="21"/>
  <c r="T34" i="21"/>
  <c r="AF34" i="21"/>
  <c r="AG34" i="21"/>
  <c r="AK34" i="21"/>
  <c r="AL34" i="21"/>
  <c r="R35" i="21"/>
  <c r="AM35" i="21" s="1"/>
  <c r="S35" i="21"/>
  <c r="T35" i="21"/>
  <c r="AF35" i="21"/>
  <c r="AG35" i="21"/>
  <c r="AK35" i="21"/>
  <c r="AL35" i="21"/>
  <c r="R36" i="21"/>
  <c r="AM36" i="21" s="1"/>
  <c r="S36" i="21"/>
  <c r="T36" i="21"/>
  <c r="AF36" i="21"/>
  <c r="AG36" i="21"/>
  <c r="AK36" i="21"/>
  <c r="AL36" i="21"/>
  <c r="R37" i="21"/>
  <c r="AM37" i="21" s="1"/>
  <c r="S37" i="21"/>
  <c r="T37" i="21"/>
  <c r="AF37" i="21"/>
  <c r="AG37" i="21"/>
  <c r="AK37" i="21"/>
  <c r="AL37" i="21"/>
  <c r="R38" i="21"/>
  <c r="S38" i="21"/>
  <c r="T38" i="21"/>
  <c r="AF38" i="21"/>
  <c r="AG38" i="21"/>
  <c r="AK38" i="21"/>
  <c r="AL38" i="21"/>
  <c r="R39" i="21"/>
  <c r="AM39" i="21" s="1"/>
  <c r="S39" i="21"/>
  <c r="T39" i="21"/>
  <c r="AF39" i="21"/>
  <c r="AG39" i="21"/>
  <c r="AK39" i="21"/>
  <c r="AL39" i="21"/>
  <c r="R40" i="21"/>
  <c r="AM40" i="21" s="1"/>
  <c r="S40" i="21"/>
  <c r="T40" i="21"/>
  <c r="AF40" i="21"/>
  <c r="AG40" i="21"/>
  <c r="AK40" i="21"/>
  <c r="AL40" i="21"/>
  <c r="G6" i="21"/>
  <c r="H6" i="21"/>
  <c r="G7" i="21"/>
  <c r="H7" i="21"/>
  <c r="G8" i="21"/>
  <c r="H8" i="21"/>
  <c r="G9" i="21"/>
  <c r="H9" i="21"/>
  <c r="G10" i="21"/>
  <c r="H10" i="21"/>
  <c r="G11" i="21"/>
  <c r="H11" i="21"/>
  <c r="G12" i="21"/>
  <c r="H12" i="21"/>
  <c r="G13" i="21"/>
  <c r="H13" i="21"/>
  <c r="G14" i="21"/>
  <c r="H14" i="21"/>
  <c r="G15" i="21"/>
  <c r="H15" i="21"/>
  <c r="G16" i="21"/>
  <c r="H16" i="21"/>
  <c r="G17" i="21"/>
  <c r="H17" i="21"/>
  <c r="G18" i="21"/>
  <c r="H18" i="21"/>
  <c r="G19" i="21"/>
  <c r="H19" i="21"/>
  <c r="G20" i="21"/>
  <c r="H20" i="21"/>
  <c r="G21" i="21"/>
  <c r="H21" i="21"/>
  <c r="G22" i="21"/>
  <c r="H22" i="21"/>
  <c r="G23" i="21"/>
  <c r="H23" i="21"/>
  <c r="G24" i="21"/>
  <c r="H24" i="21"/>
  <c r="G25" i="21"/>
  <c r="H25" i="21"/>
  <c r="G26" i="21"/>
  <c r="H26" i="21"/>
  <c r="G27" i="21"/>
  <c r="H27" i="21"/>
  <c r="G38" i="21"/>
  <c r="H38" i="21"/>
  <c r="G39" i="21"/>
  <c r="H39" i="21"/>
  <c r="G5" i="21"/>
  <c r="H5" i="21"/>
  <c r="W71" i="21"/>
  <c r="V71" i="21"/>
  <c r="Z70" i="21"/>
  <c r="Y70" i="21"/>
  <c r="Z69" i="21"/>
  <c r="Y69" i="21"/>
  <c r="Y71" i="21" s="1"/>
  <c r="J66" i="21"/>
  <c r="G16" i="1" s="1"/>
  <c r="AR65" i="21"/>
  <c r="AL65" i="21"/>
  <c r="AK65" i="21"/>
  <c r="AG65" i="21"/>
  <c r="AF65" i="21"/>
  <c r="AB65" i="21"/>
  <c r="AA65" i="21"/>
  <c r="T65" i="21"/>
  <c r="S65" i="21"/>
  <c r="R65" i="21"/>
  <c r="AM65" i="21" s="1"/>
  <c r="H65" i="21"/>
  <c r="G65" i="21"/>
  <c r="AR64" i="21"/>
  <c r="AL64" i="21"/>
  <c r="AK64" i="21"/>
  <c r="AG64" i="21"/>
  <c r="AF64" i="21"/>
  <c r="AB64" i="21"/>
  <c r="AA64" i="21"/>
  <c r="T64" i="21"/>
  <c r="S64" i="21"/>
  <c r="R64" i="21"/>
  <c r="AM64" i="21" s="1"/>
  <c r="H64" i="21"/>
  <c r="G64" i="21"/>
  <c r="AL63" i="21"/>
  <c r="AK63" i="21"/>
  <c r="AG63" i="21"/>
  <c r="AF63" i="21"/>
  <c r="T63" i="21"/>
  <c r="S63" i="21"/>
  <c r="R63" i="21"/>
  <c r="AM63" i="21" s="1"/>
  <c r="H63" i="21"/>
  <c r="G63" i="21"/>
  <c r="AR62" i="21"/>
  <c r="AL62" i="21"/>
  <c r="AK62" i="21"/>
  <c r="AG62" i="21"/>
  <c r="AF62" i="21"/>
  <c r="T62" i="21"/>
  <c r="S62" i="21"/>
  <c r="R62" i="21"/>
  <c r="AM62" i="21" s="1"/>
  <c r="H62" i="21"/>
  <c r="G62" i="21"/>
  <c r="AR61" i="21"/>
  <c r="AL61" i="21"/>
  <c r="AK61" i="21"/>
  <c r="AG61" i="21"/>
  <c r="AF61" i="21"/>
  <c r="T61" i="21"/>
  <c r="S61" i="21"/>
  <c r="R61" i="21"/>
  <c r="AM61" i="21" s="1"/>
  <c r="H61" i="21"/>
  <c r="G61" i="21"/>
  <c r="AR60" i="21"/>
  <c r="AL60" i="21"/>
  <c r="AK60" i="21"/>
  <c r="AG60" i="21"/>
  <c r="AF60" i="21"/>
  <c r="T60" i="21"/>
  <c r="S60" i="21"/>
  <c r="R60" i="21"/>
  <c r="AM60" i="21" s="1"/>
  <c r="H60" i="21"/>
  <c r="G60" i="21"/>
  <c r="AR59" i="21"/>
  <c r="AL59" i="21"/>
  <c r="AK59" i="21"/>
  <c r="AG59" i="21"/>
  <c r="AF59" i="21"/>
  <c r="T59" i="21"/>
  <c r="S59" i="21"/>
  <c r="R59" i="21"/>
  <c r="AM59" i="21" s="1"/>
  <c r="H59" i="21"/>
  <c r="G59" i="21"/>
  <c r="AR58" i="21"/>
  <c r="AL58" i="21"/>
  <c r="AK58" i="21"/>
  <c r="AG58" i="21"/>
  <c r="AF58" i="21"/>
  <c r="T58" i="21"/>
  <c r="S58" i="21"/>
  <c r="R58" i="21"/>
  <c r="AM58" i="21" s="1"/>
  <c r="H58" i="21"/>
  <c r="G58" i="21"/>
  <c r="AR57" i="21"/>
  <c r="AL57" i="21"/>
  <c r="AK57" i="21"/>
  <c r="AG57" i="21"/>
  <c r="AF57" i="21"/>
  <c r="T57" i="21"/>
  <c r="S57" i="21"/>
  <c r="R57" i="21"/>
  <c r="AM57" i="21" s="1"/>
  <c r="H57" i="21"/>
  <c r="G57" i="21"/>
  <c r="AR56" i="21"/>
  <c r="AL56" i="21"/>
  <c r="AK56" i="21"/>
  <c r="AG56" i="21"/>
  <c r="AF56" i="21"/>
  <c r="T56" i="21"/>
  <c r="S56" i="21"/>
  <c r="R56" i="21"/>
  <c r="AM56" i="21" s="1"/>
  <c r="H56" i="21"/>
  <c r="G56" i="21"/>
  <c r="AR55" i="21"/>
  <c r="AL55" i="21"/>
  <c r="AK55" i="21"/>
  <c r="AG55" i="21"/>
  <c r="AF55" i="21"/>
  <c r="T55" i="21"/>
  <c r="S55" i="21"/>
  <c r="R55" i="21"/>
  <c r="AM55" i="21" s="1"/>
  <c r="H55" i="21"/>
  <c r="G55" i="21"/>
  <c r="AR54" i="21"/>
  <c r="AL54" i="21"/>
  <c r="AK54" i="21"/>
  <c r="AG54" i="21"/>
  <c r="AF54" i="21"/>
  <c r="T54" i="21"/>
  <c r="S54" i="21"/>
  <c r="R54" i="21"/>
  <c r="AM54" i="21" s="1"/>
  <c r="H54" i="21"/>
  <c r="G54" i="21"/>
  <c r="AR53" i="21"/>
  <c r="AL53" i="21"/>
  <c r="AK53" i="21"/>
  <c r="AG53" i="21"/>
  <c r="AF53" i="21"/>
  <c r="T53" i="21"/>
  <c r="S53" i="21"/>
  <c r="R53" i="21"/>
  <c r="AM53" i="21" s="1"/>
  <c r="H53" i="21"/>
  <c r="G53" i="21"/>
  <c r="AR52" i="21"/>
  <c r="AL52" i="21"/>
  <c r="AK52" i="21"/>
  <c r="AG52" i="21"/>
  <c r="AF52" i="21"/>
  <c r="T52" i="21"/>
  <c r="S52" i="21"/>
  <c r="R52" i="21"/>
  <c r="AM52" i="21" s="1"/>
  <c r="H52" i="21"/>
  <c r="G52" i="21"/>
  <c r="AR51" i="21"/>
  <c r="AL51" i="21"/>
  <c r="AK51" i="21"/>
  <c r="AG51" i="21"/>
  <c r="AF51" i="21"/>
  <c r="T51" i="21"/>
  <c r="S51" i="21"/>
  <c r="R51" i="21"/>
  <c r="AM51" i="21" s="1"/>
  <c r="H51" i="21"/>
  <c r="G51" i="21"/>
  <c r="AR50" i="21"/>
  <c r="AL50" i="21"/>
  <c r="AK50" i="21"/>
  <c r="AG50" i="21"/>
  <c r="AF50" i="21"/>
  <c r="T50" i="21"/>
  <c r="S50" i="21"/>
  <c r="R50" i="21"/>
  <c r="AM50" i="21" s="1"/>
  <c r="H50" i="21"/>
  <c r="G50" i="21"/>
  <c r="AR49" i="21"/>
  <c r="AL49" i="21"/>
  <c r="AK49" i="21"/>
  <c r="AG49" i="21"/>
  <c r="AF49" i="21"/>
  <c r="T49" i="21"/>
  <c r="S49" i="21"/>
  <c r="R49" i="21"/>
  <c r="AM49" i="21" s="1"/>
  <c r="H49" i="21"/>
  <c r="G49" i="21"/>
  <c r="AR48" i="21"/>
  <c r="AL48" i="21"/>
  <c r="AK48" i="21"/>
  <c r="AG48" i="21"/>
  <c r="AF48" i="21"/>
  <c r="T48" i="21"/>
  <c r="S48" i="21"/>
  <c r="R48" i="21"/>
  <c r="AM48" i="21" s="1"/>
  <c r="H48" i="21"/>
  <c r="G48" i="21"/>
  <c r="AR47" i="21"/>
  <c r="AL47" i="21"/>
  <c r="AK47" i="21"/>
  <c r="AG47" i="21"/>
  <c r="AF47" i="21"/>
  <c r="T47" i="21"/>
  <c r="S47" i="21"/>
  <c r="R47" i="21"/>
  <c r="AM47" i="21" s="1"/>
  <c r="H47" i="21"/>
  <c r="G47" i="21"/>
  <c r="AR46" i="21"/>
  <c r="AL46" i="21"/>
  <c r="AK46" i="21"/>
  <c r="AG46" i="21"/>
  <c r="AF46" i="21"/>
  <c r="T46" i="21"/>
  <c r="S46" i="21"/>
  <c r="R46" i="21"/>
  <c r="AM46" i="21" s="1"/>
  <c r="H46" i="21"/>
  <c r="G46" i="21"/>
  <c r="AR45" i="21"/>
  <c r="AL45" i="21"/>
  <c r="AK45" i="21"/>
  <c r="AG45" i="21"/>
  <c r="AF45" i="21"/>
  <c r="T45" i="21"/>
  <c r="S45" i="21"/>
  <c r="R45" i="21"/>
  <c r="AM45" i="21" s="1"/>
  <c r="H45" i="21"/>
  <c r="G45" i="21"/>
  <c r="AR44" i="21"/>
  <c r="AL44" i="21"/>
  <c r="AK44" i="21"/>
  <c r="AG44" i="21"/>
  <c r="AF44" i="21"/>
  <c r="T44" i="21"/>
  <c r="S44" i="21"/>
  <c r="R44" i="21"/>
  <c r="AM44" i="21" s="1"/>
  <c r="H44" i="21"/>
  <c r="G44" i="21"/>
  <c r="AR43" i="21"/>
  <c r="AL43" i="21"/>
  <c r="AK43" i="21"/>
  <c r="AG43" i="21"/>
  <c r="AF43" i="21"/>
  <c r="T43" i="21"/>
  <c r="S43" i="21"/>
  <c r="R43" i="21"/>
  <c r="AM43" i="21" s="1"/>
  <c r="H43" i="21"/>
  <c r="G43" i="21"/>
  <c r="AR42" i="21"/>
  <c r="AL42" i="21"/>
  <c r="AK42" i="21"/>
  <c r="AG42" i="21"/>
  <c r="AF42" i="21"/>
  <c r="T42" i="21"/>
  <c r="S42" i="21"/>
  <c r="R42" i="21"/>
  <c r="AM42" i="21" s="1"/>
  <c r="H42" i="21"/>
  <c r="G42" i="21"/>
  <c r="AR41" i="21"/>
  <c r="AL41" i="21"/>
  <c r="AK41" i="21"/>
  <c r="AG41" i="21"/>
  <c r="AF41" i="21"/>
  <c r="T41" i="21"/>
  <c r="S41" i="21"/>
  <c r="R41" i="21"/>
  <c r="AM41" i="21" s="1"/>
  <c r="H41" i="21"/>
  <c r="G41" i="21"/>
  <c r="AR40" i="21"/>
  <c r="H40" i="21"/>
  <c r="G40" i="21"/>
  <c r="AR39" i="21"/>
  <c r="AR38" i="21"/>
  <c r="AM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M8" i="21"/>
  <c r="AR7" i="21"/>
  <c r="AR6" i="21"/>
  <c r="B6" i="21"/>
  <c r="A6" i="21" s="1"/>
  <c r="AR5" i="21"/>
  <c r="AL5" i="21"/>
  <c r="AK5" i="21"/>
  <c r="AG5" i="21"/>
  <c r="AF5" i="21"/>
  <c r="T5" i="21"/>
  <c r="S5" i="21"/>
  <c r="R5" i="21"/>
  <c r="AM5" i="21" s="1"/>
  <c r="B5" i="21"/>
  <c r="A5" i="21" s="1"/>
  <c r="AR4" i="21"/>
  <c r="AL4" i="21"/>
  <c r="AK4" i="21"/>
  <c r="AG4" i="21"/>
  <c r="AF4" i="21"/>
  <c r="T4" i="21"/>
  <c r="S4" i="21"/>
  <c r="R4" i="21"/>
  <c r="H4" i="21"/>
  <c r="G4" i="21"/>
  <c r="A4" i="21"/>
  <c r="AP1" i="21"/>
  <c r="Z71" i="21" l="1"/>
  <c r="X71" i="21" s="1"/>
  <c r="AN15" i="21"/>
  <c r="AN23" i="21"/>
  <c r="AO20" i="21"/>
  <c r="AO12" i="21"/>
  <c r="AN64" i="21"/>
  <c r="AN65" i="21"/>
  <c r="AO64" i="21"/>
  <c r="AN31" i="21"/>
  <c r="AN27" i="21"/>
  <c r="AO10" i="21"/>
  <c r="AO8" i="21"/>
  <c r="AO40" i="21"/>
  <c r="AO37" i="21"/>
  <c r="AN28" i="21"/>
  <c r="AO33" i="21"/>
  <c r="AO28" i="21"/>
  <c r="AO21" i="21"/>
  <c r="AO11" i="21"/>
  <c r="AO16" i="21"/>
  <c r="AO9" i="21"/>
  <c r="AN37" i="21"/>
  <c r="AP37" i="21" s="1"/>
  <c r="AO26" i="21"/>
  <c r="AN21" i="21"/>
  <c r="AN17" i="21"/>
  <c r="AN13" i="21"/>
  <c r="AN9" i="21"/>
  <c r="AN29" i="21"/>
  <c r="AO36" i="21"/>
  <c r="AO49" i="21"/>
  <c r="AN6" i="21"/>
  <c r="AN44" i="21"/>
  <c r="AO18" i="21"/>
  <c r="AO14" i="21"/>
  <c r="AO6" i="21"/>
  <c r="AO4" i="21"/>
  <c r="AN5" i="21"/>
  <c r="AN39" i="21"/>
  <c r="AN35" i="21"/>
  <c r="AN19" i="21"/>
  <c r="AN11" i="21"/>
  <c r="AN7" i="21"/>
  <c r="AN4" i="21"/>
  <c r="AO5" i="21"/>
  <c r="AN24" i="21"/>
  <c r="AN18" i="21"/>
  <c r="AN16" i="21"/>
  <c r="AN10" i="21"/>
  <c r="AN8" i="21"/>
  <c r="AN26" i="21"/>
  <c r="AN20" i="21"/>
  <c r="AN14" i="21"/>
  <c r="AN12" i="21"/>
  <c r="AP12" i="21" s="1"/>
  <c r="AN34" i="21"/>
  <c r="AN60" i="21"/>
  <c r="AN62" i="21"/>
  <c r="AN63" i="21"/>
  <c r="AO63" i="21"/>
  <c r="AO60" i="21"/>
  <c r="AO61" i="21"/>
  <c r="AN54" i="21"/>
  <c r="AO54" i="21"/>
  <c r="AO55" i="21"/>
  <c r="AN56" i="21"/>
  <c r="AN57" i="21"/>
  <c r="AN58" i="21"/>
  <c r="AN59" i="21"/>
  <c r="AO56" i="21"/>
  <c r="AO57" i="21"/>
  <c r="AO59" i="21"/>
  <c r="AO41" i="21"/>
  <c r="AO42" i="21"/>
  <c r="AO43" i="21"/>
  <c r="AN48" i="21"/>
  <c r="AN50" i="21"/>
  <c r="AN53" i="21"/>
  <c r="AO44" i="21"/>
  <c r="AN46" i="21"/>
  <c r="AN47" i="21"/>
  <c r="AO50" i="21"/>
  <c r="AO51" i="21"/>
  <c r="AN52" i="21"/>
  <c r="AO45" i="21"/>
  <c r="AO47" i="21"/>
  <c r="AO53" i="21"/>
  <c r="AN42" i="21"/>
  <c r="AN43" i="21"/>
  <c r="AO34" i="21"/>
  <c r="R66" i="21"/>
  <c r="AN32" i="21"/>
  <c r="AN40" i="21"/>
  <c r="AO35" i="21"/>
  <c r="AO29" i="21"/>
  <c r="AO27" i="21"/>
  <c r="AO25" i="21"/>
  <c r="AO19" i="21"/>
  <c r="AO17" i="21"/>
  <c r="AO15" i="21"/>
  <c r="AP15" i="21" s="1"/>
  <c r="AO13" i="21"/>
  <c r="AO7" i="21"/>
  <c r="AO24" i="21"/>
  <c r="AO32" i="21"/>
  <c r="AN36" i="21"/>
  <c r="S66" i="21"/>
  <c r="AM4" i="21"/>
  <c r="AM66" i="21" s="1"/>
  <c r="H16" i="1" s="1"/>
  <c r="B8" i="21"/>
  <c r="AN22" i="21"/>
  <c r="AN30" i="21"/>
  <c r="AN38" i="21"/>
  <c r="AO52" i="21"/>
  <c r="AN55" i="21"/>
  <c r="T66" i="21"/>
  <c r="B7" i="21"/>
  <c r="AO22" i="21"/>
  <c r="AO23" i="21"/>
  <c r="AP23" i="21" s="1"/>
  <c r="AO30" i="21"/>
  <c r="AO31" i="21"/>
  <c r="AO38" i="21"/>
  <c r="AO39" i="21"/>
  <c r="AO46" i="21"/>
  <c r="AO48" i="21"/>
  <c r="AN49" i="21"/>
  <c r="AN51" i="21"/>
  <c r="AO62" i="21"/>
  <c r="AN25" i="21"/>
  <c r="AN33" i="21"/>
  <c r="AN41" i="21"/>
  <c r="AN45" i="21"/>
  <c r="AO58" i="21"/>
  <c r="AN61" i="21"/>
  <c r="AO65" i="21"/>
  <c r="AP65" i="21" s="1"/>
  <c r="AP64" i="21" l="1"/>
  <c r="AP31" i="21"/>
  <c r="AP10" i="21"/>
  <c r="AP8" i="21"/>
  <c r="AP40" i="21"/>
  <c r="AP60" i="21"/>
  <c r="AP33" i="21"/>
  <c r="AP49" i="21"/>
  <c r="AP27" i="21"/>
  <c r="AP28" i="21"/>
  <c r="AP21" i="21"/>
  <c r="AP48" i="21"/>
  <c r="AP29" i="21"/>
  <c r="AP9" i="21"/>
  <c r="AP11" i="21"/>
  <c r="AP17" i="21"/>
  <c r="AP16" i="21"/>
  <c r="AP50" i="21"/>
  <c r="AP6" i="21"/>
  <c r="AP26" i="21"/>
  <c r="AP44" i="21"/>
  <c r="AP32" i="21"/>
  <c r="AP5" i="21"/>
  <c r="AP18" i="21"/>
  <c r="AP13" i="21"/>
  <c r="AP4" i="21"/>
  <c r="AP39" i="21"/>
  <c r="AP20" i="21"/>
  <c r="AP7" i="21"/>
  <c r="AP19" i="21"/>
  <c r="AP34" i="21"/>
  <c r="AP24" i="21"/>
  <c r="AP58" i="21"/>
  <c r="AP14" i="21"/>
  <c r="AP42" i="21"/>
  <c r="AP63" i="21"/>
  <c r="AP25" i="21"/>
  <c r="AP55" i="21"/>
  <c r="AP41" i="21"/>
  <c r="AP57" i="21"/>
  <c r="AP62" i="21"/>
  <c r="AP61" i="21"/>
  <c r="AP59" i="21"/>
  <c r="AP56" i="21"/>
  <c r="AP54" i="21"/>
  <c r="AP43" i="21"/>
  <c r="AP53" i="21"/>
  <c r="AP52" i="21"/>
  <c r="AP47" i="21"/>
  <c r="AP45" i="21"/>
  <c r="AP46" i="21"/>
  <c r="AP51" i="21"/>
  <c r="AP35" i="21"/>
  <c r="AP36" i="21"/>
  <c r="AO66" i="21"/>
  <c r="J16" i="1" s="1"/>
  <c r="AN66" i="21"/>
  <c r="I16" i="1" s="1"/>
  <c r="AP38" i="21"/>
  <c r="B9" i="21"/>
  <c r="A7" i="21"/>
  <c r="AP30" i="21"/>
  <c r="B10" i="21"/>
  <c r="A8" i="21"/>
  <c r="AP22" i="21"/>
  <c r="M16" i="1" l="1"/>
  <c r="N16" i="1" s="1"/>
  <c r="A10" i="21"/>
  <c r="B12" i="21"/>
  <c r="A9" i="21"/>
  <c r="B11" i="21"/>
  <c r="B14" i="21" l="1"/>
  <c r="A12" i="21"/>
  <c r="B13" i="21"/>
  <c r="A11" i="21"/>
  <c r="A13" i="21" l="1"/>
  <c r="B15" i="21"/>
  <c r="A14" i="21"/>
  <c r="B16" i="21"/>
  <c r="B18" i="21" l="1"/>
  <c r="A16" i="21"/>
  <c r="A15" i="21"/>
  <c r="B17" i="21"/>
  <c r="B20" i="21" l="1"/>
  <c r="A18" i="21"/>
  <c r="A17" i="21"/>
  <c r="B19" i="21"/>
  <c r="B21" i="21" l="1"/>
  <c r="A19" i="21"/>
  <c r="A20" i="21"/>
  <c r="B22" i="21"/>
  <c r="B23" i="21" l="1"/>
  <c r="A21" i="21"/>
  <c r="B24" i="21"/>
  <c r="A22" i="21"/>
  <c r="A24" i="21" l="1"/>
  <c r="B26" i="21"/>
  <c r="A23" i="21"/>
  <c r="B25" i="21"/>
  <c r="B27" i="21" l="1"/>
  <c r="A25" i="21"/>
  <c r="B28" i="21"/>
  <c r="A26" i="21"/>
  <c r="A28" i="21" l="1"/>
  <c r="B30" i="21"/>
  <c r="A27" i="21"/>
  <c r="B29" i="21"/>
  <c r="B32" i="21" l="1"/>
  <c r="A30" i="21"/>
  <c r="B31" i="21"/>
  <c r="A29" i="21"/>
  <c r="A32" i="21" l="1"/>
  <c r="B34" i="21"/>
  <c r="A31" i="21"/>
  <c r="B33" i="21"/>
  <c r="B36" i="21" l="1"/>
  <c r="A34" i="21"/>
  <c r="B35" i="21"/>
  <c r="A33" i="21"/>
  <c r="A35" i="21" l="1"/>
  <c r="B37" i="21"/>
  <c r="A36" i="21"/>
  <c r="B38" i="21"/>
  <c r="B40" i="21" l="1"/>
  <c r="A38" i="21"/>
  <c r="A37" i="21"/>
  <c r="B39" i="21"/>
  <c r="A39" i="21" l="1"/>
  <c r="B41" i="21"/>
  <c r="A40" i="21"/>
  <c r="B42" i="21"/>
  <c r="B43" i="21" l="1"/>
  <c r="A41" i="21"/>
  <c r="B44" i="21"/>
  <c r="A42" i="21"/>
  <c r="A44" i="21" l="1"/>
  <c r="B46" i="21"/>
  <c r="A43" i="21"/>
  <c r="B45" i="21"/>
  <c r="B48" i="21" l="1"/>
  <c r="A46" i="21"/>
  <c r="A45" i="21"/>
  <c r="B47" i="21"/>
  <c r="A47" i="21" l="1"/>
  <c r="B49" i="21"/>
  <c r="A48" i="21"/>
  <c r="B50" i="21"/>
  <c r="B52" i="21" l="1"/>
  <c r="A50" i="21"/>
  <c r="A49" i="21"/>
  <c r="B51" i="21"/>
  <c r="A51" i="21" l="1"/>
  <c r="B53" i="21"/>
  <c r="A52" i="21"/>
  <c r="B54" i="21"/>
  <c r="B56" i="21" l="1"/>
  <c r="A54" i="21"/>
  <c r="A53" i="21"/>
  <c r="B55" i="21"/>
  <c r="A55" i="21" l="1"/>
  <c r="B57" i="21"/>
  <c r="A56" i="21"/>
  <c r="B58" i="21"/>
  <c r="B60" i="21" l="1"/>
  <c r="A58" i="21"/>
  <c r="A57" i="21"/>
  <c r="B59" i="21"/>
  <c r="A59" i="21" l="1"/>
  <c r="B61" i="21"/>
  <c r="A60" i="21"/>
  <c r="B62" i="21"/>
  <c r="A61" i="21" l="1"/>
  <c r="B63" i="21"/>
  <c r="B64" i="21"/>
  <c r="A64" i="21" s="1"/>
  <c r="A62" i="21"/>
  <c r="A63" i="21" l="1"/>
  <c r="B65" i="21"/>
  <c r="A65" i="21" s="1"/>
  <c r="AS39" i="9" l="1"/>
  <c r="G26" i="20" l="1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N55" i="1" l="1"/>
  <c r="AA18" i="10" l="1"/>
  <c r="AB18" i="10"/>
  <c r="AF18" i="10"/>
  <c r="AG18" i="10"/>
  <c r="AA19" i="10"/>
  <c r="AB19" i="10"/>
  <c r="AF19" i="10"/>
  <c r="AG19" i="10"/>
  <c r="AA20" i="10"/>
  <c r="AB20" i="10"/>
  <c r="AF20" i="10"/>
  <c r="AG20" i="10"/>
  <c r="AA21" i="10"/>
  <c r="AB21" i="10"/>
  <c r="AF21" i="10"/>
  <c r="AG21" i="10"/>
  <c r="AA22" i="10"/>
  <c r="AB22" i="10"/>
  <c r="AF22" i="10"/>
  <c r="AG22" i="10"/>
  <c r="AA23" i="10"/>
  <c r="AB23" i="10"/>
  <c r="AF23" i="10"/>
  <c r="AG23" i="10"/>
  <c r="AA24" i="10"/>
  <c r="AB24" i="10"/>
  <c r="AF24" i="10"/>
  <c r="AG24" i="10"/>
  <c r="AA25" i="10"/>
  <c r="AB25" i="10"/>
  <c r="AF25" i="10"/>
  <c r="AG25" i="10"/>
  <c r="AS25" i="9" l="1"/>
  <c r="AS25" i="8" l="1"/>
  <c r="AA12" i="11" l="1"/>
  <c r="AB12" i="11"/>
  <c r="AA13" i="11"/>
  <c r="AB13" i="11"/>
  <c r="AA14" i="11"/>
  <c r="AB14" i="11"/>
  <c r="AA15" i="11"/>
  <c r="AB15" i="11"/>
  <c r="AA16" i="11"/>
  <c r="AB16" i="11"/>
  <c r="AA17" i="11"/>
  <c r="AB17" i="11"/>
  <c r="AA18" i="11"/>
  <c r="AB18" i="11"/>
  <c r="AA19" i="11"/>
  <c r="AB19" i="11"/>
  <c r="AA20" i="11"/>
  <c r="AB20" i="11"/>
  <c r="AA21" i="11"/>
  <c r="AB21" i="11"/>
  <c r="AA22" i="11"/>
  <c r="AB22" i="11"/>
  <c r="AA23" i="11"/>
  <c r="AB23" i="11"/>
  <c r="AA24" i="11"/>
  <c r="AB24" i="11"/>
  <c r="AA25" i="11"/>
  <c r="AB25" i="11"/>
  <c r="AA26" i="11"/>
  <c r="AB26" i="11"/>
  <c r="AA27" i="11"/>
  <c r="AB27" i="11"/>
  <c r="AA28" i="11"/>
  <c r="AB28" i="11"/>
  <c r="AA29" i="11"/>
  <c r="AB29" i="11"/>
  <c r="AA30" i="11"/>
  <c r="AB30" i="11"/>
  <c r="AA31" i="11"/>
  <c r="AB31" i="11"/>
  <c r="AA32" i="11"/>
  <c r="AB32" i="11"/>
  <c r="AA33" i="11"/>
  <c r="AB33" i="11"/>
  <c r="AA34" i="11"/>
  <c r="AB34" i="11"/>
  <c r="AA35" i="11"/>
  <c r="AB35" i="11"/>
  <c r="AA36" i="11"/>
  <c r="AB36" i="11"/>
  <c r="AA37" i="11"/>
  <c r="AB37" i="11"/>
  <c r="AA38" i="11"/>
  <c r="AB38" i="11"/>
  <c r="AA39" i="11"/>
  <c r="AB39" i="11"/>
  <c r="AA40" i="11"/>
  <c r="AB40" i="11"/>
  <c r="AA41" i="11"/>
  <c r="AB41" i="11"/>
  <c r="AA42" i="11"/>
  <c r="AB42" i="11"/>
  <c r="AA43" i="11"/>
  <c r="AB43" i="11"/>
  <c r="AA44" i="11"/>
  <c r="AB44" i="11"/>
  <c r="AA45" i="11"/>
  <c r="AB45" i="11"/>
  <c r="AA46" i="11"/>
  <c r="AB46" i="11"/>
  <c r="AA47" i="11"/>
  <c r="AB47" i="11"/>
  <c r="AA48" i="11"/>
  <c r="AB48" i="11"/>
  <c r="AA49" i="11"/>
  <c r="AB49" i="11"/>
  <c r="AA50" i="11"/>
  <c r="AB50" i="11"/>
  <c r="AA51" i="11"/>
  <c r="AB51" i="11"/>
  <c r="AA52" i="11"/>
  <c r="AB52" i="11"/>
  <c r="AA53" i="11"/>
  <c r="AB53" i="11"/>
  <c r="AA54" i="11"/>
  <c r="AB54" i="11"/>
  <c r="AA55" i="11"/>
  <c r="AB55" i="11"/>
  <c r="AA56" i="11"/>
  <c r="AB56" i="11"/>
  <c r="AA57" i="11"/>
  <c r="AB57" i="11"/>
  <c r="AA58" i="11"/>
  <c r="AB58" i="11"/>
  <c r="AA59" i="11"/>
  <c r="AB59" i="11"/>
  <c r="AA60" i="11"/>
  <c r="AB60" i="11"/>
  <c r="AA61" i="11"/>
  <c r="AB61" i="11"/>
  <c r="AA62" i="11"/>
  <c r="AB62" i="11"/>
  <c r="AA63" i="11"/>
  <c r="AB63" i="11"/>
  <c r="AA64" i="11"/>
  <c r="AB64" i="11"/>
  <c r="AA65" i="11"/>
  <c r="AB65" i="11"/>
  <c r="AA12" i="5" l="1"/>
  <c r="AB12" i="5"/>
  <c r="AA13" i="5"/>
  <c r="AB13" i="5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4" i="11" l="1"/>
  <c r="AA5" i="11"/>
  <c r="AB5" i="11"/>
  <c r="AA6" i="11"/>
  <c r="AB6" i="11"/>
  <c r="AA7" i="11"/>
  <c r="AB7" i="11"/>
  <c r="AA8" i="11"/>
  <c r="AB8" i="11"/>
  <c r="AA9" i="11"/>
  <c r="AB9" i="11"/>
  <c r="AA10" i="11"/>
  <c r="AB10" i="11"/>
  <c r="AA11" i="11"/>
  <c r="AB11" i="11"/>
  <c r="AB4" i="11"/>
  <c r="AA5" i="5" l="1"/>
  <c r="AB5" i="5"/>
  <c r="AA6" i="5"/>
  <c r="AB6" i="5"/>
  <c r="AA7" i="5"/>
  <c r="AB7" i="5"/>
  <c r="AA8" i="5"/>
  <c r="AB8" i="5"/>
  <c r="AA9" i="5"/>
  <c r="AB9" i="5"/>
  <c r="AA10" i="5"/>
  <c r="AB10" i="5"/>
  <c r="AA11" i="5"/>
  <c r="AB11" i="5"/>
  <c r="AB4" i="5"/>
  <c r="AA4" i="5"/>
  <c r="R4" i="3" l="1"/>
  <c r="T4" i="3"/>
  <c r="S4" i="3"/>
  <c r="N52" i="1" l="1"/>
  <c r="AR31" i="14"/>
  <c r="AS59" i="12" l="1"/>
  <c r="AA32" i="7" l="1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N57" i="1" l="1"/>
  <c r="AF52" i="14" l="1"/>
  <c r="AG52" i="14"/>
  <c r="AF53" i="14"/>
  <c r="AG53" i="14"/>
  <c r="AF54" i="14"/>
  <c r="AG54" i="14"/>
  <c r="AF55" i="14"/>
  <c r="AG55" i="14"/>
  <c r="AF56" i="14"/>
  <c r="AG56" i="14"/>
  <c r="AF57" i="14"/>
  <c r="AG57" i="14"/>
  <c r="AF58" i="14"/>
  <c r="AG58" i="14"/>
  <c r="AF59" i="14"/>
  <c r="AG59" i="14"/>
  <c r="AF60" i="14"/>
  <c r="AG60" i="14"/>
  <c r="AF61" i="14"/>
  <c r="AG61" i="14"/>
  <c r="R60" i="5" l="1"/>
  <c r="AM60" i="5" s="1"/>
  <c r="S60" i="5"/>
  <c r="T60" i="5"/>
  <c r="R61" i="5"/>
  <c r="AM61" i="5" s="1"/>
  <c r="S61" i="5"/>
  <c r="T61" i="5"/>
  <c r="R62" i="5"/>
  <c r="AM62" i="5" s="1"/>
  <c r="S62" i="5"/>
  <c r="T62" i="5"/>
  <c r="R63" i="5"/>
  <c r="AM63" i="5" s="1"/>
  <c r="S63" i="5"/>
  <c r="T63" i="5"/>
  <c r="R64" i="5"/>
  <c r="AM64" i="5" s="1"/>
  <c r="S64" i="5"/>
  <c r="T64" i="5"/>
  <c r="R65" i="5"/>
  <c r="AM65" i="5" s="1"/>
  <c r="S65" i="5"/>
  <c r="T65" i="5"/>
  <c r="G60" i="5"/>
  <c r="H60" i="5"/>
  <c r="AF60" i="5"/>
  <c r="AG60" i="5"/>
  <c r="AK60" i="5"/>
  <c r="AL60" i="5"/>
  <c r="G61" i="5"/>
  <c r="H61" i="5"/>
  <c r="AF61" i="5"/>
  <c r="AG61" i="5"/>
  <c r="AK61" i="5"/>
  <c r="AL61" i="5"/>
  <c r="G62" i="5"/>
  <c r="H62" i="5"/>
  <c r="AF62" i="5"/>
  <c r="AG62" i="5"/>
  <c r="AK62" i="5"/>
  <c r="AL62" i="5"/>
  <c r="G63" i="5"/>
  <c r="H63" i="5"/>
  <c r="AF63" i="5"/>
  <c r="AG63" i="5"/>
  <c r="AK63" i="5"/>
  <c r="AL63" i="5"/>
  <c r="G64" i="5"/>
  <c r="H64" i="5"/>
  <c r="AF64" i="5"/>
  <c r="AG64" i="5"/>
  <c r="AK64" i="5"/>
  <c r="AL64" i="5"/>
  <c r="G65" i="5"/>
  <c r="H65" i="5"/>
  <c r="AF65" i="5"/>
  <c r="AG65" i="5"/>
  <c r="AK65" i="5"/>
  <c r="AL65" i="5"/>
  <c r="AO64" i="5" l="1"/>
  <c r="AN64" i="5"/>
  <c r="AO65" i="5"/>
  <c r="AN65" i="5"/>
  <c r="AN60" i="5"/>
  <c r="AN62" i="5"/>
  <c r="AN63" i="5"/>
  <c r="AN61" i="5"/>
  <c r="AS65" i="12" l="1"/>
  <c r="N46" i="1" l="1"/>
  <c r="N47" i="1"/>
  <c r="N48" i="1"/>
  <c r="N50" i="1"/>
  <c r="N51" i="1"/>
  <c r="N53" i="1"/>
  <c r="N54" i="1"/>
  <c r="N58" i="1"/>
  <c r="V71" i="20" l="1"/>
  <c r="Z70" i="20"/>
  <c r="Y70" i="20"/>
  <c r="Z69" i="20"/>
  <c r="Z71" i="20" s="1"/>
  <c r="X71" i="20" s="1"/>
  <c r="Y69" i="20"/>
  <c r="J66" i="20"/>
  <c r="G10" i="1" s="1"/>
  <c r="AR65" i="20"/>
  <c r="AL65" i="20"/>
  <c r="AK65" i="20"/>
  <c r="AG65" i="20"/>
  <c r="AF65" i="20"/>
  <c r="AB65" i="20"/>
  <c r="AA65" i="20"/>
  <c r="T65" i="20"/>
  <c r="S65" i="20"/>
  <c r="R65" i="20"/>
  <c r="AM65" i="20" s="1"/>
  <c r="H65" i="20"/>
  <c r="G65" i="20"/>
  <c r="AR64" i="20"/>
  <c r="AL64" i="20"/>
  <c r="AK64" i="20"/>
  <c r="AG64" i="20"/>
  <c r="AF64" i="20"/>
  <c r="AB64" i="20"/>
  <c r="AA64" i="20"/>
  <c r="T64" i="20"/>
  <c r="S64" i="20"/>
  <c r="R64" i="20"/>
  <c r="AM64" i="20" s="1"/>
  <c r="H64" i="20"/>
  <c r="G64" i="20"/>
  <c r="AL63" i="20"/>
  <c r="AK63" i="20"/>
  <c r="AG63" i="20"/>
  <c r="AF63" i="20"/>
  <c r="AB63" i="20"/>
  <c r="T63" i="20"/>
  <c r="S63" i="20"/>
  <c r="R63" i="20"/>
  <c r="AM63" i="20" s="1"/>
  <c r="H63" i="20"/>
  <c r="G63" i="20"/>
  <c r="AR62" i="20"/>
  <c r="AL62" i="20"/>
  <c r="AK62" i="20"/>
  <c r="AG62" i="20"/>
  <c r="AF62" i="20"/>
  <c r="AB62" i="20"/>
  <c r="T62" i="20"/>
  <c r="S62" i="20"/>
  <c r="R62" i="20"/>
  <c r="AM62" i="20" s="1"/>
  <c r="H62" i="20"/>
  <c r="G62" i="20"/>
  <c r="AR61" i="20"/>
  <c r="AL61" i="20"/>
  <c r="AK61" i="20"/>
  <c r="AG61" i="20"/>
  <c r="AF61" i="20"/>
  <c r="AB61" i="20"/>
  <c r="T61" i="20"/>
  <c r="S61" i="20"/>
  <c r="R61" i="20"/>
  <c r="AM61" i="20" s="1"/>
  <c r="H61" i="20"/>
  <c r="G61" i="20"/>
  <c r="AR60" i="20"/>
  <c r="AL60" i="20"/>
  <c r="AK60" i="20"/>
  <c r="AG60" i="20"/>
  <c r="AF60" i="20"/>
  <c r="AB60" i="20"/>
  <c r="T60" i="20"/>
  <c r="S60" i="20"/>
  <c r="R60" i="20"/>
  <c r="AM60" i="20" s="1"/>
  <c r="H60" i="20"/>
  <c r="G60" i="20"/>
  <c r="AR59" i="20"/>
  <c r="AL59" i="20"/>
  <c r="AK59" i="20"/>
  <c r="AG59" i="20"/>
  <c r="AF59" i="20"/>
  <c r="AB59" i="20"/>
  <c r="T59" i="20"/>
  <c r="S59" i="20"/>
  <c r="R59" i="20"/>
  <c r="AM59" i="20" s="1"/>
  <c r="H59" i="20"/>
  <c r="G59" i="20"/>
  <c r="AR58" i="20"/>
  <c r="AL58" i="20"/>
  <c r="AK58" i="20"/>
  <c r="AG58" i="20"/>
  <c r="AF58" i="20"/>
  <c r="AB58" i="20"/>
  <c r="T58" i="20"/>
  <c r="S58" i="20"/>
  <c r="R58" i="20"/>
  <c r="AM58" i="20" s="1"/>
  <c r="H58" i="20"/>
  <c r="G58" i="20"/>
  <c r="AR57" i="20"/>
  <c r="AL57" i="20"/>
  <c r="AK57" i="20"/>
  <c r="AG57" i="20"/>
  <c r="AF57" i="20"/>
  <c r="AB57" i="20"/>
  <c r="T57" i="20"/>
  <c r="S57" i="20"/>
  <c r="R57" i="20"/>
  <c r="AM57" i="20" s="1"/>
  <c r="H57" i="20"/>
  <c r="G57" i="20"/>
  <c r="AR56" i="20"/>
  <c r="AL56" i="20"/>
  <c r="AK56" i="20"/>
  <c r="AG56" i="20"/>
  <c r="AF56" i="20"/>
  <c r="AB56" i="20"/>
  <c r="T56" i="20"/>
  <c r="S56" i="20"/>
  <c r="R56" i="20"/>
  <c r="AM56" i="20" s="1"/>
  <c r="H56" i="20"/>
  <c r="G56" i="20"/>
  <c r="AR55" i="20"/>
  <c r="AL55" i="20"/>
  <c r="AK55" i="20"/>
  <c r="AG55" i="20"/>
  <c r="AF55" i="20"/>
  <c r="AB55" i="20"/>
  <c r="T55" i="20"/>
  <c r="S55" i="20"/>
  <c r="R55" i="20"/>
  <c r="AM55" i="20" s="1"/>
  <c r="H55" i="20"/>
  <c r="G55" i="20"/>
  <c r="AR54" i="20"/>
  <c r="AL54" i="20"/>
  <c r="AK54" i="20"/>
  <c r="AG54" i="20"/>
  <c r="AF54" i="20"/>
  <c r="AB54" i="20"/>
  <c r="T54" i="20"/>
  <c r="S54" i="20"/>
  <c r="R54" i="20"/>
  <c r="AM54" i="20" s="1"/>
  <c r="H54" i="20"/>
  <c r="G54" i="20"/>
  <c r="AR53" i="20"/>
  <c r="AL53" i="20"/>
  <c r="AK53" i="20"/>
  <c r="AG53" i="20"/>
  <c r="AF53" i="20"/>
  <c r="AB53" i="20"/>
  <c r="T53" i="20"/>
  <c r="S53" i="20"/>
  <c r="R53" i="20"/>
  <c r="AM53" i="20" s="1"/>
  <c r="H53" i="20"/>
  <c r="G53" i="20"/>
  <c r="AR52" i="20"/>
  <c r="AL52" i="20"/>
  <c r="AK52" i="20"/>
  <c r="AG52" i="20"/>
  <c r="AF52" i="20"/>
  <c r="AB52" i="20"/>
  <c r="T52" i="20"/>
  <c r="S52" i="20"/>
  <c r="R52" i="20"/>
  <c r="AM52" i="20" s="1"/>
  <c r="H52" i="20"/>
  <c r="G52" i="20"/>
  <c r="AR51" i="20"/>
  <c r="AL51" i="20"/>
  <c r="AK51" i="20"/>
  <c r="AG51" i="20"/>
  <c r="AF51" i="20"/>
  <c r="AB51" i="20"/>
  <c r="T51" i="20"/>
  <c r="S51" i="20"/>
  <c r="R51" i="20"/>
  <c r="AM51" i="20" s="1"/>
  <c r="H51" i="20"/>
  <c r="G51" i="20"/>
  <c r="AR50" i="20"/>
  <c r="AL50" i="20"/>
  <c r="AK50" i="20"/>
  <c r="AG50" i="20"/>
  <c r="AF50" i="20"/>
  <c r="AB50" i="20"/>
  <c r="T50" i="20"/>
  <c r="S50" i="20"/>
  <c r="R50" i="20"/>
  <c r="AM50" i="20" s="1"/>
  <c r="H50" i="20"/>
  <c r="G50" i="20"/>
  <c r="AR49" i="20"/>
  <c r="AL49" i="20"/>
  <c r="AK49" i="20"/>
  <c r="AG49" i="20"/>
  <c r="AF49" i="20"/>
  <c r="AB49" i="20"/>
  <c r="T49" i="20"/>
  <c r="S49" i="20"/>
  <c r="R49" i="20"/>
  <c r="AM49" i="20" s="1"/>
  <c r="H49" i="20"/>
  <c r="G49" i="20"/>
  <c r="AR48" i="20"/>
  <c r="AL48" i="20"/>
  <c r="AK48" i="20"/>
  <c r="AG48" i="20"/>
  <c r="AF48" i="20"/>
  <c r="AB48" i="20"/>
  <c r="T48" i="20"/>
  <c r="S48" i="20"/>
  <c r="R48" i="20"/>
  <c r="AM48" i="20" s="1"/>
  <c r="H48" i="20"/>
  <c r="G48" i="20"/>
  <c r="AR47" i="20"/>
  <c r="AL47" i="20"/>
  <c r="AK47" i="20"/>
  <c r="AG47" i="20"/>
  <c r="AF47" i="20"/>
  <c r="AB47" i="20"/>
  <c r="T47" i="20"/>
  <c r="S47" i="20"/>
  <c r="R47" i="20"/>
  <c r="AM47" i="20" s="1"/>
  <c r="H47" i="20"/>
  <c r="G47" i="20"/>
  <c r="AR46" i="20"/>
  <c r="AL46" i="20"/>
  <c r="AK46" i="20"/>
  <c r="AG46" i="20"/>
  <c r="AF46" i="20"/>
  <c r="AB46" i="20"/>
  <c r="T46" i="20"/>
  <c r="S46" i="20"/>
  <c r="R46" i="20"/>
  <c r="AM46" i="20" s="1"/>
  <c r="H46" i="20"/>
  <c r="G46" i="20"/>
  <c r="AR45" i="20"/>
  <c r="AL45" i="20"/>
  <c r="AK45" i="20"/>
  <c r="AG45" i="20"/>
  <c r="AF45" i="20"/>
  <c r="AB45" i="20"/>
  <c r="T45" i="20"/>
  <c r="S45" i="20"/>
  <c r="R45" i="20"/>
  <c r="AM45" i="20" s="1"/>
  <c r="H45" i="20"/>
  <c r="G45" i="20"/>
  <c r="AR44" i="20"/>
  <c r="AL44" i="20"/>
  <c r="AK44" i="20"/>
  <c r="AG44" i="20"/>
  <c r="AF44" i="20"/>
  <c r="AB44" i="20"/>
  <c r="T44" i="20"/>
  <c r="S44" i="20"/>
  <c r="R44" i="20"/>
  <c r="AM44" i="20" s="1"/>
  <c r="H44" i="20"/>
  <c r="G44" i="20"/>
  <c r="AR43" i="20"/>
  <c r="AL43" i="20"/>
  <c r="AK43" i="20"/>
  <c r="AG43" i="20"/>
  <c r="AF43" i="20"/>
  <c r="AB43" i="20"/>
  <c r="AA43" i="20"/>
  <c r="T43" i="20"/>
  <c r="S43" i="20"/>
  <c r="R43" i="20"/>
  <c r="AM43" i="20" s="1"/>
  <c r="H43" i="20"/>
  <c r="G43" i="20"/>
  <c r="AR42" i="20"/>
  <c r="AL42" i="20"/>
  <c r="AK42" i="20"/>
  <c r="AG42" i="20"/>
  <c r="AF42" i="20"/>
  <c r="AB42" i="20"/>
  <c r="AA42" i="20"/>
  <c r="T42" i="20"/>
  <c r="S42" i="20"/>
  <c r="R42" i="20"/>
  <c r="AM42" i="20" s="1"/>
  <c r="H42" i="20"/>
  <c r="G42" i="20"/>
  <c r="AR41" i="20"/>
  <c r="AL41" i="20"/>
  <c r="AK41" i="20"/>
  <c r="AG41" i="20"/>
  <c r="AF41" i="20"/>
  <c r="AB41" i="20"/>
  <c r="AA41" i="20"/>
  <c r="T41" i="20"/>
  <c r="S41" i="20"/>
  <c r="R41" i="20"/>
  <c r="AM41" i="20" s="1"/>
  <c r="H41" i="20"/>
  <c r="G41" i="20"/>
  <c r="AR40" i="20"/>
  <c r="AL40" i="20"/>
  <c r="AK40" i="20"/>
  <c r="AG40" i="20"/>
  <c r="AF40" i="20"/>
  <c r="AB40" i="20"/>
  <c r="AA40" i="20"/>
  <c r="T40" i="20"/>
  <c r="S40" i="20"/>
  <c r="R40" i="20"/>
  <c r="AM40" i="20" s="1"/>
  <c r="H40" i="20"/>
  <c r="G40" i="20"/>
  <c r="AR39" i="20"/>
  <c r="AL39" i="20"/>
  <c r="AK39" i="20"/>
  <c r="AG39" i="20"/>
  <c r="AF39" i="20"/>
  <c r="AB39" i="20"/>
  <c r="AA39" i="20"/>
  <c r="T39" i="20"/>
  <c r="S39" i="20"/>
  <c r="R39" i="20"/>
  <c r="AM39" i="20" s="1"/>
  <c r="AR38" i="20"/>
  <c r="AL38" i="20"/>
  <c r="AK38" i="20"/>
  <c r="AG38" i="20"/>
  <c r="AF38" i="20"/>
  <c r="AB38" i="20"/>
  <c r="AA38" i="20"/>
  <c r="T38" i="20"/>
  <c r="S38" i="20"/>
  <c r="R38" i="20"/>
  <c r="AM38" i="20" s="1"/>
  <c r="AR37" i="20"/>
  <c r="AL37" i="20"/>
  <c r="AK37" i="20"/>
  <c r="AG37" i="20"/>
  <c r="AF37" i="20"/>
  <c r="AB37" i="20"/>
  <c r="AA37" i="20"/>
  <c r="T37" i="20"/>
  <c r="S37" i="20"/>
  <c r="R37" i="20"/>
  <c r="AM37" i="20" s="1"/>
  <c r="AR36" i="20"/>
  <c r="AL36" i="20"/>
  <c r="AK36" i="20"/>
  <c r="AG36" i="20"/>
  <c r="AF36" i="20"/>
  <c r="AB36" i="20"/>
  <c r="AA36" i="20"/>
  <c r="T36" i="20"/>
  <c r="S36" i="20"/>
  <c r="R36" i="20"/>
  <c r="AM36" i="20" s="1"/>
  <c r="AR35" i="20"/>
  <c r="AL35" i="20"/>
  <c r="AK35" i="20"/>
  <c r="AG35" i="20"/>
  <c r="AF35" i="20"/>
  <c r="AB35" i="20"/>
  <c r="AA35" i="20"/>
  <c r="T35" i="20"/>
  <c r="S35" i="20"/>
  <c r="R35" i="20"/>
  <c r="AM35" i="20" s="1"/>
  <c r="AR34" i="20"/>
  <c r="AL34" i="20"/>
  <c r="AK34" i="20"/>
  <c r="AG34" i="20"/>
  <c r="AF34" i="20"/>
  <c r="AB34" i="20"/>
  <c r="AA34" i="20"/>
  <c r="T34" i="20"/>
  <c r="S34" i="20"/>
  <c r="R34" i="20"/>
  <c r="AM34" i="20" s="1"/>
  <c r="AR33" i="20"/>
  <c r="AL33" i="20"/>
  <c r="AK33" i="20"/>
  <c r="AG33" i="20"/>
  <c r="AF33" i="20"/>
  <c r="AB33" i="20"/>
  <c r="AA33" i="20"/>
  <c r="T33" i="20"/>
  <c r="S33" i="20"/>
  <c r="R33" i="20"/>
  <c r="AM33" i="20" s="1"/>
  <c r="AR32" i="20"/>
  <c r="AL32" i="20"/>
  <c r="AK32" i="20"/>
  <c r="AG32" i="20"/>
  <c r="AF32" i="20"/>
  <c r="AB32" i="20"/>
  <c r="AA32" i="20"/>
  <c r="T32" i="20"/>
  <c r="S32" i="20"/>
  <c r="R32" i="20"/>
  <c r="AM32" i="20" s="1"/>
  <c r="AR31" i="20"/>
  <c r="AL31" i="20"/>
  <c r="AK31" i="20"/>
  <c r="AG31" i="20"/>
  <c r="AF31" i="20"/>
  <c r="AB31" i="20"/>
  <c r="AA31" i="20"/>
  <c r="T31" i="20"/>
  <c r="S31" i="20"/>
  <c r="R31" i="20"/>
  <c r="AM31" i="20" s="1"/>
  <c r="AR30" i="20"/>
  <c r="AL30" i="20"/>
  <c r="AK30" i="20"/>
  <c r="AG30" i="20"/>
  <c r="AF30" i="20"/>
  <c r="AB30" i="20"/>
  <c r="AA30" i="20"/>
  <c r="T30" i="20"/>
  <c r="S30" i="20"/>
  <c r="R30" i="20"/>
  <c r="AM30" i="20" s="1"/>
  <c r="AR29" i="20"/>
  <c r="AL29" i="20"/>
  <c r="AK29" i="20"/>
  <c r="AG29" i="20"/>
  <c r="AF29" i="20"/>
  <c r="AB29" i="20"/>
  <c r="AA29" i="20"/>
  <c r="T29" i="20"/>
  <c r="S29" i="20"/>
  <c r="R29" i="20"/>
  <c r="AM29" i="20" s="1"/>
  <c r="AR28" i="20"/>
  <c r="AL28" i="20"/>
  <c r="AK28" i="20"/>
  <c r="AG28" i="20"/>
  <c r="AF28" i="20"/>
  <c r="AB28" i="20"/>
  <c r="AA28" i="20"/>
  <c r="T28" i="20"/>
  <c r="S28" i="20"/>
  <c r="R28" i="20"/>
  <c r="AM28" i="20" s="1"/>
  <c r="AR27" i="20"/>
  <c r="AL27" i="20"/>
  <c r="AK27" i="20"/>
  <c r="AG27" i="20"/>
  <c r="AF27" i="20"/>
  <c r="AB27" i="20"/>
  <c r="AA27" i="20"/>
  <c r="T27" i="20"/>
  <c r="S27" i="20"/>
  <c r="R27" i="20"/>
  <c r="AM27" i="20" s="1"/>
  <c r="AR26" i="20"/>
  <c r="AL26" i="20"/>
  <c r="AK26" i="20"/>
  <c r="AG26" i="20"/>
  <c r="AF26" i="20"/>
  <c r="AB26" i="20"/>
  <c r="AA26" i="20"/>
  <c r="T26" i="20"/>
  <c r="S26" i="20"/>
  <c r="R26" i="20"/>
  <c r="AM26" i="20" s="1"/>
  <c r="AR25" i="20"/>
  <c r="AL25" i="20"/>
  <c r="AK25" i="20"/>
  <c r="AG25" i="20"/>
  <c r="AF25" i="20"/>
  <c r="AB25" i="20"/>
  <c r="AA25" i="20"/>
  <c r="T25" i="20"/>
  <c r="S25" i="20"/>
  <c r="R25" i="20"/>
  <c r="AM25" i="20" s="1"/>
  <c r="H25" i="20"/>
  <c r="G25" i="20"/>
  <c r="AR24" i="20"/>
  <c r="AL24" i="20"/>
  <c r="AK24" i="20"/>
  <c r="AG24" i="20"/>
  <c r="AF24" i="20"/>
  <c r="AB24" i="20"/>
  <c r="AA24" i="20"/>
  <c r="T24" i="20"/>
  <c r="S24" i="20"/>
  <c r="R24" i="20"/>
  <c r="AM24" i="20" s="1"/>
  <c r="H24" i="20"/>
  <c r="G24" i="20"/>
  <c r="AR23" i="20"/>
  <c r="AL23" i="20"/>
  <c r="AK23" i="20"/>
  <c r="AG23" i="20"/>
  <c r="AF23" i="20"/>
  <c r="AB23" i="20"/>
  <c r="AA23" i="20"/>
  <c r="T23" i="20"/>
  <c r="S23" i="20"/>
  <c r="R23" i="20"/>
  <c r="AM23" i="20" s="1"/>
  <c r="H23" i="20"/>
  <c r="G23" i="20"/>
  <c r="AR22" i="20"/>
  <c r="AL22" i="20"/>
  <c r="AK22" i="20"/>
  <c r="AG22" i="20"/>
  <c r="AF22" i="20"/>
  <c r="AB22" i="20"/>
  <c r="AA22" i="20"/>
  <c r="T22" i="20"/>
  <c r="S22" i="20"/>
  <c r="R22" i="20"/>
  <c r="AM22" i="20" s="1"/>
  <c r="H22" i="20"/>
  <c r="G22" i="20"/>
  <c r="AR21" i="20"/>
  <c r="AL21" i="20"/>
  <c r="AK21" i="20"/>
  <c r="AG21" i="20"/>
  <c r="AF21" i="20"/>
  <c r="AB21" i="20"/>
  <c r="AA21" i="20"/>
  <c r="T21" i="20"/>
  <c r="S21" i="20"/>
  <c r="R21" i="20"/>
  <c r="AM21" i="20" s="1"/>
  <c r="H21" i="20"/>
  <c r="G21" i="20"/>
  <c r="AR20" i="20"/>
  <c r="AL20" i="20"/>
  <c r="AK20" i="20"/>
  <c r="AG20" i="20"/>
  <c r="AF20" i="20"/>
  <c r="AB20" i="20"/>
  <c r="AA20" i="20"/>
  <c r="T20" i="20"/>
  <c r="S20" i="20"/>
  <c r="R20" i="20"/>
  <c r="AM20" i="20" s="1"/>
  <c r="H20" i="20"/>
  <c r="G20" i="20"/>
  <c r="AR19" i="20"/>
  <c r="AL19" i="20"/>
  <c r="AK19" i="20"/>
  <c r="AG19" i="20"/>
  <c r="AF19" i="20"/>
  <c r="AB19" i="20"/>
  <c r="AA19" i="20"/>
  <c r="T19" i="20"/>
  <c r="S19" i="20"/>
  <c r="R19" i="20"/>
  <c r="AM19" i="20" s="1"/>
  <c r="H19" i="20"/>
  <c r="G19" i="20"/>
  <c r="AR18" i="20"/>
  <c r="AL18" i="20"/>
  <c r="AK18" i="20"/>
  <c r="AG18" i="20"/>
  <c r="AF18" i="20"/>
  <c r="AB18" i="20"/>
  <c r="AA18" i="20"/>
  <c r="T18" i="20"/>
  <c r="S18" i="20"/>
  <c r="R18" i="20"/>
  <c r="AM18" i="20" s="1"/>
  <c r="H18" i="20"/>
  <c r="G18" i="20"/>
  <c r="AR17" i="20"/>
  <c r="AL17" i="20"/>
  <c r="AK17" i="20"/>
  <c r="AG17" i="20"/>
  <c r="AF17" i="20"/>
  <c r="AB17" i="20"/>
  <c r="AA17" i="20"/>
  <c r="T17" i="20"/>
  <c r="S17" i="20"/>
  <c r="R17" i="20"/>
  <c r="AM17" i="20" s="1"/>
  <c r="H17" i="20"/>
  <c r="G17" i="20"/>
  <c r="AR16" i="20"/>
  <c r="AL16" i="20"/>
  <c r="AK16" i="20"/>
  <c r="AG16" i="20"/>
  <c r="AF16" i="20"/>
  <c r="AB16" i="20"/>
  <c r="AA16" i="20"/>
  <c r="T16" i="20"/>
  <c r="S16" i="20"/>
  <c r="R16" i="20"/>
  <c r="AM16" i="20" s="1"/>
  <c r="H16" i="20"/>
  <c r="G16" i="20"/>
  <c r="AR15" i="20"/>
  <c r="AL15" i="20"/>
  <c r="AK15" i="20"/>
  <c r="AG15" i="20"/>
  <c r="AF15" i="20"/>
  <c r="AB15" i="20"/>
  <c r="AA15" i="20"/>
  <c r="T15" i="20"/>
  <c r="S15" i="20"/>
  <c r="R15" i="20"/>
  <c r="AM15" i="20" s="1"/>
  <c r="H15" i="20"/>
  <c r="G15" i="20"/>
  <c r="AR14" i="20"/>
  <c r="AL14" i="20"/>
  <c r="AK14" i="20"/>
  <c r="AG14" i="20"/>
  <c r="AF14" i="20"/>
  <c r="AB14" i="20"/>
  <c r="AA14" i="20"/>
  <c r="T14" i="20"/>
  <c r="S14" i="20"/>
  <c r="R14" i="20"/>
  <c r="AM14" i="20" s="1"/>
  <c r="H14" i="20"/>
  <c r="G14" i="20"/>
  <c r="AR13" i="20"/>
  <c r="AL13" i="20"/>
  <c r="AK13" i="20"/>
  <c r="AG13" i="20"/>
  <c r="AF13" i="20"/>
  <c r="AB13" i="20"/>
  <c r="AA13" i="20"/>
  <c r="T13" i="20"/>
  <c r="S13" i="20"/>
  <c r="R13" i="20"/>
  <c r="AM13" i="20" s="1"/>
  <c r="H13" i="20"/>
  <c r="G13" i="20"/>
  <c r="AR12" i="20"/>
  <c r="AL12" i="20"/>
  <c r="AK12" i="20"/>
  <c r="AG12" i="20"/>
  <c r="AF12" i="20"/>
  <c r="AB12" i="20"/>
  <c r="AA12" i="20"/>
  <c r="T12" i="20"/>
  <c r="S12" i="20"/>
  <c r="R12" i="20"/>
  <c r="AM12" i="20" s="1"/>
  <c r="H12" i="20"/>
  <c r="G12" i="20"/>
  <c r="AR11" i="20"/>
  <c r="AL11" i="20"/>
  <c r="AK11" i="20"/>
  <c r="AG11" i="20"/>
  <c r="AF11" i="20"/>
  <c r="AB11" i="20"/>
  <c r="AA11" i="20"/>
  <c r="T11" i="20"/>
  <c r="S11" i="20"/>
  <c r="R11" i="20"/>
  <c r="AM11" i="20" s="1"/>
  <c r="H11" i="20"/>
  <c r="G11" i="20"/>
  <c r="AR10" i="20"/>
  <c r="AL10" i="20"/>
  <c r="AK10" i="20"/>
  <c r="AG10" i="20"/>
  <c r="AF10" i="20"/>
  <c r="AB10" i="20"/>
  <c r="AA10" i="20"/>
  <c r="T10" i="20"/>
  <c r="S10" i="20"/>
  <c r="R10" i="20"/>
  <c r="AM10" i="20" s="1"/>
  <c r="H10" i="20"/>
  <c r="G10" i="20"/>
  <c r="AR9" i="20"/>
  <c r="AL9" i="20"/>
  <c r="AK9" i="20"/>
  <c r="AG9" i="20"/>
  <c r="AF9" i="20"/>
  <c r="AB9" i="20"/>
  <c r="AA9" i="20"/>
  <c r="T9" i="20"/>
  <c r="S9" i="20"/>
  <c r="R9" i="20"/>
  <c r="AM9" i="20" s="1"/>
  <c r="H9" i="20"/>
  <c r="G9" i="20"/>
  <c r="AR8" i="20"/>
  <c r="AL8" i="20"/>
  <c r="AK8" i="20"/>
  <c r="AG8" i="20"/>
  <c r="AF8" i="20"/>
  <c r="AB8" i="20"/>
  <c r="AA8" i="20"/>
  <c r="T8" i="20"/>
  <c r="S8" i="20"/>
  <c r="R8" i="20"/>
  <c r="AM8" i="20" s="1"/>
  <c r="H8" i="20"/>
  <c r="G8" i="20"/>
  <c r="AR7" i="20"/>
  <c r="AL7" i="20"/>
  <c r="AK7" i="20"/>
  <c r="AG7" i="20"/>
  <c r="AF7" i="20"/>
  <c r="AB7" i="20"/>
  <c r="AA7" i="20"/>
  <c r="T7" i="20"/>
  <c r="S7" i="20"/>
  <c r="R7" i="20"/>
  <c r="AM7" i="20" s="1"/>
  <c r="H7" i="20"/>
  <c r="G7" i="20"/>
  <c r="AR6" i="20"/>
  <c r="AL6" i="20"/>
  <c r="AK6" i="20"/>
  <c r="AG6" i="20"/>
  <c r="AF6" i="20"/>
  <c r="AB6" i="20"/>
  <c r="AA6" i="20"/>
  <c r="T6" i="20"/>
  <c r="S6" i="20"/>
  <c r="R6" i="20"/>
  <c r="AM6" i="20" s="1"/>
  <c r="H6" i="20"/>
  <c r="G6" i="20"/>
  <c r="B6" i="20"/>
  <c r="B8" i="20" s="1"/>
  <c r="AR5" i="20"/>
  <c r="AL5" i="20"/>
  <c r="AK5" i="20"/>
  <c r="AG5" i="20"/>
  <c r="AF5" i="20"/>
  <c r="AB5" i="20"/>
  <c r="AA5" i="20"/>
  <c r="T5" i="20"/>
  <c r="S5" i="20"/>
  <c r="R5" i="20"/>
  <c r="AM5" i="20" s="1"/>
  <c r="H5" i="20"/>
  <c r="G5" i="20"/>
  <c r="B5" i="20"/>
  <c r="A5" i="20" s="1"/>
  <c r="AR4" i="20"/>
  <c r="AL4" i="20"/>
  <c r="AK4" i="20"/>
  <c r="AG4" i="20"/>
  <c r="AF4" i="20"/>
  <c r="AB4" i="20"/>
  <c r="AA4" i="20"/>
  <c r="T4" i="20"/>
  <c r="S4" i="20"/>
  <c r="R4" i="20"/>
  <c r="H4" i="20"/>
  <c r="G4" i="20"/>
  <c r="A4" i="20"/>
  <c r="AP1" i="20"/>
  <c r="AO59" i="20" l="1"/>
  <c r="AO60" i="20"/>
  <c r="AO52" i="20"/>
  <c r="AN51" i="20"/>
  <c r="AN19" i="20"/>
  <c r="AN61" i="20"/>
  <c r="AN62" i="20"/>
  <c r="AN64" i="20"/>
  <c r="AN53" i="20"/>
  <c r="AN54" i="20"/>
  <c r="AN65" i="20"/>
  <c r="AO20" i="20"/>
  <c r="AO24" i="20"/>
  <c r="AN25" i="20"/>
  <c r="AO28" i="20"/>
  <c r="AO50" i="20"/>
  <c r="AO54" i="20"/>
  <c r="AN55" i="20"/>
  <c r="AN56" i="20"/>
  <c r="AO61" i="20"/>
  <c r="AO62" i="20"/>
  <c r="AN63" i="20"/>
  <c r="AO64" i="20"/>
  <c r="AO65" i="20"/>
  <c r="AO32" i="20"/>
  <c r="AO51" i="20"/>
  <c r="AN52" i="20"/>
  <c r="AO55" i="20"/>
  <c r="AO56" i="20"/>
  <c r="AN57" i="20"/>
  <c r="AN58" i="20"/>
  <c r="AO63" i="20"/>
  <c r="Y71" i="20"/>
  <c r="W71" i="20" s="1"/>
  <c r="AO48" i="20"/>
  <c r="AO57" i="20"/>
  <c r="AO58" i="20"/>
  <c r="AN59" i="20"/>
  <c r="AP59" i="20" s="1"/>
  <c r="AN60" i="20"/>
  <c r="A6" i="20"/>
  <c r="AO36" i="20"/>
  <c r="AO40" i="20"/>
  <c r="AO44" i="20"/>
  <c r="AN8" i="20"/>
  <c r="AN9" i="20"/>
  <c r="AN10" i="20"/>
  <c r="AN11" i="20"/>
  <c r="AO39" i="20"/>
  <c r="AO23" i="20"/>
  <c r="AO6" i="20"/>
  <c r="AO9" i="20"/>
  <c r="AN29" i="20"/>
  <c r="AN31" i="20"/>
  <c r="AN48" i="20"/>
  <c r="AO4" i="20"/>
  <c r="AN5" i="20"/>
  <c r="AN16" i="20"/>
  <c r="AN17" i="20"/>
  <c r="AN18" i="20"/>
  <c r="AN20" i="20"/>
  <c r="AO30" i="20"/>
  <c r="AN35" i="20"/>
  <c r="AN36" i="20"/>
  <c r="AO46" i="20"/>
  <c r="AO7" i="20"/>
  <c r="AO8" i="20"/>
  <c r="AN32" i="20"/>
  <c r="AN45" i="20"/>
  <c r="AN47" i="20"/>
  <c r="R66" i="20"/>
  <c r="AO5" i="20"/>
  <c r="AO14" i="20"/>
  <c r="AO15" i="20"/>
  <c r="AO16" i="20"/>
  <c r="AO17" i="20"/>
  <c r="AO34" i="20"/>
  <c r="AO35" i="20"/>
  <c r="AN41" i="20"/>
  <c r="AO11" i="20"/>
  <c r="AN12" i="20"/>
  <c r="AN13" i="20"/>
  <c r="AO18" i="20"/>
  <c r="AN27" i="20"/>
  <c r="AN37" i="20"/>
  <c r="AO42" i="20"/>
  <c r="AO47" i="20"/>
  <c r="AN4" i="20"/>
  <c r="AN6" i="20"/>
  <c r="AN7" i="20"/>
  <c r="AO12" i="20"/>
  <c r="AO13" i="20"/>
  <c r="AN14" i="20"/>
  <c r="AP14" i="20" s="1"/>
  <c r="AN15" i="20"/>
  <c r="AP15" i="20" s="1"/>
  <c r="AO22" i="20"/>
  <c r="AN23" i="20"/>
  <c r="AN24" i="20"/>
  <c r="AO27" i="20"/>
  <c r="AN33" i="20"/>
  <c r="AO38" i="20"/>
  <c r="AN39" i="20"/>
  <c r="AN40" i="20"/>
  <c r="AO43" i="20"/>
  <c r="AN49" i="20"/>
  <c r="AO10" i="20"/>
  <c r="AO19" i="20"/>
  <c r="AN21" i="20"/>
  <c r="AO26" i="20"/>
  <c r="AN28" i="20"/>
  <c r="AP28" i="20" s="1"/>
  <c r="AO31" i="20"/>
  <c r="AN43" i="20"/>
  <c r="AN44" i="20"/>
  <c r="A8" i="20"/>
  <c r="B10" i="20"/>
  <c r="B7" i="20"/>
  <c r="AO21" i="20"/>
  <c r="AN26" i="20"/>
  <c r="AO29" i="20"/>
  <c r="AN34" i="20"/>
  <c r="AO37" i="20"/>
  <c r="AN42" i="20"/>
  <c r="AO45" i="20"/>
  <c r="AN50" i="20"/>
  <c r="AO53" i="20"/>
  <c r="S66" i="20"/>
  <c r="AM4" i="20"/>
  <c r="AM66" i="20" s="1"/>
  <c r="H10" i="1" s="1"/>
  <c r="AN22" i="20"/>
  <c r="AO25" i="20"/>
  <c r="AN30" i="20"/>
  <c r="AO33" i="20"/>
  <c r="AN38" i="20"/>
  <c r="AO41" i="20"/>
  <c r="AN46" i="20"/>
  <c r="AO49" i="20"/>
  <c r="T66" i="20"/>
  <c r="AP7" i="20" l="1"/>
  <c r="AP31" i="20"/>
  <c r="AP60" i="20"/>
  <c r="AP64" i="20"/>
  <c r="AP65" i="20"/>
  <c r="AP39" i="20"/>
  <c r="AP11" i="20"/>
  <c r="AP58" i="20"/>
  <c r="AP44" i="20"/>
  <c r="AP37" i="20"/>
  <c r="AP51" i="20"/>
  <c r="AP52" i="20"/>
  <c r="AP61" i="20"/>
  <c r="AP57" i="20"/>
  <c r="AP53" i="20"/>
  <c r="AP46" i="20"/>
  <c r="AP19" i="20"/>
  <c r="AP4" i="20"/>
  <c r="AP20" i="20"/>
  <c r="AP50" i="20"/>
  <c r="AP48" i="20"/>
  <c r="AP62" i="20"/>
  <c r="AP54" i="20"/>
  <c r="AP40" i="20"/>
  <c r="AP35" i="20"/>
  <c r="AP21" i="20"/>
  <c r="AP24" i="20"/>
  <c r="AP56" i="20"/>
  <c r="AP32" i="20"/>
  <c r="AP63" i="20"/>
  <c r="AP55" i="20"/>
  <c r="AP17" i="20"/>
  <c r="AP8" i="20"/>
  <c r="AP10" i="20"/>
  <c r="AP6" i="20"/>
  <c r="AP49" i="20"/>
  <c r="AP36" i="20"/>
  <c r="AP29" i="20"/>
  <c r="AP23" i="20"/>
  <c r="AP9" i="20"/>
  <c r="AP16" i="20"/>
  <c r="AP5" i="20"/>
  <c r="AP12" i="20"/>
  <c r="AP47" i="20"/>
  <c r="AP18" i="20"/>
  <c r="AP33" i="20"/>
  <c r="AP13" i="20"/>
  <c r="AP43" i="20"/>
  <c r="AP42" i="20"/>
  <c r="AP27" i="20"/>
  <c r="AP34" i="20"/>
  <c r="AP45" i="20"/>
  <c r="AP38" i="20"/>
  <c r="AP22" i="20"/>
  <c r="AO66" i="20"/>
  <c r="J10" i="1" s="1"/>
  <c r="AP41" i="20"/>
  <c r="AP25" i="20"/>
  <c r="AP30" i="20"/>
  <c r="A10" i="20"/>
  <c r="B12" i="20"/>
  <c r="AP26" i="20"/>
  <c r="A7" i="20"/>
  <c r="B9" i="20"/>
  <c r="AN66" i="20"/>
  <c r="I10" i="1" s="1"/>
  <c r="M10" i="1" l="1"/>
  <c r="N10" i="1" s="1"/>
  <c r="B11" i="20"/>
  <c r="A9" i="20"/>
  <c r="A12" i="20"/>
  <c r="B14" i="20"/>
  <c r="A11" i="20" l="1"/>
  <c r="B13" i="20"/>
  <c r="B16" i="20"/>
  <c r="A14" i="20"/>
  <c r="B15" i="20" l="1"/>
  <c r="A13" i="20"/>
  <c r="A16" i="20"/>
  <c r="B18" i="20"/>
  <c r="A18" i="20" l="1"/>
  <c r="B20" i="20"/>
  <c r="A15" i="20"/>
  <c r="B17" i="20"/>
  <c r="B19" i="20" l="1"/>
  <c r="A17" i="20"/>
  <c r="A20" i="20"/>
  <c r="B22" i="20"/>
  <c r="B21" i="20" l="1"/>
  <c r="A19" i="20"/>
  <c r="A22" i="20"/>
  <c r="B24" i="20"/>
  <c r="B23" i="20" l="1"/>
  <c r="A21" i="20"/>
  <c r="A24" i="20"/>
  <c r="B26" i="20"/>
  <c r="A26" i="20" l="1"/>
  <c r="B28" i="20"/>
  <c r="B25" i="20"/>
  <c r="A23" i="20"/>
  <c r="B27" i="20" l="1"/>
  <c r="A25" i="20"/>
  <c r="A28" i="20"/>
  <c r="B30" i="20"/>
  <c r="B29" i="20" l="1"/>
  <c r="A27" i="20"/>
  <c r="A30" i="20"/>
  <c r="B32" i="20"/>
  <c r="A32" i="20" l="1"/>
  <c r="B34" i="20"/>
  <c r="B31" i="20"/>
  <c r="A29" i="20"/>
  <c r="B33" i="20" l="1"/>
  <c r="A31" i="20"/>
  <c r="A34" i="20"/>
  <c r="B36" i="20"/>
  <c r="A36" i="20" l="1"/>
  <c r="B38" i="20"/>
  <c r="B35" i="20"/>
  <c r="A33" i="20"/>
  <c r="B37" i="20" l="1"/>
  <c r="A35" i="20"/>
  <c r="A38" i="20"/>
  <c r="B40" i="20"/>
  <c r="A40" i="20" l="1"/>
  <c r="B42" i="20"/>
  <c r="B39" i="20"/>
  <c r="A37" i="20"/>
  <c r="B41" i="20" l="1"/>
  <c r="A39" i="20"/>
  <c r="A42" i="20"/>
  <c r="B44" i="20"/>
  <c r="A44" i="20" l="1"/>
  <c r="B46" i="20"/>
  <c r="B43" i="20"/>
  <c r="A41" i="20"/>
  <c r="B45" i="20" l="1"/>
  <c r="A43" i="20"/>
  <c r="A46" i="20"/>
  <c r="B48" i="20"/>
  <c r="A48" i="20" l="1"/>
  <c r="B50" i="20"/>
  <c r="B47" i="20"/>
  <c r="A45" i="20"/>
  <c r="B49" i="20" l="1"/>
  <c r="A47" i="20"/>
  <c r="A50" i="20"/>
  <c r="B52" i="20"/>
  <c r="A52" i="20" l="1"/>
  <c r="B54" i="20"/>
  <c r="B51" i="20"/>
  <c r="A49" i="20"/>
  <c r="B53" i="20" l="1"/>
  <c r="A51" i="20"/>
  <c r="B56" i="20"/>
  <c r="A54" i="20"/>
  <c r="A56" i="20" l="1"/>
  <c r="B58" i="20"/>
  <c r="B55" i="20"/>
  <c r="A53" i="20"/>
  <c r="A55" i="20" l="1"/>
  <c r="B57" i="20"/>
  <c r="B60" i="20"/>
  <c r="A58" i="20"/>
  <c r="A60" i="20" l="1"/>
  <c r="B62" i="20"/>
  <c r="A57" i="20"/>
  <c r="B59" i="20"/>
  <c r="A59" i="20" l="1"/>
  <c r="B61" i="20"/>
  <c r="B64" i="20"/>
  <c r="A64" i="20" s="1"/>
  <c r="A62" i="20"/>
  <c r="A61" i="20" l="1"/>
  <c r="B63" i="20"/>
  <c r="A63" i="20" l="1"/>
  <c r="B65" i="20"/>
  <c r="A65" i="20" s="1"/>
  <c r="AA26" i="10" l="1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S55" i="9" l="1"/>
  <c r="G42" i="10" l="1"/>
  <c r="H42" i="10"/>
  <c r="G43" i="10"/>
  <c r="H43" i="10"/>
  <c r="G44" i="10"/>
  <c r="H44" i="10"/>
  <c r="G45" i="10"/>
  <c r="H45" i="10"/>
  <c r="J66" i="19" l="1"/>
  <c r="G25" i="1" s="1"/>
  <c r="AR65" i="19"/>
  <c r="AM65" i="19"/>
  <c r="AR64" i="19"/>
  <c r="AM64" i="19"/>
  <c r="AR63" i="19"/>
  <c r="AM63" i="19"/>
  <c r="AR62" i="19"/>
  <c r="AM62" i="19"/>
  <c r="AR61" i="19"/>
  <c r="AM61" i="19"/>
  <c r="AR60" i="19"/>
  <c r="AM60" i="19"/>
  <c r="AR59" i="19"/>
  <c r="AM59" i="19"/>
  <c r="AR58" i="19"/>
  <c r="AM58" i="19"/>
  <c r="AR57" i="19"/>
  <c r="AM57" i="19"/>
  <c r="AR56" i="19"/>
  <c r="AM56" i="19"/>
  <c r="AR55" i="19"/>
  <c r="AM55" i="19"/>
  <c r="AR54" i="19"/>
  <c r="AM54" i="19"/>
  <c r="AR53" i="19"/>
  <c r="AM53" i="19"/>
  <c r="AR52" i="19"/>
  <c r="AM52" i="19"/>
  <c r="AR51" i="19"/>
  <c r="AM51" i="19"/>
  <c r="AR50" i="19"/>
  <c r="AM50" i="19"/>
  <c r="AR49" i="19"/>
  <c r="AM49" i="19"/>
  <c r="AR48" i="19"/>
  <c r="AM48" i="19"/>
  <c r="AR47" i="19"/>
  <c r="AM47" i="19"/>
  <c r="AR46" i="19"/>
  <c r="AM46" i="19"/>
  <c r="AR45" i="19"/>
  <c r="AM45" i="19"/>
  <c r="AR44" i="19"/>
  <c r="AM44" i="19"/>
  <c r="AR43" i="19"/>
  <c r="AM43" i="19"/>
  <c r="AR42" i="19"/>
  <c r="AM42" i="19"/>
  <c r="AR41" i="19"/>
  <c r="AM41" i="19"/>
  <c r="AR40" i="19"/>
  <c r="AM40" i="19"/>
  <c r="AR39" i="19"/>
  <c r="AM39" i="19"/>
  <c r="AR38" i="19"/>
  <c r="AM38" i="19"/>
  <c r="AR37" i="19"/>
  <c r="AM37" i="19"/>
  <c r="AR36" i="19"/>
  <c r="AM36" i="19"/>
  <c r="AR35" i="19"/>
  <c r="AM35" i="19"/>
  <c r="AR34" i="19"/>
  <c r="AM34" i="19"/>
  <c r="G35" i="19" s="1"/>
  <c r="AR33" i="19"/>
  <c r="AM33" i="19"/>
  <c r="G34" i="19" s="1"/>
  <c r="AR32" i="19"/>
  <c r="AM32" i="19"/>
  <c r="G33" i="19" s="1"/>
  <c r="AR31" i="19"/>
  <c r="AM31" i="19"/>
  <c r="G32" i="19" s="1"/>
  <c r="AR30" i="19"/>
  <c r="AM30" i="19"/>
  <c r="G31" i="19" s="1"/>
  <c r="AR29" i="19"/>
  <c r="AM29" i="19"/>
  <c r="G30" i="19" s="1"/>
  <c r="AR28" i="19"/>
  <c r="AM28" i="19"/>
  <c r="G29" i="19" s="1"/>
  <c r="AR27" i="19"/>
  <c r="AM27" i="19"/>
  <c r="G28" i="19" s="1"/>
  <c r="AR26" i="19"/>
  <c r="AM26" i="19"/>
  <c r="G27" i="19" s="1"/>
  <c r="AR25" i="19"/>
  <c r="AM25" i="19"/>
  <c r="AR24" i="19"/>
  <c r="AM24" i="19"/>
  <c r="AR23" i="19"/>
  <c r="AM23" i="19"/>
  <c r="AR22" i="19"/>
  <c r="AM22" i="19"/>
  <c r="AR21" i="19"/>
  <c r="AM21" i="19"/>
  <c r="AR20" i="19"/>
  <c r="AM20" i="19"/>
  <c r="AR19" i="19"/>
  <c r="AM19" i="19"/>
  <c r="AR18" i="19"/>
  <c r="AM18" i="19"/>
  <c r="AR17" i="19"/>
  <c r="AM17" i="19"/>
  <c r="AR16" i="19"/>
  <c r="AM16" i="19"/>
  <c r="AR15" i="19"/>
  <c r="AM15" i="19"/>
  <c r="AR14" i="19"/>
  <c r="AM14" i="19"/>
  <c r="AR13" i="19"/>
  <c r="AM13" i="19"/>
  <c r="AR12" i="19"/>
  <c r="AM12" i="19"/>
  <c r="AR11" i="19"/>
  <c r="AM11" i="19"/>
  <c r="AR10" i="19"/>
  <c r="AM10" i="19"/>
  <c r="AR9" i="19"/>
  <c r="AM9" i="19"/>
  <c r="AR8" i="19"/>
  <c r="AM8" i="19"/>
  <c r="AR7" i="19"/>
  <c r="AM7" i="19"/>
  <c r="AR6" i="19"/>
  <c r="AM6" i="19"/>
  <c r="B6" i="19"/>
  <c r="B8" i="19" s="1"/>
  <c r="B10" i="19" s="1"/>
  <c r="AR5" i="19"/>
  <c r="AM5" i="19"/>
  <c r="B5" i="19"/>
  <c r="AR4" i="19"/>
  <c r="AL4" i="19"/>
  <c r="AK4" i="19"/>
  <c r="AG4" i="19"/>
  <c r="AF4" i="19"/>
  <c r="AB4" i="19"/>
  <c r="AA4" i="19"/>
  <c r="T4" i="19"/>
  <c r="S4" i="19"/>
  <c r="R4" i="19"/>
  <c r="AM4" i="19" s="1"/>
  <c r="H4" i="19"/>
  <c r="G4" i="19"/>
  <c r="A4" i="19"/>
  <c r="AP1" i="19"/>
  <c r="AT25" i="19" l="1"/>
  <c r="AT59" i="19"/>
  <c r="AT65" i="19"/>
  <c r="AT45" i="19"/>
  <c r="AT17" i="19"/>
  <c r="AN60" i="19"/>
  <c r="AO58" i="19"/>
  <c r="AO59" i="19"/>
  <c r="AN61" i="19"/>
  <c r="AO52" i="19"/>
  <c r="AN54" i="19"/>
  <c r="AO55" i="19"/>
  <c r="AN56" i="19"/>
  <c r="AN57" i="19"/>
  <c r="AO62" i="19"/>
  <c r="AO63" i="19"/>
  <c r="AN64" i="19"/>
  <c r="AN65" i="19"/>
  <c r="AO53" i="19"/>
  <c r="AN55" i="19"/>
  <c r="AO60" i="19"/>
  <c r="AO61" i="19"/>
  <c r="AN62" i="19"/>
  <c r="AN63" i="19"/>
  <c r="AP63" i="19" s="1"/>
  <c r="AO49" i="19"/>
  <c r="AO56" i="19"/>
  <c r="AO57" i="19"/>
  <c r="AN58" i="19"/>
  <c r="AN59" i="19"/>
  <c r="AO64" i="19"/>
  <c r="AO65" i="19"/>
  <c r="AO50" i="19"/>
  <c r="AN51" i="19"/>
  <c r="AO46" i="19"/>
  <c r="AN47" i="19"/>
  <c r="AN48" i="19"/>
  <c r="AO44" i="19"/>
  <c r="AN45" i="19"/>
  <c r="AN37" i="19"/>
  <c r="AO38" i="19"/>
  <c r="AN43" i="19"/>
  <c r="AN26" i="19"/>
  <c r="H27" i="19" s="1"/>
  <c r="AO27" i="19" s="1"/>
  <c r="AO23" i="19"/>
  <c r="AN22" i="19"/>
  <c r="A6" i="19"/>
  <c r="AO9" i="19"/>
  <c r="AN10" i="19"/>
  <c r="AO42" i="19"/>
  <c r="AN46" i="19"/>
  <c r="AO51" i="19"/>
  <c r="AN52" i="19"/>
  <c r="AN53" i="19"/>
  <c r="AO47" i="19"/>
  <c r="AO48" i="19"/>
  <c r="AN49" i="19"/>
  <c r="AN50" i="19"/>
  <c r="AO54" i="19"/>
  <c r="AO12" i="19"/>
  <c r="AN14" i="19"/>
  <c r="AN15" i="19"/>
  <c r="AO25" i="19"/>
  <c r="AO16" i="19"/>
  <c r="AO17" i="19"/>
  <c r="AN18" i="19"/>
  <c r="AN19" i="19"/>
  <c r="AN33" i="19"/>
  <c r="H34" i="19" s="1"/>
  <c r="AO34" i="19" s="1"/>
  <c r="AN34" i="19"/>
  <c r="H35" i="19" s="1"/>
  <c r="AO35" i="19" s="1"/>
  <c r="AO13" i="19"/>
  <c r="AO40" i="19"/>
  <c r="AN4" i="19"/>
  <c r="AN6" i="19"/>
  <c r="AO21" i="19"/>
  <c r="AO36" i="19"/>
  <c r="AO5" i="19"/>
  <c r="AN41" i="19"/>
  <c r="AO11" i="19"/>
  <c r="AN12" i="19"/>
  <c r="AN13" i="19"/>
  <c r="AO19" i="19"/>
  <c r="AN20" i="19"/>
  <c r="AN24" i="19"/>
  <c r="AN28" i="19"/>
  <c r="H29" i="19" s="1"/>
  <c r="AO29" i="19" s="1"/>
  <c r="AN31" i="19"/>
  <c r="H32" i="19" s="1"/>
  <c r="AO32" i="19" s="1"/>
  <c r="AN38" i="19"/>
  <c r="AO41" i="19"/>
  <c r="AN5" i="19"/>
  <c r="AO7" i="19"/>
  <c r="AN8" i="19"/>
  <c r="AN9" i="19"/>
  <c r="AO14" i="19"/>
  <c r="AO15" i="19"/>
  <c r="AN16" i="19"/>
  <c r="AN17" i="19"/>
  <c r="AO22" i="19"/>
  <c r="AN23" i="19"/>
  <c r="AO26" i="19"/>
  <c r="AN27" i="19"/>
  <c r="H28" i="19" s="1"/>
  <c r="AO28" i="19" s="1"/>
  <c r="AN30" i="19"/>
  <c r="H31" i="19" s="1"/>
  <c r="AO31" i="19" s="1"/>
  <c r="AN35" i="19"/>
  <c r="AN39" i="19"/>
  <c r="AM66" i="19"/>
  <c r="H25" i="1" s="1"/>
  <c r="AO4" i="19"/>
  <c r="A5" i="19"/>
  <c r="B7" i="19"/>
  <c r="A10" i="19"/>
  <c r="B12" i="19"/>
  <c r="A8" i="19"/>
  <c r="AO6" i="19"/>
  <c r="AN7" i="19"/>
  <c r="AO8" i="19"/>
  <c r="AO10" i="19"/>
  <c r="AN11" i="19"/>
  <c r="AO18" i="19"/>
  <c r="AN21" i="19"/>
  <c r="AO24" i="19"/>
  <c r="AN29" i="19"/>
  <c r="H30" i="19" s="1"/>
  <c r="AO30" i="19" s="1"/>
  <c r="AN36" i="19"/>
  <c r="AO39" i="19"/>
  <c r="AN44" i="19"/>
  <c r="AO37" i="19"/>
  <c r="AN42" i="19"/>
  <c r="AO45" i="19"/>
  <c r="AO20" i="19"/>
  <c r="AN25" i="19"/>
  <c r="AN32" i="19"/>
  <c r="H33" i="19" s="1"/>
  <c r="AO33" i="19" s="1"/>
  <c r="AN40" i="19"/>
  <c r="AO43" i="19"/>
  <c r="AS41" i="9"/>
  <c r="AU25" i="19" l="1"/>
  <c r="AV25" i="19"/>
  <c r="AU59" i="19"/>
  <c r="AV59" i="19"/>
  <c r="AU65" i="19"/>
  <c r="AV65" i="19"/>
  <c r="AV45" i="19"/>
  <c r="AU45" i="19"/>
  <c r="AP14" i="19"/>
  <c r="AP49" i="19"/>
  <c r="AP48" i="19"/>
  <c r="AU17" i="19"/>
  <c r="AV17" i="19"/>
  <c r="AP12" i="19"/>
  <c r="AP5" i="19"/>
  <c r="AP62" i="19"/>
  <c r="AP39" i="19"/>
  <c r="AP44" i="19"/>
  <c r="AP37" i="19"/>
  <c r="AP59" i="19"/>
  <c r="AP58" i="19"/>
  <c r="AP23" i="19"/>
  <c r="AP52" i="19"/>
  <c r="AP60" i="19"/>
  <c r="AP57" i="19"/>
  <c r="AP61" i="19"/>
  <c r="AP50" i="19"/>
  <c r="AP51" i="19"/>
  <c r="AP55" i="19"/>
  <c r="AP56" i="19"/>
  <c r="AP54" i="19"/>
  <c r="AP53" i="19"/>
  <c r="AP65" i="19"/>
  <c r="AP26" i="19"/>
  <c r="AP64" i="19"/>
  <c r="AP45" i="19"/>
  <c r="AP42" i="19"/>
  <c r="AP46" i="19"/>
  <c r="AP47" i="19"/>
  <c r="AP30" i="19"/>
  <c r="AP27" i="19"/>
  <c r="AP41" i="19"/>
  <c r="AP33" i="19"/>
  <c r="AP22" i="19"/>
  <c r="AP6" i="19"/>
  <c r="AP20" i="19"/>
  <c r="AP4" i="19"/>
  <c r="AP9" i="19"/>
  <c r="AP16" i="19"/>
  <c r="AP21" i="19"/>
  <c r="AP19" i="19"/>
  <c r="AP17" i="19"/>
  <c r="AP13" i="19"/>
  <c r="AP29" i="19"/>
  <c r="AP34" i="19"/>
  <c r="AP15" i="19"/>
  <c r="AP36" i="19"/>
  <c r="AP24" i="19"/>
  <c r="AP35" i="19"/>
  <c r="AP7" i="19"/>
  <c r="AP28" i="19"/>
  <c r="AP8" i="19"/>
  <c r="AP38" i="19"/>
  <c r="AP11" i="19"/>
  <c r="AP10" i="19"/>
  <c r="A7" i="19"/>
  <c r="B9" i="19"/>
  <c r="AP43" i="19"/>
  <c r="AN66" i="19"/>
  <c r="I25" i="1" s="1"/>
  <c r="AP40" i="19"/>
  <c r="AP32" i="19"/>
  <c r="AP31" i="19"/>
  <c r="AP18" i="19"/>
  <c r="AP25" i="19"/>
  <c r="B14" i="19"/>
  <c r="A12" i="19"/>
  <c r="AO66" i="19"/>
  <c r="J25" i="1" s="1"/>
  <c r="M25" i="1" l="1"/>
  <c r="N25" i="1" s="1"/>
  <c r="A14" i="19"/>
  <c r="B16" i="19"/>
  <c r="A9" i="19"/>
  <c r="B11" i="19"/>
  <c r="B13" i="19" l="1"/>
  <c r="A11" i="19"/>
  <c r="B18" i="19"/>
  <c r="A16" i="19"/>
  <c r="A13" i="19" l="1"/>
  <c r="B15" i="19"/>
  <c r="B20" i="19"/>
  <c r="A18" i="19"/>
  <c r="AK5" i="12"/>
  <c r="AL5" i="12"/>
  <c r="AK6" i="12"/>
  <c r="AL6" i="12"/>
  <c r="AK7" i="12"/>
  <c r="AL7" i="12"/>
  <c r="AK8" i="12"/>
  <c r="AL8" i="12"/>
  <c r="AK9" i="12"/>
  <c r="AL9" i="12"/>
  <c r="AK10" i="12"/>
  <c r="AL10" i="12"/>
  <c r="AK11" i="12"/>
  <c r="AL11" i="12"/>
  <c r="AK12" i="12"/>
  <c r="AL12" i="12"/>
  <c r="AK13" i="12"/>
  <c r="AL13" i="12"/>
  <c r="AK14" i="12"/>
  <c r="AL14" i="12"/>
  <c r="AK15" i="12"/>
  <c r="AL15" i="12"/>
  <c r="AK16" i="12"/>
  <c r="AL16" i="12"/>
  <c r="AK17" i="12"/>
  <c r="AL17" i="12"/>
  <c r="AK18" i="12"/>
  <c r="AL18" i="12"/>
  <c r="AK19" i="12"/>
  <c r="AL19" i="12"/>
  <c r="AK20" i="12"/>
  <c r="AL20" i="12"/>
  <c r="AK21" i="12"/>
  <c r="AL21" i="12"/>
  <c r="AK22" i="12"/>
  <c r="AL22" i="12"/>
  <c r="AK23" i="12"/>
  <c r="AL23" i="12"/>
  <c r="AK24" i="12"/>
  <c r="AL24" i="12"/>
  <c r="AK25" i="12"/>
  <c r="AL25" i="12"/>
  <c r="AK26" i="12"/>
  <c r="AL26" i="12"/>
  <c r="AK27" i="12"/>
  <c r="AL27" i="12"/>
  <c r="AK28" i="12"/>
  <c r="AL28" i="12"/>
  <c r="AK29" i="12"/>
  <c r="AL29" i="12"/>
  <c r="AK30" i="12"/>
  <c r="AL30" i="12"/>
  <c r="AK31" i="12"/>
  <c r="AL31" i="12"/>
  <c r="AK32" i="12"/>
  <c r="AL32" i="12"/>
  <c r="AK33" i="12"/>
  <c r="AL33" i="12"/>
  <c r="AK34" i="12"/>
  <c r="AL34" i="12"/>
  <c r="AK35" i="12"/>
  <c r="AL35" i="12"/>
  <c r="AK36" i="12"/>
  <c r="AL36" i="12"/>
  <c r="AK37" i="12"/>
  <c r="AL37" i="12"/>
  <c r="AK38" i="12"/>
  <c r="AL38" i="12"/>
  <c r="AK39" i="12"/>
  <c r="AL39" i="12"/>
  <c r="AK40" i="12"/>
  <c r="AL40" i="12"/>
  <c r="AK41" i="12"/>
  <c r="AL41" i="12"/>
  <c r="AK42" i="12"/>
  <c r="AL42" i="12"/>
  <c r="AK43" i="12"/>
  <c r="AL43" i="12"/>
  <c r="AK44" i="12"/>
  <c r="AL44" i="12"/>
  <c r="AK45" i="12"/>
  <c r="AL45" i="12"/>
  <c r="AK46" i="12"/>
  <c r="AL46" i="12"/>
  <c r="AK47" i="12"/>
  <c r="AL47" i="12"/>
  <c r="AK48" i="12"/>
  <c r="AL48" i="12"/>
  <c r="AK49" i="12"/>
  <c r="AL49" i="12"/>
  <c r="AK50" i="12"/>
  <c r="AL50" i="12"/>
  <c r="AK51" i="12"/>
  <c r="AL51" i="12"/>
  <c r="AK52" i="12"/>
  <c r="AL52" i="12"/>
  <c r="AK53" i="12"/>
  <c r="AL53" i="12"/>
  <c r="AK54" i="12"/>
  <c r="AL54" i="12"/>
  <c r="AK55" i="12"/>
  <c r="AL55" i="12"/>
  <c r="AK56" i="12"/>
  <c r="AL56" i="12"/>
  <c r="AK57" i="12"/>
  <c r="AL57" i="12"/>
  <c r="AK58" i="12"/>
  <c r="AL58" i="12"/>
  <c r="AK59" i="12"/>
  <c r="AL59" i="12"/>
  <c r="AK60" i="12"/>
  <c r="AL60" i="12"/>
  <c r="AK61" i="12"/>
  <c r="AL61" i="12"/>
  <c r="AK62" i="12"/>
  <c r="AL62" i="12"/>
  <c r="AK63" i="12"/>
  <c r="AL63" i="12"/>
  <c r="AK64" i="12"/>
  <c r="AL64" i="12"/>
  <c r="AK65" i="12"/>
  <c r="AL65" i="12"/>
  <c r="AF5" i="12"/>
  <c r="AG5" i="12"/>
  <c r="AF6" i="12"/>
  <c r="AG6" i="12"/>
  <c r="AF7" i="12"/>
  <c r="AG7" i="12"/>
  <c r="AF8" i="12"/>
  <c r="AG8" i="12"/>
  <c r="AF9" i="12"/>
  <c r="AG9" i="12"/>
  <c r="AF10" i="12"/>
  <c r="AG10" i="12"/>
  <c r="AF11" i="12"/>
  <c r="AG11" i="12"/>
  <c r="AF12" i="12"/>
  <c r="AG12" i="12"/>
  <c r="AF13" i="12"/>
  <c r="AG13" i="12"/>
  <c r="AF14" i="12"/>
  <c r="AG14" i="12"/>
  <c r="AF15" i="12"/>
  <c r="AG15" i="12"/>
  <c r="AF16" i="12"/>
  <c r="AG16" i="12"/>
  <c r="AF17" i="12"/>
  <c r="AG17" i="12"/>
  <c r="AF18" i="12"/>
  <c r="AG18" i="12"/>
  <c r="AF19" i="12"/>
  <c r="AG19" i="12"/>
  <c r="AF20" i="12"/>
  <c r="AG20" i="12"/>
  <c r="AF21" i="12"/>
  <c r="AG21" i="12"/>
  <c r="AF22" i="12"/>
  <c r="AG22" i="12"/>
  <c r="AF23" i="12"/>
  <c r="AG23" i="12"/>
  <c r="AF24" i="12"/>
  <c r="AG24" i="12"/>
  <c r="AF25" i="12"/>
  <c r="AG25" i="12"/>
  <c r="AF26" i="12"/>
  <c r="AG26" i="12"/>
  <c r="AF27" i="12"/>
  <c r="AG27" i="12"/>
  <c r="AF28" i="12"/>
  <c r="AG28" i="12"/>
  <c r="AF29" i="12"/>
  <c r="AG29" i="12"/>
  <c r="AF30" i="12"/>
  <c r="AG30" i="12"/>
  <c r="AF31" i="12"/>
  <c r="AG31" i="12"/>
  <c r="AF32" i="12"/>
  <c r="AG32" i="12"/>
  <c r="AF33" i="12"/>
  <c r="AG33" i="12"/>
  <c r="AF34" i="12"/>
  <c r="AG34" i="12"/>
  <c r="AF35" i="12"/>
  <c r="AG35" i="12"/>
  <c r="AF36" i="12"/>
  <c r="AG36" i="12"/>
  <c r="AF37" i="12"/>
  <c r="AG37" i="12"/>
  <c r="AF38" i="12"/>
  <c r="AG38" i="12"/>
  <c r="AF39" i="12"/>
  <c r="AG39" i="12"/>
  <c r="AF40" i="12"/>
  <c r="AG40" i="12"/>
  <c r="AF41" i="12"/>
  <c r="AG41" i="12"/>
  <c r="AF42" i="12"/>
  <c r="AG42" i="12"/>
  <c r="AF43" i="12"/>
  <c r="AG43" i="12"/>
  <c r="AF44" i="12"/>
  <c r="AG44" i="12"/>
  <c r="AF45" i="12"/>
  <c r="AG45" i="12"/>
  <c r="AF46" i="12"/>
  <c r="AG46" i="12"/>
  <c r="AF47" i="12"/>
  <c r="AG47" i="12"/>
  <c r="AF48" i="12"/>
  <c r="AG48" i="12"/>
  <c r="AF49" i="12"/>
  <c r="AG49" i="12"/>
  <c r="AF50" i="12"/>
  <c r="AG50" i="12"/>
  <c r="AF51" i="12"/>
  <c r="AG51" i="12"/>
  <c r="AF52" i="12"/>
  <c r="AG52" i="12"/>
  <c r="AF53" i="12"/>
  <c r="AG53" i="12"/>
  <c r="AF54" i="12"/>
  <c r="AG54" i="12"/>
  <c r="AF55" i="12"/>
  <c r="AG55" i="12"/>
  <c r="AF56" i="12"/>
  <c r="AG56" i="12"/>
  <c r="AF57" i="12"/>
  <c r="AG57" i="12"/>
  <c r="AF58" i="12"/>
  <c r="AG58" i="12"/>
  <c r="AF59" i="12"/>
  <c r="AG59" i="12"/>
  <c r="AF60" i="12"/>
  <c r="AG60" i="12"/>
  <c r="AF61" i="12"/>
  <c r="AG61" i="12"/>
  <c r="AF62" i="12"/>
  <c r="AG62" i="12"/>
  <c r="AF63" i="12"/>
  <c r="AG63" i="12"/>
  <c r="AF64" i="12"/>
  <c r="AG64" i="12"/>
  <c r="AF65" i="12"/>
  <c r="AG65" i="12"/>
  <c r="B22" i="19" l="1"/>
  <c r="A20" i="19"/>
  <c r="B17" i="19"/>
  <c r="A15" i="19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G45" i="8"/>
  <c r="H45" i="8"/>
  <c r="G46" i="8"/>
  <c r="H46" i="8"/>
  <c r="G47" i="8"/>
  <c r="H47" i="8"/>
  <c r="G48" i="8"/>
  <c r="H48" i="8"/>
  <c r="G49" i="8"/>
  <c r="H49" i="8"/>
  <c r="G50" i="8"/>
  <c r="H50" i="8"/>
  <c r="G51" i="8"/>
  <c r="H51" i="8"/>
  <c r="G52" i="8"/>
  <c r="H52" i="8"/>
  <c r="G53" i="8"/>
  <c r="H53" i="8"/>
  <c r="G54" i="8"/>
  <c r="H54" i="8"/>
  <c r="G55" i="8"/>
  <c r="H55" i="8"/>
  <c r="G56" i="8"/>
  <c r="H56" i="8"/>
  <c r="G57" i="8"/>
  <c r="H57" i="8"/>
  <c r="G58" i="8"/>
  <c r="H58" i="8"/>
  <c r="G59" i="8"/>
  <c r="H59" i="8"/>
  <c r="G60" i="8"/>
  <c r="H60" i="8"/>
  <c r="G61" i="8"/>
  <c r="H61" i="8"/>
  <c r="G62" i="8"/>
  <c r="H62" i="8"/>
  <c r="G63" i="8"/>
  <c r="H63" i="8"/>
  <c r="G64" i="8"/>
  <c r="H64" i="8"/>
  <c r="G65" i="8"/>
  <c r="H65" i="8"/>
  <c r="B24" i="19" l="1"/>
  <c r="A22" i="19"/>
  <c r="A17" i="19"/>
  <c r="B19" i="19"/>
  <c r="B26" i="19" l="1"/>
  <c r="A24" i="19"/>
  <c r="A19" i="19"/>
  <c r="B21" i="19"/>
  <c r="B28" i="19" l="1"/>
  <c r="A26" i="19"/>
  <c r="A21" i="19"/>
  <c r="B23" i="19"/>
  <c r="R14" i="10"/>
  <c r="S14" i="10"/>
  <c r="T14" i="10"/>
  <c r="R15" i="10"/>
  <c r="S15" i="10"/>
  <c r="T15" i="10"/>
  <c r="R16" i="10"/>
  <c r="S16" i="10"/>
  <c r="T16" i="10"/>
  <c r="R17" i="10"/>
  <c r="S17" i="10"/>
  <c r="T17" i="10"/>
  <c r="R18" i="10"/>
  <c r="S18" i="10"/>
  <c r="T18" i="10"/>
  <c r="R19" i="10"/>
  <c r="S19" i="10"/>
  <c r="T19" i="10"/>
  <c r="R20" i="10"/>
  <c r="S20" i="10"/>
  <c r="T20" i="10"/>
  <c r="R21" i="10"/>
  <c r="S21" i="10"/>
  <c r="T21" i="10"/>
  <c r="R22" i="10"/>
  <c r="S22" i="10"/>
  <c r="T22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B30" i="19" l="1"/>
  <c r="A28" i="19"/>
  <c r="A23" i="19"/>
  <c r="B25" i="19"/>
  <c r="R14" i="18"/>
  <c r="S14" i="18"/>
  <c r="T14" i="18"/>
  <c r="R15" i="18"/>
  <c r="S15" i="18"/>
  <c r="T15" i="18"/>
  <c r="R16" i="18"/>
  <c r="S16" i="18"/>
  <c r="T16" i="18"/>
  <c r="R17" i="18"/>
  <c r="S17" i="18"/>
  <c r="T17" i="18"/>
  <c r="R18" i="18"/>
  <c r="S18" i="18"/>
  <c r="T18" i="18"/>
  <c r="R19" i="18"/>
  <c r="S19" i="18"/>
  <c r="T19" i="18"/>
  <c r="R20" i="18"/>
  <c r="S20" i="18"/>
  <c r="T20" i="18"/>
  <c r="R21" i="18"/>
  <c r="S21" i="18"/>
  <c r="T21" i="18"/>
  <c r="R22" i="18"/>
  <c r="S22" i="18"/>
  <c r="T22" i="18"/>
  <c r="R23" i="18"/>
  <c r="S23" i="18"/>
  <c r="T23" i="18"/>
  <c r="R24" i="18"/>
  <c r="S24" i="18"/>
  <c r="T24" i="18"/>
  <c r="R25" i="18"/>
  <c r="S25" i="18"/>
  <c r="T25" i="18"/>
  <c r="R26" i="18"/>
  <c r="S26" i="18"/>
  <c r="T26" i="18"/>
  <c r="R27" i="18"/>
  <c r="S27" i="18"/>
  <c r="T27" i="18"/>
  <c r="A30" i="19" l="1"/>
  <c r="B32" i="19"/>
  <c r="A25" i="19"/>
  <c r="B27" i="19"/>
  <c r="A27" i="19" l="1"/>
  <c r="B29" i="19"/>
  <c r="A32" i="19"/>
  <c r="B34" i="19"/>
  <c r="A34" i="19" l="1"/>
  <c r="B36" i="19"/>
  <c r="B31" i="19"/>
  <c r="A29" i="19"/>
  <c r="B33" i="19" l="1"/>
  <c r="A31" i="19"/>
  <c r="A36" i="19"/>
  <c r="B38" i="19"/>
  <c r="A38" i="19" l="1"/>
  <c r="B40" i="19"/>
  <c r="B35" i="19"/>
  <c r="A33" i="19"/>
  <c r="S11" i="5"/>
  <c r="B37" i="19" l="1"/>
  <c r="A35" i="19"/>
  <c r="A40" i="19"/>
  <c r="B42" i="19"/>
  <c r="AA4" i="8"/>
  <c r="AB4" i="8"/>
  <c r="AF4" i="8"/>
  <c r="AG4" i="8"/>
  <c r="AA5" i="8"/>
  <c r="AB5" i="8"/>
  <c r="AF5" i="8"/>
  <c r="AG5" i="8"/>
  <c r="AA6" i="8"/>
  <c r="AB6" i="8"/>
  <c r="AF6" i="8"/>
  <c r="AG6" i="8"/>
  <c r="AA7" i="8"/>
  <c r="AB7" i="8"/>
  <c r="AA8" i="8"/>
  <c r="AB8" i="8"/>
  <c r="AF8" i="8"/>
  <c r="AG8" i="8"/>
  <c r="AA9" i="8"/>
  <c r="AB9" i="8"/>
  <c r="AF9" i="8"/>
  <c r="AG9" i="8"/>
  <c r="A42" i="19" l="1"/>
  <c r="B44" i="19"/>
  <c r="B39" i="19"/>
  <c r="A37" i="19"/>
  <c r="B41" i="19" l="1"/>
  <c r="A39" i="19"/>
  <c r="A44" i="19"/>
  <c r="B46" i="19"/>
  <c r="N42" i="1"/>
  <c r="B43" i="19" l="1"/>
  <c r="A41" i="19"/>
  <c r="A46" i="19"/>
  <c r="B48" i="19"/>
  <c r="B45" i="19" l="1"/>
  <c r="A43" i="19"/>
  <c r="B50" i="19"/>
  <c r="A48" i="19"/>
  <c r="B52" i="19" l="1"/>
  <c r="A50" i="19"/>
  <c r="B47" i="19"/>
  <c r="A45" i="19"/>
  <c r="AS61" i="8"/>
  <c r="AS61" i="12"/>
  <c r="A47" i="19" l="1"/>
  <c r="B49" i="19"/>
  <c r="A52" i="19"/>
  <c r="B54" i="19"/>
  <c r="A54" i="19" l="1"/>
  <c r="B56" i="19"/>
  <c r="A49" i="19"/>
  <c r="B51" i="19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B53" i="19" l="1"/>
  <c r="A51" i="19"/>
  <c r="A56" i="19"/>
  <c r="B58" i="19"/>
  <c r="AS61" i="9"/>
  <c r="A58" i="19" l="1"/>
  <c r="B60" i="19"/>
  <c r="B55" i="19"/>
  <c r="A53" i="19"/>
  <c r="A55" i="19" l="1"/>
  <c r="B57" i="19"/>
  <c r="A60" i="19"/>
  <c r="B62" i="19"/>
  <c r="A62" i="19" l="1"/>
  <c r="B64" i="19"/>
  <c r="A64" i="19" s="1"/>
  <c r="B59" i="19"/>
  <c r="A57" i="19"/>
  <c r="A59" i="19" l="1"/>
  <c r="B61" i="19"/>
  <c r="B63" i="19" l="1"/>
  <c r="A61" i="19"/>
  <c r="A63" i="19" l="1"/>
  <c r="B65" i="19"/>
  <c r="A65" i="19" s="1"/>
  <c r="G34" i="4" l="1"/>
  <c r="G35" i="4"/>
  <c r="G36" i="4"/>
  <c r="G37" i="4"/>
  <c r="G38" i="4"/>
  <c r="G39" i="4"/>
  <c r="G40" i="4"/>
  <c r="G41" i="4"/>
  <c r="G42" i="4"/>
  <c r="V71" i="18" l="1"/>
  <c r="Z70" i="18"/>
  <c r="Y70" i="18"/>
  <c r="Z69" i="18"/>
  <c r="Y69" i="18"/>
  <c r="J66" i="18"/>
  <c r="G9" i="1" s="1"/>
  <c r="AR65" i="18"/>
  <c r="AL65" i="18"/>
  <c r="AK65" i="18"/>
  <c r="AG65" i="18"/>
  <c r="AF65" i="18"/>
  <c r="AB65" i="18"/>
  <c r="AA65" i="18"/>
  <c r="T65" i="18"/>
  <c r="S65" i="18"/>
  <c r="R65" i="18"/>
  <c r="AM65" i="18" s="1"/>
  <c r="H65" i="18"/>
  <c r="G65" i="18"/>
  <c r="AR64" i="18"/>
  <c r="AL64" i="18"/>
  <c r="AK64" i="18"/>
  <c r="AG64" i="18"/>
  <c r="AF64" i="18"/>
  <c r="AB64" i="18"/>
  <c r="AA64" i="18"/>
  <c r="T64" i="18"/>
  <c r="S64" i="18"/>
  <c r="R64" i="18"/>
  <c r="AM64" i="18" s="1"/>
  <c r="H64" i="18"/>
  <c r="G64" i="18"/>
  <c r="AL63" i="18"/>
  <c r="AK63" i="18"/>
  <c r="AG63" i="18"/>
  <c r="AF63" i="18"/>
  <c r="AB63" i="18"/>
  <c r="AA63" i="18"/>
  <c r="T63" i="18"/>
  <c r="S63" i="18"/>
  <c r="R63" i="18"/>
  <c r="AM63" i="18" s="1"/>
  <c r="H63" i="18"/>
  <c r="G63" i="18"/>
  <c r="AR62" i="18"/>
  <c r="AL62" i="18"/>
  <c r="AK62" i="18"/>
  <c r="AG62" i="18"/>
  <c r="AF62" i="18"/>
  <c r="AB62" i="18"/>
  <c r="AA62" i="18"/>
  <c r="T62" i="18"/>
  <c r="S62" i="18"/>
  <c r="R62" i="18"/>
  <c r="AM62" i="18" s="1"/>
  <c r="H62" i="18"/>
  <c r="G62" i="18"/>
  <c r="AR61" i="18"/>
  <c r="AL61" i="18"/>
  <c r="AK61" i="18"/>
  <c r="AG61" i="18"/>
  <c r="AF61" i="18"/>
  <c r="AB61" i="18"/>
  <c r="AA61" i="18"/>
  <c r="T61" i="18"/>
  <c r="S61" i="18"/>
  <c r="R61" i="18"/>
  <c r="AM61" i="18" s="1"/>
  <c r="H61" i="18"/>
  <c r="G61" i="18"/>
  <c r="AR60" i="18"/>
  <c r="AL60" i="18"/>
  <c r="AK60" i="18"/>
  <c r="AG60" i="18"/>
  <c r="AF60" i="18"/>
  <c r="AB60" i="18"/>
  <c r="AA60" i="18"/>
  <c r="T60" i="18"/>
  <c r="S60" i="18"/>
  <c r="R60" i="18"/>
  <c r="AM60" i="18" s="1"/>
  <c r="H60" i="18"/>
  <c r="G60" i="18"/>
  <c r="AR59" i="18"/>
  <c r="AL59" i="18"/>
  <c r="AK59" i="18"/>
  <c r="AG59" i="18"/>
  <c r="AF59" i="18"/>
  <c r="AB59" i="18"/>
  <c r="AA59" i="18"/>
  <c r="T59" i="18"/>
  <c r="S59" i="18"/>
  <c r="R59" i="18"/>
  <c r="AM59" i="18" s="1"/>
  <c r="H59" i="18"/>
  <c r="G59" i="18"/>
  <c r="AR58" i="18"/>
  <c r="AL58" i="18"/>
  <c r="AK58" i="18"/>
  <c r="AG58" i="18"/>
  <c r="AF58" i="18"/>
  <c r="AB58" i="18"/>
  <c r="AA58" i="18"/>
  <c r="T58" i="18"/>
  <c r="S58" i="18"/>
  <c r="R58" i="18"/>
  <c r="AM58" i="18" s="1"/>
  <c r="H58" i="18"/>
  <c r="G58" i="18"/>
  <c r="AR57" i="18"/>
  <c r="AL57" i="18"/>
  <c r="AK57" i="18"/>
  <c r="AG57" i="18"/>
  <c r="AF57" i="18"/>
  <c r="AB57" i="18"/>
  <c r="AA57" i="18"/>
  <c r="T57" i="18"/>
  <c r="S57" i="18"/>
  <c r="R57" i="18"/>
  <c r="AM57" i="18" s="1"/>
  <c r="H57" i="18"/>
  <c r="G57" i="18"/>
  <c r="AR56" i="18"/>
  <c r="AL56" i="18"/>
  <c r="AK56" i="18"/>
  <c r="AG56" i="18"/>
  <c r="AF56" i="18"/>
  <c r="AB56" i="18"/>
  <c r="AA56" i="18"/>
  <c r="T56" i="18"/>
  <c r="S56" i="18"/>
  <c r="R56" i="18"/>
  <c r="AM56" i="18" s="1"/>
  <c r="H56" i="18"/>
  <c r="G56" i="18"/>
  <c r="AR55" i="18"/>
  <c r="AL55" i="18"/>
  <c r="AK55" i="18"/>
  <c r="AG55" i="18"/>
  <c r="AF55" i="18"/>
  <c r="AB55" i="18"/>
  <c r="AA55" i="18"/>
  <c r="T55" i="18"/>
  <c r="S55" i="18"/>
  <c r="R55" i="18"/>
  <c r="AM55" i="18" s="1"/>
  <c r="H55" i="18"/>
  <c r="G55" i="18"/>
  <c r="AR54" i="18"/>
  <c r="AL54" i="18"/>
  <c r="AK54" i="18"/>
  <c r="AG54" i="18"/>
  <c r="AF54" i="18"/>
  <c r="AB54" i="18"/>
  <c r="AA54" i="18"/>
  <c r="T54" i="18"/>
  <c r="S54" i="18"/>
  <c r="R54" i="18"/>
  <c r="AM54" i="18" s="1"/>
  <c r="H54" i="18"/>
  <c r="G54" i="18"/>
  <c r="AR53" i="18"/>
  <c r="AL53" i="18"/>
  <c r="AK53" i="18"/>
  <c r="AG53" i="18"/>
  <c r="AF53" i="18"/>
  <c r="AB53" i="18"/>
  <c r="AA53" i="18"/>
  <c r="T53" i="18"/>
  <c r="S53" i="18"/>
  <c r="R53" i="18"/>
  <c r="AM53" i="18" s="1"/>
  <c r="H53" i="18"/>
  <c r="G53" i="18"/>
  <c r="AR52" i="18"/>
  <c r="AL52" i="18"/>
  <c r="AK52" i="18"/>
  <c r="AG52" i="18"/>
  <c r="AF52" i="18"/>
  <c r="AB52" i="18"/>
  <c r="AA52" i="18"/>
  <c r="T52" i="18"/>
  <c r="S52" i="18"/>
  <c r="R52" i="18"/>
  <c r="AM52" i="18" s="1"/>
  <c r="H52" i="18"/>
  <c r="G52" i="18"/>
  <c r="AR51" i="18"/>
  <c r="AG51" i="18"/>
  <c r="AF51" i="18"/>
  <c r="AB51" i="18"/>
  <c r="AA51" i="18"/>
  <c r="T51" i="18"/>
  <c r="S51" i="18"/>
  <c r="R51" i="18"/>
  <c r="AM51" i="18" s="1"/>
  <c r="H51" i="18"/>
  <c r="G51" i="18"/>
  <c r="AR50" i="18"/>
  <c r="AG50" i="18"/>
  <c r="AF50" i="18"/>
  <c r="AB50" i="18"/>
  <c r="AA50" i="18"/>
  <c r="T50" i="18"/>
  <c r="S50" i="18"/>
  <c r="R50" i="18"/>
  <c r="AM50" i="18" s="1"/>
  <c r="H50" i="18"/>
  <c r="G50" i="18"/>
  <c r="AR49" i="18"/>
  <c r="AG49" i="18"/>
  <c r="AF49" i="18"/>
  <c r="AB49" i="18"/>
  <c r="AA49" i="18"/>
  <c r="T49" i="18"/>
  <c r="S49" i="18"/>
  <c r="R49" i="18"/>
  <c r="AM49" i="18" s="1"/>
  <c r="H49" i="18"/>
  <c r="G49" i="18"/>
  <c r="AR48" i="18"/>
  <c r="AG48" i="18"/>
  <c r="AF48" i="18"/>
  <c r="AB48" i="18"/>
  <c r="AA48" i="18"/>
  <c r="T48" i="18"/>
  <c r="S48" i="18"/>
  <c r="R48" i="18"/>
  <c r="AM48" i="18" s="1"/>
  <c r="H48" i="18"/>
  <c r="G48" i="18"/>
  <c r="AR47" i="18"/>
  <c r="AG47" i="18"/>
  <c r="AF47" i="18"/>
  <c r="AB47" i="18"/>
  <c r="AA47" i="18"/>
  <c r="T47" i="18"/>
  <c r="S47" i="18"/>
  <c r="R47" i="18"/>
  <c r="AM47" i="18" s="1"/>
  <c r="H47" i="18"/>
  <c r="G47" i="18"/>
  <c r="AR46" i="18"/>
  <c r="AG46" i="18"/>
  <c r="AF46" i="18"/>
  <c r="AB46" i="18"/>
  <c r="AA46" i="18"/>
  <c r="T46" i="18"/>
  <c r="S46" i="18"/>
  <c r="R46" i="18"/>
  <c r="AM46" i="18" s="1"/>
  <c r="H46" i="18"/>
  <c r="G46" i="18"/>
  <c r="AR45" i="18"/>
  <c r="AG45" i="18"/>
  <c r="AF45" i="18"/>
  <c r="AB45" i="18"/>
  <c r="AA45" i="18"/>
  <c r="T45" i="18"/>
  <c r="S45" i="18"/>
  <c r="R45" i="18"/>
  <c r="AM45" i="18" s="1"/>
  <c r="H45" i="18"/>
  <c r="G45" i="18"/>
  <c r="AR44" i="18"/>
  <c r="AG44" i="18"/>
  <c r="AF44" i="18"/>
  <c r="AB44" i="18"/>
  <c r="AA44" i="18"/>
  <c r="T44" i="18"/>
  <c r="S44" i="18"/>
  <c r="R44" i="18"/>
  <c r="AM44" i="18" s="1"/>
  <c r="H44" i="18"/>
  <c r="G44" i="18"/>
  <c r="AR43" i="18"/>
  <c r="AL43" i="18"/>
  <c r="AK43" i="18"/>
  <c r="AG43" i="18"/>
  <c r="AF43" i="18"/>
  <c r="AB43" i="18"/>
  <c r="AA43" i="18"/>
  <c r="T43" i="18"/>
  <c r="S43" i="18"/>
  <c r="R43" i="18"/>
  <c r="AM43" i="18" s="1"/>
  <c r="H43" i="18"/>
  <c r="G43" i="18"/>
  <c r="AR42" i="18"/>
  <c r="AL42" i="18"/>
  <c r="AK42" i="18"/>
  <c r="AG42" i="18"/>
  <c r="AF42" i="18"/>
  <c r="AB42" i="18"/>
  <c r="AA42" i="18"/>
  <c r="T42" i="18"/>
  <c r="S42" i="18"/>
  <c r="R42" i="18"/>
  <c r="AM42" i="18" s="1"/>
  <c r="H42" i="18"/>
  <c r="G42" i="18"/>
  <c r="AR41" i="18"/>
  <c r="AL41" i="18"/>
  <c r="AK41" i="18"/>
  <c r="AG41" i="18"/>
  <c r="AF41" i="18"/>
  <c r="AB41" i="18"/>
  <c r="AA41" i="18"/>
  <c r="T41" i="18"/>
  <c r="S41" i="18"/>
  <c r="R41" i="18"/>
  <c r="AM41" i="18" s="1"/>
  <c r="H41" i="18"/>
  <c r="G41" i="18"/>
  <c r="AR40" i="18"/>
  <c r="AL40" i="18"/>
  <c r="AK40" i="18"/>
  <c r="AG40" i="18"/>
  <c r="AF40" i="18"/>
  <c r="AB40" i="18"/>
  <c r="AA40" i="18"/>
  <c r="T40" i="18"/>
  <c r="S40" i="18"/>
  <c r="R40" i="18"/>
  <c r="AM40" i="18" s="1"/>
  <c r="H40" i="18"/>
  <c r="G40" i="18"/>
  <c r="AR39" i="18"/>
  <c r="AL39" i="18"/>
  <c r="AK39" i="18"/>
  <c r="AG39" i="18"/>
  <c r="AF39" i="18"/>
  <c r="AB39" i="18"/>
  <c r="AA39" i="18"/>
  <c r="T39" i="18"/>
  <c r="S39" i="18"/>
  <c r="R39" i="18"/>
  <c r="AM39" i="18" s="1"/>
  <c r="H39" i="18"/>
  <c r="G39" i="18"/>
  <c r="AR38" i="18"/>
  <c r="AL38" i="18"/>
  <c r="AK38" i="18"/>
  <c r="AG38" i="18"/>
  <c r="AF38" i="18"/>
  <c r="AB38" i="18"/>
  <c r="AA38" i="18"/>
  <c r="T38" i="18"/>
  <c r="S38" i="18"/>
  <c r="R38" i="18"/>
  <c r="AM38" i="18" s="1"/>
  <c r="H38" i="18"/>
  <c r="G38" i="18"/>
  <c r="AR37" i="18"/>
  <c r="AL37" i="18"/>
  <c r="AK37" i="18"/>
  <c r="AG37" i="18"/>
  <c r="AF37" i="18"/>
  <c r="AB37" i="18"/>
  <c r="AA37" i="18"/>
  <c r="T37" i="18"/>
  <c r="S37" i="18"/>
  <c r="R37" i="18"/>
  <c r="AM37" i="18" s="1"/>
  <c r="H37" i="18"/>
  <c r="G37" i="18"/>
  <c r="AR36" i="18"/>
  <c r="AL36" i="18"/>
  <c r="AK36" i="18"/>
  <c r="AG36" i="18"/>
  <c r="AF36" i="18"/>
  <c r="AB36" i="18"/>
  <c r="AA36" i="18"/>
  <c r="T36" i="18"/>
  <c r="S36" i="18"/>
  <c r="R36" i="18"/>
  <c r="AM36" i="18" s="1"/>
  <c r="H36" i="18"/>
  <c r="G36" i="18"/>
  <c r="AR35" i="18"/>
  <c r="AL35" i="18"/>
  <c r="AK35" i="18"/>
  <c r="AG35" i="18"/>
  <c r="AF35" i="18"/>
  <c r="AB35" i="18"/>
  <c r="AA35" i="18"/>
  <c r="T35" i="18"/>
  <c r="S35" i="18"/>
  <c r="R35" i="18"/>
  <c r="AM35" i="18" s="1"/>
  <c r="H35" i="18"/>
  <c r="G35" i="18"/>
  <c r="AR34" i="18"/>
  <c r="AL34" i="18"/>
  <c r="AK34" i="18"/>
  <c r="AG34" i="18"/>
  <c r="AF34" i="18"/>
  <c r="AB34" i="18"/>
  <c r="AA34" i="18"/>
  <c r="T34" i="18"/>
  <c r="S34" i="18"/>
  <c r="R34" i="18"/>
  <c r="AM34" i="18" s="1"/>
  <c r="H34" i="18"/>
  <c r="G34" i="18"/>
  <c r="AR33" i="18"/>
  <c r="AL33" i="18"/>
  <c r="AK33" i="18"/>
  <c r="AG33" i="18"/>
  <c r="AF33" i="18"/>
  <c r="AB33" i="18"/>
  <c r="AA33" i="18"/>
  <c r="T33" i="18"/>
  <c r="S33" i="18"/>
  <c r="R33" i="18"/>
  <c r="AM33" i="18" s="1"/>
  <c r="H33" i="18"/>
  <c r="G33" i="18"/>
  <c r="AR32" i="18"/>
  <c r="AL32" i="18"/>
  <c r="AK32" i="18"/>
  <c r="AG32" i="18"/>
  <c r="AF32" i="18"/>
  <c r="AB32" i="18"/>
  <c r="AA32" i="18"/>
  <c r="T32" i="18"/>
  <c r="S32" i="18"/>
  <c r="R32" i="18"/>
  <c r="AM32" i="18" s="1"/>
  <c r="H32" i="18"/>
  <c r="G32" i="18"/>
  <c r="AR31" i="18"/>
  <c r="AL31" i="18"/>
  <c r="AK31" i="18"/>
  <c r="AG31" i="18"/>
  <c r="AF31" i="18"/>
  <c r="AB31" i="18"/>
  <c r="AA31" i="18"/>
  <c r="T31" i="18"/>
  <c r="S31" i="18"/>
  <c r="R31" i="18"/>
  <c r="AM31" i="18" s="1"/>
  <c r="H31" i="18"/>
  <c r="G31" i="18"/>
  <c r="AR30" i="18"/>
  <c r="AL30" i="18"/>
  <c r="AK30" i="18"/>
  <c r="AG30" i="18"/>
  <c r="AF30" i="18"/>
  <c r="AB30" i="18"/>
  <c r="AA30" i="18"/>
  <c r="T30" i="18"/>
  <c r="S30" i="18"/>
  <c r="R30" i="18"/>
  <c r="AM30" i="18" s="1"/>
  <c r="H30" i="18"/>
  <c r="G30" i="18"/>
  <c r="AR29" i="18"/>
  <c r="AL29" i="18"/>
  <c r="AK29" i="18"/>
  <c r="AG29" i="18"/>
  <c r="AF29" i="18"/>
  <c r="AB29" i="18"/>
  <c r="AA29" i="18"/>
  <c r="T29" i="18"/>
  <c r="S29" i="18"/>
  <c r="R29" i="18"/>
  <c r="AM29" i="18" s="1"/>
  <c r="H29" i="18"/>
  <c r="G29" i="18"/>
  <c r="AR28" i="18"/>
  <c r="AL28" i="18"/>
  <c r="AK28" i="18"/>
  <c r="AG28" i="18"/>
  <c r="AF28" i="18"/>
  <c r="AB28" i="18"/>
  <c r="AA28" i="18"/>
  <c r="T28" i="18"/>
  <c r="S28" i="18"/>
  <c r="R28" i="18"/>
  <c r="AM28" i="18" s="1"/>
  <c r="H28" i="18"/>
  <c r="G28" i="18"/>
  <c r="AR27" i="18"/>
  <c r="AM27" i="18"/>
  <c r="AL27" i="18"/>
  <c r="AK27" i="18"/>
  <c r="AG27" i="18"/>
  <c r="AF27" i="18"/>
  <c r="AB27" i="18"/>
  <c r="AA27" i="18"/>
  <c r="H27" i="18"/>
  <c r="G27" i="18"/>
  <c r="AR26" i="18"/>
  <c r="AL26" i="18"/>
  <c r="AK26" i="18"/>
  <c r="AG26" i="18"/>
  <c r="AF26" i="18"/>
  <c r="AB26" i="18"/>
  <c r="AA26" i="18"/>
  <c r="AM26" i="18"/>
  <c r="H26" i="18"/>
  <c r="G26" i="18"/>
  <c r="AR25" i="18"/>
  <c r="AL25" i="18"/>
  <c r="AK25" i="18"/>
  <c r="AG25" i="18"/>
  <c r="AF25" i="18"/>
  <c r="AB25" i="18"/>
  <c r="AA25" i="18"/>
  <c r="AM25" i="18"/>
  <c r="H25" i="18"/>
  <c r="G25" i="18"/>
  <c r="AR24" i="18"/>
  <c r="AL24" i="18"/>
  <c r="AK24" i="18"/>
  <c r="AG24" i="18"/>
  <c r="AF24" i="18"/>
  <c r="AB24" i="18"/>
  <c r="AA24" i="18"/>
  <c r="AM24" i="18"/>
  <c r="H24" i="18"/>
  <c r="G24" i="18"/>
  <c r="AR23" i="18"/>
  <c r="AL23" i="18"/>
  <c r="AK23" i="18"/>
  <c r="AG23" i="18"/>
  <c r="AF23" i="18"/>
  <c r="AB23" i="18"/>
  <c r="AA23" i="18"/>
  <c r="AM23" i="18"/>
  <c r="H23" i="18"/>
  <c r="G23" i="18"/>
  <c r="AR22" i="18"/>
  <c r="AL22" i="18"/>
  <c r="AK22" i="18"/>
  <c r="AG22" i="18"/>
  <c r="AF22" i="18"/>
  <c r="AB22" i="18"/>
  <c r="AA22" i="18"/>
  <c r="AM22" i="18"/>
  <c r="H22" i="18"/>
  <c r="G22" i="18"/>
  <c r="AR21" i="18"/>
  <c r="AL21" i="18"/>
  <c r="AK21" i="18"/>
  <c r="AG21" i="18"/>
  <c r="AF21" i="18"/>
  <c r="AB21" i="18"/>
  <c r="AA21" i="18"/>
  <c r="AM21" i="18"/>
  <c r="H21" i="18"/>
  <c r="G21" i="18"/>
  <c r="AR20" i="18"/>
  <c r="AL20" i="18"/>
  <c r="AK20" i="18"/>
  <c r="AG20" i="18"/>
  <c r="AF20" i="18"/>
  <c r="AB20" i="18"/>
  <c r="AA20" i="18"/>
  <c r="AM20" i="18"/>
  <c r="H20" i="18"/>
  <c r="G20" i="18"/>
  <c r="AR19" i="18"/>
  <c r="AL19" i="18"/>
  <c r="AK19" i="18"/>
  <c r="AG19" i="18"/>
  <c r="AF19" i="18"/>
  <c r="AB19" i="18"/>
  <c r="AA19" i="18"/>
  <c r="AM19" i="18"/>
  <c r="H19" i="18"/>
  <c r="G19" i="18"/>
  <c r="AR18" i="18"/>
  <c r="AL18" i="18"/>
  <c r="AK18" i="18"/>
  <c r="AG18" i="18"/>
  <c r="AF18" i="18"/>
  <c r="AB18" i="18"/>
  <c r="AA18" i="18"/>
  <c r="AM18" i="18"/>
  <c r="H18" i="18"/>
  <c r="G18" i="18"/>
  <c r="AR17" i="18"/>
  <c r="AL17" i="18"/>
  <c r="AK17" i="18"/>
  <c r="AG17" i="18"/>
  <c r="AF17" i="18"/>
  <c r="AB17" i="18"/>
  <c r="AA17" i="18"/>
  <c r="AM17" i="18"/>
  <c r="H17" i="18"/>
  <c r="G17" i="18"/>
  <c r="AR16" i="18"/>
  <c r="AL16" i="18"/>
  <c r="AK16" i="18"/>
  <c r="AG16" i="18"/>
  <c r="AF16" i="18"/>
  <c r="AB16" i="18"/>
  <c r="AA16" i="18"/>
  <c r="AM16" i="18"/>
  <c r="H16" i="18"/>
  <c r="G16" i="18"/>
  <c r="AR15" i="18"/>
  <c r="AL15" i="18"/>
  <c r="AK15" i="18"/>
  <c r="AG15" i="18"/>
  <c r="AF15" i="18"/>
  <c r="AB15" i="18"/>
  <c r="AA15" i="18"/>
  <c r="AM15" i="18"/>
  <c r="H15" i="18"/>
  <c r="G15" i="18"/>
  <c r="AR14" i="18"/>
  <c r="AL14" i="18"/>
  <c r="AK14" i="18"/>
  <c r="AG14" i="18"/>
  <c r="AF14" i="18"/>
  <c r="AB14" i="18"/>
  <c r="AA14" i="18"/>
  <c r="AM14" i="18"/>
  <c r="H14" i="18"/>
  <c r="G14" i="18"/>
  <c r="AR13" i="18"/>
  <c r="AL13" i="18"/>
  <c r="AK13" i="18"/>
  <c r="AG13" i="18"/>
  <c r="AF13" i="18"/>
  <c r="AB13" i="18"/>
  <c r="AA13" i="18"/>
  <c r="T13" i="18"/>
  <c r="S13" i="18"/>
  <c r="R13" i="18"/>
  <c r="AM13" i="18" s="1"/>
  <c r="H13" i="18"/>
  <c r="G13" i="18"/>
  <c r="AR12" i="18"/>
  <c r="AL12" i="18"/>
  <c r="AK12" i="18"/>
  <c r="AG12" i="18"/>
  <c r="AF12" i="18"/>
  <c r="AB12" i="18"/>
  <c r="AA12" i="18"/>
  <c r="T12" i="18"/>
  <c r="S12" i="18"/>
  <c r="R12" i="18"/>
  <c r="AM12" i="18" s="1"/>
  <c r="H12" i="18"/>
  <c r="G12" i="18"/>
  <c r="AR11" i="18"/>
  <c r="AL11" i="18"/>
  <c r="AK11" i="18"/>
  <c r="AG11" i="18"/>
  <c r="AF11" i="18"/>
  <c r="AB11" i="18"/>
  <c r="AA11" i="18"/>
  <c r="T11" i="18"/>
  <c r="S11" i="18"/>
  <c r="R11" i="18"/>
  <c r="AM11" i="18" s="1"/>
  <c r="AR10" i="18"/>
  <c r="AL10" i="18"/>
  <c r="AK10" i="18"/>
  <c r="AG10" i="18"/>
  <c r="AF10" i="18"/>
  <c r="AB10" i="18"/>
  <c r="AA10" i="18"/>
  <c r="T10" i="18"/>
  <c r="S10" i="18"/>
  <c r="R10" i="18"/>
  <c r="AM10" i="18" s="1"/>
  <c r="AR9" i="18"/>
  <c r="AL9" i="18"/>
  <c r="AK9" i="18"/>
  <c r="AG9" i="18"/>
  <c r="AF9" i="18"/>
  <c r="AB9" i="18"/>
  <c r="AA9" i="18"/>
  <c r="T9" i="18"/>
  <c r="S9" i="18"/>
  <c r="R9" i="18"/>
  <c r="AM9" i="18" s="1"/>
  <c r="AR8" i="18"/>
  <c r="AL8" i="18"/>
  <c r="AK8" i="18"/>
  <c r="AG8" i="18"/>
  <c r="AF8" i="18"/>
  <c r="AB8" i="18"/>
  <c r="AA8" i="18"/>
  <c r="T8" i="18"/>
  <c r="S8" i="18"/>
  <c r="R8" i="18"/>
  <c r="AM8" i="18" s="1"/>
  <c r="AR7" i="18"/>
  <c r="AL7" i="18"/>
  <c r="AK7" i="18"/>
  <c r="AG7" i="18"/>
  <c r="AF7" i="18"/>
  <c r="AB7" i="18"/>
  <c r="AA7" i="18"/>
  <c r="T7" i="18"/>
  <c r="S7" i="18"/>
  <c r="R7" i="18"/>
  <c r="AM7" i="18" s="1"/>
  <c r="AR6" i="18"/>
  <c r="AL6" i="18"/>
  <c r="AK6" i="18"/>
  <c r="AG6" i="18"/>
  <c r="AF6" i="18"/>
  <c r="AB6" i="18"/>
  <c r="AA6" i="18"/>
  <c r="T6" i="18"/>
  <c r="S6" i="18"/>
  <c r="R6" i="18"/>
  <c r="AM6" i="18" s="1"/>
  <c r="B6" i="18"/>
  <c r="B8" i="18" s="1"/>
  <c r="AR5" i="18"/>
  <c r="AL5" i="18"/>
  <c r="AK5" i="18"/>
  <c r="AG5" i="18"/>
  <c r="AF5" i="18"/>
  <c r="AB5" i="18"/>
  <c r="AA5" i="18"/>
  <c r="T5" i="18"/>
  <c r="S5" i="18"/>
  <c r="R5" i="18"/>
  <c r="AM5" i="18" s="1"/>
  <c r="B5" i="18"/>
  <c r="B7" i="18" s="1"/>
  <c r="AR4" i="18"/>
  <c r="AL4" i="18"/>
  <c r="AK4" i="18"/>
  <c r="AG4" i="18"/>
  <c r="AF4" i="18"/>
  <c r="AB4" i="18"/>
  <c r="AA4" i="18"/>
  <c r="T4" i="18"/>
  <c r="S4" i="18"/>
  <c r="R4" i="18"/>
  <c r="AM4" i="18" s="1"/>
  <c r="A4" i="18"/>
  <c r="AP1" i="18"/>
  <c r="Y71" i="18" l="1"/>
  <c r="W71" i="18" s="1"/>
  <c r="Z71" i="18"/>
  <c r="X71" i="18" s="1"/>
  <c r="A5" i="18"/>
  <c r="AN6" i="18"/>
  <c r="AO62" i="18"/>
  <c r="AO63" i="18"/>
  <c r="AO5" i="18"/>
  <c r="AO19" i="18"/>
  <c r="AO64" i="18"/>
  <c r="AN65" i="18"/>
  <c r="AN63" i="18"/>
  <c r="AN64" i="18"/>
  <c r="AO65" i="18"/>
  <c r="AN62" i="18"/>
  <c r="AN56" i="18"/>
  <c r="AN57" i="18"/>
  <c r="AN60" i="18"/>
  <c r="AN61" i="18"/>
  <c r="AO55" i="18"/>
  <c r="AO56" i="18"/>
  <c r="AO57" i="18"/>
  <c r="AN58" i="18"/>
  <c r="AN59" i="18"/>
  <c r="AO58" i="18"/>
  <c r="AO59" i="18"/>
  <c r="AN48" i="18"/>
  <c r="AN49" i="18"/>
  <c r="AO60" i="18"/>
  <c r="AO61" i="18"/>
  <c r="AN52" i="18"/>
  <c r="AN53" i="18"/>
  <c r="AN55" i="18"/>
  <c r="AO54" i="18"/>
  <c r="AO48" i="18"/>
  <c r="AO49" i="18"/>
  <c r="AN50" i="18"/>
  <c r="AN51" i="18"/>
  <c r="AO50" i="18"/>
  <c r="AO51" i="18"/>
  <c r="AO52" i="18"/>
  <c r="AO53" i="18"/>
  <c r="AN54" i="18"/>
  <c r="AO47" i="18"/>
  <c r="AN44" i="18"/>
  <c r="AN45" i="18"/>
  <c r="AN47" i="18"/>
  <c r="AO46" i="18"/>
  <c r="AN40" i="18"/>
  <c r="AN41" i="18"/>
  <c r="AO37" i="18"/>
  <c r="AO44" i="18"/>
  <c r="AO45" i="18"/>
  <c r="AN46" i="18"/>
  <c r="AN38" i="18"/>
  <c r="AO39" i="18"/>
  <c r="AN34" i="18"/>
  <c r="AO41" i="18"/>
  <c r="AN42" i="18"/>
  <c r="AN43" i="18"/>
  <c r="AO35" i="18"/>
  <c r="AN36" i="18"/>
  <c r="AN37" i="18"/>
  <c r="AP37" i="18" s="1"/>
  <c r="AO42" i="18"/>
  <c r="AO43" i="18"/>
  <c r="AN32" i="18"/>
  <c r="AN33" i="18"/>
  <c r="AO31" i="18"/>
  <c r="AO33" i="18"/>
  <c r="AN31" i="18"/>
  <c r="AO20" i="18"/>
  <c r="AO30" i="18"/>
  <c r="AN26" i="18"/>
  <c r="AN27" i="18"/>
  <c r="AN30" i="18"/>
  <c r="AO23" i="18"/>
  <c r="AN24" i="18"/>
  <c r="AO25" i="18"/>
  <c r="AO21" i="18"/>
  <c r="AN22" i="18"/>
  <c r="AN23" i="18"/>
  <c r="AO26" i="18"/>
  <c r="AO27" i="18"/>
  <c r="AN28" i="18"/>
  <c r="AO22" i="18"/>
  <c r="AO29" i="18"/>
  <c r="AO11" i="18"/>
  <c r="AO12" i="18"/>
  <c r="AN13" i="18"/>
  <c r="AN14" i="18"/>
  <c r="AN20" i="18"/>
  <c r="AO15" i="18"/>
  <c r="AO16" i="18"/>
  <c r="AN17" i="18"/>
  <c r="AN18" i="18"/>
  <c r="AO7" i="18"/>
  <c r="AO8" i="18"/>
  <c r="AN9" i="18"/>
  <c r="AN10" i="18"/>
  <c r="AN4" i="18"/>
  <c r="AN5" i="18"/>
  <c r="AO9" i="18"/>
  <c r="AO10" i="18"/>
  <c r="AN11" i="18"/>
  <c r="AN12" i="18"/>
  <c r="AO17" i="18"/>
  <c r="AO18" i="18"/>
  <c r="AN19" i="18"/>
  <c r="AO4" i="18"/>
  <c r="AO6" i="18"/>
  <c r="AN7" i="18"/>
  <c r="AN8" i="18"/>
  <c r="AO13" i="18"/>
  <c r="AO14" i="18"/>
  <c r="AN15" i="18"/>
  <c r="AN16" i="18"/>
  <c r="A7" i="18"/>
  <c r="B9" i="18"/>
  <c r="A8" i="18"/>
  <c r="B10" i="18"/>
  <c r="AM66" i="18"/>
  <c r="H9" i="1" s="1"/>
  <c r="T66" i="18"/>
  <c r="A6" i="18"/>
  <c r="AN21" i="18"/>
  <c r="AO24" i="18"/>
  <c r="AN29" i="18"/>
  <c r="AO32" i="18"/>
  <c r="AO34" i="18"/>
  <c r="AN35" i="18"/>
  <c r="AP35" i="18" s="1"/>
  <c r="AO36" i="18"/>
  <c r="AO38" i="18"/>
  <c r="AN39" i="18"/>
  <c r="AO40" i="18"/>
  <c r="R66" i="18"/>
  <c r="AN25" i="18"/>
  <c r="AO28" i="18"/>
  <c r="S66" i="18"/>
  <c r="N37" i="1"/>
  <c r="AP17" i="18" l="1"/>
  <c r="AP48" i="18"/>
  <c r="AP13" i="18"/>
  <c r="AP40" i="18"/>
  <c r="AP20" i="18"/>
  <c r="AP10" i="18"/>
  <c r="AP59" i="18"/>
  <c r="AP58" i="18"/>
  <c r="AP24" i="18"/>
  <c r="AP46" i="18"/>
  <c r="AP25" i="18"/>
  <c r="AP9" i="18"/>
  <c r="AP36" i="18"/>
  <c r="AP62" i="18"/>
  <c r="AP12" i="18"/>
  <c r="AP51" i="18"/>
  <c r="AP18" i="18"/>
  <c r="AP14" i="18"/>
  <c r="AP11" i="18"/>
  <c r="AP19" i="18"/>
  <c r="AP6" i="18"/>
  <c r="AP31" i="18"/>
  <c r="AP63" i="18"/>
  <c r="AP65" i="18"/>
  <c r="AP33" i="18"/>
  <c r="AP52" i="18"/>
  <c r="AP64" i="18"/>
  <c r="AP61" i="18"/>
  <c r="AP57" i="18"/>
  <c r="AP56" i="18"/>
  <c r="AP50" i="18"/>
  <c r="AP55" i="18"/>
  <c r="AP60" i="18"/>
  <c r="AP54" i="18"/>
  <c r="AP49" i="18"/>
  <c r="AP53" i="18"/>
  <c r="AP38" i="18"/>
  <c r="AP42" i="18"/>
  <c r="AP45" i="18"/>
  <c r="AP43" i="18"/>
  <c r="AP44" i="18"/>
  <c r="AP47" i="18"/>
  <c r="AP39" i="18"/>
  <c r="AP41" i="18"/>
  <c r="AP34" i="18"/>
  <c r="AP29" i="18"/>
  <c r="AP26" i="18"/>
  <c r="AP23" i="18"/>
  <c r="AP30" i="18"/>
  <c r="AP27" i="18"/>
  <c r="AP21" i="18"/>
  <c r="AP22" i="18"/>
  <c r="AP28" i="18"/>
  <c r="AP4" i="18"/>
  <c r="AP8" i="18"/>
  <c r="AP16" i="18"/>
  <c r="AP15" i="18"/>
  <c r="AP7" i="18"/>
  <c r="AP5" i="18"/>
  <c r="AO66" i="18"/>
  <c r="J9" i="1" s="1"/>
  <c r="AP32" i="18"/>
  <c r="AN66" i="18"/>
  <c r="I9" i="1" s="1"/>
  <c r="B12" i="18"/>
  <c r="A10" i="18"/>
  <c r="A9" i="18"/>
  <c r="B11" i="18"/>
  <c r="AF5" i="11"/>
  <c r="AG5" i="11"/>
  <c r="AF6" i="11"/>
  <c r="AG6" i="11"/>
  <c r="AF7" i="11"/>
  <c r="AG7" i="11"/>
  <c r="AF8" i="11"/>
  <c r="AG8" i="11"/>
  <c r="AF9" i="11"/>
  <c r="AG9" i="11"/>
  <c r="AF10" i="11"/>
  <c r="AG10" i="11"/>
  <c r="AF11" i="11"/>
  <c r="AG11" i="11"/>
  <c r="AF12" i="11"/>
  <c r="AG12" i="11"/>
  <c r="AF13" i="11"/>
  <c r="AG13" i="11"/>
  <c r="AF14" i="11"/>
  <c r="AG14" i="11"/>
  <c r="AF15" i="11"/>
  <c r="AG15" i="11"/>
  <c r="AF16" i="11"/>
  <c r="AG16" i="11"/>
  <c r="AF17" i="11"/>
  <c r="AG17" i="11"/>
  <c r="AF18" i="11"/>
  <c r="AG18" i="11"/>
  <c r="AK5" i="11"/>
  <c r="AL5" i="11"/>
  <c r="AK6" i="11"/>
  <c r="AL6" i="11"/>
  <c r="AK7" i="11"/>
  <c r="AL7" i="11"/>
  <c r="AK8" i="11"/>
  <c r="AL8" i="11"/>
  <c r="AK9" i="11"/>
  <c r="AL9" i="11"/>
  <c r="AK10" i="11"/>
  <c r="AL10" i="11"/>
  <c r="AK11" i="11"/>
  <c r="AL11" i="11"/>
  <c r="AK12" i="11"/>
  <c r="AL12" i="11"/>
  <c r="AK13" i="11"/>
  <c r="AL13" i="11"/>
  <c r="AK14" i="11"/>
  <c r="AL14" i="11"/>
  <c r="AK15" i="11"/>
  <c r="AL15" i="11"/>
  <c r="AK16" i="11"/>
  <c r="AL16" i="11"/>
  <c r="AK17" i="11"/>
  <c r="AL17" i="11"/>
  <c r="AK18" i="11"/>
  <c r="AL18" i="11"/>
  <c r="AK19" i="11"/>
  <c r="AL19" i="11"/>
  <c r="M9" i="1" l="1"/>
  <c r="N9" i="1" s="1"/>
  <c r="A12" i="18"/>
  <c r="B14" i="18"/>
  <c r="B13" i="18"/>
  <c r="A11" i="18"/>
  <c r="A13" i="18" l="1"/>
  <c r="B15" i="18"/>
  <c r="A14" i="18"/>
  <c r="B16" i="18"/>
  <c r="AS19" i="12"/>
  <c r="A16" i="18" l="1"/>
  <c r="B18" i="18"/>
  <c r="A15" i="18"/>
  <c r="B17" i="18"/>
  <c r="A17" i="18" l="1"/>
  <c r="B19" i="18"/>
  <c r="B20" i="18"/>
  <c r="A18" i="18"/>
  <c r="R5" i="4"/>
  <c r="S5" i="4"/>
  <c r="T5" i="4"/>
  <c r="R6" i="4"/>
  <c r="S6" i="4"/>
  <c r="T6" i="4"/>
  <c r="R7" i="4"/>
  <c r="S7" i="4"/>
  <c r="T7" i="4"/>
  <c r="R8" i="4"/>
  <c r="S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R17" i="4"/>
  <c r="S17" i="4"/>
  <c r="T17" i="4"/>
  <c r="R18" i="4"/>
  <c r="S18" i="4"/>
  <c r="T18" i="4"/>
  <c r="R19" i="4"/>
  <c r="S19" i="4"/>
  <c r="T19" i="4"/>
  <c r="R20" i="4"/>
  <c r="S20" i="4"/>
  <c r="T20" i="4"/>
  <c r="R21" i="4"/>
  <c r="S21" i="4"/>
  <c r="T21" i="4"/>
  <c r="R22" i="4"/>
  <c r="S22" i="4"/>
  <c r="T22" i="4"/>
  <c r="R23" i="4"/>
  <c r="S23" i="4"/>
  <c r="T23" i="4"/>
  <c r="R24" i="4"/>
  <c r="S24" i="4"/>
  <c r="T24" i="4"/>
  <c r="R25" i="4"/>
  <c r="S25" i="4"/>
  <c r="T25" i="4"/>
  <c r="R26" i="4"/>
  <c r="S26" i="4"/>
  <c r="T26" i="4"/>
  <c r="R27" i="4"/>
  <c r="S27" i="4"/>
  <c r="T27" i="4"/>
  <c r="R28" i="4"/>
  <c r="S28" i="4"/>
  <c r="T28" i="4"/>
  <c r="R29" i="4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4" i="4"/>
  <c r="S34" i="4"/>
  <c r="T34" i="4"/>
  <c r="R35" i="4"/>
  <c r="S35" i="4"/>
  <c r="T35" i="4"/>
  <c r="R36" i="4"/>
  <c r="S36" i="4"/>
  <c r="T36" i="4"/>
  <c r="R37" i="4"/>
  <c r="S37" i="4"/>
  <c r="T37" i="4"/>
  <c r="R38" i="4"/>
  <c r="S38" i="4"/>
  <c r="T38" i="4"/>
  <c r="R39" i="4"/>
  <c r="S39" i="4"/>
  <c r="T39" i="4"/>
  <c r="R40" i="4"/>
  <c r="S40" i="4"/>
  <c r="T40" i="4"/>
  <c r="R41" i="4"/>
  <c r="S41" i="4"/>
  <c r="T41" i="4"/>
  <c r="R42" i="4"/>
  <c r="S42" i="4"/>
  <c r="T42" i="4"/>
  <c r="R43" i="4"/>
  <c r="S43" i="4"/>
  <c r="T43" i="4"/>
  <c r="R44" i="4"/>
  <c r="S44" i="4"/>
  <c r="T44" i="4"/>
  <c r="R45" i="4"/>
  <c r="S45" i="4"/>
  <c r="T45" i="4"/>
  <c r="R46" i="4"/>
  <c r="S46" i="4"/>
  <c r="T46" i="4"/>
  <c r="R47" i="4"/>
  <c r="S47" i="4"/>
  <c r="T47" i="4"/>
  <c r="R48" i="4"/>
  <c r="S48" i="4"/>
  <c r="T48" i="4"/>
  <c r="R49" i="4"/>
  <c r="S49" i="4"/>
  <c r="T49" i="4"/>
  <c r="R50" i="4"/>
  <c r="S50" i="4"/>
  <c r="T50" i="4"/>
  <c r="R51" i="4"/>
  <c r="S51" i="4"/>
  <c r="T51" i="4"/>
  <c r="R52" i="4"/>
  <c r="S52" i="4"/>
  <c r="T52" i="4"/>
  <c r="R53" i="4"/>
  <c r="S53" i="4"/>
  <c r="T53" i="4"/>
  <c r="R54" i="4"/>
  <c r="S54" i="4"/>
  <c r="T54" i="4"/>
  <c r="R55" i="4"/>
  <c r="S55" i="4"/>
  <c r="T55" i="4"/>
  <c r="R56" i="4"/>
  <c r="S56" i="4"/>
  <c r="T56" i="4"/>
  <c r="R57" i="4"/>
  <c r="S57" i="4"/>
  <c r="T57" i="4"/>
  <c r="R58" i="4"/>
  <c r="S58" i="4"/>
  <c r="T58" i="4"/>
  <c r="R59" i="4"/>
  <c r="S59" i="4"/>
  <c r="T59" i="4"/>
  <c r="R60" i="4"/>
  <c r="S60" i="4"/>
  <c r="T60" i="4"/>
  <c r="R61" i="4"/>
  <c r="S61" i="4"/>
  <c r="T61" i="4"/>
  <c r="R62" i="4"/>
  <c r="S62" i="4"/>
  <c r="T62" i="4"/>
  <c r="R63" i="4"/>
  <c r="S63" i="4"/>
  <c r="T63" i="4"/>
  <c r="R64" i="4"/>
  <c r="S64" i="4"/>
  <c r="T64" i="4"/>
  <c r="R65" i="4"/>
  <c r="S65" i="4"/>
  <c r="T65" i="4"/>
  <c r="B22" i="18" l="1"/>
  <c r="A20" i="18"/>
  <c r="B21" i="18"/>
  <c r="A19" i="18"/>
  <c r="AK5" i="5"/>
  <c r="AL5" i="5"/>
  <c r="AK6" i="5"/>
  <c r="AL6" i="5"/>
  <c r="AK7" i="5"/>
  <c r="AL7" i="5"/>
  <c r="AK8" i="5"/>
  <c r="AL8" i="5"/>
  <c r="AK9" i="5"/>
  <c r="AL9" i="5"/>
  <c r="AK10" i="5"/>
  <c r="AL10" i="5"/>
  <c r="AK11" i="5"/>
  <c r="AL11" i="5"/>
  <c r="AK12" i="5"/>
  <c r="AL12" i="5"/>
  <c r="AK13" i="5"/>
  <c r="AL13" i="5"/>
  <c r="AK14" i="5"/>
  <c r="AL14" i="5"/>
  <c r="AK15" i="5"/>
  <c r="AL15" i="5"/>
  <c r="AK16" i="5"/>
  <c r="AL16" i="5"/>
  <c r="AK17" i="5"/>
  <c r="AL17" i="5"/>
  <c r="AK18" i="5"/>
  <c r="AL18" i="5"/>
  <c r="AK19" i="5"/>
  <c r="AL19" i="5"/>
  <c r="AK20" i="5"/>
  <c r="AL20" i="5"/>
  <c r="AK21" i="5"/>
  <c r="AL21" i="5"/>
  <c r="AK22" i="5"/>
  <c r="AL22" i="5"/>
  <c r="AK23" i="5"/>
  <c r="AL23" i="5"/>
  <c r="AK24" i="5"/>
  <c r="AL24" i="5"/>
  <c r="AK25" i="5"/>
  <c r="AL25" i="5"/>
  <c r="AK26" i="5"/>
  <c r="AL26" i="5"/>
  <c r="AK27" i="5"/>
  <c r="AL27" i="5"/>
  <c r="AK28" i="5"/>
  <c r="AL28" i="5"/>
  <c r="AK29" i="5"/>
  <c r="AL29" i="5"/>
  <c r="AK30" i="5"/>
  <c r="AL30" i="5"/>
  <c r="AK31" i="5"/>
  <c r="AL31" i="5"/>
  <c r="AK32" i="5"/>
  <c r="AL32" i="5"/>
  <c r="AK33" i="5"/>
  <c r="AL33" i="5"/>
  <c r="AK34" i="5"/>
  <c r="AL34" i="5"/>
  <c r="AK35" i="5"/>
  <c r="AL35" i="5"/>
  <c r="AK36" i="5"/>
  <c r="AL36" i="5"/>
  <c r="AK37" i="5"/>
  <c r="AL37" i="5"/>
  <c r="AK38" i="5"/>
  <c r="AL38" i="5"/>
  <c r="AK39" i="5"/>
  <c r="AL39" i="5"/>
  <c r="AK40" i="5"/>
  <c r="AL40" i="5"/>
  <c r="AK41" i="5"/>
  <c r="AL41" i="5"/>
  <c r="AK42" i="5"/>
  <c r="AL42" i="5"/>
  <c r="AK43" i="5"/>
  <c r="AL43" i="5"/>
  <c r="AK44" i="5"/>
  <c r="AL44" i="5"/>
  <c r="AK45" i="5"/>
  <c r="AL45" i="5"/>
  <c r="AK46" i="5"/>
  <c r="AL46" i="5"/>
  <c r="AK47" i="5"/>
  <c r="AL47" i="5"/>
  <c r="AK48" i="5"/>
  <c r="AL48" i="5"/>
  <c r="AK49" i="5"/>
  <c r="AL49" i="5"/>
  <c r="AK50" i="5"/>
  <c r="AL50" i="5"/>
  <c r="AK51" i="5"/>
  <c r="AL51" i="5"/>
  <c r="AK52" i="5"/>
  <c r="AL52" i="5"/>
  <c r="AK53" i="5"/>
  <c r="AL53" i="5"/>
  <c r="AK54" i="5"/>
  <c r="AL54" i="5"/>
  <c r="AK55" i="5"/>
  <c r="AL55" i="5"/>
  <c r="AK56" i="5"/>
  <c r="AL56" i="5"/>
  <c r="AK57" i="5"/>
  <c r="AL57" i="5"/>
  <c r="AK58" i="5"/>
  <c r="AL58" i="5"/>
  <c r="AK59" i="5"/>
  <c r="AL59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B24" i="18" l="1"/>
  <c r="A22" i="18"/>
  <c r="A21" i="18"/>
  <c r="B23" i="18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A23" i="18" l="1"/>
  <c r="B25" i="18"/>
  <c r="B26" i="18"/>
  <c r="A24" i="18"/>
  <c r="H4" i="2"/>
  <c r="G4" i="2"/>
  <c r="AA4" i="4"/>
  <c r="AB4" i="4"/>
  <c r="AA5" i="4"/>
  <c r="AB5" i="4"/>
  <c r="AA6" i="4"/>
  <c r="AB6" i="4"/>
  <c r="AA7" i="4"/>
  <c r="AB7" i="4"/>
  <c r="AA8" i="4"/>
  <c r="AB8" i="4"/>
  <c r="AA9" i="4"/>
  <c r="AB9" i="4"/>
  <c r="AA10" i="4"/>
  <c r="AB10" i="4"/>
  <c r="AA11" i="4"/>
  <c r="AB11" i="4"/>
  <c r="AA12" i="4"/>
  <c r="AB12" i="4"/>
  <c r="AA13" i="4"/>
  <c r="AB13" i="4"/>
  <c r="AA14" i="4"/>
  <c r="AB14" i="4"/>
  <c r="AA15" i="4"/>
  <c r="AB15" i="4"/>
  <c r="AA16" i="4"/>
  <c r="AB16" i="4"/>
  <c r="AA17" i="4"/>
  <c r="AB17" i="4"/>
  <c r="AA18" i="4"/>
  <c r="AB18" i="4"/>
  <c r="AA19" i="4"/>
  <c r="AB19" i="4"/>
  <c r="AA20" i="4"/>
  <c r="AB20" i="4"/>
  <c r="AA21" i="4"/>
  <c r="AB21" i="4"/>
  <c r="AA22" i="4"/>
  <c r="AB22" i="4"/>
  <c r="AA23" i="4"/>
  <c r="AB23" i="4"/>
  <c r="AA24" i="4"/>
  <c r="AB24" i="4"/>
  <c r="AA25" i="4"/>
  <c r="AB25" i="4"/>
  <c r="AA26" i="4"/>
  <c r="AB26" i="4"/>
  <c r="AA27" i="4"/>
  <c r="AB27" i="4"/>
  <c r="AA28" i="4"/>
  <c r="AB28" i="4"/>
  <c r="AA29" i="4"/>
  <c r="AB29" i="4"/>
  <c r="AA30" i="4"/>
  <c r="AB30" i="4"/>
  <c r="AA31" i="4"/>
  <c r="AB31" i="4"/>
  <c r="AA32" i="4"/>
  <c r="AB32" i="4"/>
  <c r="AA33" i="4"/>
  <c r="AB33" i="4"/>
  <c r="AA34" i="4"/>
  <c r="AB34" i="4"/>
  <c r="AA35" i="4"/>
  <c r="AB35" i="4"/>
  <c r="AA36" i="4"/>
  <c r="AB36" i="4"/>
  <c r="AA37" i="4"/>
  <c r="AB37" i="4"/>
  <c r="AA38" i="4"/>
  <c r="AB38" i="4"/>
  <c r="AA39" i="4"/>
  <c r="AB39" i="4"/>
  <c r="AA40" i="4"/>
  <c r="AB40" i="4"/>
  <c r="AA41" i="4"/>
  <c r="AB41" i="4"/>
  <c r="AA42" i="4"/>
  <c r="AB42" i="4"/>
  <c r="AA43" i="4"/>
  <c r="AB43" i="4"/>
  <c r="AA44" i="4"/>
  <c r="AB44" i="4"/>
  <c r="AA45" i="4"/>
  <c r="AB45" i="4"/>
  <c r="AA46" i="4"/>
  <c r="AB46" i="4"/>
  <c r="AA47" i="4"/>
  <c r="AB47" i="4"/>
  <c r="AA48" i="4"/>
  <c r="AB48" i="4"/>
  <c r="AA49" i="4"/>
  <c r="AB49" i="4"/>
  <c r="AA50" i="4"/>
  <c r="AB50" i="4"/>
  <c r="AA51" i="4"/>
  <c r="AB51" i="4"/>
  <c r="AA52" i="4"/>
  <c r="AB52" i="4"/>
  <c r="AA53" i="4"/>
  <c r="AB53" i="4"/>
  <c r="AA54" i="4"/>
  <c r="AB54" i="4"/>
  <c r="AA55" i="4"/>
  <c r="AB55" i="4"/>
  <c r="AA56" i="4"/>
  <c r="AB56" i="4"/>
  <c r="AA57" i="4"/>
  <c r="AB57" i="4"/>
  <c r="AA58" i="4"/>
  <c r="AB58" i="4"/>
  <c r="AA59" i="4"/>
  <c r="AB59" i="4"/>
  <c r="AA60" i="4"/>
  <c r="AB60" i="4"/>
  <c r="AA61" i="4"/>
  <c r="AB61" i="4"/>
  <c r="AA62" i="4"/>
  <c r="AB62" i="4"/>
  <c r="AA63" i="4"/>
  <c r="AB63" i="4"/>
  <c r="B28" i="18" l="1"/>
  <c r="A26" i="18"/>
  <c r="A25" i="18"/>
  <c r="B27" i="18"/>
  <c r="AG46" i="14"/>
  <c r="AG47" i="14"/>
  <c r="AG48" i="14"/>
  <c r="AG49" i="14"/>
  <c r="AG50" i="14"/>
  <c r="AG51" i="14"/>
  <c r="AG62" i="14"/>
  <c r="AG63" i="14"/>
  <c r="AG64" i="14"/>
  <c r="AG65" i="14"/>
  <c r="AL45" i="14"/>
  <c r="AL46" i="14"/>
  <c r="AL47" i="14"/>
  <c r="AL48" i="14"/>
  <c r="AL49" i="14"/>
  <c r="AL50" i="14"/>
  <c r="AL51" i="14"/>
  <c r="AL52" i="14"/>
  <c r="AL53" i="14"/>
  <c r="AL54" i="14"/>
  <c r="AL55" i="14"/>
  <c r="AL56" i="14"/>
  <c r="AL57" i="14"/>
  <c r="AL58" i="14"/>
  <c r="AL59" i="14"/>
  <c r="AL60" i="14"/>
  <c r="AL61" i="14"/>
  <c r="AL62" i="14"/>
  <c r="AL63" i="14"/>
  <c r="AL64" i="14"/>
  <c r="AL65" i="14"/>
  <c r="A27" i="18" l="1"/>
  <c r="B29" i="18"/>
  <c r="B30" i="18"/>
  <c r="A28" i="18"/>
  <c r="AS65" i="14"/>
  <c r="B32" i="18" l="1"/>
  <c r="A30" i="18"/>
  <c r="A29" i="18"/>
  <c r="B31" i="18"/>
  <c r="A31" i="18" l="1"/>
  <c r="B33" i="18"/>
  <c r="B34" i="18"/>
  <c r="A32" i="18"/>
  <c r="M43" i="1" l="1"/>
  <c r="N43" i="1" s="1"/>
  <c r="B36" i="18"/>
  <c r="A34" i="18"/>
  <c r="A33" i="18"/>
  <c r="B35" i="18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4" i="4"/>
  <c r="AB65" i="4"/>
  <c r="A35" i="18" l="1"/>
  <c r="B37" i="18"/>
  <c r="B38" i="18"/>
  <c r="A36" i="18"/>
  <c r="B40" i="18" l="1"/>
  <c r="A38" i="18"/>
  <c r="A37" i="18"/>
  <c r="B39" i="18"/>
  <c r="AS51" i="10"/>
  <c r="A39" i="18" l="1"/>
  <c r="B41" i="18"/>
  <c r="B42" i="18"/>
  <c r="A40" i="18"/>
  <c r="B44" i="18" l="1"/>
  <c r="A42" i="18"/>
  <c r="A41" i="18"/>
  <c r="B43" i="18"/>
  <c r="A43" i="18" l="1"/>
  <c r="B45" i="18"/>
  <c r="A44" i="18"/>
  <c r="B46" i="18"/>
  <c r="B48" i="18" l="1"/>
  <c r="A46" i="18"/>
  <c r="A45" i="18"/>
  <c r="B47" i="18"/>
  <c r="AA48" i="9"/>
  <c r="AB48" i="9"/>
  <c r="AA49" i="9"/>
  <c r="AB49" i="9"/>
  <c r="AA50" i="9"/>
  <c r="AB50" i="9"/>
  <c r="AA51" i="9"/>
  <c r="AB51" i="9"/>
  <c r="A47" i="18" l="1"/>
  <c r="B49" i="18"/>
  <c r="A48" i="18"/>
  <c r="B50" i="18"/>
  <c r="B52" i="18" l="1"/>
  <c r="A50" i="18"/>
  <c r="A49" i="18"/>
  <c r="B51" i="18"/>
  <c r="A51" i="18" l="1"/>
  <c r="B53" i="18"/>
  <c r="A52" i="18"/>
  <c r="B54" i="18"/>
  <c r="A53" i="18" l="1"/>
  <c r="B55" i="18"/>
  <c r="B56" i="18"/>
  <c r="A54" i="18"/>
  <c r="A56" i="18" l="1"/>
  <c r="B58" i="18"/>
  <c r="A55" i="18"/>
  <c r="B57" i="18"/>
  <c r="A57" i="18" l="1"/>
  <c r="B59" i="18"/>
  <c r="B60" i="18"/>
  <c r="A58" i="18"/>
  <c r="L4" i="1"/>
  <c r="AQ1" i="31" l="1"/>
  <c r="AQ1" i="32"/>
  <c r="AQ63" i="31"/>
  <c r="AQ54" i="31"/>
  <c r="AQ22" i="31"/>
  <c r="AQ31" i="31"/>
  <c r="AQ10" i="31"/>
  <c r="AQ38" i="31"/>
  <c r="AQ7" i="31"/>
  <c r="AQ26" i="31"/>
  <c r="AQ20" i="31"/>
  <c r="AQ6" i="31"/>
  <c r="AQ29" i="31"/>
  <c r="AQ42" i="31"/>
  <c r="AQ65" i="31"/>
  <c r="AQ52" i="31"/>
  <c r="AQ64" i="31"/>
  <c r="AQ51" i="31"/>
  <c r="AQ28" i="31"/>
  <c r="AQ8" i="31"/>
  <c r="AQ60" i="31"/>
  <c r="AQ47" i="31"/>
  <c r="AQ59" i="31"/>
  <c r="AQ27" i="31"/>
  <c r="AQ39" i="31"/>
  <c r="AQ11" i="31"/>
  <c r="AQ61" i="31"/>
  <c r="AQ43" i="31"/>
  <c r="AQ5" i="31"/>
  <c r="AQ30" i="31"/>
  <c r="AQ21" i="31"/>
  <c r="AQ56" i="31"/>
  <c r="AQ48" i="31"/>
  <c r="AQ49" i="31"/>
  <c r="AQ36" i="31"/>
  <c r="AQ15" i="31"/>
  <c r="AQ46" i="31"/>
  <c r="AQ40" i="31"/>
  <c r="AQ45" i="31"/>
  <c r="AQ16" i="31"/>
  <c r="AQ55" i="31"/>
  <c r="AQ50" i="31"/>
  <c r="AQ12" i="31"/>
  <c r="AQ33" i="31"/>
  <c r="AQ23" i="31"/>
  <c r="AQ14" i="31"/>
  <c r="AQ58" i="31"/>
  <c r="AQ25" i="31"/>
  <c r="AQ18" i="31"/>
  <c r="AQ13" i="31"/>
  <c r="AQ35" i="31"/>
  <c r="AQ62" i="31"/>
  <c r="AQ37" i="31"/>
  <c r="AQ9" i="31"/>
  <c r="AQ57" i="31"/>
  <c r="AQ19" i="31"/>
  <c r="AQ17" i="31"/>
  <c r="AQ44" i="31"/>
  <c r="AQ41" i="31"/>
  <c r="AQ32" i="31"/>
  <c r="AQ53" i="31"/>
  <c r="AQ4" i="31"/>
  <c r="AQ34" i="31"/>
  <c r="AQ24" i="31"/>
  <c r="AQ1" i="28"/>
  <c r="AQ54" i="28" s="1"/>
  <c r="AQ1" i="30"/>
  <c r="AQ1" i="29"/>
  <c r="AQ46" i="28"/>
  <c r="AQ41" i="28"/>
  <c r="AQ65" i="28"/>
  <c r="AQ33" i="28"/>
  <c r="AQ61" i="28"/>
  <c r="AQ9" i="28"/>
  <c r="AQ53" i="28"/>
  <c r="AQ30" i="28"/>
  <c r="AQ52" i="28"/>
  <c r="AQ26" i="28"/>
  <c r="AQ42" i="28"/>
  <c r="AQ37" i="28"/>
  <c r="AQ1" i="26"/>
  <c r="AQ1" i="27"/>
  <c r="AQ1" i="22"/>
  <c r="AQ1" i="21"/>
  <c r="AQ13" i="21" s="1"/>
  <c r="L18" i="1"/>
  <c r="AQ1" i="18"/>
  <c r="AQ64" i="18" s="1"/>
  <c r="AQ1" i="20"/>
  <c r="AQ1" i="19"/>
  <c r="A60" i="18"/>
  <c r="B62" i="18"/>
  <c r="A59" i="18"/>
  <c r="B61" i="18"/>
  <c r="R14" i="13"/>
  <c r="R15" i="13"/>
  <c r="R16" i="13"/>
  <c r="R17" i="13"/>
  <c r="R18" i="13"/>
  <c r="R19" i="13"/>
  <c r="R20" i="13"/>
  <c r="R21" i="13"/>
  <c r="R22" i="13"/>
  <c r="AQ60" i="32" l="1"/>
  <c r="AQ44" i="32"/>
  <c r="AQ57" i="32"/>
  <c r="AQ33" i="32"/>
  <c r="AQ46" i="32"/>
  <c r="AQ13" i="32"/>
  <c r="AQ12" i="32"/>
  <c r="AQ61" i="32"/>
  <c r="AQ56" i="32"/>
  <c r="AQ40" i="32"/>
  <c r="AQ49" i="32"/>
  <c r="AQ63" i="32"/>
  <c r="AQ39" i="32"/>
  <c r="AQ48" i="32"/>
  <c r="AQ41" i="32"/>
  <c r="AQ50" i="32"/>
  <c r="AQ52" i="32"/>
  <c r="AQ36" i="32"/>
  <c r="AQ45" i="32"/>
  <c r="AQ55" i="32"/>
  <c r="AQ31" i="32"/>
  <c r="AQ47" i="32"/>
  <c r="AQ65" i="32"/>
  <c r="AQ54" i="32"/>
  <c r="AQ4" i="32"/>
  <c r="AQ32" i="32"/>
  <c r="AQ25" i="32"/>
  <c r="AQ8" i="32"/>
  <c r="AQ16" i="32"/>
  <c r="AQ14" i="32"/>
  <c r="AQ6" i="32"/>
  <c r="AQ64" i="32"/>
  <c r="AQ58" i="32"/>
  <c r="AQ53" i="32"/>
  <c r="AQ27" i="32"/>
  <c r="AQ42" i="32"/>
  <c r="AQ20" i="32"/>
  <c r="AQ7" i="32"/>
  <c r="AQ29" i="32"/>
  <c r="AQ19" i="32"/>
  <c r="AQ38" i="32"/>
  <c r="AQ22" i="32"/>
  <c r="AQ5" i="32"/>
  <c r="AQ9" i="32"/>
  <c r="AQ62" i="32"/>
  <c r="AQ37" i="32"/>
  <c r="AQ59" i="32"/>
  <c r="AQ23" i="32"/>
  <c r="AQ26" i="32"/>
  <c r="AQ24" i="32"/>
  <c r="AQ34" i="32"/>
  <c r="AQ30" i="32"/>
  <c r="AQ35" i="32"/>
  <c r="AQ18" i="32"/>
  <c r="AQ21" i="32"/>
  <c r="AQ17" i="32"/>
  <c r="AQ11" i="32"/>
  <c r="AQ15" i="32"/>
  <c r="AQ28" i="32"/>
  <c r="AQ51" i="32"/>
  <c r="AQ10" i="32"/>
  <c r="AQ43" i="32"/>
  <c r="AQ24" i="28"/>
  <c r="AQ5" i="28"/>
  <c r="AQ44" i="28"/>
  <c r="AQ34" i="28"/>
  <c r="AQ45" i="28"/>
  <c r="AQ6" i="28"/>
  <c r="AQ13" i="28"/>
  <c r="AQ7" i="28"/>
  <c r="AQ32" i="28"/>
  <c r="AQ4" i="28"/>
  <c r="AQ22" i="28"/>
  <c r="AQ55" i="28"/>
  <c r="AQ19" i="28"/>
  <c r="AQ27" i="28"/>
  <c r="AQ63" i="28"/>
  <c r="AQ49" i="28"/>
  <c r="AQ38" i="28"/>
  <c r="AQ15" i="28"/>
  <c r="AQ21" i="28"/>
  <c r="AQ18" i="28"/>
  <c r="AQ20" i="28"/>
  <c r="AQ10" i="28"/>
  <c r="AQ31" i="28"/>
  <c r="AQ12" i="28"/>
  <c r="AQ17" i="28"/>
  <c r="AQ36" i="28"/>
  <c r="AQ64" i="28"/>
  <c r="AQ47" i="28"/>
  <c r="AQ48" i="28"/>
  <c r="AQ28" i="28"/>
  <c r="AQ51" i="28"/>
  <c r="AQ40" i="28"/>
  <c r="AQ16" i="28"/>
  <c r="AQ62" i="28"/>
  <c r="AQ23" i="28"/>
  <c r="AQ50" i="28"/>
  <c r="AQ11" i="28"/>
  <c r="AQ58" i="28"/>
  <c r="AQ25" i="28"/>
  <c r="AQ14" i="28"/>
  <c r="AQ8" i="28"/>
  <c r="AQ59" i="28"/>
  <c r="AQ39" i="28"/>
  <c r="AQ43" i="28"/>
  <c r="AQ56" i="28"/>
  <c r="AQ57" i="28"/>
  <c r="AQ66" i="31"/>
  <c r="AQ7" i="18"/>
  <c r="AQ37" i="21"/>
  <c r="AQ35" i="28"/>
  <c r="AQ60" i="28"/>
  <c r="AQ29" i="28"/>
  <c r="AQ33" i="18"/>
  <c r="AQ25" i="29"/>
  <c r="AQ56" i="29"/>
  <c r="AQ36" i="29"/>
  <c r="AQ53" i="29"/>
  <c r="AQ58" i="29"/>
  <c r="AQ42" i="29"/>
  <c r="AQ16" i="29"/>
  <c r="AQ60" i="29"/>
  <c r="AQ40" i="29"/>
  <c r="AQ46" i="29"/>
  <c r="AQ35" i="29"/>
  <c r="AQ63" i="29"/>
  <c r="AQ13" i="29"/>
  <c r="AQ52" i="29"/>
  <c r="AQ65" i="29"/>
  <c r="AQ41" i="29"/>
  <c r="AQ54" i="29"/>
  <c r="AQ38" i="29"/>
  <c r="AQ47" i="29"/>
  <c r="AQ14" i="29"/>
  <c r="AQ5" i="29"/>
  <c r="AQ57" i="29"/>
  <c r="AQ12" i="29"/>
  <c r="AQ51" i="29"/>
  <c r="AQ39" i="29"/>
  <c r="AQ64" i="29"/>
  <c r="AQ48" i="29"/>
  <c r="AQ61" i="29"/>
  <c r="AQ37" i="29"/>
  <c r="AQ50" i="29"/>
  <c r="AQ34" i="29"/>
  <c r="AQ7" i="29"/>
  <c r="AQ62" i="29"/>
  <c r="AQ24" i="29"/>
  <c r="AQ22" i="29"/>
  <c r="AQ23" i="29"/>
  <c r="AQ6" i="29"/>
  <c r="AQ32" i="29"/>
  <c r="AQ19" i="29"/>
  <c r="AQ55" i="29"/>
  <c r="AQ4" i="29"/>
  <c r="AQ29" i="29"/>
  <c r="AQ59" i="29"/>
  <c r="AQ9" i="29"/>
  <c r="AQ26" i="29"/>
  <c r="AQ17" i="29"/>
  <c r="AQ31" i="29"/>
  <c r="AQ27" i="29"/>
  <c r="AQ45" i="29"/>
  <c r="AQ28" i="29"/>
  <c r="AQ15" i="29"/>
  <c r="AQ8" i="29"/>
  <c r="AQ11" i="29"/>
  <c r="AQ33" i="29"/>
  <c r="AQ10" i="29"/>
  <c r="AQ18" i="29"/>
  <c r="AQ44" i="29"/>
  <c r="AQ49" i="29"/>
  <c r="AQ20" i="29"/>
  <c r="AQ43" i="29"/>
  <c r="AQ21" i="29"/>
  <c r="AQ30" i="29"/>
  <c r="AQ4" i="30"/>
  <c r="AQ15" i="30"/>
  <c r="AQ11" i="30"/>
  <c r="AQ58" i="30"/>
  <c r="AQ42" i="30"/>
  <c r="AQ63" i="30"/>
  <c r="AQ47" i="30"/>
  <c r="AQ56" i="30"/>
  <c r="AQ40" i="30"/>
  <c r="AQ10" i="30"/>
  <c r="AQ5" i="30"/>
  <c r="AQ17" i="30"/>
  <c r="AQ16" i="30"/>
  <c r="AQ51" i="30"/>
  <c r="AQ29" i="30"/>
  <c r="AQ54" i="30"/>
  <c r="AQ38" i="30"/>
  <c r="AQ59" i="30"/>
  <c r="AQ43" i="30"/>
  <c r="AQ52" i="30"/>
  <c r="AQ32" i="30"/>
  <c r="AQ14" i="30"/>
  <c r="AQ46" i="30"/>
  <c r="AQ60" i="30"/>
  <c r="AQ13" i="30"/>
  <c r="AQ8" i="30"/>
  <c r="AQ7" i="30"/>
  <c r="AQ33" i="30"/>
  <c r="AQ50" i="30"/>
  <c r="AQ34" i="30"/>
  <c r="AQ55" i="30"/>
  <c r="AQ64" i="30"/>
  <c r="AQ48" i="30"/>
  <c r="AQ6" i="30"/>
  <c r="AQ9" i="30"/>
  <c r="AQ37" i="30"/>
  <c r="AQ62" i="30"/>
  <c r="AQ30" i="30"/>
  <c r="AQ44" i="30"/>
  <c r="AQ12" i="30"/>
  <c r="AQ21" i="30"/>
  <c r="AQ57" i="30"/>
  <c r="AQ19" i="30"/>
  <c r="AQ18" i="30"/>
  <c r="AQ39" i="30"/>
  <c r="AQ45" i="30"/>
  <c r="AQ31" i="30"/>
  <c r="AQ25" i="30"/>
  <c r="AQ49" i="30"/>
  <c r="AQ22" i="30"/>
  <c r="AQ65" i="30"/>
  <c r="AQ24" i="30"/>
  <c r="AQ23" i="30"/>
  <c r="AQ20" i="30"/>
  <c r="AQ26" i="30"/>
  <c r="AQ28" i="30"/>
  <c r="AQ41" i="30"/>
  <c r="AQ36" i="30"/>
  <c r="AQ61" i="30"/>
  <c r="AQ35" i="30"/>
  <c r="AQ53" i="30"/>
  <c r="AQ27" i="30"/>
  <c r="AQ36" i="18"/>
  <c r="AQ61" i="21"/>
  <c r="AQ31" i="21"/>
  <c r="AQ33" i="21"/>
  <c r="AQ38" i="21"/>
  <c r="AQ7" i="21"/>
  <c r="AQ56" i="21"/>
  <c r="AQ34" i="21"/>
  <c r="AQ11" i="21"/>
  <c r="AQ15" i="21"/>
  <c r="AQ26" i="21"/>
  <c r="AQ50" i="18"/>
  <c r="AQ62" i="18"/>
  <c r="AQ6" i="21"/>
  <c r="AQ44" i="21"/>
  <c r="AQ12" i="18"/>
  <c r="AQ52" i="18"/>
  <c r="AQ54" i="21"/>
  <c r="AQ48" i="21"/>
  <c r="AQ39" i="21"/>
  <c r="AQ8" i="21"/>
  <c r="AQ9" i="21"/>
  <c r="AQ51" i="21"/>
  <c r="AQ23" i="21"/>
  <c r="AQ62" i="21"/>
  <c r="AQ5" i="21"/>
  <c r="AQ27" i="21"/>
  <c r="AQ40" i="21"/>
  <c r="AQ19" i="21"/>
  <c r="AQ4" i="21"/>
  <c r="AQ55" i="21"/>
  <c r="AQ42" i="21"/>
  <c r="AQ17" i="21"/>
  <c r="AQ49" i="21"/>
  <c r="AQ65" i="21"/>
  <c r="AQ52" i="21"/>
  <c r="AQ50" i="21"/>
  <c r="AQ29" i="21"/>
  <c r="AQ45" i="21"/>
  <c r="AQ24" i="21"/>
  <c r="AQ57" i="21"/>
  <c r="AQ18" i="21"/>
  <c r="AQ25" i="21"/>
  <c r="AQ43" i="21"/>
  <c r="AQ47" i="21"/>
  <c r="AQ36" i="21"/>
  <c r="AQ58" i="21"/>
  <c r="AQ59" i="21"/>
  <c r="AQ20" i="21"/>
  <c r="AQ32" i="21"/>
  <c r="AQ60" i="21"/>
  <c r="AQ12" i="21"/>
  <c r="AQ28" i="21"/>
  <c r="AQ41" i="21"/>
  <c r="AQ46" i="21"/>
  <c r="AQ63" i="21"/>
  <c r="AQ16" i="21"/>
  <c r="AQ22" i="21"/>
  <c r="AQ53" i="21"/>
  <c r="AQ35" i="21"/>
  <c r="AQ21" i="21"/>
  <c r="AQ30" i="21"/>
  <c r="AQ10" i="21"/>
  <c r="AQ64" i="21"/>
  <c r="AQ14" i="21"/>
  <c r="AQ59" i="22"/>
  <c r="AQ17" i="22"/>
  <c r="AQ9" i="22"/>
  <c r="AQ65" i="22"/>
  <c r="AQ62" i="22"/>
  <c r="AQ61" i="22"/>
  <c r="AQ48" i="22"/>
  <c r="AQ49" i="22"/>
  <c r="AQ42" i="22"/>
  <c r="AQ34" i="22"/>
  <c r="AQ10" i="22"/>
  <c r="AQ28" i="22"/>
  <c r="AQ18" i="22"/>
  <c r="AQ6" i="22"/>
  <c r="AQ24" i="22"/>
  <c r="AQ27" i="22"/>
  <c r="AQ43" i="22"/>
  <c r="AQ23" i="22"/>
  <c r="AQ47" i="22"/>
  <c r="AQ14" i="22"/>
  <c r="AQ15" i="22"/>
  <c r="AQ54" i="22"/>
  <c r="AQ55" i="22"/>
  <c r="AQ4" i="22"/>
  <c r="AQ30" i="22"/>
  <c r="AQ52" i="22"/>
  <c r="AQ58" i="22"/>
  <c r="AQ37" i="22"/>
  <c r="AQ53" i="22"/>
  <c r="AQ50" i="22"/>
  <c r="AQ57" i="22"/>
  <c r="AQ45" i="22"/>
  <c r="AQ44" i="22"/>
  <c r="AQ21" i="22"/>
  <c r="AQ5" i="22"/>
  <c r="AQ63" i="22"/>
  <c r="AQ36" i="22"/>
  <c r="AQ51" i="22"/>
  <c r="AQ35" i="22"/>
  <c r="AQ56" i="22"/>
  <c r="AQ41" i="22"/>
  <c r="AQ46" i="22"/>
  <c r="AQ39" i="22"/>
  <c r="AQ12" i="22"/>
  <c r="AQ13" i="22"/>
  <c r="AQ29" i="22"/>
  <c r="AQ64" i="22"/>
  <c r="AQ22" i="22"/>
  <c r="AQ38" i="22"/>
  <c r="AQ60" i="22"/>
  <c r="AQ40" i="22"/>
  <c r="AQ33" i="22"/>
  <c r="AQ8" i="22"/>
  <c r="AQ26" i="22"/>
  <c r="AQ19" i="22"/>
  <c r="AQ25" i="22"/>
  <c r="AQ16" i="22"/>
  <c r="AQ32" i="22"/>
  <c r="AQ31" i="22"/>
  <c r="AQ20" i="22"/>
  <c r="AQ7" i="22"/>
  <c r="AQ11" i="22"/>
  <c r="AQ22" i="27"/>
  <c r="AQ43" i="27"/>
  <c r="AQ38" i="27"/>
  <c r="AQ36" i="27"/>
  <c r="AQ34" i="27"/>
  <c r="AQ62" i="27"/>
  <c r="AQ48" i="27"/>
  <c r="AQ42" i="27"/>
  <c r="AQ45" i="27"/>
  <c r="AQ23" i="27"/>
  <c r="AQ58" i="27"/>
  <c r="AQ51" i="27"/>
  <c r="AQ55" i="27"/>
  <c r="AQ18" i="27"/>
  <c r="AQ21" i="27"/>
  <c r="AQ53" i="27"/>
  <c r="AQ31" i="27"/>
  <c r="AQ19" i="27"/>
  <c r="AQ16" i="27"/>
  <c r="AQ40" i="27"/>
  <c r="AQ28" i="27"/>
  <c r="AQ13" i="27"/>
  <c r="AQ37" i="27"/>
  <c r="AQ32" i="27"/>
  <c r="AQ57" i="27"/>
  <c r="AQ49" i="27"/>
  <c r="AQ17" i="27"/>
  <c r="AQ30" i="27"/>
  <c r="AQ15" i="27"/>
  <c r="AQ56" i="27"/>
  <c r="AQ12" i="27"/>
  <c r="AQ6" i="27"/>
  <c r="AQ41" i="27"/>
  <c r="AQ59" i="27"/>
  <c r="AQ47" i="27"/>
  <c r="AQ5" i="27"/>
  <c r="AQ26" i="27"/>
  <c r="AQ60" i="27"/>
  <c r="AQ4" i="27"/>
  <c r="AQ24" i="27"/>
  <c r="AQ7" i="27"/>
  <c r="AQ64" i="27"/>
  <c r="AQ50" i="27"/>
  <c r="AQ52" i="27"/>
  <c r="AQ44" i="27"/>
  <c r="AQ29" i="27"/>
  <c r="AQ9" i="27"/>
  <c r="AQ54" i="27"/>
  <c r="AQ27" i="27"/>
  <c r="AQ33" i="27"/>
  <c r="AQ65" i="27"/>
  <c r="AQ20" i="27"/>
  <c r="AQ10" i="27"/>
  <c r="AQ63" i="27"/>
  <c r="AQ35" i="27"/>
  <c r="AQ61" i="27"/>
  <c r="AQ14" i="27"/>
  <c r="AQ25" i="27"/>
  <c r="AQ11" i="27"/>
  <c r="AQ8" i="27"/>
  <c r="AQ46" i="27"/>
  <c r="AQ39" i="27"/>
  <c r="AQ29" i="26"/>
  <c r="AQ11" i="26"/>
  <c r="AQ4" i="26"/>
  <c r="AQ20" i="26"/>
  <c r="AQ33" i="26"/>
  <c r="AQ60" i="26"/>
  <c r="AQ21" i="26"/>
  <c r="AQ28" i="26"/>
  <c r="AQ63" i="26"/>
  <c r="AQ59" i="26"/>
  <c r="AQ53" i="26"/>
  <c r="AQ40" i="26"/>
  <c r="AQ35" i="26"/>
  <c r="AQ26" i="26"/>
  <c r="AQ30" i="26"/>
  <c r="AQ27" i="26"/>
  <c r="AQ44" i="26"/>
  <c r="AQ12" i="26"/>
  <c r="AQ54" i="26"/>
  <c r="AQ49" i="26"/>
  <c r="AQ19" i="26"/>
  <c r="AQ39" i="26"/>
  <c r="AQ62" i="26"/>
  <c r="AQ58" i="26"/>
  <c r="AQ51" i="26"/>
  <c r="AQ5" i="26"/>
  <c r="AQ14" i="26"/>
  <c r="AQ7" i="26"/>
  <c r="AQ65" i="26"/>
  <c r="AQ9" i="26"/>
  <c r="AQ37" i="26"/>
  <c r="AQ64" i="26"/>
  <c r="AQ41" i="26"/>
  <c r="AQ61" i="26"/>
  <c r="AQ48" i="26"/>
  <c r="AQ47" i="26"/>
  <c r="AQ46" i="26"/>
  <c r="AQ15" i="26"/>
  <c r="AQ23" i="26"/>
  <c r="AQ24" i="26"/>
  <c r="AQ18" i="26"/>
  <c r="AQ55" i="26"/>
  <c r="AQ10" i="26"/>
  <c r="AQ31" i="26"/>
  <c r="AQ6" i="26"/>
  <c r="AQ36" i="26"/>
  <c r="AQ8" i="26"/>
  <c r="AQ34" i="26"/>
  <c r="AQ25" i="26"/>
  <c r="AQ45" i="26"/>
  <c r="AQ22" i="26"/>
  <c r="AQ57" i="26"/>
  <c r="AQ56" i="26"/>
  <c r="AQ38" i="26"/>
  <c r="AQ13" i="26"/>
  <c r="AQ16" i="26"/>
  <c r="AQ17" i="26"/>
  <c r="AQ43" i="26"/>
  <c r="AQ52" i="26"/>
  <c r="AQ32" i="26"/>
  <c r="AQ42" i="26"/>
  <c r="AQ50" i="26"/>
  <c r="AQ11" i="18"/>
  <c r="AQ4" i="18"/>
  <c r="AQ65" i="18"/>
  <c r="AQ47" i="18"/>
  <c r="AQ17" i="18"/>
  <c r="AQ56" i="18"/>
  <c r="AQ44" i="18"/>
  <c r="AQ18" i="18"/>
  <c r="AQ13" i="18"/>
  <c r="AQ37" i="18"/>
  <c r="AQ48" i="18"/>
  <c r="AQ54" i="18"/>
  <c r="AQ51" i="18"/>
  <c r="AQ6" i="18"/>
  <c r="AQ10" i="18"/>
  <c r="AQ8" i="18"/>
  <c r="AQ43" i="18"/>
  <c r="AQ23" i="18"/>
  <c r="AQ41" i="18"/>
  <c r="AQ42" i="18"/>
  <c r="AQ39" i="18"/>
  <c r="AQ32" i="18"/>
  <c r="AQ40" i="18"/>
  <c r="AQ24" i="18"/>
  <c r="AQ5" i="18"/>
  <c r="AQ59" i="18"/>
  <c r="AQ53" i="18"/>
  <c r="AQ31" i="18"/>
  <c r="AQ63" i="18"/>
  <c r="AQ57" i="18"/>
  <c r="AQ21" i="18"/>
  <c r="AQ58" i="18"/>
  <c r="AQ19" i="18"/>
  <c r="AQ26" i="18"/>
  <c r="AQ60" i="18"/>
  <c r="AQ35" i="18"/>
  <c r="AQ15" i="18"/>
  <c r="AQ16" i="18"/>
  <c r="AQ38" i="18"/>
  <c r="AQ27" i="18"/>
  <c r="AQ30" i="18"/>
  <c r="AQ20" i="18"/>
  <c r="AQ29" i="18"/>
  <c r="AQ34" i="18"/>
  <c r="AQ28" i="18"/>
  <c r="AQ14" i="18"/>
  <c r="AQ45" i="18"/>
  <c r="AQ9" i="18"/>
  <c r="AQ46" i="18"/>
  <c r="AQ22" i="18"/>
  <c r="AQ61" i="18"/>
  <c r="AQ25" i="18"/>
  <c r="AQ55" i="18"/>
  <c r="AQ49" i="18"/>
  <c r="AQ63" i="19"/>
  <c r="AQ64" i="19"/>
  <c r="AQ65" i="19"/>
  <c r="AQ62" i="19"/>
  <c r="AQ59" i="19"/>
  <c r="AQ58" i="19"/>
  <c r="AQ54" i="19"/>
  <c r="AQ61" i="19"/>
  <c r="AQ57" i="19"/>
  <c r="AQ55" i="19"/>
  <c r="AQ50" i="19"/>
  <c r="AQ51" i="19"/>
  <c r="AQ53" i="19"/>
  <c r="AQ14" i="19"/>
  <c r="AQ60" i="19"/>
  <c r="AQ56" i="19"/>
  <c r="AQ31" i="19"/>
  <c r="AQ23" i="19"/>
  <c r="AQ26" i="19"/>
  <c r="AQ33" i="19"/>
  <c r="AQ49" i="19"/>
  <c r="AQ12" i="19"/>
  <c r="AQ15" i="19"/>
  <c r="AQ34" i="19"/>
  <c r="AQ39" i="19"/>
  <c r="AQ29" i="19"/>
  <c r="AQ35" i="19"/>
  <c r="AQ40" i="19"/>
  <c r="AQ43" i="19"/>
  <c r="AQ38" i="19"/>
  <c r="AQ17" i="19"/>
  <c r="AQ30" i="19"/>
  <c r="AQ52" i="19"/>
  <c r="AQ27" i="19"/>
  <c r="AQ41" i="19"/>
  <c r="AQ13" i="19"/>
  <c r="AQ36" i="19"/>
  <c r="AQ21" i="19"/>
  <c r="AQ20" i="19"/>
  <c r="AQ25" i="19"/>
  <c r="AQ28" i="19"/>
  <c r="AQ48" i="19"/>
  <c r="AQ18" i="19"/>
  <c r="AQ46" i="19"/>
  <c r="AQ10" i="19"/>
  <c r="AQ6" i="19"/>
  <c r="AQ4" i="19"/>
  <c r="AQ37" i="19"/>
  <c r="AQ5" i="19"/>
  <c r="AQ32" i="19"/>
  <c r="AQ47" i="19"/>
  <c r="AQ11" i="19"/>
  <c r="AQ8" i="19"/>
  <c r="AQ45" i="19"/>
  <c r="AQ19" i="19"/>
  <c r="AQ16" i="19"/>
  <c r="AQ9" i="19"/>
  <c r="AQ22" i="19"/>
  <c r="AQ24" i="19"/>
  <c r="AQ44" i="19"/>
  <c r="AQ42" i="19"/>
  <c r="AQ7" i="19"/>
  <c r="AQ64" i="20"/>
  <c r="AQ62" i="20"/>
  <c r="AQ59" i="20"/>
  <c r="AQ52" i="20"/>
  <c r="AQ61" i="20"/>
  <c r="AQ58" i="20"/>
  <c r="AQ55" i="20"/>
  <c r="AQ60" i="20"/>
  <c r="AQ57" i="20"/>
  <c r="AQ54" i="20"/>
  <c r="AQ51" i="20"/>
  <c r="AQ48" i="20"/>
  <c r="AQ63" i="20"/>
  <c r="AQ50" i="20"/>
  <c r="AQ56" i="20"/>
  <c r="AQ65" i="20"/>
  <c r="AQ14" i="20"/>
  <c r="AQ17" i="20"/>
  <c r="AQ20" i="20"/>
  <c r="AQ40" i="20"/>
  <c r="AQ27" i="20"/>
  <c r="AQ42" i="20"/>
  <c r="AQ18" i="20"/>
  <c r="AQ32" i="20"/>
  <c r="AQ10" i="20"/>
  <c r="AQ15" i="20"/>
  <c r="AQ33" i="20"/>
  <c r="AQ37" i="20"/>
  <c r="AQ53" i="20"/>
  <c r="AQ36" i="20"/>
  <c r="AQ23" i="20"/>
  <c r="AQ47" i="20"/>
  <c r="AQ45" i="20"/>
  <c r="AQ5" i="20"/>
  <c r="AQ39" i="20"/>
  <c r="AQ8" i="20"/>
  <c r="AQ28" i="20"/>
  <c r="AQ11" i="20"/>
  <c r="AQ4" i="20"/>
  <c r="AQ29" i="20"/>
  <c r="AQ26" i="20"/>
  <c r="AQ16" i="20"/>
  <c r="AQ9" i="20"/>
  <c r="AQ7" i="20"/>
  <c r="AQ43" i="20"/>
  <c r="AQ35" i="20"/>
  <c r="AQ31" i="20"/>
  <c r="AQ13" i="20"/>
  <c r="AQ19" i="20"/>
  <c r="AQ22" i="20"/>
  <c r="AQ25" i="20"/>
  <c r="AQ46" i="20"/>
  <c r="AQ24" i="20"/>
  <c r="AQ12" i="20"/>
  <c r="AQ6" i="20"/>
  <c r="AQ41" i="20"/>
  <c r="AQ44" i="20"/>
  <c r="AQ34" i="20"/>
  <c r="AQ21" i="20"/>
  <c r="AQ38" i="20"/>
  <c r="AQ49" i="20"/>
  <c r="AQ30" i="20"/>
  <c r="A61" i="18"/>
  <c r="B63" i="18"/>
  <c r="B64" i="18"/>
  <c r="A64" i="18" s="1"/>
  <c r="A62" i="18"/>
  <c r="G5" i="17"/>
  <c r="H5" i="17"/>
  <c r="G6" i="17"/>
  <c r="AN6" i="17" s="1"/>
  <c r="H6" i="17"/>
  <c r="AO6" i="17" s="1"/>
  <c r="G7" i="17"/>
  <c r="AN7" i="17" s="1"/>
  <c r="H7" i="17"/>
  <c r="AO7" i="17" s="1"/>
  <c r="G8" i="17"/>
  <c r="AN8" i="17" s="1"/>
  <c r="H8" i="17"/>
  <c r="AO8" i="17" s="1"/>
  <c r="G9" i="17"/>
  <c r="AN9" i="17" s="1"/>
  <c r="H9" i="17"/>
  <c r="AO9" i="17" s="1"/>
  <c r="G10" i="17"/>
  <c r="AN10" i="17" s="1"/>
  <c r="H10" i="17"/>
  <c r="AO10" i="17" s="1"/>
  <c r="G11" i="17"/>
  <c r="AN11" i="17" s="1"/>
  <c r="H11" i="17"/>
  <c r="AO11" i="17" s="1"/>
  <c r="G12" i="17"/>
  <c r="AN12" i="17" s="1"/>
  <c r="H12" i="17"/>
  <c r="AO12" i="17" s="1"/>
  <c r="G13" i="17"/>
  <c r="AN13" i="17" s="1"/>
  <c r="H13" i="17"/>
  <c r="AO13" i="17" s="1"/>
  <c r="G14" i="17"/>
  <c r="AN14" i="17" s="1"/>
  <c r="H14" i="17"/>
  <c r="AO14" i="17" s="1"/>
  <c r="G15" i="17"/>
  <c r="AN15" i="17" s="1"/>
  <c r="H15" i="17"/>
  <c r="AO15" i="17" s="1"/>
  <c r="G16" i="17"/>
  <c r="AN16" i="17" s="1"/>
  <c r="H16" i="17"/>
  <c r="AO16" i="17" s="1"/>
  <c r="G17" i="17"/>
  <c r="AN17" i="17" s="1"/>
  <c r="H17" i="17"/>
  <c r="AO17" i="17" s="1"/>
  <c r="G18" i="17"/>
  <c r="AN18" i="17" s="1"/>
  <c r="H18" i="17"/>
  <c r="AO18" i="17" s="1"/>
  <c r="G19" i="17"/>
  <c r="AN19" i="17" s="1"/>
  <c r="H19" i="17"/>
  <c r="AO19" i="17" s="1"/>
  <c r="G20" i="17"/>
  <c r="AN20" i="17" s="1"/>
  <c r="H20" i="17"/>
  <c r="AO20" i="17" s="1"/>
  <c r="G21" i="17"/>
  <c r="AN21" i="17" s="1"/>
  <c r="H21" i="17"/>
  <c r="AO21" i="17" s="1"/>
  <c r="G22" i="17"/>
  <c r="AN22" i="17" s="1"/>
  <c r="H22" i="17"/>
  <c r="AO22" i="17" s="1"/>
  <c r="G23" i="17"/>
  <c r="AN23" i="17" s="1"/>
  <c r="H23" i="17"/>
  <c r="AO23" i="17" s="1"/>
  <c r="G24" i="17"/>
  <c r="AN24" i="17" s="1"/>
  <c r="H24" i="17"/>
  <c r="AO24" i="17" s="1"/>
  <c r="G25" i="17"/>
  <c r="AN25" i="17" s="1"/>
  <c r="H25" i="17"/>
  <c r="AO25" i="17" s="1"/>
  <c r="G26" i="17"/>
  <c r="AN26" i="17" s="1"/>
  <c r="H26" i="17"/>
  <c r="AO26" i="17" s="1"/>
  <c r="G27" i="17"/>
  <c r="AN27" i="17" s="1"/>
  <c r="H27" i="17"/>
  <c r="AO27" i="17" s="1"/>
  <c r="G28" i="17"/>
  <c r="AN28" i="17" s="1"/>
  <c r="H28" i="17"/>
  <c r="AO28" i="17" s="1"/>
  <c r="G29" i="17"/>
  <c r="AN29" i="17" s="1"/>
  <c r="H29" i="17"/>
  <c r="AO29" i="17" s="1"/>
  <c r="G30" i="17"/>
  <c r="AN30" i="17" s="1"/>
  <c r="H30" i="17"/>
  <c r="AO30" i="17" s="1"/>
  <c r="G31" i="17"/>
  <c r="AN31" i="17" s="1"/>
  <c r="H31" i="17"/>
  <c r="AO31" i="17" s="1"/>
  <c r="G32" i="17"/>
  <c r="AN32" i="17" s="1"/>
  <c r="H32" i="17"/>
  <c r="AO32" i="17" s="1"/>
  <c r="G33" i="17"/>
  <c r="AN33" i="17" s="1"/>
  <c r="H33" i="17"/>
  <c r="AO33" i="17" s="1"/>
  <c r="G34" i="17"/>
  <c r="AN34" i="17" s="1"/>
  <c r="H34" i="17"/>
  <c r="AO34" i="17" s="1"/>
  <c r="G35" i="17"/>
  <c r="AN35" i="17" s="1"/>
  <c r="H35" i="17"/>
  <c r="AO35" i="17" s="1"/>
  <c r="G36" i="17"/>
  <c r="AN36" i="17" s="1"/>
  <c r="H36" i="17"/>
  <c r="AO36" i="17" s="1"/>
  <c r="G37" i="17"/>
  <c r="AN37" i="17" s="1"/>
  <c r="H37" i="17"/>
  <c r="AO37" i="17" s="1"/>
  <c r="G38" i="17"/>
  <c r="AN38" i="17" s="1"/>
  <c r="H38" i="17"/>
  <c r="AO38" i="17" s="1"/>
  <c r="G39" i="17"/>
  <c r="AN39" i="17" s="1"/>
  <c r="H39" i="17"/>
  <c r="AO39" i="17" s="1"/>
  <c r="G40" i="17"/>
  <c r="AN40" i="17" s="1"/>
  <c r="H40" i="17"/>
  <c r="AO40" i="17" s="1"/>
  <c r="G41" i="17"/>
  <c r="AN41" i="17" s="1"/>
  <c r="H41" i="17"/>
  <c r="AO41" i="17" s="1"/>
  <c r="G42" i="17"/>
  <c r="AN42" i="17" s="1"/>
  <c r="H42" i="17"/>
  <c r="AO42" i="17" s="1"/>
  <c r="G43" i="17"/>
  <c r="AN43" i="17" s="1"/>
  <c r="H43" i="17"/>
  <c r="AO43" i="17" s="1"/>
  <c r="G44" i="17"/>
  <c r="AN44" i="17" s="1"/>
  <c r="H44" i="17"/>
  <c r="AO44" i="17" s="1"/>
  <c r="G45" i="17"/>
  <c r="AN45" i="17" s="1"/>
  <c r="H45" i="17"/>
  <c r="AO45" i="17" s="1"/>
  <c r="G46" i="17"/>
  <c r="AN46" i="17" s="1"/>
  <c r="H46" i="17"/>
  <c r="AO46" i="17" s="1"/>
  <c r="G47" i="17"/>
  <c r="AN47" i="17" s="1"/>
  <c r="H47" i="17"/>
  <c r="AO47" i="17" s="1"/>
  <c r="G48" i="17"/>
  <c r="AN48" i="17" s="1"/>
  <c r="H48" i="17"/>
  <c r="AO48" i="17" s="1"/>
  <c r="G49" i="17"/>
  <c r="AN49" i="17" s="1"/>
  <c r="H49" i="17"/>
  <c r="AO49" i="17" s="1"/>
  <c r="G50" i="17"/>
  <c r="AN50" i="17" s="1"/>
  <c r="H50" i="17"/>
  <c r="AO50" i="17" s="1"/>
  <c r="G51" i="17"/>
  <c r="AN51" i="17" s="1"/>
  <c r="H51" i="17"/>
  <c r="AO51" i="17" s="1"/>
  <c r="G52" i="17"/>
  <c r="AN52" i="17" s="1"/>
  <c r="H52" i="17"/>
  <c r="AO52" i="17" s="1"/>
  <c r="G53" i="17"/>
  <c r="AN53" i="17" s="1"/>
  <c r="H53" i="17"/>
  <c r="AO53" i="17" s="1"/>
  <c r="G54" i="17"/>
  <c r="AN54" i="17" s="1"/>
  <c r="H54" i="17"/>
  <c r="AO54" i="17" s="1"/>
  <c r="G55" i="17"/>
  <c r="AN55" i="17" s="1"/>
  <c r="H55" i="17"/>
  <c r="AO55" i="17" s="1"/>
  <c r="G56" i="17"/>
  <c r="AN56" i="17" s="1"/>
  <c r="H56" i="17"/>
  <c r="AO56" i="17" s="1"/>
  <c r="G57" i="17"/>
  <c r="AN57" i="17" s="1"/>
  <c r="H57" i="17"/>
  <c r="AO57" i="17" s="1"/>
  <c r="G58" i="17"/>
  <c r="AN58" i="17" s="1"/>
  <c r="H58" i="17"/>
  <c r="AO58" i="17" s="1"/>
  <c r="G59" i="17"/>
  <c r="AN59" i="17" s="1"/>
  <c r="H59" i="17"/>
  <c r="AO59" i="17" s="1"/>
  <c r="G60" i="17"/>
  <c r="AN60" i="17" s="1"/>
  <c r="H60" i="17"/>
  <c r="AO60" i="17" s="1"/>
  <c r="G61" i="17"/>
  <c r="AN61" i="17" s="1"/>
  <c r="H61" i="17"/>
  <c r="AO61" i="17" s="1"/>
  <c r="G62" i="17"/>
  <c r="AN62" i="17" s="1"/>
  <c r="H62" i="17"/>
  <c r="AO62" i="17" s="1"/>
  <c r="G63" i="17"/>
  <c r="AN63" i="17" s="1"/>
  <c r="H63" i="17"/>
  <c r="AO63" i="17" s="1"/>
  <c r="G64" i="17"/>
  <c r="AN64" i="17" s="1"/>
  <c r="H64" i="17"/>
  <c r="AO64" i="17" s="1"/>
  <c r="G65" i="17"/>
  <c r="AN65" i="17" s="1"/>
  <c r="H65" i="17"/>
  <c r="AO65" i="17" s="1"/>
  <c r="AQ66" i="32" l="1"/>
  <c r="AW25" i="19"/>
  <c r="AW59" i="19"/>
  <c r="AW65" i="19"/>
  <c r="AW45" i="19"/>
  <c r="AW21" i="27"/>
  <c r="AW35" i="27"/>
  <c r="AQ66" i="28"/>
  <c r="AQ66" i="22"/>
  <c r="AQ66" i="29"/>
  <c r="AQ66" i="30"/>
  <c r="AW17" i="19"/>
  <c r="AQ66" i="21"/>
  <c r="AW65" i="26"/>
  <c r="AW47" i="26"/>
  <c r="AW53" i="26"/>
  <c r="AW33" i="26"/>
  <c r="AW61" i="26"/>
  <c r="AQ66" i="26"/>
  <c r="AW39" i="27"/>
  <c r="AW41" i="27"/>
  <c r="AW49" i="26"/>
  <c r="AW39" i="26"/>
  <c r="AW53" i="27"/>
  <c r="AW55" i="27"/>
  <c r="AW19" i="26"/>
  <c r="AQ66" i="27"/>
  <c r="AW61" i="27"/>
  <c r="AQ66" i="18"/>
  <c r="AQ66" i="19"/>
  <c r="AQ66" i="20"/>
  <c r="A63" i="18"/>
  <c r="B65" i="18"/>
  <c r="A65" i="18" s="1"/>
  <c r="AA10" i="10"/>
  <c r="AB10" i="10"/>
  <c r="AF10" i="10"/>
  <c r="AG10" i="10"/>
  <c r="AA11" i="10"/>
  <c r="AB11" i="10"/>
  <c r="AF11" i="10"/>
  <c r="AG11" i="10"/>
  <c r="AA12" i="10"/>
  <c r="AB12" i="10"/>
  <c r="AF12" i="10"/>
  <c r="AG12" i="10"/>
  <c r="AA13" i="10"/>
  <c r="AB13" i="10"/>
  <c r="AF13" i="10"/>
  <c r="AG13" i="10"/>
  <c r="AA14" i="10"/>
  <c r="AB14" i="10"/>
  <c r="AF14" i="10"/>
  <c r="AG14" i="10"/>
  <c r="AA15" i="10"/>
  <c r="AB15" i="10"/>
  <c r="AF15" i="10"/>
  <c r="AG15" i="10"/>
  <c r="AA16" i="10"/>
  <c r="AB16" i="10"/>
  <c r="AF16" i="10"/>
  <c r="AG16" i="10"/>
  <c r="AA17" i="10"/>
  <c r="AB17" i="10"/>
  <c r="AF17" i="10"/>
  <c r="AG17" i="10"/>
  <c r="N35" i="1" l="1"/>
  <c r="AA64" i="4" l="1"/>
  <c r="AA65" i="4"/>
  <c r="G4" i="3" l="1"/>
  <c r="H4" i="3"/>
  <c r="AK5" i="10" l="1"/>
  <c r="AL5" i="10"/>
  <c r="AK6" i="10"/>
  <c r="AL6" i="10"/>
  <c r="AK7" i="10"/>
  <c r="AL7" i="10"/>
  <c r="AK8" i="10"/>
  <c r="AL8" i="10"/>
  <c r="AK9" i="10"/>
  <c r="AL9" i="10"/>
  <c r="AK10" i="10"/>
  <c r="AL10" i="10"/>
  <c r="AK11" i="10"/>
  <c r="AL11" i="10"/>
  <c r="AK12" i="10"/>
  <c r="AL12" i="10"/>
  <c r="AK13" i="10"/>
  <c r="AL13" i="10"/>
  <c r="AK14" i="10"/>
  <c r="AL14" i="10"/>
  <c r="AK15" i="10"/>
  <c r="AL15" i="10"/>
  <c r="AK16" i="10"/>
  <c r="AL16" i="10"/>
  <c r="AK17" i="10"/>
  <c r="AL17" i="10"/>
  <c r="AK18" i="10"/>
  <c r="AL18" i="10"/>
  <c r="AK19" i="10"/>
  <c r="AL19" i="10"/>
  <c r="AK20" i="10"/>
  <c r="AL20" i="10"/>
  <c r="AK21" i="10"/>
  <c r="AL21" i="10"/>
  <c r="AK22" i="10"/>
  <c r="AL22" i="10"/>
  <c r="AK23" i="10"/>
  <c r="AL23" i="10"/>
  <c r="AK24" i="10"/>
  <c r="AL24" i="10"/>
  <c r="AK25" i="10"/>
  <c r="AL25" i="10"/>
  <c r="AK26" i="10"/>
  <c r="AL26" i="10"/>
  <c r="AK27" i="10"/>
  <c r="AL27" i="10"/>
  <c r="AK28" i="10"/>
  <c r="AL28" i="10"/>
  <c r="AK29" i="10"/>
  <c r="AL29" i="10"/>
  <c r="AK30" i="10"/>
  <c r="AL30" i="10"/>
  <c r="AK31" i="10"/>
  <c r="AL31" i="10"/>
  <c r="AK32" i="10"/>
  <c r="AL32" i="10"/>
  <c r="AK33" i="10"/>
  <c r="AL33" i="10"/>
  <c r="AK34" i="10"/>
  <c r="AL34" i="10"/>
  <c r="AK35" i="10"/>
  <c r="AL35" i="10"/>
  <c r="AK36" i="10"/>
  <c r="AL36" i="10"/>
  <c r="AK37" i="10"/>
  <c r="AL37" i="10"/>
  <c r="AK38" i="10"/>
  <c r="AL38" i="10"/>
  <c r="AK39" i="10"/>
  <c r="AL39" i="10"/>
  <c r="AK40" i="10"/>
  <c r="AL40" i="10"/>
  <c r="AK41" i="10"/>
  <c r="AL41" i="10"/>
  <c r="AK42" i="10"/>
  <c r="AL42" i="10"/>
  <c r="AK43" i="10"/>
  <c r="AL43" i="10"/>
  <c r="AK44" i="10"/>
  <c r="AL44" i="10"/>
  <c r="AK45" i="10"/>
  <c r="AL45" i="10"/>
  <c r="AK46" i="10"/>
  <c r="AL46" i="10"/>
  <c r="AK47" i="10"/>
  <c r="AL47" i="10"/>
  <c r="AK48" i="10"/>
  <c r="AL48" i="10"/>
  <c r="AK49" i="10"/>
  <c r="AL49" i="10"/>
  <c r="AK50" i="10"/>
  <c r="AL50" i="10"/>
  <c r="AK51" i="10"/>
  <c r="AL51" i="10"/>
  <c r="AK52" i="10"/>
  <c r="AL52" i="10"/>
  <c r="AK53" i="10"/>
  <c r="AL53" i="10"/>
  <c r="AK54" i="10"/>
  <c r="AL54" i="10"/>
  <c r="AK55" i="10"/>
  <c r="AL55" i="10"/>
  <c r="AK56" i="10"/>
  <c r="AL56" i="10"/>
  <c r="AK57" i="10"/>
  <c r="AL57" i="10"/>
  <c r="AK58" i="10"/>
  <c r="AL58" i="10"/>
  <c r="AK59" i="10"/>
  <c r="AL59" i="10"/>
  <c r="AK60" i="10"/>
  <c r="AL60" i="10"/>
  <c r="AK61" i="10"/>
  <c r="AL61" i="10"/>
  <c r="AK62" i="10"/>
  <c r="AL62" i="10"/>
  <c r="AK63" i="10"/>
  <c r="AL63" i="10"/>
  <c r="AK64" i="10"/>
  <c r="AL64" i="10"/>
  <c r="AK65" i="10"/>
  <c r="AL65" i="10"/>
  <c r="AF5" i="10"/>
  <c r="AG5" i="10"/>
  <c r="AF6" i="10"/>
  <c r="AG6" i="10"/>
  <c r="AF7" i="10"/>
  <c r="AG7" i="10"/>
  <c r="AF8" i="10"/>
  <c r="AG8" i="10"/>
  <c r="AF9" i="10"/>
  <c r="AG9" i="10"/>
  <c r="AF26" i="10"/>
  <c r="AG26" i="10"/>
  <c r="AF27" i="10"/>
  <c r="AG27" i="10"/>
  <c r="AF28" i="10"/>
  <c r="AG28" i="10"/>
  <c r="AF29" i="10"/>
  <c r="AG29" i="10"/>
  <c r="AF30" i="10"/>
  <c r="AG30" i="10"/>
  <c r="AF31" i="10"/>
  <c r="AG31" i="10"/>
  <c r="AF32" i="10"/>
  <c r="AG32" i="10"/>
  <c r="AF33" i="10"/>
  <c r="AG33" i="10"/>
  <c r="AF34" i="10"/>
  <c r="AG34" i="10"/>
  <c r="AF35" i="10"/>
  <c r="AG35" i="10"/>
  <c r="AF36" i="10"/>
  <c r="AG36" i="10"/>
  <c r="AF37" i="10"/>
  <c r="AG37" i="10"/>
  <c r="AF38" i="10"/>
  <c r="AG38" i="10"/>
  <c r="AF39" i="10"/>
  <c r="AG39" i="10"/>
  <c r="AF40" i="10"/>
  <c r="AG40" i="10"/>
  <c r="AF41" i="10"/>
  <c r="AG41" i="10"/>
  <c r="AF42" i="10"/>
  <c r="AG42" i="10"/>
  <c r="AF43" i="10"/>
  <c r="AG43" i="10"/>
  <c r="AF44" i="10"/>
  <c r="AG44" i="10"/>
  <c r="AF45" i="10"/>
  <c r="AG45" i="10"/>
  <c r="AF46" i="10"/>
  <c r="AG46" i="10"/>
  <c r="AF47" i="10"/>
  <c r="AG47" i="10"/>
  <c r="AF48" i="10"/>
  <c r="AG48" i="10"/>
  <c r="AF49" i="10"/>
  <c r="AG49" i="10"/>
  <c r="AF50" i="10"/>
  <c r="AG50" i="10"/>
  <c r="AF51" i="10"/>
  <c r="AG51" i="10"/>
  <c r="AF52" i="10"/>
  <c r="AG52" i="10"/>
  <c r="AF53" i="10"/>
  <c r="AG53" i="10"/>
  <c r="AF54" i="10"/>
  <c r="AG54" i="10"/>
  <c r="AF55" i="10"/>
  <c r="AG55" i="10"/>
  <c r="AF56" i="10"/>
  <c r="AG56" i="10"/>
  <c r="AF57" i="10"/>
  <c r="AG57" i="10"/>
  <c r="AF58" i="10"/>
  <c r="AG58" i="10"/>
  <c r="AF59" i="10"/>
  <c r="AG59" i="10"/>
  <c r="AF60" i="10"/>
  <c r="AG60" i="10"/>
  <c r="AF61" i="10"/>
  <c r="AG61" i="10"/>
  <c r="AF62" i="10"/>
  <c r="AG62" i="10"/>
  <c r="AF63" i="10"/>
  <c r="AG63" i="10"/>
  <c r="AF64" i="10"/>
  <c r="AG64" i="10"/>
  <c r="AF65" i="10"/>
  <c r="AG65" i="10"/>
  <c r="AA5" i="10"/>
  <c r="AB5" i="10"/>
  <c r="AA6" i="10"/>
  <c r="AB6" i="10"/>
  <c r="AA7" i="10"/>
  <c r="AB7" i="10"/>
  <c r="AA8" i="10"/>
  <c r="AB8" i="10"/>
  <c r="AA9" i="10"/>
  <c r="AB9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A42" i="10"/>
  <c r="AB42" i="10"/>
  <c r="AA43" i="10"/>
  <c r="AB43" i="10"/>
  <c r="AA44" i="10"/>
  <c r="AB44" i="10"/>
  <c r="AA45" i="10"/>
  <c r="AB45" i="10"/>
  <c r="AA46" i="10"/>
  <c r="AB46" i="10"/>
  <c r="AA47" i="10"/>
  <c r="AB47" i="10"/>
  <c r="AA48" i="10"/>
  <c r="AB48" i="10"/>
  <c r="AA49" i="10"/>
  <c r="AB49" i="10"/>
  <c r="AA50" i="10"/>
  <c r="AB50" i="10"/>
  <c r="AA51" i="10"/>
  <c r="AB51" i="10"/>
  <c r="AA52" i="10"/>
  <c r="AB52" i="10"/>
  <c r="AA53" i="10"/>
  <c r="AB53" i="10"/>
  <c r="AA54" i="10"/>
  <c r="AB54" i="10"/>
  <c r="AA55" i="10"/>
  <c r="AB55" i="10"/>
  <c r="AA56" i="10"/>
  <c r="AB56" i="10"/>
  <c r="AA57" i="10"/>
  <c r="AB57" i="10"/>
  <c r="AA58" i="10"/>
  <c r="AB58" i="10"/>
  <c r="AA59" i="10"/>
  <c r="AB59" i="10"/>
  <c r="AA60" i="10"/>
  <c r="AB60" i="10"/>
  <c r="AA61" i="10"/>
  <c r="AB61" i="10"/>
  <c r="AA62" i="10"/>
  <c r="AB62" i="10"/>
  <c r="AA63" i="10"/>
  <c r="AB63" i="10"/>
  <c r="AA64" i="10"/>
  <c r="AB64" i="10"/>
  <c r="AA65" i="10"/>
  <c r="AB65" i="10"/>
  <c r="R5" i="10"/>
  <c r="AM5" i="10" s="1"/>
  <c r="S5" i="10"/>
  <c r="T5" i="10"/>
  <c r="R6" i="10"/>
  <c r="AM6" i="10" s="1"/>
  <c r="S6" i="10"/>
  <c r="T6" i="10"/>
  <c r="R7" i="10"/>
  <c r="AM7" i="10" s="1"/>
  <c r="S7" i="10"/>
  <c r="T7" i="10"/>
  <c r="R8" i="10"/>
  <c r="AM8" i="10" s="1"/>
  <c r="S8" i="10"/>
  <c r="T8" i="10"/>
  <c r="R9" i="10"/>
  <c r="AM9" i="10" s="1"/>
  <c r="S9" i="10"/>
  <c r="T9" i="10"/>
  <c r="R10" i="10"/>
  <c r="AM10" i="10" s="1"/>
  <c r="S10" i="10"/>
  <c r="T10" i="10"/>
  <c r="R11" i="10"/>
  <c r="AM11" i="10" s="1"/>
  <c r="S11" i="10"/>
  <c r="T11" i="10"/>
  <c r="R12" i="10"/>
  <c r="AM12" i="10" s="1"/>
  <c r="S12" i="10"/>
  <c r="T12" i="10"/>
  <c r="R13" i="10"/>
  <c r="AM13" i="10" s="1"/>
  <c r="S13" i="10"/>
  <c r="T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R28" i="10"/>
  <c r="AM28" i="10" s="1"/>
  <c r="S28" i="10"/>
  <c r="T28" i="10"/>
  <c r="R29" i="10"/>
  <c r="AM29" i="10" s="1"/>
  <c r="S29" i="10"/>
  <c r="T29" i="10"/>
  <c r="R30" i="10"/>
  <c r="AM30" i="10" s="1"/>
  <c r="S30" i="10"/>
  <c r="T30" i="10"/>
  <c r="R31" i="10"/>
  <c r="AM31" i="10" s="1"/>
  <c r="S31" i="10"/>
  <c r="T31" i="10"/>
  <c r="R32" i="10"/>
  <c r="AM32" i="10" s="1"/>
  <c r="S32" i="10"/>
  <c r="T32" i="10"/>
  <c r="R33" i="10"/>
  <c r="AM33" i="10" s="1"/>
  <c r="S33" i="10"/>
  <c r="T33" i="10"/>
  <c r="R34" i="10"/>
  <c r="AM34" i="10" s="1"/>
  <c r="S34" i="10"/>
  <c r="T34" i="10"/>
  <c r="R35" i="10"/>
  <c r="AM35" i="10" s="1"/>
  <c r="S35" i="10"/>
  <c r="T35" i="10"/>
  <c r="R36" i="10"/>
  <c r="AM36" i="10" s="1"/>
  <c r="S36" i="10"/>
  <c r="T36" i="10"/>
  <c r="R37" i="10"/>
  <c r="AM37" i="10" s="1"/>
  <c r="S37" i="10"/>
  <c r="T37" i="10"/>
  <c r="R38" i="10"/>
  <c r="AM38" i="10" s="1"/>
  <c r="S38" i="10"/>
  <c r="T38" i="10"/>
  <c r="R39" i="10"/>
  <c r="AM39" i="10" s="1"/>
  <c r="S39" i="10"/>
  <c r="T39" i="10"/>
  <c r="R40" i="10"/>
  <c r="AM40" i="10" s="1"/>
  <c r="S40" i="10"/>
  <c r="T40" i="10"/>
  <c r="R41" i="10"/>
  <c r="AM41" i="10" s="1"/>
  <c r="S41" i="10"/>
  <c r="T41" i="10"/>
  <c r="R42" i="10"/>
  <c r="AM42" i="10" s="1"/>
  <c r="S42" i="10"/>
  <c r="T42" i="10"/>
  <c r="R43" i="10"/>
  <c r="AM43" i="10" s="1"/>
  <c r="S43" i="10"/>
  <c r="T43" i="10"/>
  <c r="R44" i="10"/>
  <c r="AM44" i="10" s="1"/>
  <c r="S44" i="10"/>
  <c r="T44" i="10"/>
  <c r="R45" i="10"/>
  <c r="AM45" i="10" s="1"/>
  <c r="S45" i="10"/>
  <c r="T45" i="10"/>
  <c r="R46" i="10"/>
  <c r="AM46" i="10" s="1"/>
  <c r="S46" i="10"/>
  <c r="T46" i="10"/>
  <c r="R47" i="10"/>
  <c r="AM47" i="10" s="1"/>
  <c r="S47" i="10"/>
  <c r="T47" i="10"/>
  <c r="R48" i="10"/>
  <c r="AM48" i="10" s="1"/>
  <c r="S48" i="10"/>
  <c r="T48" i="10"/>
  <c r="R49" i="10"/>
  <c r="AM49" i="10" s="1"/>
  <c r="S49" i="10"/>
  <c r="T49" i="10"/>
  <c r="R50" i="10"/>
  <c r="AM50" i="10" s="1"/>
  <c r="S50" i="10"/>
  <c r="T50" i="10"/>
  <c r="R51" i="10"/>
  <c r="AM51" i="10" s="1"/>
  <c r="S51" i="10"/>
  <c r="T51" i="10"/>
  <c r="R52" i="10"/>
  <c r="AM52" i="10" s="1"/>
  <c r="S52" i="10"/>
  <c r="T52" i="10"/>
  <c r="R53" i="10"/>
  <c r="AM53" i="10" s="1"/>
  <c r="S53" i="10"/>
  <c r="T53" i="10"/>
  <c r="R54" i="10"/>
  <c r="AM54" i="10" s="1"/>
  <c r="S54" i="10"/>
  <c r="T54" i="10"/>
  <c r="R55" i="10"/>
  <c r="AM55" i="10" s="1"/>
  <c r="S55" i="10"/>
  <c r="T55" i="10"/>
  <c r="R56" i="10"/>
  <c r="AM56" i="10" s="1"/>
  <c r="S56" i="10"/>
  <c r="T56" i="10"/>
  <c r="R57" i="10"/>
  <c r="AM57" i="10" s="1"/>
  <c r="S57" i="10"/>
  <c r="T57" i="10"/>
  <c r="R58" i="10"/>
  <c r="AM58" i="10" s="1"/>
  <c r="S58" i="10"/>
  <c r="T58" i="10"/>
  <c r="R59" i="10"/>
  <c r="AM59" i="10" s="1"/>
  <c r="S59" i="10"/>
  <c r="T59" i="10"/>
  <c r="R60" i="10"/>
  <c r="AM60" i="10" s="1"/>
  <c r="S60" i="10"/>
  <c r="T60" i="10"/>
  <c r="R61" i="10"/>
  <c r="AM61" i="10" s="1"/>
  <c r="S61" i="10"/>
  <c r="T61" i="10"/>
  <c r="R62" i="10"/>
  <c r="AM62" i="10" s="1"/>
  <c r="S62" i="10"/>
  <c r="T62" i="10"/>
  <c r="R63" i="10"/>
  <c r="AM63" i="10" s="1"/>
  <c r="S63" i="10"/>
  <c r="T63" i="10"/>
  <c r="R64" i="10"/>
  <c r="AM64" i="10" s="1"/>
  <c r="S64" i="10"/>
  <c r="T64" i="10"/>
  <c r="R65" i="10"/>
  <c r="AM65" i="10" s="1"/>
  <c r="S65" i="10"/>
  <c r="T65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AO19" i="10" s="1"/>
  <c r="G20" i="10"/>
  <c r="H20" i="10"/>
  <c r="G21" i="10"/>
  <c r="H21" i="10"/>
  <c r="AO21" i="10" s="1"/>
  <c r="G22" i="10"/>
  <c r="H22" i="10"/>
  <c r="G23" i="10"/>
  <c r="H23" i="10"/>
  <c r="AO23" i="10" s="1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AA54" i="7"/>
  <c r="AB54" i="7"/>
  <c r="AA55" i="7"/>
  <c r="AB55" i="7"/>
  <c r="AA56" i="7"/>
  <c r="AB56" i="7"/>
  <c r="AN62" i="10" l="1"/>
  <c r="AN64" i="10"/>
  <c r="AN60" i="10"/>
  <c r="AN58" i="10"/>
  <c r="AN22" i="10"/>
  <c r="AN20" i="10"/>
  <c r="AN18" i="10"/>
  <c r="AN14" i="10"/>
  <c r="AN12" i="10"/>
  <c r="AN10" i="10"/>
  <c r="AN8" i="10"/>
  <c r="AN6" i="10"/>
  <c r="AO17" i="10"/>
  <c r="AO15" i="10"/>
  <c r="AO13" i="10"/>
  <c r="AO11" i="10"/>
  <c r="AO65" i="10"/>
  <c r="AO63" i="10"/>
  <c r="AO61" i="10"/>
  <c r="AO57" i="10"/>
  <c r="AO9" i="10"/>
  <c r="AO7" i="10"/>
  <c r="AO5" i="10"/>
  <c r="AO64" i="10"/>
  <c r="AN65" i="10"/>
  <c r="AO59" i="10"/>
  <c r="AN56" i="10"/>
  <c r="AO53" i="10"/>
  <c r="AN52" i="10"/>
  <c r="AO62" i="10"/>
  <c r="AO60" i="10"/>
  <c r="AO58" i="10"/>
  <c r="AO55" i="10"/>
  <c r="AN54" i="10"/>
  <c r="AN63" i="10"/>
  <c r="AN61" i="10"/>
  <c r="AN59" i="10"/>
  <c r="AN57" i="10"/>
  <c r="AT51" i="10"/>
  <c r="AO49" i="10"/>
  <c r="AN48" i="10"/>
  <c r="AO45" i="10"/>
  <c r="AN44" i="10"/>
  <c r="AO51" i="10"/>
  <c r="AN50" i="10"/>
  <c r="AO47" i="10"/>
  <c r="AN46" i="10"/>
  <c r="AO43" i="10"/>
  <c r="AN42" i="10"/>
  <c r="AO41" i="10"/>
  <c r="AN40" i="10"/>
  <c r="AO39" i="10"/>
  <c r="AN38" i="10"/>
  <c r="AO37" i="10"/>
  <c r="AN36" i="10"/>
  <c r="AO35" i="10"/>
  <c r="AN34" i="10"/>
  <c r="AO33" i="10"/>
  <c r="AN32" i="10"/>
  <c r="AO29" i="10"/>
  <c r="AN28" i="10"/>
  <c r="AO25" i="10"/>
  <c r="AN24" i="10"/>
  <c r="AO31" i="10"/>
  <c r="AN30" i="10"/>
  <c r="AO27" i="10"/>
  <c r="AN26" i="10"/>
  <c r="AN16" i="10"/>
  <c r="AO56" i="10"/>
  <c r="AO54" i="10"/>
  <c r="AN55" i="10"/>
  <c r="AN53" i="10"/>
  <c r="AO52" i="10"/>
  <c r="AO50" i="10"/>
  <c r="AO48" i="10"/>
  <c r="AO46" i="10"/>
  <c r="AO44" i="10"/>
  <c r="AO42" i="10"/>
  <c r="AO40" i="10"/>
  <c r="AO38" i="10"/>
  <c r="AO36" i="10"/>
  <c r="AO34" i="10"/>
  <c r="AO32" i="10"/>
  <c r="AO30" i="10"/>
  <c r="AO28" i="10"/>
  <c r="AO26" i="10"/>
  <c r="AO24" i="10"/>
  <c r="AN51" i="10"/>
  <c r="AN49" i="10"/>
  <c r="AN47" i="10"/>
  <c r="AN45" i="10"/>
  <c r="AN43" i="10"/>
  <c r="AN41" i="10"/>
  <c r="AN39" i="10"/>
  <c r="AN37" i="10"/>
  <c r="AN35" i="10"/>
  <c r="AN33" i="10"/>
  <c r="AN31" i="10"/>
  <c r="AN29" i="10"/>
  <c r="AN27" i="10"/>
  <c r="AN25" i="10"/>
  <c r="AO22" i="10"/>
  <c r="AO20" i="10"/>
  <c r="AO18" i="10"/>
  <c r="AO16" i="10"/>
  <c r="AO14" i="10"/>
  <c r="AO12" i="10"/>
  <c r="AO10" i="10"/>
  <c r="AN23" i="10"/>
  <c r="AN21" i="10"/>
  <c r="AN19" i="10"/>
  <c r="AN17" i="10"/>
  <c r="AN15" i="10"/>
  <c r="AN13" i="10"/>
  <c r="AN11" i="10"/>
  <c r="AO8" i="10"/>
  <c r="AO6" i="10"/>
  <c r="AN9" i="10"/>
  <c r="AN7" i="10"/>
  <c r="AN5" i="10"/>
  <c r="AR60" i="12"/>
  <c r="AR61" i="12"/>
  <c r="AR62" i="12"/>
  <c r="AR63" i="12"/>
  <c r="AR64" i="12"/>
  <c r="AR65" i="12"/>
  <c r="AL62" i="13"/>
  <c r="AK62" i="13"/>
  <c r="J66" i="17"/>
  <c r="G17" i="1" s="1"/>
  <c r="AU51" i="10" l="1"/>
  <c r="AV51" i="10"/>
  <c r="AA62" i="17"/>
  <c r="AA63" i="17"/>
  <c r="AA64" i="17"/>
  <c r="AA65" i="17"/>
  <c r="AB65" i="17"/>
  <c r="G64" i="12" l="1"/>
  <c r="H64" i="12"/>
  <c r="G65" i="12"/>
  <c r="H65" i="12"/>
  <c r="AR60" i="14" l="1"/>
  <c r="AR61" i="14"/>
  <c r="AR62" i="14"/>
  <c r="AR63" i="14"/>
  <c r="AR64" i="14"/>
  <c r="AR65" i="14"/>
  <c r="G58" i="14" l="1"/>
  <c r="H58" i="14"/>
  <c r="G59" i="14"/>
  <c r="H59" i="14"/>
  <c r="G60" i="14"/>
  <c r="H60" i="14"/>
  <c r="G61" i="14"/>
  <c r="H61" i="14"/>
  <c r="G62" i="14"/>
  <c r="H62" i="14"/>
  <c r="G63" i="14"/>
  <c r="H63" i="14"/>
  <c r="G64" i="14"/>
  <c r="H64" i="14"/>
  <c r="G65" i="14"/>
  <c r="H65" i="14"/>
  <c r="R60" i="14" l="1"/>
  <c r="AM60" i="14" s="1"/>
  <c r="S60" i="14"/>
  <c r="T60" i="14"/>
  <c r="AA60" i="14"/>
  <c r="AB60" i="14"/>
  <c r="AK60" i="14"/>
  <c r="R61" i="14"/>
  <c r="AM61" i="14" s="1"/>
  <c r="S61" i="14"/>
  <c r="T61" i="14"/>
  <c r="AA61" i="14"/>
  <c r="AB61" i="14"/>
  <c r="AK61" i="14"/>
  <c r="R62" i="14"/>
  <c r="AM62" i="14" s="1"/>
  <c r="S62" i="14"/>
  <c r="T62" i="14"/>
  <c r="AA62" i="14"/>
  <c r="AB62" i="14"/>
  <c r="AF62" i="14"/>
  <c r="AK62" i="14"/>
  <c r="R63" i="14"/>
  <c r="AM63" i="14" s="1"/>
  <c r="S63" i="14"/>
  <c r="T63" i="14"/>
  <c r="AA63" i="14"/>
  <c r="AB63" i="14"/>
  <c r="AF63" i="14"/>
  <c r="AK63" i="14"/>
  <c r="R64" i="14"/>
  <c r="AM64" i="14" s="1"/>
  <c r="S64" i="14"/>
  <c r="T64" i="14"/>
  <c r="AA64" i="14"/>
  <c r="AB64" i="14"/>
  <c r="AF64" i="14"/>
  <c r="AK64" i="14"/>
  <c r="R65" i="14"/>
  <c r="AM65" i="14" s="1"/>
  <c r="S65" i="14"/>
  <c r="T65" i="14"/>
  <c r="AA65" i="14"/>
  <c r="AB65" i="14"/>
  <c r="AF65" i="14"/>
  <c r="AK65" i="14"/>
  <c r="J66" i="14"/>
  <c r="G30" i="1" s="1"/>
  <c r="AN62" i="14" l="1"/>
  <c r="AO64" i="14"/>
  <c r="AN64" i="14"/>
  <c r="AN60" i="14"/>
  <c r="AN65" i="14"/>
  <c r="AN63" i="14"/>
  <c r="AN61" i="14"/>
  <c r="AO65" i="14"/>
  <c r="AO63" i="14"/>
  <c r="AO61" i="14"/>
  <c r="AO62" i="14"/>
  <c r="AO60" i="14"/>
  <c r="AP64" i="14" l="1"/>
  <c r="AP60" i="14"/>
  <c r="AP62" i="14"/>
  <c r="AP65" i="14"/>
  <c r="AP61" i="14"/>
  <c r="AP63" i="14"/>
  <c r="G58" i="12"/>
  <c r="H58" i="12"/>
  <c r="G59" i="12"/>
  <c r="H59" i="12"/>
  <c r="G60" i="12"/>
  <c r="H60" i="12"/>
  <c r="G61" i="12"/>
  <c r="H61" i="12"/>
  <c r="G62" i="12"/>
  <c r="H62" i="12"/>
  <c r="G63" i="12"/>
  <c r="H63" i="12"/>
  <c r="R60" i="12" l="1"/>
  <c r="AM60" i="12" s="1"/>
  <c r="S60" i="12"/>
  <c r="AN60" i="12" s="1"/>
  <c r="T60" i="12"/>
  <c r="AO60" i="12" s="1"/>
  <c r="AA60" i="12"/>
  <c r="AB60" i="12"/>
  <c r="R61" i="12"/>
  <c r="AM61" i="12" s="1"/>
  <c r="S61" i="12"/>
  <c r="AN61" i="12" s="1"/>
  <c r="T61" i="12"/>
  <c r="AO61" i="12" s="1"/>
  <c r="AA61" i="12"/>
  <c r="AB61" i="12"/>
  <c r="R62" i="12"/>
  <c r="AM62" i="12" s="1"/>
  <c r="S62" i="12"/>
  <c r="AN62" i="12" s="1"/>
  <c r="T62" i="12"/>
  <c r="AO62" i="12" s="1"/>
  <c r="AA62" i="12"/>
  <c r="AB62" i="12"/>
  <c r="R63" i="12"/>
  <c r="AM63" i="12" s="1"/>
  <c r="S63" i="12"/>
  <c r="AN63" i="12" s="1"/>
  <c r="T63" i="12"/>
  <c r="AO63" i="12" s="1"/>
  <c r="AA63" i="12"/>
  <c r="AB63" i="12"/>
  <c r="R64" i="12"/>
  <c r="AM64" i="12" s="1"/>
  <c r="S64" i="12"/>
  <c r="AN64" i="12" s="1"/>
  <c r="T64" i="12"/>
  <c r="AO64" i="12" s="1"/>
  <c r="AA64" i="12"/>
  <c r="AB64" i="12"/>
  <c r="R65" i="12"/>
  <c r="AM65" i="12" s="1"/>
  <c r="S65" i="12"/>
  <c r="AN65" i="12" s="1"/>
  <c r="T65" i="12"/>
  <c r="AO65" i="12" s="1"/>
  <c r="AA65" i="12"/>
  <c r="AB65" i="12"/>
  <c r="J66" i="12"/>
  <c r="G28" i="1" s="1"/>
  <c r="G58" i="11"/>
  <c r="H58" i="11"/>
  <c r="G59" i="11"/>
  <c r="H59" i="11"/>
  <c r="G60" i="11"/>
  <c r="H60" i="11"/>
  <c r="G61" i="11"/>
  <c r="H61" i="11"/>
  <c r="G62" i="11"/>
  <c r="H62" i="11"/>
  <c r="G63" i="11"/>
  <c r="H63" i="11"/>
  <c r="G64" i="11"/>
  <c r="H64" i="11"/>
  <c r="G65" i="11"/>
  <c r="H65" i="11"/>
  <c r="AP65" i="12" l="1"/>
  <c r="AP64" i="12"/>
  <c r="AP63" i="12"/>
  <c r="AP62" i="12"/>
  <c r="AP61" i="12"/>
  <c r="AP60" i="12"/>
  <c r="AR62" i="17" l="1"/>
  <c r="AR63" i="17"/>
  <c r="AR64" i="17"/>
  <c r="AR65" i="17"/>
  <c r="AP64" i="17" l="1"/>
  <c r="AP65" i="17"/>
  <c r="AP63" i="17"/>
  <c r="AP62" i="17"/>
  <c r="G52" i="14" l="1"/>
  <c r="H52" i="14"/>
  <c r="G53" i="14"/>
  <c r="H53" i="14"/>
  <c r="G54" i="14"/>
  <c r="H54" i="14"/>
  <c r="G55" i="14"/>
  <c r="H55" i="14"/>
  <c r="G56" i="14"/>
  <c r="H56" i="14"/>
  <c r="G57" i="14"/>
  <c r="H57" i="14"/>
  <c r="G50" i="12" l="1"/>
  <c r="H50" i="12"/>
  <c r="G51" i="12"/>
  <c r="H51" i="12"/>
  <c r="G52" i="12"/>
  <c r="H52" i="12"/>
  <c r="G53" i="12"/>
  <c r="H53" i="12"/>
  <c r="G54" i="12"/>
  <c r="H54" i="12"/>
  <c r="G55" i="12"/>
  <c r="H55" i="12"/>
  <c r="G56" i="12"/>
  <c r="H56" i="12"/>
  <c r="G57" i="12"/>
  <c r="H57" i="12"/>
  <c r="G52" i="11" l="1"/>
  <c r="H52" i="11"/>
  <c r="G53" i="11"/>
  <c r="H53" i="11"/>
  <c r="G54" i="11"/>
  <c r="H54" i="11"/>
  <c r="G55" i="11"/>
  <c r="H55" i="11"/>
  <c r="G56" i="11"/>
  <c r="H56" i="11"/>
  <c r="G57" i="11"/>
  <c r="H57" i="11"/>
  <c r="G56" i="9" l="1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AA56" i="17" l="1"/>
  <c r="AA57" i="17"/>
  <c r="AA58" i="17"/>
  <c r="AA59" i="17"/>
  <c r="AA60" i="17"/>
  <c r="AA61" i="17"/>
  <c r="G54" i="4" l="1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44" i="13" l="1"/>
  <c r="H44" i="13"/>
  <c r="G45" i="13"/>
  <c r="H45" i="13"/>
  <c r="G46" i="13"/>
  <c r="H46" i="13"/>
  <c r="G47" i="13"/>
  <c r="H47" i="13"/>
  <c r="G48" i="13"/>
  <c r="H48" i="13"/>
  <c r="G49" i="13"/>
  <c r="H49" i="13"/>
  <c r="G50" i="13"/>
  <c r="H50" i="13"/>
  <c r="G51" i="13"/>
  <c r="H51" i="13"/>
  <c r="G52" i="13"/>
  <c r="H52" i="13"/>
  <c r="G53" i="13"/>
  <c r="H53" i="13"/>
  <c r="G54" i="13"/>
  <c r="H54" i="13"/>
  <c r="G55" i="13"/>
  <c r="H55" i="13"/>
  <c r="G56" i="13"/>
  <c r="H56" i="13"/>
  <c r="G57" i="13"/>
  <c r="H57" i="13"/>
  <c r="G58" i="13"/>
  <c r="H58" i="13"/>
  <c r="G59" i="13"/>
  <c r="H59" i="13"/>
  <c r="G60" i="13"/>
  <c r="H60" i="13"/>
  <c r="G61" i="13"/>
  <c r="H61" i="13"/>
  <c r="G62" i="13"/>
  <c r="H62" i="13"/>
  <c r="G63" i="13"/>
  <c r="H63" i="13"/>
  <c r="G64" i="13"/>
  <c r="H64" i="13"/>
  <c r="G65" i="13"/>
  <c r="H65" i="13"/>
  <c r="G46" i="12" l="1"/>
  <c r="H46" i="12"/>
  <c r="G47" i="12"/>
  <c r="H47" i="12"/>
  <c r="G48" i="12"/>
  <c r="H48" i="12"/>
  <c r="G49" i="12"/>
  <c r="H49" i="12"/>
  <c r="S38" i="8" l="1"/>
  <c r="AA30" i="13" l="1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P56" i="17" l="1"/>
  <c r="AP61" i="17"/>
  <c r="AP59" i="17"/>
  <c r="AP58" i="17"/>
  <c r="AP57" i="17"/>
  <c r="AP60" i="17"/>
  <c r="AR5" i="17"/>
  <c r="AR6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7" i="17"/>
  <c r="AR58" i="17"/>
  <c r="AR59" i="17"/>
  <c r="AR60" i="17"/>
  <c r="AR61" i="17"/>
  <c r="AA4" i="17" l="1"/>
  <c r="AA12" i="17"/>
  <c r="AB12" i="17"/>
  <c r="AA13" i="17"/>
  <c r="AB13" i="17"/>
  <c r="AA14" i="17"/>
  <c r="AB14" i="17"/>
  <c r="AA15" i="17"/>
  <c r="AB15" i="17"/>
  <c r="AA16" i="17"/>
  <c r="AB16" i="17"/>
  <c r="AA17" i="17"/>
  <c r="AB17" i="17"/>
  <c r="AA18" i="17"/>
  <c r="AB18" i="17"/>
  <c r="AA19" i="17"/>
  <c r="AB19" i="17"/>
  <c r="AA20" i="17"/>
  <c r="AB20" i="17"/>
  <c r="AA21" i="17"/>
  <c r="AB21" i="17"/>
  <c r="AA22" i="17"/>
  <c r="AB22" i="17"/>
  <c r="AA23" i="17"/>
  <c r="AB23" i="17"/>
  <c r="AA24" i="17"/>
  <c r="AB24" i="17"/>
  <c r="AA25" i="17"/>
  <c r="AB25" i="17"/>
  <c r="AA26" i="17"/>
  <c r="AB26" i="17"/>
  <c r="AA27" i="17"/>
  <c r="AB27" i="17"/>
  <c r="AA28" i="17"/>
  <c r="AB28" i="17"/>
  <c r="AA29" i="17"/>
  <c r="AB29" i="17"/>
  <c r="AA30" i="17"/>
  <c r="AB30" i="17"/>
  <c r="AA31" i="17"/>
  <c r="AB31" i="17"/>
  <c r="AA32" i="17"/>
  <c r="AB32" i="17"/>
  <c r="AA33" i="17"/>
  <c r="AB33" i="17"/>
  <c r="AA34" i="17"/>
  <c r="AB34" i="17"/>
  <c r="AA35" i="17"/>
  <c r="AB35" i="17"/>
  <c r="AA36" i="17"/>
  <c r="AB36" i="17"/>
  <c r="AA37" i="17"/>
  <c r="AB37" i="17"/>
  <c r="AA38" i="17"/>
  <c r="AB38" i="17"/>
  <c r="AA39" i="17"/>
  <c r="AB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" i="17"/>
  <c r="AB5" i="17"/>
  <c r="AA6" i="17"/>
  <c r="AB6" i="17"/>
  <c r="AA7" i="17"/>
  <c r="AB7" i="17"/>
  <c r="AA8" i="17"/>
  <c r="AB8" i="17"/>
  <c r="AA9" i="17"/>
  <c r="AB9" i="17"/>
  <c r="AA10" i="17"/>
  <c r="AB10" i="17"/>
  <c r="AA11" i="17"/>
  <c r="AB11" i="17"/>
  <c r="AB4" i="17"/>
  <c r="R4" i="4" l="1"/>
  <c r="S4" i="4"/>
  <c r="T4" i="4"/>
  <c r="AM5" i="4"/>
  <c r="AM6" i="4"/>
  <c r="AM7" i="4"/>
  <c r="AM8" i="4"/>
  <c r="AM9" i="4"/>
  <c r="B6" i="14" l="1"/>
  <c r="B8" i="14" s="1"/>
  <c r="B10" i="14" s="1"/>
  <c r="B12" i="14" s="1"/>
  <c r="B14" i="14" s="1"/>
  <c r="B16" i="14" s="1"/>
  <c r="B18" i="14" s="1"/>
  <c r="B20" i="14" s="1"/>
  <c r="B22" i="14" s="1"/>
  <c r="B24" i="14" s="1"/>
  <c r="B26" i="14" s="1"/>
  <c r="B28" i="14" s="1"/>
  <c r="B30" i="14" s="1"/>
  <c r="B32" i="14" s="1"/>
  <c r="B5" i="14"/>
  <c r="B7" i="14" s="1"/>
  <c r="B9" i="14" s="1"/>
  <c r="B11" i="14" s="1"/>
  <c r="B13" i="14" s="1"/>
  <c r="B15" i="14" s="1"/>
  <c r="B17" i="14" s="1"/>
  <c r="B19" i="14" s="1"/>
  <c r="B21" i="14" s="1"/>
  <c r="B23" i="14" s="1"/>
  <c r="B25" i="14" s="1"/>
  <c r="B27" i="14" s="1"/>
  <c r="B29" i="14" s="1"/>
  <c r="B31" i="14" s="1"/>
  <c r="B33" i="14" s="1"/>
  <c r="B35" i="14" s="1"/>
  <c r="B37" i="14" s="1"/>
  <c r="B39" i="14" s="1"/>
  <c r="B41" i="14" s="1"/>
  <c r="B43" i="14" s="1"/>
  <c r="B45" i="14" s="1"/>
  <c r="B47" i="14" s="1"/>
  <c r="B49" i="14" s="1"/>
  <c r="B51" i="14" s="1"/>
  <c r="B53" i="14" s="1"/>
  <c r="B55" i="14" s="1"/>
  <c r="B57" i="14" s="1"/>
  <c r="B6" i="13"/>
  <c r="B8" i="13" s="1"/>
  <c r="B10" i="13" s="1"/>
  <c r="B12" i="13" s="1"/>
  <c r="B14" i="13" s="1"/>
  <c r="B16" i="13" s="1"/>
  <c r="B18" i="13" s="1"/>
  <c r="B20" i="13" s="1"/>
  <c r="B22" i="13" s="1"/>
  <c r="B24" i="13" s="1"/>
  <c r="B26" i="13" s="1"/>
  <c r="B28" i="13" s="1"/>
  <c r="B30" i="13" s="1"/>
  <c r="B32" i="13" s="1"/>
  <c r="B34" i="13" s="1"/>
  <c r="B36" i="13" s="1"/>
  <c r="B38" i="13" s="1"/>
  <c r="B40" i="13" s="1"/>
  <c r="B42" i="13" s="1"/>
  <c r="B44" i="13" s="1"/>
  <c r="B46" i="13" s="1"/>
  <c r="B48" i="13" s="1"/>
  <c r="B50" i="13" s="1"/>
  <c r="B52" i="13" s="1"/>
  <c r="B54" i="13" s="1"/>
  <c r="B56" i="13" s="1"/>
  <c r="B58" i="13" s="1"/>
  <c r="B60" i="13" s="1"/>
  <c r="B62" i="13" s="1"/>
  <c r="B64" i="13" s="1"/>
  <c r="B5" i="13"/>
  <c r="B7" i="13" s="1"/>
  <c r="B9" i="13" s="1"/>
  <c r="B11" i="13" s="1"/>
  <c r="B13" i="13" s="1"/>
  <c r="B15" i="13" s="1"/>
  <c r="B17" i="13" s="1"/>
  <c r="B19" i="13" s="1"/>
  <c r="B21" i="13" s="1"/>
  <c r="B23" i="13" s="1"/>
  <c r="B25" i="13" s="1"/>
  <c r="B27" i="13" s="1"/>
  <c r="B29" i="13" s="1"/>
  <c r="B31" i="13" s="1"/>
  <c r="B33" i="13" s="1"/>
  <c r="B35" i="13" s="1"/>
  <c r="B37" i="13" s="1"/>
  <c r="B39" i="13" s="1"/>
  <c r="B41" i="13" s="1"/>
  <c r="B43" i="13" s="1"/>
  <c r="B45" i="13" s="1"/>
  <c r="B47" i="13" s="1"/>
  <c r="B49" i="13" s="1"/>
  <c r="B51" i="13" s="1"/>
  <c r="B53" i="13" s="1"/>
  <c r="B55" i="13" s="1"/>
  <c r="B57" i="13" s="1"/>
  <c r="B59" i="13" s="1"/>
  <c r="B61" i="13" s="1"/>
  <c r="B63" i="13" s="1"/>
  <c r="B65" i="13" s="1"/>
  <c r="B6" i="12"/>
  <c r="B8" i="12" s="1"/>
  <c r="B10" i="12" s="1"/>
  <c r="B12" i="12" s="1"/>
  <c r="B14" i="12" s="1"/>
  <c r="B16" i="12" s="1"/>
  <c r="B18" i="12" s="1"/>
  <c r="B20" i="12" s="1"/>
  <c r="B22" i="12" s="1"/>
  <c r="B24" i="12" s="1"/>
  <c r="B26" i="12" s="1"/>
  <c r="B28" i="12" s="1"/>
  <c r="B30" i="12" s="1"/>
  <c r="B32" i="12" s="1"/>
  <c r="B34" i="12" s="1"/>
  <c r="B36" i="12" s="1"/>
  <c r="B38" i="12" s="1"/>
  <c r="B40" i="12" s="1"/>
  <c r="B42" i="12" s="1"/>
  <c r="B44" i="12" s="1"/>
  <c r="B46" i="12" s="1"/>
  <c r="B48" i="12" s="1"/>
  <c r="B50" i="12" s="1"/>
  <c r="B52" i="12" s="1"/>
  <c r="B54" i="12" s="1"/>
  <c r="B56" i="12" s="1"/>
  <c r="B58" i="12" s="1"/>
  <c r="B60" i="12" s="1"/>
  <c r="B5" i="12"/>
  <c r="B7" i="12" s="1"/>
  <c r="B9" i="12" s="1"/>
  <c r="B11" i="12" s="1"/>
  <c r="B13" i="12" s="1"/>
  <c r="B15" i="12" s="1"/>
  <c r="B17" i="12" s="1"/>
  <c r="B19" i="12" s="1"/>
  <c r="B21" i="12" s="1"/>
  <c r="B23" i="12" s="1"/>
  <c r="B25" i="12" s="1"/>
  <c r="B27" i="12" s="1"/>
  <c r="B29" i="12" s="1"/>
  <c r="B31" i="12" s="1"/>
  <c r="B33" i="12" s="1"/>
  <c r="B35" i="12" s="1"/>
  <c r="B37" i="12" s="1"/>
  <c r="B39" i="12" s="1"/>
  <c r="B41" i="12" s="1"/>
  <c r="B43" i="12" s="1"/>
  <c r="B45" i="12" s="1"/>
  <c r="B47" i="12" s="1"/>
  <c r="B49" i="12" s="1"/>
  <c r="B51" i="12" s="1"/>
  <c r="B53" i="12" s="1"/>
  <c r="B55" i="12" s="1"/>
  <c r="B57" i="12" s="1"/>
  <c r="B59" i="12" s="1"/>
  <c r="B61" i="12" s="1"/>
  <c r="B6" i="11"/>
  <c r="B8" i="11" s="1"/>
  <c r="B10" i="11" s="1"/>
  <c r="B12" i="11" s="1"/>
  <c r="B14" i="11" s="1"/>
  <c r="B16" i="11" s="1"/>
  <c r="B18" i="11" s="1"/>
  <c r="B20" i="11" s="1"/>
  <c r="B22" i="11" s="1"/>
  <c r="B24" i="11" s="1"/>
  <c r="B26" i="11" s="1"/>
  <c r="B28" i="11" s="1"/>
  <c r="B30" i="11" s="1"/>
  <c r="B32" i="11" s="1"/>
  <c r="B34" i="11" s="1"/>
  <c r="B36" i="11" s="1"/>
  <c r="B38" i="11" s="1"/>
  <c r="B40" i="11" s="1"/>
  <c r="B42" i="11" s="1"/>
  <c r="B44" i="11" s="1"/>
  <c r="B46" i="11" s="1"/>
  <c r="B48" i="11" s="1"/>
  <c r="B50" i="11" s="1"/>
  <c r="B52" i="11" s="1"/>
  <c r="B54" i="11" s="1"/>
  <c r="B56" i="11" s="1"/>
  <c r="B58" i="11" s="1"/>
  <c r="B60" i="11" s="1"/>
  <c r="B62" i="11" s="1"/>
  <c r="B64" i="11" s="1"/>
  <c r="B5" i="11"/>
  <c r="B7" i="11" s="1"/>
  <c r="B9" i="11" s="1"/>
  <c r="B11" i="11" s="1"/>
  <c r="B13" i="11" s="1"/>
  <c r="B15" i="11" s="1"/>
  <c r="B17" i="11" s="1"/>
  <c r="B19" i="11" s="1"/>
  <c r="B21" i="11" s="1"/>
  <c r="B23" i="11" s="1"/>
  <c r="B25" i="11" s="1"/>
  <c r="B27" i="11" s="1"/>
  <c r="B29" i="11" s="1"/>
  <c r="B31" i="11" s="1"/>
  <c r="B33" i="11" s="1"/>
  <c r="B35" i="11" s="1"/>
  <c r="B37" i="11" s="1"/>
  <c r="B39" i="11" s="1"/>
  <c r="B41" i="11" s="1"/>
  <c r="B43" i="11" s="1"/>
  <c r="B45" i="11" s="1"/>
  <c r="B47" i="11" s="1"/>
  <c r="B49" i="11" s="1"/>
  <c r="B51" i="11" s="1"/>
  <c r="B53" i="11" s="1"/>
  <c r="B55" i="11" s="1"/>
  <c r="B57" i="11" s="1"/>
  <c r="B59" i="11" s="1"/>
  <c r="B61" i="11" s="1"/>
  <c r="B63" i="11" s="1"/>
  <c r="B65" i="11" s="1"/>
  <c r="B6" i="10"/>
  <c r="B8" i="10" s="1"/>
  <c r="B10" i="10" s="1"/>
  <c r="B12" i="10" s="1"/>
  <c r="B14" i="10" s="1"/>
  <c r="B16" i="10" s="1"/>
  <c r="B18" i="10" s="1"/>
  <c r="B20" i="10" s="1"/>
  <c r="B22" i="10" s="1"/>
  <c r="B24" i="10" s="1"/>
  <c r="B26" i="10" s="1"/>
  <c r="B28" i="10" s="1"/>
  <c r="B30" i="10" s="1"/>
  <c r="B32" i="10" s="1"/>
  <c r="B34" i="10" s="1"/>
  <c r="B36" i="10" s="1"/>
  <c r="B38" i="10" s="1"/>
  <c r="B40" i="10" s="1"/>
  <c r="B42" i="10" s="1"/>
  <c r="B44" i="10" s="1"/>
  <c r="B46" i="10" s="1"/>
  <c r="B48" i="10" s="1"/>
  <c r="B50" i="10" s="1"/>
  <c r="B52" i="10" s="1"/>
  <c r="B54" i="10" s="1"/>
  <c r="B56" i="10" s="1"/>
  <c r="B58" i="10" s="1"/>
  <c r="B60" i="10" s="1"/>
  <c r="B62" i="10" s="1"/>
  <c r="B64" i="10" s="1"/>
  <c r="B5" i="10"/>
  <c r="B7" i="10" s="1"/>
  <c r="B9" i="10" s="1"/>
  <c r="B11" i="10" s="1"/>
  <c r="B13" i="10" s="1"/>
  <c r="B15" i="10" s="1"/>
  <c r="B17" i="10" s="1"/>
  <c r="B19" i="10" s="1"/>
  <c r="B21" i="10" s="1"/>
  <c r="B23" i="10" s="1"/>
  <c r="B25" i="10" s="1"/>
  <c r="B27" i="10" s="1"/>
  <c r="B29" i="10" s="1"/>
  <c r="B31" i="10" s="1"/>
  <c r="B33" i="10" s="1"/>
  <c r="B35" i="10" s="1"/>
  <c r="B37" i="10" s="1"/>
  <c r="B39" i="10" s="1"/>
  <c r="B41" i="10" s="1"/>
  <c r="B43" i="10" s="1"/>
  <c r="B45" i="10" s="1"/>
  <c r="B47" i="10" s="1"/>
  <c r="B49" i="10" s="1"/>
  <c r="B51" i="10" s="1"/>
  <c r="B53" i="10" s="1"/>
  <c r="B55" i="10" s="1"/>
  <c r="B57" i="10" s="1"/>
  <c r="B59" i="10" s="1"/>
  <c r="B61" i="10" s="1"/>
  <c r="B63" i="10" s="1"/>
  <c r="B65" i="10" s="1"/>
  <c r="B6" i="9"/>
  <c r="B8" i="9" s="1"/>
  <c r="B10" i="9" s="1"/>
  <c r="B12" i="9" s="1"/>
  <c r="B14" i="9" s="1"/>
  <c r="B16" i="9" s="1"/>
  <c r="B18" i="9" s="1"/>
  <c r="B20" i="9" s="1"/>
  <c r="B22" i="9" s="1"/>
  <c r="B24" i="9" s="1"/>
  <c r="B26" i="9" s="1"/>
  <c r="B28" i="9" s="1"/>
  <c r="B30" i="9" s="1"/>
  <c r="B32" i="9" s="1"/>
  <c r="B34" i="9" s="1"/>
  <c r="B36" i="9" s="1"/>
  <c r="B38" i="9" s="1"/>
  <c r="B40" i="9" s="1"/>
  <c r="B42" i="9" s="1"/>
  <c r="B44" i="9" s="1"/>
  <c r="B46" i="9" s="1"/>
  <c r="B48" i="9" s="1"/>
  <c r="B50" i="9" s="1"/>
  <c r="B52" i="9" s="1"/>
  <c r="B54" i="9" s="1"/>
  <c r="B56" i="9" s="1"/>
  <c r="B58" i="9" s="1"/>
  <c r="B60" i="9" s="1"/>
  <c r="B62" i="9" s="1"/>
  <c r="B64" i="9" s="1"/>
  <c r="B5" i="9"/>
  <c r="B7" i="9" s="1"/>
  <c r="B9" i="9" s="1"/>
  <c r="B11" i="9" s="1"/>
  <c r="B13" i="9" s="1"/>
  <c r="B15" i="9" s="1"/>
  <c r="B17" i="9" s="1"/>
  <c r="B19" i="9" s="1"/>
  <c r="B21" i="9" s="1"/>
  <c r="B23" i="9" s="1"/>
  <c r="B25" i="9" s="1"/>
  <c r="B27" i="9" s="1"/>
  <c r="B29" i="9" s="1"/>
  <c r="B31" i="9" s="1"/>
  <c r="B33" i="9" s="1"/>
  <c r="B35" i="9" s="1"/>
  <c r="B37" i="9" s="1"/>
  <c r="B39" i="9" s="1"/>
  <c r="B41" i="9" s="1"/>
  <c r="B43" i="9" s="1"/>
  <c r="B45" i="9" s="1"/>
  <c r="B47" i="9" s="1"/>
  <c r="B49" i="9" s="1"/>
  <c r="B51" i="9" s="1"/>
  <c r="B53" i="9" s="1"/>
  <c r="B55" i="9" s="1"/>
  <c r="B57" i="9" s="1"/>
  <c r="B59" i="9" s="1"/>
  <c r="B61" i="9" s="1"/>
  <c r="B63" i="9" s="1"/>
  <c r="B65" i="9" s="1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B6" i="17"/>
  <c r="B8" i="17" s="1"/>
  <c r="B10" i="17" s="1"/>
  <c r="B12" i="17" s="1"/>
  <c r="B14" i="17" s="1"/>
  <c r="B16" i="17" s="1"/>
  <c r="B18" i="17" s="1"/>
  <c r="B20" i="17" s="1"/>
  <c r="B22" i="17" s="1"/>
  <c r="B24" i="17" s="1"/>
  <c r="B26" i="17" s="1"/>
  <c r="B28" i="17" s="1"/>
  <c r="B30" i="17" s="1"/>
  <c r="B32" i="17" s="1"/>
  <c r="B34" i="17" s="1"/>
  <c r="B36" i="17" s="1"/>
  <c r="B38" i="17" s="1"/>
  <c r="B40" i="17" s="1"/>
  <c r="B42" i="17" s="1"/>
  <c r="B44" i="17" s="1"/>
  <c r="B46" i="17" s="1"/>
  <c r="B48" i="17" s="1"/>
  <c r="B50" i="17" s="1"/>
  <c r="B52" i="17" s="1"/>
  <c r="B54" i="17" s="1"/>
  <c r="B56" i="17" s="1"/>
  <c r="B58" i="17" s="1"/>
  <c r="B60" i="17" s="1"/>
  <c r="B62" i="17" s="1"/>
  <c r="B5" i="17"/>
  <c r="B7" i="17" s="1"/>
  <c r="B9" i="17" s="1"/>
  <c r="B11" i="17" s="1"/>
  <c r="B13" i="17" s="1"/>
  <c r="B15" i="17" s="1"/>
  <c r="B17" i="17" s="1"/>
  <c r="B19" i="17" s="1"/>
  <c r="B21" i="17" s="1"/>
  <c r="B23" i="17" s="1"/>
  <c r="B25" i="17" s="1"/>
  <c r="B27" i="17" s="1"/>
  <c r="B29" i="17" s="1"/>
  <c r="B31" i="17" s="1"/>
  <c r="B33" i="17" s="1"/>
  <c r="B35" i="17" s="1"/>
  <c r="B37" i="17" s="1"/>
  <c r="B39" i="17" s="1"/>
  <c r="B41" i="17" s="1"/>
  <c r="B43" i="17" s="1"/>
  <c r="B45" i="17" s="1"/>
  <c r="B47" i="17" s="1"/>
  <c r="B49" i="17" s="1"/>
  <c r="B51" i="17" s="1"/>
  <c r="B53" i="17" s="1"/>
  <c r="B55" i="17" s="1"/>
  <c r="B57" i="17" s="1"/>
  <c r="B59" i="17" s="1"/>
  <c r="B61" i="17" s="1"/>
  <c r="B63" i="17" s="1"/>
  <c r="B6" i="7"/>
  <c r="B8" i="7" s="1"/>
  <c r="B10" i="7" s="1"/>
  <c r="B12" i="7" s="1"/>
  <c r="B14" i="7" s="1"/>
  <c r="B16" i="7" s="1"/>
  <c r="B18" i="7" s="1"/>
  <c r="B5" i="7"/>
  <c r="B7" i="7" s="1"/>
  <c r="B9" i="7" s="1"/>
  <c r="B11" i="7" s="1"/>
  <c r="B13" i="7" s="1"/>
  <c r="B15" i="7" s="1"/>
  <c r="B17" i="7" s="1"/>
  <c r="B19" i="7" s="1"/>
  <c r="B21" i="7" s="1"/>
  <c r="B23" i="7" s="1"/>
  <c r="B25" i="7" s="1"/>
  <c r="B27" i="7" s="1"/>
  <c r="B29" i="7" s="1"/>
  <c r="B31" i="7" s="1"/>
  <c r="B33" i="7" s="1"/>
  <c r="B35" i="7" s="1"/>
  <c r="B37" i="7" s="1"/>
  <c r="B39" i="7" s="1"/>
  <c r="B41" i="7" s="1"/>
  <c r="B43" i="7" s="1"/>
  <c r="B45" i="7" s="1"/>
  <c r="B47" i="7" s="1"/>
  <c r="B49" i="7" s="1"/>
  <c r="B51" i="7" s="1"/>
  <c r="B53" i="7" s="1"/>
  <c r="B55" i="7" s="1"/>
  <c r="B57" i="7" s="1"/>
  <c r="B59" i="7" s="1"/>
  <c r="B61" i="7" s="1"/>
  <c r="B63" i="7" s="1"/>
  <c r="B65" i="7" s="1"/>
  <c r="B6" i="4"/>
  <c r="B8" i="4" s="1"/>
  <c r="B10" i="4" s="1"/>
  <c r="B12" i="4" s="1"/>
  <c r="B14" i="4" s="1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B5" i="4"/>
  <c r="B7" i="4" s="1"/>
  <c r="B9" i="4" s="1"/>
  <c r="B11" i="4" s="1"/>
  <c r="B13" i="4" s="1"/>
  <c r="B15" i="4" s="1"/>
  <c r="B17" i="4" s="1"/>
  <c r="B19" i="4" s="1"/>
  <c r="B21" i="4" s="1"/>
  <c r="B23" i="4" s="1"/>
  <c r="B25" i="4" s="1"/>
  <c r="B27" i="4" s="1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B53" i="4" s="1"/>
  <c r="B55" i="4" s="1"/>
  <c r="B57" i="4" s="1"/>
  <c r="B59" i="4" s="1"/>
  <c r="B61" i="4" s="1"/>
  <c r="B63" i="4" s="1"/>
  <c r="B65" i="4" s="1"/>
  <c r="B6" i="5"/>
  <c r="B8" i="5" s="1"/>
  <c r="B10" i="5" s="1"/>
  <c r="B12" i="5" s="1"/>
  <c r="B14" i="5" s="1"/>
  <c r="B16" i="5" s="1"/>
  <c r="B18" i="5" s="1"/>
  <c r="B20" i="5" s="1"/>
  <c r="B22" i="5" s="1"/>
  <c r="B24" i="5" s="1"/>
  <c r="B26" i="5" s="1"/>
  <c r="B28" i="5" s="1"/>
  <c r="B30" i="5" s="1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B54" i="5" s="1"/>
  <c r="B56" i="5" s="1"/>
  <c r="B58" i="5" s="1"/>
  <c r="B60" i="5" s="1"/>
  <c r="B62" i="5" s="1"/>
  <c r="B64" i="5" s="1"/>
  <c r="B5" i="5"/>
  <c r="B7" i="5" s="1"/>
  <c r="B9" i="5" s="1"/>
  <c r="B11" i="5" s="1"/>
  <c r="B13" i="5" s="1"/>
  <c r="B15" i="5" s="1"/>
  <c r="B17" i="5" s="1"/>
  <c r="B19" i="5" s="1"/>
  <c r="B21" i="5" s="1"/>
  <c r="B23" i="5" s="1"/>
  <c r="B25" i="5" s="1"/>
  <c r="B27" i="5" s="1"/>
  <c r="B29" i="5" s="1"/>
  <c r="B31" i="5" s="1"/>
  <c r="B33" i="5" s="1"/>
  <c r="B35" i="5" s="1"/>
  <c r="B37" i="5" s="1"/>
  <c r="B39" i="5" s="1"/>
  <c r="B41" i="5" s="1"/>
  <c r="B43" i="5" s="1"/>
  <c r="B45" i="5" s="1"/>
  <c r="B47" i="5" s="1"/>
  <c r="B49" i="5" s="1"/>
  <c r="B51" i="5" s="1"/>
  <c r="B53" i="5" s="1"/>
  <c r="B55" i="5" s="1"/>
  <c r="B57" i="5" s="1"/>
  <c r="B59" i="5" s="1"/>
  <c r="B61" i="5" s="1"/>
  <c r="B63" i="5" s="1"/>
  <c r="B65" i="5" s="1"/>
  <c r="B20" i="7" l="1"/>
  <c r="B22" i="7" s="1"/>
  <c r="B24" i="7" s="1"/>
  <c r="B26" i="7" s="1"/>
  <c r="B28" i="7" s="1"/>
  <c r="B30" i="7" s="1"/>
  <c r="B32" i="7" s="1"/>
  <c r="B34" i="7" s="1"/>
  <c r="B36" i="7" s="1"/>
  <c r="B38" i="7" s="1"/>
  <c r="B40" i="7" s="1"/>
  <c r="B42" i="7" s="1"/>
  <c r="B44" i="7" s="1"/>
  <c r="B46" i="7" s="1"/>
  <c r="B48" i="7" s="1"/>
  <c r="B50" i="7" s="1"/>
  <c r="B52" i="7" s="1"/>
  <c r="B54" i="7" s="1"/>
  <c r="B56" i="7" s="1"/>
  <c r="B58" i="7" s="1"/>
  <c r="B60" i="7" s="1"/>
  <c r="B62" i="7" s="1"/>
  <c r="B64" i="7" s="1"/>
  <c r="B34" i="14"/>
  <c r="B36" i="14" s="1"/>
  <c r="B38" i="14" s="1"/>
  <c r="B40" i="14" s="1"/>
  <c r="B42" i="14" s="1"/>
  <c r="B44" i="14" s="1"/>
  <c r="B46" i="14" s="1"/>
  <c r="B48" i="14" s="1"/>
  <c r="B50" i="14" s="1"/>
  <c r="B52" i="14" s="1"/>
  <c r="B54" i="14" s="1"/>
  <c r="B56" i="14" s="1"/>
  <c r="B58" i="14" s="1"/>
  <c r="B60" i="14" s="1"/>
  <c r="B63" i="12"/>
  <c r="A61" i="12"/>
  <c r="B62" i="12"/>
  <c r="A60" i="12"/>
  <c r="B64" i="17"/>
  <c r="A64" i="17" s="1"/>
  <c r="A62" i="17"/>
  <c r="B65" i="17"/>
  <c r="A65" i="17" s="1"/>
  <c r="A63" i="17"/>
  <c r="B59" i="14"/>
  <c r="B61" i="14" s="1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H6" i="12"/>
  <c r="H5" i="12"/>
  <c r="H4" i="12"/>
  <c r="H4" i="10"/>
  <c r="G4" i="10"/>
  <c r="AB47" i="9"/>
  <c r="AA47" i="9"/>
  <c r="AB46" i="9"/>
  <c r="AA46" i="9"/>
  <c r="AB45" i="9"/>
  <c r="AA45" i="9"/>
  <c r="AB44" i="9"/>
  <c r="AA44" i="9"/>
  <c r="AB43" i="9"/>
  <c r="AA43" i="9"/>
  <c r="AB42" i="9"/>
  <c r="AA42" i="9"/>
  <c r="AB41" i="9"/>
  <c r="AA41" i="9"/>
  <c r="AB40" i="9"/>
  <c r="AA40" i="9"/>
  <c r="AB39" i="9"/>
  <c r="AA39" i="9"/>
  <c r="AB38" i="9"/>
  <c r="AA38" i="9"/>
  <c r="AB37" i="9"/>
  <c r="AA37" i="9"/>
  <c r="AB36" i="9"/>
  <c r="AA36" i="9"/>
  <c r="AB35" i="9"/>
  <c r="AA35" i="9"/>
  <c r="AB34" i="9"/>
  <c r="AA34" i="9"/>
  <c r="AB33" i="9"/>
  <c r="AA33" i="9"/>
  <c r="AB32" i="9"/>
  <c r="AA32" i="9"/>
  <c r="AB31" i="9"/>
  <c r="AA31" i="9"/>
  <c r="AB30" i="9"/>
  <c r="AA30" i="9"/>
  <c r="AB29" i="9"/>
  <c r="AA29" i="9"/>
  <c r="AB28" i="9"/>
  <c r="AA28" i="9"/>
  <c r="AB27" i="9"/>
  <c r="AA27" i="9"/>
  <c r="AB26" i="9"/>
  <c r="AA26" i="9"/>
  <c r="AB25" i="9"/>
  <c r="AA25" i="9"/>
  <c r="AB24" i="9"/>
  <c r="AA24" i="9"/>
  <c r="AB23" i="9"/>
  <c r="AA23" i="9"/>
  <c r="AB22" i="9"/>
  <c r="AA22" i="9"/>
  <c r="AB21" i="9"/>
  <c r="AA21" i="9"/>
  <c r="AB20" i="9"/>
  <c r="AA20" i="9"/>
  <c r="AB19" i="9"/>
  <c r="AA19" i="9"/>
  <c r="AB18" i="9"/>
  <c r="AA18" i="9"/>
  <c r="AB17" i="9"/>
  <c r="AA17" i="9"/>
  <c r="AB16" i="9"/>
  <c r="AA16" i="9"/>
  <c r="AB15" i="9"/>
  <c r="AA15" i="9"/>
  <c r="AB14" i="9"/>
  <c r="AA14" i="9"/>
  <c r="AB13" i="9"/>
  <c r="AA13" i="9"/>
  <c r="AB12" i="9"/>
  <c r="AA12" i="9"/>
  <c r="AB11" i="9"/>
  <c r="AA11" i="9"/>
  <c r="AB10" i="9"/>
  <c r="AA10" i="9"/>
  <c r="AB9" i="9"/>
  <c r="AA9" i="9"/>
  <c r="AB8" i="9"/>
  <c r="AA8" i="9"/>
  <c r="AB7" i="9"/>
  <c r="AA7" i="9"/>
  <c r="AB6" i="9"/>
  <c r="AA6" i="9"/>
  <c r="AB5" i="9"/>
  <c r="AA5" i="9"/>
  <c r="AB4" i="9"/>
  <c r="AA4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AG4" i="17"/>
  <c r="AF4" i="17"/>
  <c r="H4" i="17"/>
  <c r="G4" i="17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AP1" i="2"/>
  <c r="A4" i="2"/>
  <c r="AM4" i="2"/>
  <c r="AA4" i="2"/>
  <c r="AB4" i="2"/>
  <c r="AF4" i="2"/>
  <c r="AG4" i="2"/>
  <c r="AK4" i="2"/>
  <c r="AL4" i="2"/>
  <c r="AR4" i="2"/>
  <c r="B5" i="2"/>
  <c r="A5" i="2" s="1"/>
  <c r="AM5" i="2"/>
  <c r="AK5" i="2"/>
  <c r="AL5" i="2"/>
  <c r="AR5" i="2"/>
  <c r="B6" i="2"/>
  <c r="A6" i="2" s="1"/>
  <c r="AM6" i="2"/>
  <c r="AK6" i="2"/>
  <c r="AL6" i="2"/>
  <c r="AR6" i="2"/>
  <c r="AM7" i="2"/>
  <c r="AK7" i="2"/>
  <c r="AL7" i="2"/>
  <c r="AR7" i="2"/>
  <c r="AM8" i="2"/>
  <c r="AK8" i="2"/>
  <c r="AL8" i="2"/>
  <c r="AR8" i="2"/>
  <c r="AM9" i="2"/>
  <c r="AK9" i="2"/>
  <c r="AL9" i="2"/>
  <c r="AR9" i="2"/>
  <c r="AM10" i="2"/>
  <c r="AK10" i="2"/>
  <c r="AL10" i="2"/>
  <c r="AR10" i="2"/>
  <c r="AM11" i="2"/>
  <c r="AK11" i="2"/>
  <c r="AL11" i="2"/>
  <c r="AR11" i="2"/>
  <c r="AM12" i="2"/>
  <c r="AK12" i="2"/>
  <c r="AL12" i="2"/>
  <c r="AR12" i="2"/>
  <c r="AM13" i="2"/>
  <c r="AK13" i="2"/>
  <c r="AL13" i="2"/>
  <c r="AR13" i="2"/>
  <c r="AM14" i="2"/>
  <c r="AK14" i="2"/>
  <c r="AL14" i="2"/>
  <c r="AR14" i="2"/>
  <c r="AM15" i="2"/>
  <c r="AK15" i="2"/>
  <c r="AL15" i="2"/>
  <c r="AR15" i="2"/>
  <c r="AM16" i="2"/>
  <c r="AK16" i="2"/>
  <c r="AL16" i="2"/>
  <c r="AR16" i="2"/>
  <c r="AM17" i="2"/>
  <c r="AK17" i="2"/>
  <c r="AL17" i="2"/>
  <c r="AR17" i="2"/>
  <c r="AM18" i="2"/>
  <c r="AK18" i="2"/>
  <c r="AL18" i="2"/>
  <c r="AR18" i="2"/>
  <c r="AM19" i="2"/>
  <c r="AK19" i="2"/>
  <c r="AL19" i="2"/>
  <c r="AR19" i="2"/>
  <c r="AM20" i="2"/>
  <c r="AK20" i="2"/>
  <c r="AL20" i="2"/>
  <c r="AR20" i="2"/>
  <c r="AM21" i="2"/>
  <c r="AK21" i="2"/>
  <c r="AL21" i="2"/>
  <c r="AR21" i="2"/>
  <c r="AM22" i="2"/>
  <c r="AK22" i="2"/>
  <c r="AL22" i="2"/>
  <c r="AR22" i="2"/>
  <c r="AM23" i="2"/>
  <c r="AK23" i="2"/>
  <c r="AL23" i="2"/>
  <c r="AR23" i="2"/>
  <c r="AM24" i="2"/>
  <c r="AK24" i="2"/>
  <c r="AL24" i="2"/>
  <c r="AM25" i="2"/>
  <c r="AK25" i="2"/>
  <c r="AL25" i="2"/>
  <c r="AM26" i="2"/>
  <c r="AK26" i="2"/>
  <c r="AL26" i="2"/>
  <c r="AM27" i="2"/>
  <c r="AK27" i="2"/>
  <c r="AL27" i="2"/>
  <c r="AM28" i="2"/>
  <c r="AK28" i="2"/>
  <c r="AL28" i="2"/>
  <c r="AM29" i="2"/>
  <c r="AK29" i="2"/>
  <c r="AL29" i="2"/>
  <c r="AR29" i="2"/>
  <c r="AM30" i="2"/>
  <c r="AK30" i="2"/>
  <c r="AL30" i="2"/>
  <c r="AM31" i="2"/>
  <c r="AK31" i="2"/>
  <c r="AL31" i="2"/>
  <c r="AR31" i="2"/>
  <c r="AM32" i="2"/>
  <c r="AK32" i="2"/>
  <c r="AL32" i="2"/>
  <c r="AR32" i="2"/>
  <c r="AM33" i="2"/>
  <c r="AK33" i="2"/>
  <c r="AL33" i="2"/>
  <c r="AR33" i="2"/>
  <c r="AM34" i="2"/>
  <c r="AK34" i="2"/>
  <c r="AL34" i="2"/>
  <c r="AR34" i="2"/>
  <c r="AM35" i="2"/>
  <c r="AK35" i="2"/>
  <c r="AL35" i="2"/>
  <c r="AR35" i="2"/>
  <c r="AM36" i="2"/>
  <c r="AK36" i="2"/>
  <c r="AL36" i="2"/>
  <c r="AR36" i="2"/>
  <c r="AM37" i="2"/>
  <c r="AK37" i="2"/>
  <c r="AL37" i="2"/>
  <c r="AR37" i="2"/>
  <c r="AM38" i="2"/>
  <c r="AK38" i="2"/>
  <c r="AL38" i="2"/>
  <c r="AR38" i="2"/>
  <c r="AM39" i="2"/>
  <c r="AK39" i="2"/>
  <c r="AL39" i="2"/>
  <c r="AR39" i="2"/>
  <c r="AM40" i="2"/>
  <c r="AK40" i="2"/>
  <c r="AL40" i="2"/>
  <c r="AR40" i="2"/>
  <c r="AM41" i="2"/>
  <c r="AK41" i="2"/>
  <c r="AL41" i="2"/>
  <c r="AR41" i="2"/>
  <c r="AM42" i="2"/>
  <c r="AK42" i="2"/>
  <c r="AL42" i="2"/>
  <c r="AR42" i="2"/>
  <c r="AM43" i="2"/>
  <c r="AK43" i="2"/>
  <c r="AL43" i="2"/>
  <c r="AM44" i="2"/>
  <c r="AK44" i="2"/>
  <c r="AL44" i="2"/>
  <c r="AR44" i="2"/>
  <c r="AM45" i="2"/>
  <c r="AK45" i="2"/>
  <c r="AL45" i="2"/>
  <c r="AR45" i="2"/>
  <c r="AM46" i="2"/>
  <c r="AK46" i="2"/>
  <c r="AL46" i="2"/>
  <c r="AR46" i="2"/>
  <c r="AM47" i="2"/>
  <c r="AK47" i="2"/>
  <c r="AL47" i="2"/>
  <c r="AR47" i="2"/>
  <c r="AM48" i="2"/>
  <c r="AK48" i="2"/>
  <c r="AL48" i="2"/>
  <c r="AR48" i="2"/>
  <c r="AM49" i="2"/>
  <c r="AK49" i="2"/>
  <c r="AL49" i="2"/>
  <c r="AR49" i="2"/>
  <c r="AM50" i="2"/>
  <c r="AK50" i="2"/>
  <c r="AL50" i="2"/>
  <c r="AR50" i="2"/>
  <c r="AM51" i="2"/>
  <c r="AK51" i="2"/>
  <c r="AL51" i="2"/>
  <c r="AR51" i="2"/>
  <c r="AM52" i="2"/>
  <c r="AK52" i="2"/>
  <c r="AL52" i="2"/>
  <c r="AR52" i="2"/>
  <c r="AM53" i="2"/>
  <c r="AK53" i="2"/>
  <c r="AL53" i="2"/>
  <c r="AR53" i="2"/>
  <c r="AM54" i="2"/>
  <c r="AK54" i="2"/>
  <c r="AL54" i="2"/>
  <c r="AR54" i="2"/>
  <c r="AM55" i="2"/>
  <c r="AK55" i="2"/>
  <c r="AL55" i="2"/>
  <c r="AR55" i="2"/>
  <c r="AM56" i="2"/>
  <c r="AK56" i="2"/>
  <c r="AL56" i="2"/>
  <c r="AR56" i="2"/>
  <c r="AM57" i="2"/>
  <c r="AK57" i="2"/>
  <c r="AL57" i="2"/>
  <c r="AR57" i="2"/>
  <c r="AM58" i="2"/>
  <c r="AK58" i="2"/>
  <c r="AL58" i="2"/>
  <c r="AR58" i="2"/>
  <c r="AM59" i="2"/>
  <c r="AK59" i="2"/>
  <c r="AL59" i="2"/>
  <c r="AR59" i="2"/>
  <c r="AM60" i="2"/>
  <c r="AK60" i="2"/>
  <c r="AL60" i="2"/>
  <c r="AR60" i="2"/>
  <c r="AM61" i="2"/>
  <c r="AK61" i="2"/>
  <c r="AL61" i="2"/>
  <c r="AR61" i="2"/>
  <c r="AM62" i="2"/>
  <c r="AK62" i="2"/>
  <c r="AL62" i="2"/>
  <c r="AR62" i="2"/>
  <c r="AM63" i="2"/>
  <c r="AK63" i="2"/>
  <c r="AL63" i="2"/>
  <c r="AR63" i="2"/>
  <c r="AM64" i="2"/>
  <c r="AK64" i="2"/>
  <c r="AL64" i="2"/>
  <c r="AR64" i="2"/>
  <c r="AM65" i="2"/>
  <c r="AK65" i="2"/>
  <c r="AL65" i="2"/>
  <c r="AR65" i="2"/>
  <c r="J66" i="2"/>
  <c r="B62" i="14" l="1"/>
  <c r="A60" i="14"/>
  <c r="B63" i="14"/>
  <c r="A61" i="14"/>
  <c r="B64" i="12"/>
  <c r="A64" i="12" s="1"/>
  <c r="A62" i="12"/>
  <c r="B65" i="12"/>
  <c r="A65" i="12" s="1"/>
  <c r="A63" i="12"/>
  <c r="B7" i="2"/>
  <c r="B8" i="2"/>
  <c r="A8" i="2" s="1"/>
  <c r="AO63" i="2"/>
  <c r="AO61" i="2"/>
  <c r="AN48" i="2"/>
  <c r="AN6" i="2"/>
  <c r="AN8" i="2"/>
  <c r="AN10" i="2"/>
  <c r="AN12" i="2"/>
  <c r="AN14" i="2"/>
  <c r="AN16" i="2"/>
  <c r="AN18" i="2"/>
  <c r="AN20" i="2"/>
  <c r="AN22" i="2"/>
  <c r="AN24" i="2"/>
  <c r="AN26" i="2"/>
  <c r="AN28" i="2"/>
  <c r="AO6" i="2"/>
  <c r="AO8" i="2"/>
  <c r="AO10" i="2"/>
  <c r="AO12" i="2"/>
  <c r="AO14" i="2"/>
  <c r="AO16" i="2"/>
  <c r="AO18" i="2"/>
  <c r="AO20" i="2"/>
  <c r="AO22" i="2"/>
  <c r="AO24" i="2"/>
  <c r="AO26" i="2"/>
  <c r="AO28" i="2"/>
  <c r="AN5" i="2"/>
  <c r="AN7" i="2"/>
  <c r="AN9" i="2"/>
  <c r="AN11" i="2"/>
  <c r="AN13" i="2"/>
  <c r="AN15" i="2"/>
  <c r="AN17" i="2"/>
  <c r="AN19" i="2"/>
  <c r="AN21" i="2"/>
  <c r="AN23" i="2"/>
  <c r="AN25" i="2"/>
  <c r="AN27" i="2"/>
  <c r="AO5" i="2"/>
  <c r="AO7" i="2"/>
  <c r="AO9" i="2"/>
  <c r="AO11" i="2"/>
  <c r="AO13" i="2"/>
  <c r="AO15" i="2"/>
  <c r="AO17" i="2"/>
  <c r="AO19" i="2"/>
  <c r="AO21" i="2"/>
  <c r="AO23" i="2"/>
  <c r="AO25" i="2"/>
  <c r="AO27" i="2"/>
  <c r="AN64" i="2"/>
  <c r="AO65" i="2"/>
  <c r="AN62" i="2"/>
  <c r="AN60" i="2"/>
  <c r="AO64" i="2"/>
  <c r="AO62" i="2"/>
  <c r="AO60" i="2"/>
  <c r="AO58" i="2"/>
  <c r="AN58" i="2"/>
  <c r="AO59" i="2"/>
  <c r="AN65" i="2"/>
  <c r="AN63" i="2"/>
  <c r="AN61" i="2"/>
  <c r="AN59" i="2"/>
  <c r="AN56" i="2"/>
  <c r="AN54" i="2"/>
  <c r="AN52" i="2"/>
  <c r="AN50" i="2"/>
  <c r="AN57" i="2"/>
  <c r="AN55" i="2"/>
  <c r="AN53" i="2"/>
  <c r="AN51" i="2"/>
  <c r="AO56" i="2"/>
  <c r="AO54" i="2"/>
  <c r="AO52" i="2"/>
  <c r="AO50" i="2"/>
  <c r="AN46" i="2"/>
  <c r="AO57" i="2"/>
  <c r="AO55" i="2"/>
  <c r="AO53" i="2"/>
  <c r="AO51" i="2"/>
  <c r="AN49" i="2"/>
  <c r="AN47" i="2"/>
  <c r="AN45" i="2"/>
  <c r="AO48" i="2"/>
  <c r="AO46" i="2"/>
  <c r="AO44" i="2"/>
  <c r="AN44" i="2"/>
  <c r="AO49" i="2"/>
  <c r="AO47" i="2"/>
  <c r="AO45" i="2"/>
  <c r="AO29" i="2"/>
  <c r="AN29" i="2"/>
  <c r="AN36" i="2"/>
  <c r="AN38" i="2"/>
  <c r="AN40" i="2"/>
  <c r="AN42" i="2"/>
  <c r="AO36" i="2"/>
  <c r="AO38" i="2"/>
  <c r="AO40" i="2"/>
  <c r="AO42" i="2"/>
  <c r="AN37" i="2"/>
  <c r="AN39" i="2"/>
  <c r="AN41" i="2"/>
  <c r="AO37" i="2"/>
  <c r="AO39" i="2"/>
  <c r="AO41" i="2"/>
  <c r="AN30" i="2"/>
  <c r="AN32" i="2"/>
  <c r="AN34" i="2"/>
  <c r="AO30" i="2"/>
  <c r="AO32" i="2"/>
  <c r="AO34" i="2"/>
  <c r="AN31" i="2"/>
  <c r="AN33" i="2"/>
  <c r="AN35" i="2"/>
  <c r="AO31" i="2"/>
  <c r="AO33" i="2"/>
  <c r="AO35" i="2"/>
  <c r="AN4" i="2"/>
  <c r="AO4" i="2"/>
  <c r="AN43" i="2"/>
  <c r="AR43" i="2"/>
  <c r="AO43" i="2"/>
  <c r="AR28" i="2"/>
  <c r="AR30" i="2"/>
  <c r="AR26" i="2"/>
  <c r="AR25" i="2"/>
  <c r="AR24" i="2"/>
  <c r="AR27" i="2"/>
  <c r="G50" i="14"/>
  <c r="H50" i="14"/>
  <c r="G49" i="14"/>
  <c r="H49" i="14"/>
  <c r="G48" i="14"/>
  <c r="G46" i="14"/>
  <c r="G45" i="14"/>
  <c r="G44" i="14"/>
  <c r="G43" i="14"/>
  <c r="H42" i="14"/>
  <c r="H41" i="14"/>
  <c r="G40" i="14"/>
  <c r="H40" i="14"/>
  <c r="H38" i="14"/>
  <c r="G37" i="14"/>
  <c r="H37" i="14"/>
  <c r="G36" i="14"/>
  <c r="H36" i="14"/>
  <c r="H34" i="14"/>
  <c r="G33" i="14"/>
  <c r="H33" i="14"/>
  <c r="G32" i="14"/>
  <c r="G31" i="14"/>
  <c r="H30" i="14"/>
  <c r="AP50" i="2" l="1"/>
  <c r="AP64" i="2"/>
  <c r="B10" i="2"/>
  <c r="B12" i="2" s="1"/>
  <c r="AP59" i="2"/>
  <c r="AP61" i="2"/>
  <c r="AP31" i="2"/>
  <c r="B65" i="14"/>
  <c r="A65" i="14" s="1"/>
  <c r="A63" i="14"/>
  <c r="B64" i="14"/>
  <c r="A64" i="14" s="1"/>
  <c r="A62" i="14"/>
  <c r="AP63" i="2"/>
  <c r="AP27" i="2"/>
  <c r="AP15" i="2"/>
  <c r="AP7" i="2"/>
  <c r="B9" i="2"/>
  <c r="A7" i="2"/>
  <c r="AP48" i="2"/>
  <c r="AP11" i="2"/>
  <c r="AP60" i="2"/>
  <c r="AP4" i="2"/>
  <c r="AP57" i="2"/>
  <c r="AP55" i="2"/>
  <c r="AP53" i="2"/>
  <c r="AP21" i="2"/>
  <c r="AP13" i="2"/>
  <c r="AP5" i="2"/>
  <c r="AP22" i="2"/>
  <c r="AP14" i="2"/>
  <c r="AP6" i="2"/>
  <c r="AP44" i="2"/>
  <c r="AP51" i="2"/>
  <c r="AP19" i="2"/>
  <c r="AP28" i="2"/>
  <c r="AP20" i="2"/>
  <c r="AP12" i="2"/>
  <c r="AP25" i="2"/>
  <c r="AP17" i="2"/>
  <c r="AP9" i="2"/>
  <c r="AP26" i="2"/>
  <c r="AP18" i="2"/>
  <c r="AP10" i="2"/>
  <c r="AP42" i="2"/>
  <c r="AP23" i="2"/>
  <c r="AP24" i="2"/>
  <c r="AP16" i="2"/>
  <c r="AP8" i="2"/>
  <c r="AP46" i="2"/>
  <c r="AP39" i="2"/>
  <c r="AP37" i="2"/>
  <c r="AP52" i="2"/>
  <c r="AP29" i="2"/>
  <c r="AP62" i="2"/>
  <c r="AP65" i="2"/>
  <c r="AP58" i="2"/>
  <c r="AP56" i="2"/>
  <c r="AP54" i="2"/>
  <c r="AP45" i="2"/>
  <c r="AP47" i="2"/>
  <c r="AP49" i="2"/>
  <c r="AP36" i="2"/>
  <c r="AP43" i="2"/>
  <c r="AP38" i="2"/>
  <c r="AP40" i="2"/>
  <c r="AP41" i="2"/>
  <c r="AP33" i="2"/>
  <c r="AP34" i="2"/>
  <c r="AP32" i="2"/>
  <c r="AP30" i="2"/>
  <c r="AP35" i="2"/>
  <c r="AM66" i="2"/>
  <c r="AN66" i="2"/>
  <c r="A10" i="2"/>
  <c r="AO66" i="2"/>
  <c r="H51" i="14"/>
  <c r="H32" i="14"/>
  <c r="G35" i="14"/>
  <c r="G39" i="14"/>
  <c r="H45" i="14"/>
  <c r="H46" i="14"/>
  <c r="H47" i="14"/>
  <c r="H31" i="14"/>
  <c r="H43" i="14"/>
  <c r="G41" i="14"/>
  <c r="H44" i="14"/>
  <c r="H48" i="14"/>
  <c r="H35" i="14"/>
  <c r="H39" i="14"/>
  <c r="G30" i="14"/>
  <c r="G34" i="14"/>
  <c r="G38" i="14"/>
  <c r="G42" i="14"/>
  <c r="G47" i="14"/>
  <c r="G51" i="14"/>
  <c r="B11" i="2" l="1"/>
  <c r="A9" i="2"/>
  <c r="AP66" i="2"/>
  <c r="A12" i="2"/>
  <c r="B14" i="2"/>
  <c r="G43" i="13"/>
  <c r="G42" i="13"/>
  <c r="G41" i="13"/>
  <c r="H39" i="13"/>
  <c r="H38" i="13"/>
  <c r="H37" i="13"/>
  <c r="G36" i="13"/>
  <c r="G35" i="13"/>
  <c r="G34" i="13"/>
  <c r="G33" i="13"/>
  <c r="H31" i="13"/>
  <c r="G30" i="13"/>
  <c r="H30" i="13"/>
  <c r="B13" i="2" l="1"/>
  <c r="A11" i="2"/>
  <c r="A14" i="2"/>
  <c r="B16" i="2"/>
  <c r="G31" i="13"/>
  <c r="G39" i="13"/>
  <c r="H33" i="13"/>
  <c r="H34" i="13"/>
  <c r="H35" i="13"/>
  <c r="H41" i="13"/>
  <c r="H42" i="13"/>
  <c r="H43" i="13"/>
  <c r="G32" i="13"/>
  <c r="G37" i="13"/>
  <c r="G38" i="13"/>
  <c r="G40" i="13"/>
  <c r="H32" i="13"/>
  <c r="H36" i="13"/>
  <c r="H40" i="13"/>
  <c r="B15" i="2" l="1"/>
  <c r="A13" i="2"/>
  <c r="A16" i="2"/>
  <c r="B18" i="2"/>
  <c r="B17" i="2" l="1"/>
  <c r="A15" i="2"/>
  <c r="A18" i="2"/>
  <c r="B20" i="2"/>
  <c r="A17" i="2" l="1"/>
  <c r="B19" i="2"/>
  <c r="A20" i="2"/>
  <c r="B22" i="2"/>
  <c r="H42" i="11"/>
  <c r="H41" i="11"/>
  <c r="G40" i="11"/>
  <c r="G37" i="11"/>
  <c r="G36" i="11"/>
  <c r="H35" i="11"/>
  <c r="G33" i="11"/>
  <c r="H31" i="11"/>
  <c r="H30" i="11"/>
  <c r="A19" i="2" l="1"/>
  <c r="B21" i="2"/>
  <c r="A22" i="2"/>
  <c r="B24" i="2"/>
  <c r="H33" i="11"/>
  <c r="H34" i="11"/>
  <c r="H39" i="11"/>
  <c r="G32" i="11"/>
  <c r="H37" i="11"/>
  <c r="H38" i="11"/>
  <c r="G41" i="11"/>
  <c r="H32" i="11"/>
  <c r="G30" i="11"/>
  <c r="G34" i="11"/>
  <c r="G38" i="11"/>
  <c r="G42" i="11"/>
  <c r="H36" i="11"/>
  <c r="H40" i="11"/>
  <c r="G31" i="11"/>
  <c r="G35" i="11"/>
  <c r="G39" i="11"/>
  <c r="A21" i="2" l="1"/>
  <c r="B23" i="2"/>
  <c r="B26" i="2"/>
  <c r="A24" i="2"/>
  <c r="B25" i="2" l="1"/>
  <c r="A23" i="2"/>
  <c r="B28" i="2"/>
  <c r="B30" i="2" s="1"/>
  <c r="A26" i="2"/>
  <c r="A25" i="2" l="1"/>
  <c r="B27" i="2"/>
  <c r="A28" i="2"/>
  <c r="G41" i="9"/>
  <c r="G40" i="9"/>
  <c r="G37" i="9"/>
  <c r="G36" i="9"/>
  <c r="G33" i="9"/>
  <c r="G32" i="9"/>
  <c r="G31" i="9"/>
  <c r="H30" i="9"/>
  <c r="A27" i="2" l="1"/>
  <c r="B29" i="2"/>
  <c r="B32" i="2"/>
  <c r="A30" i="2"/>
  <c r="H35" i="9"/>
  <c r="H39" i="9"/>
  <c r="H42" i="9"/>
  <c r="H33" i="9"/>
  <c r="H34" i="9"/>
  <c r="H37" i="9"/>
  <c r="H38" i="9"/>
  <c r="H41" i="9"/>
  <c r="H31" i="9"/>
  <c r="G30" i="9"/>
  <c r="G34" i="9"/>
  <c r="G38" i="9"/>
  <c r="G42" i="9"/>
  <c r="H32" i="9"/>
  <c r="H36" i="9"/>
  <c r="H40" i="9"/>
  <c r="G35" i="9"/>
  <c r="G39" i="9"/>
  <c r="A29" i="2" l="1"/>
  <c r="B31" i="2"/>
  <c r="A32" i="2"/>
  <c r="B34" i="2"/>
  <c r="A31" i="2" l="1"/>
  <c r="B33" i="2"/>
  <c r="A34" i="2"/>
  <c r="B36" i="2"/>
  <c r="A33" i="2" l="1"/>
  <c r="B35" i="2"/>
  <c r="A36" i="2"/>
  <c r="B38" i="2"/>
  <c r="A35" i="2" l="1"/>
  <c r="B37" i="2"/>
  <c r="A38" i="2"/>
  <c r="B40" i="2"/>
  <c r="AP47" i="17" l="1"/>
  <c r="A37" i="2"/>
  <c r="B39" i="2"/>
  <c r="AP53" i="17"/>
  <c r="AP51" i="17"/>
  <c r="AP48" i="17"/>
  <c r="AP46" i="17"/>
  <c r="AP45" i="17"/>
  <c r="AP52" i="17"/>
  <c r="AP50" i="17"/>
  <c r="AP44" i="17"/>
  <c r="AP49" i="17"/>
  <c r="AP54" i="17"/>
  <c r="AP55" i="17"/>
  <c r="A40" i="2"/>
  <c r="B42" i="2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G48" i="7"/>
  <c r="G44" i="7"/>
  <c r="G40" i="7"/>
  <c r="G36" i="7"/>
  <c r="G32" i="7"/>
  <c r="H30" i="7"/>
  <c r="G30" i="7"/>
  <c r="H49" i="7"/>
  <c r="H48" i="7"/>
  <c r="G47" i="7"/>
  <c r="H47" i="7"/>
  <c r="H46" i="7"/>
  <c r="H45" i="7"/>
  <c r="H44" i="7"/>
  <c r="G43" i="7"/>
  <c r="H43" i="7"/>
  <c r="H42" i="7"/>
  <c r="H41" i="7"/>
  <c r="H40" i="7"/>
  <c r="G39" i="7"/>
  <c r="H39" i="7"/>
  <c r="H38" i="7"/>
  <c r="H37" i="7"/>
  <c r="H36" i="7"/>
  <c r="G35" i="7"/>
  <c r="H35" i="7"/>
  <c r="H34" i="7"/>
  <c r="H33" i="7"/>
  <c r="H32" i="7"/>
  <c r="G31" i="7"/>
  <c r="H31" i="7"/>
  <c r="A39" i="2" l="1"/>
  <c r="B41" i="2"/>
  <c r="A42" i="2"/>
  <c r="B44" i="2"/>
  <c r="G34" i="7"/>
  <c r="G38" i="7"/>
  <c r="G42" i="7"/>
  <c r="G33" i="7"/>
  <c r="G37" i="7"/>
  <c r="G41" i="7"/>
  <c r="G45" i="7"/>
  <c r="G49" i="7"/>
  <c r="G46" i="7"/>
  <c r="A41" i="2" l="1"/>
  <c r="B43" i="2"/>
  <c r="B46" i="2"/>
  <c r="A44" i="2"/>
  <c r="B45" i="2" l="1"/>
  <c r="A43" i="2"/>
  <c r="B48" i="2"/>
  <c r="A46" i="2"/>
  <c r="G53" i="4"/>
  <c r="G52" i="4"/>
  <c r="H50" i="4"/>
  <c r="H49" i="4"/>
  <c r="H48" i="4"/>
  <c r="H42" i="4"/>
  <c r="H41" i="4"/>
  <c r="H40" i="4"/>
  <c r="H34" i="4"/>
  <c r="H33" i="4"/>
  <c r="H32" i="4"/>
  <c r="G31" i="4"/>
  <c r="H30" i="4"/>
  <c r="A45" i="2" l="1"/>
  <c r="B47" i="2"/>
  <c r="B50" i="2"/>
  <c r="A48" i="2"/>
  <c r="H36" i="4"/>
  <c r="H37" i="4"/>
  <c r="H38" i="4"/>
  <c r="H52" i="4"/>
  <c r="H53" i="4"/>
  <c r="G32" i="4"/>
  <c r="G33" i="4"/>
  <c r="G48" i="4"/>
  <c r="G49" i="4"/>
  <c r="H51" i="4"/>
  <c r="H31" i="4"/>
  <c r="H39" i="4"/>
  <c r="G30" i="4"/>
  <c r="G50" i="4"/>
  <c r="H35" i="4"/>
  <c r="G51" i="4"/>
  <c r="A47" i="2" l="1"/>
  <c r="B49" i="2"/>
  <c r="B52" i="2"/>
  <c r="A50" i="2"/>
  <c r="A49" i="2" l="1"/>
  <c r="B51" i="2"/>
  <c r="B54" i="2"/>
  <c r="A52" i="2"/>
  <c r="A51" i="2" l="1"/>
  <c r="B53" i="2"/>
  <c r="B56" i="2"/>
  <c r="A54" i="2"/>
  <c r="Z70" i="3"/>
  <c r="Z71" i="3" s="1"/>
  <c r="Z69" i="3"/>
  <c r="Y70" i="3"/>
  <c r="Y69" i="3"/>
  <c r="Y71" i="3" s="1"/>
  <c r="V71" i="3"/>
  <c r="W71" i="3" l="1"/>
  <c r="X71" i="3"/>
  <c r="A53" i="2"/>
  <c r="B55" i="2"/>
  <c r="B58" i="2"/>
  <c r="A56" i="2"/>
  <c r="A55" i="2" l="1"/>
  <c r="B57" i="2"/>
  <c r="B60" i="2"/>
  <c r="A58" i="2"/>
  <c r="A57" i="2" l="1"/>
  <c r="B59" i="2"/>
  <c r="B62" i="2"/>
  <c r="A60" i="2"/>
  <c r="A59" i="2" l="1"/>
  <c r="B61" i="2"/>
  <c r="B64" i="2"/>
  <c r="A64" i="2" s="1"/>
  <c r="A62" i="2"/>
  <c r="A61" i="2" l="1"/>
  <c r="B63" i="2"/>
  <c r="AP42" i="17"/>
  <c r="AP43" i="17"/>
  <c r="A63" i="2" l="1"/>
  <c r="B65" i="2"/>
  <c r="A65" i="2" s="1"/>
  <c r="AP41" i="17"/>
  <c r="AP40" i="17"/>
  <c r="AP38" i="17"/>
  <c r="AP39" i="17"/>
  <c r="T65" i="9"/>
  <c r="S65" i="9"/>
  <c r="R65" i="9"/>
  <c r="AM65" i="9" s="1"/>
  <c r="T64" i="9"/>
  <c r="S64" i="9"/>
  <c r="R64" i="9"/>
  <c r="AM64" i="9" s="1"/>
  <c r="T63" i="9"/>
  <c r="S63" i="9"/>
  <c r="R63" i="9"/>
  <c r="AM63" i="9" s="1"/>
  <c r="T62" i="9"/>
  <c r="S62" i="9"/>
  <c r="R62" i="9"/>
  <c r="AM62" i="9" s="1"/>
  <c r="T61" i="9"/>
  <c r="S61" i="9"/>
  <c r="R61" i="9"/>
  <c r="AM61" i="9" s="1"/>
  <c r="T60" i="9"/>
  <c r="S60" i="9"/>
  <c r="R60" i="9"/>
  <c r="AM60" i="9" s="1"/>
  <c r="T59" i="9"/>
  <c r="S59" i="9"/>
  <c r="R59" i="9"/>
  <c r="AM59" i="9" s="1"/>
  <c r="T58" i="9"/>
  <c r="S58" i="9"/>
  <c r="R58" i="9"/>
  <c r="AM58" i="9" s="1"/>
  <c r="T57" i="9"/>
  <c r="S57" i="9"/>
  <c r="R57" i="9"/>
  <c r="AM57" i="9" s="1"/>
  <c r="T56" i="9"/>
  <c r="S56" i="9"/>
  <c r="R56" i="9"/>
  <c r="AM56" i="9" s="1"/>
  <c r="T55" i="9"/>
  <c r="S55" i="9"/>
  <c r="R55" i="9"/>
  <c r="AM55" i="9" s="1"/>
  <c r="T54" i="9"/>
  <c r="S54" i="9"/>
  <c r="R54" i="9"/>
  <c r="AM54" i="9" s="1"/>
  <c r="G55" i="9" s="1"/>
  <c r="T53" i="9"/>
  <c r="S53" i="9"/>
  <c r="R53" i="9"/>
  <c r="AM53" i="9" s="1"/>
  <c r="G54" i="9" s="1"/>
  <c r="T52" i="9"/>
  <c r="S52" i="9"/>
  <c r="R52" i="9"/>
  <c r="AM52" i="9" s="1"/>
  <c r="G53" i="9" s="1"/>
  <c r="T51" i="9"/>
  <c r="S51" i="9"/>
  <c r="R51" i="9"/>
  <c r="AM51" i="9" s="1"/>
  <c r="G52" i="9" s="1"/>
  <c r="T50" i="9"/>
  <c r="S50" i="9"/>
  <c r="R50" i="9"/>
  <c r="AM50" i="9" s="1"/>
  <c r="G51" i="9" s="1"/>
  <c r="T49" i="9"/>
  <c r="S49" i="9"/>
  <c r="R49" i="9"/>
  <c r="AM49" i="9" s="1"/>
  <c r="G50" i="9" s="1"/>
  <c r="T48" i="9"/>
  <c r="S48" i="9"/>
  <c r="R48" i="9"/>
  <c r="AM48" i="9" s="1"/>
  <c r="G49" i="9" s="1"/>
  <c r="T47" i="9"/>
  <c r="S47" i="9"/>
  <c r="R47" i="9"/>
  <c r="AM47" i="9" s="1"/>
  <c r="G48" i="9" s="1"/>
  <c r="T46" i="9"/>
  <c r="S46" i="9"/>
  <c r="R46" i="9"/>
  <c r="AM46" i="9" s="1"/>
  <c r="G47" i="9" s="1"/>
  <c r="T45" i="9"/>
  <c r="S45" i="9"/>
  <c r="R45" i="9"/>
  <c r="AM45" i="9" s="1"/>
  <c r="G46" i="9" s="1"/>
  <c r="T44" i="9"/>
  <c r="S44" i="9"/>
  <c r="R44" i="9"/>
  <c r="AM44" i="9" s="1"/>
  <c r="G45" i="9" s="1"/>
  <c r="T43" i="9"/>
  <c r="S43" i="9"/>
  <c r="R43" i="9"/>
  <c r="AM43" i="9" s="1"/>
  <c r="G44" i="9" s="1"/>
  <c r="T42" i="9"/>
  <c r="S42" i="9"/>
  <c r="R42" i="9"/>
  <c r="AM42" i="9" s="1"/>
  <c r="G43" i="9" s="1"/>
  <c r="T41" i="9"/>
  <c r="S41" i="9"/>
  <c r="R41" i="9"/>
  <c r="AM41" i="9" s="1"/>
  <c r="T40" i="9"/>
  <c r="S40" i="9"/>
  <c r="R40" i="9"/>
  <c r="AM40" i="9" s="1"/>
  <c r="T39" i="9"/>
  <c r="S39" i="9"/>
  <c r="R39" i="9"/>
  <c r="AM39" i="9" s="1"/>
  <c r="T38" i="9"/>
  <c r="S38" i="9"/>
  <c r="R38" i="9"/>
  <c r="AM38" i="9" s="1"/>
  <c r="T37" i="9"/>
  <c r="S37" i="9"/>
  <c r="R37" i="9"/>
  <c r="AM37" i="9" s="1"/>
  <c r="T36" i="9"/>
  <c r="S36" i="9"/>
  <c r="R36" i="9"/>
  <c r="AM36" i="9" s="1"/>
  <c r="T35" i="9"/>
  <c r="S35" i="9"/>
  <c r="R35" i="9"/>
  <c r="AM35" i="9" s="1"/>
  <c r="T34" i="9"/>
  <c r="S34" i="9"/>
  <c r="R34" i="9"/>
  <c r="AM34" i="9" s="1"/>
  <c r="T33" i="9"/>
  <c r="S33" i="9"/>
  <c r="R33" i="9"/>
  <c r="AM33" i="9" s="1"/>
  <c r="T32" i="9"/>
  <c r="S32" i="9"/>
  <c r="R32" i="9"/>
  <c r="AM32" i="9" s="1"/>
  <c r="T31" i="9"/>
  <c r="S31" i="9"/>
  <c r="R31" i="9"/>
  <c r="AM31" i="9" s="1"/>
  <c r="T30" i="9"/>
  <c r="S30" i="9"/>
  <c r="R30" i="9"/>
  <c r="AM30" i="9" s="1"/>
  <c r="T29" i="9"/>
  <c r="S29" i="9"/>
  <c r="R29" i="9"/>
  <c r="AM29" i="9" s="1"/>
  <c r="T28" i="9"/>
  <c r="S28" i="9"/>
  <c r="R28" i="9"/>
  <c r="AM28" i="9" s="1"/>
  <c r="T27" i="9"/>
  <c r="S27" i="9"/>
  <c r="R27" i="9"/>
  <c r="AM27" i="9" s="1"/>
  <c r="T26" i="9"/>
  <c r="S26" i="9"/>
  <c r="R26" i="9"/>
  <c r="AM26" i="9" s="1"/>
  <c r="T25" i="9"/>
  <c r="S25" i="9"/>
  <c r="R25" i="9"/>
  <c r="AM25" i="9" s="1"/>
  <c r="T24" i="9"/>
  <c r="S24" i="9"/>
  <c r="R24" i="9"/>
  <c r="AM24" i="9" s="1"/>
  <c r="T23" i="9"/>
  <c r="S23" i="9"/>
  <c r="R23" i="9"/>
  <c r="AM23" i="9" s="1"/>
  <c r="T22" i="9"/>
  <c r="S22" i="9"/>
  <c r="R22" i="9"/>
  <c r="AM22" i="9" s="1"/>
  <c r="T21" i="9"/>
  <c r="S21" i="9"/>
  <c r="R21" i="9"/>
  <c r="AM21" i="9" s="1"/>
  <c r="T20" i="9"/>
  <c r="S20" i="9"/>
  <c r="R20" i="9"/>
  <c r="AM20" i="9" s="1"/>
  <c r="T19" i="9"/>
  <c r="S19" i="9"/>
  <c r="R19" i="9"/>
  <c r="AM19" i="9" s="1"/>
  <c r="T18" i="9"/>
  <c r="S18" i="9"/>
  <c r="R18" i="9"/>
  <c r="AM18" i="9" s="1"/>
  <c r="T17" i="9"/>
  <c r="S17" i="9"/>
  <c r="R17" i="9"/>
  <c r="AM17" i="9" s="1"/>
  <c r="T16" i="9"/>
  <c r="S16" i="9"/>
  <c r="R16" i="9"/>
  <c r="AM16" i="9" s="1"/>
  <c r="T15" i="9"/>
  <c r="S15" i="9"/>
  <c r="R15" i="9"/>
  <c r="AM15" i="9" s="1"/>
  <c r="T14" i="9"/>
  <c r="S14" i="9"/>
  <c r="R14" i="9"/>
  <c r="AM14" i="9" s="1"/>
  <c r="T13" i="9"/>
  <c r="S13" i="9"/>
  <c r="R13" i="9"/>
  <c r="AM13" i="9" s="1"/>
  <c r="T12" i="9"/>
  <c r="S12" i="9"/>
  <c r="R12" i="9"/>
  <c r="AM12" i="9" s="1"/>
  <c r="T11" i="9"/>
  <c r="S11" i="9"/>
  <c r="R11" i="9"/>
  <c r="AM11" i="9" s="1"/>
  <c r="T10" i="9"/>
  <c r="S10" i="9"/>
  <c r="R10" i="9"/>
  <c r="AM10" i="9" s="1"/>
  <c r="T9" i="9"/>
  <c r="S9" i="9"/>
  <c r="R9" i="9"/>
  <c r="AM9" i="9" s="1"/>
  <c r="T8" i="9"/>
  <c r="S8" i="9"/>
  <c r="R8" i="9"/>
  <c r="AM8" i="9" s="1"/>
  <c r="T7" i="9"/>
  <c r="S7" i="9"/>
  <c r="R7" i="9"/>
  <c r="AM7" i="9" s="1"/>
  <c r="T6" i="9"/>
  <c r="S6" i="9"/>
  <c r="R6" i="9"/>
  <c r="AM6" i="9" s="1"/>
  <c r="T5" i="9"/>
  <c r="S5" i="9"/>
  <c r="R5" i="9"/>
  <c r="AM5" i="9" s="1"/>
  <c r="AB65" i="9"/>
  <c r="AA65" i="9"/>
  <c r="AB64" i="9"/>
  <c r="AA64" i="9"/>
  <c r="AB63" i="9"/>
  <c r="AA63" i="9"/>
  <c r="AB62" i="9"/>
  <c r="AA62" i="9"/>
  <c r="AB61" i="9"/>
  <c r="AA61" i="9"/>
  <c r="AB60" i="9"/>
  <c r="AA60" i="9"/>
  <c r="AB59" i="9"/>
  <c r="AA59" i="9"/>
  <c r="AB58" i="9"/>
  <c r="AA58" i="9"/>
  <c r="AB57" i="9"/>
  <c r="AA57" i="9"/>
  <c r="AB56" i="9"/>
  <c r="AA56" i="9"/>
  <c r="AB55" i="9"/>
  <c r="AA55" i="9"/>
  <c r="AB54" i="9"/>
  <c r="AA54" i="9"/>
  <c r="AB53" i="9"/>
  <c r="AA53" i="9"/>
  <c r="AB52" i="9"/>
  <c r="AA52" i="9"/>
  <c r="AL65" i="9"/>
  <c r="AK65" i="9"/>
  <c r="AL64" i="9"/>
  <c r="AK64" i="9"/>
  <c r="AL63" i="9"/>
  <c r="AK63" i="9"/>
  <c r="AL62" i="9"/>
  <c r="AK62" i="9"/>
  <c r="AL61" i="9"/>
  <c r="AK61" i="9"/>
  <c r="AL60" i="9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M29" i="12"/>
  <c r="H28" i="14"/>
  <c r="G27" i="14"/>
  <c r="H27" i="14"/>
  <c r="H25" i="14"/>
  <c r="G23" i="14"/>
  <c r="G22" i="14"/>
  <c r="H20" i="14"/>
  <c r="H19" i="14"/>
  <c r="G18" i="14"/>
  <c r="H18" i="14"/>
  <c r="G16" i="14"/>
  <c r="H16" i="14"/>
  <c r="AT35" i="9" l="1"/>
  <c r="AT25" i="9"/>
  <c r="AT39" i="9"/>
  <c r="AT41" i="9"/>
  <c r="AT55" i="9"/>
  <c r="AT61" i="9"/>
  <c r="G20" i="14"/>
  <c r="H21" i="14"/>
  <c r="H23" i="14"/>
  <c r="H24" i="14"/>
  <c r="G17" i="14"/>
  <c r="G19" i="14"/>
  <c r="G26" i="14"/>
  <c r="H29" i="14"/>
  <c r="H17" i="14"/>
  <c r="G24" i="14"/>
  <c r="G28" i="14"/>
  <c r="H22" i="14"/>
  <c r="H26" i="14"/>
  <c r="G21" i="14"/>
  <c r="G25" i="14"/>
  <c r="G29" i="14"/>
  <c r="H29" i="13" l="1"/>
  <c r="H28" i="13"/>
  <c r="H27" i="13"/>
  <c r="G25" i="13"/>
  <c r="H25" i="13"/>
  <c r="H24" i="13"/>
  <c r="G23" i="13"/>
  <c r="G22" i="13"/>
  <c r="H21" i="13"/>
  <c r="G19" i="13"/>
  <c r="G17" i="13"/>
  <c r="H17" i="13"/>
  <c r="H16" i="13"/>
  <c r="H20" i="13" l="1"/>
  <c r="G21" i="13"/>
  <c r="H23" i="13"/>
  <c r="G26" i="13"/>
  <c r="H19" i="13"/>
  <c r="G18" i="13"/>
  <c r="G27" i="13"/>
  <c r="G29" i="13"/>
  <c r="G16" i="13"/>
  <c r="G20" i="13"/>
  <c r="G24" i="13"/>
  <c r="G28" i="13"/>
  <c r="H26" i="13"/>
  <c r="H18" i="13"/>
  <c r="H22" i="13"/>
  <c r="H29" i="11" l="1"/>
  <c r="G28" i="11"/>
  <c r="H28" i="11"/>
  <c r="G27" i="11"/>
  <c r="H27" i="11"/>
  <c r="G26" i="11"/>
  <c r="G24" i="11"/>
  <c r="G23" i="11"/>
  <c r="G22" i="11"/>
  <c r="H21" i="11"/>
  <c r="G20" i="11"/>
  <c r="H20" i="11"/>
  <c r="G19" i="11"/>
  <c r="H19" i="11"/>
  <c r="G18" i="11"/>
  <c r="G16" i="11"/>
  <c r="H16" i="11"/>
  <c r="H17" i="11" l="1"/>
  <c r="H23" i="11"/>
  <c r="H24" i="11"/>
  <c r="H25" i="11"/>
  <c r="H18" i="11"/>
  <c r="H22" i="11"/>
  <c r="H26" i="11"/>
  <c r="G17" i="11"/>
  <c r="G21" i="11"/>
  <c r="G25" i="11"/>
  <c r="G29" i="11"/>
  <c r="AS29" i="10" l="1"/>
  <c r="G16" i="8" l="1"/>
  <c r="H16" i="8"/>
  <c r="AP32" i="17" l="1"/>
  <c r="AP34" i="17"/>
  <c r="AP35" i="17"/>
  <c r="AP31" i="17"/>
  <c r="AP36" i="17"/>
  <c r="AP37" i="17"/>
  <c r="AP33" i="17"/>
  <c r="AM30" i="4"/>
  <c r="AM31" i="4"/>
  <c r="AM32" i="4"/>
  <c r="AM33" i="4"/>
  <c r="AM34" i="4"/>
  <c r="AM35" i="4"/>
  <c r="AP30" i="17" l="1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G29" i="13" l="1"/>
  <c r="R29" i="13"/>
  <c r="T29" i="13"/>
  <c r="AB29" i="13" l="1"/>
  <c r="G29" i="4" l="1"/>
  <c r="G27" i="4"/>
  <c r="G26" i="4"/>
  <c r="H24" i="4"/>
  <c r="H23" i="4"/>
  <c r="H22" i="4"/>
  <c r="G21" i="4"/>
  <c r="G19" i="4"/>
  <c r="G18" i="4"/>
  <c r="H16" i="4"/>
  <c r="H18" i="4" l="1"/>
  <c r="H19" i="4"/>
  <c r="H20" i="4"/>
  <c r="H26" i="4"/>
  <c r="H27" i="4"/>
  <c r="H28" i="4"/>
  <c r="G17" i="4"/>
  <c r="G22" i="4"/>
  <c r="G23" i="4"/>
  <c r="G25" i="4"/>
  <c r="H21" i="4"/>
  <c r="H25" i="4"/>
  <c r="H29" i="4"/>
  <c r="G16" i="4"/>
  <c r="G20" i="4"/>
  <c r="G24" i="4"/>
  <c r="G28" i="4"/>
  <c r="H17" i="4"/>
  <c r="A61" i="17" l="1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L5" i="17"/>
  <c r="AK5" i="17"/>
  <c r="AM5" i="17"/>
  <c r="A5" i="17"/>
  <c r="AR4" i="17"/>
  <c r="AL4" i="17"/>
  <c r="AK4" i="17"/>
  <c r="T4" i="17"/>
  <c r="S4" i="17"/>
  <c r="R4" i="17"/>
  <c r="AM4" i="17" s="1"/>
  <c r="A4" i="17"/>
  <c r="AM66" i="17" l="1"/>
  <c r="AO4" i="17"/>
  <c r="AN4" i="17"/>
  <c r="AO5" i="17"/>
  <c r="AN5" i="17"/>
  <c r="AN66" i="17" l="1"/>
  <c r="AO66" i="17"/>
  <c r="J17" i="1" s="1"/>
  <c r="AP4" i="17"/>
  <c r="AP6" i="17"/>
  <c r="AP10" i="17"/>
  <c r="AP12" i="17"/>
  <c r="AQ23" i="17" s="1"/>
  <c r="AP8" i="17"/>
  <c r="AP15" i="17"/>
  <c r="AP14" i="17"/>
  <c r="AP13" i="17"/>
  <c r="AP17" i="17"/>
  <c r="AP16" i="17"/>
  <c r="AP11" i="17"/>
  <c r="AQ20" i="17"/>
  <c r="AP5" i="17"/>
  <c r="AP7" i="17"/>
  <c r="AP9" i="17"/>
  <c r="AP23" i="17"/>
  <c r="H17" i="1"/>
  <c r="AP24" i="17"/>
  <c r="AP28" i="17"/>
  <c r="AP19" i="17"/>
  <c r="AP22" i="17"/>
  <c r="AP18" i="17"/>
  <c r="AP27" i="17"/>
  <c r="AP29" i="17"/>
  <c r="AP26" i="17"/>
  <c r="AP25" i="17"/>
  <c r="AQ4" i="17" l="1"/>
  <c r="AQ12" i="17"/>
  <c r="AQ29" i="17"/>
  <c r="AQ6" i="17"/>
  <c r="AQ18" i="17"/>
  <c r="AQ28" i="17"/>
  <c r="AQ22" i="17"/>
  <c r="AQ25" i="17"/>
  <c r="AP21" i="17"/>
  <c r="AQ21" i="17"/>
  <c r="AQ62" i="17"/>
  <c r="AQ65" i="17"/>
  <c r="AQ64" i="17"/>
  <c r="AQ63" i="17"/>
  <c r="AQ58" i="17"/>
  <c r="AQ61" i="17"/>
  <c r="AQ56" i="17"/>
  <c r="AQ59" i="17"/>
  <c r="AQ57" i="17"/>
  <c r="AQ60" i="17"/>
  <c r="AQ54" i="17"/>
  <c r="AQ52" i="17"/>
  <c r="AQ48" i="17"/>
  <c r="AQ55" i="17"/>
  <c r="AQ45" i="17"/>
  <c r="AQ51" i="17"/>
  <c r="AQ44" i="17"/>
  <c r="AQ49" i="17"/>
  <c r="AQ50" i="17"/>
  <c r="AQ47" i="17"/>
  <c r="AQ46" i="17"/>
  <c r="AQ53" i="17"/>
  <c r="AQ42" i="17"/>
  <c r="AQ43" i="17"/>
  <c r="AQ38" i="17"/>
  <c r="AQ40" i="17"/>
  <c r="AQ39" i="17"/>
  <c r="AQ41" i="17"/>
  <c r="AQ34" i="17"/>
  <c r="AQ35" i="17"/>
  <c r="AQ31" i="17"/>
  <c r="AQ37" i="17"/>
  <c r="AQ36" i="17"/>
  <c r="AQ33" i="17"/>
  <c r="AQ32" i="17"/>
  <c r="AQ30" i="17"/>
  <c r="AQ10" i="17"/>
  <c r="AQ16" i="17"/>
  <c r="AQ14" i="17"/>
  <c r="AQ11" i="17"/>
  <c r="AQ19" i="17"/>
  <c r="AQ5" i="17"/>
  <c r="AQ8" i="17"/>
  <c r="AQ7" i="17"/>
  <c r="AQ17" i="17"/>
  <c r="AQ24" i="17"/>
  <c r="AQ27" i="17"/>
  <c r="AQ13" i="17"/>
  <c r="AQ9" i="17"/>
  <c r="AQ15" i="17"/>
  <c r="AQ26" i="17"/>
  <c r="I17" i="1"/>
  <c r="M17" i="1" s="1"/>
  <c r="AP20" i="17"/>
  <c r="G15" i="14"/>
  <c r="H15" i="14"/>
  <c r="H14" i="14"/>
  <c r="H13" i="14"/>
  <c r="AB59" i="14"/>
  <c r="AA59" i="14"/>
  <c r="AB58" i="14"/>
  <c r="AA58" i="14"/>
  <c r="AB57" i="14"/>
  <c r="AA57" i="14"/>
  <c r="AB56" i="14"/>
  <c r="AA56" i="14"/>
  <c r="AB55" i="14"/>
  <c r="AA55" i="14"/>
  <c r="AB54" i="14"/>
  <c r="AA54" i="14"/>
  <c r="AB53" i="14"/>
  <c r="AA53" i="14"/>
  <c r="AB52" i="14"/>
  <c r="AA52" i="14"/>
  <c r="AB51" i="14"/>
  <c r="AA51" i="14"/>
  <c r="AB50" i="14"/>
  <c r="AA50" i="14"/>
  <c r="AB49" i="14"/>
  <c r="AA49" i="14"/>
  <c r="AB48" i="14"/>
  <c r="AA48" i="14"/>
  <c r="AB47" i="14"/>
  <c r="AA47" i="14"/>
  <c r="AB46" i="14"/>
  <c r="AA46" i="14"/>
  <c r="AB45" i="14"/>
  <c r="AA45" i="14"/>
  <c r="AB44" i="14"/>
  <c r="AA44" i="14"/>
  <c r="AB43" i="14"/>
  <c r="AA43" i="14"/>
  <c r="AB42" i="14"/>
  <c r="AA42" i="14"/>
  <c r="AB41" i="14"/>
  <c r="AA41" i="14"/>
  <c r="AB40" i="14"/>
  <c r="AA40" i="14"/>
  <c r="AB39" i="14"/>
  <c r="AA39" i="14"/>
  <c r="AB38" i="14"/>
  <c r="AA38" i="14"/>
  <c r="AB37" i="14"/>
  <c r="AA37" i="14"/>
  <c r="AB36" i="14"/>
  <c r="AA36" i="14"/>
  <c r="AB35" i="14"/>
  <c r="AA35" i="14"/>
  <c r="AA34" i="14"/>
  <c r="AB33" i="14"/>
  <c r="AA33" i="14"/>
  <c r="AB32" i="14"/>
  <c r="AA32" i="14"/>
  <c r="AB31" i="14"/>
  <c r="AA31" i="14"/>
  <c r="AB30" i="14"/>
  <c r="AA30" i="14"/>
  <c r="AB29" i="14"/>
  <c r="AA29" i="14"/>
  <c r="AB28" i="14"/>
  <c r="AA28" i="14"/>
  <c r="AB27" i="14"/>
  <c r="AA27" i="14"/>
  <c r="AB26" i="14"/>
  <c r="AA26" i="14"/>
  <c r="AB25" i="14"/>
  <c r="AA25" i="14"/>
  <c r="AB24" i="14"/>
  <c r="AA24" i="14"/>
  <c r="AB23" i="14"/>
  <c r="AA23" i="14"/>
  <c r="AB22" i="14"/>
  <c r="AA22" i="14"/>
  <c r="AB21" i="14"/>
  <c r="AA21" i="14"/>
  <c r="AB20" i="14"/>
  <c r="AA20" i="14"/>
  <c r="AB19" i="14"/>
  <c r="AA19" i="14"/>
  <c r="AB18" i="14"/>
  <c r="AA18" i="14"/>
  <c r="AB17" i="14"/>
  <c r="AA17" i="14"/>
  <c r="AB16" i="14"/>
  <c r="AA16" i="14"/>
  <c r="AB15" i="14"/>
  <c r="AA15" i="14"/>
  <c r="AB14" i="14"/>
  <c r="AA14" i="14"/>
  <c r="AB13" i="14"/>
  <c r="AA13" i="14"/>
  <c r="AB12" i="14"/>
  <c r="AA12" i="14"/>
  <c r="AB11" i="14"/>
  <c r="AA11" i="14"/>
  <c r="AB10" i="14"/>
  <c r="AA10" i="14"/>
  <c r="AB9" i="14"/>
  <c r="AA9" i="14"/>
  <c r="AB8" i="14"/>
  <c r="AA8" i="14"/>
  <c r="AB7" i="14"/>
  <c r="AA7" i="14"/>
  <c r="AB6" i="14"/>
  <c r="AA6" i="14"/>
  <c r="AB5" i="14"/>
  <c r="AA5" i="14"/>
  <c r="T59" i="14"/>
  <c r="S59" i="14"/>
  <c r="R59" i="14"/>
  <c r="T58" i="14"/>
  <c r="S58" i="14"/>
  <c r="R58" i="14"/>
  <c r="T57" i="14"/>
  <c r="S57" i="14"/>
  <c r="R57" i="14"/>
  <c r="T56" i="14"/>
  <c r="S56" i="14"/>
  <c r="R56" i="14"/>
  <c r="T55" i="14"/>
  <c r="S55" i="14"/>
  <c r="R55" i="14"/>
  <c r="T54" i="14"/>
  <c r="S54" i="14"/>
  <c r="R54" i="14"/>
  <c r="T53" i="14"/>
  <c r="S53" i="14"/>
  <c r="R53" i="14"/>
  <c r="T52" i="14"/>
  <c r="S52" i="14"/>
  <c r="R52" i="14"/>
  <c r="T51" i="14"/>
  <c r="S51" i="14"/>
  <c r="R51" i="14"/>
  <c r="T50" i="14"/>
  <c r="S50" i="14"/>
  <c r="R50" i="14"/>
  <c r="T49" i="14"/>
  <c r="S49" i="14"/>
  <c r="R49" i="14"/>
  <c r="T48" i="14"/>
  <c r="S48" i="14"/>
  <c r="R48" i="14"/>
  <c r="T47" i="14"/>
  <c r="S47" i="14"/>
  <c r="R47" i="14"/>
  <c r="T46" i="14"/>
  <c r="S46" i="14"/>
  <c r="R46" i="14"/>
  <c r="T45" i="14"/>
  <c r="S45" i="14"/>
  <c r="R45" i="14"/>
  <c r="T44" i="14"/>
  <c r="S44" i="14"/>
  <c r="R44" i="14"/>
  <c r="T43" i="14"/>
  <c r="S43" i="14"/>
  <c r="R43" i="14"/>
  <c r="T42" i="14"/>
  <c r="S42" i="14"/>
  <c r="R42" i="14"/>
  <c r="T41" i="14"/>
  <c r="S41" i="14"/>
  <c r="R41" i="14"/>
  <c r="T40" i="14"/>
  <c r="S40" i="14"/>
  <c r="R40" i="14"/>
  <c r="T39" i="14"/>
  <c r="S39" i="14"/>
  <c r="R39" i="14"/>
  <c r="T38" i="14"/>
  <c r="S38" i="14"/>
  <c r="R38" i="14"/>
  <c r="T37" i="14"/>
  <c r="S37" i="14"/>
  <c r="R37" i="14"/>
  <c r="T36" i="14"/>
  <c r="S36" i="14"/>
  <c r="R36" i="14"/>
  <c r="T35" i="14"/>
  <c r="S35" i="14"/>
  <c r="R35" i="14"/>
  <c r="T34" i="14"/>
  <c r="S34" i="14"/>
  <c r="R34" i="14"/>
  <c r="T33" i="14"/>
  <c r="S33" i="14"/>
  <c r="R33" i="14"/>
  <c r="T32" i="14"/>
  <c r="S32" i="14"/>
  <c r="R32" i="14"/>
  <c r="T31" i="14"/>
  <c r="S31" i="14"/>
  <c r="R31" i="14"/>
  <c r="T30" i="14"/>
  <c r="S30" i="14"/>
  <c r="R30" i="14"/>
  <c r="T29" i="14"/>
  <c r="S29" i="14"/>
  <c r="R29" i="14"/>
  <c r="AM29" i="14" s="1"/>
  <c r="T28" i="14"/>
  <c r="S28" i="14"/>
  <c r="R28" i="14"/>
  <c r="T27" i="14"/>
  <c r="S27" i="14"/>
  <c r="R27" i="14"/>
  <c r="T26" i="14"/>
  <c r="S26" i="14"/>
  <c r="R26" i="14"/>
  <c r="T25" i="14"/>
  <c r="S25" i="14"/>
  <c r="R25" i="14"/>
  <c r="T24" i="14"/>
  <c r="S24" i="14"/>
  <c r="R24" i="14"/>
  <c r="T23" i="14"/>
  <c r="S23" i="14"/>
  <c r="R23" i="14"/>
  <c r="T22" i="14"/>
  <c r="S22" i="14"/>
  <c r="R22" i="14"/>
  <c r="T21" i="14"/>
  <c r="S21" i="14"/>
  <c r="R21" i="14"/>
  <c r="T20" i="14"/>
  <c r="S20" i="14"/>
  <c r="R20" i="14"/>
  <c r="T19" i="14"/>
  <c r="S19" i="14"/>
  <c r="R19" i="14"/>
  <c r="T18" i="14"/>
  <c r="S18" i="14"/>
  <c r="R18" i="14"/>
  <c r="T17" i="14"/>
  <c r="S17" i="14"/>
  <c r="R17" i="14"/>
  <c r="T16" i="14"/>
  <c r="S16" i="14"/>
  <c r="R16" i="14"/>
  <c r="T15" i="14"/>
  <c r="S15" i="14"/>
  <c r="R15" i="14"/>
  <c r="T14" i="14"/>
  <c r="S14" i="14"/>
  <c r="R14" i="14"/>
  <c r="T13" i="14"/>
  <c r="S13" i="14"/>
  <c r="R13" i="14"/>
  <c r="T12" i="14"/>
  <c r="S12" i="14"/>
  <c r="R12" i="14"/>
  <c r="T11" i="14"/>
  <c r="S11" i="14"/>
  <c r="R11" i="14"/>
  <c r="T10" i="14"/>
  <c r="S10" i="14"/>
  <c r="R10" i="14"/>
  <c r="T9" i="14"/>
  <c r="S9" i="14"/>
  <c r="R9" i="14"/>
  <c r="T8" i="14"/>
  <c r="S8" i="14"/>
  <c r="R8" i="14"/>
  <c r="T7" i="14"/>
  <c r="S7" i="14"/>
  <c r="R7" i="14"/>
  <c r="T6" i="14"/>
  <c r="S6" i="14"/>
  <c r="R6" i="14"/>
  <c r="T5" i="14"/>
  <c r="S5" i="14"/>
  <c r="R5" i="14"/>
  <c r="AB65" i="13"/>
  <c r="AA65" i="13"/>
  <c r="AB64" i="13"/>
  <c r="AA64" i="13"/>
  <c r="AB63" i="13"/>
  <c r="AA63" i="13"/>
  <c r="AB62" i="13"/>
  <c r="AA62" i="13"/>
  <c r="AB61" i="13"/>
  <c r="AB60" i="13"/>
  <c r="AB59" i="13"/>
  <c r="AB58" i="13"/>
  <c r="AB57" i="13"/>
  <c r="AB56" i="13"/>
  <c r="AB55" i="13"/>
  <c r="AB54" i="13"/>
  <c r="AB53" i="13"/>
  <c r="AB52" i="13"/>
  <c r="AB51" i="13"/>
  <c r="AB50" i="13"/>
  <c r="AB49" i="13"/>
  <c r="AB48" i="13"/>
  <c r="AB47" i="13"/>
  <c r="AA47" i="13"/>
  <c r="AB46" i="13"/>
  <c r="AA46" i="13"/>
  <c r="AB45" i="13"/>
  <c r="AA45" i="13"/>
  <c r="AB44" i="13"/>
  <c r="AA44" i="13"/>
  <c r="AB43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A29" i="13"/>
  <c r="AB28" i="13"/>
  <c r="AA28" i="13"/>
  <c r="AB27" i="13"/>
  <c r="AA27" i="13"/>
  <c r="AB26" i="13"/>
  <c r="AA26" i="13"/>
  <c r="AB25" i="13"/>
  <c r="AA25" i="13"/>
  <c r="AB24" i="13"/>
  <c r="AA24" i="13"/>
  <c r="AB23" i="13"/>
  <c r="AA23" i="13"/>
  <c r="AB22" i="13"/>
  <c r="AA22" i="13"/>
  <c r="AB21" i="13"/>
  <c r="AA21" i="13"/>
  <c r="AB20" i="13"/>
  <c r="AA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5" i="13"/>
  <c r="AA5" i="13"/>
  <c r="AB4" i="13"/>
  <c r="AA4" i="13"/>
  <c r="AG65" i="13"/>
  <c r="AF65" i="13"/>
  <c r="AG64" i="13"/>
  <c r="AF64" i="13"/>
  <c r="AG63" i="13"/>
  <c r="AF63" i="13"/>
  <c r="AG62" i="13"/>
  <c r="AF62" i="13"/>
  <c r="AG61" i="13"/>
  <c r="AF61" i="13"/>
  <c r="AG60" i="13"/>
  <c r="AF60" i="13"/>
  <c r="AG59" i="13"/>
  <c r="AF59" i="13"/>
  <c r="AG58" i="13"/>
  <c r="AF58" i="13"/>
  <c r="AG57" i="13"/>
  <c r="AF57" i="13"/>
  <c r="AG56" i="13"/>
  <c r="AF56" i="13"/>
  <c r="AG55" i="13"/>
  <c r="AF55" i="13"/>
  <c r="AG54" i="13"/>
  <c r="AF54" i="13"/>
  <c r="AG53" i="13"/>
  <c r="AF53" i="13"/>
  <c r="AG52" i="13"/>
  <c r="AF52" i="13"/>
  <c r="AG51" i="13"/>
  <c r="AF51" i="13"/>
  <c r="AG50" i="13"/>
  <c r="AF50" i="13"/>
  <c r="AG49" i="13"/>
  <c r="AF49" i="13"/>
  <c r="AG48" i="13"/>
  <c r="AF48" i="13"/>
  <c r="AG47" i="13"/>
  <c r="AF47" i="13"/>
  <c r="AG46" i="13"/>
  <c r="AF46" i="13"/>
  <c r="AG45" i="13"/>
  <c r="AF45" i="13"/>
  <c r="AG44" i="13"/>
  <c r="AF44" i="13"/>
  <c r="AG43" i="13"/>
  <c r="AF43" i="13"/>
  <c r="AG42" i="13"/>
  <c r="AF42" i="13"/>
  <c r="AG41" i="13"/>
  <c r="AF41" i="13"/>
  <c r="AG40" i="13"/>
  <c r="AF40" i="13"/>
  <c r="AG39" i="13"/>
  <c r="AF39" i="13"/>
  <c r="AG38" i="13"/>
  <c r="AF38" i="13"/>
  <c r="AG37" i="13"/>
  <c r="AF37" i="13"/>
  <c r="AG36" i="13"/>
  <c r="AF36" i="13"/>
  <c r="AG35" i="13"/>
  <c r="AF35" i="13"/>
  <c r="AG34" i="13"/>
  <c r="AF34" i="13"/>
  <c r="AG33" i="13"/>
  <c r="AF33" i="13"/>
  <c r="AG32" i="13"/>
  <c r="AF32" i="13"/>
  <c r="AG31" i="13"/>
  <c r="AF31" i="13"/>
  <c r="AG30" i="13"/>
  <c r="AF30" i="13"/>
  <c r="AF29" i="13"/>
  <c r="AG28" i="13"/>
  <c r="AF28" i="13"/>
  <c r="AG27" i="13"/>
  <c r="AF27" i="13"/>
  <c r="AG26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G19" i="13"/>
  <c r="AF19" i="13"/>
  <c r="AG18" i="13"/>
  <c r="AF18" i="13"/>
  <c r="AG17" i="13"/>
  <c r="AF17" i="13"/>
  <c r="AG16" i="13"/>
  <c r="AF16" i="13"/>
  <c r="AG15" i="13"/>
  <c r="AF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G5" i="13"/>
  <c r="AF5" i="13"/>
  <c r="G15" i="11"/>
  <c r="G13" i="11"/>
  <c r="G12" i="11"/>
  <c r="H10" i="11"/>
  <c r="H9" i="11"/>
  <c r="H8" i="11"/>
  <c r="G7" i="11"/>
  <c r="G5" i="11"/>
  <c r="H4" i="11"/>
  <c r="G4" i="11"/>
  <c r="AQ66" i="17" l="1"/>
  <c r="G13" i="14"/>
  <c r="G12" i="14"/>
  <c r="G14" i="14"/>
  <c r="H12" i="14"/>
  <c r="H5" i="11"/>
  <c r="H6" i="11"/>
  <c r="H12" i="11"/>
  <c r="H13" i="11"/>
  <c r="H14" i="11"/>
  <c r="G8" i="11"/>
  <c r="G9" i="11"/>
  <c r="G11" i="11"/>
  <c r="H7" i="11"/>
  <c r="H11" i="11"/>
  <c r="H15" i="11"/>
  <c r="G6" i="11"/>
  <c r="G10" i="11"/>
  <c r="G14" i="11"/>
  <c r="N17" i="1" l="1"/>
  <c r="AG4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AR65" i="4"/>
  <c r="AR64" i="4"/>
  <c r="AR63" i="4"/>
  <c r="AR62" i="4"/>
  <c r="AR61" i="4"/>
  <c r="AR60" i="4"/>
  <c r="AR59" i="4"/>
  <c r="AR58" i="4"/>
  <c r="AR57" i="4"/>
  <c r="AR56" i="4"/>
  <c r="AR55" i="4"/>
  <c r="AR54" i="4"/>
  <c r="AR53" i="4"/>
  <c r="AR52" i="4"/>
  <c r="AR51" i="4"/>
  <c r="AR50" i="4"/>
  <c r="AR4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4" i="4"/>
  <c r="AR5" i="4"/>
  <c r="AG65" i="4"/>
  <c r="AF65" i="4"/>
  <c r="AG64" i="4"/>
  <c r="AF64" i="4"/>
  <c r="AG63" i="4"/>
  <c r="AF63" i="4"/>
  <c r="AG62" i="4"/>
  <c r="AF62" i="4"/>
  <c r="AG61" i="4"/>
  <c r="AF61" i="4"/>
  <c r="AG60" i="4"/>
  <c r="AF60" i="4"/>
  <c r="AG59" i="4"/>
  <c r="AF59" i="4"/>
  <c r="AG58" i="4"/>
  <c r="AF58" i="4"/>
  <c r="AG57" i="4"/>
  <c r="AF57" i="4"/>
  <c r="AG56" i="4"/>
  <c r="AF56" i="4"/>
  <c r="AG55" i="4"/>
  <c r="AF55" i="4"/>
  <c r="AG54" i="4"/>
  <c r="AF54" i="4"/>
  <c r="AG53" i="4"/>
  <c r="AF53" i="4"/>
  <c r="AG52" i="4"/>
  <c r="AF52" i="4"/>
  <c r="AG51" i="4"/>
  <c r="AF51" i="4"/>
  <c r="AG50" i="4"/>
  <c r="AF50" i="4"/>
  <c r="AG49" i="4"/>
  <c r="AF49" i="4"/>
  <c r="AG48" i="4"/>
  <c r="AF48" i="4"/>
  <c r="AG47" i="4"/>
  <c r="AF47" i="4"/>
  <c r="AG46" i="4"/>
  <c r="AF46" i="4"/>
  <c r="AG45" i="4"/>
  <c r="AF45" i="4"/>
  <c r="AG44" i="4"/>
  <c r="AF44" i="4"/>
  <c r="AG43" i="4"/>
  <c r="AF43" i="4"/>
  <c r="AG42" i="4"/>
  <c r="AF42" i="4"/>
  <c r="AG41" i="4"/>
  <c r="AF41" i="4"/>
  <c r="AG40" i="4"/>
  <c r="AF40" i="4"/>
  <c r="AG39" i="4"/>
  <c r="AF39" i="4"/>
  <c r="AG38" i="4"/>
  <c r="AF38" i="4"/>
  <c r="AG37" i="4"/>
  <c r="AF37" i="4"/>
  <c r="AG36" i="4"/>
  <c r="AF36" i="4"/>
  <c r="AG35" i="4"/>
  <c r="AF35" i="4"/>
  <c r="AG34" i="4"/>
  <c r="AF34" i="4"/>
  <c r="AG33" i="4"/>
  <c r="AF33" i="4"/>
  <c r="AG32" i="4"/>
  <c r="AF32" i="4"/>
  <c r="AG31" i="4"/>
  <c r="AF31" i="4"/>
  <c r="AG30" i="4"/>
  <c r="AF30" i="4"/>
  <c r="AG29" i="4"/>
  <c r="AF29" i="4"/>
  <c r="AG28" i="4"/>
  <c r="AF28" i="4"/>
  <c r="AG27" i="4"/>
  <c r="AF27" i="4"/>
  <c r="AG26" i="4"/>
  <c r="AF26" i="4"/>
  <c r="AG25" i="4"/>
  <c r="AF25" i="4"/>
  <c r="AG24" i="4"/>
  <c r="AF24" i="4"/>
  <c r="AG23" i="4"/>
  <c r="AF23" i="4"/>
  <c r="AG22" i="4"/>
  <c r="AF22" i="4"/>
  <c r="AG21" i="4"/>
  <c r="AF21" i="4"/>
  <c r="AG20" i="4"/>
  <c r="AF20" i="4"/>
  <c r="AG19" i="4"/>
  <c r="AF19" i="4"/>
  <c r="AG18" i="4"/>
  <c r="AF18" i="4"/>
  <c r="AG17" i="4"/>
  <c r="AF17" i="4"/>
  <c r="AG16" i="4"/>
  <c r="AF16" i="4"/>
  <c r="AG15" i="4"/>
  <c r="AF15" i="4"/>
  <c r="AG14" i="4"/>
  <c r="AF14" i="4"/>
  <c r="AG13" i="4"/>
  <c r="AF13" i="4"/>
  <c r="AG12" i="4"/>
  <c r="AF12" i="4"/>
  <c r="AG11" i="4"/>
  <c r="AF11" i="4"/>
  <c r="AG10" i="4"/>
  <c r="AF10" i="4"/>
  <c r="AG9" i="4"/>
  <c r="AF9" i="4"/>
  <c r="AG8" i="4"/>
  <c r="AF8" i="4"/>
  <c r="AG7" i="4"/>
  <c r="AF7" i="4"/>
  <c r="AG6" i="4"/>
  <c r="AF6" i="4"/>
  <c r="AG5" i="4"/>
  <c r="AF5" i="4"/>
  <c r="AL65" i="4"/>
  <c r="AK65" i="4"/>
  <c r="AL64" i="4"/>
  <c r="AK64" i="4"/>
  <c r="AL63" i="4"/>
  <c r="AK63" i="4"/>
  <c r="AL62" i="4"/>
  <c r="AK62" i="4"/>
  <c r="AL61" i="4"/>
  <c r="AK61" i="4"/>
  <c r="AL60" i="4"/>
  <c r="AK60" i="4"/>
  <c r="AL59" i="4"/>
  <c r="AK59" i="4"/>
  <c r="AL58" i="4"/>
  <c r="AK58" i="4"/>
  <c r="AL57" i="4"/>
  <c r="AK57" i="4"/>
  <c r="AL56" i="4"/>
  <c r="AK56" i="4"/>
  <c r="AL55" i="4"/>
  <c r="AK55" i="4"/>
  <c r="AL54" i="4"/>
  <c r="AK54" i="4"/>
  <c r="AL53" i="4"/>
  <c r="AK53" i="4"/>
  <c r="AL52" i="4"/>
  <c r="AK52" i="4"/>
  <c r="AL51" i="4"/>
  <c r="AK51" i="4"/>
  <c r="AL50" i="4"/>
  <c r="AK50" i="4"/>
  <c r="AL49" i="4"/>
  <c r="AK49" i="4"/>
  <c r="AL48" i="4"/>
  <c r="AK48" i="4"/>
  <c r="AL47" i="4"/>
  <c r="AK47" i="4"/>
  <c r="AL46" i="4"/>
  <c r="AK46" i="4"/>
  <c r="AL45" i="4"/>
  <c r="AK45" i="4"/>
  <c r="AL44" i="4"/>
  <c r="AK44" i="4"/>
  <c r="AL43" i="4"/>
  <c r="AK43" i="4"/>
  <c r="AL42" i="4"/>
  <c r="AK42" i="4"/>
  <c r="AL41" i="4"/>
  <c r="AK41" i="4"/>
  <c r="AL40" i="4"/>
  <c r="AK40" i="4"/>
  <c r="AL39" i="4"/>
  <c r="AK39" i="4"/>
  <c r="AL38" i="4"/>
  <c r="AK38" i="4"/>
  <c r="AL37" i="4"/>
  <c r="AK37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L7" i="4"/>
  <c r="AK7" i="4"/>
  <c r="AL6" i="4"/>
  <c r="AK6" i="4"/>
  <c r="AL5" i="4"/>
  <c r="AK5" i="4"/>
  <c r="AN35" i="4" l="1"/>
  <c r="AN33" i="4"/>
  <c r="AN30" i="4"/>
  <c r="AN34" i="4"/>
  <c r="AN32" i="4"/>
  <c r="AN31" i="4"/>
  <c r="AO5" i="4"/>
  <c r="AO7" i="4"/>
  <c r="AO9" i="4"/>
  <c r="AN6" i="4"/>
  <c r="AN8" i="4"/>
  <c r="AO6" i="4"/>
  <c r="AO8" i="4"/>
  <c r="AN5" i="4"/>
  <c r="AN7" i="4"/>
  <c r="AN9" i="4"/>
  <c r="AL65" i="3"/>
  <c r="AK65" i="3"/>
  <c r="AL64" i="3"/>
  <c r="AK64" i="3"/>
  <c r="AL63" i="3"/>
  <c r="AK63" i="3"/>
  <c r="AL62" i="3"/>
  <c r="AK62" i="3"/>
  <c r="AL61" i="3"/>
  <c r="AK61" i="3"/>
  <c r="AL60" i="3"/>
  <c r="AK60" i="3"/>
  <c r="AL59" i="3"/>
  <c r="AK59" i="3"/>
  <c r="AL58" i="3"/>
  <c r="AK58" i="3"/>
  <c r="AL57" i="3"/>
  <c r="AK57" i="3"/>
  <c r="AL56" i="3"/>
  <c r="AK56" i="3"/>
  <c r="AL55" i="3"/>
  <c r="AK55" i="3"/>
  <c r="AL54" i="3"/>
  <c r="AK54" i="3"/>
  <c r="AL53" i="3"/>
  <c r="AK53" i="3"/>
  <c r="AL52" i="3"/>
  <c r="AK52" i="3"/>
  <c r="AL51" i="3"/>
  <c r="AK51" i="3"/>
  <c r="AL50" i="3"/>
  <c r="AK50" i="3"/>
  <c r="AL49" i="3"/>
  <c r="AK49" i="3"/>
  <c r="AL48" i="3"/>
  <c r="AK48" i="3"/>
  <c r="AL47" i="3"/>
  <c r="AK47" i="3"/>
  <c r="AL46" i="3"/>
  <c r="AK46" i="3"/>
  <c r="AL45" i="3"/>
  <c r="AK45" i="3"/>
  <c r="AL44" i="3"/>
  <c r="AK44" i="3"/>
  <c r="AL43" i="3"/>
  <c r="AK43" i="3"/>
  <c r="AL42" i="3"/>
  <c r="AK42" i="3"/>
  <c r="AL41" i="3"/>
  <c r="AK41" i="3"/>
  <c r="AL40" i="3"/>
  <c r="AK40" i="3"/>
  <c r="AL39" i="3"/>
  <c r="AK39" i="3"/>
  <c r="AL38" i="3"/>
  <c r="AK38" i="3"/>
  <c r="AL37" i="3"/>
  <c r="AK37" i="3"/>
  <c r="AL36" i="3"/>
  <c r="AK36" i="3"/>
  <c r="AL35" i="3"/>
  <c r="AK35" i="3"/>
  <c r="AL34" i="3"/>
  <c r="AK34" i="3"/>
  <c r="AL33" i="3"/>
  <c r="AK33" i="3"/>
  <c r="AL32" i="3"/>
  <c r="AK32" i="3"/>
  <c r="AL31" i="3"/>
  <c r="AK31" i="3"/>
  <c r="AL30" i="3"/>
  <c r="AK30" i="3"/>
  <c r="AL29" i="3"/>
  <c r="AK29" i="3"/>
  <c r="AL28" i="3"/>
  <c r="AK28" i="3"/>
  <c r="AL27" i="3"/>
  <c r="AK27" i="3"/>
  <c r="AL26" i="3"/>
  <c r="AK2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L10" i="3"/>
  <c r="AK10" i="3"/>
  <c r="AL9" i="3"/>
  <c r="AK9" i="3"/>
  <c r="AL8" i="3"/>
  <c r="AK8" i="3"/>
  <c r="AL7" i="3"/>
  <c r="AK7" i="3"/>
  <c r="AL6" i="3"/>
  <c r="AK6" i="3"/>
  <c r="AL5" i="3"/>
  <c r="AK5" i="3"/>
  <c r="AP8" i="4" l="1"/>
  <c r="AP9" i="4"/>
  <c r="AP7" i="4"/>
  <c r="AP6" i="4"/>
  <c r="AP5" i="4"/>
  <c r="G4" i="1"/>
  <c r="G65" i="16"/>
  <c r="A3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AP1" i="14"/>
  <c r="AP1" i="13"/>
  <c r="AP1" i="12"/>
  <c r="AP1" i="11"/>
  <c r="AP1" i="10"/>
  <c r="AP1" i="9"/>
  <c r="AP1" i="8"/>
  <c r="AP1" i="7"/>
  <c r="AP1" i="4"/>
  <c r="AP1" i="5"/>
  <c r="AP1" i="3"/>
  <c r="J66" i="3"/>
  <c r="AR7" i="11" l="1"/>
  <c r="J66" i="13" l="1"/>
  <c r="AL65" i="13"/>
  <c r="AK65" i="13"/>
  <c r="R65" i="13"/>
  <c r="T65" i="13" s="1"/>
  <c r="AR65" i="13"/>
  <c r="AL64" i="13"/>
  <c r="AK64" i="13"/>
  <c r="R64" i="13"/>
  <c r="T64" i="13" s="1"/>
  <c r="AM64" i="13" l="1"/>
  <c r="S65" i="13"/>
  <c r="AN65" i="13" s="1"/>
  <c r="S64" i="13"/>
  <c r="AN64" i="13" s="1"/>
  <c r="AR64" i="13"/>
  <c r="AO64" i="13"/>
  <c r="AM65" i="13"/>
  <c r="AO65" i="13"/>
  <c r="AP64" i="13" l="1"/>
  <c r="AP65" i="13"/>
  <c r="AK64" i="11" l="1"/>
  <c r="AL64" i="11"/>
  <c r="AK65" i="11"/>
  <c r="AL65" i="11"/>
  <c r="AF64" i="11"/>
  <c r="AG64" i="11"/>
  <c r="AF65" i="11"/>
  <c r="AG65" i="11"/>
  <c r="T65" i="11"/>
  <c r="S65" i="11"/>
  <c r="R65" i="11"/>
  <c r="AM65" i="11" s="1"/>
  <c r="T64" i="11"/>
  <c r="S64" i="11"/>
  <c r="R64" i="11"/>
  <c r="AM64" i="11" s="1"/>
  <c r="T63" i="11"/>
  <c r="S63" i="11"/>
  <c r="R63" i="11"/>
  <c r="T62" i="11"/>
  <c r="S62" i="11"/>
  <c r="R62" i="11"/>
  <c r="T61" i="11"/>
  <c r="S61" i="11"/>
  <c r="R61" i="11"/>
  <c r="T60" i="11"/>
  <c r="S60" i="11"/>
  <c r="R60" i="11"/>
  <c r="T59" i="11"/>
  <c r="S59" i="11"/>
  <c r="R59" i="11"/>
  <c r="T58" i="11"/>
  <c r="S58" i="11"/>
  <c r="R58" i="11"/>
  <c r="T57" i="11"/>
  <c r="S57" i="11"/>
  <c r="R57" i="11"/>
  <c r="T56" i="11"/>
  <c r="S56" i="11"/>
  <c r="R56" i="11"/>
  <c r="T55" i="11"/>
  <c r="S55" i="11"/>
  <c r="R55" i="11"/>
  <c r="T54" i="11"/>
  <c r="S54" i="11"/>
  <c r="R54" i="11"/>
  <c r="T53" i="11"/>
  <c r="S53" i="11"/>
  <c r="R53" i="11"/>
  <c r="T52" i="11"/>
  <c r="S52" i="11"/>
  <c r="R52" i="11"/>
  <c r="T51" i="11"/>
  <c r="S51" i="11"/>
  <c r="R51" i="11"/>
  <c r="T50" i="11"/>
  <c r="S50" i="11"/>
  <c r="R50" i="11"/>
  <c r="T49" i="11"/>
  <c r="S49" i="11"/>
  <c r="R49" i="11"/>
  <c r="T48" i="11"/>
  <c r="S48" i="11"/>
  <c r="R48" i="11"/>
  <c r="T47" i="11"/>
  <c r="S47" i="11"/>
  <c r="R47" i="11"/>
  <c r="T46" i="11"/>
  <c r="S46" i="11"/>
  <c r="R46" i="11"/>
  <c r="T45" i="11"/>
  <c r="S45" i="11"/>
  <c r="R45" i="11"/>
  <c r="T44" i="11"/>
  <c r="S44" i="11"/>
  <c r="R44" i="11"/>
  <c r="T43" i="11"/>
  <c r="S43" i="11"/>
  <c r="R43" i="11"/>
  <c r="T42" i="11"/>
  <c r="S42" i="11"/>
  <c r="R42" i="11"/>
  <c r="T41" i="11"/>
  <c r="S41" i="11"/>
  <c r="R41" i="11"/>
  <c r="T40" i="11"/>
  <c r="S40" i="11"/>
  <c r="R40" i="11"/>
  <c r="T39" i="11"/>
  <c r="S39" i="11"/>
  <c r="R39" i="11"/>
  <c r="T38" i="11"/>
  <c r="S38" i="11"/>
  <c r="R38" i="11"/>
  <c r="T37" i="11"/>
  <c r="S37" i="11"/>
  <c r="R37" i="11"/>
  <c r="T36" i="11"/>
  <c r="S36" i="11"/>
  <c r="R36" i="11"/>
  <c r="T35" i="11"/>
  <c r="S35" i="11"/>
  <c r="R35" i="11"/>
  <c r="T34" i="11"/>
  <c r="S34" i="11"/>
  <c r="R34" i="11"/>
  <c r="T33" i="11"/>
  <c r="S33" i="11"/>
  <c r="R33" i="11"/>
  <c r="T32" i="11"/>
  <c r="S32" i="11"/>
  <c r="R32" i="11"/>
  <c r="T31" i="11"/>
  <c r="S31" i="11"/>
  <c r="R31" i="11"/>
  <c r="T30" i="11"/>
  <c r="S30" i="11"/>
  <c r="R30" i="11"/>
  <c r="T29" i="11"/>
  <c r="S29" i="11"/>
  <c r="R29" i="11"/>
  <c r="T28" i="11"/>
  <c r="S28" i="11"/>
  <c r="R28" i="11"/>
  <c r="T27" i="11"/>
  <c r="S27" i="11"/>
  <c r="R27" i="11"/>
  <c r="T26" i="11"/>
  <c r="S26" i="11"/>
  <c r="R26" i="11"/>
  <c r="T25" i="11"/>
  <c r="S25" i="11"/>
  <c r="R25" i="11"/>
  <c r="T24" i="11"/>
  <c r="S24" i="11"/>
  <c r="R24" i="11"/>
  <c r="T23" i="11"/>
  <c r="S23" i="11"/>
  <c r="R23" i="11"/>
  <c r="T22" i="11"/>
  <c r="S22" i="11"/>
  <c r="R22" i="11"/>
  <c r="T21" i="11"/>
  <c r="S21" i="11"/>
  <c r="R21" i="11"/>
  <c r="T20" i="11"/>
  <c r="S20" i="11"/>
  <c r="R20" i="11"/>
  <c r="T19" i="11"/>
  <c r="S19" i="11"/>
  <c r="R19" i="11"/>
  <c r="AM19" i="11" s="1"/>
  <c r="T18" i="11"/>
  <c r="AO18" i="11" s="1"/>
  <c r="S18" i="11"/>
  <c r="AN18" i="11" s="1"/>
  <c r="R18" i="11"/>
  <c r="AM18" i="11" s="1"/>
  <c r="T17" i="11"/>
  <c r="AO17" i="11" s="1"/>
  <c r="S17" i="11"/>
  <c r="AN17" i="11" s="1"/>
  <c r="R17" i="11"/>
  <c r="AM17" i="11" s="1"/>
  <c r="T16" i="11"/>
  <c r="AO16" i="11" s="1"/>
  <c r="S16" i="11"/>
  <c r="AN16" i="11" s="1"/>
  <c r="R16" i="11"/>
  <c r="AM16" i="11" s="1"/>
  <c r="T15" i="11"/>
  <c r="AO15" i="11" s="1"/>
  <c r="S15" i="11"/>
  <c r="AN15" i="11" s="1"/>
  <c r="R15" i="11"/>
  <c r="AM15" i="11" s="1"/>
  <c r="T14" i="11"/>
  <c r="AO14" i="11" s="1"/>
  <c r="S14" i="11"/>
  <c r="AN14" i="11" s="1"/>
  <c r="R14" i="11"/>
  <c r="AM14" i="11" s="1"/>
  <c r="T13" i="11"/>
  <c r="AO13" i="11" s="1"/>
  <c r="S13" i="11"/>
  <c r="AN13" i="11" s="1"/>
  <c r="R13" i="11"/>
  <c r="AM13" i="11" s="1"/>
  <c r="T12" i="11"/>
  <c r="AO12" i="11" s="1"/>
  <c r="S12" i="11"/>
  <c r="AN12" i="11" s="1"/>
  <c r="R12" i="11"/>
  <c r="AM12" i="11" s="1"/>
  <c r="T11" i="11"/>
  <c r="AO11" i="11" s="1"/>
  <c r="S11" i="11"/>
  <c r="AN11" i="11" s="1"/>
  <c r="R11" i="11"/>
  <c r="AM11" i="11" s="1"/>
  <c r="T10" i="11"/>
  <c r="AO10" i="11" s="1"/>
  <c r="S10" i="11"/>
  <c r="AN10" i="11" s="1"/>
  <c r="R10" i="11"/>
  <c r="AM10" i="11" s="1"/>
  <c r="T9" i="11"/>
  <c r="AO9" i="11" s="1"/>
  <c r="S9" i="11"/>
  <c r="AN9" i="11" s="1"/>
  <c r="R9" i="11"/>
  <c r="AM9" i="11" s="1"/>
  <c r="T8" i="11"/>
  <c r="AO8" i="11" s="1"/>
  <c r="S8" i="11"/>
  <c r="AN8" i="11" s="1"/>
  <c r="R8" i="11"/>
  <c r="AM8" i="11" s="1"/>
  <c r="T7" i="11"/>
  <c r="AO7" i="11" s="1"/>
  <c r="S7" i="11"/>
  <c r="AN7" i="11" s="1"/>
  <c r="R7" i="11"/>
  <c r="AM7" i="11" s="1"/>
  <c r="T6" i="11"/>
  <c r="AO6" i="11" s="1"/>
  <c r="S6" i="11"/>
  <c r="AN6" i="11" s="1"/>
  <c r="R6" i="11"/>
  <c r="AM6" i="11" s="1"/>
  <c r="T5" i="11"/>
  <c r="AO5" i="11" s="1"/>
  <c r="S5" i="11"/>
  <c r="AN5" i="11" s="1"/>
  <c r="R5" i="11"/>
  <c r="AM5" i="11" s="1"/>
  <c r="J66" i="11"/>
  <c r="AT19" i="11" l="1"/>
  <c r="AP5" i="11"/>
  <c r="AP9" i="11"/>
  <c r="AP17" i="11"/>
  <c r="AP7" i="11"/>
  <c r="AP15" i="11"/>
  <c r="AP18" i="11"/>
  <c r="AP8" i="11"/>
  <c r="AP16" i="11"/>
  <c r="AP11" i="11"/>
  <c r="AP12" i="11"/>
  <c r="AP6" i="11"/>
  <c r="AP10" i="11"/>
  <c r="AP14" i="11"/>
  <c r="AP13" i="11"/>
  <c r="AN64" i="11"/>
  <c r="AO64" i="11"/>
  <c r="AO65" i="11"/>
  <c r="AN65" i="11"/>
  <c r="AP65" i="11" l="1"/>
  <c r="AP64" i="11"/>
  <c r="AF5" i="9"/>
  <c r="AN5" i="9" s="1"/>
  <c r="AG5" i="9"/>
  <c r="AO5" i="9" s="1"/>
  <c r="AF6" i="9"/>
  <c r="AN6" i="9" s="1"/>
  <c r="AG6" i="9"/>
  <c r="AO6" i="9" s="1"/>
  <c r="AF7" i="9"/>
  <c r="AN7" i="9" s="1"/>
  <c r="AG7" i="9"/>
  <c r="AO7" i="9" s="1"/>
  <c r="AF8" i="9"/>
  <c r="AN8" i="9" s="1"/>
  <c r="AG8" i="9"/>
  <c r="AO8" i="9" s="1"/>
  <c r="AF9" i="9"/>
  <c r="AN9" i="9" s="1"/>
  <c r="AG9" i="9"/>
  <c r="AO9" i="9" s="1"/>
  <c r="AF10" i="9"/>
  <c r="AN10" i="9" s="1"/>
  <c r="AG10" i="9"/>
  <c r="AO10" i="9" s="1"/>
  <c r="AF11" i="9"/>
  <c r="AN11" i="9" s="1"/>
  <c r="AG11" i="9"/>
  <c r="AO11" i="9" s="1"/>
  <c r="AF12" i="9"/>
  <c r="AN12" i="9" s="1"/>
  <c r="AG12" i="9"/>
  <c r="AO12" i="9" s="1"/>
  <c r="AF13" i="9"/>
  <c r="AN13" i="9" s="1"/>
  <c r="AG13" i="9"/>
  <c r="AO13" i="9" s="1"/>
  <c r="AF14" i="9"/>
  <c r="AN14" i="9" s="1"/>
  <c r="AG14" i="9"/>
  <c r="AO14" i="9" s="1"/>
  <c r="AF15" i="9"/>
  <c r="AN15" i="9" s="1"/>
  <c r="AG15" i="9"/>
  <c r="AO15" i="9" s="1"/>
  <c r="AF16" i="9"/>
  <c r="AN16" i="9" s="1"/>
  <c r="AG16" i="9"/>
  <c r="AO16" i="9" s="1"/>
  <c r="AF17" i="9"/>
  <c r="AN17" i="9" s="1"/>
  <c r="AG17" i="9"/>
  <c r="AO17" i="9" s="1"/>
  <c r="AF18" i="9"/>
  <c r="AN18" i="9" s="1"/>
  <c r="AG18" i="9"/>
  <c r="AO18" i="9" s="1"/>
  <c r="AF19" i="9"/>
  <c r="AN19" i="9" s="1"/>
  <c r="AG19" i="9"/>
  <c r="AO19" i="9" s="1"/>
  <c r="AF20" i="9"/>
  <c r="AN20" i="9" s="1"/>
  <c r="AG20" i="9"/>
  <c r="AO20" i="9" s="1"/>
  <c r="AF21" i="9"/>
  <c r="AN21" i="9" s="1"/>
  <c r="AG21" i="9"/>
  <c r="AO21" i="9" s="1"/>
  <c r="AF22" i="9"/>
  <c r="AN22" i="9" s="1"/>
  <c r="AG22" i="9"/>
  <c r="AO22" i="9" s="1"/>
  <c r="AF23" i="9"/>
  <c r="AN23" i="9" s="1"/>
  <c r="AG23" i="9"/>
  <c r="AO23" i="9" s="1"/>
  <c r="AF24" i="9"/>
  <c r="AN24" i="9" s="1"/>
  <c r="AG24" i="9"/>
  <c r="AO24" i="9" s="1"/>
  <c r="AF25" i="9"/>
  <c r="AN25" i="9" s="1"/>
  <c r="AG25" i="9"/>
  <c r="AO25" i="9" s="1"/>
  <c r="AF26" i="9"/>
  <c r="AN26" i="9" s="1"/>
  <c r="AG26" i="9"/>
  <c r="AO26" i="9" s="1"/>
  <c r="AF27" i="9"/>
  <c r="AN27" i="9" s="1"/>
  <c r="AG27" i="9"/>
  <c r="AO27" i="9" s="1"/>
  <c r="AF28" i="9"/>
  <c r="AN28" i="9" s="1"/>
  <c r="AG28" i="9"/>
  <c r="AO28" i="9" s="1"/>
  <c r="AF29" i="9"/>
  <c r="AN29" i="9" s="1"/>
  <c r="AG29" i="9"/>
  <c r="AO29" i="9" s="1"/>
  <c r="AF30" i="9"/>
  <c r="AN30" i="9" s="1"/>
  <c r="AG30" i="9"/>
  <c r="AO30" i="9" s="1"/>
  <c r="AF31" i="9"/>
  <c r="AN31" i="9" s="1"/>
  <c r="AG31" i="9"/>
  <c r="AO31" i="9" s="1"/>
  <c r="AF32" i="9"/>
  <c r="AN32" i="9" s="1"/>
  <c r="AG32" i="9"/>
  <c r="AO32" i="9" s="1"/>
  <c r="AF33" i="9"/>
  <c r="AN33" i="9" s="1"/>
  <c r="AG33" i="9"/>
  <c r="AO33" i="9" s="1"/>
  <c r="AF34" i="9"/>
  <c r="AN34" i="9" s="1"/>
  <c r="AG34" i="9"/>
  <c r="AO34" i="9" s="1"/>
  <c r="AF35" i="9"/>
  <c r="AN35" i="9" s="1"/>
  <c r="AG35" i="9"/>
  <c r="AO35" i="9" s="1"/>
  <c r="AF36" i="9"/>
  <c r="AN36" i="9" s="1"/>
  <c r="AG36" i="9"/>
  <c r="AO36" i="9" s="1"/>
  <c r="AF37" i="9"/>
  <c r="AN37" i="9" s="1"/>
  <c r="AG37" i="9"/>
  <c r="AO37" i="9" s="1"/>
  <c r="AF38" i="9"/>
  <c r="AN38" i="9" s="1"/>
  <c r="AG38" i="9"/>
  <c r="AO38" i="9" s="1"/>
  <c r="AF39" i="9"/>
  <c r="AN39" i="9" s="1"/>
  <c r="AG39" i="9"/>
  <c r="AO39" i="9" s="1"/>
  <c r="AF40" i="9"/>
  <c r="AN40" i="9" s="1"/>
  <c r="AG40" i="9"/>
  <c r="AO40" i="9" s="1"/>
  <c r="AF41" i="9"/>
  <c r="AN41" i="9" s="1"/>
  <c r="AG41" i="9"/>
  <c r="AO41" i="9" s="1"/>
  <c r="AF42" i="9"/>
  <c r="AN42" i="9" s="1"/>
  <c r="H43" i="9" s="1"/>
  <c r="AG42" i="9"/>
  <c r="AO42" i="9" s="1"/>
  <c r="AF43" i="9"/>
  <c r="AN43" i="9" s="1"/>
  <c r="H44" i="9" s="1"/>
  <c r="AG43" i="9"/>
  <c r="AO43" i="9" s="1"/>
  <c r="AF44" i="9"/>
  <c r="AN44" i="9" s="1"/>
  <c r="H45" i="9" s="1"/>
  <c r="AG44" i="9"/>
  <c r="AF45" i="9"/>
  <c r="AN45" i="9" s="1"/>
  <c r="H46" i="9" s="1"/>
  <c r="AG45" i="9"/>
  <c r="AO45" i="9" s="1"/>
  <c r="AF46" i="9"/>
  <c r="AN46" i="9" s="1"/>
  <c r="H47" i="9" s="1"/>
  <c r="AG46" i="9"/>
  <c r="AF47" i="9"/>
  <c r="AN47" i="9" s="1"/>
  <c r="H48" i="9" s="1"/>
  <c r="AG47" i="9"/>
  <c r="AF48" i="9"/>
  <c r="AN48" i="9" s="1"/>
  <c r="H49" i="9" s="1"/>
  <c r="AG48" i="9"/>
  <c r="AF49" i="9"/>
  <c r="AN49" i="9" s="1"/>
  <c r="H50" i="9" s="1"/>
  <c r="AG49" i="9"/>
  <c r="AF50" i="9"/>
  <c r="AN50" i="9" s="1"/>
  <c r="H51" i="9" s="1"/>
  <c r="AG50" i="9"/>
  <c r="AF51" i="9"/>
  <c r="AN51" i="9" s="1"/>
  <c r="H52" i="9" s="1"/>
  <c r="AG51" i="9"/>
  <c r="AF52" i="9"/>
  <c r="AN52" i="9" s="1"/>
  <c r="H53" i="9" s="1"/>
  <c r="AG52" i="9"/>
  <c r="AF53" i="9"/>
  <c r="AN53" i="9" s="1"/>
  <c r="H54" i="9" s="1"/>
  <c r="AG53" i="9"/>
  <c r="AF54" i="9"/>
  <c r="AN54" i="9" s="1"/>
  <c r="H55" i="9" s="1"/>
  <c r="AG54" i="9"/>
  <c r="AF55" i="9"/>
  <c r="AN55" i="9" s="1"/>
  <c r="AG55" i="9"/>
  <c r="AF56" i="9"/>
  <c r="AN56" i="9" s="1"/>
  <c r="AG56" i="9"/>
  <c r="AO56" i="9" s="1"/>
  <c r="AF57" i="9"/>
  <c r="AN57" i="9" s="1"/>
  <c r="AG57" i="9"/>
  <c r="AO57" i="9" s="1"/>
  <c r="AF58" i="9"/>
  <c r="AN58" i="9" s="1"/>
  <c r="AG58" i="9"/>
  <c r="AO58" i="9" s="1"/>
  <c r="AF59" i="9"/>
  <c r="AN59" i="9" s="1"/>
  <c r="AG59" i="9"/>
  <c r="AO59" i="9" s="1"/>
  <c r="AF60" i="9"/>
  <c r="AN60" i="9" s="1"/>
  <c r="AG60" i="9"/>
  <c r="AO60" i="9" s="1"/>
  <c r="AF61" i="9"/>
  <c r="AN61" i="9" s="1"/>
  <c r="AG61" i="9"/>
  <c r="AO61" i="9" s="1"/>
  <c r="AF62" i="9"/>
  <c r="AN62" i="9" s="1"/>
  <c r="AG62" i="9"/>
  <c r="AO62" i="9" s="1"/>
  <c r="AF63" i="9"/>
  <c r="AN63" i="9" s="1"/>
  <c r="AG63" i="9"/>
  <c r="AO63" i="9" s="1"/>
  <c r="AF64" i="9"/>
  <c r="AN64" i="9" s="1"/>
  <c r="AG64" i="9"/>
  <c r="AO64" i="9" s="1"/>
  <c r="AF65" i="9"/>
  <c r="AN65" i="9" s="1"/>
  <c r="AG65" i="9"/>
  <c r="AO65" i="9" s="1"/>
  <c r="AO55" i="9" l="1"/>
  <c r="AO53" i="9"/>
  <c r="AO51" i="9"/>
  <c r="AO49" i="9"/>
  <c r="AO47" i="9"/>
  <c r="AV35" i="9"/>
  <c r="AU35" i="9"/>
  <c r="AO54" i="9"/>
  <c r="AP54" i="9" s="1"/>
  <c r="AO52" i="9"/>
  <c r="AP52" i="9" s="1"/>
  <c r="AO50" i="9"/>
  <c r="AP50" i="9" s="1"/>
  <c r="AO48" i="9"/>
  <c r="AO46" i="9"/>
  <c r="AP46" i="9" s="1"/>
  <c r="AO44" i="9"/>
  <c r="AP44" i="9" s="1"/>
  <c r="AV25" i="9"/>
  <c r="AU25" i="9"/>
  <c r="AV39" i="9"/>
  <c r="AU39" i="9"/>
  <c r="AU55" i="9"/>
  <c r="AV41" i="9"/>
  <c r="AU41" i="9"/>
  <c r="AU61" i="9"/>
  <c r="AP61" i="9"/>
  <c r="AP29" i="9"/>
  <c r="AP27" i="9"/>
  <c r="AP7" i="9"/>
  <c r="AP5" i="9"/>
  <c r="AP63" i="9"/>
  <c r="AP62" i="9"/>
  <c r="AP56" i="9"/>
  <c r="AP25" i="9"/>
  <c r="AP30" i="9"/>
  <c r="AP28" i="9"/>
  <c r="AP24" i="9"/>
  <c r="AP23" i="9"/>
  <c r="AP9" i="9"/>
  <c r="AP22" i="9"/>
  <c r="AP20" i="9"/>
  <c r="AP18" i="9"/>
  <c r="AP21" i="9"/>
  <c r="AP19" i="9"/>
  <c r="AP17" i="9"/>
  <c r="AP15" i="9"/>
  <c r="AP13" i="9"/>
  <c r="AP11" i="9"/>
  <c r="AP16" i="9"/>
  <c r="AP14" i="9"/>
  <c r="AP12" i="9"/>
  <c r="AP10" i="9"/>
  <c r="AP8" i="9"/>
  <c r="AP6" i="9"/>
  <c r="AP59" i="9"/>
  <c r="AP60" i="9"/>
  <c r="AP65" i="9"/>
  <c r="AP64" i="9"/>
  <c r="AP53" i="9"/>
  <c r="AP58" i="9"/>
  <c r="AP57" i="9"/>
  <c r="AP55" i="9"/>
  <c r="AP51" i="9"/>
  <c r="AP49" i="9"/>
  <c r="AP47" i="9"/>
  <c r="AP26" i="9"/>
  <c r="AP42" i="9"/>
  <c r="AP40" i="9"/>
  <c r="AP38" i="9"/>
  <c r="AP36" i="9"/>
  <c r="AP34" i="9"/>
  <c r="AP32" i="9"/>
  <c r="AP45" i="9"/>
  <c r="AP43" i="9"/>
  <c r="AP41" i="9"/>
  <c r="AP39" i="9"/>
  <c r="AP37" i="9"/>
  <c r="AP35" i="9"/>
  <c r="AP33" i="9"/>
  <c r="AP31" i="9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K19" i="8"/>
  <c r="AL19" i="8"/>
  <c r="AK20" i="8"/>
  <c r="AL20" i="8"/>
  <c r="AK21" i="8"/>
  <c r="AL21" i="8"/>
  <c r="AK22" i="8"/>
  <c r="AL22" i="8"/>
  <c r="AK23" i="8"/>
  <c r="AL23" i="8"/>
  <c r="AK24" i="8"/>
  <c r="AL24" i="8"/>
  <c r="AK25" i="8"/>
  <c r="AL25" i="8"/>
  <c r="AK26" i="8"/>
  <c r="AL26" i="8"/>
  <c r="AK27" i="8"/>
  <c r="AL27" i="8"/>
  <c r="AK28" i="8"/>
  <c r="AL28" i="8"/>
  <c r="AK29" i="8"/>
  <c r="AL29" i="8"/>
  <c r="AK30" i="8"/>
  <c r="AL30" i="8"/>
  <c r="AK31" i="8"/>
  <c r="AL31" i="8"/>
  <c r="AK32" i="8"/>
  <c r="AL32" i="8"/>
  <c r="AK33" i="8"/>
  <c r="AL33" i="8"/>
  <c r="AK34" i="8"/>
  <c r="AL34" i="8"/>
  <c r="AK35" i="8"/>
  <c r="AL35" i="8"/>
  <c r="AK36" i="8"/>
  <c r="AL36" i="8"/>
  <c r="AK37" i="8"/>
  <c r="AL37" i="8"/>
  <c r="AK38" i="8"/>
  <c r="AL38" i="8"/>
  <c r="AK39" i="8"/>
  <c r="AL39" i="8"/>
  <c r="AK40" i="8"/>
  <c r="AL40" i="8"/>
  <c r="AK41" i="8"/>
  <c r="AL41" i="8"/>
  <c r="AK42" i="8"/>
  <c r="AL42" i="8"/>
  <c r="AK43" i="8"/>
  <c r="AL43" i="8"/>
  <c r="AK44" i="8"/>
  <c r="AL44" i="8"/>
  <c r="AK45" i="8"/>
  <c r="AL45" i="8"/>
  <c r="AK46" i="8"/>
  <c r="AL46" i="8"/>
  <c r="AK47" i="8"/>
  <c r="AL47" i="8"/>
  <c r="AK48" i="8"/>
  <c r="AL48" i="8"/>
  <c r="AK49" i="8"/>
  <c r="AL49" i="8"/>
  <c r="AK50" i="8"/>
  <c r="AL50" i="8"/>
  <c r="AK51" i="8"/>
  <c r="AL51" i="8"/>
  <c r="AK52" i="8"/>
  <c r="AL52" i="8"/>
  <c r="AK53" i="8"/>
  <c r="AL53" i="8"/>
  <c r="AK54" i="8"/>
  <c r="AL54" i="8"/>
  <c r="AK55" i="8"/>
  <c r="AL55" i="8"/>
  <c r="AK56" i="8"/>
  <c r="AL56" i="8"/>
  <c r="AK57" i="8"/>
  <c r="AL57" i="8"/>
  <c r="AK58" i="8"/>
  <c r="AL58" i="8"/>
  <c r="AK59" i="8"/>
  <c r="AL59" i="8"/>
  <c r="AK60" i="8"/>
  <c r="AL60" i="8"/>
  <c r="AK61" i="8"/>
  <c r="AL61" i="8"/>
  <c r="AK62" i="8"/>
  <c r="AL62" i="8"/>
  <c r="AK63" i="8"/>
  <c r="AL63" i="8"/>
  <c r="AK64" i="8"/>
  <c r="AL64" i="8"/>
  <c r="AK65" i="8"/>
  <c r="AL65" i="8"/>
  <c r="AF64" i="8"/>
  <c r="AG64" i="8"/>
  <c r="AF65" i="8"/>
  <c r="AG65" i="8"/>
  <c r="AB65" i="8"/>
  <c r="AA65" i="8"/>
  <c r="AA64" i="8"/>
  <c r="AB64" i="8"/>
  <c r="T65" i="8"/>
  <c r="S65" i="8"/>
  <c r="R65" i="8"/>
  <c r="AM65" i="8" s="1"/>
  <c r="T64" i="8"/>
  <c r="S64" i="8"/>
  <c r="R64" i="8"/>
  <c r="AM64" i="8" s="1"/>
  <c r="T63" i="8"/>
  <c r="S63" i="8"/>
  <c r="R63" i="8"/>
  <c r="AM63" i="8" s="1"/>
  <c r="T62" i="8"/>
  <c r="S62" i="8"/>
  <c r="R62" i="8"/>
  <c r="AM62" i="8" s="1"/>
  <c r="T61" i="8"/>
  <c r="S61" i="8"/>
  <c r="R61" i="8"/>
  <c r="AM61" i="8" s="1"/>
  <c r="T60" i="8"/>
  <c r="S60" i="8"/>
  <c r="R60" i="8"/>
  <c r="AM60" i="8" s="1"/>
  <c r="T59" i="8"/>
  <c r="S59" i="8"/>
  <c r="R59" i="8"/>
  <c r="AM59" i="8" s="1"/>
  <c r="T58" i="8"/>
  <c r="S58" i="8"/>
  <c r="R58" i="8"/>
  <c r="AM58" i="8" s="1"/>
  <c r="T57" i="8"/>
  <c r="S57" i="8"/>
  <c r="R57" i="8"/>
  <c r="AM57" i="8" s="1"/>
  <c r="T56" i="8"/>
  <c r="S56" i="8"/>
  <c r="R56" i="8"/>
  <c r="AM56" i="8" s="1"/>
  <c r="T55" i="8"/>
  <c r="S55" i="8"/>
  <c r="R55" i="8"/>
  <c r="AM55" i="8" s="1"/>
  <c r="T54" i="8"/>
  <c r="S54" i="8"/>
  <c r="R54" i="8"/>
  <c r="AM54" i="8" s="1"/>
  <c r="T53" i="8"/>
  <c r="S53" i="8"/>
  <c r="R53" i="8"/>
  <c r="AM53" i="8" s="1"/>
  <c r="T52" i="8"/>
  <c r="S52" i="8"/>
  <c r="R52" i="8"/>
  <c r="AM52" i="8" s="1"/>
  <c r="T51" i="8"/>
  <c r="S51" i="8"/>
  <c r="R51" i="8"/>
  <c r="AM51" i="8" s="1"/>
  <c r="T50" i="8"/>
  <c r="S50" i="8"/>
  <c r="R50" i="8"/>
  <c r="AM50" i="8" s="1"/>
  <c r="T49" i="8"/>
  <c r="S49" i="8"/>
  <c r="R49" i="8"/>
  <c r="AM49" i="8" s="1"/>
  <c r="T48" i="8"/>
  <c r="S48" i="8"/>
  <c r="R48" i="8"/>
  <c r="AM48" i="8" s="1"/>
  <c r="T47" i="8"/>
  <c r="S47" i="8"/>
  <c r="R47" i="8"/>
  <c r="AM47" i="8" s="1"/>
  <c r="T46" i="8"/>
  <c r="S46" i="8"/>
  <c r="R46" i="8"/>
  <c r="AM46" i="8" s="1"/>
  <c r="T45" i="8"/>
  <c r="S45" i="8"/>
  <c r="R45" i="8"/>
  <c r="AM45" i="8" s="1"/>
  <c r="T44" i="8"/>
  <c r="S44" i="8"/>
  <c r="R44" i="8"/>
  <c r="AM44" i="8" s="1"/>
  <c r="T43" i="8"/>
  <c r="S43" i="8"/>
  <c r="R43" i="8"/>
  <c r="AM43" i="8" s="1"/>
  <c r="T42" i="8"/>
  <c r="S42" i="8"/>
  <c r="R42" i="8"/>
  <c r="AM42" i="8" s="1"/>
  <c r="T41" i="8"/>
  <c r="S41" i="8"/>
  <c r="R41" i="8"/>
  <c r="AM41" i="8" s="1"/>
  <c r="T40" i="8"/>
  <c r="S40" i="8"/>
  <c r="R40" i="8"/>
  <c r="AM40" i="8" s="1"/>
  <c r="T39" i="8"/>
  <c r="S39" i="8"/>
  <c r="R39" i="8"/>
  <c r="AM39" i="8" s="1"/>
  <c r="T38" i="8"/>
  <c r="R38" i="8"/>
  <c r="AM38" i="8" s="1"/>
  <c r="T37" i="8"/>
  <c r="S37" i="8"/>
  <c r="R37" i="8"/>
  <c r="AM37" i="8" s="1"/>
  <c r="T36" i="8"/>
  <c r="S36" i="8"/>
  <c r="R36" i="8"/>
  <c r="AM36" i="8" s="1"/>
  <c r="T35" i="8"/>
  <c r="S35" i="8"/>
  <c r="R35" i="8"/>
  <c r="AM35" i="8" s="1"/>
  <c r="T34" i="8"/>
  <c r="S34" i="8"/>
  <c r="R34" i="8"/>
  <c r="AM34" i="8" s="1"/>
  <c r="T33" i="8"/>
  <c r="S33" i="8"/>
  <c r="R33" i="8"/>
  <c r="AM33" i="8" s="1"/>
  <c r="T32" i="8"/>
  <c r="S32" i="8"/>
  <c r="R32" i="8"/>
  <c r="AM32" i="8" s="1"/>
  <c r="T31" i="8"/>
  <c r="S31" i="8"/>
  <c r="R31" i="8"/>
  <c r="AM31" i="8" s="1"/>
  <c r="T30" i="8"/>
  <c r="S30" i="8"/>
  <c r="R30" i="8"/>
  <c r="AM30" i="8" s="1"/>
  <c r="T29" i="8"/>
  <c r="S29" i="8"/>
  <c r="R29" i="8"/>
  <c r="AM29" i="8" s="1"/>
  <c r="T28" i="8"/>
  <c r="S28" i="8"/>
  <c r="R28" i="8"/>
  <c r="T27" i="8"/>
  <c r="S27" i="8"/>
  <c r="R27" i="8"/>
  <c r="AM27" i="8" s="1"/>
  <c r="T26" i="8"/>
  <c r="S26" i="8"/>
  <c r="R26" i="8"/>
  <c r="T25" i="8"/>
  <c r="S25" i="8"/>
  <c r="R25" i="8"/>
  <c r="AM25" i="8" s="1"/>
  <c r="T24" i="8"/>
  <c r="S24" i="8"/>
  <c r="R24" i="8"/>
  <c r="T23" i="8"/>
  <c r="S23" i="8"/>
  <c r="R23" i="8"/>
  <c r="AM23" i="8" s="1"/>
  <c r="T22" i="8"/>
  <c r="S22" i="8"/>
  <c r="R22" i="8"/>
  <c r="T21" i="8"/>
  <c r="S21" i="8"/>
  <c r="R21" i="8"/>
  <c r="AM21" i="8" s="1"/>
  <c r="T20" i="8"/>
  <c r="S20" i="8"/>
  <c r="R20" i="8"/>
  <c r="AM20" i="8" s="1"/>
  <c r="T19" i="8"/>
  <c r="S19" i="8"/>
  <c r="R19" i="8"/>
  <c r="AM19" i="8" s="1"/>
  <c r="T18" i="8"/>
  <c r="S18" i="8"/>
  <c r="R18" i="8"/>
  <c r="T17" i="8"/>
  <c r="S17" i="8"/>
  <c r="R17" i="8"/>
  <c r="AM17" i="8" s="1"/>
  <c r="T16" i="8"/>
  <c r="S16" i="8"/>
  <c r="R16" i="8"/>
  <c r="T15" i="8"/>
  <c r="S15" i="8"/>
  <c r="R15" i="8"/>
  <c r="AM15" i="8" s="1"/>
  <c r="T14" i="8"/>
  <c r="S14" i="8"/>
  <c r="R14" i="8"/>
  <c r="AM14" i="8" s="1"/>
  <c r="T13" i="8"/>
  <c r="S13" i="8"/>
  <c r="R13" i="8"/>
  <c r="AM13" i="8" s="1"/>
  <c r="T12" i="8"/>
  <c r="S12" i="8"/>
  <c r="R12" i="8"/>
  <c r="AM12" i="8" s="1"/>
  <c r="T11" i="8"/>
  <c r="S11" i="8"/>
  <c r="R11" i="8"/>
  <c r="AM11" i="8" s="1"/>
  <c r="T10" i="8"/>
  <c r="S10" i="8"/>
  <c r="R10" i="8"/>
  <c r="AM10" i="8" s="1"/>
  <c r="T9" i="8"/>
  <c r="S9" i="8"/>
  <c r="R9" i="8"/>
  <c r="AM9" i="8" s="1"/>
  <c r="T8" i="8"/>
  <c r="S8" i="8"/>
  <c r="R8" i="8"/>
  <c r="AM8" i="8" s="1"/>
  <c r="T7" i="8"/>
  <c r="S7" i="8"/>
  <c r="R7" i="8"/>
  <c r="AM7" i="8" s="1"/>
  <c r="T6" i="8"/>
  <c r="S6" i="8"/>
  <c r="R6" i="8"/>
  <c r="AM6" i="8" s="1"/>
  <c r="T5" i="8"/>
  <c r="S5" i="8"/>
  <c r="R5" i="8"/>
  <c r="AM5" i="8" s="1"/>
  <c r="AV61" i="9" l="1"/>
  <c r="AV55" i="9"/>
  <c r="AP48" i="9"/>
  <c r="AT49" i="8"/>
  <c r="AT53" i="8"/>
  <c r="AT61" i="8"/>
  <c r="G19" i="8"/>
  <c r="AM18" i="8"/>
  <c r="G23" i="8"/>
  <c r="AM22" i="8"/>
  <c r="G27" i="8"/>
  <c r="AM26" i="8"/>
  <c r="G17" i="8"/>
  <c r="AM16" i="8"/>
  <c r="G25" i="8"/>
  <c r="AM24" i="8"/>
  <c r="AM28" i="8"/>
  <c r="AT41" i="8" s="1"/>
  <c r="AN64" i="8"/>
  <c r="AO65" i="8"/>
  <c r="AN65" i="8"/>
  <c r="AO64" i="8"/>
  <c r="G21" i="8"/>
  <c r="G20" i="8"/>
  <c r="G24" i="8"/>
  <c r="G18" i="8"/>
  <c r="G22" i="8"/>
  <c r="G26" i="8"/>
  <c r="AT21" i="8" l="1"/>
  <c r="AT29" i="8"/>
  <c r="AT25" i="8"/>
  <c r="AP64" i="8"/>
  <c r="AP65" i="8"/>
  <c r="J66" i="4"/>
  <c r="AO65" i="4"/>
  <c r="AN65" i="4"/>
  <c r="AM65" i="4"/>
  <c r="AO64" i="4"/>
  <c r="AN64" i="4"/>
  <c r="AM64" i="4"/>
  <c r="AO63" i="4"/>
  <c r="AN63" i="4"/>
  <c r="AM63" i="4"/>
  <c r="AO62" i="4"/>
  <c r="AN62" i="4"/>
  <c r="AM62" i="4"/>
  <c r="AO61" i="4"/>
  <c r="AN61" i="4"/>
  <c r="AM61" i="4"/>
  <c r="AO60" i="4"/>
  <c r="AN60" i="4"/>
  <c r="AM60" i="4"/>
  <c r="AO59" i="4"/>
  <c r="AN59" i="4"/>
  <c r="AM59" i="4"/>
  <c r="AO58" i="4"/>
  <c r="AN58" i="4"/>
  <c r="AM58" i="4"/>
  <c r="AO57" i="4"/>
  <c r="AN57" i="4"/>
  <c r="AM57" i="4"/>
  <c r="AO56" i="4"/>
  <c r="AN56" i="4"/>
  <c r="AM56" i="4"/>
  <c r="AO55" i="4"/>
  <c r="AN55" i="4"/>
  <c r="AM55" i="4"/>
  <c r="AO54" i="4"/>
  <c r="AN54" i="4"/>
  <c r="AM54" i="4"/>
  <c r="AO53" i="4"/>
  <c r="AN53" i="4"/>
  <c r="AM53" i="4"/>
  <c r="AO52" i="4"/>
  <c r="AN52" i="4"/>
  <c r="AM52" i="4"/>
  <c r="AO51" i="4"/>
  <c r="AN51" i="4"/>
  <c r="AM51" i="4"/>
  <c r="AO50" i="4"/>
  <c r="AN50" i="4"/>
  <c r="AM50" i="4"/>
  <c r="AO49" i="4"/>
  <c r="AN49" i="4"/>
  <c r="AM49" i="4"/>
  <c r="AO48" i="4"/>
  <c r="AN48" i="4"/>
  <c r="AM48" i="4"/>
  <c r="AM47" i="4"/>
  <c r="AM46" i="4"/>
  <c r="G47" i="4" s="1"/>
  <c r="AN47" i="4" s="1"/>
  <c r="AM45" i="4"/>
  <c r="G46" i="4" s="1"/>
  <c r="AN46" i="4" s="1"/>
  <c r="H47" i="4" s="1"/>
  <c r="AO47" i="4" s="1"/>
  <c r="AM44" i="4"/>
  <c r="G45" i="4" s="1"/>
  <c r="AN45" i="4" s="1"/>
  <c r="H46" i="4" s="1"/>
  <c r="AO46" i="4" s="1"/>
  <c r="AM43" i="4"/>
  <c r="G44" i="4" s="1"/>
  <c r="AN44" i="4" s="1"/>
  <c r="H45" i="4" s="1"/>
  <c r="AO45" i="4" s="1"/>
  <c r="AO42" i="4"/>
  <c r="AN42" i="4"/>
  <c r="H43" i="4" s="1"/>
  <c r="AO43" i="4" s="1"/>
  <c r="AM42" i="4"/>
  <c r="G43" i="4" s="1"/>
  <c r="AN43" i="4" s="1"/>
  <c r="H44" i="4" s="1"/>
  <c r="AO44" i="4" s="1"/>
  <c r="AO41" i="4"/>
  <c r="AN41" i="4"/>
  <c r="AM41" i="4"/>
  <c r="AO40" i="4"/>
  <c r="AN40" i="4"/>
  <c r="AM40" i="4"/>
  <c r="AO39" i="4"/>
  <c r="AN39" i="4"/>
  <c r="AM39" i="4"/>
  <c r="AO38" i="4"/>
  <c r="AN38" i="4"/>
  <c r="AM38" i="4"/>
  <c r="AO37" i="4"/>
  <c r="AN37" i="4"/>
  <c r="AM37" i="4"/>
  <c r="AO36" i="4"/>
  <c r="AN36" i="4"/>
  <c r="AM36" i="4"/>
  <c r="AO35" i="4"/>
  <c r="AO34" i="4"/>
  <c r="AO33" i="4"/>
  <c r="AO32" i="4"/>
  <c r="AO31" i="4"/>
  <c r="AO30" i="4"/>
  <c r="AO29" i="4"/>
  <c r="AN29" i="4"/>
  <c r="AM29" i="4"/>
  <c r="AO28" i="4"/>
  <c r="AN28" i="4"/>
  <c r="AM28" i="4"/>
  <c r="AO27" i="4"/>
  <c r="AN27" i="4"/>
  <c r="AM27" i="4"/>
  <c r="AO26" i="4"/>
  <c r="AN26" i="4"/>
  <c r="AM26" i="4"/>
  <c r="AO25" i="4"/>
  <c r="AN25" i="4"/>
  <c r="AM25" i="4"/>
  <c r="AO24" i="4"/>
  <c r="AN24" i="4"/>
  <c r="AM24" i="4"/>
  <c r="AO23" i="4"/>
  <c r="AN23" i="4"/>
  <c r="AM23" i="4"/>
  <c r="AO22" i="4"/>
  <c r="AN22" i="4"/>
  <c r="AM22" i="4"/>
  <c r="AO21" i="4"/>
  <c r="AN21" i="4"/>
  <c r="AM21" i="4"/>
  <c r="AO20" i="4"/>
  <c r="AN20" i="4"/>
  <c r="AM20" i="4"/>
  <c r="AO19" i="4"/>
  <c r="AN19" i="4"/>
  <c r="AM19" i="4"/>
  <c r="AO18" i="4"/>
  <c r="AN18" i="4"/>
  <c r="AM18" i="4"/>
  <c r="AO17" i="4"/>
  <c r="AN17" i="4"/>
  <c r="AM17" i="4"/>
  <c r="AO16" i="4"/>
  <c r="AN16" i="4"/>
  <c r="AM16" i="4"/>
  <c r="AO15" i="4"/>
  <c r="AN15" i="4"/>
  <c r="AM15" i="4"/>
  <c r="AO14" i="4"/>
  <c r="AN14" i="4"/>
  <c r="AM14" i="4"/>
  <c r="AO13" i="4"/>
  <c r="AN13" i="4"/>
  <c r="AM13" i="4"/>
  <c r="AO12" i="4"/>
  <c r="AN12" i="4"/>
  <c r="AM12" i="4"/>
  <c r="AO11" i="4"/>
  <c r="AN11" i="4"/>
  <c r="AM11" i="4"/>
  <c r="AO10" i="4"/>
  <c r="AN10" i="4"/>
  <c r="AM10" i="4"/>
  <c r="AP11" i="4" l="1"/>
  <c r="AP63" i="4"/>
  <c r="AP53" i="4"/>
  <c r="AP25" i="4"/>
  <c r="AP23" i="4"/>
  <c r="AP13" i="4"/>
  <c r="AP17" i="4"/>
  <c r="AP15" i="4"/>
  <c r="AP10" i="4"/>
  <c r="AP18" i="4"/>
  <c r="AP14" i="4"/>
  <c r="AP12" i="4"/>
  <c r="AP16" i="4"/>
  <c r="AP20" i="4"/>
  <c r="AP21" i="4"/>
  <c r="AP24" i="4"/>
  <c r="AP28" i="4"/>
  <c r="AP29" i="4"/>
  <c r="AP19" i="4"/>
  <c r="AP22" i="4"/>
  <c r="AP26" i="4"/>
  <c r="AP27" i="4"/>
  <c r="AP58" i="4"/>
  <c r="AP61" i="4"/>
  <c r="AP65" i="4"/>
  <c r="AP60" i="4"/>
  <c r="AP64" i="4"/>
  <c r="AP59" i="4"/>
  <c r="AP62" i="4"/>
  <c r="AP57" i="4"/>
  <c r="AP45" i="4"/>
  <c r="AP52" i="4"/>
  <c r="AP56" i="4"/>
  <c r="AP55" i="4"/>
  <c r="AP54" i="4"/>
  <c r="AP49" i="4"/>
  <c r="AP44" i="4"/>
  <c r="AP48" i="4"/>
  <c r="AP47" i="4"/>
  <c r="AP51" i="4"/>
  <c r="AP46" i="4"/>
  <c r="AP50" i="4"/>
  <c r="AP43" i="4"/>
  <c r="AP42" i="4"/>
  <c r="AP41" i="4"/>
  <c r="AP40" i="4"/>
  <c r="AP32" i="4"/>
  <c r="AP37" i="4"/>
  <c r="AP33" i="4"/>
  <c r="AP36" i="4"/>
  <c r="AP34" i="4"/>
  <c r="AP30" i="4"/>
  <c r="AP31" i="4"/>
  <c r="AP35" i="4"/>
  <c r="AP38" i="4"/>
  <c r="AP39" i="4"/>
  <c r="J66" i="5"/>
  <c r="R66" i="5" s="1"/>
  <c r="AM59" i="5"/>
  <c r="AM58" i="5"/>
  <c r="AM57" i="5"/>
  <c r="AM56" i="5"/>
  <c r="AM55" i="5"/>
  <c r="AM54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AM6" i="5"/>
  <c r="AM5" i="5"/>
  <c r="AP65" i="5" l="1"/>
  <c r="AO65" i="3"/>
  <c r="AN65" i="3"/>
  <c r="AM65" i="3"/>
  <c r="AO64" i="3"/>
  <c r="AN64" i="3"/>
  <c r="AM64" i="3"/>
  <c r="AO63" i="3"/>
  <c r="AN63" i="3"/>
  <c r="AM63" i="3"/>
  <c r="AO62" i="3"/>
  <c r="AN62" i="3"/>
  <c r="AM62" i="3"/>
  <c r="AO61" i="3"/>
  <c r="AN61" i="3"/>
  <c r="AM61" i="3"/>
  <c r="AO60" i="3"/>
  <c r="AN60" i="3"/>
  <c r="AM60" i="3"/>
  <c r="AO59" i="3"/>
  <c r="AN59" i="3"/>
  <c r="AM59" i="3"/>
  <c r="AO58" i="3"/>
  <c r="AN58" i="3"/>
  <c r="AM58" i="3"/>
  <c r="AO57" i="3"/>
  <c r="AN57" i="3"/>
  <c r="AM57" i="3"/>
  <c r="AO56" i="3"/>
  <c r="AN56" i="3"/>
  <c r="AM56" i="3"/>
  <c r="AO55" i="3"/>
  <c r="AN55" i="3"/>
  <c r="AM55" i="3"/>
  <c r="AO54" i="3"/>
  <c r="AN54" i="3"/>
  <c r="AM54" i="3"/>
  <c r="AO53" i="3"/>
  <c r="AN53" i="3"/>
  <c r="AM53" i="3"/>
  <c r="AO52" i="3"/>
  <c r="AN52" i="3"/>
  <c r="AM52" i="3"/>
  <c r="AO51" i="3"/>
  <c r="AN51" i="3"/>
  <c r="AM51" i="3"/>
  <c r="AO50" i="3"/>
  <c r="AN50" i="3"/>
  <c r="AM50" i="3"/>
  <c r="AO49" i="3"/>
  <c r="AN49" i="3"/>
  <c r="AM49" i="3"/>
  <c r="AO48" i="3"/>
  <c r="AN48" i="3"/>
  <c r="AM48" i="3"/>
  <c r="AO47" i="3"/>
  <c r="AN47" i="3"/>
  <c r="AM47" i="3"/>
  <c r="AO46" i="3"/>
  <c r="AN46" i="3"/>
  <c r="AM46" i="3"/>
  <c r="AO45" i="3"/>
  <c r="AN45" i="3"/>
  <c r="AM45" i="3"/>
  <c r="AO44" i="3"/>
  <c r="AN44" i="3"/>
  <c r="AM44" i="3"/>
  <c r="AO43" i="3"/>
  <c r="AN43" i="3"/>
  <c r="AM43" i="3"/>
  <c r="AO42" i="3"/>
  <c r="AN42" i="3"/>
  <c r="AM42" i="3"/>
  <c r="AO41" i="3"/>
  <c r="AN41" i="3"/>
  <c r="AM41" i="3"/>
  <c r="AO40" i="3"/>
  <c r="AN40" i="3"/>
  <c r="AM40" i="3"/>
  <c r="AO39" i="3"/>
  <c r="AN39" i="3"/>
  <c r="AM39" i="3"/>
  <c r="AO38" i="3"/>
  <c r="AN38" i="3"/>
  <c r="AM38" i="3"/>
  <c r="AO37" i="3"/>
  <c r="AN37" i="3"/>
  <c r="AM37" i="3"/>
  <c r="AO36" i="3"/>
  <c r="AN36" i="3"/>
  <c r="AM36" i="3"/>
  <c r="AO35" i="3"/>
  <c r="AN35" i="3"/>
  <c r="AM35" i="3"/>
  <c r="AO34" i="3"/>
  <c r="AN34" i="3"/>
  <c r="AM34" i="3"/>
  <c r="AO33" i="3"/>
  <c r="AN33" i="3"/>
  <c r="AM33" i="3"/>
  <c r="AO32" i="3"/>
  <c r="AN32" i="3"/>
  <c r="AM32" i="3"/>
  <c r="AO31" i="3"/>
  <c r="AN31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P64" i="5" l="1"/>
  <c r="AP64" i="3"/>
  <c r="AP60" i="3"/>
  <c r="AN5" i="3"/>
  <c r="AO6" i="3"/>
  <c r="AN9" i="3"/>
  <c r="AO10" i="3"/>
  <c r="AN13" i="3"/>
  <c r="AO14" i="3"/>
  <c r="AN17" i="3"/>
  <c r="AO18" i="3"/>
  <c r="AN21" i="3"/>
  <c r="AO22" i="3"/>
  <c r="AN25" i="3"/>
  <c r="AO26" i="3"/>
  <c r="AN29" i="3"/>
  <c r="AO30" i="3"/>
  <c r="AO5" i="3"/>
  <c r="AN8" i="3"/>
  <c r="AO9" i="3"/>
  <c r="AN12" i="3"/>
  <c r="AO13" i="3"/>
  <c r="AN16" i="3"/>
  <c r="AO17" i="3"/>
  <c r="AN20" i="3"/>
  <c r="AO21" i="3"/>
  <c r="AN24" i="3"/>
  <c r="AO25" i="3"/>
  <c r="AN28" i="3"/>
  <c r="AO29" i="3"/>
  <c r="AN7" i="3"/>
  <c r="AO8" i="3"/>
  <c r="AN11" i="3"/>
  <c r="AO12" i="3"/>
  <c r="AN15" i="3"/>
  <c r="AO16" i="3"/>
  <c r="AN19" i="3"/>
  <c r="AO20" i="3"/>
  <c r="AN23" i="3"/>
  <c r="AO24" i="3"/>
  <c r="AN27" i="3"/>
  <c r="AO28" i="3"/>
  <c r="AN6" i="3"/>
  <c r="AO7" i="3"/>
  <c r="AN10" i="3"/>
  <c r="AO11" i="3"/>
  <c r="AN14" i="3"/>
  <c r="AO15" i="3"/>
  <c r="AN18" i="3"/>
  <c r="AO19" i="3"/>
  <c r="AN22" i="3"/>
  <c r="AO23" i="3"/>
  <c r="AN26" i="3"/>
  <c r="AO27" i="3"/>
  <c r="AN30" i="3"/>
  <c r="AP47" i="3"/>
  <c r="AP61" i="3"/>
  <c r="AP65" i="3"/>
  <c r="AP58" i="3"/>
  <c r="AP59" i="3"/>
  <c r="AP63" i="3"/>
  <c r="AP62" i="3"/>
  <c r="AP51" i="3"/>
  <c r="AP55" i="3"/>
  <c r="AP46" i="3"/>
  <c r="AP50" i="3"/>
  <c r="AP54" i="3"/>
  <c r="AP45" i="3"/>
  <c r="AP49" i="3"/>
  <c r="AP53" i="3"/>
  <c r="AP57" i="3"/>
  <c r="AP44" i="3"/>
  <c r="AP48" i="3"/>
  <c r="AP52" i="3"/>
  <c r="AP56" i="3"/>
  <c r="AP39" i="3"/>
  <c r="AP38" i="3"/>
  <c r="AP42" i="3"/>
  <c r="AP43" i="3"/>
  <c r="AP37" i="3"/>
  <c r="AP41" i="3"/>
  <c r="AP36" i="3"/>
  <c r="AP40" i="3"/>
  <c r="AP31" i="3"/>
  <c r="AP34" i="3"/>
  <c r="AP35" i="3"/>
  <c r="AP33" i="3"/>
  <c r="AP32" i="3"/>
  <c r="R66" i="3"/>
  <c r="S66" i="3"/>
  <c r="T66" i="3"/>
  <c r="AP13" i="3" l="1"/>
  <c r="AP22" i="3"/>
  <c r="AP14" i="3"/>
  <c r="AP6" i="3"/>
  <c r="AP30" i="3"/>
  <c r="AP18" i="3"/>
  <c r="AP10" i="3"/>
  <c r="AP11" i="3"/>
  <c r="AP16" i="3"/>
  <c r="AP20" i="3"/>
  <c r="AP12" i="3"/>
  <c r="AP29" i="3"/>
  <c r="AP24" i="3"/>
  <c r="AP25" i="3"/>
  <c r="AP26" i="3"/>
  <c r="AP15" i="3"/>
  <c r="AP21" i="3"/>
  <c r="AP17" i="3"/>
  <c r="AP8" i="3"/>
  <c r="AP7" i="3"/>
  <c r="AP5" i="3"/>
  <c r="AP9" i="3"/>
  <c r="AP23" i="3"/>
  <c r="AP27" i="3"/>
  <c r="AP19" i="3"/>
  <c r="AP28" i="3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O62" i="5" l="1"/>
  <c r="AO60" i="5"/>
  <c r="AO56" i="5"/>
  <c r="AN56" i="5"/>
  <c r="AO57" i="5"/>
  <c r="AO53" i="5"/>
  <c r="AN57" i="5"/>
  <c r="AN53" i="5"/>
  <c r="AO63" i="5"/>
  <c r="AO61" i="5"/>
  <c r="AO59" i="5"/>
  <c r="AN59" i="5"/>
  <c r="AO58" i="5"/>
  <c r="AN58" i="5"/>
  <c r="AO55" i="5"/>
  <c r="AN55" i="5"/>
  <c r="AO54" i="5"/>
  <c r="AN54" i="5"/>
  <c r="AO52" i="5"/>
  <c r="AN52" i="5"/>
  <c r="AO51" i="5"/>
  <c r="AN51" i="5"/>
  <c r="AF56" i="11"/>
  <c r="AG56" i="11"/>
  <c r="AF57" i="11"/>
  <c r="AG57" i="11"/>
  <c r="AF58" i="11"/>
  <c r="AG58" i="11"/>
  <c r="AF59" i="11"/>
  <c r="AG59" i="11"/>
  <c r="AF60" i="11"/>
  <c r="AG60" i="11"/>
  <c r="AF61" i="11"/>
  <c r="AG61" i="11"/>
  <c r="AF62" i="11"/>
  <c r="AG62" i="11"/>
  <c r="AF63" i="11"/>
  <c r="AG63" i="11"/>
  <c r="AG54" i="11"/>
  <c r="AM63" i="11"/>
  <c r="AL63" i="11"/>
  <c r="AK63" i="11"/>
  <c r="AL62" i="11"/>
  <c r="AK62" i="11"/>
  <c r="AL61" i="11"/>
  <c r="AK61" i="11"/>
  <c r="AL60" i="11"/>
  <c r="AK60" i="11"/>
  <c r="AM59" i="11"/>
  <c r="AL59" i="11"/>
  <c r="AK59" i="11"/>
  <c r="AL58" i="11"/>
  <c r="AK58" i="11"/>
  <c r="AL57" i="11"/>
  <c r="AK57" i="11"/>
  <c r="AL56" i="11"/>
  <c r="AK56" i="11"/>
  <c r="AL55" i="11"/>
  <c r="AK55" i="11"/>
  <c r="AL54" i="11"/>
  <c r="AK54" i="11"/>
  <c r="AL53" i="11"/>
  <c r="AK53" i="11"/>
  <c r="AL52" i="11"/>
  <c r="AK52" i="11"/>
  <c r="AM51" i="11"/>
  <c r="AL51" i="11"/>
  <c r="AK51" i="11"/>
  <c r="AK50" i="11"/>
  <c r="AL50" i="11"/>
  <c r="AM52" i="11"/>
  <c r="AM53" i="11"/>
  <c r="AM54" i="11"/>
  <c r="AM55" i="11"/>
  <c r="AM56" i="11"/>
  <c r="AM57" i="11"/>
  <c r="AM58" i="11"/>
  <c r="AM60" i="11"/>
  <c r="AM61" i="11"/>
  <c r="AM62" i="11"/>
  <c r="AT65" i="11" s="1"/>
  <c r="AP56" i="5" l="1"/>
  <c r="AN61" i="11"/>
  <c r="AP53" i="5"/>
  <c r="AP57" i="5"/>
  <c r="AP60" i="5"/>
  <c r="AP55" i="5"/>
  <c r="AP59" i="5"/>
  <c r="AP63" i="5"/>
  <c r="AP62" i="5"/>
  <c r="AP58" i="5"/>
  <c r="AP61" i="5"/>
  <c r="AN56" i="11"/>
  <c r="AP54" i="5"/>
  <c r="AP52" i="5"/>
  <c r="AP51" i="5"/>
  <c r="AN59" i="11"/>
  <c r="AN63" i="11"/>
  <c r="AN57" i="11"/>
  <c r="AO60" i="11"/>
  <c r="AO56" i="11"/>
  <c r="AO54" i="11"/>
  <c r="AN60" i="11"/>
  <c r="AN58" i="11"/>
  <c r="AO59" i="11"/>
  <c r="AN62" i="11"/>
  <c r="AU65" i="11" s="1"/>
  <c r="AO63" i="11"/>
  <c r="AO61" i="11"/>
  <c r="AO57" i="11"/>
  <c r="AO58" i="11"/>
  <c r="AO62" i="11"/>
  <c r="AV65" i="11" l="1"/>
  <c r="AP56" i="11"/>
  <c r="AP61" i="11"/>
  <c r="AP60" i="11"/>
  <c r="AP62" i="11"/>
  <c r="AP63" i="11"/>
  <c r="AP59" i="11"/>
  <c r="AP58" i="11"/>
  <c r="AP57" i="11"/>
  <c r="AA51" i="12"/>
  <c r="AB51" i="12"/>
  <c r="AA52" i="12"/>
  <c r="AB52" i="12"/>
  <c r="AA53" i="12"/>
  <c r="AB53" i="12"/>
  <c r="AA54" i="12"/>
  <c r="AB54" i="12"/>
  <c r="AA55" i="12"/>
  <c r="AB55" i="12"/>
  <c r="AA56" i="12"/>
  <c r="AB56" i="12"/>
  <c r="AA57" i="12"/>
  <c r="AB57" i="12"/>
  <c r="AA58" i="12"/>
  <c r="AB58" i="12"/>
  <c r="AA59" i="12"/>
  <c r="AB59" i="12"/>
  <c r="T59" i="12"/>
  <c r="AO59" i="12" s="1"/>
  <c r="S59" i="12"/>
  <c r="AN59" i="12" s="1"/>
  <c r="R59" i="12"/>
  <c r="AM59" i="12" s="1"/>
  <c r="T58" i="12"/>
  <c r="AO58" i="12" s="1"/>
  <c r="S58" i="12"/>
  <c r="AN58" i="12" s="1"/>
  <c r="R58" i="12"/>
  <c r="AM58" i="12" s="1"/>
  <c r="T57" i="12"/>
  <c r="AO57" i="12" s="1"/>
  <c r="S57" i="12"/>
  <c r="AN57" i="12" s="1"/>
  <c r="R57" i="12"/>
  <c r="AM57" i="12" s="1"/>
  <c r="T56" i="12"/>
  <c r="AO56" i="12" s="1"/>
  <c r="S56" i="12"/>
  <c r="AN56" i="12" s="1"/>
  <c r="R56" i="12"/>
  <c r="AM56" i="12" s="1"/>
  <c r="T55" i="12"/>
  <c r="AO55" i="12" s="1"/>
  <c r="S55" i="12"/>
  <c r="AN55" i="12" s="1"/>
  <c r="R55" i="12"/>
  <c r="AM55" i="12" s="1"/>
  <c r="T54" i="12"/>
  <c r="AO54" i="12" s="1"/>
  <c r="S54" i="12"/>
  <c r="AN54" i="12" s="1"/>
  <c r="R54" i="12"/>
  <c r="AM54" i="12" s="1"/>
  <c r="T53" i="12"/>
  <c r="AO53" i="12" s="1"/>
  <c r="S53" i="12"/>
  <c r="AN53" i="12" s="1"/>
  <c r="R53" i="12"/>
  <c r="AM53" i="12" s="1"/>
  <c r="T52" i="12"/>
  <c r="AO52" i="12" s="1"/>
  <c r="S52" i="12"/>
  <c r="AN52" i="12" s="1"/>
  <c r="R52" i="12"/>
  <c r="AM52" i="12" s="1"/>
  <c r="T51" i="12"/>
  <c r="AO51" i="12" s="1"/>
  <c r="S51" i="12"/>
  <c r="AN51" i="12" s="1"/>
  <c r="R51" i="12"/>
  <c r="AM51" i="12" s="1"/>
  <c r="AU65" i="12" l="1"/>
  <c r="AP55" i="12"/>
  <c r="AV65" i="12"/>
  <c r="AP58" i="12"/>
  <c r="AT65" i="12"/>
  <c r="AP54" i="12"/>
  <c r="AP51" i="12"/>
  <c r="AP59" i="12"/>
  <c r="AP57" i="12"/>
  <c r="AP56" i="12"/>
  <c r="AP53" i="12"/>
  <c r="AP52" i="12"/>
  <c r="R49" i="13"/>
  <c r="S49" i="13"/>
  <c r="T49" i="13"/>
  <c r="R50" i="13"/>
  <c r="S50" i="13"/>
  <c r="T50" i="13"/>
  <c r="R51" i="13"/>
  <c r="S51" i="13"/>
  <c r="T51" i="13"/>
  <c r="R52" i="13"/>
  <c r="S52" i="13"/>
  <c r="T52" i="13"/>
  <c r="R53" i="13"/>
  <c r="S53" i="13"/>
  <c r="T53" i="13"/>
  <c r="R54" i="13"/>
  <c r="S54" i="13"/>
  <c r="T54" i="13"/>
  <c r="R55" i="13"/>
  <c r="S55" i="13"/>
  <c r="T55" i="13"/>
  <c r="R56" i="13"/>
  <c r="S56" i="13"/>
  <c r="T56" i="13"/>
  <c r="R57" i="13"/>
  <c r="S57" i="13"/>
  <c r="T57" i="13"/>
  <c r="R58" i="13"/>
  <c r="S58" i="13"/>
  <c r="T58" i="13"/>
  <c r="R59" i="13"/>
  <c r="S59" i="13"/>
  <c r="T59" i="13"/>
  <c r="R60" i="13"/>
  <c r="S60" i="13"/>
  <c r="T60" i="13"/>
  <c r="R61" i="13"/>
  <c r="S61" i="13"/>
  <c r="T61" i="13"/>
  <c r="R62" i="13"/>
  <c r="AM62" i="13" s="1"/>
  <c r="S62" i="13"/>
  <c r="AN62" i="13" s="1"/>
  <c r="T62" i="13"/>
  <c r="AO62" i="13" s="1"/>
  <c r="R63" i="13"/>
  <c r="S63" i="13"/>
  <c r="T63" i="13"/>
  <c r="AL63" i="13"/>
  <c r="AK63" i="13"/>
  <c r="AR63" i="13"/>
  <c r="AR62" i="13"/>
  <c r="AL61" i="13"/>
  <c r="AK61" i="13"/>
  <c r="AR61" i="13"/>
  <c r="AL60" i="13"/>
  <c r="AK60" i="13"/>
  <c r="AR60" i="13"/>
  <c r="AL59" i="13"/>
  <c r="AK59" i="13"/>
  <c r="AR59" i="13"/>
  <c r="AL58" i="13"/>
  <c r="AK58" i="13"/>
  <c r="AR58" i="13"/>
  <c r="AL57" i="13"/>
  <c r="AK57" i="13"/>
  <c r="AR57" i="13"/>
  <c r="AL56" i="13"/>
  <c r="AK56" i="13"/>
  <c r="AR56" i="13"/>
  <c r="AL55" i="13"/>
  <c r="AK55" i="13"/>
  <c r="AR55" i="13"/>
  <c r="AL54" i="13"/>
  <c r="AK54" i="13"/>
  <c r="AR54" i="13"/>
  <c r="AL53" i="13"/>
  <c r="AK53" i="13"/>
  <c r="AR53" i="13"/>
  <c r="AL52" i="13"/>
  <c r="AK52" i="13"/>
  <c r="AR52" i="13"/>
  <c r="AL51" i="13"/>
  <c r="AK51" i="13"/>
  <c r="AL50" i="13"/>
  <c r="AK50" i="13"/>
  <c r="AP62" i="13" l="1"/>
  <c r="AR50" i="13"/>
  <c r="AR51" i="13"/>
  <c r="AM55" i="13"/>
  <c r="AM60" i="13"/>
  <c r="AM61" i="13"/>
  <c r="AM53" i="13"/>
  <c r="AM56" i="13"/>
  <c r="AM57" i="13"/>
  <c r="AM58" i="13"/>
  <c r="AM63" i="13"/>
  <c r="AT65" i="13" l="1"/>
  <c r="AN59" i="13"/>
  <c r="AN52" i="13"/>
  <c r="AN58" i="13"/>
  <c r="AN51" i="13"/>
  <c r="AO51" i="13"/>
  <c r="AO58" i="13"/>
  <c r="AO61" i="13"/>
  <c r="AN54" i="13"/>
  <c r="AM51" i="13"/>
  <c r="AN61" i="13"/>
  <c r="AN57" i="13"/>
  <c r="AN56" i="13"/>
  <c r="AN50" i="13"/>
  <c r="AO50" i="13"/>
  <c r="AO56" i="13"/>
  <c r="AO60" i="13"/>
  <c r="AN60" i="13"/>
  <c r="AO55" i="13"/>
  <c r="AM50" i="13"/>
  <c r="AN55" i="13"/>
  <c r="AO57" i="13"/>
  <c r="AM52" i="13"/>
  <c r="AM59" i="13"/>
  <c r="AO63" i="13"/>
  <c r="AN63" i="13"/>
  <c r="AN53" i="13"/>
  <c r="AO53" i="13"/>
  <c r="AO52" i="13"/>
  <c r="AO54" i="13"/>
  <c r="AO59" i="13"/>
  <c r="AM54" i="13"/>
  <c r="AV65" i="13" l="1"/>
  <c r="AU65" i="13"/>
  <c r="AP61" i="13"/>
  <c r="AP53" i="13"/>
  <c r="AP56" i="13"/>
  <c r="AP55" i="13"/>
  <c r="AP57" i="13"/>
  <c r="AP58" i="13"/>
  <c r="AP63" i="13"/>
  <c r="AP60" i="13"/>
  <c r="AP50" i="13"/>
  <c r="AP52" i="13"/>
  <c r="AP54" i="13"/>
  <c r="AP51" i="13"/>
  <c r="AP59" i="1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P65" i="10" l="1"/>
  <c r="AP64" i="10"/>
  <c r="AK51" i="14"/>
  <c r="AK52" i="14"/>
  <c r="AK53" i="14"/>
  <c r="AK54" i="14"/>
  <c r="AK55" i="14"/>
  <c r="AK56" i="14"/>
  <c r="AK57" i="14"/>
  <c r="AK58" i="14"/>
  <c r="AK59" i="14"/>
  <c r="AO58" i="14"/>
  <c r="AM51" i="14"/>
  <c r="AM52" i="14"/>
  <c r="AM53" i="14"/>
  <c r="AM54" i="14"/>
  <c r="AM55" i="14"/>
  <c r="AM56" i="14"/>
  <c r="AM57" i="14"/>
  <c r="AM58" i="14"/>
  <c r="AM59" i="14"/>
  <c r="AT65" i="14" l="1"/>
  <c r="AN58" i="14"/>
  <c r="AN59" i="14"/>
  <c r="AO59" i="14"/>
  <c r="O63" i="16"/>
  <c r="O61" i="16"/>
  <c r="AP58" i="14" l="1"/>
  <c r="AP59" i="14"/>
  <c r="O64" i="16"/>
  <c r="O59" i="16"/>
  <c r="O62" i="16"/>
  <c r="O60" i="16"/>
  <c r="AL65" i="7" l="1"/>
  <c r="AK65" i="7"/>
  <c r="AK64" i="7"/>
  <c r="AL64" i="7"/>
  <c r="AG65" i="7"/>
  <c r="AF65" i="7"/>
  <c r="AF64" i="7"/>
  <c r="AG64" i="7"/>
  <c r="AA65" i="7"/>
  <c r="AB65" i="7"/>
  <c r="AA64" i="7"/>
  <c r="AB64" i="7"/>
  <c r="R50" i="7"/>
  <c r="AM50" i="7" s="1"/>
  <c r="S50" i="7"/>
  <c r="T50" i="7"/>
  <c r="R51" i="7"/>
  <c r="AM51" i="7" s="1"/>
  <c r="S51" i="7"/>
  <c r="T51" i="7"/>
  <c r="R52" i="7"/>
  <c r="AM52" i="7" s="1"/>
  <c r="S52" i="7"/>
  <c r="T52" i="7"/>
  <c r="R53" i="7"/>
  <c r="AM53" i="7" s="1"/>
  <c r="S53" i="7"/>
  <c r="T53" i="7"/>
  <c r="R54" i="7"/>
  <c r="AM54" i="7" s="1"/>
  <c r="S54" i="7"/>
  <c r="T54" i="7"/>
  <c r="R55" i="7"/>
  <c r="AM55" i="7" s="1"/>
  <c r="S55" i="7"/>
  <c r="T55" i="7"/>
  <c r="R56" i="7"/>
  <c r="AM56" i="7" s="1"/>
  <c r="S56" i="7"/>
  <c r="T56" i="7"/>
  <c r="R57" i="7"/>
  <c r="AM57" i="7" s="1"/>
  <c r="S57" i="7"/>
  <c r="T57" i="7"/>
  <c r="R58" i="7"/>
  <c r="AM58" i="7" s="1"/>
  <c r="S58" i="7"/>
  <c r="T58" i="7"/>
  <c r="R59" i="7"/>
  <c r="AM59" i="7" s="1"/>
  <c r="S59" i="7"/>
  <c r="T59" i="7"/>
  <c r="R60" i="7"/>
  <c r="AM60" i="7" s="1"/>
  <c r="S60" i="7"/>
  <c r="T60" i="7"/>
  <c r="R61" i="7"/>
  <c r="AM61" i="7" s="1"/>
  <c r="S61" i="7"/>
  <c r="T61" i="7"/>
  <c r="R62" i="7"/>
  <c r="AM62" i="7" s="1"/>
  <c r="S62" i="7"/>
  <c r="T62" i="7"/>
  <c r="R63" i="7"/>
  <c r="AM63" i="7" s="1"/>
  <c r="S63" i="7"/>
  <c r="T63" i="7"/>
  <c r="R64" i="7"/>
  <c r="AM64" i="7" s="1"/>
  <c r="S64" i="7"/>
  <c r="T64" i="7"/>
  <c r="R65" i="7"/>
  <c r="AM65" i="7" s="1"/>
  <c r="S65" i="7"/>
  <c r="AN65" i="7" s="1"/>
  <c r="T65" i="7"/>
  <c r="AO65" i="7" l="1"/>
  <c r="AP65" i="7" s="1"/>
  <c r="AN64" i="7"/>
  <c r="AO64" i="7"/>
  <c r="AA50" i="8"/>
  <c r="AB50" i="8"/>
  <c r="AF50" i="8"/>
  <c r="AN50" i="8" s="1"/>
  <c r="AG50" i="8"/>
  <c r="AO50" i="8" s="1"/>
  <c r="AA51" i="8"/>
  <c r="AB51" i="8"/>
  <c r="AF51" i="8"/>
  <c r="AN51" i="8" s="1"/>
  <c r="AG51" i="8"/>
  <c r="AO51" i="8" s="1"/>
  <c r="AA52" i="8"/>
  <c r="AB52" i="8"/>
  <c r="AF52" i="8"/>
  <c r="AN52" i="8" s="1"/>
  <c r="AG52" i="8"/>
  <c r="AO52" i="8" s="1"/>
  <c r="AA53" i="8"/>
  <c r="AB53" i="8"/>
  <c r="AF53" i="8"/>
  <c r="AN53" i="8" s="1"/>
  <c r="AG53" i="8"/>
  <c r="AO53" i="8" s="1"/>
  <c r="AA54" i="8"/>
  <c r="AB54" i="8"/>
  <c r="AF54" i="8"/>
  <c r="AN54" i="8" s="1"/>
  <c r="AG54" i="8"/>
  <c r="AO54" i="8" s="1"/>
  <c r="AA55" i="8"/>
  <c r="AB55" i="8"/>
  <c r="AF55" i="8"/>
  <c r="AN55" i="8" s="1"/>
  <c r="AG55" i="8"/>
  <c r="AO55" i="8" s="1"/>
  <c r="AA56" i="8"/>
  <c r="AB56" i="8"/>
  <c r="AF56" i="8"/>
  <c r="AN56" i="8" s="1"/>
  <c r="AG56" i="8"/>
  <c r="AO56" i="8" s="1"/>
  <c r="AA57" i="8"/>
  <c r="AB57" i="8"/>
  <c r="AF57" i="8"/>
  <c r="AN57" i="8" s="1"/>
  <c r="AG57" i="8"/>
  <c r="AO57" i="8" s="1"/>
  <c r="AA58" i="8"/>
  <c r="AB58" i="8"/>
  <c r="AF58" i="8"/>
  <c r="AN58" i="8" s="1"/>
  <c r="AG58" i="8"/>
  <c r="AO58" i="8" s="1"/>
  <c r="AA59" i="8"/>
  <c r="AB59" i="8"/>
  <c r="AF59" i="8"/>
  <c r="AN59" i="8" s="1"/>
  <c r="AG59" i="8"/>
  <c r="AO59" i="8" s="1"/>
  <c r="AA60" i="8"/>
  <c r="AB60" i="8"/>
  <c r="AF60" i="8"/>
  <c r="AN60" i="8" s="1"/>
  <c r="AG60" i="8"/>
  <c r="AO60" i="8" s="1"/>
  <c r="AA61" i="8"/>
  <c r="AB61" i="8"/>
  <c r="AF61" i="8"/>
  <c r="AN61" i="8" s="1"/>
  <c r="AG61" i="8"/>
  <c r="AO61" i="8" s="1"/>
  <c r="AA62" i="8"/>
  <c r="AB62" i="8"/>
  <c r="AF62" i="8"/>
  <c r="AN62" i="8" s="1"/>
  <c r="AG62" i="8"/>
  <c r="AO62" i="8" s="1"/>
  <c r="AA63" i="8"/>
  <c r="AB63" i="8"/>
  <c r="AF63" i="8"/>
  <c r="AN63" i="8" s="1"/>
  <c r="AG63" i="8"/>
  <c r="AO63" i="8" s="1"/>
  <c r="AL58" i="7"/>
  <c r="T49" i="7"/>
  <c r="S49" i="7"/>
  <c r="R49" i="7"/>
  <c r="AM49" i="7" s="1"/>
  <c r="T48" i="7"/>
  <c r="S48" i="7"/>
  <c r="R48" i="7"/>
  <c r="AM48" i="7" s="1"/>
  <c r="T47" i="7"/>
  <c r="S47" i="7"/>
  <c r="R47" i="7"/>
  <c r="AM47" i="7" s="1"/>
  <c r="T46" i="7"/>
  <c r="S46" i="7"/>
  <c r="R46" i="7"/>
  <c r="AM46" i="7" s="1"/>
  <c r="T45" i="7"/>
  <c r="S45" i="7"/>
  <c r="R45" i="7"/>
  <c r="AM45" i="7" s="1"/>
  <c r="T44" i="7"/>
  <c r="S44" i="7"/>
  <c r="R44" i="7"/>
  <c r="AM44" i="7" s="1"/>
  <c r="T43" i="7"/>
  <c r="S43" i="7"/>
  <c r="R43" i="7"/>
  <c r="AM43" i="7" s="1"/>
  <c r="T42" i="7"/>
  <c r="S42" i="7"/>
  <c r="R42" i="7"/>
  <c r="AM42" i="7" s="1"/>
  <c r="T41" i="7"/>
  <c r="S41" i="7"/>
  <c r="R41" i="7"/>
  <c r="AM41" i="7" s="1"/>
  <c r="T40" i="7"/>
  <c r="S40" i="7"/>
  <c r="R40" i="7"/>
  <c r="AM40" i="7" s="1"/>
  <c r="T39" i="7"/>
  <c r="S39" i="7"/>
  <c r="R39" i="7"/>
  <c r="AM39" i="7" s="1"/>
  <c r="T38" i="7"/>
  <c r="S38" i="7"/>
  <c r="R38" i="7"/>
  <c r="AM38" i="7" s="1"/>
  <c r="T37" i="7"/>
  <c r="S37" i="7"/>
  <c r="R37" i="7"/>
  <c r="AM37" i="7" s="1"/>
  <c r="T36" i="7"/>
  <c r="S36" i="7"/>
  <c r="R36" i="7"/>
  <c r="AM36" i="7" s="1"/>
  <c r="T35" i="7"/>
  <c r="S35" i="7"/>
  <c r="R35" i="7"/>
  <c r="AM35" i="7" s="1"/>
  <c r="T34" i="7"/>
  <c r="S34" i="7"/>
  <c r="R34" i="7"/>
  <c r="AM34" i="7" s="1"/>
  <c r="T33" i="7"/>
  <c r="S33" i="7"/>
  <c r="R33" i="7"/>
  <c r="AM33" i="7" s="1"/>
  <c r="T32" i="7"/>
  <c r="S32" i="7"/>
  <c r="R32" i="7"/>
  <c r="AM32" i="7" s="1"/>
  <c r="T31" i="7"/>
  <c r="S31" i="7"/>
  <c r="R31" i="7"/>
  <c r="AM31" i="7" s="1"/>
  <c r="T30" i="7"/>
  <c r="S30" i="7"/>
  <c r="R30" i="7"/>
  <c r="AM30" i="7" s="1"/>
  <c r="T29" i="7"/>
  <c r="S29" i="7"/>
  <c r="R29" i="7"/>
  <c r="AM29" i="7" s="1"/>
  <c r="T28" i="7"/>
  <c r="S28" i="7"/>
  <c r="R28" i="7"/>
  <c r="AM28" i="7" s="1"/>
  <c r="T27" i="7"/>
  <c r="S27" i="7"/>
  <c r="R27" i="7"/>
  <c r="AM27" i="7" s="1"/>
  <c r="T26" i="7"/>
  <c r="S26" i="7"/>
  <c r="R26" i="7"/>
  <c r="AM26" i="7" s="1"/>
  <c r="T25" i="7"/>
  <c r="S25" i="7"/>
  <c r="R25" i="7"/>
  <c r="AM25" i="7" s="1"/>
  <c r="T24" i="7"/>
  <c r="S24" i="7"/>
  <c r="R24" i="7"/>
  <c r="AM24" i="7" s="1"/>
  <c r="T23" i="7"/>
  <c r="S23" i="7"/>
  <c r="R23" i="7"/>
  <c r="AM23" i="7" s="1"/>
  <c r="T22" i="7"/>
  <c r="S22" i="7"/>
  <c r="R22" i="7"/>
  <c r="AM22" i="7" s="1"/>
  <c r="T21" i="7"/>
  <c r="S21" i="7"/>
  <c r="R21" i="7"/>
  <c r="AM21" i="7" s="1"/>
  <c r="T20" i="7"/>
  <c r="S20" i="7"/>
  <c r="R20" i="7"/>
  <c r="AM20" i="7" s="1"/>
  <c r="T19" i="7"/>
  <c r="S19" i="7"/>
  <c r="R19" i="7"/>
  <c r="AM19" i="7" s="1"/>
  <c r="T18" i="7"/>
  <c r="S18" i="7"/>
  <c r="R18" i="7"/>
  <c r="AM18" i="7" s="1"/>
  <c r="T17" i="7"/>
  <c r="S17" i="7"/>
  <c r="R17" i="7"/>
  <c r="AM17" i="7" s="1"/>
  <c r="T16" i="7"/>
  <c r="S16" i="7"/>
  <c r="R16" i="7"/>
  <c r="AM16" i="7" s="1"/>
  <c r="T15" i="7"/>
  <c r="S15" i="7"/>
  <c r="R15" i="7"/>
  <c r="AM15" i="7" s="1"/>
  <c r="T14" i="7"/>
  <c r="S14" i="7"/>
  <c r="R14" i="7"/>
  <c r="AM14" i="7" s="1"/>
  <c r="T13" i="7"/>
  <c r="S13" i="7"/>
  <c r="R13" i="7"/>
  <c r="AM13" i="7" s="1"/>
  <c r="T12" i="7"/>
  <c r="S12" i="7"/>
  <c r="R12" i="7"/>
  <c r="AM12" i="7" s="1"/>
  <c r="T11" i="7"/>
  <c r="S11" i="7"/>
  <c r="R11" i="7"/>
  <c r="AM11" i="7" s="1"/>
  <c r="T10" i="7"/>
  <c r="S10" i="7"/>
  <c r="R10" i="7"/>
  <c r="AM10" i="7" s="1"/>
  <c r="T9" i="7"/>
  <c r="S9" i="7"/>
  <c r="R9" i="7"/>
  <c r="AM9" i="7" s="1"/>
  <c r="T8" i="7"/>
  <c r="S8" i="7"/>
  <c r="R8" i="7"/>
  <c r="AM8" i="7" s="1"/>
  <c r="T7" i="7"/>
  <c r="S7" i="7"/>
  <c r="R7" i="7"/>
  <c r="AM7" i="7" s="1"/>
  <c r="T6" i="7"/>
  <c r="S6" i="7"/>
  <c r="R6" i="7"/>
  <c r="AM6" i="7" s="1"/>
  <c r="T5" i="7"/>
  <c r="S5" i="7"/>
  <c r="R5" i="7"/>
  <c r="AM5" i="7" s="1"/>
  <c r="AL63" i="7"/>
  <c r="AK63" i="7"/>
  <c r="AG63" i="7"/>
  <c r="AF63" i="7"/>
  <c r="AB63" i="7"/>
  <c r="AA63" i="7"/>
  <c r="AR63" i="7"/>
  <c r="AL62" i="7"/>
  <c r="AK62" i="7"/>
  <c r="AG62" i="7"/>
  <c r="AF62" i="7"/>
  <c r="AB62" i="7"/>
  <c r="AA62" i="7"/>
  <c r="AR62" i="7"/>
  <c r="AL61" i="7"/>
  <c r="AK61" i="7"/>
  <c r="AG61" i="7"/>
  <c r="AF61" i="7"/>
  <c r="AB61" i="7"/>
  <c r="AA61" i="7"/>
  <c r="AR61" i="7"/>
  <c r="AL60" i="7"/>
  <c r="AK60" i="7"/>
  <c r="AG60" i="7"/>
  <c r="AF60" i="7"/>
  <c r="AB60" i="7"/>
  <c r="AA60" i="7"/>
  <c r="AR60" i="7"/>
  <c r="AL59" i="7"/>
  <c r="AK59" i="7"/>
  <c r="AG59" i="7"/>
  <c r="AF59" i="7"/>
  <c r="AB59" i="7"/>
  <c r="AA59" i="7"/>
  <c r="AR59" i="7"/>
  <c r="AK58" i="7"/>
  <c r="AG58" i="7"/>
  <c r="AF58" i="7"/>
  <c r="AB58" i="7"/>
  <c r="AA58" i="7"/>
  <c r="AR58" i="7"/>
  <c r="AP64" i="7" l="1"/>
  <c r="AO61" i="7"/>
  <c r="AP51" i="8"/>
  <c r="AP50" i="8"/>
  <c r="AO59" i="7"/>
  <c r="AO63" i="7"/>
  <c r="AN61" i="7"/>
  <c r="AN59" i="7"/>
  <c r="AN63" i="7"/>
  <c r="AP63" i="8"/>
  <c r="AP61" i="8"/>
  <c r="AP60" i="8"/>
  <c r="AP62" i="8"/>
  <c r="AN62" i="7"/>
  <c r="AO62" i="7"/>
  <c r="AN60" i="7"/>
  <c r="AO60" i="7"/>
  <c r="AO58" i="7"/>
  <c r="AN58" i="7"/>
  <c r="AP59" i="8"/>
  <c r="AP58" i="8"/>
  <c r="AP57" i="8"/>
  <c r="AP56" i="8"/>
  <c r="AP55" i="8"/>
  <c r="AP54" i="8"/>
  <c r="AP53" i="8"/>
  <c r="AP52" i="8"/>
  <c r="AP61" i="7" l="1"/>
  <c r="AP59" i="7"/>
  <c r="AP63" i="7"/>
  <c r="AP58" i="7"/>
  <c r="AP62" i="7"/>
  <c r="AP60" i="7"/>
  <c r="AR60" i="10"/>
  <c r="AR61" i="10"/>
  <c r="AR62" i="10"/>
  <c r="AR63" i="10"/>
  <c r="AP63" i="10"/>
  <c r="AP61" i="10" l="1"/>
  <c r="AP62" i="10"/>
  <c r="AP60" i="10"/>
  <c r="AA44" i="8"/>
  <c r="AB44" i="8"/>
  <c r="AA45" i="8"/>
  <c r="AB45" i="8"/>
  <c r="AA46" i="8"/>
  <c r="AB46" i="8"/>
  <c r="AA47" i="8"/>
  <c r="AB47" i="8"/>
  <c r="AA48" i="8"/>
  <c r="AB48" i="8"/>
  <c r="AA49" i="8"/>
  <c r="AB49" i="8"/>
  <c r="AR63" i="9" l="1"/>
  <c r="AR62" i="9"/>
  <c r="AR61" i="9"/>
  <c r="AR60" i="9"/>
  <c r="AR59" i="9"/>
  <c r="AR58" i="9"/>
  <c r="AR59" i="12" l="1"/>
  <c r="AR58" i="12"/>
  <c r="M60" i="16" l="1"/>
  <c r="M59" i="16"/>
  <c r="M61" i="16"/>
  <c r="M62" i="16"/>
  <c r="AR50" i="10" l="1"/>
  <c r="AR57" i="10" l="1"/>
  <c r="AR55" i="10"/>
  <c r="AR53" i="10"/>
  <c r="AR58" i="10"/>
  <c r="AR56" i="10"/>
  <c r="AR52" i="10"/>
  <c r="AR54" i="10"/>
  <c r="AR51" i="10"/>
  <c r="AR59" i="10"/>
  <c r="AP51" i="10"/>
  <c r="AP56" i="10"/>
  <c r="AP59" i="10" l="1"/>
  <c r="AP58" i="10"/>
  <c r="AP57" i="10"/>
  <c r="AP53" i="10"/>
  <c r="AP55" i="10"/>
  <c r="AP52" i="10"/>
  <c r="AP54" i="10"/>
  <c r="AP50" i="10"/>
  <c r="AO57" i="14" l="1"/>
  <c r="AN57" i="14"/>
  <c r="AR57" i="14"/>
  <c r="AO56" i="14"/>
  <c r="AN56" i="14"/>
  <c r="AR56" i="14"/>
  <c r="AO55" i="14"/>
  <c r="AN55" i="14"/>
  <c r="AR55" i="14"/>
  <c r="AO54" i="14"/>
  <c r="AN54" i="14"/>
  <c r="AR54" i="14"/>
  <c r="AO53" i="14"/>
  <c r="AN53" i="14"/>
  <c r="AR53" i="14"/>
  <c r="AO52" i="14"/>
  <c r="AN52" i="14"/>
  <c r="AR52" i="14"/>
  <c r="AO51" i="14"/>
  <c r="AF51" i="14"/>
  <c r="AN51" i="14" s="1"/>
  <c r="AR51" i="14"/>
  <c r="AK50" i="14"/>
  <c r="AF50" i="14"/>
  <c r="AR50" i="14"/>
  <c r="AV65" i="14" l="1"/>
  <c r="AU65" i="14"/>
  <c r="AP53" i="14"/>
  <c r="AP52" i="14"/>
  <c r="AP56" i="14"/>
  <c r="AP57" i="14"/>
  <c r="AP55" i="14"/>
  <c r="AP54" i="14"/>
  <c r="AP51" i="14"/>
  <c r="AO50" i="14"/>
  <c r="AM50" i="14"/>
  <c r="AN50" i="14"/>
  <c r="AP50" i="14" l="1"/>
  <c r="R50" i="12"/>
  <c r="AM50" i="12" s="1"/>
  <c r="S50" i="12"/>
  <c r="AN50" i="12" s="1"/>
  <c r="T50" i="12"/>
  <c r="AO50" i="12" s="1"/>
  <c r="AR57" i="12"/>
  <c r="AR56" i="12"/>
  <c r="AR55" i="12"/>
  <c r="AR54" i="12"/>
  <c r="AR53" i="12"/>
  <c r="AR52" i="12"/>
  <c r="AP50" i="12" l="1"/>
  <c r="AM50" i="11"/>
  <c r="AG55" i="11"/>
  <c r="AO55" i="11" s="1"/>
  <c r="AF55" i="11"/>
  <c r="AN55" i="11" s="1"/>
  <c r="AF54" i="11"/>
  <c r="AN54" i="11" s="1"/>
  <c r="AP54" i="11" s="1"/>
  <c r="AG53" i="11"/>
  <c r="AO53" i="11" s="1"/>
  <c r="AF53" i="11"/>
  <c r="AN53" i="11" s="1"/>
  <c r="AG52" i="11"/>
  <c r="AO52" i="11" s="1"/>
  <c r="AF52" i="11"/>
  <c r="AN52" i="11" s="1"/>
  <c r="AG51" i="11"/>
  <c r="AF51" i="11"/>
  <c r="AG50" i="11"/>
  <c r="AF50" i="11"/>
  <c r="G51" i="11" l="1"/>
  <c r="AN51" i="11" s="1"/>
  <c r="AT63" i="11"/>
  <c r="AP53" i="11"/>
  <c r="AP55" i="11"/>
  <c r="AP52" i="11"/>
  <c r="AG50" i="5" l="1"/>
  <c r="AF50" i="5"/>
  <c r="AN50" i="5" l="1"/>
  <c r="AO50" i="5"/>
  <c r="N40" i="1"/>
  <c r="AP50" i="5" l="1"/>
  <c r="AR57" i="7"/>
  <c r="AL57" i="7"/>
  <c r="AK57" i="7"/>
  <c r="AR56" i="7"/>
  <c r="AL56" i="7"/>
  <c r="AK56" i="7"/>
  <c r="AR55" i="7"/>
  <c r="AL55" i="7"/>
  <c r="AK55" i="7"/>
  <c r="AR54" i="7"/>
  <c r="AL54" i="7"/>
  <c r="AK54" i="7"/>
  <c r="AF54" i="7"/>
  <c r="AG54" i="7"/>
  <c r="AF55" i="7"/>
  <c r="AG55" i="7"/>
  <c r="AF56" i="7"/>
  <c r="AG56" i="7"/>
  <c r="AF57" i="7"/>
  <c r="AG57" i="7"/>
  <c r="AO54" i="7" l="1"/>
  <c r="AO55" i="7"/>
  <c r="AN57" i="7"/>
  <c r="AO57" i="7"/>
  <c r="AN55" i="7"/>
  <c r="AN56" i="7"/>
  <c r="AO56" i="7"/>
  <c r="AN54" i="7"/>
  <c r="R36" i="13"/>
  <c r="S36" i="13"/>
  <c r="T36" i="13"/>
  <c r="R37" i="13"/>
  <c r="S37" i="13"/>
  <c r="T37" i="13"/>
  <c r="R38" i="13"/>
  <c r="S38" i="13"/>
  <c r="T38" i="13"/>
  <c r="R39" i="13"/>
  <c r="S39" i="13"/>
  <c r="T39" i="13"/>
  <c r="R40" i="13"/>
  <c r="S40" i="13"/>
  <c r="T40" i="13"/>
  <c r="R41" i="13"/>
  <c r="S41" i="13"/>
  <c r="T41" i="13"/>
  <c r="R42" i="13"/>
  <c r="S42" i="13"/>
  <c r="T42" i="13"/>
  <c r="R43" i="13"/>
  <c r="S43" i="13"/>
  <c r="T43" i="13"/>
  <c r="R44" i="13"/>
  <c r="S44" i="13"/>
  <c r="T44" i="13"/>
  <c r="R45" i="13"/>
  <c r="S45" i="13"/>
  <c r="T45" i="13"/>
  <c r="R46" i="13"/>
  <c r="S46" i="13"/>
  <c r="T46" i="13"/>
  <c r="R47" i="13"/>
  <c r="S47" i="13"/>
  <c r="T47" i="13"/>
  <c r="R48" i="13"/>
  <c r="S48" i="13"/>
  <c r="T48" i="13"/>
  <c r="AP54" i="7" l="1"/>
  <c r="AP55" i="7"/>
  <c r="AP57" i="7"/>
  <c r="AP56" i="7"/>
  <c r="AK49" i="14"/>
  <c r="AF49" i="14"/>
  <c r="AR49" i="14"/>
  <c r="AK48" i="14"/>
  <c r="AF48" i="14"/>
  <c r="AR48" i="14"/>
  <c r="AK47" i="14"/>
  <c r="AF47" i="14"/>
  <c r="AR47" i="14"/>
  <c r="AK46" i="14"/>
  <c r="AF46" i="14"/>
  <c r="AR46" i="14"/>
  <c r="AK45" i="14"/>
  <c r="AG45" i="14"/>
  <c r="AF45" i="14"/>
  <c r="AR45" i="14"/>
  <c r="AL44" i="14"/>
  <c r="AK44" i="14"/>
  <c r="AG44" i="14"/>
  <c r="AF44" i="14"/>
  <c r="AR44" i="14"/>
  <c r="AL43" i="14"/>
  <c r="AK43" i="14"/>
  <c r="AG43" i="14"/>
  <c r="AF43" i="14"/>
  <c r="AR43" i="14"/>
  <c r="AL42" i="14"/>
  <c r="AK42" i="14"/>
  <c r="AG42" i="14"/>
  <c r="AF42" i="14"/>
  <c r="AR42" i="14"/>
  <c r="AL41" i="14"/>
  <c r="AK41" i="14"/>
  <c r="AG41" i="14"/>
  <c r="AF41" i="14"/>
  <c r="AR41" i="14"/>
  <c r="AL40" i="14"/>
  <c r="AK40" i="14"/>
  <c r="AG40" i="14"/>
  <c r="AF40" i="14"/>
  <c r="AR40" i="14"/>
  <c r="AL39" i="14"/>
  <c r="AK39" i="14"/>
  <c r="AG39" i="14"/>
  <c r="AF39" i="14"/>
  <c r="AR39" i="14"/>
  <c r="AL38" i="14"/>
  <c r="AK38" i="14"/>
  <c r="AG38" i="14"/>
  <c r="AF38" i="14"/>
  <c r="AR38" i="14"/>
  <c r="AL37" i="14"/>
  <c r="AK37" i="14"/>
  <c r="AG37" i="14"/>
  <c r="AF37" i="14"/>
  <c r="AR37" i="14"/>
  <c r="AL36" i="14"/>
  <c r="AK36" i="14"/>
  <c r="AG36" i="14"/>
  <c r="AF36" i="14"/>
  <c r="AN36" i="14" l="1"/>
  <c r="AM36" i="14"/>
  <c r="AR36" i="14"/>
  <c r="AN37" i="14"/>
  <c r="AN38" i="14"/>
  <c r="AM39" i="14"/>
  <c r="AM40" i="14"/>
  <c r="AM41" i="14"/>
  <c r="AM42" i="14"/>
  <c r="AM44" i="14"/>
  <c r="AM45" i="14"/>
  <c r="AM46" i="14"/>
  <c r="AM47" i="14"/>
  <c r="AM48" i="14"/>
  <c r="AM49" i="14"/>
  <c r="AO40" i="14"/>
  <c r="AO45" i="14"/>
  <c r="AO48" i="14"/>
  <c r="AM37" i="14"/>
  <c r="AM38" i="14"/>
  <c r="AM43" i="14"/>
  <c r="AN45" i="14"/>
  <c r="AT55" i="14" l="1"/>
  <c r="AT61" i="14"/>
  <c r="AP45" i="14"/>
  <c r="AN41" i="14"/>
  <c r="AO41" i="14"/>
  <c r="AN49" i="14"/>
  <c r="AN48" i="14"/>
  <c r="AN44" i="14"/>
  <c r="AN40" i="14"/>
  <c r="AN46" i="14"/>
  <c r="AN42" i="14"/>
  <c r="AO44" i="14"/>
  <c r="AO49" i="14"/>
  <c r="AV61" i="14" s="1"/>
  <c r="AO43" i="14"/>
  <c r="AO36" i="14"/>
  <c r="AP36" i="14" s="1"/>
  <c r="AN47" i="14"/>
  <c r="AN43" i="14"/>
  <c r="AN39" i="14"/>
  <c r="AO42" i="14"/>
  <c r="AO39" i="14"/>
  <c r="AO47" i="14"/>
  <c r="AO46" i="14"/>
  <c r="AO37" i="14"/>
  <c r="AP37" i="14" s="1"/>
  <c r="AO38" i="14"/>
  <c r="AU55" i="14" l="1"/>
  <c r="AV55" i="14"/>
  <c r="AU61" i="14"/>
  <c r="AP40" i="14"/>
  <c r="AP48" i="14"/>
  <c r="AP38" i="14"/>
  <c r="AP49" i="14"/>
  <c r="AP42" i="14"/>
  <c r="AP46" i="14"/>
  <c r="AP43" i="14"/>
  <c r="AP47" i="14"/>
  <c r="AP44" i="14"/>
  <c r="AP41" i="14"/>
  <c r="AP39" i="14"/>
  <c r="AR42" i="13"/>
  <c r="AM42" i="13"/>
  <c r="AL49" i="13" l="1"/>
  <c r="AK49" i="13"/>
  <c r="AR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T35" i="13"/>
  <c r="S35" i="13"/>
  <c r="R35" i="13"/>
  <c r="AM35" i="13" s="1"/>
  <c r="T34" i="13"/>
  <c r="S34" i="13"/>
  <c r="R34" i="13"/>
  <c r="T33" i="13"/>
  <c r="S33" i="13"/>
  <c r="R33" i="13"/>
  <c r="T32" i="13"/>
  <c r="S32" i="13"/>
  <c r="R32" i="13"/>
  <c r="T31" i="13"/>
  <c r="S31" i="13"/>
  <c r="R31" i="13"/>
  <c r="T30" i="13"/>
  <c r="S30" i="13"/>
  <c r="R30" i="13"/>
  <c r="S29" i="13"/>
  <c r="T28" i="13"/>
  <c r="S28" i="13"/>
  <c r="R28" i="13"/>
  <c r="T27" i="13"/>
  <c r="S27" i="13"/>
  <c r="R27" i="13"/>
  <c r="T26" i="13"/>
  <c r="S26" i="13"/>
  <c r="R26" i="13"/>
  <c r="T25" i="13"/>
  <c r="S25" i="13"/>
  <c r="R25" i="13"/>
  <c r="T24" i="13"/>
  <c r="S24" i="13"/>
  <c r="R24" i="13"/>
  <c r="T23" i="13"/>
  <c r="S23" i="13"/>
  <c r="R23" i="13"/>
  <c r="T22" i="13"/>
  <c r="S22" i="13"/>
  <c r="T21" i="13"/>
  <c r="S21" i="13"/>
  <c r="T20" i="13"/>
  <c r="S20" i="13"/>
  <c r="T19" i="13"/>
  <c r="S19" i="13"/>
  <c r="T18" i="13"/>
  <c r="S18" i="13"/>
  <c r="T17" i="13"/>
  <c r="S17" i="13"/>
  <c r="T16" i="13"/>
  <c r="S16" i="13"/>
  <c r="T15" i="13"/>
  <c r="S15" i="13"/>
  <c r="T14" i="13"/>
  <c r="S14" i="13"/>
  <c r="T13" i="13"/>
  <c r="S13" i="13"/>
  <c r="T12" i="13"/>
  <c r="S12" i="13"/>
  <c r="T11" i="13"/>
  <c r="S11" i="13"/>
  <c r="T10" i="13"/>
  <c r="S10" i="13"/>
  <c r="T9" i="13"/>
  <c r="S9" i="13"/>
  <c r="T8" i="13"/>
  <c r="S8" i="13"/>
  <c r="T7" i="13"/>
  <c r="S7" i="13"/>
  <c r="T6" i="13"/>
  <c r="S6" i="13"/>
  <c r="T5" i="13"/>
  <c r="S5" i="13"/>
  <c r="AM48" i="13" l="1"/>
  <c r="AM40" i="13"/>
  <c r="AO41" i="13"/>
  <c r="AO39" i="13"/>
  <c r="AN38" i="13"/>
  <c r="AM44" i="13"/>
  <c r="AO46" i="13"/>
  <c r="AO45" i="13"/>
  <c r="AO49" i="13"/>
  <c r="AO37" i="13"/>
  <c r="AN37" i="13"/>
  <c r="AN42" i="13"/>
  <c r="AO44" i="13"/>
  <c r="AM36" i="13"/>
  <c r="AN45" i="13"/>
  <c r="AO47" i="13"/>
  <c r="AO43" i="13"/>
  <c r="AN47" i="13"/>
  <c r="AM47" i="13"/>
  <c r="AM39" i="13"/>
  <c r="AN41" i="13"/>
  <c r="AM49" i="13"/>
  <c r="AO42" i="13"/>
  <c r="AN48" i="13"/>
  <c r="AO36" i="13"/>
  <c r="AM38" i="13"/>
  <c r="AO40" i="13"/>
  <c r="AM43" i="13"/>
  <c r="AO48" i="13"/>
  <c r="AO38" i="13"/>
  <c r="AM37" i="13"/>
  <c r="AM41" i="13"/>
  <c r="AM45" i="13"/>
  <c r="AM46" i="13"/>
  <c r="AV59" i="13" l="1"/>
  <c r="AT59" i="13"/>
  <c r="AP45" i="13"/>
  <c r="AP48" i="13"/>
  <c r="AP47" i="13"/>
  <c r="AP37" i="13"/>
  <c r="AP42" i="13"/>
  <c r="AP41" i="13"/>
  <c r="AP38" i="13"/>
  <c r="AN49" i="13"/>
  <c r="AN46" i="13"/>
  <c r="AU59" i="13" s="1"/>
  <c r="AN44" i="13"/>
  <c r="AN40" i="13"/>
  <c r="AN36" i="13"/>
  <c r="AN39" i="13"/>
  <c r="AN43" i="13"/>
  <c r="AP43" i="13" l="1"/>
  <c r="AP49" i="13"/>
  <c r="AP40" i="13"/>
  <c r="AP39" i="13"/>
  <c r="AP46" i="13"/>
  <c r="AP36" i="13"/>
  <c r="AP44" i="13"/>
  <c r="AK50" i="7"/>
  <c r="AL50" i="7"/>
  <c r="AK51" i="7"/>
  <c r="AL51" i="7"/>
  <c r="AK52" i="7"/>
  <c r="AL52" i="7"/>
  <c r="AK53" i="7"/>
  <c r="AL53" i="7"/>
  <c r="AG53" i="7"/>
  <c r="AF53" i="7"/>
  <c r="AG52" i="7"/>
  <c r="AF52" i="7"/>
  <c r="AG51" i="7"/>
  <c r="AF51" i="7"/>
  <c r="AF50" i="7"/>
  <c r="AG50" i="7"/>
  <c r="AB53" i="7"/>
  <c r="AB52" i="7"/>
  <c r="AB51" i="7"/>
  <c r="AB50" i="7"/>
  <c r="AN51" i="7" l="1"/>
  <c r="AO53" i="7"/>
  <c r="AN53" i="7"/>
  <c r="AO51" i="7"/>
  <c r="AO52" i="7"/>
  <c r="AN52" i="7"/>
  <c r="AO50" i="7"/>
  <c r="AN50" i="7"/>
  <c r="AR55" i="9"/>
  <c r="AR53" i="9"/>
  <c r="AR52" i="9"/>
  <c r="AR51" i="9"/>
  <c r="AR50" i="9"/>
  <c r="AP51" i="7" l="1"/>
  <c r="AP53" i="7"/>
  <c r="AP52" i="7"/>
  <c r="AP50" i="7"/>
  <c r="AR54" i="9"/>
  <c r="AR49" i="12" l="1"/>
  <c r="AR39" i="12"/>
  <c r="AR38" i="12"/>
  <c r="AR37" i="12"/>
  <c r="AR36" i="12"/>
  <c r="AA37" i="12"/>
  <c r="AB37" i="12"/>
  <c r="AA38" i="12"/>
  <c r="AB38" i="12"/>
  <c r="AA39" i="12"/>
  <c r="AB39" i="12"/>
  <c r="AA40" i="12"/>
  <c r="AB40" i="12"/>
  <c r="AA41" i="12"/>
  <c r="AB41" i="12"/>
  <c r="AA42" i="12"/>
  <c r="AB42" i="12"/>
  <c r="AA43" i="12"/>
  <c r="AB43" i="12"/>
  <c r="AA44" i="12"/>
  <c r="AB44" i="12"/>
  <c r="AA45" i="12"/>
  <c r="AB45" i="12"/>
  <c r="AA46" i="12"/>
  <c r="AB46" i="12"/>
  <c r="AA47" i="12"/>
  <c r="AB47" i="12"/>
  <c r="AA48" i="12"/>
  <c r="AB48" i="12"/>
  <c r="AA49" i="12"/>
  <c r="AB49" i="12"/>
  <c r="AA50" i="12"/>
  <c r="AB50" i="12"/>
  <c r="T48" i="12"/>
  <c r="AO48" i="12" s="1"/>
  <c r="R37" i="12"/>
  <c r="AM37" i="12" s="1"/>
  <c r="S37" i="12"/>
  <c r="AN37" i="12" s="1"/>
  <c r="T37" i="12"/>
  <c r="AO37" i="12" s="1"/>
  <c r="R38" i="12"/>
  <c r="AM38" i="12" s="1"/>
  <c r="S38" i="12"/>
  <c r="AN38" i="12" s="1"/>
  <c r="T38" i="12"/>
  <c r="AO38" i="12" s="1"/>
  <c r="R39" i="12"/>
  <c r="AM39" i="12" s="1"/>
  <c r="S39" i="12"/>
  <c r="AN39" i="12" s="1"/>
  <c r="T39" i="12"/>
  <c r="AO39" i="12" s="1"/>
  <c r="R40" i="12"/>
  <c r="AM40" i="12" s="1"/>
  <c r="S40" i="12"/>
  <c r="AN40" i="12" s="1"/>
  <c r="T40" i="12"/>
  <c r="AO40" i="12" s="1"/>
  <c r="R41" i="12"/>
  <c r="AM41" i="12" s="1"/>
  <c r="S41" i="12"/>
  <c r="AN41" i="12" s="1"/>
  <c r="T41" i="12"/>
  <c r="AO41" i="12" s="1"/>
  <c r="R42" i="12"/>
  <c r="AM42" i="12" s="1"/>
  <c r="S42" i="12"/>
  <c r="AN42" i="12" s="1"/>
  <c r="T42" i="12"/>
  <c r="AO42" i="12" s="1"/>
  <c r="R43" i="12"/>
  <c r="AM43" i="12" s="1"/>
  <c r="S43" i="12"/>
  <c r="AN43" i="12" s="1"/>
  <c r="T43" i="12"/>
  <c r="AO43" i="12" s="1"/>
  <c r="R44" i="12"/>
  <c r="AM44" i="12" s="1"/>
  <c r="S44" i="12"/>
  <c r="AN44" i="12" s="1"/>
  <c r="T44" i="12"/>
  <c r="AO44" i="12" s="1"/>
  <c r="R45" i="12"/>
  <c r="AM45" i="12" s="1"/>
  <c r="S45" i="12"/>
  <c r="AN45" i="12" s="1"/>
  <c r="T45" i="12"/>
  <c r="AO45" i="12" s="1"/>
  <c r="R46" i="12"/>
  <c r="AM46" i="12" s="1"/>
  <c r="S46" i="12"/>
  <c r="AN46" i="12" s="1"/>
  <c r="T46" i="12"/>
  <c r="AO46" i="12" s="1"/>
  <c r="R47" i="12"/>
  <c r="AM47" i="12" s="1"/>
  <c r="S47" i="12"/>
  <c r="AN47" i="12" s="1"/>
  <c r="T47" i="12"/>
  <c r="AO47" i="12" s="1"/>
  <c r="R48" i="12"/>
  <c r="AM48" i="12" s="1"/>
  <c r="S48" i="12"/>
  <c r="AN48" i="12" s="1"/>
  <c r="R49" i="12"/>
  <c r="AM49" i="12" s="1"/>
  <c r="S49" i="12"/>
  <c r="AN49" i="12" s="1"/>
  <c r="T49" i="12"/>
  <c r="AO49" i="12" s="1"/>
  <c r="AU55" i="12" l="1"/>
  <c r="AT55" i="12"/>
  <c r="AV55" i="12"/>
  <c r="AV59" i="12"/>
  <c r="AT59" i="12"/>
  <c r="AU59" i="12"/>
  <c r="AP49" i="12"/>
  <c r="AP46" i="12"/>
  <c r="AP48" i="12"/>
  <c r="AP42" i="12"/>
  <c r="AP45" i="12"/>
  <c r="AP47" i="12"/>
  <c r="AP43" i="12"/>
  <c r="AP44" i="12"/>
  <c r="AP37" i="12"/>
  <c r="AP38" i="12"/>
  <c r="AP39" i="12"/>
  <c r="AP41" i="12"/>
  <c r="AP40" i="12"/>
  <c r="AT61" i="12"/>
  <c r="AV61" i="12" l="1"/>
  <c r="AU61" i="12"/>
  <c r="AR49" i="11"/>
  <c r="AK37" i="11"/>
  <c r="AL37" i="11"/>
  <c r="AK38" i="11"/>
  <c r="AL38" i="11"/>
  <c r="AK39" i="11"/>
  <c r="AL39" i="11"/>
  <c r="AK40" i="11"/>
  <c r="AL40" i="11"/>
  <c r="AK41" i="11"/>
  <c r="AL41" i="11"/>
  <c r="AM41" i="11"/>
  <c r="AK42" i="11"/>
  <c r="AL42" i="11"/>
  <c r="AK43" i="11"/>
  <c r="AL43" i="11"/>
  <c r="AK44" i="11"/>
  <c r="AL44" i="11"/>
  <c r="AK45" i="11"/>
  <c r="AL45" i="11"/>
  <c r="AK46" i="11"/>
  <c r="AL46" i="11"/>
  <c r="AK47" i="11"/>
  <c r="AL47" i="11"/>
  <c r="AM47" i="11"/>
  <c r="G48" i="11" s="1"/>
  <c r="AK48" i="11"/>
  <c r="AL48" i="11"/>
  <c r="AM48" i="11"/>
  <c r="AK49" i="11"/>
  <c r="AL49" i="11"/>
  <c r="AF37" i="11"/>
  <c r="AG37" i="11"/>
  <c r="AF38" i="11"/>
  <c r="AG38" i="11"/>
  <c r="AF39" i="11"/>
  <c r="AG39" i="11"/>
  <c r="AF40" i="11"/>
  <c r="AG40" i="11"/>
  <c r="AF41" i="11"/>
  <c r="AG41" i="11"/>
  <c r="AF42" i="11"/>
  <c r="AG42" i="11"/>
  <c r="AF43" i="11"/>
  <c r="AG43" i="11"/>
  <c r="AF44" i="11"/>
  <c r="AG44" i="11"/>
  <c r="AF45" i="11"/>
  <c r="AG45" i="11"/>
  <c r="AF46" i="11"/>
  <c r="AG46" i="11"/>
  <c r="AF47" i="11"/>
  <c r="AG47" i="11"/>
  <c r="AF48" i="11"/>
  <c r="AG48" i="11"/>
  <c r="AF49" i="11"/>
  <c r="AG49" i="11"/>
  <c r="AM37" i="11"/>
  <c r="AM38" i="11"/>
  <c r="AM39" i="11"/>
  <c r="AM40" i="11"/>
  <c r="AM42" i="11"/>
  <c r="AM43" i="11"/>
  <c r="G44" i="11" s="1"/>
  <c r="AM44" i="11"/>
  <c r="G45" i="11" s="1"/>
  <c r="AM45" i="11"/>
  <c r="G46" i="11" s="1"/>
  <c r="AM46" i="11"/>
  <c r="G47" i="11" s="1"/>
  <c r="AM49" i="11"/>
  <c r="G50" i="11" s="1"/>
  <c r="AN50" i="11" s="1"/>
  <c r="AU63" i="11" s="1"/>
  <c r="G43" i="11" l="1"/>
  <c r="G49" i="11"/>
  <c r="AN49" i="11" s="1"/>
  <c r="H51" i="11"/>
  <c r="AO51" i="11" s="1"/>
  <c r="AP51" i="11" s="1"/>
  <c r="AO38" i="11"/>
  <c r="AN38" i="11"/>
  <c r="AN45" i="11"/>
  <c r="H46" i="11" s="1"/>
  <c r="AO46" i="11" s="1"/>
  <c r="AO37" i="11"/>
  <c r="AN37" i="11"/>
  <c r="AO42" i="11"/>
  <c r="AN41" i="11"/>
  <c r="AN40" i="11"/>
  <c r="AN47" i="11"/>
  <c r="H48" i="11" s="1"/>
  <c r="AO48" i="11" s="1"/>
  <c r="AO40" i="11"/>
  <c r="AN39" i="11"/>
  <c r="AN48" i="11"/>
  <c r="AN42" i="11"/>
  <c r="AO39" i="11"/>
  <c r="AN46" i="11"/>
  <c r="H47" i="11" s="1"/>
  <c r="AO47" i="11" s="1"/>
  <c r="AN44" i="11"/>
  <c r="H45" i="11" s="1"/>
  <c r="AO45" i="11" s="1"/>
  <c r="AN43" i="11"/>
  <c r="H44" i="11" s="1"/>
  <c r="AO44" i="11" s="1"/>
  <c r="AO41" i="11"/>
  <c r="H43" i="11" l="1"/>
  <c r="AO43" i="11" s="1"/>
  <c r="AP43" i="11" s="1"/>
  <c r="H49" i="11"/>
  <c r="AO49" i="11" s="1"/>
  <c r="AP49" i="11" s="1"/>
  <c r="H50" i="11"/>
  <c r="AO50" i="11" s="1"/>
  <c r="AP38" i="11"/>
  <c r="AP45" i="11"/>
  <c r="AP46" i="11"/>
  <c r="AP48" i="11"/>
  <c r="AP41" i="11"/>
  <c r="AP37" i="11"/>
  <c r="AP42" i="11"/>
  <c r="AP47" i="11"/>
  <c r="AP44" i="11"/>
  <c r="AP40" i="11"/>
  <c r="AP39" i="11"/>
  <c r="AR46" i="10"/>
  <c r="AP50" i="11" l="1"/>
  <c r="AV63" i="11"/>
  <c r="AP43" i="10"/>
  <c r="AP47" i="10"/>
  <c r="AP42" i="10"/>
  <c r="AP46" i="10"/>
  <c r="AP44" i="10"/>
  <c r="AP48" i="10" l="1"/>
  <c r="AP49" i="10"/>
  <c r="AP45" i="10"/>
  <c r="AF37" i="8"/>
  <c r="AN37" i="8" s="1"/>
  <c r="AG37" i="8"/>
  <c r="AO37" i="8" s="1"/>
  <c r="AF38" i="8"/>
  <c r="AN38" i="8" s="1"/>
  <c r="AG38" i="8"/>
  <c r="AO38" i="8" s="1"/>
  <c r="AF39" i="8"/>
  <c r="AN39" i="8" s="1"/>
  <c r="AG39" i="8"/>
  <c r="AO39" i="8" s="1"/>
  <c r="AF40" i="8"/>
  <c r="AN40" i="8" s="1"/>
  <c r="AG40" i="8"/>
  <c r="AO40" i="8" s="1"/>
  <c r="AF41" i="8"/>
  <c r="AN41" i="8" s="1"/>
  <c r="AG41" i="8"/>
  <c r="AO41" i="8" s="1"/>
  <c r="AF42" i="8"/>
  <c r="AN42" i="8" s="1"/>
  <c r="AG42" i="8"/>
  <c r="AO42" i="8" s="1"/>
  <c r="AF43" i="8"/>
  <c r="AN43" i="8" s="1"/>
  <c r="AG43" i="8"/>
  <c r="AO43" i="8" s="1"/>
  <c r="AF44" i="8"/>
  <c r="AN44" i="8" s="1"/>
  <c r="AG44" i="8"/>
  <c r="AO44" i="8" s="1"/>
  <c r="AF45" i="8"/>
  <c r="AN45" i="8" s="1"/>
  <c r="AG45" i="8"/>
  <c r="AO45" i="8" s="1"/>
  <c r="AF46" i="8"/>
  <c r="AN46" i="8" s="1"/>
  <c r="AG46" i="8"/>
  <c r="AO46" i="8" s="1"/>
  <c r="AF47" i="8"/>
  <c r="AN47" i="8" s="1"/>
  <c r="AG47" i="8"/>
  <c r="AO47" i="8" s="1"/>
  <c r="AF48" i="8"/>
  <c r="AN48" i="8" s="1"/>
  <c r="AG48" i="8"/>
  <c r="AO48" i="8" s="1"/>
  <c r="AF49" i="8"/>
  <c r="AN49" i="8" s="1"/>
  <c r="AG49" i="8"/>
  <c r="AO49" i="8" s="1"/>
  <c r="AA37" i="8"/>
  <c r="AB37" i="8"/>
  <c r="AA38" i="8"/>
  <c r="AB38" i="8"/>
  <c r="AA39" i="8"/>
  <c r="AB39" i="8"/>
  <c r="AA40" i="8"/>
  <c r="AB40" i="8"/>
  <c r="AA41" i="8"/>
  <c r="AB41" i="8"/>
  <c r="AA42" i="8"/>
  <c r="AB42" i="8"/>
  <c r="AA43" i="8"/>
  <c r="AB43" i="8"/>
  <c r="AV53" i="8" l="1"/>
  <c r="AU53" i="8"/>
  <c r="AV61" i="8"/>
  <c r="AU61" i="8"/>
  <c r="AP44" i="8"/>
  <c r="AP40" i="8"/>
  <c r="AP49" i="8"/>
  <c r="AP48" i="8"/>
  <c r="AP47" i="8"/>
  <c r="AP46" i="8"/>
  <c r="AP45" i="8"/>
  <c r="AP43" i="8"/>
  <c r="AP42" i="8"/>
  <c r="AP41" i="8"/>
  <c r="AP39" i="8"/>
  <c r="AP38" i="8"/>
  <c r="AP37" i="8"/>
  <c r="AK5" i="7"/>
  <c r="AL5" i="7"/>
  <c r="AK6" i="7"/>
  <c r="AL6" i="7"/>
  <c r="AK7" i="7"/>
  <c r="AL7" i="7"/>
  <c r="AK8" i="7"/>
  <c r="AL8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AL17" i="7"/>
  <c r="AK18" i="7"/>
  <c r="AL18" i="7"/>
  <c r="AK19" i="7"/>
  <c r="AL19" i="7"/>
  <c r="AK20" i="7"/>
  <c r="AL20" i="7"/>
  <c r="AK21" i="7"/>
  <c r="AL21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F5" i="7"/>
  <c r="AG5" i="7"/>
  <c r="AF6" i="7"/>
  <c r="AG6" i="7"/>
  <c r="AO6" i="7" s="1"/>
  <c r="AF7" i="7"/>
  <c r="AG7" i="7"/>
  <c r="AF8" i="7"/>
  <c r="AG8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O28" i="7" l="1"/>
  <c r="AO26" i="7"/>
  <c r="AO24" i="7"/>
  <c r="AO22" i="7"/>
  <c r="AO20" i="7"/>
  <c r="AO18" i="7"/>
  <c r="AO16" i="7"/>
  <c r="AO14" i="7"/>
  <c r="AO10" i="7"/>
  <c r="AO8" i="7"/>
  <c r="AO12" i="7"/>
  <c r="AN29" i="7"/>
  <c r="AN25" i="7"/>
  <c r="AN23" i="7"/>
  <c r="AN21" i="7"/>
  <c r="AN19" i="7"/>
  <c r="AN17" i="7"/>
  <c r="AN15" i="7"/>
  <c r="AN13" i="7"/>
  <c r="AN11" i="7"/>
  <c r="AN9" i="7"/>
  <c r="AN7" i="7"/>
  <c r="AN5" i="7"/>
  <c r="AN27" i="7"/>
  <c r="AO29" i="7"/>
  <c r="AO27" i="7"/>
  <c r="AO25" i="7"/>
  <c r="AO23" i="7"/>
  <c r="AO21" i="7"/>
  <c r="AO19" i="7"/>
  <c r="AO17" i="7"/>
  <c r="AO15" i="7"/>
  <c r="AO13" i="7"/>
  <c r="AO11" i="7"/>
  <c r="AO9" i="7"/>
  <c r="AO7" i="7"/>
  <c r="AO5" i="7"/>
  <c r="AN28" i="7"/>
  <c r="AN26" i="7"/>
  <c r="AN24" i="7"/>
  <c r="AN22" i="7"/>
  <c r="AN8" i="7"/>
  <c r="AN6" i="7"/>
  <c r="AP6" i="7" s="1"/>
  <c r="AN20" i="7"/>
  <c r="AN18" i="7"/>
  <c r="AN16" i="7"/>
  <c r="AN14" i="7"/>
  <c r="AN12" i="7"/>
  <c r="AN10" i="7"/>
  <c r="AN49" i="7"/>
  <c r="AN47" i="7"/>
  <c r="AN45" i="7"/>
  <c r="AN43" i="7"/>
  <c r="AN41" i="7"/>
  <c r="AN31" i="7"/>
  <c r="AO38" i="7"/>
  <c r="AO36" i="7"/>
  <c r="AO34" i="7"/>
  <c r="AO32" i="7"/>
  <c r="AO30" i="7"/>
  <c r="AN38" i="7"/>
  <c r="AN36" i="7"/>
  <c r="AN34" i="7"/>
  <c r="AN32" i="7"/>
  <c r="AN30" i="7"/>
  <c r="AO49" i="7"/>
  <c r="AO47" i="7"/>
  <c r="AO45" i="7"/>
  <c r="AO43" i="7"/>
  <c r="AO41" i="7"/>
  <c r="AO31" i="7"/>
  <c r="AO48" i="7"/>
  <c r="AN48" i="7"/>
  <c r="AO46" i="7"/>
  <c r="AN46" i="7"/>
  <c r="AO44" i="7"/>
  <c r="AN44" i="7"/>
  <c r="AO42" i="7"/>
  <c r="AN42" i="7"/>
  <c r="AO40" i="7"/>
  <c r="AN40" i="7"/>
  <c r="AO39" i="7"/>
  <c r="AN39" i="7"/>
  <c r="AO37" i="7"/>
  <c r="AN37" i="7"/>
  <c r="AO35" i="7"/>
  <c r="AN35" i="7"/>
  <c r="AO33" i="7"/>
  <c r="AN33" i="7"/>
  <c r="AG42" i="5"/>
  <c r="AO42" i="5" s="1"/>
  <c r="AF37" i="5"/>
  <c r="AG37" i="5"/>
  <c r="AF38" i="5"/>
  <c r="AG38" i="5"/>
  <c r="AF39" i="5"/>
  <c r="AG39" i="5"/>
  <c r="AF40" i="5"/>
  <c r="AG40" i="5"/>
  <c r="AF41" i="5"/>
  <c r="AG41" i="5"/>
  <c r="AF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P8" i="7" l="1"/>
  <c r="AP24" i="7"/>
  <c r="AP10" i="7"/>
  <c r="AP28" i="7"/>
  <c r="AP26" i="7"/>
  <c r="AP22" i="7"/>
  <c r="AP17" i="7"/>
  <c r="AP29" i="7"/>
  <c r="AP27" i="7"/>
  <c r="AP25" i="7"/>
  <c r="AP23" i="7"/>
  <c r="AP18" i="7"/>
  <c r="AP14" i="7"/>
  <c r="AP16" i="7"/>
  <c r="AP21" i="7"/>
  <c r="AP12" i="7"/>
  <c r="AP20" i="7"/>
  <c r="AP19" i="7"/>
  <c r="AP9" i="7"/>
  <c r="AP11" i="7"/>
  <c r="AP5" i="7"/>
  <c r="AP13" i="7"/>
  <c r="AP7" i="7"/>
  <c r="AP15" i="7"/>
  <c r="AO46" i="5"/>
  <c r="AN42" i="5"/>
  <c r="AP42" i="5" s="1"/>
  <c r="AP43" i="7"/>
  <c r="AP47" i="7"/>
  <c r="AP38" i="7"/>
  <c r="AO44" i="5"/>
  <c r="AO40" i="5"/>
  <c r="AN40" i="5"/>
  <c r="AP45" i="7"/>
  <c r="AP36" i="7"/>
  <c r="AP32" i="7"/>
  <c r="AP31" i="7"/>
  <c r="AP34" i="7"/>
  <c r="AP30" i="7"/>
  <c r="AP41" i="7"/>
  <c r="AP49" i="7"/>
  <c r="AN44" i="5"/>
  <c r="AN46" i="5"/>
  <c r="AP48" i="7"/>
  <c r="AO49" i="5"/>
  <c r="AN49" i="5"/>
  <c r="AN48" i="5"/>
  <c r="AO48" i="5"/>
  <c r="AO47" i="5"/>
  <c r="AN47" i="5"/>
  <c r="AO45" i="5"/>
  <c r="AN45" i="5"/>
  <c r="AP46" i="7"/>
  <c r="AP44" i="7"/>
  <c r="AP42" i="7"/>
  <c r="AP39" i="7"/>
  <c r="AP33" i="7"/>
  <c r="AP40" i="7"/>
  <c r="AO43" i="5"/>
  <c r="AN43" i="5"/>
  <c r="AO41" i="5"/>
  <c r="AN41" i="5"/>
  <c r="AO39" i="5"/>
  <c r="AN39" i="5"/>
  <c r="AN38" i="5"/>
  <c r="AO37" i="5"/>
  <c r="AN37" i="5"/>
  <c r="AP35" i="7"/>
  <c r="AR39" i="5"/>
  <c r="AO38" i="5"/>
  <c r="AP37" i="7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G36" i="8"/>
  <c r="AO36" i="8" s="1"/>
  <c r="AV49" i="8" s="1"/>
  <c r="AF36" i="8"/>
  <c r="AN36" i="8" s="1"/>
  <c r="AU49" i="8" s="1"/>
  <c r="AB36" i="8"/>
  <c r="AA36" i="8"/>
  <c r="AP46" i="5" l="1"/>
  <c r="AP40" i="5"/>
  <c r="AP44" i="5"/>
  <c r="AP37" i="5"/>
  <c r="AP39" i="5"/>
  <c r="AP43" i="5"/>
  <c r="AP47" i="5"/>
  <c r="AP48" i="5"/>
  <c r="AP45" i="5"/>
  <c r="AP49" i="5"/>
  <c r="AP36" i="8"/>
  <c r="AP41" i="5"/>
  <c r="AP38" i="5"/>
  <c r="AR41" i="10" l="1"/>
  <c r="AR39" i="10"/>
  <c r="AR37" i="10"/>
  <c r="AP41" i="10" l="1"/>
  <c r="AP40" i="10"/>
  <c r="AP39" i="10"/>
  <c r="AP38" i="10"/>
  <c r="AP37" i="10"/>
  <c r="AR36" i="10"/>
  <c r="AR38" i="10"/>
  <c r="AR40" i="10"/>
  <c r="AP36" i="10" l="1"/>
  <c r="AA36" i="12" l="1"/>
  <c r="AB36" i="12"/>
  <c r="T36" i="12"/>
  <c r="AO36" i="12" s="1"/>
  <c r="S36" i="12"/>
  <c r="AN36" i="12" s="1"/>
  <c r="R36" i="12"/>
  <c r="AM36" i="12" s="1"/>
  <c r="AO35" i="12"/>
  <c r="AN35" i="12"/>
  <c r="AM35" i="12"/>
  <c r="AO34" i="12"/>
  <c r="AN34" i="12"/>
  <c r="AM34" i="12"/>
  <c r="AO33" i="12"/>
  <c r="AN33" i="12"/>
  <c r="AM33" i="12"/>
  <c r="AO32" i="12"/>
  <c r="AN32" i="12"/>
  <c r="AM32" i="12"/>
  <c r="AO31" i="12"/>
  <c r="AN31" i="12"/>
  <c r="AM31" i="12"/>
  <c r="AO30" i="12"/>
  <c r="AN30" i="12"/>
  <c r="AM30" i="12"/>
  <c r="AO29" i="12"/>
  <c r="AN29" i="12"/>
  <c r="AO28" i="12"/>
  <c r="AN28" i="12"/>
  <c r="AM28" i="12"/>
  <c r="AO27" i="12"/>
  <c r="AN27" i="12"/>
  <c r="AM27" i="12"/>
  <c r="AO26" i="12"/>
  <c r="AN26" i="12"/>
  <c r="AM26" i="12"/>
  <c r="T25" i="12"/>
  <c r="AO25" i="12" s="1"/>
  <c r="S25" i="12"/>
  <c r="AN25" i="12" s="1"/>
  <c r="R25" i="12"/>
  <c r="AM25" i="12" s="1"/>
  <c r="T24" i="12"/>
  <c r="AO24" i="12" s="1"/>
  <c r="S24" i="12"/>
  <c r="AN24" i="12" s="1"/>
  <c r="R24" i="12"/>
  <c r="AM24" i="12" s="1"/>
  <c r="T23" i="12"/>
  <c r="AO23" i="12" s="1"/>
  <c r="S23" i="12"/>
  <c r="AN23" i="12" s="1"/>
  <c r="R23" i="12"/>
  <c r="AM23" i="12" s="1"/>
  <c r="T22" i="12"/>
  <c r="AO22" i="12" s="1"/>
  <c r="S22" i="12"/>
  <c r="AN22" i="12" s="1"/>
  <c r="R22" i="12"/>
  <c r="AM22" i="12" s="1"/>
  <c r="T21" i="12"/>
  <c r="AO21" i="12" s="1"/>
  <c r="S21" i="12"/>
  <c r="AN21" i="12" s="1"/>
  <c r="R21" i="12"/>
  <c r="AM21" i="12" s="1"/>
  <c r="T20" i="12"/>
  <c r="AO20" i="12" s="1"/>
  <c r="S20" i="12"/>
  <c r="AN20" i="12" s="1"/>
  <c r="R20" i="12"/>
  <c r="AM20" i="12" s="1"/>
  <c r="T19" i="12"/>
  <c r="AO19" i="12" s="1"/>
  <c r="S19" i="12"/>
  <c r="AN19" i="12" s="1"/>
  <c r="R19" i="12"/>
  <c r="AM19" i="12" s="1"/>
  <c r="T18" i="12"/>
  <c r="AO18" i="12" s="1"/>
  <c r="S18" i="12"/>
  <c r="AN18" i="12" s="1"/>
  <c r="R18" i="12"/>
  <c r="AM18" i="12" s="1"/>
  <c r="T17" i="12"/>
  <c r="AO17" i="12" s="1"/>
  <c r="S17" i="12"/>
  <c r="AN17" i="12" s="1"/>
  <c r="R17" i="12"/>
  <c r="AM17" i="12" s="1"/>
  <c r="T16" i="12"/>
  <c r="AO16" i="12" s="1"/>
  <c r="S16" i="12"/>
  <c r="AN16" i="12" s="1"/>
  <c r="R16" i="12"/>
  <c r="AM16" i="12" s="1"/>
  <c r="T15" i="12"/>
  <c r="AO15" i="12" s="1"/>
  <c r="S15" i="12"/>
  <c r="AN15" i="12" s="1"/>
  <c r="R15" i="12"/>
  <c r="AM15" i="12" s="1"/>
  <c r="T14" i="12"/>
  <c r="AO14" i="12" s="1"/>
  <c r="S14" i="12"/>
  <c r="AN14" i="12" s="1"/>
  <c r="R14" i="12"/>
  <c r="AM14" i="12" s="1"/>
  <c r="T13" i="12"/>
  <c r="AO13" i="12" s="1"/>
  <c r="S13" i="12"/>
  <c r="AN13" i="12" s="1"/>
  <c r="R13" i="12"/>
  <c r="AM13" i="12" s="1"/>
  <c r="T12" i="12"/>
  <c r="AO12" i="12" s="1"/>
  <c r="S12" i="12"/>
  <c r="AN12" i="12" s="1"/>
  <c r="R12" i="12"/>
  <c r="AM12" i="12" s="1"/>
  <c r="T11" i="12"/>
  <c r="AO11" i="12" s="1"/>
  <c r="S11" i="12"/>
  <c r="AN11" i="12" s="1"/>
  <c r="R11" i="12"/>
  <c r="AM11" i="12" s="1"/>
  <c r="T10" i="12"/>
  <c r="AO10" i="12" s="1"/>
  <c r="S10" i="12"/>
  <c r="AN10" i="12" s="1"/>
  <c r="R10" i="12"/>
  <c r="AM10" i="12" s="1"/>
  <c r="T9" i="12"/>
  <c r="AO9" i="12" s="1"/>
  <c r="S9" i="12"/>
  <c r="AN9" i="12" s="1"/>
  <c r="R9" i="12"/>
  <c r="AM9" i="12" s="1"/>
  <c r="T8" i="12"/>
  <c r="AO8" i="12" s="1"/>
  <c r="S8" i="12"/>
  <c r="AN8" i="12" s="1"/>
  <c r="R8" i="12"/>
  <c r="AM8" i="12" s="1"/>
  <c r="T7" i="12"/>
  <c r="AO7" i="12" s="1"/>
  <c r="S7" i="12"/>
  <c r="AN7" i="12" s="1"/>
  <c r="R7" i="12"/>
  <c r="AM7" i="12" s="1"/>
  <c r="T6" i="12"/>
  <c r="AO6" i="12" s="1"/>
  <c r="S6" i="12"/>
  <c r="AN6" i="12" s="1"/>
  <c r="R6" i="12"/>
  <c r="AM6" i="12" s="1"/>
  <c r="T5" i="12"/>
  <c r="AO5" i="12" s="1"/>
  <c r="S5" i="12"/>
  <c r="AN5" i="12" s="1"/>
  <c r="R5" i="12"/>
  <c r="AM5" i="12" s="1"/>
  <c r="AT31" i="12" l="1"/>
  <c r="AV31" i="12"/>
  <c r="AU31" i="12"/>
  <c r="AT41" i="12"/>
  <c r="AU41" i="12"/>
  <c r="AV41" i="12"/>
  <c r="AP8" i="12"/>
  <c r="AP12" i="12"/>
  <c r="AP16" i="12"/>
  <c r="AP20" i="12"/>
  <c r="AP10" i="12"/>
  <c r="AP11" i="12"/>
  <c r="AP14" i="12"/>
  <c r="AP15" i="12"/>
  <c r="AP18" i="12"/>
  <c r="AP19" i="12"/>
  <c r="AP22" i="12"/>
  <c r="AP26" i="12"/>
  <c r="AP24" i="12"/>
  <c r="AP23" i="12"/>
  <c r="AP7" i="12"/>
  <c r="AP6" i="12"/>
  <c r="AP5" i="12"/>
  <c r="AP9" i="12"/>
  <c r="AP13" i="12"/>
  <c r="AP17" i="12"/>
  <c r="AP21" i="12"/>
  <c r="AP25" i="12"/>
  <c r="AP27" i="12"/>
  <c r="AP32" i="12"/>
  <c r="AP36" i="12"/>
  <c r="AP28" i="12"/>
  <c r="AP30" i="12"/>
  <c r="AP31" i="12"/>
  <c r="AP34" i="12"/>
  <c r="AP35" i="12"/>
  <c r="AP29" i="12"/>
  <c r="AP33" i="12"/>
  <c r="AR47" i="7"/>
  <c r="AR46" i="7"/>
  <c r="AR45" i="7"/>
  <c r="AR44" i="7"/>
  <c r="AR48" i="7"/>
  <c r="AR49" i="7"/>
  <c r="AR50" i="7"/>
  <c r="AR51" i="7"/>
  <c r="AR52" i="7"/>
  <c r="AR53" i="7"/>
  <c r="AR43" i="9" l="1"/>
  <c r="AR42" i="9"/>
  <c r="AR41" i="9"/>
  <c r="AR40" i="9"/>
  <c r="AR39" i="9"/>
  <c r="AR38" i="9"/>
  <c r="AR37" i="9"/>
  <c r="AR36" i="9"/>
  <c r="AG36" i="11" l="1"/>
  <c r="AL36" i="11"/>
  <c r="AK36" i="11"/>
  <c r="AF36" i="11"/>
  <c r="AN36" i="11" l="1"/>
  <c r="AU49" i="11" s="1"/>
  <c r="AO36" i="11"/>
  <c r="AV49" i="11" s="1"/>
  <c r="AM36" i="11"/>
  <c r="AT49" i="11" s="1"/>
  <c r="AP36" i="11" l="1"/>
  <c r="AR43" i="7"/>
  <c r="AR42" i="7"/>
  <c r="AR41" i="7"/>
  <c r="AR40" i="7"/>
  <c r="AR39" i="7"/>
  <c r="AR38" i="7"/>
  <c r="AR37" i="7"/>
  <c r="AR36" i="7"/>
  <c r="AG36" i="5" l="1"/>
  <c r="AF36" i="5"/>
  <c r="AG35" i="5"/>
  <c r="AF35" i="5"/>
  <c r="AG34" i="5"/>
  <c r="AF34" i="5"/>
  <c r="AG33" i="5"/>
  <c r="AF33" i="5"/>
  <c r="AG32" i="5"/>
  <c r="AF32" i="5"/>
  <c r="AG31" i="5"/>
  <c r="AF31" i="5"/>
  <c r="AG30" i="5"/>
  <c r="AF30" i="5"/>
  <c r="AG29" i="5"/>
  <c r="AF29" i="5"/>
  <c r="AG28" i="5"/>
  <c r="AF28" i="5"/>
  <c r="AG27" i="5"/>
  <c r="AF27" i="5"/>
  <c r="AG26" i="5"/>
  <c r="AF26" i="5"/>
  <c r="AF25" i="5"/>
  <c r="AF24" i="5"/>
  <c r="AF23" i="5"/>
  <c r="AF22" i="5"/>
  <c r="AF21" i="5"/>
  <c r="AF20" i="5"/>
  <c r="AF19" i="5"/>
  <c r="AF18" i="5"/>
  <c r="AF17" i="5"/>
  <c r="AF16" i="5"/>
  <c r="AG15" i="5"/>
  <c r="AF15" i="5"/>
  <c r="AG14" i="5"/>
  <c r="AF14" i="5"/>
  <c r="AG13" i="5"/>
  <c r="AF13" i="5"/>
  <c r="AG12" i="5"/>
  <c r="AF12" i="5"/>
  <c r="AG11" i="5"/>
  <c r="AF11" i="5"/>
  <c r="AG10" i="5"/>
  <c r="AF10" i="5"/>
  <c r="AG9" i="5"/>
  <c r="AF9" i="5"/>
  <c r="AG8" i="5"/>
  <c r="AF8" i="5"/>
  <c r="AG7" i="5"/>
  <c r="AF7" i="5"/>
  <c r="AG6" i="5"/>
  <c r="AF6" i="5"/>
  <c r="AG5" i="5"/>
  <c r="AF5" i="5"/>
  <c r="AN36" i="5" l="1"/>
  <c r="AO36" i="5"/>
  <c r="AO35" i="5"/>
  <c r="AN35" i="5"/>
  <c r="AF5" i="14"/>
  <c r="AG5" i="14"/>
  <c r="AF6" i="14"/>
  <c r="AG6" i="14"/>
  <c r="AF7" i="14"/>
  <c r="AG7" i="14"/>
  <c r="AF8" i="14"/>
  <c r="AG8" i="14"/>
  <c r="AF9" i="14"/>
  <c r="AG9" i="14"/>
  <c r="AF10" i="14"/>
  <c r="AG10" i="14"/>
  <c r="AF11" i="14"/>
  <c r="AG11" i="14"/>
  <c r="AF12" i="14"/>
  <c r="AG12" i="14"/>
  <c r="AF13" i="14"/>
  <c r="AG13" i="14"/>
  <c r="AF14" i="14"/>
  <c r="AG14" i="14"/>
  <c r="AF15" i="14"/>
  <c r="AG15" i="14"/>
  <c r="AF16" i="14"/>
  <c r="AG16" i="14"/>
  <c r="AF17" i="14"/>
  <c r="AG17" i="14"/>
  <c r="AF18" i="14"/>
  <c r="AG18" i="14"/>
  <c r="AF19" i="14"/>
  <c r="AG19" i="14"/>
  <c r="AF20" i="14"/>
  <c r="AG20" i="14"/>
  <c r="AF21" i="14"/>
  <c r="AG21" i="14"/>
  <c r="AF22" i="14"/>
  <c r="AG22" i="14"/>
  <c r="AF23" i="14"/>
  <c r="AG23" i="14"/>
  <c r="AF24" i="14"/>
  <c r="AG24" i="14"/>
  <c r="AF25" i="14"/>
  <c r="AG25" i="14"/>
  <c r="AF26" i="14"/>
  <c r="AG26" i="14"/>
  <c r="AF27" i="14"/>
  <c r="AG27" i="14"/>
  <c r="AF28" i="14"/>
  <c r="AG28" i="14"/>
  <c r="AF29" i="14"/>
  <c r="AG29" i="14"/>
  <c r="AF30" i="14"/>
  <c r="AG30" i="14"/>
  <c r="AF31" i="14"/>
  <c r="AG31" i="14"/>
  <c r="AF32" i="14"/>
  <c r="AG32" i="14"/>
  <c r="AF33" i="14"/>
  <c r="AG33" i="14"/>
  <c r="AF34" i="14"/>
  <c r="AG34" i="14"/>
  <c r="AF35" i="14"/>
  <c r="AG35" i="14"/>
  <c r="AM35" i="14"/>
  <c r="AM34" i="14"/>
  <c r="AM33" i="14"/>
  <c r="AM32" i="14"/>
  <c r="AM31" i="14"/>
  <c r="AM30" i="14"/>
  <c r="AM28" i="14"/>
  <c r="AM27" i="14"/>
  <c r="AM26" i="14"/>
  <c r="AM25" i="14"/>
  <c r="AM24" i="14"/>
  <c r="AM23" i="14"/>
  <c r="AM22" i="14"/>
  <c r="AM21" i="14"/>
  <c r="AM20" i="14"/>
  <c r="AM19" i="14"/>
  <c r="AM18" i="14"/>
  <c r="AM17" i="14"/>
  <c r="AM16" i="14"/>
  <c r="AM15" i="14"/>
  <c r="AM14" i="14"/>
  <c r="AM13" i="14"/>
  <c r="AM12" i="14"/>
  <c r="AM11" i="14"/>
  <c r="AM10" i="14"/>
  <c r="AM9" i="14"/>
  <c r="AM8" i="14"/>
  <c r="AM7" i="14"/>
  <c r="AM6" i="14"/>
  <c r="AM5" i="14"/>
  <c r="AK22" i="14"/>
  <c r="AL22" i="14"/>
  <c r="AK23" i="14"/>
  <c r="AL23" i="14"/>
  <c r="AK24" i="14"/>
  <c r="AL24" i="14"/>
  <c r="AK25" i="14"/>
  <c r="AL25" i="14"/>
  <c r="AK26" i="14"/>
  <c r="AL26" i="14"/>
  <c r="AK27" i="14"/>
  <c r="AL27" i="14"/>
  <c r="AK28" i="14"/>
  <c r="AL28" i="14"/>
  <c r="AK29" i="14"/>
  <c r="AL29" i="14"/>
  <c r="AK30" i="14"/>
  <c r="AL30" i="14"/>
  <c r="AK31" i="14"/>
  <c r="AL31" i="14"/>
  <c r="AK32" i="14"/>
  <c r="AL32" i="14"/>
  <c r="AK33" i="14"/>
  <c r="AL33" i="14"/>
  <c r="AK34" i="14"/>
  <c r="AL34" i="14"/>
  <c r="AK35" i="14"/>
  <c r="AL35" i="14"/>
  <c r="AT27" i="14" l="1"/>
  <c r="AT41" i="14"/>
  <c r="AO29" i="14"/>
  <c r="AN29" i="14"/>
  <c r="AP36" i="5"/>
  <c r="AP35" i="5"/>
  <c r="AO24" i="14"/>
  <c r="AN27" i="14"/>
  <c r="AO32" i="14"/>
  <c r="AN35" i="14"/>
  <c r="AO35" i="14"/>
  <c r="AO22" i="14"/>
  <c r="AN25" i="14"/>
  <c r="AO30" i="14"/>
  <c r="AN33" i="14"/>
  <c r="AN30" i="14"/>
  <c r="AO33" i="14"/>
  <c r="AN23" i="14"/>
  <c r="AO28" i="14"/>
  <c r="AN31" i="14"/>
  <c r="AN22" i="14"/>
  <c r="AO25" i="14"/>
  <c r="AO23" i="14"/>
  <c r="AN26" i="14"/>
  <c r="AO31" i="14"/>
  <c r="AN34" i="14"/>
  <c r="AO26" i="14"/>
  <c r="AO34" i="14"/>
  <c r="AO27" i="14"/>
  <c r="AN28" i="14"/>
  <c r="AN24" i="14"/>
  <c r="AN32" i="14"/>
  <c r="AV41" i="14" l="1"/>
  <c r="AU41" i="14"/>
  <c r="AP29" i="14"/>
  <c r="AP28" i="14"/>
  <c r="AP22" i="14"/>
  <c r="AP32" i="14"/>
  <c r="AP24" i="14"/>
  <c r="AP26" i="14"/>
  <c r="AP34" i="14"/>
  <c r="AP23" i="14"/>
  <c r="AP35" i="14"/>
  <c r="AP30" i="14"/>
  <c r="AP31" i="14"/>
  <c r="AP33" i="14"/>
  <c r="AP25" i="14"/>
  <c r="AP27" i="14"/>
  <c r="AR35" i="14"/>
  <c r="AL35" i="13" l="1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M29" i="13" l="1"/>
  <c r="AN31" i="13"/>
  <c r="AO31" i="13"/>
  <c r="AM31" i="13"/>
  <c r="AO33" i="13"/>
  <c r="AN33" i="13"/>
  <c r="AO34" i="13"/>
  <c r="AN34" i="13"/>
  <c r="AM28" i="13"/>
  <c r="AM30" i="13"/>
  <c r="AM27" i="13"/>
  <c r="AM33" i="13"/>
  <c r="AM26" i="13"/>
  <c r="AM34" i="13"/>
  <c r="AM32" i="13"/>
  <c r="AO30" i="13"/>
  <c r="AN30" i="13"/>
  <c r="AM24" i="13"/>
  <c r="AT45" i="13" l="1"/>
  <c r="AN28" i="13"/>
  <c r="AN27" i="13"/>
  <c r="AN29" i="13"/>
  <c r="AP33" i="13"/>
  <c r="AP34" i="13"/>
  <c r="AP31" i="13"/>
  <c r="AP30" i="13"/>
  <c r="AO29" i="13"/>
  <c r="AO28" i="13"/>
  <c r="AO32" i="13"/>
  <c r="AN32" i="13"/>
  <c r="AM25" i="13"/>
  <c r="AN25" i="13"/>
  <c r="AN35" i="13"/>
  <c r="AO35" i="13"/>
  <c r="AM23" i="13"/>
  <c r="AU45" i="13" l="1"/>
  <c r="AV45" i="13"/>
  <c r="AP28" i="13"/>
  <c r="AN26" i="13"/>
  <c r="AN24" i="13"/>
  <c r="AP32" i="13"/>
  <c r="AP35" i="13"/>
  <c r="AP29" i="13"/>
  <c r="AO25" i="13"/>
  <c r="AO26" i="13"/>
  <c r="AO27" i="13"/>
  <c r="AA22" i="12"/>
  <c r="AB22" i="12"/>
  <c r="AA23" i="12"/>
  <c r="AB23" i="12"/>
  <c r="AA24" i="12"/>
  <c r="AB24" i="12"/>
  <c r="AA25" i="12"/>
  <c r="AB25" i="12"/>
  <c r="AA26" i="12"/>
  <c r="AB26" i="12"/>
  <c r="AA27" i="12"/>
  <c r="AB27" i="12"/>
  <c r="AA28" i="12"/>
  <c r="AB28" i="12"/>
  <c r="AA29" i="12"/>
  <c r="AB29" i="12"/>
  <c r="AA30" i="12"/>
  <c r="AB30" i="12"/>
  <c r="AA31" i="12"/>
  <c r="AB31" i="12"/>
  <c r="AA32" i="12"/>
  <c r="AB32" i="12"/>
  <c r="AA33" i="12"/>
  <c r="AB33" i="12"/>
  <c r="AA34" i="12"/>
  <c r="AB34" i="12"/>
  <c r="AA35" i="12"/>
  <c r="AB35" i="12"/>
  <c r="AR35" i="12"/>
  <c r="AR34" i="12"/>
  <c r="AR31" i="12"/>
  <c r="AR30" i="12"/>
  <c r="AR24" i="12"/>
  <c r="AR23" i="12"/>
  <c r="AP27" i="13" l="1"/>
  <c r="AP26" i="13"/>
  <c r="AP25" i="13"/>
  <c r="AR28" i="12"/>
  <c r="AR27" i="12"/>
  <c r="AR25" i="12"/>
  <c r="AR33" i="12"/>
  <c r="AR22" i="12"/>
  <c r="AR26" i="12"/>
  <c r="AR32" i="12"/>
  <c r="AR29" i="12"/>
  <c r="AR35" i="11" l="1"/>
  <c r="AK23" i="11"/>
  <c r="AL23" i="11"/>
  <c r="AM23" i="11"/>
  <c r="AK24" i="11"/>
  <c r="AL24" i="11"/>
  <c r="AM24" i="11"/>
  <c r="AK25" i="11"/>
  <c r="AL25" i="11"/>
  <c r="AM25" i="11"/>
  <c r="AK26" i="11"/>
  <c r="AL26" i="11"/>
  <c r="AM26" i="11"/>
  <c r="AK27" i="11"/>
  <c r="AL27" i="11"/>
  <c r="AM27" i="11"/>
  <c r="AK28" i="11"/>
  <c r="AL28" i="11"/>
  <c r="AM28" i="11"/>
  <c r="AK29" i="11"/>
  <c r="AL29" i="11"/>
  <c r="AM29" i="11"/>
  <c r="AK30" i="11"/>
  <c r="AL30" i="11"/>
  <c r="AM30" i="11"/>
  <c r="AK31" i="11"/>
  <c r="AL31" i="11"/>
  <c r="AM31" i="11"/>
  <c r="AK32" i="11"/>
  <c r="AL32" i="11"/>
  <c r="AM32" i="11"/>
  <c r="AK33" i="11"/>
  <c r="AL33" i="11"/>
  <c r="AM33" i="11"/>
  <c r="AK34" i="11"/>
  <c r="AL34" i="11"/>
  <c r="AM34" i="11"/>
  <c r="AK35" i="11"/>
  <c r="AL35" i="11"/>
  <c r="AM35" i="11"/>
  <c r="AF32" i="11"/>
  <c r="AG32" i="11"/>
  <c r="AO32" i="11" s="1"/>
  <c r="AF33" i="11"/>
  <c r="AG33" i="11"/>
  <c r="AF34" i="11"/>
  <c r="AG34" i="11"/>
  <c r="AF35" i="11"/>
  <c r="AG35" i="11"/>
  <c r="AT41" i="11" l="1"/>
  <c r="AO35" i="11"/>
  <c r="AN33" i="11"/>
  <c r="AN34" i="11"/>
  <c r="AO33" i="11"/>
  <c r="AN35" i="11"/>
  <c r="AO34" i="11"/>
  <c r="AN32" i="11"/>
  <c r="AP32" i="11" l="1"/>
  <c r="AP35" i="11"/>
  <c r="AP34" i="11"/>
  <c r="AP33" i="11"/>
  <c r="AR35" i="9"/>
  <c r="AR35" i="10" l="1"/>
  <c r="AR33" i="10"/>
  <c r="AR31" i="10"/>
  <c r="AR29" i="10"/>
  <c r="AR28" i="10"/>
  <c r="AR26" i="10"/>
  <c r="AR25" i="10"/>
  <c r="AR23" i="10"/>
  <c r="AP25" i="10" l="1"/>
  <c r="AR27" i="10"/>
  <c r="AR30" i="10"/>
  <c r="AR32" i="10"/>
  <c r="AR34" i="10"/>
  <c r="AR22" i="10"/>
  <c r="AR24" i="10"/>
  <c r="AP34" i="10" l="1"/>
  <c r="AP32" i="10"/>
  <c r="AP26" i="10"/>
  <c r="AP28" i="10"/>
  <c r="AP22" i="10"/>
  <c r="AP29" i="10"/>
  <c r="AP23" i="10"/>
  <c r="AP35" i="10"/>
  <c r="AP31" i="10"/>
  <c r="AP27" i="10"/>
  <c r="AP33" i="10"/>
  <c r="AP24" i="10"/>
  <c r="AP30" i="10" l="1"/>
  <c r="AR33" i="9"/>
  <c r="AR34" i="9"/>
  <c r="AR32" i="9"/>
  <c r="AG35" i="8" l="1"/>
  <c r="AO35" i="8" s="1"/>
  <c r="AF35" i="8"/>
  <c r="AN35" i="8" s="1"/>
  <c r="AB35" i="8"/>
  <c r="AA35" i="8"/>
  <c r="AG34" i="8"/>
  <c r="AO34" i="8" s="1"/>
  <c r="AF34" i="8"/>
  <c r="AN34" i="8" s="1"/>
  <c r="AB34" i="8"/>
  <c r="AA34" i="8"/>
  <c r="AG33" i="8"/>
  <c r="AO33" i="8" s="1"/>
  <c r="AF33" i="8"/>
  <c r="AN33" i="8" s="1"/>
  <c r="AB33" i="8"/>
  <c r="AA33" i="8"/>
  <c r="AG32" i="8"/>
  <c r="AO32" i="8" s="1"/>
  <c r="AF32" i="8"/>
  <c r="AN32" i="8" s="1"/>
  <c r="AB32" i="8"/>
  <c r="AA32" i="8"/>
  <c r="AG31" i="8"/>
  <c r="AO31" i="8" s="1"/>
  <c r="AF31" i="8"/>
  <c r="AN31" i="8" s="1"/>
  <c r="AB31" i="8"/>
  <c r="AA31" i="8"/>
  <c r="AG30" i="8"/>
  <c r="AF30" i="8"/>
  <c r="AN30" i="8" s="1"/>
  <c r="AB30" i="8"/>
  <c r="AA30" i="8"/>
  <c r="AG29" i="8"/>
  <c r="AF29" i="8"/>
  <c r="AN29" i="8" s="1"/>
  <c r="AB29" i="8"/>
  <c r="AA29" i="8"/>
  <c r="AG28" i="8"/>
  <c r="AF28" i="8"/>
  <c r="AB28" i="8"/>
  <c r="AA28" i="8"/>
  <c r="AG27" i="8"/>
  <c r="AF27" i="8"/>
  <c r="AB27" i="8"/>
  <c r="AA27" i="8"/>
  <c r="AG26" i="8"/>
  <c r="AF26" i="8"/>
  <c r="AB26" i="8"/>
  <c r="AA26" i="8"/>
  <c r="AG25" i="8"/>
  <c r="AF25" i="8"/>
  <c r="AB25" i="8"/>
  <c r="AA25" i="8"/>
  <c r="AG24" i="8"/>
  <c r="AF24" i="8"/>
  <c r="AB24" i="8"/>
  <c r="AA24" i="8"/>
  <c r="AG23" i="8"/>
  <c r="AF23" i="8"/>
  <c r="AB23" i="8"/>
  <c r="AA23" i="8"/>
  <c r="AG22" i="8"/>
  <c r="AF22" i="8"/>
  <c r="AB22" i="8"/>
  <c r="AA22" i="8"/>
  <c r="H25" i="8" l="1"/>
  <c r="AO25" i="8" s="1"/>
  <c r="AN24" i="8"/>
  <c r="H26" i="8"/>
  <c r="AO26" i="8" s="1"/>
  <c r="AN25" i="8"/>
  <c r="AN28" i="8"/>
  <c r="AU41" i="8" s="1"/>
  <c r="H23" i="8"/>
  <c r="AO23" i="8" s="1"/>
  <c r="AN22" i="8"/>
  <c r="H27" i="8"/>
  <c r="AO27" i="8" s="1"/>
  <c r="AN26" i="8"/>
  <c r="AO28" i="8"/>
  <c r="AN27" i="8"/>
  <c r="H24" i="8"/>
  <c r="AO24" i="8" s="1"/>
  <c r="AN23" i="8"/>
  <c r="AO29" i="8"/>
  <c r="AP29" i="8" s="1"/>
  <c r="AP35" i="8"/>
  <c r="AP31" i="8"/>
  <c r="AP32" i="8"/>
  <c r="AP33" i="8"/>
  <c r="AP34" i="8"/>
  <c r="AO30" i="8"/>
  <c r="AR35" i="7"/>
  <c r="AR34" i="7"/>
  <c r="AV41" i="8" l="1"/>
  <c r="AP28" i="8"/>
  <c r="AP26" i="8"/>
  <c r="AP23" i="8"/>
  <c r="AP24" i="8"/>
  <c r="AP27" i="8"/>
  <c r="AP25" i="8"/>
  <c r="AP30" i="8"/>
  <c r="AO34" i="5" l="1"/>
  <c r="AN34" i="5"/>
  <c r="AO33" i="5"/>
  <c r="AN33" i="5"/>
  <c r="AO32" i="5"/>
  <c r="AN32" i="5"/>
  <c r="AP33" i="5" l="1"/>
  <c r="AP32" i="5"/>
  <c r="AP34" i="5"/>
  <c r="AR33" i="7"/>
  <c r="AR32" i="7"/>
  <c r="AR31" i="7"/>
  <c r="AR30" i="7"/>
  <c r="AR29" i="7"/>
  <c r="AR28" i="7"/>
  <c r="AR30" i="14" l="1"/>
  <c r="AR29" i="14"/>
  <c r="AR28" i="14"/>
  <c r="AR27" i="14"/>
  <c r="AR26" i="14"/>
  <c r="AR25" i="14"/>
  <c r="AR24" i="14"/>
  <c r="AR31" i="9" l="1"/>
  <c r="AR30" i="9"/>
  <c r="AO31" i="5" l="1"/>
  <c r="AN31" i="5"/>
  <c r="AO30" i="5"/>
  <c r="AN30" i="5"/>
  <c r="AP30" i="5" l="1"/>
  <c r="AP31" i="5"/>
  <c r="AG31" i="11"/>
  <c r="AO31" i="11" s="1"/>
  <c r="AF31" i="11"/>
  <c r="AN31" i="11" s="1"/>
  <c r="AG30" i="11"/>
  <c r="AO30" i="11" s="1"/>
  <c r="AF30" i="11"/>
  <c r="AN30" i="11" s="1"/>
  <c r="AG29" i="11"/>
  <c r="AO29" i="11" s="1"/>
  <c r="AF29" i="11"/>
  <c r="AN29" i="11" s="1"/>
  <c r="AG28" i="11"/>
  <c r="AO28" i="11" s="1"/>
  <c r="AF28" i="11"/>
  <c r="AN28" i="11" s="1"/>
  <c r="AG27" i="11"/>
  <c r="AO27" i="11" s="1"/>
  <c r="AF27" i="11"/>
  <c r="AN27" i="11" s="1"/>
  <c r="AG26" i="11"/>
  <c r="AO26" i="11" s="1"/>
  <c r="AF26" i="11"/>
  <c r="AN26" i="11" s="1"/>
  <c r="AG25" i="11"/>
  <c r="AO25" i="11" s="1"/>
  <c r="AF25" i="11"/>
  <c r="AN25" i="11" s="1"/>
  <c r="AG24" i="11"/>
  <c r="AO24" i="11" s="1"/>
  <c r="AF24" i="11"/>
  <c r="AN24" i="11" s="1"/>
  <c r="AG23" i="11"/>
  <c r="AO23" i="11" s="1"/>
  <c r="AF23" i="11"/>
  <c r="AN23" i="11" s="1"/>
  <c r="AL22" i="11"/>
  <c r="AK22" i="11"/>
  <c r="AG22" i="11"/>
  <c r="AF22" i="11"/>
  <c r="AU41" i="11" l="1"/>
  <c r="AV41" i="11"/>
  <c r="AP23" i="11"/>
  <c r="AP25" i="11"/>
  <c r="AP29" i="11"/>
  <c r="AP31" i="11"/>
  <c r="AP30" i="11"/>
  <c r="AP27" i="11"/>
  <c r="AP24" i="11"/>
  <c r="AP26" i="11"/>
  <c r="AP28" i="11"/>
  <c r="AO22" i="11"/>
  <c r="AN22" i="11"/>
  <c r="AM22" i="11"/>
  <c r="AP22" i="11" l="1"/>
  <c r="AO29" i="5"/>
  <c r="AN29" i="5"/>
  <c r="AO28" i="5"/>
  <c r="AN28" i="5"/>
  <c r="AO27" i="5"/>
  <c r="AN27" i="5"/>
  <c r="AO26" i="5"/>
  <c r="AN26" i="5"/>
  <c r="AO25" i="5"/>
  <c r="AN25" i="5"/>
  <c r="AO24" i="5"/>
  <c r="AN24" i="5"/>
  <c r="AO23" i="5"/>
  <c r="AN23" i="5"/>
  <c r="AO22" i="5"/>
  <c r="AN22" i="5"/>
  <c r="AP25" i="5" l="1"/>
  <c r="AP27" i="5"/>
  <c r="AP29" i="5"/>
  <c r="AP23" i="5"/>
  <c r="AP22" i="5"/>
  <c r="AP24" i="5"/>
  <c r="AP26" i="5"/>
  <c r="AP28" i="5"/>
  <c r="AR28" i="9"/>
  <c r="AR27" i="9"/>
  <c r="AK5" i="14" l="1"/>
  <c r="AN5" i="14" s="1"/>
  <c r="AL5" i="14"/>
  <c r="AO5" i="14" s="1"/>
  <c r="AK6" i="14"/>
  <c r="AN6" i="14" s="1"/>
  <c r="AL6" i="14"/>
  <c r="AO6" i="14" s="1"/>
  <c r="AK7" i="14"/>
  <c r="AN7" i="14" s="1"/>
  <c r="AL7" i="14"/>
  <c r="AO7" i="14" s="1"/>
  <c r="AK8" i="14"/>
  <c r="AN8" i="14" s="1"/>
  <c r="AL8" i="14"/>
  <c r="AO8" i="14" s="1"/>
  <c r="AK9" i="14"/>
  <c r="AN9" i="14" s="1"/>
  <c r="AL9" i="14"/>
  <c r="AO9" i="14" s="1"/>
  <c r="AK10" i="14"/>
  <c r="AN10" i="14" s="1"/>
  <c r="AL10" i="14"/>
  <c r="AO10" i="14" s="1"/>
  <c r="AK11" i="14"/>
  <c r="AN11" i="14" s="1"/>
  <c r="AL11" i="14"/>
  <c r="AO11" i="14" s="1"/>
  <c r="AK12" i="14"/>
  <c r="AN12" i="14" s="1"/>
  <c r="AL12" i="14"/>
  <c r="AO12" i="14" s="1"/>
  <c r="AK13" i="14"/>
  <c r="AN13" i="14" s="1"/>
  <c r="AL13" i="14"/>
  <c r="AO13" i="14" s="1"/>
  <c r="AK14" i="14"/>
  <c r="AN14" i="14" s="1"/>
  <c r="AL14" i="14"/>
  <c r="AO14" i="14" s="1"/>
  <c r="AK15" i="14"/>
  <c r="AN15" i="14" s="1"/>
  <c r="AL15" i="14"/>
  <c r="AO15" i="14" s="1"/>
  <c r="AK16" i="14"/>
  <c r="AN16" i="14" s="1"/>
  <c r="AL16" i="14"/>
  <c r="AO16" i="14" s="1"/>
  <c r="AK17" i="14"/>
  <c r="AN17" i="14" s="1"/>
  <c r="AL17" i="14"/>
  <c r="AO17" i="14" s="1"/>
  <c r="AK18" i="14"/>
  <c r="AN18" i="14" s="1"/>
  <c r="AL18" i="14"/>
  <c r="AO18" i="14" s="1"/>
  <c r="AK19" i="14"/>
  <c r="AN19" i="14" s="1"/>
  <c r="AL19" i="14"/>
  <c r="AO19" i="14" s="1"/>
  <c r="AK20" i="14"/>
  <c r="AN20" i="14" s="1"/>
  <c r="AL20" i="14"/>
  <c r="AO20" i="14" s="1"/>
  <c r="AK21" i="14"/>
  <c r="AN21" i="14" s="1"/>
  <c r="AL21" i="14"/>
  <c r="AO21" i="14" s="1"/>
  <c r="AV27" i="14" l="1"/>
  <c r="AU27" i="14"/>
  <c r="AP20" i="14"/>
  <c r="AP16" i="14"/>
  <c r="AP18" i="14"/>
  <c r="AP21" i="14"/>
  <c r="AP19" i="14"/>
  <c r="AP17" i="14"/>
  <c r="AP14" i="14"/>
  <c r="AP12" i="14"/>
  <c r="AP10" i="14"/>
  <c r="AP8" i="14"/>
  <c r="AP6" i="14"/>
  <c r="AP15" i="14"/>
  <c r="AP13" i="14"/>
  <c r="AP11" i="14"/>
  <c r="AP9" i="14"/>
  <c r="AP7" i="14"/>
  <c r="AP5" i="14"/>
  <c r="AK5" i="13"/>
  <c r="AL5" i="13"/>
  <c r="AK6" i="13"/>
  <c r="AL6" i="13"/>
  <c r="AK7" i="13"/>
  <c r="AL7" i="13"/>
  <c r="AK8" i="13"/>
  <c r="AL8" i="13"/>
  <c r="AK9" i="13"/>
  <c r="AN9" i="13" s="1"/>
  <c r="AL9" i="13"/>
  <c r="AO9" i="13" s="1"/>
  <c r="AK10" i="13"/>
  <c r="AL10" i="13"/>
  <c r="AO10" i="13" s="1"/>
  <c r="AK11" i="13"/>
  <c r="AL11" i="13"/>
  <c r="AK12" i="13"/>
  <c r="AN12" i="13" s="1"/>
  <c r="AL12" i="13"/>
  <c r="AK13" i="13"/>
  <c r="AN13" i="13" s="1"/>
  <c r="AL13" i="13"/>
  <c r="AO13" i="13" s="1"/>
  <c r="AK14" i="13"/>
  <c r="AL14" i="13"/>
  <c r="AK15" i="13"/>
  <c r="AN15" i="13" s="1"/>
  <c r="AL15" i="13"/>
  <c r="AK16" i="13"/>
  <c r="AL16" i="13"/>
  <c r="AM17" i="13" s="1"/>
  <c r="AK17" i="13"/>
  <c r="AL17" i="13"/>
  <c r="AM18" i="13" s="1"/>
  <c r="AK18" i="13"/>
  <c r="AL18" i="13"/>
  <c r="AK19" i="13"/>
  <c r="AL19" i="13"/>
  <c r="AM20" i="13" s="1"/>
  <c r="AK20" i="13"/>
  <c r="AL20" i="13"/>
  <c r="AK21" i="13"/>
  <c r="AL21" i="13"/>
  <c r="AM22" i="13" s="1"/>
  <c r="AM8" i="13"/>
  <c r="AM9" i="13"/>
  <c r="AM10" i="13"/>
  <c r="AM11" i="13"/>
  <c r="AM12" i="13"/>
  <c r="AM13" i="13"/>
  <c r="AM14" i="13"/>
  <c r="AM15" i="13"/>
  <c r="AM16" i="13"/>
  <c r="AM19" i="13"/>
  <c r="AM21" i="13"/>
  <c r="AT25" i="13" l="1"/>
  <c r="AT31" i="13"/>
  <c r="AN22" i="13"/>
  <c r="AN23" i="13"/>
  <c r="AO24" i="13"/>
  <c r="AN17" i="13"/>
  <c r="AO23" i="13"/>
  <c r="AN21" i="13"/>
  <c r="AP13" i="13"/>
  <c r="AP9" i="13"/>
  <c r="AO18" i="13"/>
  <c r="AO14" i="13"/>
  <c r="AN20" i="13"/>
  <c r="AN16" i="13"/>
  <c r="AN8" i="13"/>
  <c r="AN19" i="13"/>
  <c r="AO11" i="13"/>
  <c r="AO15" i="13"/>
  <c r="AO12" i="13"/>
  <c r="AN11" i="13"/>
  <c r="AN18" i="13"/>
  <c r="AO16" i="13"/>
  <c r="AN14" i="13"/>
  <c r="AN10" i="13"/>
  <c r="AO8" i="13"/>
  <c r="AU25" i="13" l="1"/>
  <c r="AU31" i="13"/>
  <c r="AP24" i="13"/>
  <c r="AP23" i="13"/>
  <c r="AO20" i="13"/>
  <c r="AO17" i="13"/>
  <c r="AP16" i="13"/>
  <c r="AO21" i="13"/>
  <c r="AO19" i="13"/>
  <c r="AP18" i="13"/>
  <c r="AO22" i="13"/>
  <c r="AP15" i="13"/>
  <c r="AP10" i="13"/>
  <c r="AP11" i="13"/>
  <c r="AP14" i="13"/>
  <c r="AP12" i="13"/>
  <c r="AP8" i="13"/>
  <c r="AR6" i="11"/>
  <c r="AK20" i="11"/>
  <c r="AL20" i="11"/>
  <c r="AK21" i="11"/>
  <c r="AL21" i="11"/>
  <c r="AM20" i="11"/>
  <c r="AM21" i="11"/>
  <c r="AF19" i="11"/>
  <c r="AN19" i="11" s="1"/>
  <c r="AG19" i="11"/>
  <c r="AO19" i="11" s="1"/>
  <c r="AF20" i="11"/>
  <c r="AG20" i="11"/>
  <c r="AF21" i="11"/>
  <c r="AG21" i="11"/>
  <c r="AV25" i="13" l="1"/>
  <c r="AV31" i="13"/>
  <c r="AU19" i="11"/>
  <c r="AT27" i="11"/>
  <c r="AV19" i="11"/>
  <c r="AP19" i="13"/>
  <c r="AP21" i="13"/>
  <c r="AP19" i="11"/>
  <c r="AP20" i="13"/>
  <c r="AP22" i="13"/>
  <c r="AP17" i="13"/>
  <c r="AN21" i="11"/>
  <c r="AN20" i="11"/>
  <c r="AO21" i="11"/>
  <c r="AO20" i="11"/>
  <c r="AV27" i="11" l="1"/>
  <c r="AU27" i="11"/>
  <c r="AP20" i="11"/>
  <c r="AP21" i="11"/>
  <c r="R4" i="10"/>
  <c r="T4" i="10"/>
  <c r="AT29" i="10" l="1"/>
  <c r="AP19" i="10"/>
  <c r="AP21" i="10"/>
  <c r="AP18" i="10"/>
  <c r="AP20" i="10"/>
  <c r="S4" i="10"/>
  <c r="AR13" i="10"/>
  <c r="AR17" i="10"/>
  <c r="AR12" i="10"/>
  <c r="AR16" i="10"/>
  <c r="AR19" i="10"/>
  <c r="AR15" i="10"/>
  <c r="AR20" i="10"/>
  <c r="AR18" i="10"/>
  <c r="AR14" i="10"/>
  <c r="AR21" i="10"/>
  <c r="AV29" i="10" l="1"/>
  <c r="AP16" i="10"/>
  <c r="AU29" i="10"/>
  <c r="AP17" i="10"/>
  <c r="AP15" i="10"/>
  <c r="AP14" i="10"/>
  <c r="AP13" i="10"/>
  <c r="AP12" i="10"/>
  <c r="AR21" i="9"/>
  <c r="AR20" i="9"/>
  <c r="AA14" i="12" l="1"/>
  <c r="AB14" i="12"/>
  <c r="AA15" i="12"/>
  <c r="AB15" i="12"/>
  <c r="AA16" i="12"/>
  <c r="AB16" i="12"/>
  <c r="AA17" i="12"/>
  <c r="AB17" i="12"/>
  <c r="AA18" i="12"/>
  <c r="AB18" i="12"/>
  <c r="AA19" i="12"/>
  <c r="AB19" i="12"/>
  <c r="AA20" i="12"/>
  <c r="AB20" i="12"/>
  <c r="AA21" i="12"/>
  <c r="AB21" i="12"/>
  <c r="AR21" i="12"/>
  <c r="AR20" i="12"/>
  <c r="AR19" i="12"/>
  <c r="AR16" i="12"/>
  <c r="AR15" i="12"/>
  <c r="AR17" i="12" l="1"/>
  <c r="AR14" i="12"/>
  <c r="AR18" i="12"/>
  <c r="AO8" i="8" l="1"/>
  <c r="AB12" i="8" l="1"/>
  <c r="AB13" i="8"/>
  <c r="AG21" i="8"/>
  <c r="AF21" i="8"/>
  <c r="AB21" i="8"/>
  <c r="AA21" i="8"/>
  <c r="AG20" i="8"/>
  <c r="AF20" i="8"/>
  <c r="AN20" i="8" s="1"/>
  <c r="AB20" i="8"/>
  <c r="AA20" i="8"/>
  <c r="AG19" i="8"/>
  <c r="AF19" i="8"/>
  <c r="AB19" i="8"/>
  <c r="AA19" i="8"/>
  <c r="AG18" i="8"/>
  <c r="AF18" i="8"/>
  <c r="AN18" i="8" s="1"/>
  <c r="AB18" i="8"/>
  <c r="AA18" i="8"/>
  <c r="AG17" i="8"/>
  <c r="AF17" i="8"/>
  <c r="AB17" i="8"/>
  <c r="AA17" i="8"/>
  <c r="AG16" i="8"/>
  <c r="AO16" i="8" s="1"/>
  <c r="AF16" i="8"/>
  <c r="AB16" i="8"/>
  <c r="AA16" i="8"/>
  <c r="AR16" i="8"/>
  <c r="AG15" i="8"/>
  <c r="AO15" i="8" s="1"/>
  <c r="AF15" i="8"/>
  <c r="AN15" i="8" s="1"/>
  <c r="AB15" i="8"/>
  <c r="AA15" i="8"/>
  <c r="AR15" i="8"/>
  <c r="AG14" i="8"/>
  <c r="AO14" i="8" s="1"/>
  <c r="AF14" i="8"/>
  <c r="AN14" i="8" s="1"/>
  <c r="AB14" i="8"/>
  <c r="AA14" i="8"/>
  <c r="AR14" i="8"/>
  <c r="AG13" i="8"/>
  <c r="AO13" i="8" s="1"/>
  <c r="AF13" i="8"/>
  <c r="AN13" i="8" s="1"/>
  <c r="AA13" i="8"/>
  <c r="AR13" i="8"/>
  <c r="AG12" i="8"/>
  <c r="AO12" i="8" s="1"/>
  <c r="AF12" i="8"/>
  <c r="AN12" i="8" s="1"/>
  <c r="AA12" i="8"/>
  <c r="AG11" i="8"/>
  <c r="AO11" i="8" s="1"/>
  <c r="AF11" i="8"/>
  <c r="AN11" i="8" s="1"/>
  <c r="AB11" i="8"/>
  <c r="AA11" i="8"/>
  <c r="AR11" i="8"/>
  <c r="AG10" i="8"/>
  <c r="AO10" i="8" s="1"/>
  <c r="AF10" i="8"/>
  <c r="AN10" i="8" s="1"/>
  <c r="AB10" i="8"/>
  <c r="AA10" i="8"/>
  <c r="AO9" i="8"/>
  <c r="AN9" i="8"/>
  <c r="AR9" i="8"/>
  <c r="AN8" i="8"/>
  <c r="AP8" i="8" s="1"/>
  <c r="AR8" i="8"/>
  <c r="AP15" i="8" l="1"/>
  <c r="AP9" i="8"/>
  <c r="AP12" i="8"/>
  <c r="AP10" i="8"/>
  <c r="AP13" i="8"/>
  <c r="AP14" i="8"/>
  <c r="H17" i="8"/>
  <c r="AO17" i="8" s="1"/>
  <c r="AN16" i="8"/>
  <c r="H18" i="8"/>
  <c r="AO18" i="8" s="1"/>
  <c r="AN17" i="8"/>
  <c r="H20" i="8"/>
  <c r="AO20" i="8" s="1"/>
  <c r="AN19" i="8"/>
  <c r="H22" i="8"/>
  <c r="AO22" i="8" s="1"/>
  <c r="AN21" i="8"/>
  <c r="AP11" i="8"/>
  <c r="H21" i="8"/>
  <c r="AO21" i="8" s="1"/>
  <c r="H19" i="8"/>
  <c r="AO19" i="8" s="1"/>
  <c r="AR10" i="8"/>
  <c r="AR12" i="8"/>
  <c r="AR18" i="8"/>
  <c r="AR20" i="8"/>
  <c r="AR17" i="8"/>
  <c r="AR19" i="8"/>
  <c r="AR21" i="8"/>
  <c r="AU21" i="8" l="1"/>
  <c r="AV21" i="8"/>
  <c r="AV29" i="8"/>
  <c r="AP16" i="8"/>
  <c r="AU29" i="8"/>
  <c r="AV25" i="8"/>
  <c r="AU25" i="8"/>
  <c r="AP18" i="8"/>
  <c r="AP20" i="8"/>
  <c r="AP22" i="8"/>
  <c r="AP21" i="8"/>
  <c r="AP19" i="8"/>
  <c r="AP17" i="8"/>
  <c r="AR21" i="7"/>
  <c r="AR20" i="7"/>
  <c r="AO21" i="5" l="1"/>
  <c r="AN21" i="5"/>
  <c r="AO20" i="5"/>
  <c r="AN20" i="5"/>
  <c r="AP21" i="5" l="1"/>
  <c r="AP20" i="5"/>
  <c r="AR21" i="3"/>
  <c r="AR20" i="3"/>
  <c r="AR19" i="3"/>
  <c r="AR18" i="3"/>
  <c r="AR19" i="9" l="1"/>
  <c r="AR18" i="9"/>
  <c r="AR17" i="9"/>
  <c r="AR16" i="9"/>
  <c r="AR15" i="9"/>
  <c r="AR14" i="9"/>
  <c r="AR19" i="7" l="1"/>
  <c r="AR18" i="7"/>
  <c r="AR17" i="7"/>
  <c r="AR16" i="7"/>
  <c r="AR15" i="7"/>
  <c r="AR14" i="7"/>
  <c r="AR19" i="5" l="1"/>
  <c r="AR18" i="5"/>
  <c r="AR17" i="5"/>
  <c r="AR16" i="5"/>
  <c r="AR15" i="5"/>
  <c r="AR14" i="5"/>
  <c r="AO19" i="5"/>
  <c r="AN19" i="5"/>
  <c r="AO18" i="5"/>
  <c r="AN18" i="5"/>
  <c r="AO17" i="5"/>
  <c r="AN17" i="5"/>
  <c r="AO16" i="5"/>
  <c r="AN16" i="5"/>
  <c r="AO15" i="5"/>
  <c r="AN15" i="5"/>
  <c r="AO14" i="5"/>
  <c r="AN14" i="5"/>
  <c r="AP16" i="5" l="1"/>
  <c r="AP14" i="5"/>
  <c r="AP18" i="5"/>
  <c r="AP15" i="5"/>
  <c r="AP17" i="5"/>
  <c r="AP19" i="5"/>
  <c r="AR8" i="3"/>
  <c r="AR15" i="3"/>
  <c r="AR14" i="3"/>
  <c r="AR13" i="3"/>
  <c r="AR12" i="3"/>
  <c r="AR11" i="3"/>
  <c r="AR10" i="3"/>
  <c r="AR9" i="3"/>
  <c r="AR13" i="14" l="1"/>
  <c r="AR12" i="14"/>
  <c r="AR11" i="14"/>
  <c r="AR10" i="14"/>
  <c r="AR9" i="14"/>
  <c r="AR8" i="14"/>
  <c r="AR7" i="14"/>
  <c r="AR6" i="14"/>
  <c r="AR5" i="14"/>
  <c r="AR4" i="14"/>
  <c r="AL4" i="14"/>
  <c r="AK4" i="14"/>
  <c r="AG4" i="14"/>
  <c r="AF4" i="14"/>
  <c r="AB4" i="14"/>
  <c r="AA4" i="14"/>
  <c r="T4" i="14"/>
  <c r="S4" i="14"/>
  <c r="R4" i="14"/>
  <c r="AM4" i="14" s="1"/>
  <c r="AT17" i="14" s="1"/>
  <c r="AM66" i="14" l="1"/>
  <c r="H30" i="1" s="1"/>
  <c r="AN4" i="14"/>
  <c r="AU17" i="14" s="1"/>
  <c r="AO4" i="14"/>
  <c r="AV17" i="14" s="1"/>
  <c r="AO66" i="14" l="1"/>
  <c r="J30" i="1" s="1"/>
  <c r="AN66" i="14"/>
  <c r="I30" i="1" s="1"/>
  <c r="AP4" i="14"/>
  <c r="AR10" i="11"/>
  <c r="AR4" i="11"/>
  <c r="AL4" i="11"/>
  <c r="AK4" i="11"/>
  <c r="AG4" i="11"/>
  <c r="AF4" i="11"/>
  <c r="T4" i="11"/>
  <c r="S4" i="11"/>
  <c r="R4" i="11"/>
  <c r="AM4" i="11" s="1"/>
  <c r="AO4" i="11" l="1"/>
  <c r="AR13" i="11"/>
  <c r="AR12" i="11"/>
  <c r="AR11" i="11"/>
  <c r="AR9" i="11"/>
  <c r="AR8" i="11"/>
  <c r="AN4" i="11"/>
  <c r="AR5" i="11"/>
  <c r="AP4" i="11" l="1"/>
  <c r="AR7" i="12" l="1"/>
  <c r="AG4" i="12"/>
  <c r="AF4" i="12"/>
  <c r="AB13" i="12"/>
  <c r="AA13" i="12"/>
  <c r="AB12" i="12"/>
  <c r="AA12" i="12"/>
  <c r="AB11" i="12"/>
  <c r="AA11" i="12"/>
  <c r="AB10" i="12"/>
  <c r="AA10" i="12"/>
  <c r="AB9" i="12"/>
  <c r="AA9" i="12"/>
  <c r="AB8" i="12"/>
  <c r="AA8" i="12"/>
  <c r="AB7" i="12"/>
  <c r="AA7" i="12"/>
  <c r="AB6" i="12"/>
  <c r="AA6" i="12"/>
  <c r="AB5" i="12"/>
  <c r="AA5" i="12"/>
  <c r="AB4" i="12"/>
  <c r="AA4" i="12"/>
  <c r="T4" i="12"/>
  <c r="S4" i="12"/>
  <c r="R4" i="12"/>
  <c r="AM4" i="12" s="1"/>
  <c r="AR13" i="12"/>
  <c r="AR12" i="12"/>
  <c r="AR11" i="12"/>
  <c r="AR10" i="12"/>
  <c r="AR9" i="12"/>
  <c r="AR8" i="12"/>
  <c r="AR6" i="12"/>
  <c r="AR5" i="12"/>
  <c r="AR4" i="12"/>
  <c r="AL4" i="12"/>
  <c r="AK4" i="12"/>
  <c r="AT19" i="12" l="1"/>
  <c r="AM66" i="12"/>
  <c r="H28" i="1" s="1"/>
  <c r="AO4" i="12"/>
  <c r="AN4" i="12"/>
  <c r="AV19" i="12" l="1"/>
  <c r="AU19" i="12"/>
  <c r="AO66" i="12"/>
  <c r="J28" i="1" s="1"/>
  <c r="AN66" i="12"/>
  <c r="I28" i="1" s="1"/>
  <c r="AP4" i="12"/>
  <c r="M64" i="16" l="1"/>
  <c r="M63" i="16"/>
  <c r="AR11" i="10"/>
  <c r="AR9" i="10"/>
  <c r="AP10" i="10" l="1"/>
  <c r="AP8" i="10"/>
  <c r="AP11" i="10"/>
  <c r="AP9" i="10"/>
  <c r="AR10" i="10"/>
  <c r="AR8" i="10"/>
  <c r="AR13" i="9" l="1"/>
  <c r="AR12" i="9"/>
  <c r="AR11" i="9"/>
  <c r="AR10" i="9"/>
  <c r="AR9" i="9"/>
  <c r="AR8" i="9"/>
  <c r="AR7" i="9"/>
  <c r="AR6" i="9"/>
  <c r="AR5" i="9"/>
  <c r="AR4" i="9"/>
  <c r="AL4" i="9"/>
  <c r="AK4" i="9"/>
  <c r="AR13" i="7" l="1"/>
  <c r="AR12" i="7"/>
  <c r="AR9" i="7"/>
  <c r="AR8" i="7"/>
  <c r="AR11" i="7" l="1"/>
  <c r="AR10" i="7"/>
  <c r="AN8" i="5" l="1"/>
  <c r="AO8" i="5"/>
  <c r="AN9" i="5"/>
  <c r="AO9" i="5"/>
  <c r="AN10" i="5"/>
  <c r="AO10" i="5"/>
  <c r="AN11" i="5"/>
  <c r="AO11" i="5"/>
  <c r="AN12" i="5"/>
  <c r="AO12" i="5"/>
  <c r="AN13" i="5"/>
  <c r="AO13" i="5"/>
  <c r="AR13" i="5"/>
  <c r="AR11" i="5"/>
  <c r="AR9" i="5"/>
  <c r="AP9" i="5" l="1"/>
  <c r="AP13" i="5"/>
  <c r="AP11" i="5"/>
  <c r="AP10" i="5"/>
  <c r="AP12" i="5"/>
  <c r="AP8" i="5"/>
  <c r="AR12" i="5"/>
  <c r="AR8" i="5"/>
  <c r="AR10" i="5"/>
  <c r="AR59" i="14" l="1"/>
  <c r="AR58" i="14"/>
  <c r="AR34" i="14"/>
  <c r="AR33" i="14"/>
  <c r="AR32" i="14"/>
  <c r="AR23" i="14"/>
  <c r="AR22" i="14"/>
  <c r="AR21" i="14"/>
  <c r="AR20" i="14"/>
  <c r="AR19" i="14"/>
  <c r="AR18" i="14"/>
  <c r="AR17" i="14"/>
  <c r="AR16" i="14"/>
  <c r="AR15" i="14"/>
  <c r="AR14" i="14"/>
  <c r="A8" i="14"/>
  <c r="A5" i="14"/>
  <c r="A4" i="14"/>
  <c r="A6" i="14" l="1"/>
  <c r="A10" i="14" l="1"/>
  <c r="A7" i="14"/>
  <c r="A12" i="14" l="1"/>
  <c r="A9" i="14"/>
  <c r="A11" i="14" l="1"/>
  <c r="A14" i="14"/>
  <c r="A16" i="14" l="1"/>
  <c r="A13" i="14"/>
  <c r="A15" i="14" l="1"/>
  <c r="A18" i="14"/>
  <c r="A20" i="14" l="1"/>
  <c r="A17" i="14"/>
  <c r="A19" i="14" l="1"/>
  <c r="A22" i="14"/>
  <c r="A24" i="14" l="1"/>
  <c r="A21" i="14"/>
  <c r="A23" i="14" l="1"/>
  <c r="A26" i="14"/>
  <c r="A28" i="14" l="1"/>
  <c r="A25" i="14"/>
  <c r="A30" i="14" l="1"/>
  <c r="A27" i="14"/>
  <c r="A29" i="14" l="1"/>
  <c r="A32" i="14"/>
  <c r="A34" i="14" l="1"/>
  <c r="A31" i="14"/>
  <c r="A33" i="14" l="1"/>
  <c r="A36" i="14"/>
  <c r="A38" i="14" l="1"/>
  <c r="A35" i="14"/>
  <c r="A37" i="14" l="1"/>
  <c r="A40" i="14"/>
  <c r="A42" i="14" l="1"/>
  <c r="A39" i="14"/>
  <c r="A41" i="14" l="1"/>
  <c r="A44" i="14"/>
  <c r="A46" i="14" l="1"/>
  <c r="A43" i="14"/>
  <c r="A45" i="14" l="1"/>
  <c r="A48" i="14"/>
  <c r="A50" i="14" l="1"/>
  <c r="A47" i="14"/>
  <c r="A49" i="14" l="1"/>
  <c r="A52" i="14"/>
  <c r="A54" i="14" l="1"/>
  <c r="A51" i="14"/>
  <c r="A53" i="14" l="1"/>
  <c r="A56" i="14"/>
  <c r="A58" i="14" l="1"/>
  <c r="A55" i="14"/>
  <c r="A57" i="14" l="1"/>
  <c r="A59" i="14" l="1"/>
  <c r="G29" i="1" l="1"/>
  <c r="AR48" i="13"/>
  <c r="AR47" i="13"/>
  <c r="AR46" i="13"/>
  <c r="AR45" i="13"/>
  <c r="AR44" i="13"/>
  <c r="AR43" i="13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R25" i="13"/>
  <c r="AR24" i="13"/>
  <c r="AR23" i="13"/>
  <c r="AR22" i="13"/>
  <c r="AR21" i="13"/>
  <c r="AR20" i="13"/>
  <c r="AR19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O7" i="13"/>
  <c r="AN7" i="13"/>
  <c r="AM7" i="13"/>
  <c r="AO6" i="13"/>
  <c r="AN6" i="13"/>
  <c r="AM6" i="13"/>
  <c r="AR5" i="13"/>
  <c r="AO5" i="13"/>
  <c r="AN5" i="13"/>
  <c r="AM5" i="13"/>
  <c r="A5" i="13"/>
  <c r="AR4" i="13"/>
  <c r="AL4" i="13"/>
  <c r="AK4" i="13"/>
  <c r="AG4" i="13"/>
  <c r="AF4" i="13"/>
  <c r="T4" i="13"/>
  <c r="S4" i="13"/>
  <c r="AM4" i="13"/>
  <c r="A4" i="13"/>
  <c r="AT17" i="13" l="1"/>
  <c r="AP5" i="13"/>
  <c r="AP7" i="13"/>
  <c r="AP6" i="13"/>
  <c r="AN4" i="13"/>
  <c r="AU17" i="13" s="1"/>
  <c r="AM66" i="13"/>
  <c r="H29" i="1" s="1"/>
  <c r="AO4" i="13"/>
  <c r="AV17" i="13" s="1"/>
  <c r="A8" i="13"/>
  <c r="A6" i="13"/>
  <c r="AR6" i="13"/>
  <c r="AN66" i="13" l="1"/>
  <c r="I29" i="1" s="1"/>
  <c r="AO66" i="13"/>
  <c r="AP4" i="13"/>
  <c r="A10" i="13"/>
  <c r="A7" i="13"/>
  <c r="J29" i="1" l="1"/>
  <c r="A12" i="13"/>
  <c r="A9" i="13"/>
  <c r="A11" i="13" l="1"/>
  <c r="A14" i="13"/>
  <c r="A16" i="13" l="1"/>
  <c r="A13" i="13"/>
  <c r="A15" i="13" l="1"/>
  <c r="A18" i="13"/>
  <c r="A17" i="13" l="1"/>
  <c r="A20" i="13"/>
  <c r="A22" i="13" l="1"/>
  <c r="A19" i="13"/>
  <c r="A21" i="13" l="1"/>
  <c r="A24" i="13"/>
  <c r="A26" i="13" l="1"/>
  <c r="A23" i="13"/>
  <c r="A25" i="13" l="1"/>
  <c r="A28" i="13"/>
  <c r="A30" i="13" l="1"/>
  <c r="A27" i="13"/>
  <c r="A32" i="13" l="1"/>
  <c r="A29" i="13"/>
  <c r="A31" i="13" l="1"/>
  <c r="A34" i="13"/>
  <c r="A36" i="13" l="1"/>
  <c r="A33" i="13"/>
  <c r="A35" i="13" l="1"/>
  <c r="A38" i="13"/>
  <c r="A40" i="13" l="1"/>
  <c r="A37" i="13"/>
  <c r="A39" i="13" l="1"/>
  <c r="A42" i="13"/>
  <c r="A44" i="13" l="1"/>
  <c r="A41" i="13"/>
  <c r="A43" i="13" l="1"/>
  <c r="A46" i="13"/>
  <c r="A45" i="13" l="1"/>
  <c r="A48" i="13"/>
  <c r="A50" i="13" l="1"/>
  <c r="A47" i="13"/>
  <c r="A49" i="13" l="1"/>
  <c r="A52" i="13"/>
  <c r="A54" i="13" l="1"/>
  <c r="A51" i="13"/>
  <c r="A53" i="13" l="1"/>
  <c r="A56" i="13"/>
  <c r="A58" i="13" l="1"/>
  <c r="A55" i="13"/>
  <c r="A57" i="13" l="1"/>
  <c r="A60" i="13"/>
  <c r="A62" i="13" l="1"/>
  <c r="A64" i="13"/>
  <c r="A59" i="13"/>
  <c r="A61" i="13" l="1"/>
  <c r="A63" i="13" l="1"/>
  <c r="A65" i="13"/>
  <c r="AR51" i="12" l="1"/>
  <c r="AR50" i="12"/>
  <c r="AR48" i="12"/>
  <c r="AR47" i="12"/>
  <c r="AR46" i="12"/>
  <c r="AR45" i="12"/>
  <c r="AR44" i="12"/>
  <c r="AR43" i="12"/>
  <c r="AR42" i="12"/>
  <c r="AR41" i="12"/>
  <c r="AR40" i="12"/>
  <c r="A5" i="12"/>
  <c r="A4" i="12"/>
  <c r="A8" i="12" l="1"/>
  <c r="A6" i="12"/>
  <c r="A10" i="12" l="1"/>
  <c r="A7" i="12"/>
  <c r="A12" i="12" l="1"/>
  <c r="A9" i="12"/>
  <c r="A11" i="12" l="1"/>
  <c r="A14" i="12"/>
  <c r="A16" i="12" l="1"/>
  <c r="A13" i="12"/>
  <c r="A15" i="12" l="1"/>
  <c r="A18" i="12"/>
  <c r="A20" i="12" l="1"/>
  <c r="A17" i="12"/>
  <c r="A19" i="12" l="1"/>
  <c r="A22" i="12"/>
  <c r="A21" i="12" l="1"/>
  <c r="A24" i="12"/>
  <c r="A26" i="12" l="1"/>
  <c r="A23" i="12"/>
  <c r="A28" i="12" l="1"/>
  <c r="A25" i="12"/>
  <c r="A27" i="12" l="1"/>
  <c r="A30" i="12"/>
  <c r="A32" i="12" l="1"/>
  <c r="A29" i="12"/>
  <c r="A31" i="12" l="1"/>
  <c r="A34" i="12"/>
  <c r="A33" i="12" l="1"/>
  <c r="A36" i="12"/>
  <c r="A38" i="12" l="1"/>
  <c r="A35" i="12"/>
  <c r="A37" i="12" l="1"/>
  <c r="A40" i="12"/>
  <c r="A42" i="12" l="1"/>
  <c r="A39" i="12"/>
  <c r="A41" i="12" l="1"/>
  <c r="A44" i="12"/>
  <c r="A46" i="12" l="1"/>
  <c r="A43" i="12"/>
  <c r="A45" i="12" l="1"/>
  <c r="A48" i="12"/>
  <c r="A50" i="12" l="1"/>
  <c r="A47" i="12"/>
  <c r="A49" i="12" l="1"/>
  <c r="A52" i="12"/>
  <c r="A54" i="12" l="1"/>
  <c r="A51" i="12"/>
  <c r="A53" i="12" l="1"/>
  <c r="A56" i="12"/>
  <c r="A58" i="12" l="1"/>
  <c r="A55" i="12"/>
  <c r="A57" i="12" l="1"/>
  <c r="A59" i="12" l="1"/>
  <c r="G26" i="1" l="1"/>
  <c r="AR65" i="11"/>
  <c r="AR64" i="11"/>
  <c r="AR63" i="11"/>
  <c r="AR62" i="11"/>
  <c r="AR61" i="11"/>
  <c r="AR60" i="11"/>
  <c r="AR59" i="11"/>
  <c r="AR58" i="11"/>
  <c r="AR57" i="11"/>
  <c r="AR56" i="11"/>
  <c r="AR55" i="11"/>
  <c r="AR54" i="11"/>
  <c r="AR53" i="11"/>
  <c r="AR52" i="11"/>
  <c r="AR51" i="11"/>
  <c r="AR50" i="11"/>
  <c r="AR48" i="11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4" i="11"/>
  <c r="AR33" i="11"/>
  <c r="AR32" i="11"/>
  <c r="AR31" i="11"/>
  <c r="AR30" i="11"/>
  <c r="AR29" i="11"/>
  <c r="AR28" i="11"/>
  <c r="AR27" i="11"/>
  <c r="AR26" i="11"/>
  <c r="AR25" i="11"/>
  <c r="AR24" i="11"/>
  <c r="AR23" i="11"/>
  <c r="AR22" i="11"/>
  <c r="AR21" i="11"/>
  <c r="AR20" i="11"/>
  <c r="AR19" i="11"/>
  <c r="AR18" i="11"/>
  <c r="AR17" i="11"/>
  <c r="AR16" i="11"/>
  <c r="AR15" i="11"/>
  <c r="AR14" i="11"/>
  <c r="A5" i="11"/>
  <c r="A4" i="11"/>
  <c r="AO66" i="11" l="1"/>
  <c r="J26" i="1" s="1"/>
  <c r="A8" i="11"/>
  <c r="AN66" i="11"/>
  <c r="I26" i="1" s="1"/>
  <c r="A6" i="11"/>
  <c r="AM66" i="11"/>
  <c r="H26" i="1" s="1"/>
  <c r="A7" i="11" l="1"/>
  <c r="A10" i="11"/>
  <c r="A12" i="11" l="1"/>
  <c r="A9" i="11"/>
  <c r="A11" i="11" l="1"/>
  <c r="A14" i="11"/>
  <c r="A16" i="11" l="1"/>
  <c r="A13" i="11"/>
  <c r="A18" i="11" l="1"/>
  <c r="A15" i="11"/>
  <c r="A20" i="11" l="1"/>
  <c r="A17" i="11"/>
  <c r="A19" i="11" l="1"/>
  <c r="A22" i="11"/>
  <c r="A24" i="11" l="1"/>
  <c r="A21" i="11"/>
  <c r="A23" i="11" l="1"/>
  <c r="A26" i="11"/>
  <c r="A25" i="11" l="1"/>
  <c r="A28" i="11"/>
  <c r="A30" i="11" l="1"/>
  <c r="A27" i="11"/>
  <c r="A29" i="11" l="1"/>
  <c r="A32" i="11"/>
  <c r="A34" i="11" l="1"/>
  <c r="A31" i="11"/>
  <c r="A33" i="11" l="1"/>
  <c r="A36" i="11"/>
  <c r="A38" i="11" l="1"/>
  <c r="A35" i="11"/>
  <c r="A37" i="11" l="1"/>
  <c r="A40" i="11"/>
  <c r="A42" i="11" l="1"/>
  <c r="A39" i="11"/>
  <c r="A41" i="11" l="1"/>
  <c r="A44" i="11"/>
  <c r="A46" i="11" l="1"/>
  <c r="A43" i="11"/>
  <c r="A45" i="11" l="1"/>
  <c r="A48" i="11"/>
  <c r="A50" i="11" l="1"/>
  <c r="A47" i="11"/>
  <c r="A49" i="11" l="1"/>
  <c r="A52" i="11"/>
  <c r="A54" i="11" l="1"/>
  <c r="A51" i="11"/>
  <c r="A56" i="11" l="1"/>
  <c r="A53" i="11"/>
  <c r="A55" i="11" l="1"/>
  <c r="A58" i="11"/>
  <c r="A60" i="11" l="1"/>
  <c r="A57" i="11"/>
  <c r="A59" i="11" l="1"/>
  <c r="A62" i="11"/>
  <c r="A64" i="11"/>
  <c r="A61" i="11" l="1"/>
  <c r="A63" i="11" l="1"/>
  <c r="A65" i="11"/>
  <c r="J66" i="10" l="1"/>
  <c r="G24" i="1" s="1"/>
  <c r="AR65" i="10"/>
  <c r="AR64" i="10"/>
  <c r="AR49" i="10"/>
  <c r="AR48" i="10"/>
  <c r="AR47" i="10"/>
  <c r="AR45" i="10"/>
  <c r="AR44" i="10"/>
  <c r="AR43" i="10"/>
  <c r="AR42" i="10"/>
  <c r="AR7" i="10"/>
  <c r="AR6" i="10"/>
  <c r="AR5" i="10"/>
  <c r="AR4" i="10"/>
  <c r="AL4" i="10"/>
  <c r="AK4" i="10"/>
  <c r="AG4" i="10"/>
  <c r="AF4" i="10"/>
  <c r="AB4" i="10"/>
  <c r="AA4" i="10"/>
  <c r="AM4" i="10"/>
  <c r="A4" i="10"/>
  <c r="AP7" i="10" l="1"/>
  <c r="AP5" i="10"/>
  <c r="AP6" i="10"/>
  <c r="AN4" i="10"/>
  <c r="A6" i="10"/>
  <c r="AO4" i="10"/>
  <c r="A8" i="10"/>
  <c r="A7" i="10"/>
  <c r="A5" i="10"/>
  <c r="AO66" i="10" l="1"/>
  <c r="J24" i="1" s="1"/>
  <c r="AP4" i="10"/>
  <c r="AM66" i="10"/>
  <c r="H24" i="1" s="1"/>
  <c r="AN66" i="10"/>
  <c r="I24" i="1" s="1"/>
  <c r="A9" i="10"/>
  <c r="A10" i="10"/>
  <c r="A12" i="10" l="1"/>
  <c r="A11" i="10"/>
  <c r="A13" i="10" l="1"/>
  <c r="A14" i="10"/>
  <c r="A15" i="10" l="1"/>
  <c r="A16" i="10"/>
  <c r="A18" i="10" l="1"/>
  <c r="A17" i="10"/>
  <c r="A19" i="10" l="1"/>
  <c r="A20" i="10"/>
  <c r="A21" i="10" l="1"/>
  <c r="A22" i="10"/>
  <c r="A24" i="10" l="1"/>
  <c r="A23" i="10"/>
  <c r="A25" i="10" l="1"/>
  <c r="A26" i="10"/>
  <c r="A28" i="10" l="1"/>
  <c r="A27" i="10"/>
  <c r="A29" i="10" l="1"/>
  <c r="A30" i="10"/>
  <c r="A32" i="10" l="1"/>
  <c r="A31" i="10"/>
  <c r="A33" i="10" l="1"/>
  <c r="A34" i="10"/>
  <c r="A36" i="10" l="1"/>
  <c r="A35" i="10"/>
  <c r="A37" i="10" l="1"/>
  <c r="A38" i="10"/>
  <c r="A40" i="10" l="1"/>
  <c r="A39" i="10"/>
  <c r="A41" i="10" l="1"/>
  <c r="A42" i="10"/>
  <c r="A44" i="10" l="1"/>
  <c r="A43" i="10"/>
  <c r="A45" i="10" l="1"/>
  <c r="A46" i="10"/>
  <c r="A48" i="10" l="1"/>
  <c r="A47" i="10"/>
  <c r="A49" i="10" l="1"/>
  <c r="A50" i="10"/>
  <c r="A52" i="10" l="1"/>
  <c r="A51" i="10"/>
  <c r="A53" i="10" l="1"/>
  <c r="A54" i="10"/>
  <c r="A56" i="10" l="1"/>
  <c r="A55" i="10"/>
  <c r="A57" i="10" l="1"/>
  <c r="A58" i="10"/>
  <c r="A60" i="10" l="1"/>
  <c r="A59" i="10"/>
  <c r="J66" i="9"/>
  <c r="G22" i="1" s="1"/>
  <c r="AR57" i="9"/>
  <c r="AR56" i="9"/>
  <c r="AR49" i="9"/>
  <c r="AR48" i="9"/>
  <c r="AR47" i="9"/>
  <c r="AR46" i="9"/>
  <c r="AR45" i="9"/>
  <c r="AR44" i="9"/>
  <c r="AR29" i="9"/>
  <c r="AR26" i="9"/>
  <c r="AR25" i="9"/>
  <c r="AR24" i="9"/>
  <c r="AR23" i="9"/>
  <c r="AR22" i="9"/>
  <c r="AG4" i="9"/>
  <c r="AF4" i="9"/>
  <c r="T4" i="9"/>
  <c r="S4" i="9"/>
  <c r="R4" i="9"/>
  <c r="AM4" i="9" s="1"/>
  <c r="AT17" i="9" s="1"/>
  <c r="A4" i="9"/>
  <c r="A5" i="9" l="1"/>
  <c r="A6" i="9"/>
  <c r="AO4" i="9"/>
  <c r="AV17" i="9" s="1"/>
  <c r="AN4" i="9"/>
  <c r="AU17" i="9" s="1"/>
  <c r="A61" i="10"/>
  <c r="A62" i="10"/>
  <c r="A64" i="10"/>
  <c r="A8" i="9"/>
  <c r="A7" i="9"/>
  <c r="AN66" i="9" l="1"/>
  <c r="I22" i="1" s="1"/>
  <c r="AO66" i="9"/>
  <c r="J22" i="1" s="1"/>
  <c r="AP4" i="9"/>
  <c r="AM66" i="9"/>
  <c r="H22" i="1" s="1"/>
  <c r="A65" i="10"/>
  <c r="A63" i="10"/>
  <c r="A9" i="9"/>
  <c r="A10" i="9"/>
  <c r="A12" i="9" l="1"/>
  <c r="A11" i="9"/>
  <c r="A13" i="9" l="1"/>
  <c r="A14" i="9"/>
  <c r="A16" i="9" l="1"/>
  <c r="A15" i="9"/>
  <c r="A17" i="9" l="1"/>
  <c r="A18" i="9"/>
  <c r="A20" i="9" l="1"/>
  <c r="A19" i="9"/>
  <c r="A21" i="9" l="1"/>
  <c r="A22" i="9"/>
  <c r="A24" i="9" l="1"/>
  <c r="A23" i="9"/>
  <c r="A25" i="9" l="1"/>
  <c r="A26" i="9"/>
  <c r="A28" i="9" l="1"/>
  <c r="A27" i="9"/>
  <c r="A30" i="9" l="1"/>
  <c r="A29" i="9"/>
  <c r="A31" i="9" l="1"/>
  <c r="A32" i="9"/>
  <c r="A33" i="9" l="1"/>
  <c r="A34" i="9"/>
  <c r="A36" i="9" l="1"/>
  <c r="A35" i="9"/>
  <c r="A37" i="9" l="1"/>
  <c r="A38" i="9"/>
  <c r="A40" i="9" l="1"/>
  <c r="A39" i="9"/>
  <c r="A41" i="9" l="1"/>
  <c r="A42" i="9"/>
  <c r="A43" i="9" l="1"/>
  <c r="A44" i="9"/>
  <c r="A46" i="9" l="1"/>
  <c r="A45" i="9"/>
  <c r="A47" i="9" l="1"/>
  <c r="A48" i="9"/>
  <c r="A50" i="9" l="1"/>
  <c r="A49" i="9"/>
  <c r="A51" i="9" l="1"/>
  <c r="A52" i="9"/>
  <c r="A54" i="9" l="1"/>
  <c r="A53" i="9"/>
  <c r="A55" i="9" l="1"/>
  <c r="A56" i="9"/>
  <c r="A58" i="9" l="1"/>
  <c r="A57" i="9"/>
  <c r="A59" i="9" l="1"/>
  <c r="A60" i="9"/>
  <c r="A64" i="9" l="1"/>
  <c r="A62" i="9"/>
  <c r="A61" i="9"/>
  <c r="A63" i="9" l="1"/>
  <c r="A65" i="9"/>
  <c r="J66" i="8" l="1"/>
  <c r="G21" i="1" s="1"/>
  <c r="AR65" i="8"/>
  <c r="AR64" i="8"/>
  <c r="AR49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7" i="8"/>
  <c r="AO6" i="8"/>
  <c r="AN6" i="8"/>
  <c r="AR5" i="8"/>
  <c r="AO5" i="8"/>
  <c r="AN5" i="8"/>
  <c r="A5" i="8"/>
  <c r="AR4" i="8"/>
  <c r="AL4" i="8"/>
  <c r="AK4" i="8"/>
  <c r="T4" i="8"/>
  <c r="S4" i="8"/>
  <c r="R4" i="8"/>
  <c r="AM4" i="8" s="1"/>
  <c r="AT17" i="8" s="1"/>
  <c r="A4" i="8"/>
  <c r="AP5" i="8" l="1"/>
  <c r="AP6" i="8"/>
  <c r="AN4" i="8"/>
  <c r="AO4" i="8"/>
  <c r="A8" i="8"/>
  <c r="A6" i="8"/>
  <c r="AR6" i="8"/>
  <c r="AP4" i="8" l="1"/>
  <c r="AM66" i="8"/>
  <c r="H21" i="1" s="1"/>
  <c r="A7" i="8"/>
  <c r="A10" i="8"/>
  <c r="A9" i="8" l="1"/>
  <c r="A12" i="8"/>
  <c r="A14" i="8" l="1"/>
  <c r="A11" i="8"/>
  <c r="A13" i="8" l="1"/>
  <c r="A16" i="8"/>
  <c r="A18" i="8" l="1"/>
  <c r="A15" i="8"/>
  <c r="A17" i="8" l="1"/>
  <c r="A20" i="8"/>
  <c r="A22" i="8" l="1"/>
  <c r="A19" i="8"/>
  <c r="A21" i="8" l="1"/>
  <c r="A24" i="8"/>
  <c r="A26" i="8" l="1"/>
  <c r="A23" i="8"/>
  <c r="A25" i="8" l="1"/>
  <c r="A28" i="8"/>
  <c r="A30" i="8" l="1"/>
  <c r="A27" i="8"/>
  <c r="A29" i="8" l="1"/>
  <c r="A32" i="8"/>
  <c r="A34" i="8" l="1"/>
  <c r="A31" i="8"/>
  <c r="A36" i="8" l="1"/>
  <c r="A33" i="8"/>
  <c r="A35" i="8" l="1"/>
  <c r="A38" i="8"/>
  <c r="A37" i="8" l="1"/>
  <c r="A40" i="8"/>
  <c r="A42" i="8" l="1"/>
  <c r="A39" i="8"/>
  <c r="A41" i="8" l="1"/>
  <c r="A44" i="8"/>
  <c r="A46" i="8" l="1"/>
  <c r="A43" i="8"/>
  <c r="A45" i="8" l="1"/>
  <c r="A48" i="8"/>
  <c r="A50" i="8" l="1"/>
  <c r="A47" i="8"/>
  <c r="A52" i="8" l="1"/>
  <c r="A49" i="8"/>
  <c r="A51" i="8" l="1"/>
  <c r="A54" i="8"/>
  <c r="A56" i="8" l="1"/>
  <c r="A53" i="8"/>
  <c r="A55" i="8" l="1"/>
  <c r="A58" i="8"/>
  <c r="A60" i="8" l="1"/>
  <c r="A57" i="8"/>
  <c r="A59" i="8" l="1"/>
  <c r="A62" i="8"/>
  <c r="A64" i="8"/>
  <c r="A61" i="8" l="1"/>
  <c r="A63" i="8" l="1"/>
  <c r="A65" i="8"/>
  <c r="J66" i="7" l="1"/>
  <c r="G13" i="1" s="1"/>
  <c r="AR65" i="7"/>
  <c r="AR64" i="7"/>
  <c r="AR27" i="7"/>
  <c r="AR26" i="7"/>
  <c r="AR25" i="7"/>
  <c r="AR24" i="7"/>
  <c r="AR23" i="7"/>
  <c r="AR22" i="7"/>
  <c r="AR7" i="7"/>
  <c r="AR6" i="7"/>
  <c r="AR5" i="7"/>
  <c r="A5" i="7"/>
  <c r="AR4" i="7"/>
  <c r="AL4" i="7"/>
  <c r="AK4" i="7"/>
  <c r="AF4" i="7"/>
  <c r="AB4" i="7"/>
  <c r="AA4" i="7"/>
  <c r="T4" i="7"/>
  <c r="S4" i="7"/>
  <c r="R4" i="7"/>
  <c r="AM4" i="7" s="1"/>
  <c r="A4" i="7"/>
  <c r="AO4" i="7" l="1"/>
  <c r="AN4" i="7"/>
  <c r="AN66" i="7" s="1"/>
  <c r="I13" i="1" s="1"/>
  <c r="AM66" i="7"/>
  <c r="H13" i="1" s="1"/>
  <c r="A8" i="7"/>
  <c r="A6" i="7"/>
  <c r="AP4" i="7" l="1"/>
  <c r="A7" i="7"/>
  <c r="AO66" i="7"/>
  <c r="J13" i="1" s="1"/>
  <c r="M13" i="1" s="1"/>
  <c r="A10" i="7"/>
  <c r="A12" i="7" l="1"/>
  <c r="A9" i="7"/>
  <c r="A11" i="7" l="1"/>
  <c r="A14" i="7"/>
  <c r="A16" i="7" l="1"/>
  <c r="A13" i="7"/>
  <c r="A15" i="7" l="1"/>
  <c r="A18" i="7"/>
  <c r="A20" i="7" l="1"/>
  <c r="A17" i="7"/>
  <c r="A19" i="7" l="1"/>
  <c r="A22" i="7"/>
  <c r="A24" i="7" l="1"/>
  <c r="A21" i="7"/>
  <c r="A23" i="7" l="1"/>
  <c r="A26" i="7"/>
  <c r="A25" i="7" l="1"/>
  <c r="A28" i="7"/>
  <c r="A30" i="7" l="1"/>
  <c r="A27" i="7"/>
  <c r="A29" i="7" l="1"/>
  <c r="A32" i="7"/>
  <c r="A34" i="7" l="1"/>
  <c r="A31" i="7"/>
  <c r="A33" i="7" l="1"/>
  <c r="A36" i="7"/>
  <c r="A38" i="7" l="1"/>
  <c r="A35" i="7"/>
  <c r="A40" i="7" l="1"/>
  <c r="A37" i="7"/>
  <c r="A39" i="7" l="1"/>
  <c r="A42" i="7"/>
  <c r="A44" i="7" l="1"/>
  <c r="A41" i="7"/>
  <c r="A43" i="7" l="1"/>
  <c r="A46" i="7"/>
  <c r="A48" i="7" l="1"/>
  <c r="A45" i="7"/>
  <c r="A47" i="7" l="1"/>
  <c r="A50" i="7"/>
  <c r="A52" i="7" l="1"/>
  <c r="A49" i="7"/>
  <c r="A51" i="7" l="1"/>
  <c r="A54" i="7"/>
  <c r="A56" i="7" l="1"/>
  <c r="A53" i="7"/>
  <c r="A55" i="7" l="1"/>
  <c r="A58" i="7"/>
  <c r="A57" i="7" l="1"/>
  <c r="A60" i="7"/>
  <c r="A62" i="7" l="1"/>
  <c r="A64" i="7"/>
  <c r="A59" i="7"/>
  <c r="A61" i="7" l="1"/>
  <c r="A63" i="7" l="1"/>
  <c r="A65" i="7"/>
  <c r="AG66" i="5" l="1"/>
  <c r="AF66" i="5"/>
  <c r="AE66" i="5"/>
  <c r="AD66" i="5"/>
  <c r="AC66" i="5"/>
  <c r="AB66" i="5"/>
  <c r="AA66" i="5"/>
  <c r="S66" i="5"/>
  <c r="AO7" i="5"/>
  <c r="AN7" i="5"/>
  <c r="AR7" i="5"/>
  <c r="AO6" i="5"/>
  <c r="AN6" i="5"/>
  <c r="AO5" i="5"/>
  <c r="AN5" i="5"/>
  <c r="AR5" i="5"/>
  <c r="AR4" i="5"/>
  <c r="AL4" i="5"/>
  <c r="AK4" i="5"/>
  <c r="AG4" i="5"/>
  <c r="AF4" i="5"/>
  <c r="T4" i="5"/>
  <c r="S4" i="5"/>
  <c r="R4" i="5"/>
  <c r="AM4" i="5" s="1"/>
  <c r="AM66" i="5" s="1"/>
  <c r="A4" i="5"/>
  <c r="AP7" i="5" l="1"/>
  <c r="AP6" i="5"/>
  <c r="AP5" i="5"/>
  <c r="A6" i="5"/>
  <c r="A5" i="5"/>
  <c r="AO4" i="5"/>
  <c r="AO66" i="5" s="1"/>
  <c r="AN4" i="5"/>
  <c r="AN66" i="5" s="1"/>
  <c r="T66" i="5"/>
  <c r="G8" i="1"/>
  <c r="A7" i="5"/>
  <c r="A8" i="5"/>
  <c r="AR6" i="5"/>
  <c r="H8" i="1" l="1"/>
  <c r="AP4" i="5"/>
  <c r="J8" i="1"/>
  <c r="A9" i="5"/>
  <c r="A10" i="5"/>
  <c r="I8" i="1"/>
  <c r="M8" i="1" l="1"/>
  <c r="A12" i="5"/>
  <c r="A11" i="5"/>
  <c r="A13" i="5" l="1"/>
  <c r="A14" i="5"/>
  <c r="A16" i="5" l="1"/>
  <c r="A15" i="5"/>
  <c r="A17" i="5" l="1"/>
  <c r="A18" i="5"/>
  <c r="A20" i="5" l="1"/>
  <c r="A19" i="5"/>
  <c r="A21" i="5" l="1"/>
  <c r="A22" i="5"/>
  <c r="A24" i="5" l="1"/>
  <c r="A23" i="5"/>
  <c r="A25" i="5" l="1"/>
  <c r="A26" i="5"/>
  <c r="A28" i="5" l="1"/>
  <c r="A27" i="5"/>
  <c r="A29" i="5" l="1"/>
  <c r="A30" i="5"/>
  <c r="A32" i="5" l="1"/>
  <c r="A31" i="5"/>
  <c r="A33" i="5" l="1"/>
  <c r="A34" i="5"/>
  <c r="A35" i="5" l="1"/>
  <c r="A36" i="5"/>
  <c r="A37" i="5" l="1"/>
  <c r="A38" i="5"/>
  <c r="A40" i="5" l="1"/>
  <c r="A39" i="5"/>
  <c r="A41" i="5" l="1"/>
  <c r="A42" i="5"/>
  <c r="A44" i="5" l="1"/>
  <c r="A43" i="5"/>
  <c r="A45" i="5" l="1"/>
  <c r="A46" i="5"/>
  <c r="A47" i="5" l="1"/>
  <c r="A48" i="5"/>
  <c r="A50" i="5" l="1"/>
  <c r="A49" i="5"/>
  <c r="A51" i="5" l="1"/>
  <c r="A52" i="5"/>
  <c r="A54" i="5" l="1"/>
  <c r="A53" i="5"/>
  <c r="A55" i="5" l="1"/>
  <c r="A56" i="5"/>
  <c r="A58" i="5" l="1"/>
  <c r="A57" i="5"/>
  <c r="A59" i="5" l="1"/>
  <c r="A60" i="5"/>
  <c r="A62" i="5" l="1"/>
  <c r="A64" i="5"/>
  <c r="A61" i="5"/>
  <c r="A65" i="5" l="1"/>
  <c r="A63" i="5"/>
  <c r="AG66" i="4" l="1"/>
  <c r="AF66" i="4"/>
  <c r="AB66" i="4"/>
  <c r="AA66" i="4"/>
  <c r="T66" i="4"/>
  <c r="AW23" i="4"/>
  <c r="AW22" i="4"/>
  <c r="AL4" i="4"/>
  <c r="AK4" i="4"/>
  <c r="AG4" i="4"/>
  <c r="AF4" i="4"/>
  <c r="AM4" i="4"/>
  <c r="A4" i="4"/>
  <c r="AW24" i="4" l="1"/>
  <c r="A5" i="4"/>
  <c r="A6" i="4"/>
  <c r="AN4" i="4"/>
  <c r="AO4" i="4"/>
  <c r="A7" i="4"/>
  <c r="A8" i="4"/>
  <c r="R66" i="4"/>
  <c r="G11" i="1" s="1"/>
  <c r="S66" i="4"/>
  <c r="AP4" i="4" l="1"/>
  <c r="AO66" i="4"/>
  <c r="J11" i="1" s="1"/>
  <c r="AM66" i="4"/>
  <c r="H11" i="1" s="1"/>
  <c r="A10" i="4"/>
  <c r="AN66" i="4"/>
  <c r="I11" i="1" s="1"/>
  <c r="A9" i="4"/>
  <c r="M11" i="1" l="1"/>
  <c r="A11" i="4"/>
  <c r="A12" i="4"/>
  <c r="A14" i="4" l="1"/>
  <c r="A13" i="4"/>
  <c r="A16" i="4" l="1"/>
  <c r="A15" i="4"/>
  <c r="A17" i="4" l="1"/>
  <c r="A18" i="4"/>
  <c r="A20" i="4" l="1"/>
  <c r="A19" i="4"/>
  <c r="A21" i="4" l="1"/>
  <c r="A22" i="4"/>
  <c r="A24" i="4" l="1"/>
  <c r="A23" i="4"/>
  <c r="A25" i="4" l="1"/>
  <c r="A26" i="4"/>
  <c r="A28" i="4" l="1"/>
  <c r="A27" i="4"/>
  <c r="A29" i="4" l="1"/>
  <c r="A30" i="4"/>
  <c r="A31" i="4" l="1"/>
  <c r="A32" i="4"/>
  <c r="A34" i="4" l="1"/>
  <c r="A33" i="4"/>
  <c r="A35" i="4" l="1"/>
  <c r="A36" i="4"/>
  <c r="A38" i="4" l="1"/>
  <c r="A37" i="4"/>
  <c r="A40" i="4" l="1"/>
  <c r="A39" i="4"/>
  <c r="A41" i="4" l="1"/>
  <c r="A42" i="4"/>
  <c r="A44" i="4" l="1"/>
  <c r="A43" i="4"/>
  <c r="A45" i="4" l="1"/>
  <c r="A46" i="4"/>
  <c r="A48" i="4" l="1"/>
  <c r="A47" i="4"/>
  <c r="A49" i="4" l="1"/>
  <c r="A50" i="4"/>
  <c r="A52" i="4" l="1"/>
  <c r="A51" i="4"/>
  <c r="A53" i="4" l="1"/>
  <c r="A54" i="4"/>
  <c r="A56" i="4" l="1"/>
  <c r="A55" i="4"/>
  <c r="A57" i="4" l="1"/>
  <c r="A58" i="4"/>
  <c r="A60" i="4" l="1"/>
  <c r="A59" i="4"/>
  <c r="A61" i="4" l="1"/>
  <c r="A64" i="4"/>
  <c r="A62" i="4"/>
  <c r="A63" i="4" l="1"/>
  <c r="A65" i="4"/>
  <c r="G6" i="1" l="1"/>
  <c r="G18" i="1" s="1"/>
  <c r="AR65" i="3"/>
  <c r="AR64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17" i="3"/>
  <c r="AR16" i="3"/>
  <c r="AR7" i="3"/>
  <c r="B6" i="3"/>
  <c r="B8" i="3" s="1"/>
  <c r="AR5" i="3"/>
  <c r="B5" i="3"/>
  <c r="A5" i="3" s="1"/>
  <c r="AR4" i="3"/>
  <c r="AL4" i="3"/>
  <c r="AK4" i="3"/>
  <c r="AG4" i="3"/>
  <c r="AF4" i="3"/>
  <c r="AM4" i="3"/>
  <c r="A4" i="3"/>
  <c r="A7" i="16" l="1"/>
  <c r="A5" i="16"/>
  <c r="A6" i="16"/>
  <c r="A4" i="16"/>
  <c r="AN4" i="3"/>
  <c r="AO4" i="3"/>
  <c r="B10" i="3"/>
  <c r="A8" i="3"/>
  <c r="A6" i="3"/>
  <c r="B7" i="3"/>
  <c r="AR6" i="3"/>
  <c r="A9" i="16"/>
  <c r="A8" i="16" l="1"/>
  <c r="AM66" i="3"/>
  <c r="H6" i="1" s="1"/>
  <c r="AN66" i="3"/>
  <c r="I6" i="1" s="1"/>
  <c r="AP4" i="3"/>
  <c r="H4" i="1"/>
  <c r="J4" i="1"/>
  <c r="A7" i="3"/>
  <c r="B9" i="3"/>
  <c r="AO66" i="3"/>
  <c r="J6" i="1" s="1"/>
  <c r="A10" i="3"/>
  <c r="B12" i="3"/>
  <c r="A11" i="16"/>
  <c r="I4" i="1"/>
  <c r="A10" i="16"/>
  <c r="M6" i="1" l="1"/>
  <c r="H18" i="1"/>
  <c r="J18" i="1"/>
  <c r="I18" i="1"/>
  <c r="B11" i="3"/>
  <c r="A9" i="3"/>
  <c r="B14" i="3"/>
  <c r="A12" i="3"/>
  <c r="A13" i="16"/>
  <c r="A12" i="16"/>
  <c r="A14" i="3" l="1"/>
  <c r="B16" i="3"/>
  <c r="A11" i="3"/>
  <c r="B13" i="3"/>
  <c r="A14" i="16"/>
  <c r="A15" i="16"/>
  <c r="B18" i="3" l="1"/>
  <c r="A16" i="3"/>
  <c r="B15" i="3"/>
  <c r="A13" i="3"/>
  <c r="A17" i="16"/>
  <c r="A16" i="16"/>
  <c r="A15" i="3" l="1"/>
  <c r="B17" i="3"/>
  <c r="A18" i="3"/>
  <c r="B20" i="3"/>
  <c r="A18" i="16"/>
  <c r="A19" i="16"/>
  <c r="B19" i="3" l="1"/>
  <c r="A17" i="3"/>
  <c r="A20" i="3"/>
  <c r="B22" i="3"/>
  <c r="A21" i="16"/>
  <c r="A20" i="16"/>
  <c r="A22" i="3" l="1"/>
  <c r="B24" i="3"/>
  <c r="A19" i="3"/>
  <c r="B21" i="3"/>
  <c r="A23" i="16"/>
  <c r="A22" i="16"/>
  <c r="A24" i="3" l="1"/>
  <c r="B26" i="3"/>
  <c r="B23" i="3"/>
  <c r="A21" i="3"/>
  <c r="A24" i="16"/>
  <c r="A25" i="16"/>
  <c r="A23" i="3" l="1"/>
  <c r="B25" i="3"/>
  <c r="A26" i="3"/>
  <c r="B28" i="3"/>
  <c r="A27" i="16"/>
  <c r="A26" i="16"/>
  <c r="A28" i="3" l="1"/>
  <c r="B30" i="3"/>
  <c r="B27" i="3"/>
  <c r="A25" i="3"/>
  <c r="A29" i="16"/>
  <c r="A28" i="16"/>
  <c r="A27" i="3" l="1"/>
  <c r="B29" i="3"/>
  <c r="A30" i="3"/>
  <c r="B32" i="3"/>
  <c r="A30" i="16"/>
  <c r="A31" i="16"/>
  <c r="B34" i="3" l="1"/>
  <c r="A32" i="3"/>
  <c r="B31" i="3"/>
  <c r="A29" i="3"/>
  <c r="A32" i="16"/>
  <c r="A33" i="16"/>
  <c r="A31" i="3" l="1"/>
  <c r="B33" i="3"/>
  <c r="A34" i="3"/>
  <c r="B36" i="3"/>
  <c r="A35" i="16"/>
  <c r="A34" i="16"/>
  <c r="B35" i="3" l="1"/>
  <c r="A33" i="3"/>
  <c r="A36" i="3"/>
  <c r="B38" i="3"/>
  <c r="A36" i="16"/>
  <c r="A37" i="16"/>
  <c r="A38" i="3" l="1"/>
  <c r="B40" i="3"/>
  <c r="A35" i="3"/>
  <c r="B37" i="3"/>
  <c r="A39" i="16"/>
  <c r="A38" i="16"/>
  <c r="A40" i="3" l="1"/>
  <c r="B42" i="3"/>
  <c r="B39" i="3"/>
  <c r="A37" i="3"/>
  <c r="A40" i="16"/>
  <c r="A41" i="16"/>
  <c r="A39" i="3" l="1"/>
  <c r="B41" i="3"/>
  <c r="A42" i="3"/>
  <c r="B44" i="3"/>
  <c r="A43" i="16"/>
  <c r="A42" i="16"/>
  <c r="B46" i="3" l="1"/>
  <c r="A44" i="3"/>
  <c r="B43" i="3"/>
  <c r="A41" i="3"/>
  <c r="A45" i="16"/>
  <c r="A44" i="16"/>
  <c r="A46" i="3" l="1"/>
  <c r="B48" i="3"/>
  <c r="A43" i="3"/>
  <c r="B45" i="3"/>
  <c r="A46" i="16"/>
  <c r="A47" i="16"/>
  <c r="B47" i="3" l="1"/>
  <c r="A45" i="3"/>
  <c r="A48" i="3"/>
  <c r="B50" i="3"/>
  <c r="A49" i="16"/>
  <c r="A48" i="16"/>
  <c r="A50" i="3" l="1"/>
  <c r="B52" i="3"/>
  <c r="A47" i="3"/>
  <c r="B49" i="3"/>
  <c r="A51" i="16"/>
  <c r="A50" i="16"/>
  <c r="B51" i="3" l="1"/>
  <c r="A49" i="3"/>
  <c r="A52" i="3"/>
  <c r="B54" i="3"/>
  <c r="A52" i="16"/>
  <c r="A53" i="16"/>
  <c r="A54" i="3" l="1"/>
  <c r="B56" i="3"/>
  <c r="A51" i="3"/>
  <c r="B53" i="3"/>
  <c r="A55" i="16"/>
  <c r="A54" i="16"/>
  <c r="B58" i="3" l="1"/>
  <c r="A56" i="3"/>
  <c r="B55" i="3"/>
  <c r="A53" i="3"/>
  <c r="A57" i="16"/>
  <c r="A56" i="16"/>
  <c r="A55" i="3" l="1"/>
  <c r="B57" i="3"/>
  <c r="A58" i="3"/>
  <c r="B60" i="3"/>
  <c r="A58" i="16"/>
  <c r="A59" i="16"/>
  <c r="B59" i="3" l="1"/>
  <c r="A57" i="3"/>
  <c r="B62" i="3"/>
  <c r="A60" i="3"/>
  <c r="A60" i="16"/>
  <c r="A61" i="16"/>
  <c r="A62" i="3" l="1"/>
  <c r="B64" i="3"/>
  <c r="A64" i="3" s="1"/>
  <c r="A59" i="3"/>
  <c r="B61" i="3"/>
  <c r="A62" i="16"/>
  <c r="A63" i="16" l="1"/>
  <c r="B63" i="3"/>
  <c r="A61" i="3"/>
  <c r="A64" i="16" l="1"/>
  <c r="A63" i="3"/>
  <c r="B65" i="3"/>
  <c r="A65" i="3" s="1"/>
  <c r="K43" i="1" l="1"/>
  <c r="N41" i="1"/>
  <c r="N39" i="1"/>
  <c r="N38" i="1"/>
  <c r="N36" i="1"/>
  <c r="P33" i="1"/>
  <c r="P45" i="1" s="1"/>
  <c r="O33" i="1"/>
  <c r="O45" i="1" s="1"/>
  <c r="N33" i="1"/>
  <c r="N45" i="1" s="1"/>
  <c r="M33" i="1"/>
  <c r="M45" i="1" s="1"/>
  <c r="L33" i="1"/>
  <c r="L45" i="1" s="1"/>
  <c r="K33" i="1"/>
  <c r="K45" i="1" s="1"/>
  <c r="J33" i="1"/>
  <c r="J45" i="1" s="1"/>
  <c r="I33" i="1"/>
  <c r="I45" i="1" s="1"/>
  <c r="H33" i="1"/>
  <c r="H45" i="1" s="1"/>
  <c r="G33" i="1"/>
  <c r="G45" i="1" s="1"/>
  <c r="F33" i="1"/>
  <c r="F45" i="1" s="1"/>
  <c r="E33" i="1"/>
  <c r="E45" i="1" s="1"/>
  <c r="D33" i="1"/>
  <c r="D45" i="1" s="1"/>
  <c r="C33" i="1"/>
  <c r="C45" i="1" s="1"/>
  <c r="K31" i="1"/>
  <c r="M30" i="1"/>
  <c r="N30" i="1" s="1"/>
  <c r="M29" i="1"/>
  <c r="N29" i="1" s="1"/>
  <c r="M28" i="1"/>
  <c r="N28" i="1" s="1"/>
  <c r="M26" i="1"/>
  <c r="N26" i="1" s="1"/>
  <c r="M24" i="1"/>
  <c r="N24" i="1" s="1"/>
  <c r="H31" i="1"/>
  <c r="G31" i="1"/>
  <c r="N11" i="1"/>
  <c r="N8" i="1"/>
  <c r="AQ1" i="2"/>
  <c r="N6" i="1" l="1"/>
  <c r="AQ5" i="2"/>
  <c r="AQ9" i="2"/>
  <c r="AQ22" i="2"/>
  <c r="AQ27" i="2"/>
  <c r="AQ23" i="2"/>
  <c r="AQ24" i="2"/>
  <c r="AQ7" i="2"/>
  <c r="AQ20" i="2"/>
  <c r="AQ46" i="2"/>
  <c r="AQ62" i="2"/>
  <c r="AQ60" i="2"/>
  <c r="AQ16" i="2"/>
  <c r="AQ13" i="2"/>
  <c r="AQ17" i="2"/>
  <c r="AQ26" i="2"/>
  <c r="AQ58" i="2"/>
  <c r="AQ14" i="2"/>
  <c r="AQ8" i="2"/>
  <c r="AQ6" i="2"/>
  <c r="AQ63" i="2"/>
  <c r="AQ57" i="2"/>
  <c r="AQ44" i="2"/>
  <c r="AQ61" i="2"/>
  <c r="AQ65" i="2"/>
  <c r="AQ21" i="2"/>
  <c r="AQ25" i="2"/>
  <c r="AQ28" i="2"/>
  <c r="AQ19" i="2"/>
  <c r="AQ18" i="2"/>
  <c r="AQ15" i="2"/>
  <c r="AQ10" i="2"/>
  <c r="AQ11" i="2"/>
  <c r="AQ53" i="2"/>
  <c r="AQ54" i="2"/>
  <c r="AQ50" i="2"/>
  <c r="AQ42" i="2"/>
  <c r="AQ12" i="2"/>
  <c r="AQ59" i="2"/>
  <c r="AQ64" i="2"/>
  <c r="AQ41" i="2"/>
  <c r="AQ47" i="2"/>
  <c r="AQ33" i="2"/>
  <c r="AQ34" i="2"/>
  <c r="AQ4" i="2"/>
  <c r="AQ37" i="2"/>
  <c r="AQ56" i="2"/>
  <c r="AQ43" i="2"/>
  <c r="AQ39" i="2"/>
  <c r="AQ52" i="2"/>
  <c r="AQ48" i="2"/>
  <c r="AQ38" i="2"/>
  <c r="AQ30" i="2"/>
  <c r="AQ35" i="2"/>
  <c r="AQ31" i="2"/>
  <c r="AQ51" i="2"/>
  <c r="AQ55" i="2"/>
  <c r="AQ45" i="2"/>
  <c r="AQ29" i="2"/>
  <c r="AQ40" i="2"/>
  <c r="AQ32" i="2"/>
  <c r="AQ49" i="2"/>
  <c r="AQ36" i="2"/>
  <c r="N13" i="1"/>
  <c r="AQ1" i="4"/>
  <c r="AQ1" i="3"/>
  <c r="AQ1" i="13"/>
  <c r="AQ1" i="11"/>
  <c r="AQ1" i="9"/>
  <c r="AQ1" i="8"/>
  <c r="AQ1" i="7"/>
  <c r="AQ1" i="5"/>
  <c r="AQ1" i="14"/>
  <c r="AQ1" i="12"/>
  <c r="AQ1" i="10"/>
  <c r="L43" i="1"/>
  <c r="N34" i="1"/>
  <c r="M4" i="1"/>
  <c r="N4" i="1" s="1"/>
  <c r="L31" i="1"/>
  <c r="M59" i="1"/>
  <c r="N59" i="1" s="1"/>
  <c r="M22" i="1"/>
  <c r="N22" i="1" s="1"/>
  <c r="AQ29" i="14" l="1"/>
  <c r="O28" i="16" s="1"/>
  <c r="AQ8" i="13"/>
  <c r="AQ50" i="13"/>
  <c r="N49" i="16" s="1"/>
  <c r="AQ5" i="13"/>
  <c r="N4" i="16" s="1"/>
  <c r="AQ21" i="13"/>
  <c r="AQ63" i="13"/>
  <c r="AQ18" i="13"/>
  <c r="N17" i="16" s="1"/>
  <c r="AQ60" i="13"/>
  <c r="AQ15" i="13"/>
  <c r="N14" i="16" s="1"/>
  <c r="AQ64" i="13"/>
  <c r="AQ23" i="13"/>
  <c r="AQ12" i="13"/>
  <c r="AQ54" i="13"/>
  <c r="AQ9" i="13"/>
  <c r="AQ51" i="13"/>
  <c r="N50" i="16" s="1"/>
  <c r="AQ6" i="13"/>
  <c r="AQ22" i="13"/>
  <c r="AQ61" i="13"/>
  <c r="N60" i="16" s="1"/>
  <c r="AQ16" i="13"/>
  <c r="N15" i="16" s="1"/>
  <c r="AQ58" i="13"/>
  <c r="N57" i="16" s="1"/>
  <c r="AQ13" i="13"/>
  <c r="AQ55" i="13"/>
  <c r="AQ10" i="13"/>
  <c r="AQ52" i="13"/>
  <c r="N51" i="16" s="1"/>
  <c r="AQ7" i="13"/>
  <c r="AQ20" i="13"/>
  <c r="AQ62" i="13"/>
  <c r="N61" i="16" s="1"/>
  <c r="AQ17" i="13"/>
  <c r="AQ59" i="13"/>
  <c r="AQ14" i="13"/>
  <c r="AQ56" i="13"/>
  <c r="AQ11" i="13"/>
  <c r="AQ53" i="13"/>
  <c r="AQ57" i="13"/>
  <c r="AQ19" i="13"/>
  <c r="N18" i="16" s="1"/>
  <c r="AQ65" i="13"/>
  <c r="AQ41" i="13"/>
  <c r="AQ47" i="13"/>
  <c r="AQ38" i="13"/>
  <c r="AQ37" i="13"/>
  <c r="AQ45" i="13"/>
  <c r="AQ48" i="13"/>
  <c r="AQ42" i="13"/>
  <c r="AQ44" i="13"/>
  <c r="AQ49" i="13"/>
  <c r="AQ36" i="13"/>
  <c r="N35" i="16" s="1"/>
  <c r="AQ43" i="13"/>
  <c r="AQ40" i="13"/>
  <c r="AQ46" i="13"/>
  <c r="AQ39" i="13"/>
  <c r="AQ33" i="13"/>
  <c r="AQ34" i="13"/>
  <c r="N33" i="16" s="1"/>
  <c r="AQ30" i="13"/>
  <c r="N29" i="16" s="1"/>
  <c r="AQ31" i="13"/>
  <c r="AQ28" i="13"/>
  <c r="AQ35" i="13"/>
  <c r="AQ32" i="13"/>
  <c r="N31" i="16" s="1"/>
  <c r="AQ29" i="13"/>
  <c r="AQ25" i="13"/>
  <c r="AQ26" i="13"/>
  <c r="AQ27" i="13"/>
  <c r="AQ24" i="13"/>
  <c r="N23" i="16" s="1"/>
  <c r="AQ45" i="12"/>
  <c r="M44" i="16" s="1"/>
  <c r="AQ65" i="12"/>
  <c r="AQ21" i="12"/>
  <c r="M20" i="16" s="1"/>
  <c r="AQ47" i="12"/>
  <c r="AQ42" i="12"/>
  <c r="M41" i="16" s="1"/>
  <c r="AQ11" i="12"/>
  <c r="M10" i="16" s="1"/>
  <c r="AQ54" i="12"/>
  <c r="M53" i="16" s="1"/>
  <c r="AQ23" i="12"/>
  <c r="AQ10" i="12"/>
  <c r="AQ12" i="12"/>
  <c r="M11" i="16" s="1"/>
  <c r="AQ43" i="12"/>
  <c r="M42" i="16" s="1"/>
  <c r="AQ24" i="12"/>
  <c r="AQ53" i="12"/>
  <c r="M52" i="16" s="1"/>
  <c r="AQ9" i="12"/>
  <c r="M8" i="16" s="1"/>
  <c r="AQ57" i="12"/>
  <c r="M56" i="16" s="1"/>
  <c r="AQ46" i="12"/>
  <c r="AQ52" i="12"/>
  <c r="M51" i="16" s="1"/>
  <c r="AQ14" i="12"/>
  <c r="AQ64" i="12"/>
  <c r="AQ7" i="12"/>
  <c r="AQ58" i="12"/>
  <c r="AQ19" i="12"/>
  <c r="AQ55" i="12"/>
  <c r="M54" i="16" s="1"/>
  <c r="AQ61" i="12"/>
  <c r="AQ5" i="12"/>
  <c r="M4" i="16" s="1"/>
  <c r="AQ17" i="12"/>
  <c r="M16" i="16" s="1"/>
  <c r="AQ26" i="12"/>
  <c r="AQ20" i="12"/>
  <c r="AQ59" i="12"/>
  <c r="M58" i="16" s="1"/>
  <c r="AQ48" i="12"/>
  <c r="M47" i="16" s="1"/>
  <c r="AQ6" i="12"/>
  <c r="M5" i="16" s="1"/>
  <c r="AQ60" i="12"/>
  <c r="AQ63" i="12"/>
  <c r="AQ50" i="12"/>
  <c r="M49" i="16" s="1"/>
  <c r="AQ15" i="12"/>
  <c r="M14" i="16" s="1"/>
  <c r="AQ49" i="12"/>
  <c r="AQ13" i="12"/>
  <c r="M12" i="16" s="1"/>
  <c r="AQ25" i="12"/>
  <c r="M24" i="16" s="1"/>
  <c r="AQ22" i="12"/>
  <c r="M21" i="16" s="1"/>
  <c r="AQ27" i="12"/>
  <c r="AQ18" i="12"/>
  <c r="M17" i="16" s="1"/>
  <c r="AQ16" i="12"/>
  <c r="AQ51" i="12"/>
  <c r="AQ44" i="12"/>
  <c r="M43" i="16" s="1"/>
  <c r="AQ62" i="12"/>
  <c r="AQ56" i="12"/>
  <c r="M55" i="16" s="1"/>
  <c r="AQ8" i="12"/>
  <c r="M7" i="16" s="1"/>
  <c r="AQ41" i="12"/>
  <c r="AQ38" i="12"/>
  <c r="AQ39" i="12"/>
  <c r="M38" i="16" s="1"/>
  <c r="AQ40" i="12"/>
  <c r="AQ37" i="12"/>
  <c r="AQ31" i="12"/>
  <c r="AQ30" i="12"/>
  <c r="M29" i="16" s="1"/>
  <c r="AQ35" i="12"/>
  <c r="M34" i="16" s="1"/>
  <c r="AQ36" i="12"/>
  <c r="AQ33" i="12"/>
  <c r="M32" i="16" s="1"/>
  <c r="AQ32" i="12"/>
  <c r="AQ28" i="12"/>
  <c r="M27" i="16" s="1"/>
  <c r="AQ34" i="12"/>
  <c r="AQ29" i="12"/>
  <c r="AQ19" i="11"/>
  <c r="L18" i="16" s="1"/>
  <c r="AQ11" i="11"/>
  <c r="L10" i="16" s="1"/>
  <c r="AQ7" i="11"/>
  <c r="L6" i="16" s="1"/>
  <c r="AQ17" i="11"/>
  <c r="AQ13" i="11"/>
  <c r="L12" i="16" s="1"/>
  <c r="AQ18" i="11"/>
  <c r="L17" i="16" s="1"/>
  <c r="AQ14" i="11"/>
  <c r="AQ9" i="11"/>
  <c r="L8" i="16" s="1"/>
  <c r="AQ5" i="11"/>
  <c r="L4" i="16" s="1"/>
  <c r="AQ10" i="11"/>
  <c r="AQ8" i="11"/>
  <c r="L7" i="16" s="1"/>
  <c r="AQ16" i="11"/>
  <c r="AQ12" i="11"/>
  <c r="L11" i="16" s="1"/>
  <c r="AQ15" i="11"/>
  <c r="L14" i="16" s="1"/>
  <c r="AQ6" i="11"/>
  <c r="AQ61" i="14"/>
  <c r="AQ65" i="14"/>
  <c r="AQ60" i="14"/>
  <c r="AQ63" i="14"/>
  <c r="AQ62" i="14"/>
  <c r="AQ64" i="14"/>
  <c r="AQ18" i="5"/>
  <c r="E17" i="16" s="1"/>
  <c r="AQ22" i="5"/>
  <c r="E21" i="16" s="1"/>
  <c r="AQ9" i="5"/>
  <c r="AQ17" i="5"/>
  <c r="E16" i="16" s="1"/>
  <c r="AQ64" i="5"/>
  <c r="E63" i="16" s="1"/>
  <c r="AQ19" i="5"/>
  <c r="E18" i="16" s="1"/>
  <c r="AQ63" i="5"/>
  <c r="AQ12" i="5"/>
  <c r="E11" i="16" s="1"/>
  <c r="AQ62" i="5"/>
  <c r="E61" i="16" s="1"/>
  <c r="AQ10" i="5"/>
  <c r="E9" i="16" s="1"/>
  <c r="AQ28" i="5"/>
  <c r="E27" i="16" s="1"/>
  <c r="AQ21" i="5"/>
  <c r="E20" i="16" s="1"/>
  <c r="AQ24" i="5"/>
  <c r="E23" i="16" s="1"/>
  <c r="AQ27" i="5"/>
  <c r="E26" i="16" s="1"/>
  <c r="AQ65" i="5"/>
  <c r="AQ15" i="5"/>
  <c r="E14" i="16" s="1"/>
  <c r="AQ14" i="5"/>
  <c r="E13" i="16" s="1"/>
  <c r="AQ7" i="5"/>
  <c r="E6" i="16" s="1"/>
  <c r="AQ16" i="5"/>
  <c r="E15" i="16" s="1"/>
  <c r="AQ59" i="5"/>
  <c r="E58" i="16" s="1"/>
  <c r="AQ13" i="5"/>
  <c r="E12" i="16" s="1"/>
  <c r="AQ23" i="5"/>
  <c r="E22" i="16" s="1"/>
  <c r="AQ29" i="5"/>
  <c r="AQ60" i="5"/>
  <c r="E59" i="16" s="1"/>
  <c r="AQ6" i="5"/>
  <c r="E5" i="16" s="1"/>
  <c r="AQ5" i="5"/>
  <c r="E4" i="16" s="1"/>
  <c r="AQ8" i="5"/>
  <c r="AQ61" i="5"/>
  <c r="E60" i="16" s="1"/>
  <c r="AQ11" i="5"/>
  <c r="E10" i="16" s="1"/>
  <c r="AQ58" i="5"/>
  <c r="E57" i="16" s="1"/>
  <c r="AQ20" i="5"/>
  <c r="E19" i="16" s="1"/>
  <c r="AQ55" i="5"/>
  <c r="E54" i="16" s="1"/>
  <c r="AQ56" i="5"/>
  <c r="E55" i="16" s="1"/>
  <c r="AQ53" i="5"/>
  <c r="E52" i="16" s="1"/>
  <c r="AQ57" i="5"/>
  <c r="AQ52" i="5"/>
  <c r="E51" i="16" s="1"/>
  <c r="AQ54" i="5"/>
  <c r="E53" i="16" s="1"/>
  <c r="AQ51" i="5"/>
  <c r="E50" i="16" s="1"/>
  <c r="AQ50" i="5"/>
  <c r="AQ42" i="5"/>
  <c r="E41" i="16" s="1"/>
  <c r="AQ44" i="5"/>
  <c r="E43" i="16" s="1"/>
  <c r="AQ48" i="5"/>
  <c r="E47" i="16" s="1"/>
  <c r="AQ40" i="5"/>
  <c r="AQ46" i="5"/>
  <c r="E45" i="16" s="1"/>
  <c r="AQ37" i="5"/>
  <c r="E36" i="16" s="1"/>
  <c r="AQ49" i="5"/>
  <c r="E48" i="16" s="1"/>
  <c r="AQ39" i="5"/>
  <c r="AQ41" i="5"/>
  <c r="E40" i="16" s="1"/>
  <c r="AQ45" i="5"/>
  <c r="E44" i="16" s="1"/>
  <c r="AQ38" i="5"/>
  <c r="E37" i="16" s="1"/>
  <c r="AQ43" i="5"/>
  <c r="AQ47" i="5"/>
  <c r="E46" i="16" s="1"/>
  <c r="AQ36" i="5"/>
  <c r="E35" i="16" s="1"/>
  <c r="AQ26" i="5"/>
  <c r="E25" i="16" s="1"/>
  <c r="AQ25" i="5"/>
  <c r="E24" i="16" s="1"/>
  <c r="AQ35" i="5"/>
  <c r="E34" i="16" s="1"/>
  <c r="AQ33" i="5"/>
  <c r="E32" i="16" s="1"/>
  <c r="AQ34" i="5"/>
  <c r="AQ32" i="5"/>
  <c r="E31" i="16" s="1"/>
  <c r="AQ30" i="5"/>
  <c r="E29" i="16" s="1"/>
  <c r="AQ31" i="5"/>
  <c r="E30" i="16" s="1"/>
  <c r="AQ66" i="2"/>
  <c r="AQ61" i="7"/>
  <c r="H60" i="16" s="1"/>
  <c r="AQ65" i="7"/>
  <c r="H64" i="16" s="1"/>
  <c r="AQ62" i="7"/>
  <c r="H61" i="16" s="1"/>
  <c r="AQ19" i="7"/>
  <c r="AQ6" i="7"/>
  <c r="H5" i="16" s="1"/>
  <c r="AQ18" i="7"/>
  <c r="H17" i="16" s="1"/>
  <c r="AQ13" i="7"/>
  <c r="H12" i="16" s="1"/>
  <c r="AQ17" i="7"/>
  <c r="AQ60" i="7"/>
  <c r="H59" i="16" s="1"/>
  <c r="AQ20" i="7"/>
  <c r="H19" i="16" s="1"/>
  <c r="AQ28" i="7"/>
  <c r="H27" i="16" s="1"/>
  <c r="AQ10" i="7"/>
  <c r="AQ14" i="7"/>
  <c r="H13" i="16" s="1"/>
  <c r="AQ7" i="7"/>
  <c r="H6" i="16" s="1"/>
  <c r="AQ24" i="7"/>
  <c r="H23" i="16" s="1"/>
  <c r="AQ21" i="7"/>
  <c r="AQ25" i="7"/>
  <c r="H24" i="16" s="1"/>
  <c r="AQ16" i="7"/>
  <c r="H15" i="16" s="1"/>
  <c r="AQ58" i="7"/>
  <c r="H57" i="16" s="1"/>
  <c r="AQ12" i="7"/>
  <c r="AQ27" i="7"/>
  <c r="H26" i="16" s="1"/>
  <c r="AQ9" i="7"/>
  <c r="H8" i="16" s="1"/>
  <c r="AQ29" i="7"/>
  <c r="H28" i="16" s="1"/>
  <c r="AQ5" i="7"/>
  <c r="H4" i="16" s="1"/>
  <c r="AQ23" i="7"/>
  <c r="H22" i="16" s="1"/>
  <c r="AQ26" i="7"/>
  <c r="H25" i="16" s="1"/>
  <c r="AQ15" i="7"/>
  <c r="H14" i="16" s="1"/>
  <c r="AQ22" i="7"/>
  <c r="AQ8" i="7"/>
  <c r="H7" i="16" s="1"/>
  <c r="AQ59" i="7"/>
  <c r="H58" i="16" s="1"/>
  <c r="AQ11" i="7"/>
  <c r="H10" i="16" s="1"/>
  <c r="AQ63" i="7"/>
  <c r="AQ64" i="7"/>
  <c r="AQ57" i="7"/>
  <c r="H56" i="16" s="1"/>
  <c r="AQ55" i="7"/>
  <c r="H54" i="16" s="1"/>
  <c r="AQ54" i="7"/>
  <c r="H53" i="16" s="1"/>
  <c r="AQ56" i="7"/>
  <c r="H55" i="16" s="1"/>
  <c r="AQ51" i="7"/>
  <c r="H50" i="16" s="1"/>
  <c r="AQ53" i="7"/>
  <c r="H52" i="16" s="1"/>
  <c r="AQ52" i="7"/>
  <c r="H51" i="16" s="1"/>
  <c r="AQ50" i="7"/>
  <c r="H49" i="16" s="1"/>
  <c r="AQ47" i="7"/>
  <c r="H46" i="16" s="1"/>
  <c r="AQ49" i="7"/>
  <c r="H48" i="16" s="1"/>
  <c r="AQ43" i="7"/>
  <c r="H42" i="16" s="1"/>
  <c r="AQ34" i="7"/>
  <c r="H33" i="16" s="1"/>
  <c r="AQ30" i="7"/>
  <c r="H29" i="16" s="1"/>
  <c r="AQ32" i="7"/>
  <c r="H31" i="16" s="1"/>
  <c r="AQ31" i="7"/>
  <c r="AQ45" i="7"/>
  <c r="H44" i="16" s="1"/>
  <c r="AQ38" i="7"/>
  <c r="H37" i="16" s="1"/>
  <c r="AQ41" i="7"/>
  <c r="H40" i="16" s="1"/>
  <c r="AQ36" i="7"/>
  <c r="H35" i="16" s="1"/>
  <c r="AQ40" i="7"/>
  <c r="H39" i="16" s="1"/>
  <c r="AQ44" i="7"/>
  <c r="H43" i="16" s="1"/>
  <c r="AQ46" i="7"/>
  <c r="H45" i="16" s="1"/>
  <c r="AQ33" i="7"/>
  <c r="H32" i="16" s="1"/>
  <c r="AQ42" i="7"/>
  <c r="H41" i="16" s="1"/>
  <c r="AQ39" i="7"/>
  <c r="H38" i="16" s="1"/>
  <c r="AQ35" i="7"/>
  <c r="H34" i="16" s="1"/>
  <c r="AQ37" i="7"/>
  <c r="H36" i="16" s="1"/>
  <c r="AQ48" i="7"/>
  <c r="H47" i="16" s="1"/>
  <c r="AQ9" i="8"/>
  <c r="I8" i="16" s="1"/>
  <c r="AQ5" i="8"/>
  <c r="I4" i="16" s="1"/>
  <c r="AQ18" i="8"/>
  <c r="AQ12" i="8"/>
  <c r="AQ27" i="8"/>
  <c r="I26" i="16" s="1"/>
  <c r="AQ23" i="8"/>
  <c r="I22" i="16" s="1"/>
  <c r="AQ58" i="8"/>
  <c r="I57" i="16" s="1"/>
  <c r="AQ20" i="8"/>
  <c r="AQ13" i="8"/>
  <c r="I12" i="16" s="1"/>
  <c r="AQ17" i="8"/>
  <c r="AQ6" i="8"/>
  <c r="AQ24" i="8"/>
  <c r="AQ16" i="8"/>
  <c r="AQ59" i="8"/>
  <c r="I58" i="16" s="1"/>
  <c r="AQ15" i="8"/>
  <c r="I14" i="16" s="1"/>
  <c r="AQ21" i="8"/>
  <c r="AQ25" i="8"/>
  <c r="I24" i="16" s="1"/>
  <c r="AQ65" i="8"/>
  <c r="AQ22" i="8"/>
  <c r="I21" i="16" s="1"/>
  <c r="AQ8" i="8"/>
  <c r="I7" i="16" s="1"/>
  <c r="AQ19" i="8"/>
  <c r="I18" i="16" s="1"/>
  <c r="AQ62" i="8"/>
  <c r="I61" i="16" s="1"/>
  <c r="AQ26" i="8"/>
  <c r="AQ61" i="8"/>
  <c r="AQ63" i="8"/>
  <c r="I62" i="16" s="1"/>
  <c r="AQ28" i="8"/>
  <c r="AQ11" i="8"/>
  <c r="I10" i="16" s="1"/>
  <c r="AQ10" i="8"/>
  <c r="AQ14" i="8"/>
  <c r="I13" i="16" s="1"/>
  <c r="AQ64" i="8"/>
  <c r="AQ60" i="8"/>
  <c r="AQ44" i="8"/>
  <c r="I43" i="16" s="1"/>
  <c r="AQ50" i="8"/>
  <c r="I49" i="16" s="1"/>
  <c r="AQ51" i="8"/>
  <c r="I50" i="16" s="1"/>
  <c r="AQ52" i="8"/>
  <c r="I51" i="16" s="1"/>
  <c r="AQ56" i="8"/>
  <c r="I55" i="16" s="1"/>
  <c r="AQ54" i="8"/>
  <c r="I53" i="16" s="1"/>
  <c r="AQ57" i="8"/>
  <c r="AQ53" i="8"/>
  <c r="AQ55" i="8"/>
  <c r="I54" i="16" s="1"/>
  <c r="AQ40" i="8"/>
  <c r="I39" i="16" s="1"/>
  <c r="AQ43" i="8"/>
  <c r="AQ41" i="8"/>
  <c r="I40" i="16" s="1"/>
  <c r="AQ49" i="8"/>
  <c r="I48" i="16" s="1"/>
  <c r="AQ47" i="8"/>
  <c r="I46" i="16" s="1"/>
  <c r="AQ42" i="8"/>
  <c r="I41" i="16" s="1"/>
  <c r="AQ39" i="8"/>
  <c r="I38" i="16" s="1"/>
  <c r="AQ45" i="8"/>
  <c r="I44" i="16" s="1"/>
  <c r="AQ37" i="8"/>
  <c r="I36" i="16" s="1"/>
  <c r="AQ48" i="8"/>
  <c r="I47" i="16" s="1"/>
  <c r="AQ46" i="8"/>
  <c r="I45" i="16" s="1"/>
  <c r="AQ38" i="8"/>
  <c r="I37" i="16" s="1"/>
  <c r="AQ36" i="8"/>
  <c r="AQ35" i="8"/>
  <c r="AQ32" i="8"/>
  <c r="I31" i="16" s="1"/>
  <c r="AQ34" i="8"/>
  <c r="I33" i="16" s="1"/>
  <c r="AQ33" i="8"/>
  <c r="I32" i="16" s="1"/>
  <c r="AQ31" i="8"/>
  <c r="AQ29" i="8"/>
  <c r="I28" i="16" s="1"/>
  <c r="AQ30" i="8"/>
  <c r="I29" i="16" s="1"/>
  <c r="AQ25" i="3"/>
  <c r="D24" i="16" s="1"/>
  <c r="AQ21" i="3"/>
  <c r="D20" i="16" s="1"/>
  <c r="AQ22" i="3"/>
  <c r="D21" i="16" s="1"/>
  <c r="AQ11" i="3"/>
  <c r="D10" i="16" s="1"/>
  <c r="AQ14" i="3"/>
  <c r="D13" i="16" s="1"/>
  <c r="AQ7" i="3"/>
  <c r="D6" i="16" s="1"/>
  <c r="AQ61" i="3"/>
  <c r="D60" i="16" s="1"/>
  <c r="AQ19" i="3"/>
  <c r="D18" i="16" s="1"/>
  <c r="AQ65" i="3"/>
  <c r="D64" i="16" s="1"/>
  <c r="AQ29" i="3"/>
  <c r="D28" i="16" s="1"/>
  <c r="AQ28" i="3"/>
  <c r="D27" i="16" s="1"/>
  <c r="AQ60" i="3"/>
  <c r="D59" i="16" s="1"/>
  <c r="AQ24" i="3"/>
  <c r="D23" i="16" s="1"/>
  <c r="AQ58" i="3"/>
  <c r="D57" i="16" s="1"/>
  <c r="AQ64" i="3"/>
  <c r="D63" i="16" s="1"/>
  <c r="AQ26" i="3"/>
  <c r="D25" i="16" s="1"/>
  <c r="AQ9" i="3"/>
  <c r="D8" i="16" s="1"/>
  <c r="AQ5" i="3"/>
  <c r="D4" i="16" s="1"/>
  <c r="AQ18" i="3"/>
  <c r="D17" i="16" s="1"/>
  <c r="AQ12" i="3"/>
  <c r="D11" i="16" s="1"/>
  <c r="AQ15" i="3"/>
  <c r="D14" i="16" s="1"/>
  <c r="AQ8" i="3"/>
  <c r="D7" i="16" s="1"/>
  <c r="AQ16" i="3"/>
  <c r="D15" i="16" s="1"/>
  <c r="AQ20" i="3"/>
  <c r="D19" i="16" s="1"/>
  <c r="AQ59" i="3"/>
  <c r="D58" i="16" s="1"/>
  <c r="AQ17" i="3"/>
  <c r="D16" i="16" s="1"/>
  <c r="AQ13" i="3"/>
  <c r="D12" i="16" s="1"/>
  <c r="AQ62" i="3"/>
  <c r="D61" i="16" s="1"/>
  <c r="AQ27" i="3"/>
  <c r="D26" i="16" s="1"/>
  <c r="AQ10" i="3"/>
  <c r="D9" i="16" s="1"/>
  <c r="AQ23" i="3"/>
  <c r="D22" i="16" s="1"/>
  <c r="AQ6" i="3"/>
  <c r="D5" i="16" s="1"/>
  <c r="AQ63" i="3"/>
  <c r="D62" i="16" s="1"/>
  <c r="AQ55" i="3"/>
  <c r="D54" i="16" s="1"/>
  <c r="AQ45" i="3"/>
  <c r="D44" i="16" s="1"/>
  <c r="AQ53" i="3"/>
  <c r="D52" i="16" s="1"/>
  <c r="AQ42" i="3"/>
  <c r="D41" i="16" s="1"/>
  <c r="AQ37" i="3"/>
  <c r="D36" i="16" s="1"/>
  <c r="AQ36" i="3"/>
  <c r="D35" i="16" s="1"/>
  <c r="AQ35" i="3"/>
  <c r="D34" i="16" s="1"/>
  <c r="AQ34" i="3"/>
  <c r="D33" i="16" s="1"/>
  <c r="AQ33" i="3"/>
  <c r="D32" i="16" s="1"/>
  <c r="AQ47" i="3"/>
  <c r="D46" i="16" s="1"/>
  <c r="AQ46" i="3"/>
  <c r="D45" i="16" s="1"/>
  <c r="AQ54" i="3"/>
  <c r="D53" i="16" s="1"/>
  <c r="AQ49" i="3"/>
  <c r="D48" i="16" s="1"/>
  <c r="AQ48" i="3"/>
  <c r="D47" i="16" s="1"/>
  <c r="AQ56" i="3"/>
  <c r="D55" i="16" s="1"/>
  <c r="AQ39" i="3"/>
  <c r="D38" i="16" s="1"/>
  <c r="AQ32" i="3"/>
  <c r="D31" i="16" s="1"/>
  <c r="AQ51" i="3"/>
  <c r="D50" i="16" s="1"/>
  <c r="AQ57" i="3"/>
  <c r="D56" i="16" s="1"/>
  <c r="AQ41" i="3"/>
  <c r="D40" i="16" s="1"/>
  <c r="AQ40" i="3"/>
  <c r="D39" i="16" s="1"/>
  <c r="AQ30" i="3"/>
  <c r="D29" i="16" s="1"/>
  <c r="AQ50" i="3"/>
  <c r="D49" i="16" s="1"/>
  <c r="AQ44" i="3"/>
  <c r="D43" i="16" s="1"/>
  <c r="AQ52" i="3"/>
  <c r="D51" i="16" s="1"/>
  <c r="AQ43" i="3"/>
  <c r="D42" i="16" s="1"/>
  <c r="AQ38" i="3"/>
  <c r="D37" i="16" s="1"/>
  <c r="AQ31" i="3"/>
  <c r="D30" i="16" s="1"/>
  <c r="AQ12" i="9"/>
  <c r="AQ28" i="9"/>
  <c r="AQ18" i="9"/>
  <c r="J17" i="16" s="1"/>
  <c r="AQ27" i="9"/>
  <c r="J26" i="16" s="1"/>
  <c r="AQ13" i="9"/>
  <c r="J12" i="16" s="1"/>
  <c r="AQ29" i="9"/>
  <c r="AQ14" i="9"/>
  <c r="J13" i="16" s="1"/>
  <c r="AQ23" i="9"/>
  <c r="J22" i="16" s="1"/>
  <c r="AQ22" i="9"/>
  <c r="J21" i="16" s="1"/>
  <c r="AQ31" i="9"/>
  <c r="J30" i="16" s="1"/>
  <c r="AQ59" i="9"/>
  <c r="J58" i="16" s="1"/>
  <c r="AQ64" i="9"/>
  <c r="J63" i="16" s="1"/>
  <c r="AQ50" i="9"/>
  <c r="J49" i="16" s="1"/>
  <c r="AQ16" i="9"/>
  <c r="J15" i="16" s="1"/>
  <c r="AQ32" i="9"/>
  <c r="J31" i="16" s="1"/>
  <c r="AQ30" i="9"/>
  <c r="J29" i="16" s="1"/>
  <c r="AQ39" i="9"/>
  <c r="J38" i="16" s="1"/>
  <c r="AQ17" i="9"/>
  <c r="J16" i="16" s="1"/>
  <c r="AQ33" i="9"/>
  <c r="J32" i="16" s="1"/>
  <c r="AQ26" i="9"/>
  <c r="AQ35" i="9"/>
  <c r="AQ34" i="9"/>
  <c r="J33" i="16" s="1"/>
  <c r="AQ43" i="9"/>
  <c r="J42" i="16" s="1"/>
  <c r="AQ61" i="9"/>
  <c r="J60" i="16" s="1"/>
  <c r="AQ48" i="9"/>
  <c r="J47" i="16" s="1"/>
  <c r="AQ20" i="9"/>
  <c r="J19" i="16" s="1"/>
  <c r="AQ36" i="9"/>
  <c r="J35" i="16" s="1"/>
  <c r="AQ42" i="9"/>
  <c r="J41" i="16" s="1"/>
  <c r="AQ5" i="9"/>
  <c r="J4" i="16" s="1"/>
  <c r="AQ21" i="9"/>
  <c r="J20" i="16" s="1"/>
  <c r="AQ37" i="9"/>
  <c r="J36" i="16" s="1"/>
  <c r="AQ38" i="9"/>
  <c r="J37" i="16" s="1"/>
  <c r="AQ6" i="9"/>
  <c r="J5" i="16" s="1"/>
  <c r="AQ7" i="9"/>
  <c r="J6" i="16" s="1"/>
  <c r="AQ62" i="9"/>
  <c r="J61" i="16" s="1"/>
  <c r="AQ65" i="9"/>
  <c r="J64" i="16" s="1"/>
  <c r="AQ56" i="9"/>
  <c r="J55" i="16" s="1"/>
  <c r="AQ8" i="9"/>
  <c r="J7" i="16" s="1"/>
  <c r="AQ24" i="9"/>
  <c r="AQ40" i="9"/>
  <c r="J39" i="16" s="1"/>
  <c r="AQ11" i="9"/>
  <c r="J10" i="16" s="1"/>
  <c r="AQ9" i="9"/>
  <c r="J8" i="16" s="1"/>
  <c r="AQ25" i="9"/>
  <c r="J24" i="16" s="1"/>
  <c r="AQ41" i="9"/>
  <c r="J40" i="16" s="1"/>
  <c r="AQ15" i="9"/>
  <c r="J14" i="16" s="1"/>
  <c r="AQ10" i="9"/>
  <c r="AQ19" i="9"/>
  <c r="AQ60" i="9"/>
  <c r="J59" i="16" s="1"/>
  <c r="AQ63" i="9"/>
  <c r="J62" i="16" s="1"/>
  <c r="AQ54" i="9"/>
  <c r="J53" i="16" s="1"/>
  <c r="AQ46" i="9"/>
  <c r="J45" i="16" s="1"/>
  <c r="AQ51" i="9"/>
  <c r="J50" i="16" s="1"/>
  <c r="AQ44" i="9"/>
  <c r="J43" i="16" s="1"/>
  <c r="AQ58" i="9"/>
  <c r="J57" i="16" s="1"/>
  <c r="AQ47" i="9"/>
  <c r="J46" i="16" s="1"/>
  <c r="AQ55" i="9"/>
  <c r="J54" i="16" s="1"/>
  <c r="AQ52" i="9"/>
  <c r="J51" i="16" s="1"/>
  <c r="AQ49" i="9"/>
  <c r="J48" i="16" s="1"/>
  <c r="AQ45" i="9"/>
  <c r="J44" i="16" s="1"/>
  <c r="AQ53" i="9"/>
  <c r="J52" i="16" s="1"/>
  <c r="AQ57" i="9"/>
  <c r="J56" i="16" s="1"/>
  <c r="AQ9" i="4"/>
  <c r="F8" i="16" s="1"/>
  <c r="AQ21" i="4"/>
  <c r="F20" i="16" s="1"/>
  <c r="AQ14" i="4"/>
  <c r="F13" i="16" s="1"/>
  <c r="AQ22" i="4"/>
  <c r="F21" i="16" s="1"/>
  <c r="AQ12" i="4"/>
  <c r="F11" i="16" s="1"/>
  <c r="AQ25" i="4"/>
  <c r="F24" i="16" s="1"/>
  <c r="AQ60" i="4"/>
  <c r="F59" i="16" s="1"/>
  <c r="AQ59" i="4"/>
  <c r="F58" i="16" s="1"/>
  <c r="AQ19" i="4"/>
  <c r="F18" i="16" s="1"/>
  <c r="AQ15" i="4"/>
  <c r="F14" i="16" s="1"/>
  <c r="AQ29" i="4"/>
  <c r="F28" i="16" s="1"/>
  <c r="AQ10" i="4"/>
  <c r="F9" i="16" s="1"/>
  <c r="AQ18" i="4"/>
  <c r="F17" i="16" s="1"/>
  <c r="AQ20" i="4"/>
  <c r="F19" i="16" s="1"/>
  <c r="AQ58" i="4"/>
  <c r="F57" i="16" s="1"/>
  <c r="AQ64" i="4"/>
  <c r="AQ62" i="4"/>
  <c r="F61" i="16" s="1"/>
  <c r="AQ27" i="4"/>
  <c r="F26" i="16" s="1"/>
  <c r="AQ23" i="4"/>
  <c r="F22" i="16" s="1"/>
  <c r="AQ5" i="4"/>
  <c r="F4" i="16" s="1"/>
  <c r="AQ28" i="4"/>
  <c r="F27" i="16" s="1"/>
  <c r="AQ24" i="4"/>
  <c r="F23" i="16" s="1"/>
  <c r="AQ17" i="4"/>
  <c r="F16" i="16" s="1"/>
  <c r="AQ26" i="4"/>
  <c r="F25" i="16" s="1"/>
  <c r="AQ63" i="4"/>
  <c r="F62" i="16" s="1"/>
  <c r="AQ11" i="4"/>
  <c r="F10" i="16" s="1"/>
  <c r="AQ7" i="4"/>
  <c r="F6" i="16" s="1"/>
  <c r="AQ8" i="4"/>
  <c r="F7" i="16" s="1"/>
  <c r="AQ13" i="4"/>
  <c r="F12" i="16" s="1"/>
  <c r="AQ6" i="4"/>
  <c r="F5" i="16" s="1"/>
  <c r="AQ16" i="4"/>
  <c r="F15" i="16" s="1"/>
  <c r="AQ61" i="4"/>
  <c r="F60" i="16" s="1"/>
  <c r="AQ65" i="4"/>
  <c r="F64" i="16" s="1"/>
  <c r="AQ57" i="4"/>
  <c r="F56" i="16" s="1"/>
  <c r="AQ52" i="4"/>
  <c r="F51" i="16" s="1"/>
  <c r="AQ54" i="4"/>
  <c r="F53" i="16" s="1"/>
  <c r="AQ46" i="4"/>
  <c r="F45" i="16" s="1"/>
  <c r="AQ43" i="4"/>
  <c r="F42" i="16" s="1"/>
  <c r="AQ38" i="4"/>
  <c r="F37" i="16" s="1"/>
  <c r="AQ45" i="4"/>
  <c r="F44" i="16" s="1"/>
  <c r="AQ48" i="4"/>
  <c r="F47" i="16" s="1"/>
  <c r="AQ42" i="4"/>
  <c r="F41" i="16" s="1"/>
  <c r="AQ39" i="4"/>
  <c r="F38" i="16" s="1"/>
  <c r="AQ36" i="4"/>
  <c r="F35" i="16" s="1"/>
  <c r="AQ33" i="4"/>
  <c r="F32" i="16" s="1"/>
  <c r="AQ34" i="4"/>
  <c r="F33" i="16" s="1"/>
  <c r="AQ31" i="4"/>
  <c r="F30" i="16" s="1"/>
  <c r="AQ53" i="4"/>
  <c r="F52" i="16" s="1"/>
  <c r="AQ55" i="4"/>
  <c r="F54" i="16" s="1"/>
  <c r="AQ51" i="4"/>
  <c r="F50" i="16" s="1"/>
  <c r="AQ50" i="4"/>
  <c r="F49" i="16" s="1"/>
  <c r="AQ41" i="4"/>
  <c r="F40" i="16" s="1"/>
  <c r="AQ30" i="4"/>
  <c r="F29" i="16" s="1"/>
  <c r="AQ35" i="4"/>
  <c r="F34" i="16" s="1"/>
  <c r="AQ49" i="4"/>
  <c r="F48" i="16" s="1"/>
  <c r="AQ56" i="4"/>
  <c r="F55" i="16" s="1"/>
  <c r="AQ44" i="4"/>
  <c r="F43" i="16" s="1"/>
  <c r="AQ47" i="4"/>
  <c r="F46" i="16" s="1"/>
  <c r="AQ37" i="4"/>
  <c r="F36" i="16" s="1"/>
  <c r="AQ40" i="4"/>
  <c r="F39" i="16" s="1"/>
  <c r="AQ32" i="4"/>
  <c r="F31" i="16" s="1"/>
  <c r="M18" i="1"/>
  <c r="N18" i="1" s="1"/>
  <c r="M48" i="16"/>
  <c r="M46" i="16"/>
  <c r="M30" i="16"/>
  <c r="M40" i="16"/>
  <c r="M6" i="16"/>
  <c r="M9" i="16"/>
  <c r="AQ4" i="12"/>
  <c r="AQ56" i="14"/>
  <c r="O55" i="16" s="1"/>
  <c r="AQ48" i="14"/>
  <c r="O47" i="16" s="1"/>
  <c r="AQ40" i="14"/>
  <c r="O39" i="16" s="1"/>
  <c r="AQ32" i="14"/>
  <c r="AQ24" i="14"/>
  <c r="AQ16" i="14"/>
  <c r="AQ53" i="14"/>
  <c r="O52" i="16" s="1"/>
  <c r="AQ45" i="14"/>
  <c r="O44" i="16" s="1"/>
  <c r="AQ37" i="14"/>
  <c r="O36" i="16" s="1"/>
  <c r="AQ21" i="14"/>
  <c r="O20" i="16" s="1"/>
  <c r="AQ35" i="14"/>
  <c r="O34" i="16" s="1"/>
  <c r="AQ19" i="14"/>
  <c r="O18" i="16" s="1"/>
  <c r="AQ54" i="14"/>
  <c r="AQ46" i="14"/>
  <c r="O45" i="16" s="1"/>
  <c r="AQ38" i="14"/>
  <c r="AQ30" i="14"/>
  <c r="AQ22" i="14"/>
  <c r="O21" i="16" s="1"/>
  <c r="AQ59" i="14"/>
  <c r="AQ51" i="14"/>
  <c r="O50" i="16" s="1"/>
  <c r="AQ43" i="14"/>
  <c r="O42" i="16" s="1"/>
  <c r="AQ27" i="14"/>
  <c r="AQ52" i="14"/>
  <c r="AQ44" i="14"/>
  <c r="O43" i="16" s="1"/>
  <c r="AQ36" i="14"/>
  <c r="O35" i="16" s="1"/>
  <c r="AQ28" i="14"/>
  <c r="AQ20" i="14"/>
  <c r="O19" i="16" s="1"/>
  <c r="AQ57" i="14"/>
  <c r="AQ49" i="14"/>
  <c r="O48" i="16" s="1"/>
  <c r="AQ41" i="14"/>
  <c r="AQ33" i="14"/>
  <c r="AQ25" i="14"/>
  <c r="O24" i="16" s="1"/>
  <c r="AQ17" i="14"/>
  <c r="O16" i="16" s="1"/>
  <c r="AQ58" i="14"/>
  <c r="AQ50" i="14"/>
  <c r="O49" i="16" s="1"/>
  <c r="AQ42" i="14"/>
  <c r="O41" i="16" s="1"/>
  <c r="AQ34" i="14"/>
  <c r="AQ26" i="14"/>
  <c r="AQ18" i="14"/>
  <c r="AQ55" i="14"/>
  <c r="O54" i="16" s="1"/>
  <c r="AQ47" i="14"/>
  <c r="AQ39" i="14"/>
  <c r="AQ31" i="14"/>
  <c r="O30" i="16" s="1"/>
  <c r="AQ23" i="14"/>
  <c r="AQ13" i="14"/>
  <c r="O12" i="16" s="1"/>
  <c r="AQ9" i="14"/>
  <c r="O8" i="16" s="1"/>
  <c r="AQ5" i="14"/>
  <c r="O4" i="16" s="1"/>
  <c r="AQ14" i="14"/>
  <c r="AQ10" i="14"/>
  <c r="AQ6" i="14"/>
  <c r="AQ8" i="14"/>
  <c r="O7" i="16" s="1"/>
  <c r="AQ15" i="14"/>
  <c r="AQ11" i="14"/>
  <c r="O10" i="16" s="1"/>
  <c r="AQ7" i="14"/>
  <c r="O6" i="16" s="1"/>
  <c r="AQ12" i="14"/>
  <c r="AQ4" i="14"/>
  <c r="I56" i="16"/>
  <c r="I59" i="16"/>
  <c r="I27" i="16"/>
  <c r="I42" i="16"/>
  <c r="I63" i="16"/>
  <c r="I34" i="16"/>
  <c r="I17" i="16"/>
  <c r="I30" i="16"/>
  <c r="I64" i="16"/>
  <c r="AQ4" i="8"/>
  <c r="AQ4" i="3"/>
  <c r="N46" i="16"/>
  <c r="N19" i="16"/>
  <c r="N38" i="16"/>
  <c r="N63" i="16"/>
  <c r="N7" i="16"/>
  <c r="AQ4" i="13"/>
  <c r="C63" i="16"/>
  <c r="C40" i="16"/>
  <c r="C56" i="16"/>
  <c r="C41" i="16"/>
  <c r="C57" i="16"/>
  <c r="C42" i="16"/>
  <c r="C58" i="16"/>
  <c r="C44" i="16"/>
  <c r="C60" i="16"/>
  <c r="C29" i="16"/>
  <c r="C45" i="16"/>
  <c r="C61" i="16"/>
  <c r="C32" i="16"/>
  <c r="C48" i="16"/>
  <c r="C64" i="16"/>
  <c r="C36" i="16"/>
  <c r="C52" i="16"/>
  <c r="C37" i="16"/>
  <c r="C53" i="16"/>
  <c r="C38" i="16"/>
  <c r="C54" i="16"/>
  <c r="C34" i="16"/>
  <c r="C35" i="16"/>
  <c r="C51" i="16"/>
  <c r="C55" i="16"/>
  <c r="C46" i="16"/>
  <c r="C39" i="16"/>
  <c r="C33" i="16"/>
  <c r="C50" i="16"/>
  <c r="C43" i="16"/>
  <c r="C59" i="16"/>
  <c r="C31" i="16"/>
  <c r="C49" i="16"/>
  <c r="C30" i="16"/>
  <c r="C62" i="16"/>
  <c r="C47" i="16"/>
  <c r="C22" i="16"/>
  <c r="C24" i="16"/>
  <c r="C25" i="16"/>
  <c r="C23" i="16"/>
  <c r="C28" i="16"/>
  <c r="C27" i="16"/>
  <c r="C26" i="16"/>
  <c r="C21" i="16"/>
  <c r="C16" i="16"/>
  <c r="C20" i="16"/>
  <c r="C10" i="16"/>
  <c r="C13" i="16"/>
  <c r="C17" i="16"/>
  <c r="C11" i="16"/>
  <c r="C12" i="16"/>
  <c r="C18" i="16"/>
  <c r="C19" i="16"/>
  <c r="C14" i="16"/>
  <c r="C15" i="16"/>
  <c r="C7" i="16"/>
  <c r="C8" i="16"/>
  <c r="C9" i="16"/>
  <c r="C4" i="16"/>
  <c r="C6" i="16"/>
  <c r="C5" i="16"/>
  <c r="AQ4" i="9"/>
  <c r="AW17" i="9" s="1"/>
  <c r="F63" i="16"/>
  <c r="AQ4" i="4"/>
  <c r="H62" i="16"/>
  <c r="H30" i="16"/>
  <c r="H63" i="16"/>
  <c r="H20" i="16"/>
  <c r="H21" i="16"/>
  <c r="H11" i="16"/>
  <c r="H18" i="16"/>
  <c r="H9" i="16"/>
  <c r="H16" i="16"/>
  <c r="AQ4" i="7"/>
  <c r="AQ65" i="10"/>
  <c r="K64" i="16" s="1"/>
  <c r="AQ49" i="10"/>
  <c r="K48" i="16" s="1"/>
  <c r="AQ33" i="10"/>
  <c r="K32" i="16" s="1"/>
  <c r="AQ17" i="10"/>
  <c r="K16" i="16" s="1"/>
  <c r="AQ52" i="10"/>
  <c r="K51" i="16" s="1"/>
  <c r="AQ36" i="10"/>
  <c r="K35" i="16" s="1"/>
  <c r="AQ20" i="10"/>
  <c r="K19" i="16" s="1"/>
  <c r="AQ55" i="10"/>
  <c r="K54" i="16" s="1"/>
  <c r="AQ39" i="10"/>
  <c r="K38" i="16" s="1"/>
  <c r="AQ53" i="10"/>
  <c r="K52" i="16" s="1"/>
  <c r="AQ29" i="10"/>
  <c r="K28" i="16" s="1"/>
  <c r="AQ60" i="10"/>
  <c r="K59" i="16" s="1"/>
  <c r="AQ40" i="10"/>
  <c r="K39" i="16" s="1"/>
  <c r="AQ16" i="10"/>
  <c r="AQ47" i="10"/>
  <c r="K46" i="16" s="1"/>
  <c r="AQ27" i="10"/>
  <c r="K26" i="16" s="1"/>
  <c r="AQ58" i="10"/>
  <c r="K57" i="16" s="1"/>
  <c r="AQ42" i="10"/>
  <c r="K41" i="16" s="1"/>
  <c r="AQ26" i="10"/>
  <c r="K25" i="16" s="1"/>
  <c r="AQ45" i="10"/>
  <c r="K44" i="16" s="1"/>
  <c r="AQ25" i="10"/>
  <c r="K24" i="16" s="1"/>
  <c r="AQ56" i="10"/>
  <c r="K55" i="16" s="1"/>
  <c r="AQ32" i="10"/>
  <c r="K31" i="16" s="1"/>
  <c r="AQ63" i="10"/>
  <c r="K62" i="16" s="1"/>
  <c r="AQ43" i="10"/>
  <c r="K42" i="16" s="1"/>
  <c r="AQ23" i="10"/>
  <c r="K22" i="16" s="1"/>
  <c r="AQ54" i="10"/>
  <c r="K53" i="16" s="1"/>
  <c r="AQ38" i="10"/>
  <c r="AQ22" i="10"/>
  <c r="K21" i="16" s="1"/>
  <c r="AQ61" i="10"/>
  <c r="K60" i="16" s="1"/>
  <c r="AQ41" i="10"/>
  <c r="K40" i="16" s="1"/>
  <c r="AQ21" i="10"/>
  <c r="K20" i="16" s="1"/>
  <c r="AQ48" i="10"/>
  <c r="K47" i="16" s="1"/>
  <c r="AQ28" i="10"/>
  <c r="K27" i="16" s="1"/>
  <c r="AQ59" i="10"/>
  <c r="K58" i="16" s="1"/>
  <c r="AQ35" i="10"/>
  <c r="K34" i="16" s="1"/>
  <c r="AQ19" i="10"/>
  <c r="K18" i="16" s="1"/>
  <c r="AQ50" i="10"/>
  <c r="K49" i="16" s="1"/>
  <c r="AQ34" i="10"/>
  <c r="K33" i="16" s="1"/>
  <c r="AQ18" i="10"/>
  <c r="K17" i="16" s="1"/>
  <c r="AQ57" i="10"/>
  <c r="K56" i="16" s="1"/>
  <c r="AQ37" i="10"/>
  <c r="K36" i="16" s="1"/>
  <c r="AQ64" i="10"/>
  <c r="K63" i="16" s="1"/>
  <c r="AQ44" i="10"/>
  <c r="K43" i="16" s="1"/>
  <c r="AQ24" i="10"/>
  <c r="K23" i="16" s="1"/>
  <c r="AQ51" i="10"/>
  <c r="K50" i="16" s="1"/>
  <c r="AQ31" i="10"/>
  <c r="K30" i="16" s="1"/>
  <c r="AQ62" i="10"/>
  <c r="K61" i="16" s="1"/>
  <c r="AQ46" i="10"/>
  <c r="K45" i="16" s="1"/>
  <c r="AQ30" i="10"/>
  <c r="AQ13" i="10"/>
  <c r="K12" i="16" s="1"/>
  <c r="AQ15" i="10"/>
  <c r="K14" i="16" s="1"/>
  <c r="AQ12" i="10"/>
  <c r="K11" i="16" s="1"/>
  <c r="AQ14" i="10"/>
  <c r="K13" i="16" s="1"/>
  <c r="AQ9" i="10"/>
  <c r="K8" i="16" s="1"/>
  <c r="AQ8" i="10"/>
  <c r="K7" i="16" s="1"/>
  <c r="AQ10" i="10"/>
  <c r="K9" i="16" s="1"/>
  <c r="AQ11" i="10"/>
  <c r="K10" i="16" s="1"/>
  <c r="AQ6" i="10"/>
  <c r="K5" i="16" s="1"/>
  <c r="AQ7" i="10"/>
  <c r="K6" i="16" s="1"/>
  <c r="AQ5" i="10"/>
  <c r="K4" i="16" s="1"/>
  <c r="AQ4" i="10"/>
  <c r="E39" i="16"/>
  <c r="E42" i="16"/>
  <c r="E64" i="16"/>
  <c r="E62" i="16"/>
  <c r="E49" i="16"/>
  <c r="E33" i="16"/>
  <c r="E56" i="16"/>
  <c r="E38" i="16"/>
  <c r="E28" i="16"/>
  <c r="E8" i="16"/>
  <c r="E7" i="16"/>
  <c r="AQ4" i="5"/>
  <c r="AQ53" i="11"/>
  <c r="L52" i="16" s="1"/>
  <c r="AQ37" i="11"/>
  <c r="AQ21" i="11"/>
  <c r="L20" i="16" s="1"/>
  <c r="AQ56" i="11"/>
  <c r="L55" i="16" s="1"/>
  <c r="AQ40" i="11"/>
  <c r="AQ24" i="11"/>
  <c r="L23" i="16" s="1"/>
  <c r="AQ59" i="11"/>
  <c r="L58" i="16" s="1"/>
  <c r="AQ43" i="11"/>
  <c r="L42" i="16" s="1"/>
  <c r="AQ27" i="11"/>
  <c r="AQ58" i="11"/>
  <c r="L57" i="16" s="1"/>
  <c r="AQ42" i="11"/>
  <c r="AQ26" i="11"/>
  <c r="AQ65" i="11"/>
  <c r="L64" i="16" s="1"/>
  <c r="AQ49" i="11"/>
  <c r="L48" i="16" s="1"/>
  <c r="AQ33" i="11"/>
  <c r="L32" i="16" s="1"/>
  <c r="AQ52" i="11"/>
  <c r="L51" i="16" s="1"/>
  <c r="AQ36" i="11"/>
  <c r="L35" i="16" s="1"/>
  <c r="AQ20" i="11"/>
  <c r="AQ55" i="11"/>
  <c r="L54" i="16" s="1"/>
  <c r="AQ39" i="11"/>
  <c r="L38" i="16" s="1"/>
  <c r="AQ23" i="11"/>
  <c r="L22" i="16" s="1"/>
  <c r="AQ54" i="11"/>
  <c r="L53" i="16" s="1"/>
  <c r="AQ38" i="11"/>
  <c r="AQ22" i="11"/>
  <c r="L21" i="16" s="1"/>
  <c r="AQ61" i="11"/>
  <c r="L60" i="16" s="1"/>
  <c r="AQ45" i="11"/>
  <c r="L44" i="16" s="1"/>
  <c r="AQ29" i="11"/>
  <c r="L28" i="16" s="1"/>
  <c r="AQ64" i="11"/>
  <c r="L63" i="16" s="1"/>
  <c r="AQ48" i="11"/>
  <c r="AQ32" i="11"/>
  <c r="AQ51" i="11"/>
  <c r="L50" i="16" s="1"/>
  <c r="AQ35" i="11"/>
  <c r="L34" i="16" s="1"/>
  <c r="AQ50" i="11"/>
  <c r="AQ34" i="11"/>
  <c r="AQ57" i="11"/>
  <c r="L56" i="16" s="1"/>
  <c r="AQ41" i="11"/>
  <c r="L40" i="16" s="1"/>
  <c r="AQ25" i="11"/>
  <c r="L24" i="16" s="1"/>
  <c r="AQ60" i="11"/>
  <c r="L59" i="16" s="1"/>
  <c r="AQ44" i="11"/>
  <c r="L43" i="16" s="1"/>
  <c r="AQ28" i="11"/>
  <c r="AQ63" i="11"/>
  <c r="L62" i="16" s="1"/>
  <c r="AQ47" i="11"/>
  <c r="L46" i="16" s="1"/>
  <c r="AQ31" i="11"/>
  <c r="L30" i="16" s="1"/>
  <c r="AQ62" i="11"/>
  <c r="AQ46" i="11"/>
  <c r="L45" i="16" s="1"/>
  <c r="AQ30" i="11"/>
  <c r="L29" i="16" s="1"/>
  <c r="AQ4" i="11"/>
  <c r="AW25" i="13" l="1"/>
  <c r="AW65" i="13"/>
  <c r="N45" i="16"/>
  <c r="AW59" i="13"/>
  <c r="AW45" i="13"/>
  <c r="M28" i="16"/>
  <c r="AW31" i="12"/>
  <c r="AW31" i="13"/>
  <c r="O14" i="16"/>
  <c r="AW17" i="14"/>
  <c r="I16" i="16"/>
  <c r="N16" i="16"/>
  <c r="AW17" i="13"/>
  <c r="L49" i="16"/>
  <c r="AW63" i="11"/>
  <c r="N59" i="16"/>
  <c r="J34" i="16"/>
  <c r="AW35" i="9"/>
  <c r="I20" i="16"/>
  <c r="AW21" i="8"/>
  <c r="N20" i="16"/>
  <c r="AW41" i="8"/>
  <c r="M50" i="16"/>
  <c r="AW55" i="12"/>
  <c r="O53" i="16"/>
  <c r="AW55" i="14"/>
  <c r="N41" i="16"/>
  <c r="AW41" i="11"/>
  <c r="AW27" i="14"/>
  <c r="M39" i="16"/>
  <c r="AW41" i="12"/>
  <c r="O38" i="16"/>
  <c r="AW41" i="14"/>
  <c r="N40" i="16"/>
  <c r="M13" i="16"/>
  <c r="L13" i="16"/>
  <c r="AW27" i="11"/>
  <c r="N26" i="16"/>
  <c r="AW61" i="14"/>
  <c r="L61" i="16"/>
  <c r="AW65" i="11"/>
  <c r="O33" i="16"/>
  <c r="O5" i="16"/>
  <c r="I5" i="16"/>
  <c r="AW19" i="11"/>
  <c r="O22" i="16"/>
  <c r="L25" i="16"/>
  <c r="N11" i="16"/>
  <c r="I15" i="16"/>
  <c r="AW29" i="8"/>
  <c r="N42" i="16"/>
  <c r="M35" i="16"/>
  <c r="AW49" i="11"/>
  <c r="I35" i="16"/>
  <c r="AW49" i="8"/>
  <c r="N48" i="16"/>
  <c r="N34" i="16"/>
  <c r="N53" i="16"/>
  <c r="I52" i="16"/>
  <c r="AW53" i="8"/>
  <c r="N52" i="16"/>
  <c r="N39" i="16"/>
  <c r="O25" i="16"/>
  <c r="I25" i="16"/>
  <c r="J25" i="16"/>
  <c r="AW39" i="9"/>
  <c r="M25" i="16"/>
  <c r="N36" i="16"/>
  <c r="I11" i="16"/>
  <c r="AW25" i="8"/>
  <c r="J11" i="16"/>
  <c r="AW25" i="9"/>
  <c r="O11" i="16"/>
  <c r="N10" i="16"/>
  <c r="O31" i="16"/>
  <c r="M31" i="16"/>
  <c r="M45" i="16"/>
  <c r="AW59" i="12"/>
  <c r="L31" i="16"/>
  <c r="O58" i="16"/>
  <c r="N58" i="16"/>
  <c r="N44" i="16"/>
  <c r="L16" i="16"/>
  <c r="I23" i="16"/>
  <c r="J9" i="16"/>
  <c r="AW65" i="12"/>
  <c r="O23" i="16"/>
  <c r="J23" i="16"/>
  <c r="M23" i="16"/>
  <c r="N25" i="16"/>
  <c r="N6" i="16"/>
  <c r="AW55" i="9"/>
  <c r="N62" i="16"/>
  <c r="O51" i="16"/>
  <c r="N54" i="16"/>
  <c r="L41" i="16"/>
  <c r="L27" i="16"/>
  <c r="N13" i="16"/>
  <c r="N27" i="16"/>
  <c r="O27" i="16"/>
  <c r="O13" i="16"/>
  <c r="J27" i="16"/>
  <c r="AW41" i="9"/>
  <c r="L26" i="16"/>
  <c r="M26" i="16"/>
  <c r="N12" i="16"/>
  <c r="AW61" i="12"/>
  <c r="N64" i="16"/>
  <c r="I60" i="16"/>
  <c r="AW61" i="8"/>
  <c r="L47" i="16"/>
  <c r="AW61" i="9"/>
  <c r="N47" i="16"/>
  <c r="L33" i="16"/>
  <c r="O46" i="16"/>
  <c r="N43" i="16"/>
  <c r="L19" i="16"/>
  <c r="M19" i="16"/>
  <c r="O32" i="16"/>
  <c r="N32" i="16"/>
  <c r="N21" i="16"/>
  <c r="J18" i="16"/>
  <c r="L5" i="16"/>
  <c r="M18" i="16"/>
  <c r="AW19" i="12"/>
  <c r="O17" i="16"/>
  <c r="N5" i="16"/>
  <c r="N9" i="16"/>
  <c r="L9" i="16"/>
  <c r="N55" i="16"/>
  <c r="AW65" i="14"/>
  <c r="O37" i="16"/>
  <c r="N37" i="16"/>
  <c r="L37" i="16"/>
  <c r="K37" i="16"/>
  <c r="AW51" i="10"/>
  <c r="M37" i="16"/>
  <c r="O26" i="16"/>
  <c r="N24" i="16"/>
  <c r="M36" i="16"/>
  <c r="L36" i="16"/>
  <c r="M22" i="16"/>
  <c r="I9" i="16"/>
  <c r="O9" i="16"/>
  <c r="N22" i="16"/>
  <c r="N8" i="16"/>
  <c r="AQ66" i="14"/>
  <c r="O57" i="16"/>
  <c r="M57" i="16"/>
  <c r="AQ66" i="12"/>
  <c r="AQ66" i="9"/>
  <c r="O56" i="16"/>
  <c r="N56" i="16"/>
  <c r="AQ66" i="4"/>
  <c r="O15" i="16"/>
  <c r="O29" i="16"/>
  <c r="K29" i="16"/>
  <c r="O40" i="16"/>
  <c r="N30" i="16"/>
  <c r="M33" i="16"/>
  <c r="L39" i="16"/>
  <c r="K15" i="16"/>
  <c r="AW29" i="10"/>
  <c r="I19" i="16"/>
  <c r="J28" i="16"/>
  <c r="M15" i="16"/>
  <c r="L15" i="16"/>
  <c r="N28" i="16"/>
  <c r="AQ66" i="5"/>
  <c r="E3" i="16"/>
  <c r="E65" i="16" s="1"/>
  <c r="C3" i="16"/>
  <c r="C65" i="16" s="1"/>
  <c r="O3" i="16"/>
  <c r="F3" i="16"/>
  <c r="F65" i="16" s="1"/>
  <c r="D3" i="16"/>
  <c r="D65" i="16" s="1"/>
  <c r="AQ66" i="3"/>
  <c r="AQ66" i="7"/>
  <c r="H3" i="16"/>
  <c r="H65" i="16" s="1"/>
  <c r="J3" i="16"/>
  <c r="N3" i="16"/>
  <c r="AQ66" i="13"/>
  <c r="I3" i="16"/>
  <c r="M3" i="16"/>
  <c r="L3" i="16"/>
  <c r="AQ66" i="11"/>
  <c r="K3" i="16"/>
  <c r="AQ66" i="10"/>
  <c r="O65" i="16" l="1"/>
  <c r="N65" i="16"/>
  <c r="M65" i="16"/>
  <c r="K65" i="16"/>
  <c r="J65" i="16"/>
  <c r="L65" i="16"/>
  <c r="AF7" i="8" l="1"/>
  <c r="AN7" i="8" s="1"/>
  <c r="AU17" i="8" s="1"/>
  <c r="AG7" i="8"/>
  <c r="AO7" i="8" s="1"/>
  <c r="AV17" i="8" s="1"/>
  <c r="AO66" i="8" l="1"/>
  <c r="J21" i="1" s="1"/>
  <c r="J31" i="1" s="1"/>
  <c r="AP7" i="8"/>
  <c r="AN66" i="8"/>
  <c r="I21" i="1" s="1"/>
  <c r="AQ7" i="8"/>
  <c r="AW17" i="8" s="1"/>
  <c r="M21" i="1" l="1"/>
  <c r="I31" i="1"/>
  <c r="I6" i="16"/>
  <c r="I65" i="16" s="1"/>
  <c r="AQ66" i="8"/>
  <c r="N21" i="1" l="1"/>
  <c r="M31" i="1"/>
  <c r="N31" i="1" s="1"/>
</calcChain>
</file>

<file path=xl/sharedStrings.xml><?xml version="1.0" encoding="utf-8"?>
<sst xmlns="http://schemas.openxmlformats.org/spreadsheetml/2006/main" count="5420" uniqueCount="667">
  <si>
    <r>
      <t xml:space="preserve">State wise BMC wise </t>
    </r>
    <r>
      <rPr>
        <b/>
        <sz val="10"/>
        <color rgb="FF00B050"/>
        <rFont val="Calibri"/>
        <family val="2"/>
        <scheme val="minor"/>
      </rPr>
      <t>Gain/</t>
    </r>
    <r>
      <rPr>
        <b/>
        <sz val="10"/>
        <color rgb="FFFF0000"/>
        <rFont val="Calibri"/>
        <family val="2"/>
        <scheme val="minor"/>
      </rPr>
      <t>(Loss)</t>
    </r>
  </si>
  <si>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</si>
  <si>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</si>
  <si>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</si>
  <si>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</si>
  <si>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</si>
  <si>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</si>
  <si>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</si>
  <si>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</si>
  <si>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FAT Rate</t>
  </si>
  <si>
    <t>SNF Rate</t>
  </si>
  <si>
    <t>Amount</t>
  </si>
  <si>
    <t>Loss/gain per Kg</t>
  </si>
  <si>
    <t>Day book received till</t>
  </si>
  <si>
    <t>Remarks</t>
  </si>
  <si>
    <t>BR</t>
  </si>
  <si>
    <t>Daya BMC</t>
  </si>
  <si>
    <t>Majhaul</t>
  </si>
  <si>
    <t>Sahibpur Kamal</t>
  </si>
  <si>
    <t>Dalsingsarai</t>
  </si>
  <si>
    <t>Musrigharari</t>
  </si>
  <si>
    <t>Dumrao</t>
  </si>
  <si>
    <t>Bihar Daya BMCTotal</t>
  </si>
  <si>
    <t>SP BMC</t>
  </si>
  <si>
    <t>Laldiyara</t>
  </si>
  <si>
    <t>Asarganj</t>
  </si>
  <si>
    <t>SP RMC</t>
  </si>
  <si>
    <t>Mahadatpur</t>
  </si>
  <si>
    <t>Sonvarsha</t>
  </si>
  <si>
    <t>Aariya</t>
  </si>
  <si>
    <t>Teghra</t>
  </si>
  <si>
    <t>Halsi</t>
  </si>
  <si>
    <t>Bihar Service Provider Total</t>
  </si>
  <si>
    <t>JH</t>
  </si>
  <si>
    <t>2001</t>
  </si>
  <si>
    <t>Itki</t>
  </si>
  <si>
    <t>2002</t>
  </si>
  <si>
    <t>Pali</t>
  </si>
  <si>
    <t>2003</t>
  </si>
  <si>
    <t>Hisri Thakurgaon</t>
  </si>
  <si>
    <t>2004</t>
  </si>
  <si>
    <t>Choreya</t>
  </si>
  <si>
    <t>2005</t>
  </si>
  <si>
    <t>Baski</t>
  </si>
  <si>
    <t>2006</t>
  </si>
  <si>
    <t>Ormanjhi Rmc</t>
  </si>
  <si>
    <t>2007</t>
  </si>
  <si>
    <t>Piragutu Rmc</t>
  </si>
  <si>
    <t>Jharkhand Total</t>
  </si>
  <si>
    <t>WB</t>
  </si>
  <si>
    <t>B020</t>
  </si>
  <si>
    <t>Arasul</t>
  </si>
  <si>
    <t>B022</t>
  </si>
  <si>
    <t>Karnasubarna</t>
  </si>
  <si>
    <t>B004</t>
  </si>
  <si>
    <t>Haripal</t>
  </si>
  <si>
    <t>B014</t>
  </si>
  <si>
    <t>Kaochmali</t>
  </si>
  <si>
    <t>B016</t>
  </si>
  <si>
    <t>Uchalan</t>
  </si>
  <si>
    <t>B023</t>
  </si>
  <si>
    <t>Lohar</t>
  </si>
  <si>
    <t>West Bengal Total</t>
  </si>
  <si>
    <t>Manjhaul Bmc</t>
  </si>
  <si>
    <t>Date</t>
  </si>
  <si>
    <t>Shift</t>
  </si>
  <si>
    <t>OB</t>
  </si>
  <si>
    <t>Milk from MPG in Ltr</t>
  </si>
  <si>
    <t>Transfer from other BMC/RMC</t>
  </si>
  <si>
    <t>Total Milk Receipt in Kg</t>
  </si>
  <si>
    <t>Tanker Dispatch Details</t>
  </si>
  <si>
    <t>Plant Receipt</t>
  </si>
  <si>
    <t>CB</t>
  </si>
  <si>
    <t>Loss/(Gain)</t>
  </si>
  <si>
    <t xml:space="preserve"> Qty KG</t>
  </si>
  <si>
    <t>Fat%</t>
  </si>
  <si>
    <t>Snf%</t>
  </si>
  <si>
    <t>FAT Kg</t>
  </si>
  <si>
    <t>Qty Ltr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</si>
  <si>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</si>
  <si>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</si>
  <si>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</si>
  <si>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</si>
  <si>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</si>
  <si>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</si>
  <si>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</si>
  <si>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</si>
  <si>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M</t>
  </si>
  <si>
    <t>E</t>
  </si>
  <si>
    <t>S Kamal Bmc</t>
  </si>
  <si>
    <t>Musrighrari Bmc</t>
  </si>
  <si>
    <t>TOTAL-</t>
  </si>
  <si>
    <t>Simri Bmc</t>
  </si>
  <si>
    <t>Halsi Bmc</t>
  </si>
  <si>
    <t xml:space="preserve"> </t>
  </si>
  <si>
    <t>Buxar</t>
  </si>
  <si>
    <t>Laldiyara Bmc</t>
  </si>
  <si>
    <t>Asarganj Bmc</t>
  </si>
  <si>
    <t>Pakra Bmc</t>
  </si>
  <si>
    <t>Sonevarsa Bmc</t>
  </si>
  <si>
    <t>Araria Bmc</t>
  </si>
  <si>
    <t>Teghra Bmc</t>
  </si>
  <si>
    <t>Bhandra</t>
  </si>
  <si>
    <t>2008</t>
  </si>
  <si>
    <t>Kalyanpur</t>
  </si>
  <si>
    <t>Own BMC</t>
  </si>
  <si>
    <t>Service Provider BMC</t>
  </si>
  <si>
    <t>Total</t>
  </si>
  <si>
    <t>Kalyanpur Bmc</t>
  </si>
  <si>
    <t>B027</t>
  </si>
  <si>
    <t>Mondalgram</t>
  </si>
  <si>
    <t>Challan Missing</t>
  </si>
  <si>
    <t>Milk reject</t>
  </si>
  <si>
    <t>Out Side sell</t>
  </si>
  <si>
    <t>Alauli Bmc</t>
  </si>
  <si>
    <t>Alauli</t>
  </si>
  <si>
    <t>1001</t>
  </si>
  <si>
    <t>1011</t>
  </si>
  <si>
    <t>1012</t>
  </si>
  <si>
    <t>1013</t>
  </si>
  <si>
    <t>1014</t>
  </si>
  <si>
    <t>1002</t>
  </si>
  <si>
    <t>1003</t>
  </si>
  <si>
    <t xml:space="preserve">1006 </t>
  </si>
  <si>
    <t>1007</t>
  </si>
  <si>
    <t>1008</t>
  </si>
  <si>
    <t>1009</t>
  </si>
  <si>
    <t>1054</t>
  </si>
  <si>
    <t>1053</t>
  </si>
  <si>
    <t>B028</t>
  </si>
  <si>
    <t>Bachra</t>
  </si>
  <si>
    <t>2009</t>
  </si>
  <si>
    <t>Chanho</t>
  </si>
  <si>
    <t>1048</t>
  </si>
  <si>
    <t>1056</t>
  </si>
  <si>
    <t>Chautham Bmc</t>
  </si>
  <si>
    <t>Chautham</t>
  </si>
  <si>
    <t>Mathani Bmc</t>
  </si>
  <si>
    <t>1055</t>
  </si>
  <si>
    <t>B029</t>
  </si>
  <si>
    <t>Joyrampur</t>
  </si>
  <si>
    <t>B026</t>
  </si>
  <si>
    <t>Deulpara</t>
  </si>
  <si>
    <t>B030</t>
  </si>
  <si>
    <t>Natungram</t>
  </si>
  <si>
    <t>1057</t>
  </si>
  <si>
    <t>Warisnagar</t>
  </si>
  <si>
    <t>Warisnagar Bmc</t>
  </si>
  <si>
    <t>1058</t>
  </si>
  <si>
    <t>Hasanpur</t>
  </si>
  <si>
    <t>1010</t>
  </si>
  <si>
    <t>Parbatta</t>
  </si>
  <si>
    <t>1059</t>
  </si>
  <si>
    <t>Gopalpur </t>
  </si>
  <si>
    <t>Hasanpur Bmc</t>
  </si>
  <si>
    <t>Parbatta Bmc</t>
  </si>
  <si>
    <t>Gopalpur Bmc</t>
  </si>
  <si>
    <t>B031</t>
  </si>
  <si>
    <t>kandi</t>
  </si>
  <si>
    <t>Matihani</t>
  </si>
  <si>
    <t>Singhia </t>
  </si>
  <si>
    <t>SInghia Bmc</t>
  </si>
  <si>
    <t>1064</t>
  </si>
  <si>
    <t>Mahua Bmc</t>
  </si>
  <si>
    <t>Bachhwara Bmc</t>
  </si>
  <si>
    <t>Bachhwara</t>
  </si>
  <si>
    <t>Mahua</t>
  </si>
  <si>
    <t>0</t>
  </si>
  <si>
    <t>5239</t>
  </si>
  <si>
    <t>7181</t>
  </si>
  <si>
    <t>6102</t>
  </si>
  <si>
    <t>9071</t>
  </si>
  <si>
    <t>6545</t>
  </si>
  <si>
    <t>B032</t>
  </si>
  <si>
    <t>Negun</t>
  </si>
  <si>
    <t>3461</t>
  </si>
  <si>
    <t>Gaighat</t>
  </si>
  <si>
    <t>Rej of Chautham</t>
  </si>
  <si>
    <t>8086/81658</t>
  </si>
  <si>
    <t>5848</t>
  </si>
  <si>
    <t>81656</t>
  </si>
  <si>
    <t xml:space="preserve">Munger </t>
  </si>
  <si>
    <t>81657</t>
  </si>
  <si>
    <t>Arariya</t>
  </si>
  <si>
    <t>8086</t>
  </si>
  <si>
    <t>81658</t>
  </si>
  <si>
    <t>81659</t>
  </si>
  <si>
    <t>00</t>
  </si>
  <si>
    <t>86705</t>
  </si>
  <si>
    <t>Hajipur</t>
  </si>
  <si>
    <t>86706</t>
  </si>
  <si>
    <t>Itc munger</t>
  </si>
  <si>
    <t>86707</t>
  </si>
  <si>
    <t>86708</t>
  </si>
  <si>
    <t>Skamal</t>
  </si>
  <si>
    <t>Mahdatpur</t>
  </si>
  <si>
    <t>8581/85464</t>
  </si>
  <si>
    <t>8581/85465</t>
  </si>
  <si>
    <t>86458</t>
  </si>
  <si>
    <t>86459</t>
  </si>
  <si>
    <t>8086/8581</t>
  </si>
  <si>
    <t>86460/461</t>
  </si>
  <si>
    <t>86462</t>
  </si>
  <si>
    <t>86463</t>
  </si>
  <si>
    <t>86464</t>
  </si>
  <si>
    <t>89380</t>
  </si>
  <si>
    <t>87788</t>
  </si>
  <si>
    <t>87789</t>
  </si>
  <si>
    <t>Munger</t>
  </si>
  <si>
    <t>87790</t>
  </si>
  <si>
    <t>9071/3461</t>
  </si>
  <si>
    <t>87791/92</t>
  </si>
  <si>
    <t>Muzaffurpur/Hasanpur</t>
  </si>
  <si>
    <t>Singhiya</t>
  </si>
  <si>
    <t>87611</t>
  </si>
  <si>
    <t>87612</t>
  </si>
  <si>
    <t>87855</t>
  </si>
  <si>
    <t>Muzaffurpur</t>
  </si>
  <si>
    <t>87856</t>
  </si>
  <si>
    <t>Manjhaul</t>
  </si>
  <si>
    <t>87857</t>
  </si>
  <si>
    <t>2950</t>
  </si>
  <si>
    <t>87610</t>
  </si>
  <si>
    <t>5239/86745</t>
  </si>
  <si>
    <t>Route Vechicle</t>
  </si>
  <si>
    <t>Muzaffarpur</t>
  </si>
  <si>
    <t>86666</t>
  </si>
  <si>
    <t>itc munger</t>
  </si>
  <si>
    <t>86667</t>
  </si>
  <si>
    <t>86668</t>
  </si>
  <si>
    <t>86669</t>
  </si>
  <si>
    <t>86742</t>
  </si>
  <si>
    <t>1842</t>
  </si>
  <si>
    <t>86743</t>
  </si>
  <si>
    <t>86744</t>
  </si>
  <si>
    <t>86745</t>
  </si>
  <si>
    <t>skamal</t>
  </si>
  <si>
    <t>86746</t>
  </si>
  <si>
    <t>89379</t>
  </si>
  <si>
    <t>Kaliyanpur</t>
  </si>
  <si>
    <t>87593</t>
  </si>
  <si>
    <t>87594</t>
  </si>
  <si>
    <t>87595</t>
  </si>
  <si>
    <t>87596</t>
  </si>
  <si>
    <t>0111</t>
  </si>
  <si>
    <t>88784</t>
  </si>
  <si>
    <t>7300</t>
  </si>
  <si>
    <t>88785</t>
  </si>
  <si>
    <t>88786</t>
  </si>
  <si>
    <t>88787</t>
  </si>
  <si>
    <t>88788</t>
  </si>
  <si>
    <t>9250</t>
  </si>
  <si>
    <t>85016</t>
  </si>
  <si>
    <t>Warishnagar</t>
  </si>
  <si>
    <t>85017</t>
  </si>
  <si>
    <t>85018</t>
  </si>
  <si>
    <t>7770</t>
  </si>
  <si>
    <t>85350</t>
  </si>
  <si>
    <t>89051</t>
  </si>
  <si>
    <t>85310</t>
  </si>
  <si>
    <t>85311</t>
  </si>
  <si>
    <t>85312</t>
  </si>
  <si>
    <t>Mahuwa</t>
  </si>
  <si>
    <t>85313</t>
  </si>
  <si>
    <t>Bachwara</t>
  </si>
  <si>
    <t>6545/89379</t>
  </si>
  <si>
    <t>3542</t>
  </si>
  <si>
    <t>88724</t>
  </si>
  <si>
    <t>85151</t>
  </si>
  <si>
    <t>88301</t>
  </si>
  <si>
    <t>87961</t>
  </si>
  <si>
    <t>7035</t>
  </si>
  <si>
    <t>71636</t>
  </si>
  <si>
    <t>0150</t>
  </si>
  <si>
    <t>71637</t>
  </si>
  <si>
    <t>71638</t>
  </si>
  <si>
    <t>Rej of Asarganj</t>
  </si>
  <si>
    <t>87205</t>
  </si>
  <si>
    <t>9812</t>
  </si>
  <si>
    <t>87207</t>
  </si>
  <si>
    <t>6160</t>
  </si>
  <si>
    <t>87208</t>
  </si>
  <si>
    <t>87209</t>
  </si>
  <si>
    <t>6160/0807</t>
  </si>
  <si>
    <t>87210/211</t>
  </si>
  <si>
    <t>87212</t>
  </si>
  <si>
    <t>0807</t>
  </si>
  <si>
    <t>87213</t>
  </si>
  <si>
    <t>87136</t>
  </si>
  <si>
    <t>1500</t>
  </si>
  <si>
    <t>87137</t>
  </si>
  <si>
    <t>Gaya</t>
  </si>
  <si>
    <t>87138</t>
  </si>
  <si>
    <t>6263</t>
  </si>
  <si>
    <t>87200</t>
  </si>
  <si>
    <t>1842/68222</t>
  </si>
  <si>
    <t>1842/5239</t>
  </si>
  <si>
    <t>68223/87326</t>
  </si>
  <si>
    <t>68224</t>
  </si>
  <si>
    <t>86801</t>
  </si>
  <si>
    <t>86802</t>
  </si>
  <si>
    <t>4974</t>
  </si>
  <si>
    <t>83311</t>
  </si>
  <si>
    <t>Sonversa</t>
  </si>
  <si>
    <t>83312</t>
  </si>
  <si>
    <t>83313</t>
  </si>
  <si>
    <t>83314</t>
  </si>
  <si>
    <t>Gopalpur</t>
  </si>
  <si>
    <t>0316</t>
  </si>
  <si>
    <t>75263</t>
  </si>
  <si>
    <t>8528</t>
  </si>
  <si>
    <t>75264</t>
  </si>
  <si>
    <t>75265</t>
  </si>
  <si>
    <t>75266</t>
  </si>
  <si>
    <t>75267</t>
  </si>
  <si>
    <t>75268</t>
  </si>
  <si>
    <t>8581</t>
  </si>
  <si>
    <t>85464</t>
  </si>
  <si>
    <t>85465</t>
  </si>
  <si>
    <t>teghra</t>
  </si>
  <si>
    <t>7181/86705</t>
  </si>
  <si>
    <t>1946</t>
  </si>
  <si>
    <t>67950</t>
  </si>
  <si>
    <t>0906</t>
  </si>
  <si>
    <t>70925</t>
  </si>
  <si>
    <t>64127</t>
  </si>
  <si>
    <t>62026</t>
  </si>
  <si>
    <t>62027</t>
  </si>
  <si>
    <t>64128</t>
  </si>
  <si>
    <t>86665</t>
  </si>
  <si>
    <t>6545/89382</t>
  </si>
  <si>
    <t>87793</t>
  </si>
  <si>
    <t>87794</t>
  </si>
  <si>
    <t xml:space="preserve">Muzaffurpur </t>
  </si>
  <si>
    <t>87795</t>
  </si>
  <si>
    <t>87797</t>
  </si>
  <si>
    <t>87798</t>
  </si>
  <si>
    <t>87029</t>
  </si>
  <si>
    <t>87858</t>
  </si>
  <si>
    <t>87030</t>
  </si>
  <si>
    <t>87031</t>
  </si>
  <si>
    <t>87032</t>
  </si>
  <si>
    <t>86670</t>
  </si>
  <si>
    <t>86672</t>
  </si>
  <si>
    <t>86673</t>
  </si>
  <si>
    <t>3461/89381</t>
  </si>
  <si>
    <t>86747</t>
  </si>
  <si>
    <t>86748</t>
  </si>
  <si>
    <t>86749</t>
  </si>
  <si>
    <t>89381</t>
  </si>
  <si>
    <t>89382</t>
  </si>
  <si>
    <t>87597</t>
  </si>
  <si>
    <t>87598</t>
  </si>
  <si>
    <t>87599</t>
  </si>
  <si>
    <t>88789</t>
  </si>
  <si>
    <t>88790</t>
  </si>
  <si>
    <t>88791</t>
  </si>
  <si>
    <t>88792</t>
  </si>
  <si>
    <t>0111/7300</t>
  </si>
  <si>
    <t>88793/88794</t>
  </si>
  <si>
    <t>Muzaffarpur/Hajipur</t>
  </si>
  <si>
    <t>85019</t>
  </si>
  <si>
    <t>85314</t>
  </si>
  <si>
    <t>85315</t>
  </si>
  <si>
    <t>88302</t>
  </si>
  <si>
    <t>88303</t>
  </si>
  <si>
    <t>88304</t>
  </si>
  <si>
    <t>88305</t>
  </si>
  <si>
    <t>87962</t>
  </si>
  <si>
    <t>87963</t>
  </si>
  <si>
    <t>87964</t>
  </si>
  <si>
    <t>71639</t>
  </si>
  <si>
    <t>71640</t>
  </si>
  <si>
    <t>83315</t>
  </si>
  <si>
    <t>83316</t>
  </si>
  <si>
    <t>75269</t>
  </si>
  <si>
    <t>75270</t>
  </si>
  <si>
    <t>85466</t>
  </si>
  <si>
    <t>8581/85466</t>
  </si>
  <si>
    <t>86465</t>
  </si>
  <si>
    <t>86466</t>
  </si>
  <si>
    <t>86467</t>
  </si>
  <si>
    <t>86468</t>
  </si>
  <si>
    <t>86469</t>
  </si>
  <si>
    <t>86470</t>
  </si>
  <si>
    <t>81660</t>
  </si>
  <si>
    <t>81661</t>
  </si>
  <si>
    <t>81662</t>
  </si>
  <si>
    <t>87600</t>
  </si>
  <si>
    <t>86601</t>
  </si>
  <si>
    <t>85020</t>
  </si>
  <si>
    <t>85022</t>
  </si>
  <si>
    <t>000</t>
  </si>
  <si>
    <t>85021</t>
  </si>
  <si>
    <t>85316</t>
  </si>
  <si>
    <t>71641</t>
  </si>
  <si>
    <t>87139</t>
  </si>
  <si>
    <t>87141</t>
  </si>
  <si>
    <t>87199</t>
  </si>
  <si>
    <t>87142</t>
  </si>
  <si>
    <t>87143</t>
  </si>
  <si>
    <t>87144</t>
  </si>
  <si>
    <t>83317</t>
  </si>
  <si>
    <t>83318</t>
  </si>
  <si>
    <t>75271</t>
  </si>
  <si>
    <t>75272</t>
  </si>
  <si>
    <t>75273</t>
  </si>
  <si>
    <t>85467</t>
  </si>
  <si>
    <t>81663</t>
  </si>
  <si>
    <t>62028</t>
  </si>
  <si>
    <t>64656</t>
  </si>
  <si>
    <t>62029</t>
  </si>
  <si>
    <t>64657</t>
  </si>
  <si>
    <t>62030</t>
  </si>
  <si>
    <t>Report till updated  11th June 26</t>
  </si>
  <si>
    <t>2950/87032</t>
  </si>
  <si>
    <t>83492</t>
  </si>
  <si>
    <t>87859</t>
  </si>
  <si>
    <t>87050</t>
  </si>
  <si>
    <t>87861</t>
  </si>
  <si>
    <t>86674</t>
  </si>
  <si>
    <t>86675</t>
  </si>
  <si>
    <t>80434</t>
  </si>
  <si>
    <t>80435</t>
  </si>
  <si>
    <t>5239/80434</t>
  </si>
  <si>
    <t>86750</t>
  </si>
  <si>
    <t>7181/5239</t>
  </si>
  <si>
    <t>80351/80352</t>
  </si>
  <si>
    <t>80353</t>
  </si>
  <si>
    <t>Route vechicle/80354</t>
  </si>
  <si>
    <t>skamal/itc munger</t>
  </si>
  <si>
    <t>88795</t>
  </si>
  <si>
    <t>88796</t>
  </si>
  <si>
    <t>89052</t>
  </si>
  <si>
    <t>89053</t>
  </si>
  <si>
    <t>89054</t>
  </si>
  <si>
    <t>88306</t>
  </si>
  <si>
    <t>88307</t>
  </si>
  <si>
    <t>87965</t>
  </si>
  <si>
    <t>71642</t>
  </si>
  <si>
    <t>71643</t>
  </si>
  <si>
    <t>87214</t>
  </si>
  <si>
    <t>87216</t>
  </si>
  <si>
    <t>87215</t>
  </si>
  <si>
    <t>87217</t>
  </si>
  <si>
    <t>87218</t>
  </si>
  <si>
    <t>6160/9812</t>
  </si>
  <si>
    <t>87219/220</t>
  </si>
  <si>
    <t>87221</t>
  </si>
  <si>
    <t>87222</t>
  </si>
  <si>
    <t>86803</t>
  </si>
  <si>
    <t>86804</t>
  </si>
  <si>
    <t>86805</t>
  </si>
  <si>
    <t>86806</t>
  </si>
  <si>
    <t>86807</t>
  </si>
  <si>
    <t>86808</t>
  </si>
  <si>
    <t>83319</t>
  </si>
  <si>
    <t>83320</t>
  </si>
  <si>
    <t>Gopalpur/Rej Sonversa</t>
  </si>
  <si>
    <t>83318/75272</t>
  </si>
  <si>
    <t>75274</t>
  </si>
  <si>
    <t>85468</t>
  </si>
  <si>
    <t>8581/85467</t>
  </si>
  <si>
    <t>86471</t>
  </si>
  <si>
    <t>86472</t>
  </si>
  <si>
    <t>86473</t>
  </si>
  <si>
    <t>86474</t>
  </si>
  <si>
    <t>86475</t>
  </si>
  <si>
    <t>81664</t>
  </si>
  <si>
    <t>7181/86709</t>
  </si>
  <si>
    <t>86709</t>
  </si>
  <si>
    <t>86710</t>
  </si>
  <si>
    <t>86711</t>
  </si>
  <si>
    <t>86712</t>
  </si>
  <si>
    <t>86713</t>
  </si>
  <si>
    <t>86715</t>
  </si>
  <si>
    <t>6545/87859</t>
  </si>
  <si>
    <t>87033</t>
  </si>
  <si>
    <t>87034</t>
  </si>
  <si>
    <t>88797</t>
  </si>
  <si>
    <t>85317</t>
  </si>
  <si>
    <t>87223</t>
  </si>
  <si>
    <t>87224/87225</t>
  </si>
  <si>
    <t>87145</t>
  </si>
  <si>
    <t>87146</t>
  </si>
  <si>
    <t>4120</t>
  </si>
  <si>
    <t>83321</t>
  </si>
  <si>
    <t xml:space="preserve">Gopalpur </t>
  </si>
  <si>
    <t>83126</t>
  </si>
  <si>
    <t>83127</t>
  </si>
  <si>
    <t>86476</t>
  </si>
  <si>
    <t>62031</t>
  </si>
  <si>
    <t>64658</t>
  </si>
  <si>
    <t>62032</t>
  </si>
  <si>
    <t>62033</t>
  </si>
  <si>
    <t>Report till updated  13th June 26</t>
  </si>
  <si>
    <t>Report till updated  15th June 26</t>
  </si>
  <si>
    <t>Report till updated  12th June 26</t>
  </si>
  <si>
    <t>89384</t>
  </si>
  <si>
    <t>87035</t>
  </si>
  <si>
    <t>87036</t>
  </si>
  <si>
    <t>87037</t>
  </si>
  <si>
    <t>87038</t>
  </si>
  <si>
    <t>80436</t>
  </si>
  <si>
    <t>80437</t>
  </si>
  <si>
    <t>80438</t>
  </si>
  <si>
    <t>80439</t>
  </si>
  <si>
    <t>80355</t>
  </si>
  <si>
    <t>80356</t>
  </si>
  <si>
    <t>80357</t>
  </si>
  <si>
    <t>80358</t>
  </si>
  <si>
    <t>89383</t>
  </si>
  <si>
    <t>6545/1842</t>
  </si>
  <si>
    <t>86603/86604</t>
  </si>
  <si>
    <t>88798</t>
  </si>
  <si>
    <t>88799</t>
  </si>
  <si>
    <t>88451</t>
  </si>
  <si>
    <t>88452</t>
  </si>
  <si>
    <t>85023</t>
  </si>
  <si>
    <t>85024</t>
  </si>
  <si>
    <t>89055</t>
  </si>
  <si>
    <t>89056</t>
  </si>
  <si>
    <t>85318</t>
  </si>
  <si>
    <t>85319</t>
  </si>
  <si>
    <t>85320</t>
  </si>
  <si>
    <t>88308</t>
  </si>
  <si>
    <t>88311</t>
  </si>
  <si>
    <t>88312</t>
  </si>
  <si>
    <t>87966</t>
  </si>
  <si>
    <t>87967</t>
  </si>
  <si>
    <t>71644</t>
  </si>
  <si>
    <t>71645</t>
  </si>
  <si>
    <t>87147</t>
  </si>
  <si>
    <t>87148</t>
  </si>
  <si>
    <t>Rej of Sonversa</t>
  </si>
  <si>
    <t>83323</t>
  </si>
  <si>
    <t>83128</t>
  </si>
  <si>
    <t>83129</t>
  </si>
  <si>
    <t>83130</t>
  </si>
  <si>
    <t>83131</t>
  </si>
  <si>
    <t>85469</t>
  </si>
  <si>
    <t>8581/85468</t>
  </si>
  <si>
    <t>5848/85469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</si>
  <si>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</si>
  <si>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</si>
  <si>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</si>
  <si>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</si>
  <si>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</si>
  <si>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</si>
  <si>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</si>
  <si>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</si>
  <si>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81665</t>
  </si>
  <si>
    <t>81666</t>
  </si>
  <si>
    <t>81667</t>
  </si>
  <si>
    <t>81668</t>
  </si>
  <si>
    <t>64659</t>
  </si>
  <si>
    <t>62034</t>
  </si>
  <si>
    <t>64660</t>
  </si>
  <si>
    <t>Report till updated  16th June 26</t>
  </si>
  <si>
    <t>Report till updated  17th June 26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</si>
  <si>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</si>
  <si>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</si>
  <si>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</si>
  <si>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</si>
  <si>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</si>
  <si>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</si>
  <si>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</si>
  <si>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</si>
  <si>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</si>
  <si>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75601</t>
  </si>
  <si>
    <t>87862</t>
  </si>
  <si>
    <t>87863</t>
  </si>
  <si>
    <t>87864</t>
  </si>
  <si>
    <t>80440</t>
  </si>
  <si>
    <t>6545/9071</t>
  </si>
  <si>
    <t>80441/80442</t>
  </si>
  <si>
    <t>80443</t>
  </si>
  <si>
    <t>5337</t>
  </si>
  <si>
    <t>80359</t>
  </si>
  <si>
    <t>80361</t>
  </si>
  <si>
    <t>86605</t>
  </si>
  <si>
    <t>86606</t>
  </si>
  <si>
    <t>86607</t>
  </si>
  <si>
    <t>86608</t>
  </si>
  <si>
    <t>88453</t>
  </si>
  <si>
    <t>88454</t>
  </si>
  <si>
    <t>85025</t>
  </si>
  <si>
    <t>85321</t>
  </si>
  <si>
    <t>85322</t>
  </si>
  <si>
    <t>71646</t>
  </si>
  <si>
    <t>87176</t>
  </si>
  <si>
    <t>87177</t>
  </si>
  <si>
    <t>6263/6160</t>
  </si>
  <si>
    <t>87178/179</t>
  </si>
  <si>
    <t>87180</t>
  </si>
  <si>
    <t>87181</t>
  </si>
  <si>
    <t>87182</t>
  </si>
  <si>
    <t>87183</t>
  </si>
  <si>
    <t>87149</t>
  </si>
  <si>
    <t>87301</t>
  </si>
  <si>
    <t>87198</t>
  </si>
  <si>
    <t>87197</t>
  </si>
  <si>
    <t>87302</t>
  </si>
  <si>
    <t>86809</t>
  </si>
  <si>
    <t>86810</t>
  </si>
  <si>
    <t>86811</t>
  </si>
  <si>
    <t>86812</t>
  </si>
  <si>
    <t>86813</t>
  </si>
  <si>
    <t>86814</t>
  </si>
  <si>
    <t>83324</t>
  </si>
  <si>
    <t>83325</t>
  </si>
  <si>
    <t>83133</t>
  </si>
  <si>
    <t>83134</t>
  </si>
  <si>
    <t>83135</t>
  </si>
  <si>
    <t>85470</t>
  </si>
  <si>
    <t>Mahdatpur/Rej Arariya</t>
  </si>
  <si>
    <t>85470/86483</t>
  </si>
  <si>
    <t>86485</t>
  </si>
  <si>
    <t>86486</t>
  </si>
  <si>
    <t>5848/8086</t>
  </si>
  <si>
    <t>86487/488</t>
  </si>
  <si>
    <t>86489</t>
  </si>
  <si>
    <t>81669</t>
  </si>
  <si>
    <t>81670</t>
  </si>
  <si>
    <t xml:space="preserve">Alauli </t>
  </si>
  <si>
    <t>3461/86716</t>
  </si>
  <si>
    <t>86716</t>
  </si>
  <si>
    <t>86717</t>
  </si>
  <si>
    <t>86718</t>
  </si>
  <si>
    <t>6902</t>
  </si>
  <si>
    <t>86719</t>
  </si>
  <si>
    <t>86720</t>
  </si>
  <si>
    <t>62035</t>
  </si>
  <si>
    <t>64661</t>
  </si>
  <si>
    <t>62036</t>
  </si>
  <si>
    <t>64662</t>
  </si>
  <si>
    <t>Report till updated  18th June 26</t>
  </si>
  <si>
    <t>Rosera Bmc</t>
  </si>
  <si>
    <t>Rosera</t>
  </si>
  <si>
    <t>89385</t>
  </si>
  <si>
    <t>88455</t>
  </si>
  <si>
    <t>88456</t>
  </si>
  <si>
    <t>88457</t>
  </si>
  <si>
    <t>84495</t>
  </si>
  <si>
    <t>89057</t>
  </si>
  <si>
    <t>89058</t>
  </si>
  <si>
    <t>85323</t>
  </si>
  <si>
    <t>88313</t>
  </si>
  <si>
    <t>88314</t>
  </si>
  <si>
    <t>87968</t>
  </si>
  <si>
    <t>71648</t>
  </si>
  <si>
    <t>87184</t>
  </si>
  <si>
    <t>87185</t>
  </si>
  <si>
    <t>87303</t>
  </si>
  <si>
    <t>87304</t>
  </si>
  <si>
    <t>36526</t>
  </si>
  <si>
    <t>36527</t>
  </si>
  <si>
    <t>36528</t>
  </si>
  <si>
    <t xml:space="preserve">Skamal </t>
  </si>
  <si>
    <t>83136</t>
  </si>
  <si>
    <t>83137</t>
  </si>
  <si>
    <t>83138</t>
  </si>
  <si>
    <t>86721</t>
  </si>
  <si>
    <t>86722</t>
  </si>
  <si>
    <t>62037</t>
  </si>
  <si>
    <t>64663</t>
  </si>
  <si>
    <t>62038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</si>
</sst>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;\(0\)"/>
    <numFmt numFmtId="165" formatCode="0.00;\(0.00\)"/>
    <numFmt numFmtId="166" formatCode="[$-409]d/mmm/yy;@"/>
    <numFmt numFmtId="167" formatCode="0.0"/>
    <numFmt numFmtId="168" formatCode="0.0%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7"/>
      <color rgb="FF607188"/>
      <name val="Poppins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1F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2">
    <xf numFmtId="0" fontId="0" fillId="0" borderId="0" xfId="0"/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165" fontId="6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64" fontId="7" fillId="2" borderId="12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2" xfId="0" quotePrefix="1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19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166" fontId="0" fillId="4" borderId="5" xfId="0" applyNumberFormat="1" applyFill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1" fontId="0" fillId="5" borderId="6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5" xfId="0" applyNumberFormat="1" applyFill="1" applyBorder="1" applyAlignment="1" applyProtection="1">
      <alignment horizontal="center" vertical="center"/>
      <protection locked="0"/>
    </xf>
    <xf numFmtId="2" fontId="0" fillId="6" borderId="19" xfId="0" applyNumberFormat="1" applyFill="1" applyBorder="1" applyAlignment="1" applyProtection="1">
      <alignment horizontal="center" vertical="center"/>
      <protection locked="0"/>
    </xf>
    <xf numFmtId="1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8" xfId="0" applyNumberFormat="1" applyFill="1" applyBorder="1" applyAlignment="1" applyProtection="1">
      <alignment horizontal="center" vertical="center"/>
      <protection locked="0"/>
    </xf>
    <xf numFmtId="167" fontId="0" fillId="0" borderId="1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1" fontId="0" fillId="7" borderId="6" xfId="0" applyNumberFormat="1" applyFill="1" applyBorder="1" applyAlignment="1" applyProtection="1">
      <alignment horizontal="center" vertical="center"/>
      <protection locked="0"/>
    </xf>
    <xf numFmtId="2" fontId="0" fillId="7" borderId="6" xfId="0" applyNumberFormat="1" applyFill="1" applyBorder="1" applyAlignment="1" applyProtection="1">
      <alignment horizontal="center" vertical="center"/>
      <protection locked="0"/>
    </xf>
    <xf numFmtId="2" fontId="0" fillId="8" borderId="5" xfId="0" applyNumberFormat="1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2" fontId="0" fillId="0" borderId="7" xfId="0" applyNumberFormat="1" applyBorder="1" applyAlignment="1">
      <alignment horizontal="center" vertical="center"/>
    </xf>
    <xf numFmtId="167" fontId="2" fillId="0" borderId="5" xfId="0" applyNumberFormat="1" applyFont="1" applyBorder="1"/>
    <xf numFmtId="167" fontId="2" fillId="0" borderId="6" xfId="0" applyNumberFormat="1" applyFont="1" applyBorder="1"/>
    <xf numFmtId="168" fontId="0" fillId="0" borderId="6" xfId="2" applyNumberFormat="1" applyFont="1" applyBorder="1" applyAlignment="1">
      <alignment horizontal="right"/>
    </xf>
    <xf numFmtId="169" fontId="2" fillId="0" borderId="8" xfId="1" applyNumberFormat="1" applyFont="1" applyBorder="1"/>
    <xf numFmtId="2" fontId="0" fillId="0" borderId="0" xfId="0" applyNumberFormat="1"/>
    <xf numFmtId="49" fontId="0" fillId="0" borderId="0" xfId="0" applyNumberFormat="1"/>
    <xf numFmtId="167" fontId="0" fillId="0" borderId="6" xfId="0" applyNumberFormat="1" applyBorder="1" applyAlignment="1">
      <alignment horizontal="center" vertical="center"/>
    </xf>
    <xf numFmtId="167" fontId="0" fillId="0" borderId="6" xfId="0" applyNumberFormat="1" applyBorder="1"/>
    <xf numFmtId="167" fontId="0" fillId="0" borderId="5" xfId="0" applyNumberFormat="1" applyBorder="1"/>
    <xf numFmtId="2" fontId="0" fillId="9" borderId="5" xfId="0" applyNumberFormat="1" applyFill="1" applyBorder="1" applyAlignment="1" applyProtection="1">
      <alignment horizontal="center" vertical="center"/>
      <protection locked="0"/>
    </xf>
    <xf numFmtId="167" fontId="0" fillId="0" borderId="0" xfId="0" applyNumberFormat="1"/>
    <xf numFmtId="2" fontId="0" fillId="9" borderId="6" xfId="0" applyNumberFormat="1" applyFill="1" applyBorder="1" applyAlignment="1" applyProtection="1">
      <alignment horizontal="center" vertical="center"/>
      <protection locked="0"/>
    </xf>
    <xf numFmtId="49" fontId="0" fillId="9" borderId="6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" fontId="0" fillId="5" borderId="5" xfId="0" applyNumberFormat="1" applyFill="1" applyBorder="1" applyAlignment="1" applyProtection="1">
      <alignment horizontal="center" vertical="center"/>
      <protection locked="0"/>
    </xf>
    <xf numFmtId="2" fontId="0" fillId="5" borderId="6" xfId="0" applyNumberFormat="1" applyFill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0" borderId="0" xfId="0" applyNumberFormat="1"/>
    <xf numFmtId="1" fontId="0" fillId="0" borderId="6" xfId="0" applyNumberFormat="1" applyBorder="1" applyAlignment="1">
      <alignment horizontal="center" vertical="center"/>
    </xf>
    <xf numFmtId="1" fontId="0" fillId="9" borderId="5" xfId="0" applyNumberForma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top"/>
    </xf>
    <xf numFmtId="167" fontId="0" fillId="10" borderId="20" xfId="0" applyNumberFormat="1" applyFill="1" applyBorder="1"/>
    <xf numFmtId="0" fontId="0" fillId="0" borderId="21" xfId="0" applyBorder="1"/>
    <xf numFmtId="169" fontId="9" fillId="0" borderId="22" xfId="1" applyNumberFormat="1" applyFont="1" applyBorder="1"/>
    <xf numFmtId="167" fontId="0" fillId="0" borderId="5" xfId="0" applyNumberFormat="1" applyBorder="1" applyAlignment="1" applyProtection="1">
      <alignment horizontal="center" vertical="center"/>
      <protection locked="0"/>
    </xf>
    <xf numFmtId="169" fontId="0" fillId="0" borderId="0" xfId="0" applyNumberFormat="1"/>
    <xf numFmtId="21" fontId="0" fillId="0" borderId="6" xfId="0" applyNumberForma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1" fontId="11" fillId="5" borderId="5" xfId="0" applyNumberFormat="1" applyFont="1" applyFill="1" applyBorder="1" applyAlignment="1" applyProtection="1">
      <alignment horizontal="center" vertical="center"/>
      <protection locked="0"/>
    </xf>
    <xf numFmtId="2" fontId="11" fillId="5" borderId="6" xfId="0" applyNumberFormat="1" applyFont="1" applyFill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6" xfId="0" applyNumberFormat="1" applyFont="1" applyBorder="1" applyAlignment="1" applyProtection="1">
      <alignment horizontal="center" vertical="center"/>
      <protection locked="0"/>
    </xf>
    <xf numFmtId="2" fontId="11" fillId="0" borderId="6" xfId="0" applyNumberFormat="1" applyFont="1" applyBorder="1" applyAlignment="1" applyProtection="1">
      <alignment horizontal="center" vertical="center"/>
      <protection locked="0"/>
    </xf>
    <xf numFmtId="1" fontId="11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1" fontId="0" fillId="12" borderId="5" xfId="0" applyNumberFormat="1" applyFill="1" applyBorder="1" applyAlignment="1" applyProtection="1">
      <alignment horizontal="center" vertical="center"/>
      <protection locked="0"/>
    </xf>
    <xf numFmtId="2" fontId="0" fillId="12" borderId="6" xfId="0" applyNumberFormat="1" applyFill="1" applyBorder="1" applyAlignment="1" applyProtection="1">
      <alignment horizontal="center" vertical="center"/>
      <protection locked="0"/>
    </xf>
    <xf numFmtId="167" fontId="0" fillId="9" borderId="5" xfId="0" applyNumberForma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12" fillId="4" borderId="8" xfId="0" applyFont="1" applyFill="1" applyBorder="1" applyAlignment="1">
      <alignment horizontal="center" vertical="top"/>
    </xf>
    <xf numFmtId="1" fontId="11" fillId="7" borderId="6" xfId="0" applyNumberFormat="1" applyFont="1" applyFill="1" applyBorder="1" applyAlignment="1" applyProtection="1">
      <alignment horizontal="center" vertical="center"/>
      <protection locked="0"/>
    </xf>
    <xf numFmtId="2" fontId="11" fillId="7" borderId="6" xfId="0" applyNumberFormat="1" applyFont="1" applyFill="1" applyBorder="1" applyAlignment="1" applyProtection="1">
      <alignment horizontal="center" vertical="center"/>
      <protection locked="0"/>
    </xf>
    <xf numFmtId="168" fontId="1" fillId="0" borderId="6" xfId="2" applyNumberFormat="1" applyFont="1" applyBorder="1" applyAlignment="1">
      <alignment horizontal="right"/>
    </xf>
    <xf numFmtId="169" fontId="1" fillId="0" borderId="8" xfId="1" applyNumberFormat="1" applyFont="1" applyBorder="1"/>
    <xf numFmtId="1" fontId="0" fillId="11" borderId="0" xfId="0" applyNumberFormat="1" applyFill="1"/>
    <xf numFmtId="2" fontId="0" fillId="0" borderId="23" xfId="0" applyNumberFormat="1" applyBorder="1" applyAlignment="1" applyProtection="1">
      <alignment horizontal="center" vertical="center"/>
      <protection locked="0"/>
    </xf>
    <xf numFmtId="167" fontId="0" fillId="13" borderId="5" xfId="0" applyNumberFormat="1" applyFill="1" applyBorder="1" applyAlignment="1" applyProtection="1">
      <alignment horizontal="center" vertical="center" wrapText="1"/>
      <protection locked="0"/>
    </xf>
    <xf numFmtId="167" fontId="0" fillId="13" borderId="6" xfId="0" applyNumberFormat="1" applyFill="1" applyBorder="1" applyAlignment="1">
      <alignment horizontal="center" vertical="center"/>
    </xf>
    <xf numFmtId="2" fontId="0" fillId="13" borderId="6" xfId="0" applyNumberFormat="1" applyFill="1" applyBorder="1" applyAlignment="1" applyProtection="1">
      <alignment horizontal="center" vertical="center"/>
      <protection locked="0"/>
    </xf>
    <xf numFmtId="2" fontId="0" fillId="13" borderId="7" xfId="0" applyNumberFormat="1" applyFill="1" applyBorder="1" applyAlignment="1" applyProtection="1">
      <alignment horizontal="center" vertical="center"/>
      <protection locked="0"/>
    </xf>
    <xf numFmtId="167" fontId="0" fillId="13" borderId="6" xfId="0" applyNumberFormat="1" applyFill="1" applyBorder="1" applyAlignment="1" applyProtection="1">
      <alignment horizontal="center" vertical="center" wrapText="1"/>
      <protection locked="0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1" fontId="0" fillId="0" borderId="10" xfId="0" applyNumberFormat="1" applyBorder="1"/>
    <xf numFmtId="167" fontId="2" fillId="0" borderId="0" xfId="0" applyNumberFormat="1" applyFont="1"/>
    <xf numFmtId="167" fontId="2" fillId="10" borderId="20" xfId="0" applyNumberFormat="1" applyFont="1" applyFill="1" applyBorder="1"/>
    <xf numFmtId="169" fontId="2" fillId="0" borderId="0" xfId="0" applyNumberFormat="1" applyFont="1"/>
    <xf numFmtId="0" fontId="6" fillId="0" borderId="0" xfId="0" applyFont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166" fontId="6" fillId="3" borderId="25" xfId="0" applyNumberFormat="1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center" vertical="top"/>
    </xf>
    <xf numFmtId="1" fontId="13" fillId="0" borderId="25" xfId="0" applyNumberFormat="1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49" fontId="0" fillId="0" borderId="6" xfId="0" quotePrefix="1" applyNumberForma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49" fontId="11" fillId="0" borderId="27" xfId="0" applyNumberFormat="1" applyFont="1" applyBorder="1" applyAlignment="1" applyProtection="1">
      <alignment horizontal="center" vertical="center"/>
      <protection locked="0"/>
    </xf>
    <xf numFmtId="2" fontId="11" fillId="0" borderId="27" xfId="0" applyNumberFormat="1" applyFont="1" applyBorder="1" applyAlignment="1" applyProtection="1">
      <alignment horizontal="center" vertical="center"/>
      <protection locked="0"/>
    </xf>
    <xf numFmtId="1" fontId="11" fillId="7" borderId="27" xfId="0" applyNumberFormat="1" applyFont="1" applyFill="1" applyBorder="1" applyAlignment="1" applyProtection="1">
      <alignment horizontal="center" vertical="center"/>
      <protection locked="0"/>
    </xf>
    <xf numFmtId="2" fontId="11" fillId="7" borderId="27" xfId="0" applyNumberFormat="1" applyFont="1" applyFill="1" applyBorder="1" applyAlignment="1" applyProtection="1">
      <alignment horizontal="center" vertical="center"/>
      <protection locked="0"/>
    </xf>
    <xf numFmtId="1" fontId="11" fillId="0" borderId="26" xfId="0" applyNumberFormat="1" applyFont="1" applyBorder="1" applyAlignment="1" applyProtection="1">
      <alignment horizontal="center" vertical="center"/>
      <protection locked="0"/>
    </xf>
    <xf numFmtId="2" fontId="0" fillId="5" borderId="7" xfId="0" applyNumberFormat="1" applyFill="1" applyBorder="1" applyAlignment="1">
      <alignment horizontal="center" vertical="center"/>
    </xf>
    <xf numFmtId="167" fontId="0" fillId="13" borderId="26" xfId="0" applyNumberFormat="1" applyFill="1" applyBorder="1" applyAlignment="1" applyProtection="1">
      <alignment horizontal="center" vertical="center" wrapText="1"/>
      <protection locked="0"/>
    </xf>
    <xf numFmtId="167" fontId="0" fillId="13" borderId="27" xfId="0" applyNumberFormat="1" applyFill="1" applyBorder="1" applyAlignment="1">
      <alignment horizontal="center" vertical="center"/>
    </xf>
    <xf numFmtId="2" fontId="0" fillId="13" borderId="27" xfId="0" applyNumberFormat="1" applyFill="1" applyBorder="1" applyAlignment="1" applyProtection="1">
      <alignment horizontal="center" vertical="center"/>
      <protection locked="0"/>
    </xf>
    <xf numFmtId="2" fontId="0" fillId="13" borderId="28" xfId="0" applyNumberFormat="1" applyFill="1" applyBorder="1" applyAlignment="1" applyProtection="1">
      <alignment horizontal="center" vertical="center"/>
      <protection locked="0"/>
    </xf>
    <xf numFmtId="167" fontId="0" fillId="13" borderId="27" xfId="0" applyNumberForma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15" fillId="0" borderId="0" xfId="0" applyFont="1"/>
    <xf numFmtId="0" fontId="6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19" xfId="0" applyFont="1" applyFill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 vertical="top"/>
    </xf>
    <xf numFmtId="0" fontId="15" fillId="4" borderId="8" xfId="0" applyFont="1" applyFill="1" applyBorder="1" applyAlignment="1">
      <alignment horizontal="center" vertical="top"/>
    </xf>
    <xf numFmtId="0" fontId="6" fillId="0" borderId="29" xfId="0" applyFont="1" applyBorder="1"/>
    <xf numFmtId="2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6" xfId="0" applyNumberFormat="1" applyFont="1" applyBorder="1" applyAlignment="1" applyProtection="1">
      <alignment horizontal="center" vertical="center"/>
      <protection locked="0"/>
    </xf>
    <xf numFmtId="167" fontId="6" fillId="13" borderId="5" xfId="0" applyNumberFormat="1" applyFont="1" applyFill="1" applyBorder="1" applyAlignment="1" applyProtection="1">
      <alignment horizontal="center" vertical="center" wrapText="1"/>
      <protection locked="0"/>
    </xf>
    <xf numFmtId="167" fontId="6" fillId="13" borderId="6" xfId="0" applyNumberFormat="1" applyFont="1" applyFill="1" applyBorder="1" applyAlignment="1">
      <alignment horizontal="center" vertical="center"/>
    </xf>
    <xf numFmtId="2" fontId="6" fillId="13" borderId="6" xfId="0" applyNumberFormat="1" applyFont="1" applyFill="1" applyBorder="1" applyAlignment="1" applyProtection="1">
      <alignment horizontal="center" vertical="center"/>
      <protection locked="0"/>
    </xf>
    <xf numFmtId="2" fontId="6" fillId="13" borderId="7" xfId="0" applyNumberFormat="1" applyFont="1" applyFill="1" applyBorder="1" applyAlignment="1" applyProtection="1">
      <alignment horizontal="center" vertical="center"/>
      <protection locked="0"/>
    </xf>
    <xf numFmtId="2" fontId="6" fillId="6" borderId="19" xfId="0" applyNumberFormat="1" applyFont="1" applyFill="1" applyBorder="1" applyAlignment="1" applyProtection="1">
      <alignment horizontal="center" vertical="center"/>
      <protection locked="0"/>
    </xf>
    <xf numFmtId="1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8" xfId="0" applyNumberFormat="1" applyFont="1" applyFill="1" applyBorder="1" applyAlignment="1" applyProtection="1">
      <alignment horizontal="center" vertical="center"/>
      <protection locked="0"/>
    </xf>
    <xf numFmtId="167" fontId="6" fillId="0" borderId="19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6" xfId="0" applyNumberFormat="1" applyFont="1" applyBorder="1" applyAlignment="1" applyProtection="1">
      <alignment horizontal="center" vertical="center"/>
      <protection locked="0"/>
    </xf>
    <xf numFmtId="1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8" borderId="5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7" xfId="0" applyNumberFormat="1" applyFont="1" applyBorder="1" applyAlignment="1">
      <alignment horizontal="center" vertical="center"/>
    </xf>
    <xf numFmtId="167" fontId="6" fillId="0" borderId="5" xfId="0" applyNumberFormat="1" applyFont="1" applyBorder="1"/>
    <xf numFmtId="167" fontId="6" fillId="0" borderId="6" xfId="0" applyNumberFormat="1" applyFont="1" applyBorder="1"/>
    <xf numFmtId="168" fontId="6" fillId="0" borderId="6" xfId="2" applyNumberFormat="1" applyFont="1" applyBorder="1" applyAlignment="1">
      <alignment horizontal="right"/>
    </xf>
    <xf numFmtId="1" fontId="6" fillId="0" borderId="0" xfId="0" applyNumberFormat="1" applyFont="1"/>
    <xf numFmtId="167" fontId="6" fillId="0" borderId="5" xfId="0" applyNumberFormat="1" applyFont="1" applyBorder="1" applyAlignment="1" applyProtection="1">
      <alignment horizontal="center" vertical="center"/>
      <protection locked="0"/>
    </xf>
    <xf numFmtId="167" fontId="6" fillId="0" borderId="6" xfId="0" applyNumberFormat="1" applyFont="1" applyBorder="1" applyAlignment="1">
      <alignment horizontal="center" vertical="center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23" xfId="0" applyNumberFormat="1" applyFont="1" applyBorder="1" applyAlignment="1" applyProtection="1">
      <alignment horizontal="center" vertical="center"/>
      <protection locked="0"/>
    </xf>
    <xf numFmtId="2" fontId="6" fillId="9" borderId="6" xfId="0" applyNumberFormat="1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/>
    <xf numFmtId="14" fontId="6" fillId="0" borderId="0" xfId="0" applyNumberFormat="1" applyFont="1"/>
    <xf numFmtId="167" fontId="6" fillId="0" borderId="0" xfId="0" applyNumberFormat="1" applyFont="1"/>
    <xf numFmtId="2" fontId="0" fillId="6" borderId="19" xfId="0" quotePrefix="1" applyNumberFormat="1" applyFill="1" applyBorder="1" applyAlignment="1" applyProtection="1">
      <alignment horizontal="center" vertical="center"/>
      <protection locked="0"/>
    </xf>
    <xf numFmtId="2" fontId="0" fillId="13" borderId="8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5" xfId="0" applyNumberFormat="1" applyFill="1" applyBorder="1" applyAlignment="1" applyProtection="1">
      <alignment horizontal="center" vertical="center"/>
      <protection locked="0"/>
    </xf>
    <xf numFmtId="0" fontId="0" fillId="11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15" borderId="5" xfId="0" applyNumberFormat="1" applyFill="1" applyBorder="1" applyAlignment="1" applyProtection="1">
      <alignment horizontal="center" vertical="center"/>
      <protection locked="0"/>
    </xf>
    <xf numFmtId="2" fontId="0" fillId="15" borderId="6" xfId="0" applyNumberFormat="1" applyFill="1" applyBorder="1" applyAlignment="1" applyProtection="1">
      <alignment horizontal="center" vertical="center"/>
      <protection locked="0"/>
    </xf>
    <xf numFmtId="2" fontId="0" fillId="13" borderId="5" xfId="0" applyNumberFormat="1" applyFill="1" applyBorder="1" applyAlignment="1" applyProtection="1">
      <alignment horizontal="center" vertical="center" wrapText="1"/>
      <protection locked="0"/>
    </xf>
    <xf numFmtId="2" fontId="0" fillId="13" borderId="6" xfId="0" applyNumberForma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167" fontId="0" fillId="0" borderId="6" xfId="0" applyNumberFormat="1" applyBorder="1" applyAlignment="1" applyProtection="1">
      <alignment horizontal="center" vertical="center"/>
      <protection locked="0"/>
    </xf>
    <xf numFmtId="167" fontId="0" fillId="9" borderId="6" xfId="0" applyNumberFormat="1" applyFill="1" applyBorder="1" applyAlignment="1" applyProtection="1">
      <alignment horizontal="center" vertical="center"/>
      <protection locked="0"/>
    </xf>
    <xf numFmtId="0" fontId="17" fillId="16" borderId="36" xfId="0" applyFont="1" applyFill="1" applyBorder="1" applyAlignment="1">
      <alignment vertical="center"/>
    </xf>
    <xf numFmtId="2" fontId="0" fillId="13" borderId="0" xfId="0" applyNumberFormat="1" applyFill="1" applyAlignment="1" applyProtection="1">
      <alignment horizontal="center" vertical="center"/>
      <protection locked="0"/>
    </xf>
    <xf numFmtId="2" fontId="0" fillId="6" borderId="0" xfId="0" applyNumberFormat="1" applyFill="1" applyAlignment="1" applyProtection="1">
      <alignment horizontal="center" vertical="center"/>
      <protection locked="0"/>
    </xf>
    <xf numFmtId="1" fontId="6" fillId="0" borderId="10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0" xfId="0" quotePrefix="1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164" fontId="7" fillId="0" borderId="21" xfId="0" applyNumberFormat="1" applyFont="1" applyBorder="1" applyAlignment="1">
      <alignment horizontal="center" vertical="center"/>
    </xf>
    <xf numFmtId="1" fontId="6" fillId="0" borderId="21" xfId="1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" vertical="center" wrapText="1"/>
    </xf>
    <xf numFmtId="0" fontId="3" fillId="2" borderId="16" xfId="0" quotePrefix="1" applyFont="1" applyFill="1" applyBorder="1" applyAlignment="1">
      <alignment horizontal="center" vertical="center" wrapText="1"/>
    </xf>
    <xf numFmtId="0" fontId="3" fillId="2" borderId="17" xfId="0" quotePrefix="1" applyFont="1" applyFill="1" applyBorder="1" applyAlignment="1">
      <alignment horizontal="center" vertical="center" wrapText="1"/>
    </xf>
    <xf numFmtId="2" fontId="0" fillId="11" borderId="5" xfId="0" applyNumberFormat="1" applyFill="1" applyBorder="1" applyAlignment="1">
      <alignment horizontal="center" vertical="center"/>
    </xf>
    <xf numFmtId="2" fontId="0" fillId="11" borderId="6" xfId="0" applyNumberForma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2" fontId="0" fillId="14" borderId="6" xfId="0" applyNumberFormat="1" applyFill="1" applyBorder="1" applyAlignment="1">
      <alignment horizontal="center" vertical="center"/>
    </xf>
    <xf numFmtId="2" fontId="6" fillId="11" borderId="5" xfId="0" applyNumberFormat="1" applyFont="1" applyFill="1" applyBorder="1" applyAlignment="1">
      <alignment horizontal="center" vertical="center"/>
    </xf>
    <xf numFmtId="2" fontId="6" fillId="11" borderId="6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/>
    </xf>
    <xf numFmtId="0" fontId="3" fillId="2" borderId="11" xfId="0" quotePrefix="1" applyFont="1" applyFill="1" applyBorder="1" applyAlignment="1">
      <alignment horizontal="center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0" xfId="0" applyFill="1" applyBorder="1" applyAlignment="1">
      <alignment horizontal="center" vertical="top"/>
    </xf>
    <xf numFmtId="0" fontId="0" fillId="4" borderId="31" xfId="0" applyFill="1" applyBorder="1" applyAlignment="1">
      <alignment horizontal="center" vertical="top"/>
    </xf>
    <xf numFmtId="0" fontId="0" fillId="4" borderId="32" xfId="0" applyFill="1" applyBorder="1" applyAlignment="1">
      <alignment horizontal="center" vertical="top"/>
    </xf>
    <xf numFmtId="0" fontId="10" fillId="4" borderId="34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31" xfId="0" applyFill="1" applyBorder="1" applyAlignment="1">
      <alignment horizontal="center" vertical="top" wrapText="1"/>
    </xf>
    <xf numFmtId="0" fontId="0" fillId="4" borderId="32" xfId="0" applyFill="1" applyBorder="1" applyAlignment="1">
      <alignment horizontal="center" vertical="top" wrapText="1"/>
    </xf>
    <xf numFmtId="0" fontId="6" fillId="3" borderId="25" xfId="0" applyFont="1" applyFill="1" applyBorder="1" applyAlignment="1">
      <alignment horizontal="center" vertical="center"/>
    </xf>
    <xf numFmtId="166" fontId="3" fillId="3" borderId="25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1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Z59"/>
  <sheetViews>
    <sheetView tabSelected="1" zoomScale="91" zoomScaleNormal="91" workbookViewId="0">
      <selection activeCell="AB20" sqref="AB20"/>
    </sheetView>
  </sheetViews>
  <sheetFormatPr defaultColWidth="8.7109375" defaultRowHeight="15" x14ac:dyDescent="0.25"/>
  <cols>
    <col min="1" max="1" width="8.7109375" style="1"/>
    <col min="2" max="2" width="12.42578125" style="1" bestFit="1" customWidth="1"/>
    <col min="3" max="3" width="9" style="1" customWidth="1"/>
    <col min="4" max="4" width="9.42578125" style="1" bestFit="1" customWidth="1"/>
    <col min="5" max="5" width="5.42578125" style="1" bestFit="1" customWidth="1"/>
    <col min="6" max="6" width="14.7109375" style="1" bestFit="1" customWidth="1"/>
    <col min="7" max="7" width="11.140625" style="1" bestFit="1" customWidth="1"/>
    <col min="8" max="8" width="7.140625" style="1" customWidth="1"/>
    <col min="9" max="9" width="6.140625" style="1" bestFit="1" customWidth="1"/>
    <col min="10" max="10" width="8.42578125" style="1" customWidth="1"/>
    <col min="11" max="11" width="8" style="1" hidden="1" customWidth="1"/>
    <col min="12" max="12" width="8.140625" style="1" hidden="1" customWidth="1"/>
    <col min="13" max="13" width="9.140625" style="1" bestFit="1" customWidth="1"/>
    <col min="14" max="14" width="14" style="1" bestFit="1" customWidth="1"/>
    <col min="15" max="15" width="18" style="1" bestFit="1" customWidth="1"/>
    <col min="16" max="16" width="29.28515625" style="1" bestFit="1" customWidth="1"/>
    <col min="17" max="17" width="8.7109375" style="1"/>
    <col min="18" max="19" width="0" style="1" hidden="1" customWidth="1"/>
    <col min="20" max="20" width="15.85546875" style="1" hidden="1" customWidth="1"/>
    <col min="21" max="21" width="7.7109375" style="1" customWidth="1"/>
    <col min="22" max="22" width="14.5703125" style="1" bestFit="1" customWidth="1"/>
    <col min="23" max="23" width="7.7109375" style="1" customWidth="1"/>
    <col min="24" max="24" width="10.28515625" style="1" bestFit="1" customWidth="1"/>
    <col min="25" max="25" width="7.7109375" style="1" customWidth="1"/>
    <col min="26" max="26" width="12" style="1" bestFit="1" customWidth="1"/>
    <col min="27" max="16384" width="8.7109375" style="1"/>
  </cols>
  <sheetData>
    <row r="1" spans="3:26" ht="15.75" thickBot="1" x14ac:dyDescent="0.3"/>
    <row r="2" spans="3:26" x14ac:dyDescent="0.25">
      <c r="C2" s="248" t="s">
        <v>0</v>
      </c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50"/>
      <c r="P2" s="251"/>
    </row>
    <row r="3" spans="3:26" x14ac:dyDescent="0.25"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4" t="s">
        <v>13</v>
      </c>
      <c r="P3" s="5" t="s">
        <v>14</v>
      </c>
    </row>
    <row r="4" spans="3:26" x14ac:dyDescent="0.25">
      <c r="C4" s="6" t="s">
        <v>15</v>
      </c>
      <c r="D4" s="7" t="s">
        <v>16</v>
      </c>
      <c r="E4" s="7" t="s">
        <v>116</v>
      </c>
      <c r="F4" s="8" t="s">
        <v>17</v>
      </c>
      <c r="G4" s="9">
        <f>Manjhaul!J66</f>
        <v>68949.23</v>
      </c>
      <c r="H4" s="9">
        <f>+Manjhaul!AM66</f>
        <v>194.76999999999953</v>
      </c>
      <c r="I4" s="9">
        <f>+Manjhaul!AN66</f>
        <v>49.123301999999541</v>
      </c>
      <c r="J4" s="9">
        <f>+Manjhaul!AO66</f>
        <v>39.804582999999226</v>
      </c>
      <c r="K4" s="11">
        <v>448.91</v>
      </c>
      <c r="L4" s="11">
        <f t="shared" ref="L4" si="0">K4*2/3</f>
        <v>299.27333333333337</v>
      </c>
      <c r="M4" s="12">
        <f>I4*K4+J4*L4</f>
        <v>33964.391737172897</v>
      </c>
      <c r="N4" s="13">
        <f t="shared" ref="N4:N13" si="1">M4/G4</f>
        <v>0.49260001507156642</v>
      </c>
      <c r="O4" s="14">
        <v>46191</v>
      </c>
      <c r="P4" s="15" t="s">
        <v>636</v>
      </c>
      <c r="U4" s="252" t="s">
        <v>14</v>
      </c>
      <c r="V4" s="252"/>
      <c r="W4" s="252"/>
      <c r="X4" s="252"/>
      <c r="Y4" s="252"/>
      <c r="Z4" s="252"/>
    </row>
    <row r="5" spans="3:26" x14ac:dyDescent="0.25">
      <c r="C5" s="6" t="s">
        <v>15</v>
      </c>
      <c r="D5" s="7" t="s">
        <v>16</v>
      </c>
      <c r="E5" s="7" t="s">
        <v>148</v>
      </c>
      <c r="F5" s="8" t="s">
        <v>149</v>
      </c>
      <c r="G5" s="9">
        <f>Hasanpur!J66</f>
        <v>33235.525000000001</v>
      </c>
      <c r="H5" s="9">
        <f>+Hasanpur!AM66</f>
        <v>746.2749999999993</v>
      </c>
      <c r="I5" s="9">
        <f>+Hasanpur!AN66</f>
        <v>64.908388999999829</v>
      </c>
      <c r="J5" s="9">
        <f>+Hasanpur!AO66</f>
        <v>68.92862099999985</v>
      </c>
      <c r="K5" s="11">
        <v>448.91</v>
      </c>
      <c r="L5" s="11">
        <f t="shared" ref="L5" si="2">K5*2/3</f>
        <v>299.27333333333337</v>
      </c>
      <c r="M5" s="12">
        <f t="shared" ref="M5:M16" si="3">I5*K5+J5*L5</f>
        <v>49766.523074729885</v>
      </c>
      <c r="N5" s="13">
        <f t="shared" ref="N5" si="4">M5/G5</f>
        <v>1.497389407109708</v>
      </c>
      <c r="O5" s="14">
        <v>46191</v>
      </c>
      <c r="P5" s="15" t="s">
        <v>636</v>
      </c>
      <c r="U5" s="197"/>
      <c r="V5" s="200" t="s">
        <v>111</v>
      </c>
      <c r="W5" s="198"/>
      <c r="X5" s="200" t="s">
        <v>112</v>
      </c>
      <c r="Y5" s="199"/>
      <c r="Z5" s="200" t="s">
        <v>113</v>
      </c>
    </row>
    <row r="6" spans="3:26" x14ac:dyDescent="0.25">
      <c r="C6" s="6" t="s">
        <v>15</v>
      </c>
      <c r="D6" s="7" t="s">
        <v>16</v>
      </c>
      <c r="E6" s="7" t="s">
        <v>117</v>
      </c>
      <c r="F6" s="8" t="s">
        <v>18</v>
      </c>
      <c r="G6" s="9">
        <f>+'Sahibpur Kamal'!J66</f>
        <v>156221.74800000002</v>
      </c>
      <c r="H6" s="9">
        <f>+'Sahibpur Kamal'!AM66</f>
        <v>-34.74800000000505</v>
      </c>
      <c r="I6" s="9">
        <f>+'Sahibpur Kamal'!AN66</f>
        <v>107.06659199999966</v>
      </c>
      <c r="J6" s="9">
        <f>+'Sahibpur Kamal'!AO66</f>
        <v>-48.994542000001864</v>
      </c>
      <c r="K6" s="11">
        <v>448.91</v>
      </c>
      <c r="L6" s="11">
        <f t="shared" ref="L6:L17" si="5">K6*2/3</f>
        <v>299.27333333333337</v>
      </c>
      <c r="M6" s="12">
        <f t="shared" si="3"/>
        <v>33400.503915239293</v>
      </c>
      <c r="N6" s="13">
        <f>M6/G6</f>
        <v>0.21380188317467352</v>
      </c>
      <c r="O6" s="14">
        <v>46191</v>
      </c>
      <c r="P6" s="15" t="s">
        <v>636</v>
      </c>
    </row>
    <row r="7" spans="3:26" x14ac:dyDescent="0.25">
      <c r="C7" s="6" t="s">
        <v>15</v>
      </c>
      <c r="D7" s="7" t="s">
        <v>16</v>
      </c>
      <c r="E7" s="7" t="s">
        <v>117</v>
      </c>
      <c r="F7" s="8" t="s">
        <v>165</v>
      </c>
      <c r="G7" s="9">
        <f>+Bachhwara!J66</f>
        <v>20945.770999999997</v>
      </c>
      <c r="H7" s="9">
        <f>+Bachhwara!AM66</f>
        <v>77.228999999999417</v>
      </c>
      <c r="I7" s="9">
        <f>+Bachhwara!AN66</f>
        <v>12.999381999999905</v>
      </c>
      <c r="J7" s="9">
        <f>+Bachhwara!AO66</f>
        <v>-36.178175000000323</v>
      </c>
      <c r="K7" s="11">
        <v>448.91</v>
      </c>
      <c r="L7" s="11">
        <f t="shared" ref="L7" si="6">K7*2/3</f>
        <v>299.27333333333337</v>
      </c>
      <c r="M7" s="12">
        <f t="shared" si="3"/>
        <v>-4991.6104525468072</v>
      </c>
      <c r="N7" s="13">
        <f>M7/G7</f>
        <v>-0.23831113462220169</v>
      </c>
      <c r="O7" s="14">
        <v>46191</v>
      </c>
      <c r="P7" s="15" t="s">
        <v>636</v>
      </c>
    </row>
    <row r="8" spans="3:26" x14ac:dyDescent="0.25">
      <c r="C8" s="6" t="s">
        <v>15</v>
      </c>
      <c r="D8" s="7" t="s">
        <v>16</v>
      </c>
      <c r="E8" s="7" t="s">
        <v>118</v>
      </c>
      <c r="F8" s="8" t="s">
        <v>19</v>
      </c>
      <c r="G8" s="9">
        <f>+Dalsingsarai!J66</f>
        <v>236821.42130000002</v>
      </c>
      <c r="H8" s="9">
        <f>+Dalsingsarai!AM66</f>
        <v>-167.42130000000998</v>
      </c>
      <c r="I8" s="9">
        <f>+Dalsingsarai!AN66</f>
        <v>106.70869509999972</v>
      </c>
      <c r="J8" s="9">
        <f>+Dalsingsarai!AO66</f>
        <v>-208.64312420000292</v>
      </c>
      <c r="K8" s="11">
        <v>448.91</v>
      </c>
      <c r="L8" s="11">
        <f t="shared" si="5"/>
        <v>299.27333333333337</v>
      </c>
      <c r="M8" s="12">
        <f t="shared" si="3"/>
        <v>-14538.722939074672</v>
      </c>
      <c r="N8" s="13">
        <f t="shared" si="1"/>
        <v>-6.1391080499670458E-2</v>
      </c>
      <c r="O8" s="14">
        <v>46191</v>
      </c>
      <c r="P8" s="15" t="s">
        <v>636</v>
      </c>
    </row>
    <row r="9" spans="3:26" x14ac:dyDescent="0.25">
      <c r="C9" s="6" t="s">
        <v>15</v>
      </c>
      <c r="D9" s="7" t="s">
        <v>16</v>
      </c>
      <c r="E9" s="7" t="s">
        <v>127</v>
      </c>
      <c r="F9" s="8" t="s">
        <v>115</v>
      </c>
      <c r="G9" s="9">
        <f>+Alauli!J66</f>
        <v>93692.816999999995</v>
      </c>
      <c r="H9" s="9">
        <f>+Alauli!AM66</f>
        <v>-191.71700000000396</v>
      </c>
      <c r="I9" s="9">
        <f>+Alauli!AN66</f>
        <v>34.617171999999904</v>
      </c>
      <c r="J9" s="9">
        <f>+Alauli!AO66</f>
        <v>40.780058999999696</v>
      </c>
      <c r="K9" s="11">
        <v>448.91</v>
      </c>
      <c r="L9" s="11">
        <f t="shared" si="5"/>
        <v>299.27333333333337</v>
      </c>
      <c r="M9" s="12">
        <f t="shared" si="3"/>
        <v>27744.378872979869</v>
      </c>
      <c r="N9" s="13">
        <f t="shared" ref="N9" si="7">M9/G9</f>
        <v>0.29612066070102117</v>
      </c>
      <c r="O9" s="14">
        <v>46191</v>
      </c>
      <c r="P9" s="15" t="s">
        <v>636</v>
      </c>
    </row>
    <row r="10" spans="3:26" x14ac:dyDescent="0.25">
      <c r="C10" s="6" t="s">
        <v>15</v>
      </c>
      <c r="D10" s="7" t="s">
        <v>16</v>
      </c>
      <c r="E10" s="7" t="s">
        <v>138</v>
      </c>
      <c r="F10" s="8" t="s">
        <v>159</v>
      </c>
      <c r="G10" s="9">
        <f>+Matihani!J66</f>
        <v>108595.57800000001</v>
      </c>
      <c r="H10" s="9">
        <f>+Matihani!AM66</f>
        <v>867.42199999999639</v>
      </c>
      <c r="I10" s="9">
        <f>+Matihani!AN66</f>
        <v>17.491071000000389</v>
      </c>
      <c r="J10" s="9">
        <f>+Matihani!AO66</f>
        <v>12.46926600000053</v>
      </c>
      <c r="K10" s="11">
        <v>448.91</v>
      </c>
      <c r="L10" s="11">
        <f t="shared" si="5"/>
        <v>299.27333333333337</v>
      </c>
      <c r="M10" s="12">
        <f t="shared" si="3"/>
        <v>11583.635482650334</v>
      </c>
      <c r="N10" s="13">
        <f t="shared" ref="N10" si="8">M10/G10</f>
        <v>0.10666765347158365</v>
      </c>
      <c r="O10" s="14">
        <v>46191</v>
      </c>
      <c r="P10" s="15" t="s">
        <v>636</v>
      </c>
    </row>
    <row r="11" spans="3:26" x14ac:dyDescent="0.25">
      <c r="C11" s="6" t="s">
        <v>15</v>
      </c>
      <c r="D11" s="7" t="s">
        <v>16</v>
      </c>
      <c r="E11" s="7" t="s">
        <v>119</v>
      </c>
      <c r="F11" s="8" t="s">
        <v>20</v>
      </c>
      <c r="G11" s="9">
        <f>+Musrigharari!R66</f>
        <v>76846.240000000034</v>
      </c>
      <c r="H11" s="9">
        <f>+Musrigharari!AM66</f>
        <v>-15.240000000002965</v>
      </c>
      <c r="I11" s="9">
        <f>+Musrigharari!AN66</f>
        <v>44.101709999999841</v>
      </c>
      <c r="J11" s="9">
        <f>+Musrigharari!AO66</f>
        <v>-26.80788900000033</v>
      </c>
      <c r="K11" s="11">
        <v>448.91</v>
      </c>
      <c r="L11" s="11">
        <f t="shared" si="5"/>
        <v>299.27333333333337</v>
      </c>
      <c r="M11" s="12">
        <f t="shared" si="3"/>
        <v>11774.81233543983</v>
      </c>
      <c r="N11" s="13">
        <f t="shared" si="1"/>
        <v>0.15322561436239204</v>
      </c>
      <c r="O11" s="14">
        <v>46191</v>
      </c>
      <c r="P11" s="15" t="s">
        <v>636</v>
      </c>
    </row>
    <row r="12" spans="3:26" x14ac:dyDescent="0.25">
      <c r="C12" s="6" t="s">
        <v>15</v>
      </c>
      <c r="D12" s="7" t="s">
        <v>16</v>
      </c>
      <c r="E12" s="7" t="s">
        <v>119</v>
      </c>
      <c r="F12" s="8" t="s">
        <v>166</v>
      </c>
      <c r="G12" s="9">
        <f>+Mahua!R66</f>
        <v>39131.141999999993</v>
      </c>
      <c r="H12" s="9">
        <f>+Mahua!AM66</f>
        <v>1386.8580000000009</v>
      </c>
      <c r="I12" s="9">
        <f>+Mahua!AN66</f>
        <v>50.895344999999999</v>
      </c>
      <c r="J12" s="9">
        <f>+Mahua!AO66</f>
        <v>36.883387999999627</v>
      </c>
      <c r="K12" s="11">
        <v>448.91</v>
      </c>
      <c r="L12" s="11">
        <f t="shared" ref="L12" si="9">K12*2/3</f>
        <v>299.27333333333337</v>
      </c>
      <c r="M12" s="12">
        <f t="shared" si="3"/>
        <v>33885.643795336553</v>
      </c>
      <c r="N12" s="13">
        <f t="shared" ref="N12" si="10">M12/G12</f>
        <v>0.86595080192999629</v>
      </c>
      <c r="O12" s="14">
        <v>46191</v>
      </c>
      <c r="P12" s="15" t="s">
        <v>636</v>
      </c>
    </row>
    <row r="13" spans="3:26" x14ac:dyDescent="0.25">
      <c r="C13" s="6" t="s">
        <v>15</v>
      </c>
      <c r="D13" s="7" t="s">
        <v>16</v>
      </c>
      <c r="E13" s="7" t="s">
        <v>120</v>
      </c>
      <c r="F13" s="8" t="s">
        <v>21</v>
      </c>
      <c r="G13" s="9">
        <f>+Buxar!J66</f>
        <v>117810.38029999998</v>
      </c>
      <c r="H13" s="9">
        <f>+Buxar!AM66</f>
        <v>740.6197000000102</v>
      </c>
      <c r="I13" s="9">
        <f>+Buxar!AN66</f>
        <v>204.02653560000053</v>
      </c>
      <c r="J13" s="9">
        <f>+Buxar!AO66</f>
        <v>-328.15040959999919</v>
      </c>
      <c r="K13" s="11">
        <v>448.91</v>
      </c>
      <c r="L13" s="11">
        <f t="shared" si="5"/>
        <v>299.27333333333337</v>
      </c>
      <c r="M13" s="12">
        <f t="shared" si="3"/>
        <v>-6617.1148194941925</v>
      </c>
      <c r="N13" s="13">
        <f t="shared" si="1"/>
        <v>-5.6167502410602047E-2</v>
      </c>
      <c r="O13" s="14">
        <v>46191</v>
      </c>
      <c r="P13" s="15" t="s">
        <v>636</v>
      </c>
      <c r="R13" s="20"/>
    </row>
    <row r="14" spans="3:26" x14ac:dyDescent="0.25">
      <c r="C14" s="6" t="s">
        <v>15</v>
      </c>
      <c r="D14" s="7" t="s">
        <v>16</v>
      </c>
      <c r="E14" s="7" t="s">
        <v>120</v>
      </c>
      <c r="F14" s="8" t="s">
        <v>176</v>
      </c>
      <c r="G14" s="9">
        <f>+Gaighat!J66</f>
        <v>39575.896000000001</v>
      </c>
      <c r="H14" s="9">
        <f>+Gaighat!AM66</f>
        <v>916.00399999999877</v>
      </c>
      <c r="I14" s="9">
        <f>+Gaighat!AN66</f>
        <v>24.746686999999881</v>
      </c>
      <c r="J14" s="9">
        <f>+Gaighat!AO66</f>
        <v>25.719276999999792</v>
      </c>
      <c r="K14" s="11">
        <v>448.91</v>
      </c>
      <c r="L14" s="11">
        <f t="shared" ref="L14" si="11">K14*2/3</f>
        <v>299.27333333333337</v>
      </c>
      <c r="M14" s="12">
        <f t="shared" si="3"/>
        <v>18806.129019883221</v>
      </c>
      <c r="N14" s="13">
        <f t="shared" ref="N14" si="12">M14/G14</f>
        <v>0.47519149079740913</v>
      </c>
      <c r="O14" s="14">
        <v>46191</v>
      </c>
      <c r="P14" s="15" t="s">
        <v>636</v>
      </c>
      <c r="R14" s="20"/>
    </row>
    <row r="15" spans="3:26" x14ac:dyDescent="0.25">
      <c r="C15" s="6" t="s">
        <v>15</v>
      </c>
      <c r="D15" s="7" t="s">
        <v>16</v>
      </c>
      <c r="E15" s="7" t="s">
        <v>120</v>
      </c>
      <c r="F15" s="8" t="s">
        <v>638</v>
      </c>
      <c r="G15" s="9">
        <f>+Rosera!J66</f>
        <v>2489.5100000000002</v>
      </c>
      <c r="H15" s="9">
        <f>+Rosera!AM66</f>
        <v>-1.5099999999999909</v>
      </c>
      <c r="I15" s="9">
        <f>+Rosera!AN66</f>
        <v>-3.0287240000000111</v>
      </c>
      <c r="J15" s="9">
        <f>+Rosera!AO66</f>
        <v>-0.97337800000001096</v>
      </c>
      <c r="K15" s="11">
        <v>448.91</v>
      </c>
      <c r="L15" s="11">
        <f t="shared" ref="L15" si="13">K15*2/3</f>
        <v>299.27333333333337</v>
      </c>
      <c r="M15" s="12">
        <f t="shared" ref="M15" si="14">I15*K15+J15*L15</f>
        <v>-1650.9305694933419</v>
      </c>
      <c r="N15" s="13">
        <f t="shared" ref="N15" si="15">M15/G15</f>
        <v>-0.66315482544490345</v>
      </c>
      <c r="O15" s="14">
        <v>46191</v>
      </c>
      <c r="P15" s="15" t="s">
        <v>636</v>
      </c>
      <c r="R15" s="20"/>
    </row>
    <row r="16" spans="3:26" x14ac:dyDescent="0.25">
      <c r="C16" s="6" t="s">
        <v>15</v>
      </c>
      <c r="D16" s="7" t="s">
        <v>16</v>
      </c>
      <c r="E16" s="7" t="s">
        <v>145</v>
      </c>
      <c r="F16" s="8" t="s">
        <v>146</v>
      </c>
      <c r="G16" s="9">
        <f>+Warisnagar!J66</f>
        <v>64351.104000000007</v>
      </c>
      <c r="H16" s="9">
        <f>+Warisnagar!AM66</f>
        <v>521.19600000000059</v>
      </c>
      <c r="I16" s="9">
        <f>+Warisnagar!AN66</f>
        <v>89.099966000000293</v>
      </c>
      <c r="J16" s="9">
        <f>+Warisnagar!AO66</f>
        <v>-62.361481999999782</v>
      </c>
      <c r="K16" s="11">
        <v>448.91</v>
      </c>
      <c r="L16" s="11">
        <f t="shared" si="5"/>
        <v>299.27333333333337</v>
      </c>
      <c r="M16" s="12">
        <f t="shared" si="3"/>
        <v>21334.737147313532</v>
      </c>
      <c r="N16" s="13">
        <f t="shared" ref="N16" si="16">M16/G16</f>
        <v>0.33153645891317624</v>
      </c>
      <c r="O16" s="14">
        <v>46191</v>
      </c>
      <c r="P16" s="15" t="s">
        <v>636</v>
      </c>
      <c r="R16" s="20"/>
    </row>
    <row r="17" spans="3:18" ht="15.75" thickBot="1" x14ac:dyDescent="0.3">
      <c r="C17" s="6" t="s">
        <v>15</v>
      </c>
      <c r="D17" s="7" t="s">
        <v>16</v>
      </c>
      <c r="E17" s="7" t="s">
        <v>128</v>
      </c>
      <c r="F17" s="8" t="s">
        <v>104</v>
      </c>
      <c r="G17" s="9">
        <f>+Kalyanpur!J66</f>
        <v>216519.802</v>
      </c>
      <c r="H17" s="9">
        <f>+Kalyanpur!AM66</f>
        <v>943.19799999998554</v>
      </c>
      <c r="I17" s="9">
        <f>+Kalyanpur!AN66</f>
        <v>162.51817149999926</v>
      </c>
      <c r="J17" s="9">
        <f>+Kalyanpur!AO66</f>
        <v>87.676562499997772</v>
      </c>
      <c r="K17" s="11">
        <v>448.91</v>
      </c>
      <c r="L17" s="11">
        <f t="shared" si="5"/>
        <v>299.27333333333337</v>
      </c>
      <c r="M17" s="12">
        <f>I17*K17+J17*L17</f>
        <v>99195.289482647335</v>
      </c>
      <c r="N17" s="13">
        <f t="shared" ref="N17" si="17">M17/G17</f>
        <v>0.45813495378426095</v>
      </c>
      <c r="O17" s="14">
        <v>46191</v>
      </c>
      <c r="P17" s="15" t="s">
        <v>636</v>
      </c>
      <c r="R17" s="20"/>
    </row>
    <row r="18" spans="3:18" ht="15.75" thickBot="1" x14ac:dyDescent="0.3">
      <c r="C18" s="246" t="s">
        <v>22</v>
      </c>
      <c r="D18" s="247"/>
      <c r="E18" s="247"/>
      <c r="F18" s="247"/>
      <c r="G18" s="21">
        <f t="shared" ref="G18:M18" si="18">SUM(G4:G17)</f>
        <v>1275186.1645999998</v>
      </c>
      <c r="H18" s="22">
        <f t="shared" si="18"/>
        <v>5982.9353999999694</v>
      </c>
      <c r="I18" s="22">
        <f t="shared" si="18"/>
        <v>965.27429419999885</v>
      </c>
      <c r="J18" s="22">
        <f t="shared" si="18"/>
        <v>-399.84724330000796</v>
      </c>
      <c r="K18" s="22">
        <f t="shared" si="18"/>
        <v>6284.7399999999989</v>
      </c>
      <c r="L18" s="22">
        <f t="shared" si="18"/>
        <v>4189.8266666666677</v>
      </c>
      <c r="M18" s="22">
        <f t="shared" si="18"/>
        <v>313657.66608278378</v>
      </c>
      <c r="N18" s="23">
        <f>M18/G18</f>
        <v>0.24597009816301754</v>
      </c>
      <c r="O18" s="24"/>
      <c r="P18" s="25"/>
    </row>
    <row r="19" spans="3:18" ht="15.75" thickBot="1" x14ac:dyDescent="0.3"/>
    <row r="20" spans="3:18" ht="15.75" thickBot="1" x14ac:dyDescent="0.3">
      <c r="C20" s="26" t="s">
        <v>15</v>
      </c>
      <c r="D20" s="27" t="s">
        <v>16</v>
      </c>
      <c r="E20" s="27" t="s">
        <v>162</v>
      </c>
      <c r="F20" s="28" t="s">
        <v>160</v>
      </c>
      <c r="G20" s="213">
        <f>'Singhia '!J66</f>
        <v>24004.778299999998</v>
      </c>
      <c r="H20" s="213">
        <f>+'Singhia '!AM66</f>
        <v>296.12170000000037</v>
      </c>
      <c r="I20" s="213">
        <f>+'Singhia '!AN66</f>
        <v>-44.677202799999989</v>
      </c>
      <c r="J20" s="213">
        <f>+'Singhia '!AO66</f>
        <v>-20.051926700000017</v>
      </c>
      <c r="K20" s="214">
        <v>448.91</v>
      </c>
      <c r="L20" s="214">
        <f t="shared" ref="L20" si="19">K20*2/3</f>
        <v>299.27333333333337</v>
      </c>
      <c r="M20" s="29">
        <f t="shared" ref="M20" si="20">I20*K20+J20*L20</f>
        <v>-26057.050052212668</v>
      </c>
      <c r="N20" s="30">
        <f t="shared" ref="N20" si="21">M20/G20</f>
        <v>-1.085494301449669</v>
      </c>
      <c r="O20" s="14">
        <v>46191</v>
      </c>
      <c r="P20" s="15" t="s">
        <v>636</v>
      </c>
    </row>
    <row r="21" spans="3:18" x14ac:dyDescent="0.25">
      <c r="C21" s="26" t="s">
        <v>15</v>
      </c>
      <c r="D21" s="27" t="s">
        <v>23</v>
      </c>
      <c r="E21" s="27" t="s">
        <v>121</v>
      </c>
      <c r="F21" s="28" t="s">
        <v>24</v>
      </c>
      <c r="G21" s="9">
        <f>+Laldiyara!J66</f>
        <v>268615.81150000007</v>
      </c>
      <c r="H21" s="9">
        <f>+Laldiyara!AM66</f>
        <v>-1063.8115000000034</v>
      </c>
      <c r="I21" s="9">
        <f>+Laldiyara!AN66</f>
        <v>-48.340041999999556</v>
      </c>
      <c r="J21" s="9">
        <f>+Laldiyara!AO66</f>
        <v>-128.41061219999901</v>
      </c>
      <c r="K21" s="10">
        <v>448.91001526471649</v>
      </c>
      <c r="L21" s="11">
        <f t="shared" ref="L21:L30" si="22">K21*2/3</f>
        <v>299.27334350981101</v>
      </c>
      <c r="M21" s="29">
        <f>I21*K21+J21*L21</f>
        <v>-60130.202247352267</v>
      </c>
      <c r="N21" s="30">
        <f t="shared" ref="N21:N30" si="23">M21/G21</f>
        <v>-0.22385205811815084</v>
      </c>
      <c r="O21" s="14">
        <v>46191</v>
      </c>
      <c r="P21" s="15" t="s">
        <v>636</v>
      </c>
    </row>
    <row r="22" spans="3:18" x14ac:dyDescent="0.25">
      <c r="C22" s="6" t="s">
        <v>15</v>
      </c>
      <c r="D22" s="7" t="s">
        <v>23</v>
      </c>
      <c r="E22" s="7" t="s">
        <v>122</v>
      </c>
      <c r="F22" s="8" t="s">
        <v>25</v>
      </c>
      <c r="G22" s="9">
        <f>+Asarganj!J66</f>
        <v>238296.73150000005</v>
      </c>
      <c r="H22" s="9">
        <f>+Asarganj!AM66</f>
        <v>1591.2684999999965</v>
      </c>
      <c r="I22" s="9">
        <f>+Asarganj!AN66</f>
        <v>128.79545949999982</v>
      </c>
      <c r="J22" s="9">
        <f>+Asarganj!AO66</f>
        <v>168.67754899999943</v>
      </c>
      <c r="K22" s="10">
        <v>448.91001526471649</v>
      </c>
      <c r="L22" s="11">
        <f t="shared" si="22"/>
        <v>299.27334350981101</v>
      </c>
      <c r="M22" s="12">
        <f>I22*K22+J22*L22</f>
        <v>108298.26575444092</v>
      </c>
      <c r="N22" s="13">
        <f t="shared" si="23"/>
        <v>0.4544681123938995</v>
      </c>
      <c r="O22" s="14">
        <v>46191</v>
      </c>
      <c r="P22" s="15" t="s">
        <v>636</v>
      </c>
    </row>
    <row r="23" spans="3:18" x14ac:dyDescent="0.25">
      <c r="C23" s="6" t="s">
        <v>15</v>
      </c>
      <c r="D23" s="7" t="s">
        <v>23</v>
      </c>
      <c r="E23" s="7" t="s">
        <v>150</v>
      </c>
      <c r="F23" s="8" t="s">
        <v>151</v>
      </c>
      <c r="G23" s="9">
        <f>+Parbatta!J66</f>
        <v>136222.95899999997</v>
      </c>
      <c r="H23" s="9">
        <f>+Parbatta!AM66</f>
        <v>709.04099999999471</v>
      </c>
      <c r="I23" s="9">
        <f>+Parbatta!AN66</f>
        <v>-90.776265000000222</v>
      </c>
      <c r="J23" s="9">
        <f>+Parbatta!AO66</f>
        <v>155.17529399999972</v>
      </c>
      <c r="K23" s="10">
        <v>448.91001526471649</v>
      </c>
      <c r="L23" s="11">
        <f t="shared" ref="L23" si="24">K23*2/3</f>
        <v>299.27334350981101</v>
      </c>
      <c r="M23" s="12">
        <f>I23*K23+J23*L23</f>
        <v>5689.4545586737877</v>
      </c>
      <c r="N23" s="13">
        <f t="shared" ref="N23" si="25">M23/G23</f>
        <v>4.1765753735196642E-2</v>
      </c>
      <c r="O23" s="14">
        <v>46191</v>
      </c>
      <c r="P23" s="15" t="s">
        <v>636</v>
      </c>
    </row>
    <row r="24" spans="3:18" x14ac:dyDescent="0.25">
      <c r="C24" s="6" t="s">
        <v>15</v>
      </c>
      <c r="D24" s="7" t="s">
        <v>26</v>
      </c>
      <c r="E24" s="7" t="s">
        <v>133</v>
      </c>
      <c r="F24" s="8" t="s">
        <v>27</v>
      </c>
      <c r="G24" s="9">
        <f>+Madhatpur!J66</f>
        <v>21169.590000000004</v>
      </c>
      <c r="H24" s="9">
        <f>+Madhatpur!AM66</f>
        <v>-33.590000000002192</v>
      </c>
      <c r="I24" s="9">
        <f>+Madhatpur!AN66</f>
        <v>-8.1186200000000426</v>
      </c>
      <c r="J24" s="9">
        <f>+Madhatpur!AO66</f>
        <v>-14.999409000000076</v>
      </c>
      <c r="K24" s="10">
        <v>448.91001526471649</v>
      </c>
      <c r="L24" s="11">
        <f t="shared" si="22"/>
        <v>299.27334350981101</v>
      </c>
      <c r="M24" s="12">
        <f t="shared" ref="M24:M30" si="26">I24*K24+J24*L24</f>
        <v>-8133.453110229626</v>
      </c>
      <c r="N24" s="13">
        <f t="shared" si="23"/>
        <v>-0.38420456467175906</v>
      </c>
      <c r="O24" s="14">
        <v>46191</v>
      </c>
      <c r="P24" s="15" t="s">
        <v>636</v>
      </c>
    </row>
    <row r="25" spans="3:18" x14ac:dyDescent="0.25">
      <c r="C25" s="6" t="s">
        <v>15</v>
      </c>
      <c r="D25" s="7" t="s">
        <v>26</v>
      </c>
      <c r="E25" s="7" t="s">
        <v>134</v>
      </c>
      <c r="F25" s="8" t="s">
        <v>136</v>
      </c>
      <c r="G25" s="9">
        <f>+Chautham!J66</f>
        <v>75449.673299999995</v>
      </c>
      <c r="H25" s="9">
        <f>+Chautham!AM66</f>
        <v>515.32669999999416</v>
      </c>
      <c r="I25" s="9">
        <f>+Chautham!AN66</f>
        <v>-44.286316799999796</v>
      </c>
      <c r="J25" s="9">
        <f>+Chautham!AO66</f>
        <v>-21.875505700000389</v>
      </c>
      <c r="K25" s="10">
        <v>448.91001526471649</v>
      </c>
      <c r="L25" s="11">
        <f t="shared" si="22"/>
        <v>299.27334350981101</v>
      </c>
      <c r="M25" s="12">
        <f>I25*K25+J25*L25</f>
        <v>-26427.326882513022</v>
      </c>
      <c r="N25" s="13">
        <f t="shared" si="23"/>
        <v>-0.35026429839442424</v>
      </c>
      <c r="O25" s="14">
        <v>46191</v>
      </c>
      <c r="P25" s="15" t="s">
        <v>636</v>
      </c>
    </row>
    <row r="26" spans="3:18" x14ac:dyDescent="0.25">
      <c r="C26" s="6" t="s">
        <v>15</v>
      </c>
      <c r="D26" s="7" t="s">
        <v>23</v>
      </c>
      <c r="E26" s="7" t="s">
        <v>123</v>
      </c>
      <c r="F26" s="8" t="s">
        <v>28</v>
      </c>
      <c r="G26" s="9">
        <f>+Sonvarsha!J66</f>
        <v>141893.00599999994</v>
      </c>
      <c r="H26" s="9">
        <f>+Sonvarsha!AM66</f>
        <v>304.9939999999915</v>
      </c>
      <c r="I26" s="9">
        <f>+Sonvarsha!AN66</f>
        <v>-37.506694000000294</v>
      </c>
      <c r="J26" s="9">
        <f>+Sonvarsha!AO66</f>
        <v>212.85590700000012</v>
      </c>
      <c r="K26" s="10">
        <v>448.91001526471649</v>
      </c>
      <c r="L26" s="11">
        <f t="shared" si="22"/>
        <v>299.27334350981101</v>
      </c>
      <c r="M26" s="12">
        <f t="shared" si="26"/>
        <v>46864.968397634235</v>
      </c>
      <c r="N26" s="13">
        <f t="shared" si="23"/>
        <v>0.33028385061934806</v>
      </c>
      <c r="O26" s="14">
        <v>46191</v>
      </c>
      <c r="P26" s="15" t="s">
        <v>636</v>
      </c>
    </row>
    <row r="27" spans="3:18" x14ac:dyDescent="0.25">
      <c r="C27" s="6" t="s">
        <v>15</v>
      </c>
      <c r="D27" s="7" t="s">
        <v>23</v>
      </c>
      <c r="E27" s="7" t="s">
        <v>152</v>
      </c>
      <c r="F27" s="8" t="s">
        <v>153</v>
      </c>
      <c r="G27" s="9">
        <f>+Gopalpur!J66</f>
        <v>44422.952399999995</v>
      </c>
      <c r="H27" s="9">
        <f>+Gopalpur!AM66</f>
        <v>486.04759999999578</v>
      </c>
      <c r="I27" s="9">
        <f>+Gopalpur!AN66</f>
        <v>-1.9781313999998531</v>
      </c>
      <c r="J27" s="9">
        <f>+Gopalpur!AO66</f>
        <v>-9.9703181999996957</v>
      </c>
      <c r="K27" s="10">
        <v>448.91001526471649</v>
      </c>
      <c r="L27" s="11">
        <f t="shared" ref="L27" si="27">K27*2/3</f>
        <v>299.27334350981101</v>
      </c>
      <c r="M27" s="12">
        <f>I27*K27+J27*L27</f>
        <v>-3871.8534605401783</v>
      </c>
      <c r="N27" s="13">
        <f t="shared" ref="N27" si="28">M27/G27</f>
        <v>-8.7158850354578835E-2</v>
      </c>
      <c r="O27" s="14">
        <v>46191</v>
      </c>
      <c r="P27" s="15" t="s">
        <v>636</v>
      </c>
    </row>
    <row r="28" spans="3:18" x14ac:dyDescent="0.25">
      <c r="C28" s="6" t="s">
        <v>15</v>
      </c>
      <c r="D28" s="7" t="s">
        <v>23</v>
      </c>
      <c r="E28" s="7" t="s">
        <v>124</v>
      </c>
      <c r="F28" s="8" t="s">
        <v>29</v>
      </c>
      <c r="G28" s="9">
        <f>+Araiya!J66</f>
        <v>184697.74599999998</v>
      </c>
      <c r="H28" s="9">
        <f>+Araiya!AM66</f>
        <v>208.65399999999886</v>
      </c>
      <c r="I28" s="9">
        <f>+Araiya!AN66</f>
        <v>40.57979099999956</v>
      </c>
      <c r="J28" s="9">
        <f>+Araiya!AO66</f>
        <v>-7.8802030000003498</v>
      </c>
      <c r="K28" s="10">
        <v>448.91001526471649</v>
      </c>
      <c r="L28" s="11">
        <f t="shared" si="22"/>
        <v>299.27334350981101</v>
      </c>
      <c r="M28" s="12">
        <f t="shared" si="26"/>
        <v>15858.339897902659</v>
      </c>
      <c r="N28" s="13">
        <f t="shared" si="23"/>
        <v>8.5861036430312801E-2</v>
      </c>
      <c r="O28" s="14">
        <v>46191</v>
      </c>
      <c r="P28" s="15" t="s">
        <v>636</v>
      </c>
    </row>
    <row r="29" spans="3:18" x14ac:dyDescent="0.25">
      <c r="C29" s="6" t="s">
        <v>15</v>
      </c>
      <c r="D29" s="7" t="s">
        <v>23</v>
      </c>
      <c r="E29" s="7" t="s">
        <v>125</v>
      </c>
      <c r="F29" s="8" t="s">
        <v>30</v>
      </c>
      <c r="G29" s="9">
        <f>+Teghra!J66</f>
        <v>87032.785500000013</v>
      </c>
      <c r="H29" s="9">
        <f>+Teghra!AM66</f>
        <v>-1018.7855000000025</v>
      </c>
      <c r="I29" s="9">
        <f>+Teghra!AN66</f>
        <v>15.122031999999969</v>
      </c>
      <c r="J29" s="9">
        <f>+Teghra!AO66</f>
        <v>62.330508999999537</v>
      </c>
      <c r="K29" s="10">
        <v>448.91001526471649</v>
      </c>
      <c r="L29" s="11">
        <f t="shared" si="22"/>
        <v>299.27334350981101</v>
      </c>
      <c r="M29" s="12">
        <f>I29*K29+J29*L29</f>
        <v>25442.291447051743</v>
      </c>
      <c r="N29" s="13">
        <f t="shared" si="23"/>
        <v>0.29232996853871507</v>
      </c>
      <c r="O29" s="14">
        <v>46191</v>
      </c>
      <c r="P29" s="15" t="s">
        <v>636</v>
      </c>
    </row>
    <row r="30" spans="3:18" ht="15.75" thickBot="1" x14ac:dyDescent="0.3">
      <c r="C30" s="215" t="s">
        <v>15</v>
      </c>
      <c r="D30" s="216" t="s">
        <v>23</v>
      </c>
      <c r="E30" s="216" t="s">
        <v>126</v>
      </c>
      <c r="F30" s="217" t="s">
        <v>31</v>
      </c>
      <c r="G30" s="218">
        <f>+Halsi!J66</f>
        <v>176591.13099999999</v>
      </c>
      <c r="H30" s="218">
        <f>+Halsi!AM66</f>
        <v>-491.13100000000304</v>
      </c>
      <c r="I30" s="218">
        <f>+Halsi!AN66</f>
        <v>140.15200600000003</v>
      </c>
      <c r="J30" s="218">
        <f>+Halsi!AO66</f>
        <v>-129.97403100000133</v>
      </c>
      <c r="K30" s="219">
        <v>448.91001526471649</v>
      </c>
      <c r="L30" s="220">
        <f t="shared" si="22"/>
        <v>299.27334350981101</v>
      </c>
      <c r="M30" s="221">
        <f t="shared" si="26"/>
        <v>24017.87632602243</v>
      </c>
      <c r="N30" s="222">
        <f t="shared" si="23"/>
        <v>0.13600839515560059</v>
      </c>
      <c r="O30" s="14">
        <v>46191</v>
      </c>
      <c r="P30" s="15" t="s">
        <v>636</v>
      </c>
    </row>
    <row r="31" spans="3:18" ht="15.75" thickBot="1" x14ac:dyDescent="0.3">
      <c r="C31" s="246" t="s">
        <v>32</v>
      </c>
      <c r="D31" s="247"/>
      <c r="E31" s="247"/>
      <c r="F31" s="247"/>
      <c r="G31" s="21">
        <f t="shared" ref="G31:M31" si="29">SUM(G21:G30)</f>
        <v>1374392.3862000001</v>
      </c>
      <c r="H31" s="22">
        <f t="shared" si="29"/>
        <v>1208.0137999999599</v>
      </c>
      <c r="I31" s="22">
        <f t="shared" si="29"/>
        <v>93.643219299999629</v>
      </c>
      <c r="J31" s="22">
        <f t="shared" si="29"/>
        <v>285.92917989999802</v>
      </c>
      <c r="K31" s="22">
        <f t="shared" si="29"/>
        <v>4489.1001526471646</v>
      </c>
      <c r="L31" s="22">
        <f t="shared" si="29"/>
        <v>2992.7334350981105</v>
      </c>
      <c r="M31" s="22">
        <f t="shared" si="29"/>
        <v>127608.36068109068</v>
      </c>
      <c r="N31" s="23">
        <f>M31/G31</f>
        <v>9.2847109720907067E-2</v>
      </c>
      <c r="O31" s="24"/>
      <c r="P31" s="25"/>
    </row>
    <row r="32" spans="3:18" ht="15.75" thickBot="1" x14ac:dyDescent="0.3">
      <c r="H32" s="20"/>
      <c r="I32" s="20"/>
      <c r="J32" s="20"/>
      <c r="M32" s="20"/>
      <c r="N32" s="20"/>
      <c r="O32" s="20"/>
    </row>
    <row r="33" spans="3:16" x14ac:dyDescent="0.25">
      <c r="C33" s="33" t="str">
        <f t="shared" ref="C33:P33" si="30">C3</f>
        <v>State</v>
      </c>
      <c r="D33" s="34" t="str">
        <f t="shared" si="30"/>
        <v>Type</v>
      </c>
      <c r="E33" s="34" t="str">
        <f t="shared" si="30"/>
        <v>Code</v>
      </c>
      <c r="F33" s="35" t="str">
        <f t="shared" si="30"/>
        <v>BMC Name</v>
      </c>
      <c r="G33" s="34" t="str">
        <f t="shared" si="30"/>
        <v>MTD Volume</v>
      </c>
      <c r="H33" s="36" t="str">
        <f t="shared" si="30"/>
        <v>Vol Kg</v>
      </c>
      <c r="I33" s="36" t="str">
        <f t="shared" si="30"/>
        <v>FAT kg</v>
      </c>
      <c r="J33" s="36" t="str">
        <f t="shared" si="30"/>
        <v>SNF Kg</v>
      </c>
      <c r="K33" s="34" t="str">
        <f t="shared" si="30"/>
        <v>FAT Rate</v>
      </c>
      <c r="L33" s="34" t="str">
        <f t="shared" si="30"/>
        <v>SNF Rate</v>
      </c>
      <c r="M33" s="36" t="str">
        <f t="shared" si="30"/>
        <v>Amount</v>
      </c>
      <c r="N33" s="34" t="str">
        <f t="shared" si="30"/>
        <v>Loss/gain per Kg</v>
      </c>
      <c r="O33" s="34" t="str">
        <f t="shared" si="30"/>
        <v>Day book received till</v>
      </c>
      <c r="P33" s="37" t="str">
        <f t="shared" si="30"/>
        <v>Remarks</v>
      </c>
    </row>
    <row r="34" spans="3:16" x14ac:dyDescent="0.25">
      <c r="C34" s="7" t="s">
        <v>33</v>
      </c>
      <c r="D34" s="7" t="s">
        <v>26</v>
      </c>
      <c r="E34" s="7" t="s">
        <v>34</v>
      </c>
      <c r="F34" s="38" t="s">
        <v>35</v>
      </c>
      <c r="G34" s="9">
        <v>57332.14850000001</v>
      </c>
      <c r="H34" s="9">
        <v>-33.198500000001332</v>
      </c>
      <c r="I34" s="9">
        <v>-59.944510000000051</v>
      </c>
      <c r="J34" s="9">
        <v>-62.066639999999921</v>
      </c>
      <c r="K34" s="10">
        <v>436.77</v>
      </c>
      <c r="L34" s="11">
        <v>296.59999999999997</v>
      </c>
      <c r="M34" s="12">
        <f t="shared" ref="M34" si="31">I34*K34+J34*L34</f>
        <v>-44590.929056699999</v>
      </c>
      <c r="N34" s="13">
        <f t="shared" ref="N34:N42" si="32">M34/G34</f>
        <v>-0.77776483566981602</v>
      </c>
      <c r="O34" s="14">
        <v>46186</v>
      </c>
      <c r="P34" s="15" t="s">
        <v>495</v>
      </c>
    </row>
    <row r="35" spans="3:16" x14ac:dyDescent="0.25">
      <c r="C35" s="7" t="s">
        <v>33</v>
      </c>
      <c r="D35" s="7" t="s">
        <v>26</v>
      </c>
      <c r="E35" s="7" t="s">
        <v>36</v>
      </c>
      <c r="F35" s="38" t="s">
        <v>37</v>
      </c>
      <c r="G35" s="9">
        <v>55815.751500000006</v>
      </c>
      <c r="H35" s="9">
        <v>-253.89150000000245</v>
      </c>
      <c r="I35" s="9">
        <v>-2.3606480000000802</v>
      </c>
      <c r="J35" s="9">
        <v>-61.700059999999695</v>
      </c>
      <c r="K35" s="10">
        <v>436.77</v>
      </c>
      <c r="L35" s="11">
        <v>296.59999999999997</v>
      </c>
      <c r="M35" s="12">
        <f t="shared" ref="M35:M42" si="33">I35*K35+J35*L35</f>
        <v>-19331.298022959942</v>
      </c>
      <c r="N35" s="13">
        <f t="shared" si="32"/>
        <v>-0.34634126574395291</v>
      </c>
      <c r="O35" s="14">
        <v>46184</v>
      </c>
      <c r="P35" s="15" t="s">
        <v>414</v>
      </c>
    </row>
    <row r="36" spans="3:16" x14ac:dyDescent="0.25">
      <c r="C36" s="7" t="s">
        <v>33</v>
      </c>
      <c r="D36" s="7" t="s">
        <v>26</v>
      </c>
      <c r="E36" s="7" t="s">
        <v>38</v>
      </c>
      <c r="F36" s="38" t="s">
        <v>39</v>
      </c>
      <c r="G36" s="9">
        <v>14476.619099999994</v>
      </c>
      <c r="H36" s="9">
        <v>-16.269100000000098</v>
      </c>
      <c r="I36" s="9">
        <v>-6.9331649999999865</v>
      </c>
      <c r="J36" s="9">
        <v>-21.573147999999936</v>
      </c>
      <c r="K36" s="10">
        <v>436.77</v>
      </c>
      <c r="L36" s="11">
        <v>296.59999999999997</v>
      </c>
      <c r="M36" s="12">
        <f t="shared" si="33"/>
        <v>-9426.794173849974</v>
      </c>
      <c r="N36" s="13">
        <f t="shared" si="32"/>
        <v>-0.65117373806222323</v>
      </c>
      <c r="O36" s="14">
        <v>46184</v>
      </c>
      <c r="P36" s="15" t="s">
        <v>414</v>
      </c>
    </row>
    <row r="37" spans="3:16" x14ac:dyDescent="0.25">
      <c r="C37" s="7" t="s">
        <v>33</v>
      </c>
      <c r="D37" s="7" t="s">
        <v>26</v>
      </c>
      <c r="E37" s="7" t="s">
        <v>40</v>
      </c>
      <c r="F37" s="8" t="s">
        <v>41</v>
      </c>
      <c r="G37" s="9">
        <v>6665.8509999999997</v>
      </c>
      <c r="H37" s="9">
        <v>88.008999999999517</v>
      </c>
      <c r="I37" s="9">
        <v>-28.11142400000001</v>
      </c>
      <c r="J37" s="9">
        <v>-20.091168000000017</v>
      </c>
      <c r="K37" s="10">
        <v>436.77</v>
      </c>
      <c r="L37" s="11">
        <v>296.59999999999997</v>
      </c>
      <c r="M37" s="12">
        <f t="shared" si="33"/>
        <v>-18237.267089280009</v>
      </c>
      <c r="N37" s="13">
        <f t="shared" ref="N37" si="34">M37/G37</f>
        <v>-2.7359248037917454</v>
      </c>
      <c r="O37" s="14">
        <v>46184</v>
      </c>
      <c r="P37" s="15" t="s">
        <v>414</v>
      </c>
    </row>
    <row r="38" spans="3:16" ht="14.45" hidden="1" customHeight="1" x14ac:dyDescent="0.25">
      <c r="C38" s="7" t="s">
        <v>33</v>
      </c>
      <c r="D38" s="7" t="s">
        <v>26</v>
      </c>
      <c r="E38" s="7" t="s">
        <v>42</v>
      </c>
      <c r="F38" s="8" t="s">
        <v>43</v>
      </c>
      <c r="G38" s="9">
        <v>0</v>
      </c>
      <c r="H38" s="9">
        <v>0</v>
      </c>
      <c r="I38" s="9">
        <v>0</v>
      </c>
      <c r="J38" s="9">
        <v>0</v>
      </c>
      <c r="K38" s="10">
        <v>436.77</v>
      </c>
      <c r="L38" s="11">
        <v>296.59999999999997</v>
      </c>
      <c r="M38" s="12">
        <f t="shared" si="33"/>
        <v>0</v>
      </c>
      <c r="N38" s="13" t="e">
        <f t="shared" si="32"/>
        <v>#DIV/0!</v>
      </c>
      <c r="O38" s="14">
        <v>46184</v>
      </c>
      <c r="P38" s="15" t="s">
        <v>414</v>
      </c>
    </row>
    <row r="39" spans="3:16" x14ac:dyDescent="0.25">
      <c r="C39" s="7" t="s">
        <v>33</v>
      </c>
      <c r="D39" s="7" t="s">
        <v>26</v>
      </c>
      <c r="E39" s="7" t="s">
        <v>44</v>
      </c>
      <c r="F39" s="8" t="s">
        <v>45</v>
      </c>
      <c r="G39" s="9">
        <v>39223.890899999999</v>
      </c>
      <c r="H39" s="9">
        <v>1444.6190999999994</v>
      </c>
      <c r="I39" s="9">
        <v>-52.547723999999903</v>
      </c>
      <c r="J39" s="9">
        <v>22.833231999999668</v>
      </c>
      <c r="K39" s="10">
        <v>436.77</v>
      </c>
      <c r="L39" s="11">
        <v>296.59999999999997</v>
      </c>
      <c r="M39" s="12">
        <f t="shared" si="33"/>
        <v>-16178.932800280054</v>
      </c>
      <c r="N39" s="13">
        <f t="shared" si="32"/>
        <v>-0.41247648892170602</v>
      </c>
      <c r="O39" s="14">
        <v>46188</v>
      </c>
      <c r="P39" s="15" t="s">
        <v>496</v>
      </c>
    </row>
    <row r="40" spans="3:16" x14ac:dyDescent="0.25">
      <c r="C40" s="7" t="s">
        <v>33</v>
      </c>
      <c r="D40" s="7" t="s">
        <v>26</v>
      </c>
      <c r="E40" s="7" t="s">
        <v>46</v>
      </c>
      <c r="F40" s="8" t="s">
        <v>47</v>
      </c>
      <c r="G40" s="9">
        <v>18930.738299999997</v>
      </c>
      <c r="H40" s="9">
        <v>-142.95830000000018</v>
      </c>
      <c r="I40" s="9">
        <v>-15.784887999999995</v>
      </c>
      <c r="J40" s="9">
        <v>-40.624293000000101</v>
      </c>
      <c r="K40" s="10">
        <v>436.77</v>
      </c>
      <c r="L40" s="11">
        <v>296.59999999999997</v>
      </c>
      <c r="M40" s="12">
        <f t="shared" si="33"/>
        <v>-18943.530835560025</v>
      </c>
      <c r="N40" s="13">
        <f t="shared" ref="N40" si="35">M40/G40</f>
        <v>-1.0006757547094731</v>
      </c>
      <c r="O40" s="14">
        <v>46185</v>
      </c>
      <c r="P40" s="15" t="s">
        <v>497</v>
      </c>
    </row>
    <row r="41" spans="3:16" x14ac:dyDescent="0.25">
      <c r="C41" s="7" t="s">
        <v>33</v>
      </c>
      <c r="D41" s="7" t="s">
        <v>26</v>
      </c>
      <c r="E41" s="7" t="s">
        <v>103</v>
      </c>
      <c r="F41" s="8" t="s">
        <v>102</v>
      </c>
      <c r="G41" s="9">
        <v>29859.411599999999</v>
      </c>
      <c r="H41" s="9">
        <v>1051.588399999999</v>
      </c>
      <c r="I41" s="9">
        <v>-6.9077000000000837</v>
      </c>
      <c r="J41" s="9">
        <v>2.1372999999996836</v>
      </c>
      <c r="K41" s="10">
        <v>436.77</v>
      </c>
      <c r="L41" s="11">
        <v>296.59999999999997</v>
      </c>
      <c r="M41" s="12">
        <f t="shared" si="33"/>
        <v>-2383.1529490001303</v>
      </c>
      <c r="N41" s="13">
        <f t="shared" si="32"/>
        <v>-7.9812455145637576E-2</v>
      </c>
      <c r="O41" s="14">
        <v>46184</v>
      </c>
      <c r="P41" s="15" t="s">
        <v>414</v>
      </c>
    </row>
    <row r="42" spans="3:16" ht="15.75" thickBot="1" x14ac:dyDescent="0.3">
      <c r="C42" s="7" t="s">
        <v>33</v>
      </c>
      <c r="D42" s="7" t="s">
        <v>26</v>
      </c>
      <c r="E42" s="205" t="s">
        <v>131</v>
      </c>
      <c r="F42" s="206" t="s">
        <v>132</v>
      </c>
      <c r="G42" s="9">
        <v>32256.854000000007</v>
      </c>
      <c r="H42" s="9">
        <v>118.14599999999655</v>
      </c>
      <c r="I42" s="9">
        <v>8.9236999999999007</v>
      </c>
      <c r="J42" s="9">
        <v>-53.130656999999928</v>
      </c>
      <c r="K42" s="10">
        <v>436.77</v>
      </c>
      <c r="L42" s="11">
        <v>296.59999999999997</v>
      </c>
      <c r="M42" s="12">
        <f t="shared" si="33"/>
        <v>-11860.948417200019</v>
      </c>
      <c r="N42" s="13">
        <f t="shared" si="32"/>
        <v>-0.36770319936345985</v>
      </c>
      <c r="O42" s="14">
        <v>46188</v>
      </c>
      <c r="P42" s="15" t="s">
        <v>496</v>
      </c>
    </row>
    <row r="43" spans="3:16" ht="15" customHeight="1" thickBot="1" x14ac:dyDescent="0.3">
      <c r="C43" s="223" t="s">
        <v>48</v>
      </c>
      <c r="D43" s="224"/>
      <c r="E43" s="224"/>
      <c r="F43" s="225"/>
      <c r="G43" s="39">
        <f>SUM(G34:G42)</f>
        <v>254561.26490000001</v>
      </c>
      <c r="H43" s="22">
        <f>SUM(H34:H42)</f>
        <v>2256.0450999999903</v>
      </c>
      <c r="I43" s="22">
        <f>SUM(I34:I42)</f>
        <v>-163.66635900000023</v>
      </c>
      <c r="J43" s="22">
        <f>SUM(J34:J42)</f>
        <v>-234.21543400000024</v>
      </c>
      <c r="K43" s="40">
        <f t="shared" ref="K43:L43" si="36">SUM(K34:K41)</f>
        <v>3494.16</v>
      </c>
      <c r="L43" s="40">
        <f t="shared" si="36"/>
        <v>2372.7999999999997</v>
      </c>
      <c r="M43" s="22">
        <f>SUM(M34:M42)</f>
        <v>-140952.85334483013</v>
      </c>
      <c r="N43" s="23">
        <f>M43/G43</f>
        <v>-0.55370896039584427</v>
      </c>
      <c r="O43" s="24"/>
      <c r="P43" s="25"/>
    </row>
    <row r="44" spans="3:16" ht="15.75" thickBot="1" x14ac:dyDescent="0.3">
      <c r="H44" s="20"/>
      <c r="I44" s="20"/>
      <c r="J44" s="20"/>
      <c r="M44" s="20"/>
      <c r="N44" s="20"/>
      <c r="O44" s="20"/>
    </row>
    <row r="45" spans="3:16" x14ac:dyDescent="0.25">
      <c r="C45" s="33" t="str">
        <f t="shared" ref="C45:P45" si="37">C33</f>
        <v>State</v>
      </c>
      <c r="D45" s="34" t="str">
        <f t="shared" si="37"/>
        <v>Type</v>
      </c>
      <c r="E45" s="34" t="str">
        <f t="shared" si="37"/>
        <v>Code</v>
      </c>
      <c r="F45" s="35" t="str">
        <f t="shared" si="37"/>
        <v>BMC Name</v>
      </c>
      <c r="G45" s="34" t="str">
        <f t="shared" si="37"/>
        <v>MTD Volume</v>
      </c>
      <c r="H45" s="36" t="str">
        <f t="shared" si="37"/>
        <v>Vol Kg</v>
      </c>
      <c r="I45" s="36" t="str">
        <f t="shared" si="37"/>
        <v>FAT kg</v>
      </c>
      <c r="J45" s="36" t="str">
        <f t="shared" si="37"/>
        <v>SNF Kg</v>
      </c>
      <c r="K45" s="34" t="str">
        <f t="shared" si="37"/>
        <v>FAT Rate</v>
      </c>
      <c r="L45" s="34" t="str">
        <f t="shared" si="37"/>
        <v>SNF Rate</v>
      </c>
      <c r="M45" s="36" t="str">
        <f t="shared" si="37"/>
        <v>Amount</v>
      </c>
      <c r="N45" s="34" t="str">
        <f t="shared" si="37"/>
        <v>Loss/gain per Kg</v>
      </c>
      <c r="O45" s="34" t="str">
        <f t="shared" si="37"/>
        <v>Day book received till</v>
      </c>
      <c r="P45" s="37" t="str">
        <f t="shared" si="37"/>
        <v>Remarks</v>
      </c>
    </row>
    <row r="46" spans="3:16" x14ac:dyDescent="0.25">
      <c r="C46" s="6" t="s">
        <v>49</v>
      </c>
      <c r="D46" s="7" t="s">
        <v>16</v>
      </c>
      <c r="E46" s="7" t="s">
        <v>50</v>
      </c>
      <c r="F46" s="8" t="s">
        <v>51</v>
      </c>
      <c r="G46" s="9">
        <v>97975.199999999983</v>
      </c>
      <c r="H46" s="12">
        <v>1679.50000000001</v>
      </c>
      <c r="I46" s="12">
        <v>58.374640000000099</v>
      </c>
      <c r="J46" s="12">
        <v>30.687480000000001</v>
      </c>
      <c r="K46" s="10">
        <v>420.58</v>
      </c>
      <c r="L46" s="11">
        <v>296.59999999999997</v>
      </c>
      <c r="M46" s="12">
        <f t="shared" ref="M46" si="38">I46*K46+J46*L46</f>
        <v>33653.112659200036</v>
      </c>
      <c r="N46" s="13">
        <f t="shared" ref="N46:N59" si="39">M46/G46</f>
        <v>0.34348603176314052</v>
      </c>
      <c r="O46" s="14">
        <v>46189</v>
      </c>
      <c r="P46" s="15" t="s">
        <v>558</v>
      </c>
    </row>
    <row r="47" spans="3:16" x14ac:dyDescent="0.25">
      <c r="C47" s="6" t="s">
        <v>49</v>
      </c>
      <c r="D47" s="7" t="s">
        <v>16</v>
      </c>
      <c r="E47" s="7" t="s">
        <v>52</v>
      </c>
      <c r="F47" s="8" t="s">
        <v>53</v>
      </c>
      <c r="G47" s="9">
        <v>87287.76</v>
      </c>
      <c r="H47" s="12">
        <v>219.639999999998</v>
      </c>
      <c r="I47" s="12">
        <v>-2.4231500000001298</v>
      </c>
      <c r="J47" s="12">
        <v>-54.918819999999201</v>
      </c>
      <c r="K47" s="10">
        <v>420.58</v>
      </c>
      <c r="L47" s="11">
        <v>296.59999999999997</v>
      </c>
      <c r="M47" s="12">
        <f t="shared" ref="M47:M58" si="40">I47*K47+J47*L47</f>
        <v>-17308.050438999817</v>
      </c>
      <c r="N47" s="13">
        <f t="shared" si="39"/>
        <v>-0.19828725630030852</v>
      </c>
      <c r="O47" s="14">
        <v>46190</v>
      </c>
      <c r="P47" s="15" t="s">
        <v>559</v>
      </c>
    </row>
    <row r="48" spans="3:16" x14ac:dyDescent="0.25">
      <c r="C48" s="6" t="s">
        <v>49</v>
      </c>
      <c r="D48" s="7" t="s">
        <v>16</v>
      </c>
      <c r="E48" s="7" t="s">
        <v>141</v>
      </c>
      <c r="F48" s="8" t="s">
        <v>130</v>
      </c>
      <c r="G48" s="9">
        <v>49538.8</v>
      </c>
      <c r="H48" s="12">
        <v>-67.899999999999196</v>
      </c>
      <c r="I48" s="12">
        <v>15.7528500000001</v>
      </c>
      <c r="J48" s="12">
        <v>46.356559999999597</v>
      </c>
      <c r="K48" s="10">
        <v>420.58</v>
      </c>
      <c r="L48" s="11">
        <v>296.59999999999997</v>
      </c>
      <c r="M48" s="12">
        <f t="shared" si="40"/>
        <v>20374.68934899992</v>
      </c>
      <c r="N48" s="13">
        <f t="shared" si="39"/>
        <v>0.41128750290681082</v>
      </c>
      <c r="O48" s="14">
        <v>46190</v>
      </c>
      <c r="P48" s="15" t="s">
        <v>559</v>
      </c>
    </row>
    <row r="49" spans="3:16" x14ac:dyDescent="0.25">
      <c r="C49" s="6" t="s">
        <v>49</v>
      </c>
      <c r="D49" s="7" t="s">
        <v>16</v>
      </c>
      <c r="E49" s="7" t="s">
        <v>157</v>
      </c>
      <c r="F49" s="8" t="s">
        <v>158</v>
      </c>
      <c r="G49" s="9">
        <v>144428.30000000002</v>
      </c>
      <c r="H49" s="12">
        <v>2741.7000000000098</v>
      </c>
      <c r="I49" s="12">
        <v>-147.17032999999901</v>
      </c>
      <c r="J49" s="12">
        <v>168.65714000000099</v>
      </c>
      <c r="K49" s="10">
        <v>420.58</v>
      </c>
      <c r="L49" s="11">
        <v>296.59999999999997</v>
      </c>
      <c r="M49" s="12">
        <f t="shared" ref="M49" si="41">I49*K49+J49*L49</f>
        <v>-11873.189667399289</v>
      </c>
      <c r="N49" s="13">
        <f t="shared" ref="N49" si="42">M49/G49</f>
        <v>-8.2208193736264201E-2</v>
      </c>
      <c r="O49" s="14">
        <v>46190</v>
      </c>
      <c r="P49" s="15" t="s">
        <v>559</v>
      </c>
    </row>
    <row r="50" spans="3:16" x14ac:dyDescent="0.25">
      <c r="C50" s="6" t="s">
        <v>49</v>
      </c>
      <c r="D50" s="7" t="s">
        <v>16</v>
      </c>
      <c r="E50" s="7" t="s">
        <v>54</v>
      </c>
      <c r="F50" s="8" t="s">
        <v>55</v>
      </c>
      <c r="G50" s="9">
        <v>39849.1</v>
      </c>
      <c r="H50" s="12">
        <v>-235.100000000004</v>
      </c>
      <c r="I50" s="12">
        <v>93.382400000000004</v>
      </c>
      <c r="J50" s="12">
        <v>7.1961999999993402</v>
      </c>
      <c r="K50" s="10">
        <v>420.58</v>
      </c>
      <c r="L50" s="11">
        <v>296.59999999999997</v>
      </c>
      <c r="M50" s="12">
        <f t="shared" si="40"/>
        <v>41409.162711999801</v>
      </c>
      <c r="N50" s="13">
        <f t="shared" si="39"/>
        <v>1.0391492583772231</v>
      </c>
      <c r="O50" s="14">
        <v>46189</v>
      </c>
      <c r="P50" s="15" t="s">
        <v>558</v>
      </c>
    </row>
    <row r="51" spans="3:16" x14ac:dyDescent="0.25">
      <c r="C51" s="6" t="s">
        <v>49</v>
      </c>
      <c r="D51" s="7" t="s">
        <v>16</v>
      </c>
      <c r="E51" s="7" t="s">
        <v>56</v>
      </c>
      <c r="F51" s="8" t="s">
        <v>57</v>
      </c>
      <c r="G51" s="9">
        <v>74180.799999999988</v>
      </c>
      <c r="H51" s="12">
        <v>-77.799999999997198</v>
      </c>
      <c r="I51" s="12">
        <v>133.63800000000001</v>
      </c>
      <c r="J51" s="12">
        <v>-238.71536</v>
      </c>
      <c r="K51" s="10">
        <v>420.58</v>
      </c>
      <c r="L51" s="11">
        <v>296.59999999999997</v>
      </c>
      <c r="M51" s="12">
        <f t="shared" si="40"/>
        <v>-14597.505735999992</v>
      </c>
      <c r="N51" s="13">
        <f t="shared" si="39"/>
        <v>-0.19678280277376348</v>
      </c>
      <c r="O51" s="14">
        <v>46190</v>
      </c>
      <c r="P51" s="15" t="s">
        <v>559</v>
      </c>
    </row>
    <row r="52" spans="3:16" x14ac:dyDescent="0.25">
      <c r="C52" s="6" t="s">
        <v>49</v>
      </c>
      <c r="D52" s="7" t="s">
        <v>16</v>
      </c>
      <c r="E52" s="7" t="s">
        <v>129</v>
      </c>
      <c r="F52" s="8" t="s">
        <v>142</v>
      </c>
      <c r="G52" s="9">
        <v>37554.160000000003</v>
      </c>
      <c r="H52" s="12">
        <v>-276.16000000000003</v>
      </c>
      <c r="I52" s="12">
        <v>83.445580000000007</v>
      </c>
      <c r="J52" s="12">
        <v>-37.9444799999998</v>
      </c>
      <c r="K52" s="10">
        <v>420.58</v>
      </c>
      <c r="L52" s="11">
        <v>296.59999999999997</v>
      </c>
      <c r="M52" s="12">
        <f t="shared" si="40"/>
        <v>23841.20926840006</v>
      </c>
      <c r="N52" s="13">
        <f t="shared" ref="N52" si="43">M52/G52</f>
        <v>0.63484868968977226</v>
      </c>
      <c r="O52" s="14">
        <v>46189</v>
      </c>
      <c r="P52" s="15" t="s">
        <v>558</v>
      </c>
    </row>
    <row r="53" spans="3:16" x14ac:dyDescent="0.25">
      <c r="C53" s="6" t="s">
        <v>49</v>
      </c>
      <c r="D53" s="7" t="s">
        <v>16</v>
      </c>
      <c r="E53" s="7" t="s">
        <v>58</v>
      </c>
      <c r="F53" s="8" t="s">
        <v>59</v>
      </c>
      <c r="G53" s="9">
        <v>130972</v>
      </c>
      <c r="H53" s="12">
        <v>185.25633820061901</v>
      </c>
      <c r="I53" s="12">
        <v>74.606549992420895</v>
      </c>
      <c r="J53" s="12">
        <v>23.265158267292499</v>
      </c>
      <c r="K53" s="10">
        <v>420.58</v>
      </c>
      <c r="L53" s="11">
        <v>296.59999999999997</v>
      </c>
      <c r="M53" s="12">
        <f t="shared" si="40"/>
        <v>38278.468737891337</v>
      </c>
      <c r="N53" s="13">
        <f t="shared" si="39"/>
        <v>0.29226452018669136</v>
      </c>
      <c r="O53" s="14">
        <v>46189</v>
      </c>
      <c r="P53" s="15" t="s">
        <v>558</v>
      </c>
    </row>
    <row r="54" spans="3:16" x14ac:dyDescent="0.25">
      <c r="C54" s="6" t="s">
        <v>49</v>
      </c>
      <c r="D54" s="7" t="s">
        <v>16</v>
      </c>
      <c r="E54" s="17" t="s">
        <v>109</v>
      </c>
      <c r="F54" s="18" t="s">
        <v>110</v>
      </c>
      <c r="G54" s="31">
        <v>64193.399999999994</v>
      </c>
      <c r="H54" s="32">
        <v>448.6</v>
      </c>
      <c r="I54" s="32">
        <v>3.8819799999999298</v>
      </c>
      <c r="J54" s="32">
        <v>71.204770000000394</v>
      </c>
      <c r="K54" s="10">
        <v>420.58</v>
      </c>
      <c r="L54" s="11">
        <v>296.59999999999997</v>
      </c>
      <c r="M54" s="12">
        <f t="shared" si="40"/>
        <v>22752.017930400085</v>
      </c>
      <c r="N54" s="13">
        <f t="shared" ref="N54:N57" si="44">M54/G54</f>
        <v>0.35442923930497661</v>
      </c>
      <c r="O54" s="14">
        <v>46190</v>
      </c>
      <c r="P54" s="15" t="s">
        <v>559</v>
      </c>
    </row>
    <row r="55" spans="3:16" x14ac:dyDescent="0.25">
      <c r="C55" s="6" t="s">
        <v>49</v>
      </c>
      <c r="D55" s="7" t="s">
        <v>16</v>
      </c>
      <c r="E55" s="17" t="s">
        <v>143</v>
      </c>
      <c r="F55" s="18" t="s">
        <v>144</v>
      </c>
      <c r="G55" s="31">
        <v>33638.400000000001</v>
      </c>
      <c r="H55" s="32">
        <v>-70.951513468479803</v>
      </c>
      <c r="I55" s="32">
        <v>-3.6721964671102199</v>
      </c>
      <c r="J55" s="32">
        <v>77.855559409471098</v>
      </c>
      <c r="K55" s="10">
        <v>420.58</v>
      </c>
      <c r="L55" s="11">
        <v>296.59999999999997</v>
      </c>
      <c r="M55" s="12">
        <f t="shared" si="40"/>
        <v>21547.506530711908</v>
      </c>
      <c r="N55" s="13">
        <f t="shared" ref="N55:N56" si="45">M55/G55</f>
        <v>0.64056276549157831</v>
      </c>
      <c r="O55" s="14">
        <v>46190</v>
      </c>
      <c r="P55" s="15" t="s">
        <v>559</v>
      </c>
    </row>
    <row r="56" spans="3:16" x14ac:dyDescent="0.25">
      <c r="C56" s="6" t="s">
        <v>49</v>
      </c>
      <c r="D56" s="7" t="s">
        <v>16</v>
      </c>
      <c r="E56" s="17" t="s">
        <v>173</v>
      </c>
      <c r="F56" s="18" t="s">
        <v>174</v>
      </c>
      <c r="G56" s="31">
        <v>27987.18</v>
      </c>
      <c r="H56" s="32">
        <v>175.82</v>
      </c>
      <c r="I56" s="32">
        <v>-12.4004960000001</v>
      </c>
      <c r="J56" s="32">
        <v>10.3503279999996</v>
      </c>
      <c r="K56" s="10">
        <v>420.58</v>
      </c>
      <c r="L56" s="11">
        <v>296.59999999999997</v>
      </c>
      <c r="M56" s="12">
        <f t="shared" si="40"/>
        <v>-2145.4933228801606</v>
      </c>
      <c r="N56" s="13">
        <f t="shared" si="45"/>
        <v>-7.665986079627031E-2</v>
      </c>
      <c r="O56" s="14">
        <v>46190</v>
      </c>
      <c r="P56" s="15" t="s">
        <v>559</v>
      </c>
    </row>
    <row r="57" spans="3:16" x14ac:dyDescent="0.25">
      <c r="C57" s="6" t="s">
        <v>49</v>
      </c>
      <c r="D57" s="7" t="s">
        <v>16</v>
      </c>
      <c r="E57" s="17" t="s">
        <v>139</v>
      </c>
      <c r="F57" s="18" t="s">
        <v>140</v>
      </c>
      <c r="G57" s="31">
        <v>66011.899999999994</v>
      </c>
      <c r="H57" s="32">
        <v>93.365735325272894</v>
      </c>
      <c r="I57" s="32">
        <v>48.195357040935001</v>
      </c>
      <c r="J57" s="32">
        <v>100.944072553748</v>
      </c>
      <c r="K57" s="10">
        <v>420.58</v>
      </c>
      <c r="L57" s="11">
        <v>296.59999999999997</v>
      </c>
      <c r="M57" s="12">
        <f t="shared" si="40"/>
        <v>50210.015183718097</v>
      </c>
      <c r="N57" s="13">
        <f t="shared" si="44"/>
        <v>0.76062066360335179</v>
      </c>
      <c r="O57" s="14">
        <v>46190</v>
      </c>
      <c r="P57" s="15" t="s">
        <v>559</v>
      </c>
    </row>
    <row r="58" spans="3:16" ht="15.75" thickBot="1" x14ac:dyDescent="0.3">
      <c r="C58" s="16" t="s">
        <v>49</v>
      </c>
      <c r="D58" s="17" t="s">
        <v>16</v>
      </c>
      <c r="E58" s="17" t="s">
        <v>60</v>
      </c>
      <c r="F58" s="18" t="s">
        <v>61</v>
      </c>
      <c r="G58" s="31">
        <v>118711.1</v>
      </c>
      <c r="H58" s="32">
        <v>213.90000000000501</v>
      </c>
      <c r="I58" s="32">
        <v>15.516799999999799</v>
      </c>
      <c r="J58" s="32">
        <v>83.365899999999201</v>
      </c>
      <c r="K58" s="10">
        <v>420.58</v>
      </c>
      <c r="L58" s="11">
        <v>296.59999999999997</v>
      </c>
      <c r="M58" s="12">
        <f t="shared" si="40"/>
        <v>31252.381683999673</v>
      </c>
      <c r="N58" s="19">
        <f t="shared" si="39"/>
        <v>0.2632641908296669</v>
      </c>
      <c r="O58" s="14">
        <v>46189</v>
      </c>
      <c r="P58" s="15" t="s">
        <v>558</v>
      </c>
    </row>
    <row r="59" spans="3:16" ht="15.75" thickBot="1" x14ac:dyDescent="0.3">
      <c r="C59" s="246" t="s">
        <v>62</v>
      </c>
      <c r="D59" s="247"/>
      <c r="E59" s="247"/>
      <c r="F59" s="247"/>
      <c r="G59" s="41">
        <f>SUM(G46:G58)</f>
        <v>972328.1</v>
      </c>
      <c r="H59" s="22">
        <f>SUM(H46:H58)</f>
        <v>5029.8705600574349</v>
      </c>
      <c r="I59" s="22">
        <f>SUM(I46:I58)</f>
        <v>361.12798456624643</v>
      </c>
      <c r="J59" s="22">
        <f>SUM(J46:J58)</f>
        <v>288.30450823051177</v>
      </c>
      <c r="K59" s="40"/>
      <c r="L59" s="40"/>
      <c r="M59" s="22">
        <f>SUM(M46:M58)</f>
        <v>237394.32489004167</v>
      </c>
      <c r="N59" s="23">
        <f t="shared" si="39"/>
        <v>0.24415043120736887</v>
      </c>
      <c r="O59" s="24"/>
      <c r="P59" s="42"/>
    </row>
  </sheetData>
  <mergeCells count="5">
    <mergeCell ref="C59:F59"/>
    <mergeCell ref="C2:P2"/>
    <mergeCell ref="C18:F18"/>
    <mergeCell ref="C31:F31"/>
    <mergeCell ref="U4:Z4"/>
  </mergeCells>
  <conditionalFormatting sqref="H4:N17">
    <cfRule type="cellIs" dxfId="140" priority="3" operator="greaterThan">
      <formula>0</formula>
    </cfRule>
    <cfRule type="cellIs" dxfId="139" priority="4" operator="lessThan">
      <formula>0</formula>
    </cfRule>
  </conditionalFormatting>
  <conditionalFormatting sqref="H20:N30">
    <cfRule type="cellIs" dxfId="138" priority="1" operator="greaterThan">
      <formula>0</formula>
    </cfRule>
    <cfRule type="cellIs" dxfId="137" priority="2" operator="lessThan">
      <formula>0</formula>
    </cfRule>
  </conditionalFormatting>
  <conditionalFormatting sqref="H34:N42">
    <cfRule type="cellIs" dxfId="136" priority="5" operator="greaterThan">
      <formula>0</formula>
    </cfRule>
    <cfRule type="cellIs" dxfId="135" priority="6" operator="lessThan">
      <formula>0</formula>
    </cfRule>
  </conditionalFormatting>
  <conditionalFormatting sqref="H46:N58">
    <cfRule type="cellIs" dxfId="134" priority="21" operator="greaterThan">
      <formula>0</formula>
    </cfRule>
    <cfRule type="cellIs" dxfId="133" priority="22" operator="lessThan">
      <formula>0</formula>
    </cfRule>
  </conditionalFormatting>
  <conditionalFormatting sqref="H18:O19 H31:O32">
    <cfRule type="cellIs" dxfId="132" priority="63" operator="greaterThan">
      <formula>0</formula>
    </cfRule>
    <cfRule type="cellIs" dxfId="131" priority="64" operator="lessThan">
      <formula>0</formula>
    </cfRule>
  </conditionalFormatting>
  <conditionalFormatting sqref="H43:O44">
    <cfRule type="cellIs" dxfId="130" priority="61" operator="greaterThan">
      <formula>0</formula>
    </cfRule>
    <cfRule type="cellIs" dxfId="129" priority="62" operator="lessThan">
      <formula>0</formula>
    </cfRule>
  </conditionalFormatting>
  <conditionalFormatting sqref="H59:O59">
    <cfRule type="cellIs" dxfId="128" priority="65" operator="greaterThan">
      <formula>0</formula>
    </cfRule>
    <cfRule type="cellIs" dxfId="127" priority="6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69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O38" sqref="O38:Q38"/>
    </sheetView>
  </sheetViews>
  <sheetFormatPr defaultRowHeight="15" x14ac:dyDescent="0.25"/>
  <cols>
    <col min="1" max="1" width="3.42578125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6" width="5" bestFit="1" customWidth="1"/>
    <col min="17" max="17" width="6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63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9" t="s">
        <v>64</v>
      </c>
      <c r="C2" s="261" t="s">
        <v>65</v>
      </c>
      <c r="D2" s="263" t="s">
        <v>66</v>
      </c>
      <c r="E2" s="264"/>
      <c r="F2" s="264"/>
      <c r="G2" s="264"/>
      <c r="H2" s="265"/>
      <c r="I2" s="256" t="s">
        <v>67</v>
      </c>
      <c r="J2" s="257"/>
      <c r="K2" s="257"/>
      <c r="L2" s="258"/>
      <c r="M2" s="256" t="s">
        <v>68</v>
      </c>
      <c r="N2" s="257"/>
      <c r="O2" s="257"/>
      <c r="P2" s="257"/>
      <c r="Q2" s="258"/>
      <c r="R2" s="256" t="s">
        <v>69</v>
      </c>
      <c r="S2" s="257"/>
      <c r="T2" s="258"/>
      <c r="U2" s="253" t="s">
        <v>70</v>
      </c>
      <c r="V2" s="254"/>
      <c r="W2" s="254"/>
      <c r="X2" s="254"/>
      <c r="Y2" s="254"/>
      <c r="Z2" s="254"/>
      <c r="AA2" s="254"/>
      <c r="AB2" s="255"/>
      <c r="AC2" s="256" t="s">
        <v>71</v>
      </c>
      <c r="AD2" s="257"/>
      <c r="AE2" s="257"/>
      <c r="AF2" s="257"/>
      <c r="AG2" s="258"/>
      <c r="AH2" s="256" t="s">
        <v>72</v>
      </c>
      <c r="AI2" s="257"/>
      <c r="AJ2" s="257"/>
      <c r="AK2" s="257"/>
      <c r="AL2" s="258"/>
      <c r="AM2" s="253" t="s">
        <v>73</v>
      </c>
      <c r="AN2" s="254"/>
      <c r="AO2" s="254"/>
      <c r="AP2" s="254"/>
      <c r="AQ2" s="255"/>
    </row>
    <row r="3" spans="1:46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4003</v>
      </c>
      <c r="E4" s="54">
        <v>3.7</v>
      </c>
      <c r="F4" s="55">
        <v>8.08</v>
      </c>
      <c r="G4" s="62">
        <f t="shared" ref="G4" si="0">+D4*E4%</f>
        <v>148.11100000000002</v>
      </c>
      <c r="H4" s="63">
        <f t="shared" ref="H4" si="1">+D4*F4%</f>
        <v>323.44239999999996</v>
      </c>
      <c r="I4" s="203">
        <v>1416.1</v>
      </c>
      <c r="J4" s="203">
        <v>1458.5829999999999</v>
      </c>
      <c r="K4" s="203">
        <v>4.1664501094555479</v>
      </c>
      <c r="L4" s="203">
        <v>8.1952475107690166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1458.5829999999999</v>
      </c>
      <c r="S4" s="62">
        <f t="shared" ref="S4" si="2">+J4*K4%+O4*P4%</f>
        <v>60.771133000000013</v>
      </c>
      <c r="T4" s="63">
        <f t="shared" ref="T4" si="3">+J4*L4%+O4*Q4%</f>
        <v>119.53448700000003</v>
      </c>
      <c r="U4" s="64" t="s">
        <v>175</v>
      </c>
      <c r="V4" s="65" t="s">
        <v>206</v>
      </c>
      <c r="W4" s="66" t="s">
        <v>159</v>
      </c>
      <c r="X4" s="67">
        <v>3650</v>
      </c>
      <c r="Y4" s="68">
        <v>4</v>
      </c>
      <c r="Z4" s="68">
        <v>8.33</v>
      </c>
      <c r="AA4" s="62">
        <f t="shared" ref="AA4" si="4">X4*Y4%</f>
        <v>146</v>
      </c>
      <c r="AB4" s="63">
        <f t="shared" ref="AB4" si="5">X4*Z4%</f>
        <v>304.04500000000002</v>
      </c>
      <c r="AC4" s="69">
        <v>3650</v>
      </c>
      <c r="AD4" s="70">
        <v>3.9</v>
      </c>
      <c r="AE4" s="70">
        <v>8.07</v>
      </c>
      <c r="AF4" s="62">
        <f t="shared" ref="AF4" si="6">AC4*AD4%</f>
        <v>142.35</v>
      </c>
      <c r="AG4" s="63">
        <f t="shared" ref="AG4" si="7">AC4*AE4%</f>
        <v>294.55500000000001</v>
      </c>
      <c r="AH4" s="71">
        <v>1812</v>
      </c>
      <c r="AI4" s="66">
        <v>3.82</v>
      </c>
      <c r="AJ4" s="66">
        <v>8.1</v>
      </c>
      <c r="AK4" s="62">
        <f t="shared" ref="AK4:AK22" si="8">AH4*AI4%</f>
        <v>69.218400000000003</v>
      </c>
      <c r="AL4" s="72">
        <f t="shared" ref="AL4:AL22" si="9">AH4*AJ4%</f>
        <v>146.77199999999999</v>
      </c>
      <c r="AM4" s="73">
        <f>+D4+R4-AC4-AH4</f>
        <v>-0.41700000000037107</v>
      </c>
      <c r="AN4" s="74">
        <f t="shared" ref="AN4:AO4" si="10">+G4+S4-AF4-AK4</f>
        <v>-2.6862669999999582</v>
      </c>
      <c r="AO4" s="74">
        <f t="shared" si="10"/>
        <v>1.6498869999999783</v>
      </c>
      <c r="AP4" s="75">
        <f>(AN4+AO4)/(S4+T4)</f>
        <v>-5.7479073586279763E-3</v>
      </c>
      <c r="AQ4" s="76">
        <f t="shared" ref="AQ4" si="11">($AP$1*AN4+$AQ$1*AO4)</f>
        <v>-712.12493685665436</v>
      </c>
      <c r="AR4" s="77">
        <f t="shared" ref="AR4:AR65" si="12">(D4+J4+O4)-(X4+AH4)</f>
        <v>-0.41700000000037107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1812</v>
      </c>
      <c r="E5" s="62">
        <v>3.82</v>
      </c>
      <c r="F5" s="62">
        <v>8.1</v>
      </c>
      <c r="G5" s="62">
        <f t="shared" ref="G5:G65" si="14">+D5*E5%</f>
        <v>69.218400000000003</v>
      </c>
      <c r="H5" s="63">
        <f t="shared" ref="H5:H65" si="15">+D5*F5%</f>
        <v>146.77199999999999</v>
      </c>
      <c r="I5" s="203">
        <v>2598.5</v>
      </c>
      <c r="J5" s="203">
        <v>2676.4549999999999</v>
      </c>
      <c r="K5" s="203">
        <v>3.7264768135462756</v>
      </c>
      <c r="L5" s="203">
        <v>8.1239946122763129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6">+J5+O5</f>
        <v>2676.4549999999999</v>
      </c>
      <c r="S5" s="62">
        <f t="shared" ref="S5:S65" si="17">+J5*K5%+O5*P5%</f>
        <v>99.737474999999961</v>
      </c>
      <c r="T5" s="63">
        <f t="shared" ref="T5:T65" si="18">+J5*L5%+O5*Q5%</f>
        <v>217.43505999999996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9">X5*Y5%</f>
        <v>0</v>
      </c>
      <c r="AB5" s="63">
        <f t="shared" ref="AB5:AB65" si="20">X5*Z5%</f>
        <v>0</v>
      </c>
      <c r="AC5" s="69"/>
      <c r="AD5" s="70"/>
      <c r="AE5" s="70"/>
      <c r="AF5" s="62">
        <f t="shared" ref="AF5:AF65" si="21">AC5*AD5%</f>
        <v>0</v>
      </c>
      <c r="AG5" s="63">
        <f t="shared" ref="AG5:AG65" si="22">AC5*AE5%</f>
        <v>0</v>
      </c>
      <c r="AH5" s="71">
        <v>4488</v>
      </c>
      <c r="AI5" s="66">
        <v>3.76</v>
      </c>
      <c r="AJ5" s="66">
        <v>8.07</v>
      </c>
      <c r="AK5" s="62">
        <f t="shared" si="8"/>
        <v>168.74879999999999</v>
      </c>
      <c r="AL5" s="72">
        <f t="shared" si="9"/>
        <v>362.18160000000006</v>
      </c>
      <c r="AM5" s="73">
        <f t="shared" ref="AM5:AM65" si="23">+D5+R5-AC5-AH5</f>
        <v>0.45499999999992724</v>
      </c>
      <c r="AN5" s="74">
        <f t="shared" ref="AN5:AN65" si="24">+G5+S5-AF5-AK5</f>
        <v>0.20707499999997481</v>
      </c>
      <c r="AO5" s="74">
        <f t="shared" ref="AO5:AO65" si="25">+H5+T5-AG5-AL5</f>
        <v>2.0254599999998959</v>
      </c>
      <c r="AP5" s="75">
        <f t="shared" ref="AP5:AP65" si="26">(AN5+AO5)/(S5+T5)</f>
        <v>7.0388660859297646E-3</v>
      </c>
      <c r="AQ5" s="76">
        <f t="shared" ref="AQ5:AQ65" si="27">($AP$1*AN5+$AQ$1*AO5)</f>
        <v>699.12420398329095</v>
      </c>
      <c r="AR5" s="77">
        <f t="shared" si="12"/>
        <v>0.45499999999992724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4488</v>
      </c>
      <c r="E6" s="62">
        <v>3.76</v>
      </c>
      <c r="F6" s="62">
        <v>8.07</v>
      </c>
      <c r="G6" s="62">
        <f t="shared" si="14"/>
        <v>168.74879999999999</v>
      </c>
      <c r="H6" s="63">
        <f t="shared" si="15"/>
        <v>362.18160000000006</v>
      </c>
      <c r="I6" s="203">
        <v>1142.1999999999998</v>
      </c>
      <c r="J6" s="203">
        <v>1176.4659999999999</v>
      </c>
      <c r="K6" s="203">
        <v>4.3726317632638754</v>
      </c>
      <c r="L6" s="203">
        <v>8.2112502188758523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6"/>
        <v>1176.4659999999999</v>
      </c>
      <c r="S6" s="62">
        <f t="shared" si="17"/>
        <v>51.44252599999998</v>
      </c>
      <c r="T6" s="63">
        <f t="shared" si="18"/>
        <v>96.602566999999979</v>
      </c>
      <c r="U6" s="64" t="s">
        <v>170</v>
      </c>
      <c r="V6" s="65" t="s">
        <v>207</v>
      </c>
      <c r="W6" s="66" t="s">
        <v>208</v>
      </c>
      <c r="X6" s="67">
        <v>4870</v>
      </c>
      <c r="Y6" s="68">
        <v>4</v>
      </c>
      <c r="Z6" s="68">
        <v>8.2100000000000009</v>
      </c>
      <c r="AA6" s="62">
        <f t="shared" si="19"/>
        <v>194.8</v>
      </c>
      <c r="AB6" s="63">
        <f t="shared" si="20"/>
        <v>399.82700000000006</v>
      </c>
      <c r="AC6" s="69">
        <v>4850</v>
      </c>
      <c r="AD6" s="70">
        <v>3.9</v>
      </c>
      <c r="AE6" s="70">
        <v>8.19</v>
      </c>
      <c r="AF6" s="62">
        <f t="shared" si="21"/>
        <v>189.15</v>
      </c>
      <c r="AG6" s="63">
        <f t="shared" si="22"/>
        <v>397.21499999999997</v>
      </c>
      <c r="AH6" s="71">
        <v>794</v>
      </c>
      <c r="AI6" s="66">
        <v>3.88</v>
      </c>
      <c r="AJ6" s="66">
        <v>8.09</v>
      </c>
      <c r="AK6" s="62">
        <f t="shared" si="8"/>
        <v>30.807200000000002</v>
      </c>
      <c r="AL6" s="72">
        <f t="shared" si="9"/>
        <v>64.2346</v>
      </c>
      <c r="AM6" s="73">
        <f t="shared" si="23"/>
        <v>20.466000000000349</v>
      </c>
      <c r="AN6" s="74">
        <f t="shared" si="24"/>
        <v>0.23412599999996786</v>
      </c>
      <c r="AO6" s="74">
        <f t="shared" si="25"/>
        <v>-2.6654329999999504</v>
      </c>
      <c r="AP6" s="75">
        <f t="shared" si="26"/>
        <v>-1.6422746277716772E-2</v>
      </c>
      <c r="AQ6" s="76">
        <f t="shared" si="27"/>
        <v>-692.59151602666634</v>
      </c>
      <c r="AR6" s="77">
        <f t="shared" si="12"/>
        <v>0.46600000000034925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794</v>
      </c>
      <c r="E7" s="62">
        <v>3.88</v>
      </c>
      <c r="F7" s="62">
        <v>8.09</v>
      </c>
      <c r="G7" s="62">
        <f t="shared" si="14"/>
        <v>30.807200000000002</v>
      </c>
      <c r="H7" s="63">
        <f t="shared" si="15"/>
        <v>64.2346</v>
      </c>
      <c r="I7" s="203">
        <v>2548.3000000000002</v>
      </c>
      <c r="J7" s="203">
        <v>2624.7490000000003</v>
      </c>
      <c r="K7" s="203">
        <v>3.6326099752776368</v>
      </c>
      <c r="L7" s="203">
        <v>8.0804300906486706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6"/>
        <v>2624.7490000000003</v>
      </c>
      <c r="S7" s="62">
        <f t="shared" si="17"/>
        <v>95.346894000000034</v>
      </c>
      <c r="T7" s="63">
        <f t="shared" si="18"/>
        <v>212.09100800000007</v>
      </c>
      <c r="U7" s="64" t="s">
        <v>171</v>
      </c>
      <c r="V7" s="65" t="s">
        <v>209</v>
      </c>
      <c r="W7" s="66" t="s">
        <v>159</v>
      </c>
      <c r="X7" s="67">
        <v>3100</v>
      </c>
      <c r="Y7" s="68">
        <v>3.85</v>
      </c>
      <c r="Z7" s="68">
        <v>8.18</v>
      </c>
      <c r="AA7" s="62">
        <f t="shared" si="19"/>
        <v>119.35</v>
      </c>
      <c r="AB7" s="63">
        <f t="shared" si="20"/>
        <v>253.57999999999998</v>
      </c>
      <c r="AC7" s="69">
        <v>3060</v>
      </c>
      <c r="AD7" s="70">
        <v>4</v>
      </c>
      <c r="AE7" s="70">
        <v>7.96</v>
      </c>
      <c r="AF7" s="62">
        <f t="shared" si="21"/>
        <v>122.4</v>
      </c>
      <c r="AG7" s="63">
        <f t="shared" si="22"/>
        <v>243.57600000000002</v>
      </c>
      <c r="AH7" s="71">
        <v>318</v>
      </c>
      <c r="AI7" s="71">
        <v>3.66</v>
      </c>
      <c r="AJ7" s="71">
        <v>8.07</v>
      </c>
      <c r="AK7" s="62">
        <f t="shared" si="8"/>
        <v>11.6388</v>
      </c>
      <c r="AL7" s="72">
        <f t="shared" si="9"/>
        <v>25.662600000000001</v>
      </c>
      <c r="AM7" s="73">
        <f t="shared" si="23"/>
        <v>40.749000000000251</v>
      </c>
      <c r="AN7" s="74">
        <f t="shared" si="24"/>
        <v>-7.8847059999999622</v>
      </c>
      <c r="AO7" s="74">
        <f t="shared" si="25"/>
        <v>7.087008000000079</v>
      </c>
      <c r="AP7" s="75">
        <f t="shared" si="26"/>
        <v>-2.594663816044005E-3</v>
      </c>
      <c r="AQ7" s="76">
        <f t="shared" si="27"/>
        <v>-1418.5708629399592</v>
      </c>
      <c r="AR7" s="77">
        <f t="shared" si="12"/>
        <v>0.74900000000025102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318</v>
      </c>
      <c r="E8" s="62">
        <v>3.66</v>
      </c>
      <c r="F8" s="62">
        <v>8.07</v>
      </c>
      <c r="G8" s="62">
        <f t="shared" si="14"/>
        <v>11.6388</v>
      </c>
      <c r="H8" s="63">
        <f t="shared" si="15"/>
        <v>25.662600000000001</v>
      </c>
      <c r="I8" s="203">
        <v>1659.9</v>
      </c>
      <c r="J8" s="203">
        <v>1709.6970000000001</v>
      </c>
      <c r="K8" s="203">
        <v>4.1931019940960317</v>
      </c>
      <c r="L8" s="203">
        <v>8.1770588589674098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6"/>
        <v>1709.6970000000001</v>
      </c>
      <c r="S8" s="62">
        <f t="shared" si="17"/>
        <v>71.689339000000032</v>
      </c>
      <c r="T8" s="63">
        <f t="shared" si="18"/>
        <v>139.80293000000003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9"/>
        <v>0</v>
      </c>
      <c r="AB8" s="63">
        <f t="shared" si="20"/>
        <v>0</v>
      </c>
      <c r="AC8" s="69"/>
      <c r="AD8" s="70"/>
      <c r="AE8" s="70"/>
      <c r="AF8" s="62">
        <f t="shared" si="21"/>
        <v>0</v>
      </c>
      <c r="AG8" s="63">
        <f t="shared" si="22"/>
        <v>0</v>
      </c>
      <c r="AH8" s="71">
        <v>2028</v>
      </c>
      <c r="AI8" s="71">
        <v>4.0999999999999996</v>
      </c>
      <c r="AJ8" s="71">
        <v>8.15</v>
      </c>
      <c r="AK8" s="62">
        <f t="shared" si="8"/>
        <v>83.147999999999996</v>
      </c>
      <c r="AL8" s="72">
        <f t="shared" si="9"/>
        <v>165.28200000000001</v>
      </c>
      <c r="AM8" s="73">
        <f t="shared" si="23"/>
        <v>-0.30299999999988358</v>
      </c>
      <c r="AN8" s="74">
        <f t="shared" si="24"/>
        <v>0.18013900000003957</v>
      </c>
      <c r="AO8" s="74">
        <f t="shared" si="25"/>
        <v>0.18353000000001884</v>
      </c>
      <c r="AP8" s="75">
        <f t="shared" si="26"/>
        <v>1.7195380319081936E-3</v>
      </c>
      <c r="AQ8" s="76">
        <f t="shared" si="27"/>
        <v>135.79183335669006</v>
      </c>
      <c r="AR8" s="90">
        <f t="shared" ref="AR8:AR21" si="28">(D8+J8+O8)-(X8+AH8)</f>
        <v>-0.30299999999988358</v>
      </c>
    </row>
    <row r="9" spans="1:46" x14ac:dyDescent="0.25">
      <c r="A9" t="str">
        <f t="shared" si="13"/>
        <v>46176E</v>
      </c>
      <c r="B9" s="51">
        <f t="shared" ref="B9:B65" si="29">+B7+1</f>
        <v>46176</v>
      </c>
      <c r="C9" s="52" t="s">
        <v>88</v>
      </c>
      <c r="D9" s="91">
        <v>2028</v>
      </c>
      <c r="E9" s="62">
        <v>4.0999999999999996</v>
      </c>
      <c r="F9" s="62">
        <v>8.15</v>
      </c>
      <c r="G9" s="62">
        <f t="shared" si="14"/>
        <v>83.147999999999996</v>
      </c>
      <c r="H9" s="63">
        <f t="shared" si="15"/>
        <v>165.28200000000001</v>
      </c>
      <c r="I9" s="203">
        <v>3053.8000000000006</v>
      </c>
      <c r="J9" s="203">
        <v>3145.4140000000007</v>
      </c>
      <c r="K9" s="203">
        <v>3.6977110485297024</v>
      </c>
      <c r="L9" s="203">
        <v>8.0720282926190343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6"/>
        <v>3145.4140000000007</v>
      </c>
      <c r="S9" s="62">
        <f t="shared" si="17"/>
        <v>116.30832100000008</v>
      </c>
      <c r="T9" s="63">
        <f t="shared" si="18"/>
        <v>253.89870800000011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9"/>
        <v>0</v>
      </c>
      <c r="AB9" s="63">
        <f t="shared" si="20"/>
        <v>0</v>
      </c>
      <c r="AC9" s="69"/>
      <c r="AD9" s="70"/>
      <c r="AE9" s="70"/>
      <c r="AF9" s="62">
        <f t="shared" si="21"/>
        <v>0</v>
      </c>
      <c r="AG9" s="63">
        <f t="shared" si="22"/>
        <v>0</v>
      </c>
      <c r="AH9" s="82">
        <v>5173</v>
      </c>
      <c r="AI9" s="82">
        <v>3.85</v>
      </c>
      <c r="AJ9" s="82">
        <v>8.09</v>
      </c>
      <c r="AK9" s="62">
        <f t="shared" si="8"/>
        <v>199.16049999999998</v>
      </c>
      <c r="AL9" s="72">
        <f t="shared" si="9"/>
        <v>418.4957</v>
      </c>
      <c r="AM9" s="73">
        <f t="shared" si="23"/>
        <v>0.41400000000066939</v>
      </c>
      <c r="AN9" s="74">
        <f t="shared" si="24"/>
        <v>0.29582100000007472</v>
      </c>
      <c r="AO9" s="74">
        <f t="shared" si="25"/>
        <v>0.68500800000009576</v>
      </c>
      <c r="AP9" s="75">
        <f t="shared" si="26"/>
        <v>2.6494067458675127E-3</v>
      </c>
      <c r="AQ9" s="76">
        <f t="shared" si="27"/>
        <v>337.80163263006227</v>
      </c>
      <c r="AR9" s="90">
        <f t="shared" si="28"/>
        <v>0.41400000000066939</v>
      </c>
    </row>
    <row r="10" spans="1:46" x14ac:dyDescent="0.25">
      <c r="A10" t="str">
        <f t="shared" si="13"/>
        <v>46177M</v>
      </c>
      <c r="B10" s="51">
        <f t="shared" si="29"/>
        <v>46177</v>
      </c>
      <c r="C10" s="52" t="s">
        <v>87</v>
      </c>
      <c r="D10" s="91">
        <v>5173</v>
      </c>
      <c r="E10" s="62">
        <v>3.85</v>
      </c>
      <c r="F10" s="62">
        <v>8.09</v>
      </c>
      <c r="G10" s="62">
        <f t="shared" si="14"/>
        <v>199.16049999999998</v>
      </c>
      <c r="H10" s="63">
        <f t="shared" si="15"/>
        <v>418.4957</v>
      </c>
      <c r="I10" s="203">
        <v>1151.7</v>
      </c>
      <c r="J10" s="203">
        <v>1186.251</v>
      </c>
      <c r="K10" s="203">
        <v>4.3506295042111667</v>
      </c>
      <c r="L10" s="203">
        <v>8.2383693670226652</v>
      </c>
      <c r="M10" s="58" t="s">
        <v>165</v>
      </c>
      <c r="N10" s="58" t="s">
        <v>205</v>
      </c>
      <c r="O10" s="59">
        <v>1360</v>
      </c>
      <c r="P10" s="56">
        <v>4.0999999999999996</v>
      </c>
      <c r="Q10" s="60">
        <v>8.0399999999999991</v>
      </c>
      <c r="R10" s="61">
        <f t="shared" si="16"/>
        <v>2546.2510000000002</v>
      </c>
      <c r="S10" s="62">
        <f t="shared" si="17"/>
        <v>107.36938599999999</v>
      </c>
      <c r="T10" s="63">
        <f t="shared" si="18"/>
        <v>207.07173900000001</v>
      </c>
      <c r="U10" s="64" t="s">
        <v>210</v>
      </c>
      <c r="V10" s="136" t="s">
        <v>211</v>
      </c>
      <c r="W10" s="66" t="s">
        <v>212</v>
      </c>
      <c r="X10" s="67">
        <v>6750</v>
      </c>
      <c r="Y10" s="68">
        <v>4.0999999999999996</v>
      </c>
      <c r="Z10" s="68">
        <v>8.26</v>
      </c>
      <c r="AA10" s="62">
        <f t="shared" si="19"/>
        <v>276.74999999999994</v>
      </c>
      <c r="AB10" s="63">
        <f t="shared" si="20"/>
        <v>557.54999999999995</v>
      </c>
      <c r="AC10" s="69">
        <v>6740</v>
      </c>
      <c r="AD10" s="70">
        <v>4.0272255192878346</v>
      </c>
      <c r="AE10" s="70">
        <v>8.1554451038575664</v>
      </c>
      <c r="AF10" s="62">
        <f t="shared" si="21"/>
        <v>271.43500000000006</v>
      </c>
      <c r="AG10" s="63">
        <f t="shared" si="22"/>
        <v>549.67700000000002</v>
      </c>
      <c r="AH10" s="71">
        <v>969</v>
      </c>
      <c r="AI10" s="71">
        <v>3.94</v>
      </c>
      <c r="AJ10" s="71">
        <v>8.11</v>
      </c>
      <c r="AK10" s="62">
        <f t="shared" si="8"/>
        <v>38.178599999999996</v>
      </c>
      <c r="AL10" s="72">
        <f t="shared" si="9"/>
        <v>78.585899999999995</v>
      </c>
      <c r="AM10" s="73">
        <f t="shared" si="23"/>
        <v>10.251000000000204</v>
      </c>
      <c r="AN10" s="74">
        <f t="shared" si="24"/>
        <v>-3.0837140000000787</v>
      </c>
      <c r="AO10" s="74">
        <f t="shared" si="25"/>
        <v>-2.6954609999999803</v>
      </c>
      <c r="AP10" s="75">
        <f t="shared" si="26"/>
        <v>-1.8379195787446883E-2</v>
      </c>
      <c r="AQ10" s="76">
        <f t="shared" si="27"/>
        <v>-2190.9896500800296</v>
      </c>
      <c r="AR10" s="90">
        <f t="shared" si="28"/>
        <v>0.25100000000020373</v>
      </c>
    </row>
    <row r="11" spans="1:46" x14ac:dyDescent="0.25">
      <c r="A11" t="str">
        <f t="shared" si="13"/>
        <v>46177E</v>
      </c>
      <c r="B11" s="51">
        <f t="shared" si="29"/>
        <v>46177</v>
      </c>
      <c r="C11" s="52" t="s">
        <v>88</v>
      </c>
      <c r="D11" s="91">
        <v>969</v>
      </c>
      <c r="E11" s="62">
        <v>3.94</v>
      </c>
      <c r="F11" s="62">
        <v>8.11</v>
      </c>
      <c r="G11" s="62">
        <f t="shared" si="14"/>
        <v>38.178599999999996</v>
      </c>
      <c r="H11" s="63">
        <f t="shared" si="15"/>
        <v>78.585899999999995</v>
      </c>
      <c r="I11" s="203">
        <v>2851.2000000000003</v>
      </c>
      <c r="J11" s="203">
        <v>2936.7360000000003</v>
      </c>
      <c r="K11" s="203">
        <v>3.6417789001122336</v>
      </c>
      <c r="L11" s="203">
        <v>8.1097608024691361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6"/>
        <v>2936.7360000000003</v>
      </c>
      <c r="S11" s="62">
        <f t="shared" si="17"/>
        <v>106.94943200000002</v>
      </c>
      <c r="T11" s="63">
        <f t="shared" si="18"/>
        <v>238.16226500000005</v>
      </c>
      <c r="U11" s="64" t="s">
        <v>167</v>
      </c>
      <c r="V11" s="136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9"/>
        <v>0</v>
      </c>
      <c r="AB11" s="63">
        <f t="shared" si="20"/>
        <v>0</v>
      </c>
      <c r="AC11" s="69"/>
      <c r="AD11" s="70"/>
      <c r="AE11" s="70"/>
      <c r="AF11" s="62">
        <f t="shared" si="21"/>
        <v>0</v>
      </c>
      <c r="AG11" s="63">
        <f t="shared" si="22"/>
        <v>0</v>
      </c>
      <c r="AH11" s="71">
        <v>3905</v>
      </c>
      <c r="AI11" s="71">
        <v>3.7</v>
      </c>
      <c r="AJ11" s="71">
        <v>8.0500000000000007</v>
      </c>
      <c r="AK11" s="62">
        <f t="shared" si="8"/>
        <v>144.48500000000001</v>
      </c>
      <c r="AL11" s="72">
        <f t="shared" si="9"/>
        <v>314.35250000000002</v>
      </c>
      <c r="AM11" s="73">
        <f t="shared" si="23"/>
        <v>0.73600000000033106</v>
      </c>
      <c r="AN11" s="74">
        <f t="shared" si="24"/>
        <v>0.64303200000000516</v>
      </c>
      <c r="AO11" s="74">
        <f t="shared" si="25"/>
        <v>2.3956650000000081</v>
      </c>
      <c r="AP11" s="75">
        <f t="shared" si="26"/>
        <v>8.8049667003897956E-3</v>
      </c>
      <c r="AQ11" s="76">
        <f t="shared" si="27"/>
        <v>1005.6221452200048</v>
      </c>
      <c r="AR11" s="90">
        <f t="shared" si="28"/>
        <v>0.73600000000033106</v>
      </c>
    </row>
    <row r="12" spans="1:46" x14ac:dyDescent="0.25">
      <c r="A12" t="str">
        <f t="shared" si="13"/>
        <v>46178M</v>
      </c>
      <c r="B12" s="51">
        <f t="shared" si="29"/>
        <v>46178</v>
      </c>
      <c r="C12" s="52" t="s">
        <v>87</v>
      </c>
      <c r="D12" s="91">
        <v>3905</v>
      </c>
      <c r="E12" s="62">
        <v>3.7</v>
      </c>
      <c r="F12" s="62">
        <v>8.0500000000000007</v>
      </c>
      <c r="G12" s="62">
        <f t="shared" si="14"/>
        <v>144.48500000000001</v>
      </c>
      <c r="H12" s="63">
        <f t="shared" si="15"/>
        <v>314.35250000000002</v>
      </c>
      <c r="I12" s="203">
        <v>1114.1999999999998</v>
      </c>
      <c r="J12" s="203">
        <v>1147.6259999999997</v>
      </c>
      <c r="K12" s="203">
        <v>4.4853616944893187</v>
      </c>
      <c r="L12" s="203">
        <v>8.135666846167652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6"/>
        <v>1147.6259999999997</v>
      </c>
      <c r="S12" s="62">
        <f t="shared" si="17"/>
        <v>51.475176999999974</v>
      </c>
      <c r="T12" s="63">
        <f t="shared" si="18"/>
        <v>93.367027999999962</v>
      </c>
      <c r="U12" s="64" t="s">
        <v>171</v>
      </c>
      <c r="V12" s="65" t="s">
        <v>331</v>
      </c>
      <c r="W12" s="66" t="s">
        <v>208</v>
      </c>
      <c r="X12" s="67">
        <v>5200</v>
      </c>
      <c r="Y12" s="68">
        <v>4.05</v>
      </c>
      <c r="Z12" s="68">
        <v>8.2200000000000006</v>
      </c>
      <c r="AA12" s="62">
        <f t="shared" si="19"/>
        <v>210.6</v>
      </c>
      <c r="AB12" s="63">
        <f t="shared" si="20"/>
        <v>427.44000000000005</v>
      </c>
      <c r="AC12" s="69">
        <v>5120</v>
      </c>
      <c r="AD12" s="70">
        <v>4</v>
      </c>
      <c r="AE12" s="70">
        <v>8.0799999999999983</v>
      </c>
      <c r="AF12" s="62">
        <f t="shared" si="21"/>
        <v>204.8</v>
      </c>
      <c r="AG12" s="63">
        <f t="shared" si="22"/>
        <v>413.69599999999991</v>
      </c>
      <c r="AH12" s="71">
        <v>0</v>
      </c>
      <c r="AI12" s="71">
        <v>0</v>
      </c>
      <c r="AJ12" s="71">
        <v>0</v>
      </c>
      <c r="AK12" s="62">
        <f t="shared" si="8"/>
        <v>0</v>
      </c>
      <c r="AL12" s="72">
        <f t="shared" si="9"/>
        <v>0</v>
      </c>
      <c r="AM12" s="73">
        <f t="shared" si="23"/>
        <v>-67.373999999999796</v>
      </c>
      <c r="AN12" s="74">
        <f t="shared" si="24"/>
        <v>-8.839823000000024</v>
      </c>
      <c r="AO12" s="74">
        <f t="shared" si="25"/>
        <v>-5.9764719999999443</v>
      </c>
      <c r="AP12" s="75">
        <f t="shared" si="26"/>
        <v>-0.10229266393728248</v>
      </c>
      <c r="AQ12" s="76">
        <f t="shared" si="27"/>
        <v>-5756.8836399433276</v>
      </c>
      <c r="AR12" s="90">
        <f t="shared" si="28"/>
        <v>-147.3739999999998</v>
      </c>
    </row>
    <row r="13" spans="1:46" x14ac:dyDescent="0.25">
      <c r="A13" t="str">
        <f t="shared" si="13"/>
        <v>46178E</v>
      </c>
      <c r="B13" s="51">
        <f t="shared" si="29"/>
        <v>46178</v>
      </c>
      <c r="C13" s="52" t="s">
        <v>88</v>
      </c>
      <c r="D13" s="91">
        <v>0</v>
      </c>
      <c r="E13" s="62">
        <v>0</v>
      </c>
      <c r="F13" s="62">
        <v>0</v>
      </c>
      <c r="G13" s="62">
        <f t="shared" si="14"/>
        <v>0</v>
      </c>
      <c r="H13" s="63">
        <f t="shared" si="15"/>
        <v>0</v>
      </c>
      <c r="I13" s="203">
        <v>2973.1000000000004</v>
      </c>
      <c r="J13" s="203">
        <v>3062.2930000000006</v>
      </c>
      <c r="K13" s="203">
        <v>3.6584776832262627</v>
      </c>
      <c r="L13" s="203">
        <v>8.1018701019138284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6"/>
        <v>3062.2930000000006</v>
      </c>
      <c r="S13" s="62">
        <f t="shared" si="17"/>
        <v>112.03330600000004</v>
      </c>
      <c r="T13" s="63">
        <f t="shared" si="18"/>
        <v>248.10300100000009</v>
      </c>
      <c r="U13" s="64" t="s">
        <v>167</v>
      </c>
      <c r="V13" s="136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9"/>
        <v>0</v>
      </c>
      <c r="AB13" s="63">
        <f t="shared" si="20"/>
        <v>0</v>
      </c>
      <c r="AC13" s="69"/>
      <c r="AD13" s="70"/>
      <c r="AE13" s="70"/>
      <c r="AF13" s="62">
        <f t="shared" si="21"/>
        <v>0</v>
      </c>
      <c r="AG13" s="63">
        <f t="shared" si="22"/>
        <v>0</v>
      </c>
      <c r="AH13" s="71">
        <v>3063</v>
      </c>
      <c r="AI13" s="71">
        <v>3.6</v>
      </c>
      <c r="AJ13" s="71">
        <v>8.0500000000000007</v>
      </c>
      <c r="AK13" s="62">
        <f t="shared" si="8"/>
        <v>110.26800000000001</v>
      </c>
      <c r="AL13" s="72">
        <f t="shared" si="9"/>
        <v>246.57150000000001</v>
      </c>
      <c r="AM13" s="73">
        <f t="shared" si="23"/>
        <v>-0.7069999999994252</v>
      </c>
      <c r="AN13" s="74">
        <f t="shared" si="24"/>
        <v>1.7653060000000238</v>
      </c>
      <c r="AO13" s="74">
        <f t="shared" si="25"/>
        <v>1.5315010000000768</v>
      </c>
      <c r="AP13" s="75">
        <f t="shared" si="26"/>
        <v>9.1543311127475404E-3</v>
      </c>
      <c r="AQ13" s="76">
        <f t="shared" si="27"/>
        <v>1250.8009257333672</v>
      </c>
      <c r="AR13" s="90">
        <f t="shared" si="28"/>
        <v>-0.7069999999994252</v>
      </c>
    </row>
    <row r="14" spans="1:46" x14ac:dyDescent="0.25">
      <c r="A14" t="str">
        <f t="shared" si="13"/>
        <v>46179M</v>
      </c>
      <c r="B14" s="51">
        <f t="shared" si="29"/>
        <v>46179</v>
      </c>
      <c r="C14" s="52" t="s">
        <v>87</v>
      </c>
      <c r="D14" s="91">
        <v>3063</v>
      </c>
      <c r="E14" s="62">
        <v>3.6</v>
      </c>
      <c r="F14" s="62">
        <v>8.0500000000000007</v>
      </c>
      <c r="G14" s="62">
        <f t="shared" si="14"/>
        <v>110.26800000000001</v>
      </c>
      <c r="H14" s="63">
        <f t="shared" si="15"/>
        <v>246.57150000000001</v>
      </c>
      <c r="I14" s="203">
        <v>1568.0000000000002</v>
      </c>
      <c r="J14" s="203">
        <v>1615.0400000000002</v>
      </c>
      <c r="K14" s="203">
        <v>4.2168431122448977</v>
      </c>
      <c r="L14" s="203">
        <v>8.1091071428571411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6"/>
        <v>1615.0400000000002</v>
      </c>
      <c r="S14" s="62">
        <f t="shared" si="17"/>
        <v>68.103702999999996</v>
      </c>
      <c r="T14" s="63">
        <f t="shared" si="18"/>
        <v>130.96532399999998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9"/>
        <v>0</v>
      </c>
      <c r="AB14" s="63">
        <f t="shared" si="20"/>
        <v>0</v>
      </c>
      <c r="AC14" s="69"/>
      <c r="AD14" s="70"/>
      <c r="AE14" s="70"/>
      <c r="AF14" s="62">
        <f t="shared" si="21"/>
        <v>0</v>
      </c>
      <c r="AG14" s="63">
        <f t="shared" si="22"/>
        <v>0</v>
      </c>
      <c r="AH14" s="89">
        <v>4678</v>
      </c>
      <c r="AI14" s="71">
        <v>3.81</v>
      </c>
      <c r="AJ14" s="71">
        <v>8.07</v>
      </c>
      <c r="AK14" s="62">
        <f t="shared" si="8"/>
        <v>178.23180000000002</v>
      </c>
      <c r="AL14" s="72">
        <f t="shared" si="9"/>
        <v>377.51460000000003</v>
      </c>
      <c r="AM14" s="73">
        <f t="shared" si="23"/>
        <v>3.999999999996362E-2</v>
      </c>
      <c r="AN14" s="74">
        <f t="shared" si="24"/>
        <v>0.13990300000000389</v>
      </c>
      <c r="AO14" s="74">
        <f t="shared" si="25"/>
        <v>2.2223999999994248E-2</v>
      </c>
      <c r="AP14" s="75">
        <f t="shared" si="26"/>
        <v>8.1442604328396174E-4</v>
      </c>
      <c r="AQ14" s="76">
        <f t="shared" si="27"/>
        <v>69.454906290000025</v>
      </c>
      <c r="AR14" s="90">
        <f t="shared" si="28"/>
        <v>3.999999999996362E-2</v>
      </c>
    </row>
    <row r="15" spans="1:46" x14ac:dyDescent="0.25">
      <c r="A15" t="str">
        <f t="shared" si="13"/>
        <v>46179E</v>
      </c>
      <c r="B15" s="51">
        <f t="shared" si="29"/>
        <v>46179</v>
      </c>
      <c r="C15" s="52" t="s">
        <v>88</v>
      </c>
      <c r="D15" s="91">
        <v>4678</v>
      </c>
      <c r="E15" s="62">
        <v>3.81</v>
      </c>
      <c r="F15" s="62">
        <v>8.07</v>
      </c>
      <c r="G15" s="62">
        <f t="shared" si="14"/>
        <v>178.23180000000002</v>
      </c>
      <c r="H15" s="63">
        <f t="shared" si="15"/>
        <v>377.51460000000003</v>
      </c>
      <c r="I15" s="203">
        <v>2954.1000000000004</v>
      </c>
      <c r="J15" s="203">
        <v>3042.7230000000004</v>
      </c>
      <c r="K15" s="203">
        <v>3.6199553163400027</v>
      </c>
      <c r="L15" s="203">
        <v>8.0346264513726684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6"/>
        <v>3042.7230000000004</v>
      </c>
      <c r="S15" s="62">
        <f t="shared" si="17"/>
        <v>110.14521300000003</v>
      </c>
      <c r="T15" s="63">
        <f t="shared" si="18"/>
        <v>244.47142700000003</v>
      </c>
      <c r="U15" s="64" t="s">
        <v>171</v>
      </c>
      <c r="V15" s="136" t="s">
        <v>332</v>
      </c>
      <c r="W15" s="66" t="s">
        <v>333</v>
      </c>
      <c r="X15" s="67">
        <v>6200</v>
      </c>
      <c r="Y15" s="68">
        <v>3.95</v>
      </c>
      <c r="Z15" s="68">
        <v>8.1999999999999993</v>
      </c>
      <c r="AA15" s="62">
        <f t="shared" si="19"/>
        <v>244.9</v>
      </c>
      <c r="AB15" s="63">
        <f t="shared" si="20"/>
        <v>508.39999999999992</v>
      </c>
      <c r="AC15" s="69">
        <v>6140</v>
      </c>
      <c r="AD15" s="70">
        <v>3.8</v>
      </c>
      <c r="AE15" s="70">
        <v>7.98</v>
      </c>
      <c r="AF15" s="62">
        <f t="shared" si="21"/>
        <v>233.32</v>
      </c>
      <c r="AG15" s="63">
        <f t="shared" si="22"/>
        <v>489.97200000000004</v>
      </c>
      <c r="AH15" s="89">
        <v>1521</v>
      </c>
      <c r="AI15" s="66">
        <v>3.73</v>
      </c>
      <c r="AJ15" s="66">
        <v>8.0500000000000007</v>
      </c>
      <c r="AK15" s="62">
        <f t="shared" si="8"/>
        <v>56.7333</v>
      </c>
      <c r="AL15" s="72">
        <f t="shared" si="9"/>
        <v>122.4405</v>
      </c>
      <c r="AM15" s="73">
        <f t="shared" si="23"/>
        <v>59.722999999999956</v>
      </c>
      <c r="AN15" s="74">
        <f t="shared" si="24"/>
        <v>-1.6762869999999594</v>
      </c>
      <c r="AO15" s="74">
        <f t="shared" si="25"/>
        <v>9.5735269999999986</v>
      </c>
      <c r="AP15" s="75">
        <f t="shared" si="26"/>
        <v>2.2269795348577093E-2</v>
      </c>
      <c r="AQ15" s="76">
        <f t="shared" si="27"/>
        <v>2112.599339876685</v>
      </c>
      <c r="AR15" s="90">
        <f t="shared" si="28"/>
        <v>-0.27700000000004366</v>
      </c>
    </row>
    <row r="16" spans="1:46" x14ac:dyDescent="0.25">
      <c r="A16" t="str">
        <f t="shared" si="13"/>
        <v>46180M</v>
      </c>
      <c r="B16" s="51">
        <f t="shared" si="29"/>
        <v>46180</v>
      </c>
      <c r="C16" s="52" t="s">
        <v>87</v>
      </c>
      <c r="D16" s="79">
        <v>1521</v>
      </c>
      <c r="E16" s="62">
        <v>3.73</v>
      </c>
      <c r="F16" s="62">
        <v>8.0500000000000007</v>
      </c>
      <c r="G16" s="62">
        <f t="shared" si="14"/>
        <v>56.7333</v>
      </c>
      <c r="H16" s="63">
        <f t="shared" si="15"/>
        <v>122.4405</v>
      </c>
      <c r="I16" s="203">
        <v>1248.5999999999999</v>
      </c>
      <c r="J16" s="203">
        <v>1286.058</v>
      </c>
      <c r="K16" s="203">
        <v>4.2076565753644077</v>
      </c>
      <c r="L16" s="203">
        <v>8.1763415024827815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6"/>
        <v>1286.058</v>
      </c>
      <c r="S16" s="62">
        <f t="shared" si="17"/>
        <v>54.112903999999993</v>
      </c>
      <c r="T16" s="63">
        <f t="shared" si="18"/>
        <v>105.152494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9"/>
        <v>0</v>
      </c>
      <c r="AB16" s="63">
        <f t="shared" si="20"/>
        <v>0</v>
      </c>
      <c r="AC16" s="69"/>
      <c r="AD16" s="70"/>
      <c r="AE16" s="70"/>
      <c r="AF16" s="62">
        <f t="shared" si="21"/>
        <v>0</v>
      </c>
      <c r="AG16" s="63">
        <f t="shared" si="22"/>
        <v>0</v>
      </c>
      <c r="AH16" s="97">
        <v>2807</v>
      </c>
      <c r="AI16" s="71">
        <v>3.95</v>
      </c>
      <c r="AJ16" s="71">
        <v>8.1</v>
      </c>
      <c r="AK16" s="62">
        <f t="shared" si="8"/>
        <v>110.87650000000001</v>
      </c>
      <c r="AL16" s="72">
        <f t="shared" si="9"/>
        <v>227.36700000000002</v>
      </c>
      <c r="AM16" s="73">
        <f t="shared" si="23"/>
        <v>5.7999999999992724E-2</v>
      </c>
      <c r="AN16" s="74">
        <f t="shared" si="24"/>
        <v>-3.0296000000006984E-2</v>
      </c>
      <c r="AO16" s="74">
        <f t="shared" si="25"/>
        <v>0.22599399999998582</v>
      </c>
      <c r="AP16" s="75">
        <f t="shared" si="26"/>
        <v>1.2287540323101371E-3</v>
      </c>
      <c r="AQ16" s="76">
        <f t="shared" si="27"/>
        <v>54.033800333325964</v>
      </c>
      <c r="AR16" s="90">
        <f t="shared" si="28"/>
        <v>5.7999999999992724E-2</v>
      </c>
    </row>
    <row r="17" spans="1:48" x14ac:dyDescent="0.25">
      <c r="A17" t="str">
        <f t="shared" si="13"/>
        <v>46180E</v>
      </c>
      <c r="B17" s="51">
        <f t="shared" si="29"/>
        <v>46180</v>
      </c>
      <c r="C17" s="52" t="s">
        <v>88</v>
      </c>
      <c r="D17" s="79">
        <v>2807</v>
      </c>
      <c r="E17" s="62">
        <v>3.95</v>
      </c>
      <c r="F17" s="62">
        <v>8.1</v>
      </c>
      <c r="G17" s="62">
        <f t="shared" si="14"/>
        <v>110.87650000000001</v>
      </c>
      <c r="H17" s="63">
        <f t="shared" si="15"/>
        <v>227.36700000000002</v>
      </c>
      <c r="I17" s="203">
        <v>2747.8</v>
      </c>
      <c r="J17" s="203">
        <v>2830.2340000000004</v>
      </c>
      <c r="K17" s="203">
        <v>3.6889256860033477</v>
      </c>
      <c r="L17" s="203">
        <v>8.0646153286265392</v>
      </c>
      <c r="M17" s="58" t="s">
        <v>149</v>
      </c>
      <c r="N17" s="58" t="s">
        <v>476</v>
      </c>
      <c r="O17" s="59">
        <v>2400</v>
      </c>
      <c r="P17" s="56">
        <v>4.25</v>
      </c>
      <c r="Q17" s="60">
        <v>8.1</v>
      </c>
      <c r="R17" s="61">
        <f t="shared" si="16"/>
        <v>5230.2340000000004</v>
      </c>
      <c r="S17" s="62">
        <f t="shared" si="17"/>
        <v>206.40522900000002</v>
      </c>
      <c r="T17" s="63">
        <f t="shared" si="18"/>
        <v>422.64748500000007</v>
      </c>
      <c r="U17" s="64" t="s">
        <v>172</v>
      </c>
      <c r="V17" s="65" t="s">
        <v>334</v>
      </c>
      <c r="W17" s="66" t="s">
        <v>333</v>
      </c>
      <c r="X17" s="67">
        <v>3150</v>
      </c>
      <c r="Y17" s="68">
        <v>4.1500000000000004</v>
      </c>
      <c r="Z17" s="68">
        <v>8</v>
      </c>
      <c r="AA17" s="62">
        <f t="shared" si="19"/>
        <v>130.72499999999999</v>
      </c>
      <c r="AB17" s="63">
        <f t="shared" si="20"/>
        <v>252</v>
      </c>
      <c r="AC17" s="69">
        <v>3130</v>
      </c>
      <c r="AD17" s="70">
        <v>4.05</v>
      </c>
      <c r="AE17" s="70">
        <v>7.9</v>
      </c>
      <c r="AF17" s="62">
        <f t="shared" si="21"/>
        <v>126.765</v>
      </c>
      <c r="AG17" s="63">
        <f t="shared" si="22"/>
        <v>247.27</v>
      </c>
      <c r="AH17" s="97">
        <v>4937</v>
      </c>
      <c r="AI17" s="66">
        <v>3.95</v>
      </c>
      <c r="AJ17" s="66">
        <v>8.09</v>
      </c>
      <c r="AK17" s="62">
        <f t="shared" si="8"/>
        <v>195.01150000000001</v>
      </c>
      <c r="AL17" s="72">
        <f>AH17*AJ17%</f>
        <v>399.4033</v>
      </c>
      <c r="AM17" s="73">
        <f t="shared" si="23"/>
        <v>-29.765999999999622</v>
      </c>
      <c r="AN17" s="74">
        <f t="shared" si="24"/>
        <v>-4.4947709999999574</v>
      </c>
      <c r="AO17" s="74">
        <f t="shared" si="25"/>
        <v>3.3411850000001664</v>
      </c>
      <c r="AP17" s="75">
        <f t="shared" si="26"/>
        <v>-1.8338463125997908E-3</v>
      </c>
      <c r="AQ17" s="76">
        <f t="shared" si="27"/>
        <v>-1017.8200773765977</v>
      </c>
      <c r="AR17" s="90">
        <f t="shared" si="28"/>
        <v>-49.765999999999622</v>
      </c>
    </row>
    <row r="18" spans="1:48" x14ac:dyDescent="0.25">
      <c r="A18" t="str">
        <f t="shared" si="13"/>
        <v>46181M</v>
      </c>
      <c r="B18" s="51">
        <f t="shared" si="29"/>
        <v>46181</v>
      </c>
      <c r="C18" s="52" t="s">
        <v>87</v>
      </c>
      <c r="D18" s="79">
        <v>4937</v>
      </c>
      <c r="E18" s="62">
        <v>3.95</v>
      </c>
      <c r="F18" s="62">
        <v>8.09</v>
      </c>
      <c r="G18" s="62">
        <f t="shared" si="14"/>
        <v>195.01150000000001</v>
      </c>
      <c r="H18" s="63">
        <f t="shared" si="15"/>
        <v>399.4033</v>
      </c>
      <c r="I18" s="203">
        <v>1191.5000000000002</v>
      </c>
      <c r="J18" s="203">
        <v>1227.2450000000003</v>
      </c>
      <c r="K18" s="203">
        <v>4.2281158203944615</v>
      </c>
      <c r="L18" s="203">
        <v>8.2030549727234572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6"/>
        <v>1227.2450000000003</v>
      </c>
      <c r="S18" s="62">
        <f t="shared" si="17"/>
        <v>51.889340000000026</v>
      </c>
      <c r="T18" s="63">
        <f t="shared" si="18"/>
        <v>100.67158200000002</v>
      </c>
      <c r="U18" s="64" t="s">
        <v>171</v>
      </c>
      <c r="V18" s="65" t="s">
        <v>335</v>
      </c>
      <c r="W18" s="66" t="s">
        <v>208</v>
      </c>
      <c r="X18" s="67">
        <v>6110</v>
      </c>
      <c r="Y18" s="68">
        <v>3.93</v>
      </c>
      <c r="Z18" s="68">
        <v>8.14</v>
      </c>
      <c r="AA18" s="62">
        <f t="shared" si="19"/>
        <v>240.12300000000002</v>
      </c>
      <c r="AB18" s="63">
        <f t="shared" si="20"/>
        <v>497.35399999999998</v>
      </c>
      <c r="AC18" s="69">
        <v>6040</v>
      </c>
      <c r="AD18" s="70">
        <v>3.9</v>
      </c>
      <c r="AE18" s="70">
        <v>8.06</v>
      </c>
      <c r="AF18" s="62">
        <f t="shared" si="21"/>
        <v>235.56</v>
      </c>
      <c r="AG18" s="63">
        <f t="shared" si="22"/>
        <v>486.82400000000001</v>
      </c>
      <c r="AH18" s="97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23"/>
        <v>124.2450000000008</v>
      </c>
      <c r="AN18" s="74">
        <f t="shared" si="24"/>
        <v>11.340840000000043</v>
      </c>
      <c r="AO18" s="74">
        <f t="shared" si="25"/>
        <v>13.25088199999999</v>
      </c>
      <c r="AP18" s="75">
        <f t="shared" si="26"/>
        <v>0.16119279876926823</v>
      </c>
      <c r="AQ18" s="76">
        <f t="shared" si="27"/>
        <v>9056.6521101466824</v>
      </c>
      <c r="AR18" s="90">
        <f t="shared" si="28"/>
        <v>54.2450000000008</v>
      </c>
    </row>
    <row r="19" spans="1:48" x14ac:dyDescent="0.25">
      <c r="A19" t="str">
        <f t="shared" si="13"/>
        <v>46181E</v>
      </c>
      <c r="B19" s="51">
        <f t="shared" si="29"/>
        <v>46181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14"/>
        <v>0</v>
      </c>
      <c r="H19" s="63">
        <f t="shared" si="15"/>
        <v>0</v>
      </c>
      <c r="I19" s="203">
        <v>2702.2</v>
      </c>
      <c r="J19" s="203">
        <v>2783.2660000000001</v>
      </c>
      <c r="K19" s="203">
        <v>3.7727999407889881</v>
      </c>
      <c r="L19" s="203">
        <v>8.06996151284139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6"/>
        <v>2783.2660000000001</v>
      </c>
      <c r="S19" s="62">
        <f t="shared" si="17"/>
        <v>105.00705800000004</v>
      </c>
      <c r="T19" s="63">
        <f t="shared" si="18"/>
        <v>224.60849500000003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9"/>
        <v>0</v>
      </c>
      <c r="AB19" s="63">
        <f t="shared" si="20"/>
        <v>0</v>
      </c>
      <c r="AC19" s="69"/>
      <c r="AD19" s="70"/>
      <c r="AE19" s="70"/>
      <c r="AF19" s="62">
        <f t="shared" si="21"/>
        <v>0</v>
      </c>
      <c r="AG19" s="63">
        <f t="shared" si="22"/>
        <v>0</v>
      </c>
      <c r="AH19" s="97">
        <v>2783</v>
      </c>
      <c r="AI19" s="71">
        <v>3.77</v>
      </c>
      <c r="AJ19" s="71">
        <v>8.07</v>
      </c>
      <c r="AK19" s="62">
        <f t="shared" si="8"/>
        <v>104.91909999999999</v>
      </c>
      <c r="AL19" s="72">
        <f t="shared" si="9"/>
        <v>224.58810000000003</v>
      </c>
      <c r="AM19" s="73">
        <f t="shared" si="23"/>
        <v>0.2660000000000764</v>
      </c>
      <c r="AN19" s="74">
        <f t="shared" si="24"/>
        <v>8.7958000000057268E-2</v>
      </c>
      <c r="AO19" s="74">
        <f t="shared" si="25"/>
        <v>2.0395000000007713E-2</v>
      </c>
      <c r="AP19" s="75">
        <f t="shared" si="26"/>
        <v>3.2872538632928208E-4</v>
      </c>
      <c r="AQ19" s="76">
        <f t="shared" si="27"/>
        <v>45.588905413361353</v>
      </c>
      <c r="AR19" s="90">
        <f t="shared" si="28"/>
        <v>0.2660000000000764</v>
      </c>
    </row>
    <row r="20" spans="1:48" x14ac:dyDescent="0.25">
      <c r="A20" t="str">
        <f t="shared" si="13"/>
        <v>46182M</v>
      </c>
      <c r="B20" s="51">
        <f t="shared" si="29"/>
        <v>46182</v>
      </c>
      <c r="C20" s="52" t="s">
        <v>87</v>
      </c>
      <c r="D20" s="79">
        <v>2783</v>
      </c>
      <c r="E20" s="62">
        <v>3.77</v>
      </c>
      <c r="F20" s="62">
        <v>8.07</v>
      </c>
      <c r="G20" s="62">
        <f t="shared" si="14"/>
        <v>104.91909999999999</v>
      </c>
      <c r="H20" s="63">
        <f t="shared" si="15"/>
        <v>224.58810000000003</v>
      </c>
      <c r="I20" s="203">
        <v>1085.6000000000001</v>
      </c>
      <c r="J20" s="203">
        <v>1118.1680000000001</v>
      </c>
      <c r="K20" s="203">
        <v>4.2714719970523198</v>
      </c>
      <c r="L20" s="203">
        <v>8.2369749447310241</v>
      </c>
      <c r="M20" s="58" t="s">
        <v>165</v>
      </c>
      <c r="N20" s="58" t="s">
        <v>330</v>
      </c>
      <c r="O20" s="59">
        <v>2370</v>
      </c>
      <c r="P20" s="56">
        <v>4.2</v>
      </c>
      <c r="Q20" s="60">
        <v>8</v>
      </c>
      <c r="R20" s="61">
        <f t="shared" si="16"/>
        <v>3488.1680000000001</v>
      </c>
      <c r="S20" s="62">
        <f t="shared" si="17"/>
        <v>147.302233</v>
      </c>
      <c r="T20" s="63">
        <f t="shared" si="18"/>
        <v>281.70321799999999</v>
      </c>
      <c r="U20" s="64" t="s">
        <v>172</v>
      </c>
      <c r="V20" s="65" t="s">
        <v>336</v>
      </c>
      <c r="W20" s="66" t="s">
        <v>208</v>
      </c>
      <c r="X20" s="67">
        <v>6230</v>
      </c>
      <c r="Y20" s="68">
        <v>4.03</v>
      </c>
      <c r="Z20" s="68">
        <v>8.1</v>
      </c>
      <c r="AA20" s="62">
        <f t="shared" si="19"/>
        <v>251.06900000000002</v>
      </c>
      <c r="AB20" s="63">
        <f t="shared" si="20"/>
        <v>504.63</v>
      </c>
      <c r="AC20" s="69">
        <v>6190</v>
      </c>
      <c r="AD20" s="70">
        <v>3.975363489499192</v>
      </c>
      <c r="AE20" s="70">
        <v>8.0750726978998379</v>
      </c>
      <c r="AF20" s="62">
        <f t="shared" si="21"/>
        <v>246.07500000000002</v>
      </c>
      <c r="AG20" s="63">
        <f t="shared" si="22"/>
        <v>499.84699999999998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23"/>
        <v>81.167999999999665</v>
      </c>
      <c r="AN20" s="74">
        <f t="shared" si="24"/>
        <v>6.1463329999999701</v>
      </c>
      <c r="AO20" s="74">
        <f t="shared" si="25"/>
        <v>6.4443180000000666</v>
      </c>
      <c r="AP20" s="75">
        <f t="shared" si="26"/>
        <v>2.9348463919634523E-2</v>
      </c>
      <c r="AQ20" s="76">
        <f t="shared" si="27"/>
        <v>4687.7628759500067</v>
      </c>
      <c r="AR20" s="90">
        <f t="shared" si="28"/>
        <v>41.167999999999665</v>
      </c>
    </row>
    <row r="21" spans="1:48" x14ac:dyDescent="0.25">
      <c r="A21" t="str">
        <f t="shared" si="13"/>
        <v>46182E</v>
      </c>
      <c r="B21" s="51">
        <f t="shared" si="29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14"/>
        <v>0</v>
      </c>
      <c r="H21" s="63">
        <f t="shared" si="15"/>
        <v>0</v>
      </c>
      <c r="I21" s="203">
        <v>2432.4999999999991</v>
      </c>
      <c r="J21" s="203">
        <v>2505.474999999999</v>
      </c>
      <c r="K21" s="203">
        <v>3.7912024665981501</v>
      </c>
      <c r="L21" s="203">
        <v>8.0393627954779028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6"/>
        <v>2505.474999999999</v>
      </c>
      <c r="S21" s="62">
        <f t="shared" si="17"/>
        <v>94.987629999999967</v>
      </c>
      <c r="T21" s="63">
        <f t="shared" si="18"/>
        <v>201.42422499999989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9"/>
        <v>0</v>
      </c>
      <c r="AB21" s="63">
        <f t="shared" si="20"/>
        <v>0</v>
      </c>
      <c r="AC21" s="69"/>
      <c r="AD21" s="70"/>
      <c r="AE21" s="70"/>
      <c r="AF21" s="62">
        <f t="shared" si="21"/>
        <v>0</v>
      </c>
      <c r="AG21" s="63">
        <f t="shared" si="22"/>
        <v>0</v>
      </c>
      <c r="AH21" s="97">
        <v>2506</v>
      </c>
      <c r="AI21" s="66">
        <v>3.79</v>
      </c>
      <c r="AJ21" s="66">
        <v>8.0399999999999991</v>
      </c>
      <c r="AK21" s="62">
        <f t="shared" si="8"/>
        <v>94.977400000000003</v>
      </c>
      <c r="AL21" s="72">
        <f t="shared" si="9"/>
        <v>201.48239999999996</v>
      </c>
      <c r="AM21" s="73">
        <f t="shared" si="23"/>
        <v>-0.52500000000100044</v>
      </c>
      <c r="AN21" s="74">
        <f t="shared" si="24"/>
        <v>1.0229999999964434E-2</v>
      </c>
      <c r="AO21" s="74">
        <f t="shared" si="25"/>
        <v>-5.8175000000062482E-2</v>
      </c>
      <c r="AP21" s="75">
        <f t="shared" si="26"/>
        <v>-1.6175129027851492E-4</v>
      </c>
      <c r="AQ21" s="76">
        <f t="shared" si="27"/>
        <v>-12.817876866701335</v>
      </c>
      <c r="AR21" s="90">
        <f t="shared" si="28"/>
        <v>-0.52500000000100044</v>
      </c>
    </row>
    <row r="22" spans="1:48" x14ac:dyDescent="0.25">
      <c r="A22" t="str">
        <f t="shared" si="13"/>
        <v>46183M</v>
      </c>
      <c r="B22" s="51">
        <f t="shared" si="29"/>
        <v>46183</v>
      </c>
      <c r="C22" s="52" t="s">
        <v>87</v>
      </c>
      <c r="D22" s="79">
        <v>2506</v>
      </c>
      <c r="E22" s="62">
        <v>3.79</v>
      </c>
      <c r="F22" s="62">
        <v>8.0399999999999991</v>
      </c>
      <c r="G22" s="62">
        <f t="shared" si="14"/>
        <v>94.977400000000003</v>
      </c>
      <c r="H22" s="63">
        <f t="shared" si="15"/>
        <v>201.48239999999996</v>
      </c>
      <c r="I22" s="203">
        <v>864</v>
      </c>
      <c r="J22" s="203">
        <v>889.92000000000007</v>
      </c>
      <c r="K22" s="203">
        <v>4.3743750000000015</v>
      </c>
      <c r="L22" s="203">
        <v>8.2162037037037052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6"/>
        <v>889.92000000000007</v>
      </c>
      <c r="S22" s="62">
        <f t="shared" si="17"/>
        <v>38.928438000000014</v>
      </c>
      <c r="T22" s="63">
        <f t="shared" si="18"/>
        <v>73.117640000000009</v>
      </c>
      <c r="U22" s="64" t="s">
        <v>175</v>
      </c>
      <c r="V22" s="65" t="s">
        <v>477</v>
      </c>
      <c r="W22" s="66" t="s">
        <v>208</v>
      </c>
      <c r="X22" s="67">
        <v>3420</v>
      </c>
      <c r="Y22" s="68">
        <v>4.0999999999999996</v>
      </c>
      <c r="Z22" s="68">
        <v>8.36</v>
      </c>
      <c r="AA22" s="62">
        <f t="shared" si="19"/>
        <v>140.21999999999997</v>
      </c>
      <c r="AB22" s="63">
        <f t="shared" si="20"/>
        <v>285.91199999999998</v>
      </c>
      <c r="AC22" s="69">
        <v>3420</v>
      </c>
      <c r="AD22" s="70">
        <v>4.0999999999999988</v>
      </c>
      <c r="AE22" s="70">
        <v>8.35</v>
      </c>
      <c r="AF22" s="62">
        <f t="shared" si="21"/>
        <v>140.21999999999997</v>
      </c>
      <c r="AG22" s="63">
        <f t="shared" si="22"/>
        <v>285.57</v>
      </c>
      <c r="AH22" s="97">
        <v>0</v>
      </c>
      <c r="AI22" s="66">
        <v>0</v>
      </c>
      <c r="AJ22" s="66">
        <v>0</v>
      </c>
      <c r="AK22" s="62">
        <f t="shared" si="8"/>
        <v>0</v>
      </c>
      <c r="AL22" s="72">
        <f t="shared" si="9"/>
        <v>0</v>
      </c>
      <c r="AM22" s="73">
        <f t="shared" si="23"/>
        <v>-24.079999999999927</v>
      </c>
      <c r="AN22" s="74">
        <f t="shared" si="24"/>
        <v>-6.3141619999999534</v>
      </c>
      <c r="AO22" s="74">
        <f t="shared" si="25"/>
        <v>-10.969960000000015</v>
      </c>
      <c r="AP22" s="75">
        <f t="shared" si="26"/>
        <v>-0.15425905402953921</v>
      </c>
      <c r="AQ22" s="76">
        <f t="shared" si="27"/>
        <v>-6117.5069591533174</v>
      </c>
      <c r="AR22" s="90">
        <f t="shared" ref="AR22:AR33" si="30">(D22+J22+O22)-(X22+AH22)</f>
        <v>-24.079999999999927</v>
      </c>
      <c r="AT22" s="83"/>
      <c r="AU22" s="83"/>
    </row>
    <row r="23" spans="1:48" x14ac:dyDescent="0.25">
      <c r="A23" t="str">
        <f t="shared" si="13"/>
        <v>46183E</v>
      </c>
      <c r="B23" s="51">
        <f t="shared" si="29"/>
        <v>46183</v>
      </c>
      <c r="C23" s="52" t="s">
        <v>88</v>
      </c>
      <c r="D23" s="79">
        <v>0</v>
      </c>
      <c r="E23" s="62">
        <v>0</v>
      </c>
      <c r="F23" s="62">
        <v>0</v>
      </c>
      <c r="G23" s="62">
        <f t="shared" si="14"/>
        <v>0</v>
      </c>
      <c r="H23" s="63">
        <f t="shared" si="15"/>
        <v>0</v>
      </c>
      <c r="I23" s="203">
        <v>2893.4</v>
      </c>
      <c r="J23" s="203">
        <v>2980.2020000000002</v>
      </c>
      <c r="K23" s="203">
        <v>3.7268542199488497</v>
      </c>
      <c r="L23" s="203">
        <v>8.0630434782608695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6"/>
        <v>2980.2020000000002</v>
      </c>
      <c r="S23" s="62">
        <f t="shared" si="17"/>
        <v>111.06778400000003</v>
      </c>
      <c r="T23" s="63">
        <f t="shared" si="18"/>
        <v>240.29498300000003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9"/>
        <v>0</v>
      </c>
      <c r="AB23" s="63">
        <f t="shared" si="20"/>
        <v>0</v>
      </c>
      <c r="AC23" s="69"/>
      <c r="AD23" s="70"/>
      <c r="AE23" s="70"/>
      <c r="AF23" s="62">
        <f t="shared" si="21"/>
        <v>0</v>
      </c>
      <c r="AG23" s="63">
        <f t="shared" si="22"/>
        <v>0</v>
      </c>
      <c r="AH23" s="97">
        <v>2980</v>
      </c>
      <c r="AI23" s="66">
        <v>3.7</v>
      </c>
      <c r="AJ23" s="84">
        <v>8.1</v>
      </c>
      <c r="AK23" s="62">
        <f t="shared" ref="AK23:AK36" si="31">AH23*AI23%</f>
        <v>110.26000000000002</v>
      </c>
      <c r="AL23" s="72">
        <f t="shared" ref="AL23:AL36" si="32">AH23*AJ23%</f>
        <v>241.38</v>
      </c>
      <c r="AM23" s="73">
        <f t="shared" si="23"/>
        <v>0.20200000000022555</v>
      </c>
      <c r="AN23" s="74">
        <f t="shared" si="24"/>
        <v>0.80778400000001227</v>
      </c>
      <c r="AO23" s="74">
        <f t="shared" si="25"/>
        <v>-1.085016999999965</v>
      </c>
      <c r="AP23" s="75">
        <f t="shared" si="26"/>
        <v>-7.8902213335527583E-4</v>
      </c>
      <c r="AQ23" s="76">
        <f t="shared" si="27"/>
        <v>37.905661126682617</v>
      </c>
      <c r="AR23" s="90">
        <f t="shared" si="30"/>
        <v>0.20200000000022555</v>
      </c>
      <c r="AU23" s="83"/>
    </row>
    <row r="24" spans="1:48" x14ac:dyDescent="0.25">
      <c r="A24" t="str">
        <f t="shared" si="13"/>
        <v>46184M</v>
      </c>
      <c r="B24" s="51">
        <f t="shared" si="29"/>
        <v>46184</v>
      </c>
      <c r="C24" s="52" t="s">
        <v>87</v>
      </c>
      <c r="D24" s="79">
        <v>2980</v>
      </c>
      <c r="E24" s="62">
        <v>3.7</v>
      </c>
      <c r="F24" s="62">
        <v>8.1</v>
      </c>
      <c r="G24" s="62">
        <f t="shared" si="14"/>
        <v>110.26000000000002</v>
      </c>
      <c r="H24" s="63">
        <f t="shared" si="15"/>
        <v>241.38</v>
      </c>
      <c r="I24" s="203">
        <v>1464.7000000000003</v>
      </c>
      <c r="J24" s="203">
        <v>1508.6410000000003</v>
      </c>
      <c r="K24" s="203">
        <v>4.0089369836826654</v>
      </c>
      <c r="L24" s="203">
        <v>8.1228169591042541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6"/>
        <v>1508.6410000000003</v>
      </c>
      <c r="S24" s="62">
        <f t="shared" si="17"/>
        <v>60.480467000000019</v>
      </c>
      <c r="T24" s="63">
        <f t="shared" si="18"/>
        <v>122.54414700000002</v>
      </c>
      <c r="U24" s="64" t="s">
        <v>175</v>
      </c>
      <c r="V24" s="65" t="s">
        <v>478</v>
      </c>
      <c r="W24" s="66" t="s">
        <v>159</v>
      </c>
      <c r="X24" s="67">
        <v>3650</v>
      </c>
      <c r="Y24" s="68">
        <v>3.95</v>
      </c>
      <c r="Z24" s="68">
        <v>8.32</v>
      </c>
      <c r="AA24" s="62">
        <f t="shared" si="19"/>
        <v>144.17500000000001</v>
      </c>
      <c r="AB24" s="63">
        <f t="shared" si="20"/>
        <v>303.68</v>
      </c>
      <c r="AC24" s="69">
        <v>3680</v>
      </c>
      <c r="AD24" s="70">
        <v>3.8</v>
      </c>
      <c r="AE24" s="70">
        <v>8.17</v>
      </c>
      <c r="AF24" s="62">
        <f t="shared" si="21"/>
        <v>139.84</v>
      </c>
      <c r="AG24" s="63">
        <f t="shared" si="22"/>
        <v>300.65600000000001</v>
      </c>
      <c r="AH24" s="97">
        <v>840</v>
      </c>
      <c r="AI24" s="66">
        <v>3.8</v>
      </c>
      <c r="AJ24" s="66">
        <v>8.1</v>
      </c>
      <c r="AK24" s="62">
        <f t="shared" si="31"/>
        <v>31.919999999999998</v>
      </c>
      <c r="AL24" s="72">
        <f t="shared" si="32"/>
        <v>68.040000000000006</v>
      </c>
      <c r="AM24" s="73">
        <f t="shared" si="23"/>
        <v>-31.358999999999469</v>
      </c>
      <c r="AN24" s="74">
        <f t="shared" si="24"/>
        <v>-1.0195329999999778</v>
      </c>
      <c r="AO24" s="74">
        <f t="shared" si="25"/>
        <v>-4.7718530000000072</v>
      </c>
      <c r="AP24" s="75">
        <f t="shared" si="26"/>
        <v>-3.1642662008291321E-2</v>
      </c>
      <c r="AQ24" s="76">
        <f t="shared" si="27"/>
        <v>-1885.766912516659</v>
      </c>
      <c r="AR24" s="90">
        <f t="shared" si="30"/>
        <v>-1.3589999999994689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29"/>
        <v>46184</v>
      </c>
      <c r="C25" s="52" t="s">
        <v>88</v>
      </c>
      <c r="D25" s="79">
        <v>840</v>
      </c>
      <c r="E25" s="62">
        <v>3.8</v>
      </c>
      <c r="F25" s="62">
        <v>8.1</v>
      </c>
      <c r="G25" s="62">
        <f t="shared" si="14"/>
        <v>31.919999999999998</v>
      </c>
      <c r="H25" s="63">
        <f t="shared" si="15"/>
        <v>68.040000000000006</v>
      </c>
      <c r="I25" s="203">
        <v>2665.5</v>
      </c>
      <c r="J25" s="203">
        <v>2745.4650000000001</v>
      </c>
      <c r="K25" s="203">
        <v>3.632969424123055</v>
      </c>
      <c r="L25" s="203">
        <v>8.0201913337084978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6"/>
        <v>2745.4650000000001</v>
      </c>
      <c r="S25" s="62">
        <f t="shared" si="17"/>
        <v>99.741904000000048</v>
      </c>
      <c r="T25" s="63">
        <f t="shared" si="18"/>
        <v>220.19154600000005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9"/>
        <v>0</v>
      </c>
      <c r="AB25" s="63">
        <f t="shared" si="20"/>
        <v>0</v>
      </c>
      <c r="AC25" s="69"/>
      <c r="AD25" s="70"/>
      <c r="AE25" s="70"/>
      <c r="AF25" s="62">
        <f t="shared" si="21"/>
        <v>0</v>
      </c>
      <c r="AG25" s="63">
        <f t="shared" si="22"/>
        <v>0</v>
      </c>
      <c r="AH25" s="97">
        <v>3586</v>
      </c>
      <c r="AI25" s="66">
        <v>3.65</v>
      </c>
      <c r="AJ25" s="66">
        <v>8.02</v>
      </c>
      <c r="AK25" s="62">
        <f t="shared" si="31"/>
        <v>130.88899999999998</v>
      </c>
      <c r="AL25" s="72">
        <f t="shared" si="32"/>
        <v>287.59719999999999</v>
      </c>
      <c r="AM25" s="73">
        <f t="shared" si="23"/>
        <v>-0.53499999999985448</v>
      </c>
      <c r="AN25" s="74">
        <f t="shared" si="24"/>
        <v>0.77290400000006798</v>
      </c>
      <c r="AO25" s="74">
        <f t="shared" si="25"/>
        <v>0.63434600000005048</v>
      </c>
      <c r="AP25" s="75">
        <f t="shared" si="26"/>
        <v>4.3985710153162105E-3</v>
      </c>
      <c r="AQ25" s="76">
        <f t="shared" si="27"/>
        <v>536.8071765467123</v>
      </c>
      <c r="AR25" s="90">
        <f t="shared" si="30"/>
        <v>-0.53499999999985448</v>
      </c>
    </row>
    <row r="26" spans="1:48" x14ac:dyDescent="0.25">
      <c r="A26" t="str">
        <f t="shared" si="13"/>
        <v>46185M</v>
      </c>
      <c r="B26" s="51">
        <f t="shared" si="29"/>
        <v>46185</v>
      </c>
      <c r="C26" s="52" t="s">
        <v>87</v>
      </c>
      <c r="D26" s="79">
        <v>3586</v>
      </c>
      <c r="E26" s="62">
        <v>3.65</v>
      </c>
      <c r="F26" s="62">
        <v>8.02</v>
      </c>
      <c r="G26" s="62">
        <f t="shared" si="14"/>
        <v>130.88899999999998</v>
      </c>
      <c r="H26" s="63">
        <f t="shared" si="15"/>
        <v>287.59719999999999</v>
      </c>
      <c r="I26" s="203">
        <v>863.79999999999984</v>
      </c>
      <c r="J26" s="203">
        <v>889.71399999999983</v>
      </c>
      <c r="K26" s="203">
        <v>4.3101643899050694</v>
      </c>
      <c r="L26" s="203">
        <v>8.2542486686733039</v>
      </c>
      <c r="M26" s="58" t="s">
        <v>165</v>
      </c>
      <c r="N26" s="58">
        <v>89383</v>
      </c>
      <c r="O26" s="59">
        <v>3000</v>
      </c>
      <c r="P26" s="56">
        <v>4.0999999999999996</v>
      </c>
      <c r="Q26" s="60">
        <v>8.1</v>
      </c>
      <c r="R26" s="61">
        <f t="shared" si="16"/>
        <v>3889.7139999999999</v>
      </c>
      <c r="S26" s="62">
        <f t="shared" si="17"/>
        <v>161.34813599999995</v>
      </c>
      <c r="T26" s="63">
        <f t="shared" si="18"/>
        <v>316.43920600000001</v>
      </c>
      <c r="U26" s="64" t="s">
        <v>171</v>
      </c>
      <c r="V26" s="65" t="s">
        <v>499</v>
      </c>
      <c r="W26" s="66" t="s">
        <v>208</v>
      </c>
      <c r="X26" s="67">
        <v>6200</v>
      </c>
      <c r="Y26" s="68">
        <v>4.08</v>
      </c>
      <c r="Z26" s="68">
        <v>8.2200000000000006</v>
      </c>
      <c r="AA26" s="62">
        <f t="shared" si="19"/>
        <v>252.96</v>
      </c>
      <c r="AB26" s="63">
        <f t="shared" si="20"/>
        <v>509.64000000000004</v>
      </c>
      <c r="AC26" s="69">
        <v>6230</v>
      </c>
      <c r="AD26" s="70">
        <v>4.0499197431781697</v>
      </c>
      <c r="AE26" s="70">
        <v>8.2151845906902103</v>
      </c>
      <c r="AF26" s="62">
        <f t="shared" si="21"/>
        <v>252.30999999999995</v>
      </c>
      <c r="AG26" s="63">
        <f t="shared" si="22"/>
        <v>511.80600000000015</v>
      </c>
      <c r="AH26" s="97">
        <v>1276</v>
      </c>
      <c r="AI26" s="66">
        <v>3.9</v>
      </c>
      <c r="AJ26" s="66">
        <v>8.08</v>
      </c>
      <c r="AK26" s="62">
        <f t="shared" si="31"/>
        <v>49.764000000000003</v>
      </c>
      <c r="AL26" s="72">
        <f t="shared" si="32"/>
        <v>103.10079999999999</v>
      </c>
      <c r="AM26" s="73">
        <f t="shared" si="23"/>
        <v>-30.286000000000058</v>
      </c>
      <c r="AN26" s="74">
        <f t="shared" si="24"/>
        <v>-9.8368639999999843</v>
      </c>
      <c r="AO26" s="74">
        <f t="shared" si="25"/>
        <v>-10.870394000000204</v>
      </c>
      <c r="AP26" s="75">
        <f t="shared" si="26"/>
        <v>-4.3339904973874736E-2</v>
      </c>
      <c r="AQ26" s="76">
        <f t="shared" si="27"/>
        <v>-7669.0856652667208</v>
      </c>
      <c r="AR26" s="90">
        <f t="shared" si="30"/>
        <v>-0.28600000000005821</v>
      </c>
    </row>
    <row r="27" spans="1:48" x14ac:dyDescent="0.25">
      <c r="A27" t="str">
        <f t="shared" si="13"/>
        <v>46185E</v>
      </c>
      <c r="B27" s="51">
        <f t="shared" si="29"/>
        <v>46185</v>
      </c>
      <c r="C27" s="52" t="s">
        <v>88</v>
      </c>
      <c r="D27" s="79">
        <v>1276</v>
      </c>
      <c r="E27" s="62">
        <v>3.9</v>
      </c>
      <c r="F27" s="62">
        <v>8.08</v>
      </c>
      <c r="G27" s="62">
        <f t="shared" si="14"/>
        <v>49.764000000000003</v>
      </c>
      <c r="H27" s="63">
        <f t="shared" si="15"/>
        <v>103.10079999999999</v>
      </c>
      <c r="I27" s="203">
        <v>2951.7999999999997</v>
      </c>
      <c r="J27" s="203">
        <v>3040.3539999999998</v>
      </c>
      <c r="K27" s="203">
        <v>3.7615217833186532</v>
      </c>
      <c r="L27" s="203">
        <v>8.1530286604783537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6"/>
        <v>3040.3539999999998</v>
      </c>
      <c r="S27" s="62">
        <f t="shared" si="17"/>
        <v>114.363578</v>
      </c>
      <c r="T27" s="63">
        <f t="shared" si="18"/>
        <v>247.88093300000003</v>
      </c>
      <c r="U27" s="64" t="s">
        <v>187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9"/>
        <v>0</v>
      </c>
      <c r="AB27" s="63">
        <f t="shared" si="20"/>
        <v>0</v>
      </c>
      <c r="AC27" s="69"/>
      <c r="AD27" s="70"/>
      <c r="AE27" s="70"/>
      <c r="AF27" s="62">
        <f t="shared" si="21"/>
        <v>0</v>
      </c>
      <c r="AG27" s="63">
        <f t="shared" si="22"/>
        <v>0</v>
      </c>
      <c r="AH27" s="97">
        <v>4316</v>
      </c>
      <c r="AI27" s="66">
        <v>3.83</v>
      </c>
      <c r="AJ27" s="66">
        <v>8.16</v>
      </c>
      <c r="AK27" s="62">
        <f t="shared" si="31"/>
        <v>165.30279999999999</v>
      </c>
      <c r="AL27" s="72">
        <f t="shared" si="32"/>
        <v>352.18560000000002</v>
      </c>
      <c r="AM27" s="73">
        <f t="shared" si="23"/>
        <v>0.35399999999935972</v>
      </c>
      <c r="AN27" s="74">
        <f t="shared" si="24"/>
        <v>-1.1752219999999909</v>
      </c>
      <c r="AO27" s="74">
        <f t="shared" si="25"/>
        <v>-1.2038670000000025</v>
      </c>
      <c r="AP27" s="75">
        <f t="shared" si="26"/>
        <v>-6.5676329875430277E-3</v>
      </c>
      <c r="AQ27" s="76">
        <f t="shared" si="27"/>
        <v>-887.85419799999659</v>
      </c>
      <c r="AR27" s="90">
        <f t="shared" si="30"/>
        <v>0.35399999999935972</v>
      </c>
    </row>
    <row r="28" spans="1:48" x14ac:dyDescent="0.25">
      <c r="A28" t="str">
        <f t="shared" si="13"/>
        <v>46186M</v>
      </c>
      <c r="B28" s="51">
        <f t="shared" si="29"/>
        <v>46186</v>
      </c>
      <c r="C28" s="52" t="s">
        <v>87</v>
      </c>
      <c r="D28" s="79">
        <v>4316</v>
      </c>
      <c r="E28" s="62">
        <v>3.83</v>
      </c>
      <c r="F28" s="62">
        <v>8.16</v>
      </c>
      <c r="G28" s="62">
        <f t="shared" si="14"/>
        <v>165.30279999999999</v>
      </c>
      <c r="H28" s="63">
        <f t="shared" si="15"/>
        <v>352.18560000000002</v>
      </c>
      <c r="I28" s="203">
        <v>1190.0999999999999</v>
      </c>
      <c r="J28" s="203">
        <v>1225.8029999999999</v>
      </c>
      <c r="K28" s="203">
        <v>4.2044366019662212</v>
      </c>
      <c r="L28" s="203">
        <v>8.3095706243172849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6"/>
        <v>1225.8029999999999</v>
      </c>
      <c r="S28" s="62">
        <f t="shared" si="17"/>
        <v>51.538109999999989</v>
      </c>
      <c r="T28" s="63">
        <f t="shared" si="18"/>
        <v>101.858966</v>
      </c>
      <c r="U28" s="64" t="s">
        <v>187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9"/>
        <v>0</v>
      </c>
      <c r="AB28" s="63">
        <f t="shared" si="20"/>
        <v>0</v>
      </c>
      <c r="AC28" s="69"/>
      <c r="AD28" s="70"/>
      <c r="AE28" s="70"/>
      <c r="AF28" s="62">
        <f t="shared" si="21"/>
        <v>0</v>
      </c>
      <c r="AG28" s="63">
        <f t="shared" si="22"/>
        <v>0</v>
      </c>
      <c r="AH28" s="97">
        <v>5541</v>
      </c>
      <c r="AI28" s="66">
        <v>3.91</v>
      </c>
      <c r="AJ28" s="66">
        <v>8.19</v>
      </c>
      <c r="AK28" s="62">
        <f t="shared" si="31"/>
        <v>216.65310000000002</v>
      </c>
      <c r="AL28" s="72">
        <f t="shared" si="32"/>
        <v>453.80790000000002</v>
      </c>
      <c r="AM28" s="73">
        <f t="shared" si="23"/>
        <v>0.80299999999988358</v>
      </c>
      <c r="AN28" s="74">
        <f t="shared" si="24"/>
        <v>0.18780999999995629</v>
      </c>
      <c r="AO28" s="74">
        <f t="shared" si="25"/>
        <v>0.23666600000001381</v>
      </c>
      <c r="AP28" s="75">
        <f t="shared" si="26"/>
        <v>2.7671713898899234E-3</v>
      </c>
      <c r="AQ28" s="76">
        <f t="shared" si="27"/>
        <v>155.1376098066512</v>
      </c>
      <c r="AR28" s="90">
        <f t="shared" si="30"/>
        <v>0.80299999999988358</v>
      </c>
    </row>
    <row r="29" spans="1:48" x14ac:dyDescent="0.25">
      <c r="A29" t="str">
        <f t="shared" si="13"/>
        <v>46186E</v>
      </c>
      <c r="B29" s="51">
        <f t="shared" si="29"/>
        <v>46186</v>
      </c>
      <c r="C29" s="52" t="s">
        <v>88</v>
      </c>
      <c r="D29" s="79">
        <v>5541</v>
      </c>
      <c r="E29" s="62">
        <v>3.91</v>
      </c>
      <c r="F29" s="62">
        <v>8.19</v>
      </c>
      <c r="G29" s="62">
        <f t="shared" si="14"/>
        <v>216.65310000000002</v>
      </c>
      <c r="H29" s="63">
        <f t="shared" si="15"/>
        <v>453.80790000000002</v>
      </c>
      <c r="I29" s="203">
        <v>2897.2</v>
      </c>
      <c r="J29" s="203">
        <v>2984.116</v>
      </c>
      <c r="K29" s="203">
        <v>3.6871807262184184</v>
      </c>
      <c r="L29" s="203">
        <v>8.1194429103962484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6"/>
        <v>2984.116</v>
      </c>
      <c r="S29" s="62">
        <f t="shared" si="17"/>
        <v>110.02975000000002</v>
      </c>
      <c r="T29" s="63">
        <f t="shared" si="18"/>
        <v>242.29359500000012</v>
      </c>
      <c r="U29" s="64" t="s">
        <v>171</v>
      </c>
      <c r="V29" s="65" t="s">
        <v>500</v>
      </c>
      <c r="W29" s="66" t="s">
        <v>208</v>
      </c>
      <c r="X29" s="67">
        <v>6200</v>
      </c>
      <c r="Y29" s="68">
        <v>3.95</v>
      </c>
      <c r="Z29" s="68">
        <v>8.32</v>
      </c>
      <c r="AA29" s="62">
        <f t="shared" si="19"/>
        <v>244.9</v>
      </c>
      <c r="AB29" s="63">
        <f t="shared" si="20"/>
        <v>515.84</v>
      </c>
      <c r="AC29" s="69">
        <v>6170</v>
      </c>
      <c r="AD29" s="70">
        <v>3.7999999999999994</v>
      </c>
      <c r="AE29" s="70">
        <v>8.1699999999999982</v>
      </c>
      <c r="AF29" s="62">
        <f t="shared" si="21"/>
        <v>234.45999999999995</v>
      </c>
      <c r="AG29" s="63">
        <f t="shared" si="22"/>
        <v>504.08899999999988</v>
      </c>
      <c r="AH29" s="97">
        <v>2325</v>
      </c>
      <c r="AI29" s="66">
        <v>3.83</v>
      </c>
      <c r="AJ29" s="66">
        <v>8.15</v>
      </c>
      <c r="AK29" s="62">
        <f t="shared" si="31"/>
        <v>89.047499999999999</v>
      </c>
      <c r="AL29" s="72">
        <f t="shared" si="32"/>
        <v>189.48750000000001</v>
      </c>
      <c r="AM29" s="73">
        <f t="shared" si="23"/>
        <v>30.115999999999985</v>
      </c>
      <c r="AN29" s="74">
        <f t="shared" si="24"/>
        <v>3.1753500000000798</v>
      </c>
      <c r="AO29" s="74">
        <f t="shared" si="25"/>
        <v>2.5249950000002173</v>
      </c>
      <c r="AP29" s="75">
        <f t="shared" si="26"/>
        <v>1.617929972820931E-2</v>
      </c>
      <c r="AQ29" s="76">
        <f t="shared" si="27"/>
        <v>2181.1100388001009</v>
      </c>
      <c r="AR29" s="90">
        <f t="shared" si="30"/>
        <v>0.11599999999998545</v>
      </c>
    </row>
    <row r="30" spans="1:48" x14ac:dyDescent="0.25">
      <c r="A30" t="str">
        <f t="shared" si="13"/>
        <v>46187M</v>
      </c>
      <c r="B30" s="51">
        <f t="shared" si="29"/>
        <v>46187</v>
      </c>
      <c r="C30" s="52" t="s">
        <v>87</v>
      </c>
      <c r="D30" s="79">
        <v>2325</v>
      </c>
      <c r="E30" s="62">
        <v>3.83</v>
      </c>
      <c r="F30" s="62">
        <v>8.15</v>
      </c>
      <c r="G30" s="62">
        <f t="shared" si="14"/>
        <v>89.047499999999999</v>
      </c>
      <c r="H30" s="63">
        <f t="shared" si="15"/>
        <v>189.48750000000001</v>
      </c>
      <c r="I30" s="203">
        <v>1152</v>
      </c>
      <c r="J30" s="203">
        <v>1186.56</v>
      </c>
      <c r="K30" s="203">
        <v>4.1540104166666678</v>
      </c>
      <c r="L30" s="203">
        <v>8.2680034722222242</v>
      </c>
      <c r="M30" s="58" t="s">
        <v>165</v>
      </c>
      <c r="N30" s="58" t="s">
        <v>498</v>
      </c>
      <c r="O30" s="59">
        <v>2000</v>
      </c>
      <c r="P30" s="56">
        <v>4.2</v>
      </c>
      <c r="Q30" s="60">
        <v>8.18</v>
      </c>
      <c r="R30" s="61">
        <f t="shared" si="16"/>
        <v>3186.56</v>
      </c>
      <c r="S30" s="62">
        <f t="shared" si="17"/>
        <v>133.28982600000001</v>
      </c>
      <c r="T30" s="63">
        <f t="shared" si="18"/>
        <v>261.70482200000004</v>
      </c>
      <c r="U30" s="64" t="s">
        <v>172</v>
      </c>
      <c r="V30" s="65" t="s">
        <v>501</v>
      </c>
      <c r="W30" s="66" t="s">
        <v>208</v>
      </c>
      <c r="X30" s="67">
        <v>5900</v>
      </c>
      <c r="Y30" s="68">
        <v>4.0449152542372886</v>
      </c>
      <c r="Z30" s="68">
        <v>8.278983050847458</v>
      </c>
      <c r="AA30" s="62">
        <f t="shared" si="19"/>
        <v>238.65000000000003</v>
      </c>
      <c r="AB30" s="63">
        <f t="shared" si="20"/>
        <v>488.46</v>
      </c>
      <c r="AC30" s="69">
        <v>5910</v>
      </c>
      <c r="AD30" s="70">
        <v>3.9401015228426393</v>
      </c>
      <c r="AE30" s="70">
        <v>8.1980203045685265</v>
      </c>
      <c r="AF30" s="62">
        <f t="shared" si="21"/>
        <v>232.85999999999999</v>
      </c>
      <c r="AG30" s="63">
        <f t="shared" si="22"/>
        <v>484.50299999999993</v>
      </c>
      <c r="AH30" s="97">
        <v>0</v>
      </c>
      <c r="AI30" s="66">
        <v>0</v>
      </c>
      <c r="AJ30" s="66">
        <v>0</v>
      </c>
      <c r="AK30" s="62">
        <f t="shared" si="31"/>
        <v>0</v>
      </c>
      <c r="AL30" s="72">
        <f t="shared" si="32"/>
        <v>0</v>
      </c>
      <c r="AM30" s="73">
        <f t="shared" si="23"/>
        <v>-398.44000000000051</v>
      </c>
      <c r="AN30" s="74">
        <f t="shared" si="24"/>
        <v>-10.522673999999967</v>
      </c>
      <c r="AO30" s="74">
        <f t="shared" si="25"/>
        <v>-33.310677999999882</v>
      </c>
      <c r="AP30" s="75">
        <f t="shared" si="26"/>
        <v>-0.11097201499297236</v>
      </c>
      <c r="AQ30" s="76">
        <f t="shared" si="27"/>
        <v>-14692.731225993284</v>
      </c>
      <c r="AR30" s="90">
        <f t="shared" si="30"/>
        <v>-388.44000000000051</v>
      </c>
    </row>
    <row r="31" spans="1:48" x14ac:dyDescent="0.25">
      <c r="A31" t="str">
        <f t="shared" si="13"/>
        <v>46187E</v>
      </c>
      <c r="B31" s="51">
        <f t="shared" si="29"/>
        <v>46187</v>
      </c>
      <c r="C31" s="52" t="s">
        <v>88</v>
      </c>
      <c r="D31" s="79">
        <v>0</v>
      </c>
      <c r="E31" s="62">
        <v>0</v>
      </c>
      <c r="F31" s="62">
        <v>0</v>
      </c>
      <c r="G31" s="62">
        <f t="shared" si="14"/>
        <v>0</v>
      </c>
      <c r="H31" s="63">
        <f t="shared" si="15"/>
        <v>0</v>
      </c>
      <c r="I31" s="203">
        <v>2079.9000000000005</v>
      </c>
      <c r="J31" s="203">
        <v>2142.2970000000005</v>
      </c>
      <c r="K31" s="203">
        <v>3.7273330448579265</v>
      </c>
      <c r="L31" s="203">
        <v>8.1682196259435553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6"/>
        <v>2142.2970000000005</v>
      </c>
      <c r="S31" s="62">
        <f t="shared" si="17"/>
        <v>79.850544000000028</v>
      </c>
      <c r="T31" s="63">
        <f t="shared" si="18"/>
        <v>174.98752400000006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9"/>
        <v>0</v>
      </c>
      <c r="AB31" s="63">
        <f t="shared" si="20"/>
        <v>0</v>
      </c>
      <c r="AC31" s="69"/>
      <c r="AD31" s="70"/>
      <c r="AE31" s="70"/>
      <c r="AF31" s="62">
        <f t="shared" si="21"/>
        <v>0</v>
      </c>
      <c r="AG31" s="63">
        <f t="shared" si="22"/>
        <v>0</v>
      </c>
      <c r="AH31" s="97">
        <v>2142</v>
      </c>
      <c r="AI31" s="66">
        <v>3.7</v>
      </c>
      <c r="AJ31" s="66">
        <v>8.1999999999999993</v>
      </c>
      <c r="AK31" s="62">
        <f t="shared" si="31"/>
        <v>79.254000000000005</v>
      </c>
      <c r="AL31" s="72">
        <f t="shared" si="32"/>
        <v>175.64399999999998</v>
      </c>
      <c r="AM31" s="73">
        <f t="shared" si="23"/>
        <v>0.29700000000048021</v>
      </c>
      <c r="AN31" s="74">
        <f t="shared" si="24"/>
        <v>0.59654400000002283</v>
      </c>
      <c r="AO31" s="74">
        <f t="shared" si="25"/>
        <v>-0.65647599999991257</v>
      </c>
      <c r="AP31" s="75">
        <f t="shared" si="26"/>
        <v>-2.3517679470042805E-4</v>
      </c>
      <c r="AQ31" s="76">
        <f t="shared" si="27"/>
        <v>71.328806266703111</v>
      </c>
      <c r="AR31" s="90">
        <f t="shared" si="30"/>
        <v>0.29700000000048021</v>
      </c>
    </row>
    <row r="32" spans="1:48" x14ac:dyDescent="0.25">
      <c r="A32" t="str">
        <f t="shared" si="13"/>
        <v>46188M</v>
      </c>
      <c r="B32" s="51">
        <f t="shared" si="29"/>
        <v>46188</v>
      </c>
      <c r="C32" s="52" t="s">
        <v>87</v>
      </c>
      <c r="D32" s="79">
        <v>2142</v>
      </c>
      <c r="E32" s="62">
        <v>3.7</v>
      </c>
      <c r="F32" s="62">
        <v>8.1999999999999993</v>
      </c>
      <c r="G32" s="62">
        <f t="shared" si="14"/>
        <v>79.254000000000005</v>
      </c>
      <c r="H32" s="63">
        <f t="shared" si="15"/>
        <v>175.64399999999998</v>
      </c>
      <c r="I32" s="203">
        <v>721.09999999999991</v>
      </c>
      <c r="J32" s="203">
        <v>742.73299999999995</v>
      </c>
      <c r="K32" s="203">
        <v>4.4914852308972399</v>
      </c>
      <c r="L32" s="203">
        <v>8.3135071418665927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6"/>
        <v>742.73299999999995</v>
      </c>
      <c r="S32" s="62">
        <f t="shared" si="17"/>
        <v>33.359742999999995</v>
      </c>
      <c r="T32" s="63">
        <f t="shared" si="18"/>
        <v>61.747160999999998</v>
      </c>
      <c r="U32" s="64" t="s">
        <v>167</v>
      </c>
      <c r="V32" s="8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9"/>
        <v>0</v>
      </c>
      <c r="AB32" s="63">
        <f t="shared" si="20"/>
        <v>0</v>
      </c>
      <c r="AC32" s="69"/>
      <c r="AD32" s="70"/>
      <c r="AE32" s="70"/>
      <c r="AF32" s="62">
        <f t="shared" si="21"/>
        <v>0</v>
      </c>
      <c r="AG32" s="63">
        <f t="shared" si="22"/>
        <v>0</v>
      </c>
      <c r="AH32" s="97">
        <v>2885</v>
      </c>
      <c r="AI32" s="66">
        <v>3.9</v>
      </c>
      <c r="AJ32" s="66">
        <v>8.2200000000000006</v>
      </c>
      <c r="AK32" s="62">
        <f t="shared" si="31"/>
        <v>112.515</v>
      </c>
      <c r="AL32" s="72">
        <f t="shared" si="32"/>
        <v>237.14700000000002</v>
      </c>
      <c r="AM32" s="73">
        <f t="shared" si="23"/>
        <v>-0.26699999999982538</v>
      </c>
      <c r="AN32" s="74">
        <f t="shared" si="24"/>
        <v>9.8742999999998915E-2</v>
      </c>
      <c r="AO32" s="74">
        <f t="shared" si="25"/>
        <v>0.24416099999996277</v>
      </c>
      <c r="AP32" s="75">
        <f t="shared" si="26"/>
        <v>3.6054585479931272E-3</v>
      </c>
      <c r="AQ32" s="76">
        <f t="shared" si="27"/>
        <v>117.39759646998839</v>
      </c>
      <c r="AR32" s="90">
        <f t="shared" si="30"/>
        <v>-0.26699999999982538</v>
      </c>
    </row>
    <row r="33" spans="1:44" x14ac:dyDescent="0.25">
      <c r="A33" t="str">
        <f t="shared" si="13"/>
        <v>46188E</v>
      </c>
      <c r="B33" s="51">
        <f t="shared" si="29"/>
        <v>46188</v>
      </c>
      <c r="C33" s="52" t="s">
        <v>88</v>
      </c>
      <c r="D33" s="79">
        <v>2885</v>
      </c>
      <c r="E33" s="62">
        <v>3.9</v>
      </c>
      <c r="F33" s="62">
        <v>8.2200000000000006</v>
      </c>
      <c r="G33" s="62">
        <f t="shared" si="14"/>
        <v>112.515</v>
      </c>
      <c r="H33" s="63">
        <f t="shared" si="15"/>
        <v>237.14700000000002</v>
      </c>
      <c r="I33" s="203">
        <v>2460.1999999999998</v>
      </c>
      <c r="J33" s="203">
        <v>2534.0059999999999</v>
      </c>
      <c r="K33" s="203">
        <v>3.6690634907731092</v>
      </c>
      <c r="L33" s="203">
        <v>8.05165433704577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6"/>
        <v>2534.0059999999999</v>
      </c>
      <c r="S33" s="62">
        <f t="shared" si="17"/>
        <v>92.974289000000027</v>
      </c>
      <c r="T33" s="63">
        <f t="shared" si="18"/>
        <v>204.02940400000003</v>
      </c>
      <c r="U33" s="64" t="s">
        <v>171</v>
      </c>
      <c r="V33" s="85" t="s">
        <v>502</v>
      </c>
      <c r="W33" s="66" t="s">
        <v>208</v>
      </c>
      <c r="X33" s="67">
        <v>3100</v>
      </c>
      <c r="Y33" s="68">
        <v>3.95</v>
      </c>
      <c r="Z33" s="68">
        <v>8.32</v>
      </c>
      <c r="AA33" s="62">
        <f t="shared" si="19"/>
        <v>122.45</v>
      </c>
      <c r="AB33" s="63">
        <f t="shared" si="20"/>
        <v>257.92</v>
      </c>
      <c r="AC33" s="69">
        <v>3080</v>
      </c>
      <c r="AD33" s="70">
        <v>3.9</v>
      </c>
      <c r="AE33" s="70">
        <v>8.19</v>
      </c>
      <c r="AF33" s="62">
        <f t="shared" si="21"/>
        <v>120.12</v>
      </c>
      <c r="AG33" s="63">
        <f t="shared" si="22"/>
        <v>252.25200000000001</v>
      </c>
      <c r="AH33" s="97">
        <v>2319</v>
      </c>
      <c r="AI33" s="66">
        <v>3.89</v>
      </c>
      <c r="AJ33" s="66">
        <v>8.16</v>
      </c>
      <c r="AK33" s="62">
        <f t="shared" si="31"/>
        <v>90.209100000000007</v>
      </c>
      <c r="AL33" s="72">
        <f t="shared" si="32"/>
        <v>189.2304</v>
      </c>
      <c r="AM33" s="73">
        <f t="shared" si="23"/>
        <v>20.005999999999403</v>
      </c>
      <c r="AN33" s="74">
        <f t="shared" si="24"/>
        <v>-4.839810999999969</v>
      </c>
      <c r="AO33" s="74">
        <f t="shared" si="25"/>
        <v>-0.30599599999996485</v>
      </c>
      <c r="AP33" s="75">
        <f t="shared" si="26"/>
        <v>-1.7325734060821704E-2</v>
      </c>
      <c r="AQ33" s="76">
        <f t="shared" si="27"/>
        <v>-2264.2159989166425</v>
      </c>
      <c r="AR33" s="90">
        <f t="shared" si="30"/>
        <v>5.9999999994033715E-3</v>
      </c>
    </row>
    <row r="34" spans="1:44" x14ac:dyDescent="0.25">
      <c r="A34" t="str">
        <f t="shared" si="13"/>
        <v>46189M</v>
      </c>
      <c r="B34" s="51">
        <f t="shared" si="29"/>
        <v>46189</v>
      </c>
      <c r="C34" s="52" t="s">
        <v>87</v>
      </c>
      <c r="D34" s="79">
        <v>2319</v>
      </c>
      <c r="E34" s="62">
        <v>3.89</v>
      </c>
      <c r="F34" s="62">
        <v>8.16</v>
      </c>
      <c r="G34" s="62">
        <f t="shared" si="14"/>
        <v>90.209100000000007</v>
      </c>
      <c r="H34" s="63">
        <f t="shared" si="15"/>
        <v>189.2304</v>
      </c>
      <c r="I34" s="203">
        <v>714.49999999999989</v>
      </c>
      <c r="J34" s="203">
        <v>735.93499999999995</v>
      </c>
      <c r="K34" s="203">
        <v>4.5176207137858633</v>
      </c>
      <c r="L34" s="203">
        <v>8.2486773967809661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6"/>
        <v>735.93499999999995</v>
      </c>
      <c r="S34" s="62">
        <f t="shared" si="17"/>
        <v>33.246751999999987</v>
      </c>
      <c r="T34" s="63">
        <f t="shared" si="18"/>
        <v>60.704903999999999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9"/>
        <v>0</v>
      </c>
      <c r="AB34" s="63">
        <f t="shared" si="20"/>
        <v>0</v>
      </c>
      <c r="AC34" s="69"/>
      <c r="AD34" s="70"/>
      <c r="AE34" s="70"/>
      <c r="AF34" s="62">
        <f t="shared" si="21"/>
        <v>0</v>
      </c>
      <c r="AG34" s="63">
        <f t="shared" si="22"/>
        <v>0</v>
      </c>
      <c r="AH34" s="97">
        <v>3055.9</v>
      </c>
      <c r="AI34" s="66">
        <v>4.03</v>
      </c>
      <c r="AJ34" s="66">
        <v>8.16</v>
      </c>
      <c r="AK34" s="62">
        <f t="shared" si="31"/>
        <v>123.15277000000002</v>
      </c>
      <c r="AL34" s="72">
        <f t="shared" si="32"/>
        <v>249.36144000000002</v>
      </c>
      <c r="AM34" s="73">
        <f t="shared" si="23"/>
        <v>-0.96500000000014552</v>
      </c>
      <c r="AN34" s="74">
        <f t="shared" si="24"/>
        <v>0.30308199999997498</v>
      </c>
      <c r="AO34" s="74">
        <f t="shared" si="25"/>
        <v>0.57386399999998616</v>
      </c>
      <c r="AP34" s="75">
        <f t="shared" si="26"/>
        <v>9.3340132291011586E-3</v>
      </c>
      <c r="AQ34" s="76">
        <f t="shared" si="27"/>
        <v>307.79873277998468</v>
      </c>
      <c r="AR34" s="77">
        <f>(D34+J34+O34)-(X34+AH34)</f>
        <v>-0.96500000000014552</v>
      </c>
    </row>
    <row r="35" spans="1:44" x14ac:dyDescent="0.25">
      <c r="A35" t="str">
        <f t="shared" si="13"/>
        <v>46189E</v>
      </c>
      <c r="B35" s="51">
        <f t="shared" si="29"/>
        <v>46189</v>
      </c>
      <c r="C35" s="52" t="s">
        <v>88</v>
      </c>
      <c r="D35" s="79">
        <v>3055.9</v>
      </c>
      <c r="E35" s="62">
        <v>4.03</v>
      </c>
      <c r="F35" s="62">
        <v>8.16</v>
      </c>
      <c r="G35" s="62">
        <f t="shared" si="14"/>
        <v>123.15277000000002</v>
      </c>
      <c r="H35" s="63">
        <f t="shared" si="15"/>
        <v>249.36144000000002</v>
      </c>
      <c r="I35" s="203">
        <v>1113.0999999999999</v>
      </c>
      <c r="J35" s="203">
        <v>1146.4929999999999</v>
      </c>
      <c r="K35" s="203">
        <v>3.8642709549905665</v>
      </c>
      <c r="L35" s="203">
        <v>8.0973677117958864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6"/>
        <v>1146.4929999999999</v>
      </c>
      <c r="S35" s="62">
        <f t="shared" si="17"/>
        <v>44.303595999999999</v>
      </c>
      <c r="T35" s="63">
        <f t="shared" si="18"/>
        <v>92.835753999999994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9"/>
        <v>0</v>
      </c>
      <c r="AB35" s="63">
        <f t="shared" si="20"/>
        <v>0</v>
      </c>
      <c r="AC35" s="69"/>
      <c r="AD35" s="70"/>
      <c r="AE35" s="70"/>
      <c r="AF35" s="62">
        <f t="shared" si="21"/>
        <v>0</v>
      </c>
      <c r="AG35" s="63">
        <f t="shared" si="22"/>
        <v>0</v>
      </c>
      <c r="AH35" s="97">
        <v>4202.3999999999996</v>
      </c>
      <c r="AI35" s="66">
        <v>3.99</v>
      </c>
      <c r="AJ35" s="66">
        <v>8.14</v>
      </c>
      <c r="AK35" s="62">
        <f t="shared" si="31"/>
        <v>167.67576</v>
      </c>
      <c r="AL35" s="72">
        <f t="shared" si="32"/>
        <v>342.07535999999999</v>
      </c>
      <c r="AM35" s="73">
        <f t="shared" si="23"/>
        <v>-6.9999999996070983E-3</v>
      </c>
      <c r="AN35" s="74">
        <f t="shared" si="24"/>
        <v>-0.21939399999999409</v>
      </c>
      <c r="AO35" s="74">
        <f t="shared" si="25"/>
        <v>0.1218340000000353</v>
      </c>
      <c r="AP35" s="75">
        <f t="shared" si="26"/>
        <v>-7.1139319239852609E-4</v>
      </c>
      <c r="AQ35" s="76">
        <f t="shared" si="27"/>
        <v>-62.026493246653452</v>
      </c>
      <c r="AR35" s="77">
        <f t="shared" si="12"/>
        <v>-6.9999999996070983E-3</v>
      </c>
    </row>
    <row r="36" spans="1:44" x14ac:dyDescent="0.25">
      <c r="A36" t="str">
        <f t="shared" si="13"/>
        <v>46190M</v>
      </c>
      <c r="B36" s="51">
        <f t="shared" si="29"/>
        <v>46190</v>
      </c>
      <c r="C36" s="52" t="s">
        <v>87</v>
      </c>
      <c r="D36" s="79">
        <v>4202.3999999999996</v>
      </c>
      <c r="E36" s="62">
        <v>3.99</v>
      </c>
      <c r="F36" s="62">
        <v>8.14</v>
      </c>
      <c r="G36" s="62">
        <f t="shared" si="14"/>
        <v>167.67576</v>
      </c>
      <c r="H36" s="63">
        <f t="shared" si="15"/>
        <v>342.07535999999999</v>
      </c>
      <c r="I36" s="203">
        <v>618.69999999999993</v>
      </c>
      <c r="J36" s="203">
        <v>637.26099999999997</v>
      </c>
      <c r="K36" s="203">
        <v>4.5577986099886854</v>
      </c>
      <c r="L36" s="203">
        <v>8.2787942459996771</v>
      </c>
      <c r="M36" s="58">
        <v>0</v>
      </c>
      <c r="N36" s="58" t="s">
        <v>167</v>
      </c>
      <c r="O36" s="59">
        <v>0</v>
      </c>
      <c r="P36" s="56">
        <v>0</v>
      </c>
      <c r="Q36" s="60">
        <v>0</v>
      </c>
      <c r="R36" s="61">
        <f t="shared" si="16"/>
        <v>637.26099999999997</v>
      </c>
      <c r="S36" s="62">
        <f t="shared" si="17"/>
        <v>29.045072999999995</v>
      </c>
      <c r="T36" s="63">
        <f t="shared" si="18"/>
        <v>52.757526999999996</v>
      </c>
      <c r="U36" s="64" t="s">
        <v>171</v>
      </c>
      <c r="V36" s="65" t="s">
        <v>560</v>
      </c>
      <c r="W36" s="66" t="s">
        <v>194</v>
      </c>
      <c r="X36" s="67">
        <v>3100</v>
      </c>
      <c r="Y36" s="68">
        <v>4.1500000000000004</v>
      </c>
      <c r="Z36" s="68">
        <v>8.36</v>
      </c>
      <c r="AA36" s="62">
        <f t="shared" si="19"/>
        <v>128.65</v>
      </c>
      <c r="AB36" s="63">
        <f t="shared" si="20"/>
        <v>259.15999999999997</v>
      </c>
      <c r="AC36" s="226">
        <v>3100</v>
      </c>
      <c r="AD36" s="227">
        <v>4.1500000000000004</v>
      </c>
      <c r="AE36" s="227">
        <v>8.36</v>
      </c>
      <c r="AF36" s="62">
        <f t="shared" si="21"/>
        <v>128.65</v>
      </c>
      <c r="AG36" s="63">
        <f t="shared" si="22"/>
        <v>259.15999999999997</v>
      </c>
      <c r="AH36" s="97">
        <v>1740</v>
      </c>
      <c r="AI36" s="66">
        <v>4.07</v>
      </c>
      <c r="AJ36" s="66">
        <v>8.16</v>
      </c>
      <c r="AK36" s="62">
        <f t="shared" si="31"/>
        <v>70.817999999999998</v>
      </c>
      <c r="AL36" s="72">
        <f t="shared" si="32"/>
        <v>141.98400000000001</v>
      </c>
      <c r="AM36" s="73">
        <f t="shared" si="23"/>
        <v>-0.33899999999994179</v>
      </c>
      <c r="AN36" s="74">
        <f t="shared" si="24"/>
        <v>-2.7471670000000046</v>
      </c>
      <c r="AO36" s="74">
        <f t="shared" si="25"/>
        <v>-6.311113000000006</v>
      </c>
      <c r="AP36" s="75">
        <f t="shared" si="26"/>
        <v>-0.11073339967189322</v>
      </c>
      <c r="AQ36" s="76">
        <f t="shared" si="27"/>
        <v>-3121.9785625233371</v>
      </c>
      <c r="AR36" s="90">
        <f t="shared" ref="AR36:AR49" si="33">(D36+J36+O36)-(X36+AH36)</f>
        <v>-0.33899999999994179</v>
      </c>
    </row>
    <row r="37" spans="1:44" x14ac:dyDescent="0.25">
      <c r="A37" t="str">
        <f t="shared" si="13"/>
        <v>46190E</v>
      </c>
      <c r="B37" s="51">
        <f t="shared" si="29"/>
        <v>46190</v>
      </c>
      <c r="C37" s="52" t="s">
        <v>88</v>
      </c>
      <c r="D37" s="79">
        <v>1740</v>
      </c>
      <c r="E37" s="62">
        <v>4.07</v>
      </c>
      <c r="F37" s="62">
        <v>8.16</v>
      </c>
      <c r="G37" s="62">
        <f t="shared" si="14"/>
        <v>70.817999999999998</v>
      </c>
      <c r="H37" s="63">
        <f t="shared" si="15"/>
        <v>141.98400000000001</v>
      </c>
      <c r="I37" s="203">
        <v>2420.5999999999995</v>
      </c>
      <c r="J37" s="203">
        <v>2493.2179999999994</v>
      </c>
      <c r="K37" s="203">
        <v>3.7298644964058512</v>
      </c>
      <c r="L37" s="203">
        <v>8.0620052879451407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6"/>
        <v>2493.2179999999994</v>
      </c>
      <c r="S37" s="62">
        <f t="shared" si="17"/>
        <v>92.993653000000009</v>
      </c>
      <c r="T37" s="63">
        <f t="shared" si="18"/>
        <v>201.00336700000005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9"/>
        <v>0</v>
      </c>
      <c r="AB37" s="63">
        <f t="shared" si="20"/>
        <v>0</v>
      </c>
      <c r="AC37" s="69"/>
      <c r="AD37" s="70"/>
      <c r="AE37" s="70"/>
      <c r="AF37" s="62">
        <f t="shared" si="21"/>
        <v>0</v>
      </c>
      <c r="AG37" s="63">
        <f t="shared" si="22"/>
        <v>0</v>
      </c>
      <c r="AH37" s="97">
        <v>4233</v>
      </c>
      <c r="AI37" s="66">
        <v>3.85</v>
      </c>
      <c r="AJ37" s="66">
        <v>8.1199999999999992</v>
      </c>
      <c r="AK37" s="62">
        <f t="shared" ref="AK37:AK49" si="34">AH37*AI37%</f>
        <v>162.97049999999999</v>
      </c>
      <c r="AL37" s="72">
        <f t="shared" ref="AL37:AL49" si="35">AH37*AJ37%</f>
        <v>343.71959999999996</v>
      </c>
      <c r="AM37" s="73">
        <f t="shared" si="23"/>
        <v>0.21799999999893771</v>
      </c>
      <c r="AN37" s="74">
        <f t="shared" si="24"/>
        <v>0.8411530000000198</v>
      </c>
      <c r="AO37" s="74">
        <f t="shared" si="25"/>
        <v>-0.73223299999989422</v>
      </c>
      <c r="AP37" s="75">
        <f t="shared" si="26"/>
        <v>3.7047994568150912E-4</v>
      </c>
      <c r="AQ37" s="76">
        <f t="shared" si="27"/>
        <v>158.46418254337388</v>
      </c>
      <c r="AR37" s="90">
        <f t="shared" si="33"/>
        <v>0.21799999999893771</v>
      </c>
    </row>
    <row r="38" spans="1:44" x14ac:dyDescent="0.25">
      <c r="A38" t="str">
        <f t="shared" si="13"/>
        <v>46191M</v>
      </c>
      <c r="B38" s="51">
        <f t="shared" si="29"/>
        <v>46191</v>
      </c>
      <c r="C38" s="52" t="s">
        <v>87</v>
      </c>
      <c r="D38" s="79">
        <v>4233</v>
      </c>
      <c r="E38" s="62">
        <v>3.85</v>
      </c>
      <c r="F38" s="62">
        <v>8.1199999999999992</v>
      </c>
      <c r="G38" s="62">
        <f t="shared" si="14"/>
        <v>162.97049999999999</v>
      </c>
      <c r="H38" s="63">
        <f t="shared" si="15"/>
        <v>343.71959999999996</v>
      </c>
      <c r="I38" s="203">
        <v>709.49999999999989</v>
      </c>
      <c r="J38" s="203">
        <v>730.78499999999985</v>
      </c>
      <c r="K38" s="203">
        <v>4.406737138830163</v>
      </c>
      <c r="L38" s="203">
        <v>8.2031571529245948</v>
      </c>
      <c r="M38" s="58" t="s">
        <v>165</v>
      </c>
      <c r="N38" s="58">
        <v>89385</v>
      </c>
      <c r="O38" s="59">
        <v>3130</v>
      </c>
      <c r="P38" s="56">
        <v>4.3499999999999996</v>
      </c>
      <c r="Q38" s="60">
        <v>8.2799999999999994</v>
      </c>
      <c r="R38" s="61">
        <f t="shared" si="16"/>
        <v>3860.7849999999999</v>
      </c>
      <c r="S38" s="62">
        <f t="shared" si="17"/>
        <v>168.35877399999998</v>
      </c>
      <c r="T38" s="63">
        <f t="shared" si="18"/>
        <v>319.11144199999995</v>
      </c>
      <c r="U38" s="64" t="s">
        <v>172</v>
      </c>
      <c r="V38" s="65" t="s">
        <v>561</v>
      </c>
      <c r="W38" s="66" t="s">
        <v>208</v>
      </c>
      <c r="X38" s="67">
        <v>6280</v>
      </c>
      <c r="Y38" s="68">
        <v>4.22</v>
      </c>
      <c r="Z38" s="68">
        <v>8.2899999999999991</v>
      </c>
      <c r="AA38" s="62">
        <f t="shared" si="19"/>
        <v>265.01599999999996</v>
      </c>
      <c r="AB38" s="63">
        <f t="shared" si="20"/>
        <v>520.61199999999997</v>
      </c>
      <c r="AC38" s="226">
        <v>6280</v>
      </c>
      <c r="AD38" s="227">
        <v>4.22</v>
      </c>
      <c r="AE38" s="227">
        <v>8.2899999999999991</v>
      </c>
      <c r="AF38" s="62">
        <f t="shared" si="21"/>
        <v>265.01599999999996</v>
      </c>
      <c r="AG38" s="63">
        <f t="shared" si="22"/>
        <v>520.61199999999997</v>
      </c>
      <c r="AH38" s="97">
        <v>1814</v>
      </c>
      <c r="AI38" s="66">
        <v>4.09</v>
      </c>
      <c r="AJ38" s="66">
        <v>8.23</v>
      </c>
      <c r="AK38" s="62">
        <f t="shared" si="34"/>
        <v>74.192599999999999</v>
      </c>
      <c r="AL38" s="72">
        <f t="shared" si="35"/>
        <v>149.29220000000001</v>
      </c>
      <c r="AM38" s="73">
        <f t="shared" si="23"/>
        <v>-0.21500000000014552</v>
      </c>
      <c r="AN38" s="74">
        <f t="shared" si="24"/>
        <v>-7.8793260000000203</v>
      </c>
      <c r="AO38" s="74">
        <f t="shared" si="25"/>
        <v>-7.0731580000000633</v>
      </c>
      <c r="AP38" s="75">
        <f t="shared" si="26"/>
        <v>-3.0673636068875406E-2</v>
      </c>
      <c r="AQ38" s="76">
        <f t="shared" si="27"/>
        <v>-5653.9158065133615</v>
      </c>
      <c r="AR38" s="90">
        <f t="shared" si="33"/>
        <v>-0.21500000000014552</v>
      </c>
    </row>
    <row r="39" spans="1:44" x14ac:dyDescent="0.25">
      <c r="A39" t="str">
        <f t="shared" si="13"/>
        <v>46191E</v>
      </c>
      <c r="B39" s="51">
        <f t="shared" si="29"/>
        <v>46191</v>
      </c>
      <c r="C39" s="52" t="s">
        <v>88</v>
      </c>
      <c r="D39" s="79">
        <v>1814</v>
      </c>
      <c r="E39" s="62">
        <v>4.09</v>
      </c>
      <c r="F39" s="62">
        <v>8.23</v>
      </c>
      <c r="G39" s="62">
        <f t="shared" si="14"/>
        <v>74.192599999999999</v>
      </c>
      <c r="H39" s="63">
        <f t="shared" si="15"/>
        <v>149.29220000000001</v>
      </c>
      <c r="I39" s="203">
        <v>2721.6</v>
      </c>
      <c r="J39" s="203">
        <v>2803.248</v>
      </c>
      <c r="K39" s="203">
        <v>3.645627572016461</v>
      </c>
      <c r="L39" s="203">
        <v>8.0803608171663743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6"/>
        <v>2803.248</v>
      </c>
      <c r="S39" s="62">
        <f t="shared" si="17"/>
        <v>102.19598200000001</v>
      </c>
      <c r="T39" s="63">
        <f t="shared" si="18"/>
        <v>226.51255300000003</v>
      </c>
      <c r="U39" s="64" t="s">
        <v>171</v>
      </c>
      <c r="V39" s="65" t="s">
        <v>562</v>
      </c>
      <c r="W39" s="66" t="s">
        <v>149</v>
      </c>
      <c r="X39" s="67">
        <v>3100</v>
      </c>
      <c r="Y39" s="68">
        <v>3.95</v>
      </c>
      <c r="Z39" s="68">
        <v>8.26</v>
      </c>
      <c r="AA39" s="62">
        <f t="shared" si="19"/>
        <v>122.45</v>
      </c>
      <c r="AB39" s="63">
        <f t="shared" si="20"/>
        <v>256.06</v>
      </c>
      <c r="AC39" s="226">
        <v>3100</v>
      </c>
      <c r="AD39" s="227">
        <v>3.95</v>
      </c>
      <c r="AE39" s="227">
        <v>8.26</v>
      </c>
      <c r="AF39" s="62">
        <f t="shared" si="21"/>
        <v>122.45</v>
      </c>
      <c r="AG39" s="63">
        <f t="shared" si="22"/>
        <v>256.06</v>
      </c>
      <c r="AH39" s="97">
        <v>1517</v>
      </c>
      <c r="AI39" s="66">
        <v>3.8</v>
      </c>
      <c r="AJ39" s="66">
        <v>8.15</v>
      </c>
      <c r="AK39" s="62">
        <f t="shared" si="34"/>
        <v>57.646000000000001</v>
      </c>
      <c r="AL39" s="72">
        <f t="shared" si="35"/>
        <v>123.63550000000001</v>
      </c>
      <c r="AM39" s="73">
        <f t="shared" si="23"/>
        <v>0.24799999999959255</v>
      </c>
      <c r="AN39" s="74">
        <f t="shared" si="24"/>
        <v>-3.7074179999999899</v>
      </c>
      <c r="AO39" s="74">
        <f t="shared" si="25"/>
        <v>-3.8907470000000046</v>
      </c>
      <c r="AP39" s="75">
        <f t="shared" si="26"/>
        <v>-2.3115204477425551E-2</v>
      </c>
      <c r="AQ39" s="76">
        <f t="shared" si="27"/>
        <v>-2828.6938382266635</v>
      </c>
      <c r="AR39" s="90">
        <f t="shared" si="33"/>
        <v>0.24799999999959255</v>
      </c>
    </row>
    <row r="40" spans="1:44" x14ac:dyDescent="0.25">
      <c r="A40" t="str">
        <f t="shared" si="13"/>
        <v>46192M</v>
      </c>
      <c r="B40" s="51">
        <f t="shared" si="29"/>
        <v>46192</v>
      </c>
      <c r="C40" s="52" t="s">
        <v>87</v>
      </c>
      <c r="D40" s="79"/>
      <c r="E40" s="62"/>
      <c r="F40" s="62"/>
      <c r="G40" s="62">
        <f t="shared" si="14"/>
        <v>0</v>
      </c>
      <c r="H40" s="63">
        <f t="shared" si="15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6"/>
        <v>0</v>
      </c>
      <c r="S40" s="62">
        <f t="shared" si="17"/>
        <v>0</v>
      </c>
      <c r="T40" s="63">
        <f t="shared" si="18"/>
        <v>0</v>
      </c>
      <c r="U40" s="64"/>
      <c r="V40" s="65"/>
      <c r="W40" s="66"/>
      <c r="X40" s="67"/>
      <c r="Y40" s="68"/>
      <c r="Z40" s="68"/>
      <c r="AA40" s="62">
        <f t="shared" si="19"/>
        <v>0</v>
      </c>
      <c r="AB40" s="63">
        <f t="shared" si="20"/>
        <v>0</v>
      </c>
      <c r="AC40" s="69"/>
      <c r="AD40" s="70"/>
      <c r="AE40" s="70"/>
      <c r="AF40" s="62">
        <f t="shared" si="21"/>
        <v>0</v>
      </c>
      <c r="AG40" s="63">
        <f t="shared" si="22"/>
        <v>0</v>
      </c>
      <c r="AH40" s="97"/>
      <c r="AI40" s="66"/>
      <c r="AJ40" s="66"/>
      <c r="AK40" s="62">
        <f t="shared" si="34"/>
        <v>0</v>
      </c>
      <c r="AL40" s="72">
        <f t="shared" si="35"/>
        <v>0</v>
      </c>
      <c r="AM40" s="73">
        <f t="shared" si="23"/>
        <v>0</v>
      </c>
      <c r="AN40" s="74">
        <f t="shared" si="24"/>
        <v>0</v>
      </c>
      <c r="AO40" s="74">
        <f t="shared" si="25"/>
        <v>0</v>
      </c>
      <c r="AP40" s="75" t="e">
        <f t="shared" si="26"/>
        <v>#DIV/0!</v>
      </c>
      <c r="AQ40" s="76">
        <f t="shared" si="27"/>
        <v>0</v>
      </c>
      <c r="AR40" s="90">
        <f t="shared" si="33"/>
        <v>0</v>
      </c>
    </row>
    <row r="41" spans="1:44" x14ac:dyDescent="0.25">
      <c r="A41" t="str">
        <f t="shared" si="13"/>
        <v>46192E</v>
      </c>
      <c r="B41" s="51">
        <f t="shared" si="29"/>
        <v>46192</v>
      </c>
      <c r="C41" s="52" t="s">
        <v>88</v>
      </c>
      <c r="D41" s="79"/>
      <c r="E41" s="62"/>
      <c r="F41" s="62"/>
      <c r="G41" s="62">
        <f t="shared" si="14"/>
        <v>0</v>
      </c>
      <c r="H41" s="63">
        <f t="shared" si="15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6"/>
        <v>0</v>
      </c>
      <c r="S41" s="62">
        <f t="shared" si="17"/>
        <v>0</v>
      </c>
      <c r="T41" s="63">
        <f t="shared" si="18"/>
        <v>0</v>
      </c>
      <c r="U41" s="64"/>
      <c r="V41" s="65"/>
      <c r="W41" s="66"/>
      <c r="X41" s="67"/>
      <c r="Y41" s="68"/>
      <c r="Z41" s="68"/>
      <c r="AA41" s="62">
        <f t="shared" si="19"/>
        <v>0</v>
      </c>
      <c r="AB41" s="63">
        <f t="shared" si="20"/>
        <v>0</v>
      </c>
      <c r="AC41" s="69"/>
      <c r="AD41" s="70"/>
      <c r="AE41" s="70"/>
      <c r="AF41" s="62">
        <f t="shared" si="21"/>
        <v>0</v>
      </c>
      <c r="AG41" s="63">
        <f t="shared" si="22"/>
        <v>0</v>
      </c>
      <c r="AH41" s="97"/>
      <c r="AI41" s="66"/>
      <c r="AJ41" s="66"/>
      <c r="AK41" s="62">
        <f t="shared" si="34"/>
        <v>0</v>
      </c>
      <c r="AL41" s="72">
        <f t="shared" si="35"/>
        <v>0</v>
      </c>
      <c r="AM41" s="73">
        <f t="shared" si="23"/>
        <v>0</v>
      </c>
      <c r="AN41" s="74">
        <f t="shared" si="24"/>
        <v>0</v>
      </c>
      <c r="AO41" s="74">
        <f t="shared" si="25"/>
        <v>0</v>
      </c>
      <c r="AP41" s="75" t="e">
        <f t="shared" si="26"/>
        <v>#DIV/0!</v>
      </c>
      <c r="AQ41" s="76">
        <f t="shared" si="27"/>
        <v>0</v>
      </c>
      <c r="AR41" s="90">
        <f t="shared" si="33"/>
        <v>0</v>
      </c>
    </row>
    <row r="42" spans="1:44" x14ac:dyDescent="0.25">
      <c r="A42" t="str">
        <f t="shared" si="13"/>
        <v>46193M</v>
      </c>
      <c r="B42" s="51">
        <f t="shared" si="29"/>
        <v>46193</v>
      </c>
      <c r="C42" s="52" t="s">
        <v>87</v>
      </c>
      <c r="D42" s="79"/>
      <c r="E42" s="62"/>
      <c r="F42" s="62"/>
      <c r="G42" s="62">
        <f t="shared" si="14"/>
        <v>0</v>
      </c>
      <c r="H42" s="63">
        <f t="shared" si="15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6"/>
        <v>0</v>
      </c>
      <c r="S42" s="62">
        <f t="shared" si="17"/>
        <v>0</v>
      </c>
      <c r="T42" s="63">
        <f t="shared" si="18"/>
        <v>0</v>
      </c>
      <c r="U42" s="64"/>
      <c r="V42" s="65"/>
      <c r="W42" s="66"/>
      <c r="X42" s="67"/>
      <c r="Y42" s="68"/>
      <c r="Z42" s="68"/>
      <c r="AA42" s="62">
        <f t="shared" si="19"/>
        <v>0</v>
      </c>
      <c r="AB42" s="63">
        <f t="shared" si="20"/>
        <v>0</v>
      </c>
      <c r="AC42" s="69"/>
      <c r="AD42" s="70"/>
      <c r="AE42" s="70"/>
      <c r="AF42" s="62">
        <f t="shared" si="21"/>
        <v>0</v>
      </c>
      <c r="AG42" s="63">
        <f t="shared" si="22"/>
        <v>0</v>
      </c>
      <c r="AH42" s="97"/>
      <c r="AI42" s="66"/>
      <c r="AJ42" s="66"/>
      <c r="AK42" s="62">
        <f t="shared" si="34"/>
        <v>0</v>
      </c>
      <c r="AL42" s="72">
        <f t="shared" si="35"/>
        <v>0</v>
      </c>
      <c r="AM42" s="73">
        <f t="shared" si="23"/>
        <v>0</v>
      </c>
      <c r="AN42" s="74">
        <f t="shared" si="24"/>
        <v>0</v>
      </c>
      <c r="AO42" s="74">
        <f t="shared" si="25"/>
        <v>0</v>
      </c>
      <c r="AP42" s="75" t="e">
        <f t="shared" si="26"/>
        <v>#DIV/0!</v>
      </c>
      <c r="AQ42" s="76">
        <f t="shared" si="27"/>
        <v>0</v>
      </c>
      <c r="AR42" s="90">
        <f t="shared" si="33"/>
        <v>0</v>
      </c>
    </row>
    <row r="43" spans="1:44" x14ac:dyDescent="0.25">
      <c r="A43" t="str">
        <f t="shared" si="13"/>
        <v>46193E</v>
      </c>
      <c r="B43" s="51">
        <f t="shared" si="29"/>
        <v>46193</v>
      </c>
      <c r="C43" s="52" t="s">
        <v>88</v>
      </c>
      <c r="D43" s="79"/>
      <c r="E43" s="62"/>
      <c r="F43" s="62"/>
      <c r="G43" s="62">
        <f t="shared" si="14"/>
        <v>0</v>
      </c>
      <c r="H43" s="63">
        <f t="shared" si="15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6"/>
        <v>0</v>
      </c>
      <c r="S43" s="62">
        <f t="shared" si="17"/>
        <v>0</v>
      </c>
      <c r="T43" s="63">
        <f t="shared" si="18"/>
        <v>0</v>
      </c>
      <c r="U43" s="64"/>
      <c r="V43" s="65"/>
      <c r="W43" s="66"/>
      <c r="X43" s="67"/>
      <c r="Y43" s="68"/>
      <c r="Z43" s="68"/>
      <c r="AA43" s="62">
        <f t="shared" si="19"/>
        <v>0</v>
      </c>
      <c r="AB43" s="63">
        <f t="shared" si="20"/>
        <v>0</v>
      </c>
      <c r="AC43" s="69"/>
      <c r="AD43" s="70"/>
      <c r="AE43" s="70"/>
      <c r="AF43" s="62">
        <f t="shared" si="21"/>
        <v>0</v>
      </c>
      <c r="AG43" s="63">
        <f t="shared" si="22"/>
        <v>0</v>
      </c>
      <c r="AH43" s="97"/>
      <c r="AI43" s="66"/>
      <c r="AJ43" s="66"/>
      <c r="AK43" s="62">
        <f t="shared" si="34"/>
        <v>0</v>
      </c>
      <c r="AL43" s="72">
        <f t="shared" si="35"/>
        <v>0</v>
      </c>
      <c r="AM43" s="73">
        <f t="shared" si="23"/>
        <v>0</v>
      </c>
      <c r="AN43" s="74">
        <f t="shared" si="24"/>
        <v>0</v>
      </c>
      <c r="AO43" s="74">
        <f t="shared" si="25"/>
        <v>0</v>
      </c>
      <c r="AP43" s="75" t="e">
        <f t="shared" si="26"/>
        <v>#DIV/0!</v>
      </c>
      <c r="AQ43" s="76">
        <f t="shared" si="27"/>
        <v>0</v>
      </c>
      <c r="AR43" s="90">
        <f t="shared" si="33"/>
        <v>0</v>
      </c>
    </row>
    <row r="44" spans="1:44" x14ac:dyDescent="0.25">
      <c r="A44" t="str">
        <f t="shared" si="13"/>
        <v>46194M</v>
      </c>
      <c r="B44" s="51">
        <f t="shared" si="29"/>
        <v>46194</v>
      </c>
      <c r="C44" s="52" t="s">
        <v>87</v>
      </c>
      <c r="D44" s="79"/>
      <c r="E44" s="62"/>
      <c r="F44" s="62"/>
      <c r="G44" s="62">
        <f t="shared" si="14"/>
        <v>0</v>
      </c>
      <c r="H44" s="63">
        <f t="shared" si="15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6"/>
        <v>0</v>
      </c>
      <c r="S44" s="62">
        <f t="shared" si="17"/>
        <v>0</v>
      </c>
      <c r="T44" s="63">
        <f t="shared" si="18"/>
        <v>0</v>
      </c>
      <c r="U44" s="64"/>
      <c r="V44" s="65"/>
      <c r="W44" s="66"/>
      <c r="X44" s="67"/>
      <c r="Y44" s="68"/>
      <c r="Z44" s="68"/>
      <c r="AA44" s="62">
        <f t="shared" si="19"/>
        <v>0</v>
      </c>
      <c r="AB44" s="63">
        <f t="shared" si="20"/>
        <v>0</v>
      </c>
      <c r="AC44" s="69"/>
      <c r="AD44" s="70"/>
      <c r="AE44" s="70"/>
      <c r="AF44" s="62">
        <f t="shared" si="21"/>
        <v>0</v>
      </c>
      <c r="AG44" s="63">
        <f t="shared" si="22"/>
        <v>0</v>
      </c>
      <c r="AH44" s="89"/>
      <c r="AI44" s="66"/>
      <c r="AJ44" s="66"/>
      <c r="AK44" s="62">
        <f t="shared" si="34"/>
        <v>0</v>
      </c>
      <c r="AL44" s="72">
        <f t="shared" si="35"/>
        <v>0</v>
      </c>
      <c r="AM44" s="73">
        <f t="shared" si="23"/>
        <v>0</v>
      </c>
      <c r="AN44" s="74">
        <f t="shared" si="24"/>
        <v>0</v>
      </c>
      <c r="AO44" s="74">
        <f t="shared" si="25"/>
        <v>0</v>
      </c>
      <c r="AP44" s="75" t="e">
        <f t="shared" si="26"/>
        <v>#DIV/0!</v>
      </c>
      <c r="AQ44" s="76">
        <f t="shared" si="27"/>
        <v>0</v>
      </c>
      <c r="AR44" s="90">
        <f t="shared" si="33"/>
        <v>0</v>
      </c>
    </row>
    <row r="45" spans="1:44" x14ac:dyDescent="0.25">
      <c r="A45" t="str">
        <f t="shared" si="13"/>
        <v>46194E</v>
      </c>
      <c r="B45" s="51">
        <f t="shared" si="29"/>
        <v>46194</v>
      </c>
      <c r="C45" s="52" t="s">
        <v>88</v>
      </c>
      <c r="D45" s="79"/>
      <c r="E45" s="62"/>
      <c r="F45" s="62"/>
      <c r="G45" s="62">
        <f t="shared" si="14"/>
        <v>0</v>
      </c>
      <c r="H45" s="63">
        <f t="shared" si="15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6"/>
        <v>0</v>
      </c>
      <c r="S45" s="62">
        <f t="shared" si="17"/>
        <v>0</v>
      </c>
      <c r="T45" s="63">
        <f t="shared" si="18"/>
        <v>0</v>
      </c>
      <c r="U45" s="64"/>
      <c r="V45" s="65"/>
      <c r="W45" s="66"/>
      <c r="X45" s="67"/>
      <c r="Y45" s="68"/>
      <c r="Z45" s="68"/>
      <c r="AA45" s="62">
        <f t="shared" si="19"/>
        <v>0</v>
      </c>
      <c r="AB45" s="63">
        <f t="shared" si="20"/>
        <v>0</v>
      </c>
      <c r="AC45" s="69"/>
      <c r="AD45" s="70"/>
      <c r="AE45" s="70"/>
      <c r="AF45" s="62">
        <f t="shared" si="21"/>
        <v>0</v>
      </c>
      <c r="AG45" s="63">
        <f t="shared" si="22"/>
        <v>0</v>
      </c>
      <c r="AH45" s="89"/>
      <c r="AI45" s="66"/>
      <c r="AJ45" s="66"/>
      <c r="AK45" s="62">
        <f t="shared" si="34"/>
        <v>0</v>
      </c>
      <c r="AL45" s="72">
        <f t="shared" si="35"/>
        <v>0</v>
      </c>
      <c r="AM45" s="73">
        <f t="shared" si="23"/>
        <v>0</v>
      </c>
      <c r="AN45" s="74">
        <f t="shared" si="24"/>
        <v>0</v>
      </c>
      <c r="AO45" s="74">
        <f t="shared" si="25"/>
        <v>0</v>
      </c>
      <c r="AP45" s="75" t="e">
        <f t="shared" si="26"/>
        <v>#DIV/0!</v>
      </c>
      <c r="AQ45" s="76">
        <f t="shared" si="27"/>
        <v>0</v>
      </c>
      <c r="AR45" s="90">
        <f t="shared" si="33"/>
        <v>0</v>
      </c>
    </row>
    <row r="46" spans="1:44" x14ac:dyDescent="0.25">
      <c r="A46" t="str">
        <f t="shared" si="13"/>
        <v>46195M</v>
      </c>
      <c r="B46" s="51">
        <f t="shared" si="29"/>
        <v>46195</v>
      </c>
      <c r="C46" s="52" t="s">
        <v>87</v>
      </c>
      <c r="D46" s="79"/>
      <c r="E46" s="62"/>
      <c r="F46" s="62"/>
      <c r="G46" s="62">
        <f t="shared" si="14"/>
        <v>0</v>
      </c>
      <c r="H46" s="63">
        <f t="shared" si="15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6"/>
        <v>0</v>
      </c>
      <c r="S46" s="62">
        <f t="shared" si="17"/>
        <v>0</v>
      </c>
      <c r="T46" s="63">
        <f t="shared" si="18"/>
        <v>0</v>
      </c>
      <c r="U46" s="64"/>
      <c r="V46" s="65"/>
      <c r="W46" s="66"/>
      <c r="X46" s="67"/>
      <c r="Y46" s="68"/>
      <c r="Z46" s="68"/>
      <c r="AA46" s="62">
        <f t="shared" si="19"/>
        <v>0</v>
      </c>
      <c r="AB46" s="63">
        <f t="shared" si="20"/>
        <v>0</v>
      </c>
      <c r="AC46" s="69"/>
      <c r="AD46" s="70"/>
      <c r="AE46" s="70"/>
      <c r="AF46" s="62">
        <f t="shared" si="21"/>
        <v>0</v>
      </c>
      <c r="AG46" s="63">
        <f t="shared" si="22"/>
        <v>0</v>
      </c>
      <c r="AH46" s="89"/>
      <c r="AI46" s="66"/>
      <c r="AJ46" s="66"/>
      <c r="AK46" s="62">
        <f t="shared" si="34"/>
        <v>0</v>
      </c>
      <c r="AL46" s="72">
        <f t="shared" si="35"/>
        <v>0</v>
      </c>
      <c r="AM46" s="73">
        <f t="shared" si="23"/>
        <v>0</v>
      </c>
      <c r="AN46" s="74">
        <f t="shared" si="24"/>
        <v>0</v>
      </c>
      <c r="AO46" s="74">
        <f t="shared" si="25"/>
        <v>0</v>
      </c>
      <c r="AP46" s="75" t="e">
        <f t="shared" si="26"/>
        <v>#DIV/0!</v>
      </c>
      <c r="AQ46" s="76">
        <f t="shared" si="27"/>
        <v>0</v>
      </c>
      <c r="AR46" s="90">
        <f t="shared" si="33"/>
        <v>0</v>
      </c>
    </row>
    <row r="47" spans="1:44" x14ac:dyDescent="0.25">
      <c r="A47" t="str">
        <f t="shared" si="13"/>
        <v>46195E</v>
      </c>
      <c r="B47" s="51">
        <f t="shared" si="29"/>
        <v>46195</v>
      </c>
      <c r="C47" s="52" t="s">
        <v>88</v>
      </c>
      <c r="D47" s="79"/>
      <c r="E47" s="62"/>
      <c r="F47" s="62"/>
      <c r="G47" s="62">
        <f t="shared" si="14"/>
        <v>0</v>
      </c>
      <c r="H47" s="63">
        <f t="shared" si="15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6"/>
        <v>0</v>
      </c>
      <c r="S47" s="62">
        <f t="shared" si="17"/>
        <v>0</v>
      </c>
      <c r="T47" s="63">
        <f t="shared" si="18"/>
        <v>0</v>
      </c>
      <c r="U47" s="64"/>
      <c r="V47" s="65"/>
      <c r="W47" s="66"/>
      <c r="X47" s="67"/>
      <c r="Y47" s="68"/>
      <c r="Z47" s="68"/>
      <c r="AA47" s="62">
        <f t="shared" si="19"/>
        <v>0</v>
      </c>
      <c r="AB47" s="63">
        <f t="shared" si="20"/>
        <v>0</v>
      </c>
      <c r="AC47" s="69"/>
      <c r="AD47" s="70"/>
      <c r="AE47" s="70"/>
      <c r="AF47" s="62">
        <f t="shared" si="21"/>
        <v>0</v>
      </c>
      <c r="AG47" s="63">
        <f t="shared" si="22"/>
        <v>0</v>
      </c>
      <c r="AH47" s="89"/>
      <c r="AI47" s="66"/>
      <c r="AJ47" s="66"/>
      <c r="AK47" s="62">
        <f t="shared" si="34"/>
        <v>0</v>
      </c>
      <c r="AL47" s="72">
        <f t="shared" si="35"/>
        <v>0</v>
      </c>
      <c r="AM47" s="73">
        <f t="shared" si="23"/>
        <v>0</v>
      </c>
      <c r="AN47" s="74">
        <f t="shared" si="24"/>
        <v>0</v>
      </c>
      <c r="AO47" s="74">
        <f t="shared" si="25"/>
        <v>0</v>
      </c>
      <c r="AP47" s="75" t="e">
        <f t="shared" si="26"/>
        <v>#DIV/0!</v>
      </c>
      <c r="AQ47" s="76">
        <f t="shared" si="27"/>
        <v>0</v>
      </c>
      <c r="AR47" s="90">
        <f t="shared" si="33"/>
        <v>0</v>
      </c>
    </row>
    <row r="48" spans="1:44" x14ac:dyDescent="0.25">
      <c r="A48" t="str">
        <f t="shared" si="13"/>
        <v>46196M</v>
      </c>
      <c r="B48" s="51">
        <f t="shared" si="29"/>
        <v>46196</v>
      </c>
      <c r="C48" s="52" t="s">
        <v>87</v>
      </c>
      <c r="D48" s="79"/>
      <c r="E48" s="62"/>
      <c r="F48" s="62"/>
      <c r="G48" s="62">
        <f t="shared" si="14"/>
        <v>0</v>
      </c>
      <c r="H48" s="63">
        <f t="shared" si="15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6"/>
        <v>0</v>
      </c>
      <c r="S48" s="62">
        <f t="shared" si="17"/>
        <v>0</v>
      </c>
      <c r="T48" s="63">
        <f t="shared" si="18"/>
        <v>0</v>
      </c>
      <c r="U48" s="64"/>
      <c r="V48" s="65"/>
      <c r="W48" s="66"/>
      <c r="X48" s="67"/>
      <c r="Y48" s="68"/>
      <c r="Z48" s="68"/>
      <c r="AA48" s="62">
        <f t="shared" si="19"/>
        <v>0</v>
      </c>
      <c r="AB48" s="63">
        <f t="shared" si="20"/>
        <v>0</v>
      </c>
      <c r="AC48" s="69"/>
      <c r="AD48" s="70"/>
      <c r="AE48" s="70"/>
      <c r="AF48" s="62">
        <f t="shared" si="21"/>
        <v>0</v>
      </c>
      <c r="AG48" s="63">
        <f t="shared" si="22"/>
        <v>0</v>
      </c>
      <c r="AH48" s="89"/>
      <c r="AI48" s="66"/>
      <c r="AJ48" s="66"/>
      <c r="AK48" s="62">
        <f t="shared" si="34"/>
        <v>0</v>
      </c>
      <c r="AL48" s="72">
        <f t="shared" si="35"/>
        <v>0</v>
      </c>
      <c r="AM48" s="73">
        <f t="shared" si="23"/>
        <v>0</v>
      </c>
      <c r="AN48" s="74">
        <f t="shared" si="24"/>
        <v>0</v>
      </c>
      <c r="AO48" s="74">
        <f t="shared" si="25"/>
        <v>0</v>
      </c>
      <c r="AP48" s="75" t="e">
        <f t="shared" si="26"/>
        <v>#DIV/0!</v>
      </c>
      <c r="AQ48" s="76">
        <f t="shared" si="27"/>
        <v>0</v>
      </c>
      <c r="AR48" s="90">
        <f t="shared" si="33"/>
        <v>0</v>
      </c>
    </row>
    <row r="49" spans="1:44" x14ac:dyDescent="0.25">
      <c r="A49" t="str">
        <f t="shared" si="13"/>
        <v>46196E</v>
      </c>
      <c r="B49" s="51">
        <f t="shared" si="29"/>
        <v>46196</v>
      </c>
      <c r="C49" s="52" t="s">
        <v>88</v>
      </c>
      <c r="D49" s="79"/>
      <c r="E49" s="62"/>
      <c r="F49" s="62"/>
      <c r="G49" s="62">
        <f t="shared" si="14"/>
        <v>0</v>
      </c>
      <c r="H49" s="63">
        <f t="shared" si="15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6"/>
        <v>0</v>
      </c>
      <c r="S49" s="62">
        <f t="shared" si="17"/>
        <v>0</v>
      </c>
      <c r="T49" s="63">
        <f t="shared" si="18"/>
        <v>0</v>
      </c>
      <c r="U49" s="64"/>
      <c r="V49" s="65"/>
      <c r="W49" s="66"/>
      <c r="X49" s="67"/>
      <c r="Y49" s="68"/>
      <c r="Z49" s="68"/>
      <c r="AA49" s="62">
        <f t="shared" si="19"/>
        <v>0</v>
      </c>
      <c r="AB49" s="63">
        <f t="shared" si="20"/>
        <v>0</v>
      </c>
      <c r="AC49" s="69"/>
      <c r="AD49" s="70"/>
      <c r="AE49" s="70"/>
      <c r="AF49" s="62">
        <f t="shared" si="21"/>
        <v>0</v>
      </c>
      <c r="AG49" s="63">
        <f t="shared" si="22"/>
        <v>0</v>
      </c>
      <c r="AH49" s="89"/>
      <c r="AI49" s="66"/>
      <c r="AJ49" s="66"/>
      <c r="AK49" s="62">
        <f t="shared" si="34"/>
        <v>0</v>
      </c>
      <c r="AL49" s="72">
        <f t="shared" si="35"/>
        <v>0</v>
      </c>
      <c r="AM49" s="73">
        <f t="shared" si="23"/>
        <v>0</v>
      </c>
      <c r="AN49" s="74">
        <f t="shared" si="24"/>
        <v>0</v>
      </c>
      <c r="AO49" s="74">
        <f t="shared" si="25"/>
        <v>0</v>
      </c>
      <c r="AP49" s="75" t="e">
        <f t="shared" si="26"/>
        <v>#DIV/0!</v>
      </c>
      <c r="AQ49" s="76">
        <f t="shared" si="27"/>
        <v>0</v>
      </c>
      <c r="AR49" s="90">
        <f t="shared" si="33"/>
        <v>0</v>
      </c>
    </row>
    <row r="50" spans="1:44" x14ac:dyDescent="0.25">
      <c r="A50" t="str">
        <f t="shared" si="13"/>
        <v>46197M</v>
      </c>
      <c r="B50" s="51">
        <f t="shared" si="29"/>
        <v>46197</v>
      </c>
      <c r="C50" s="52" t="s">
        <v>87</v>
      </c>
      <c r="D50" s="79"/>
      <c r="E50" s="62"/>
      <c r="F50" s="62"/>
      <c r="G50" s="62">
        <f t="shared" si="14"/>
        <v>0</v>
      </c>
      <c r="H50" s="63">
        <f t="shared" si="15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6"/>
        <v>0</v>
      </c>
      <c r="S50" s="62">
        <f t="shared" si="17"/>
        <v>0</v>
      </c>
      <c r="T50" s="63">
        <f t="shared" si="18"/>
        <v>0</v>
      </c>
      <c r="U50" s="64"/>
      <c r="V50" s="65"/>
      <c r="W50" s="66"/>
      <c r="X50" s="67"/>
      <c r="Y50" s="68"/>
      <c r="Z50" s="68"/>
      <c r="AA50" s="62">
        <f t="shared" si="19"/>
        <v>0</v>
      </c>
      <c r="AB50" s="63">
        <f t="shared" si="20"/>
        <v>0</v>
      </c>
      <c r="AC50" s="69"/>
      <c r="AD50" s="70"/>
      <c r="AE50" s="70"/>
      <c r="AF50" s="62">
        <f t="shared" si="21"/>
        <v>0</v>
      </c>
      <c r="AG50" s="63">
        <f t="shared" si="22"/>
        <v>0</v>
      </c>
      <c r="AH50" s="89"/>
      <c r="AI50" s="66"/>
      <c r="AJ50" s="66"/>
      <c r="AK50" s="62">
        <f t="shared" ref="AK50" si="36">AH50*AI50%</f>
        <v>0</v>
      </c>
      <c r="AL50" s="72">
        <f t="shared" ref="AL50" si="37">AH50*AJ50%</f>
        <v>0</v>
      </c>
      <c r="AM50" s="73">
        <f t="shared" si="23"/>
        <v>0</v>
      </c>
      <c r="AN50" s="74">
        <f t="shared" si="24"/>
        <v>0</v>
      </c>
      <c r="AO50" s="74">
        <f t="shared" si="25"/>
        <v>0</v>
      </c>
      <c r="AP50" s="75" t="e">
        <f t="shared" si="26"/>
        <v>#DIV/0!</v>
      </c>
      <c r="AQ50" s="76">
        <f t="shared" si="27"/>
        <v>0</v>
      </c>
      <c r="AR50" s="90">
        <f t="shared" ref="AR50:AR57" si="38">(D50+J50+O50)-(X50+AH50)</f>
        <v>0</v>
      </c>
    </row>
    <row r="51" spans="1:44" x14ac:dyDescent="0.25">
      <c r="A51" t="str">
        <f t="shared" si="13"/>
        <v>46197E</v>
      </c>
      <c r="B51" s="51">
        <f t="shared" si="29"/>
        <v>46197</v>
      </c>
      <c r="C51" s="52" t="s">
        <v>88</v>
      </c>
      <c r="D51" s="79"/>
      <c r="E51" s="62"/>
      <c r="F51" s="62"/>
      <c r="G51" s="62">
        <f t="shared" si="14"/>
        <v>0</v>
      </c>
      <c r="H51" s="63">
        <f t="shared" si="15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6"/>
        <v>0</v>
      </c>
      <c r="S51" s="62">
        <f t="shared" si="17"/>
        <v>0</v>
      </c>
      <c r="T51" s="63">
        <f t="shared" si="18"/>
        <v>0</v>
      </c>
      <c r="U51" s="64"/>
      <c r="V51" s="85"/>
      <c r="W51" s="66"/>
      <c r="X51" s="67"/>
      <c r="Y51" s="68"/>
      <c r="Z51" s="68"/>
      <c r="AA51" s="62">
        <f t="shared" si="19"/>
        <v>0</v>
      </c>
      <c r="AB51" s="63">
        <f t="shared" si="20"/>
        <v>0</v>
      </c>
      <c r="AC51" s="69"/>
      <c r="AD51" s="70"/>
      <c r="AE51" s="70"/>
      <c r="AF51" s="62">
        <f t="shared" si="21"/>
        <v>0</v>
      </c>
      <c r="AG51" s="63">
        <f t="shared" si="22"/>
        <v>0</v>
      </c>
      <c r="AH51" s="89"/>
      <c r="AI51" s="66"/>
      <c r="AJ51" s="66"/>
      <c r="AK51" s="62">
        <f t="shared" ref="AK51:AK63" si="39">AH51*AI51%</f>
        <v>0</v>
      </c>
      <c r="AL51" s="72">
        <f t="shared" ref="AL51:AL63" si="40">AH51*AJ51%</f>
        <v>0</v>
      </c>
      <c r="AM51" s="73">
        <f t="shared" si="23"/>
        <v>0</v>
      </c>
      <c r="AN51" s="74">
        <f t="shared" si="24"/>
        <v>0</v>
      </c>
      <c r="AO51" s="74">
        <f t="shared" si="25"/>
        <v>0</v>
      </c>
      <c r="AP51" s="75" t="e">
        <f t="shared" si="26"/>
        <v>#DIV/0!</v>
      </c>
      <c r="AQ51" s="76">
        <f t="shared" si="27"/>
        <v>0</v>
      </c>
      <c r="AR51" s="90">
        <f t="shared" si="38"/>
        <v>0</v>
      </c>
    </row>
    <row r="52" spans="1:44" x14ac:dyDescent="0.25">
      <c r="A52" t="str">
        <f t="shared" si="13"/>
        <v>46198M</v>
      </c>
      <c r="B52" s="51">
        <f t="shared" si="29"/>
        <v>46198</v>
      </c>
      <c r="C52" s="52" t="s">
        <v>87</v>
      </c>
      <c r="D52" s="79"/>
      <c r="E52" s="62"/>
      <c r="F52" s="62"/>
      <c r="G52" s="62">
        <f t="shared" si="14"/>
        <v>0</v>
      </c>
      <c r="H52" s="63">
        <f t="shared" si="15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6"/>
        <v>0</v>
      </c>
      <c r="S52" s="62">
        <f t="shared" si="17"/>
        <v>0</v>
      </c>
      <c r="T52" s="63">
        <f t="shared" si="18"/>
        <v>0</v>
      </c>
      <c r="U52" s="64"/>
      <c r="V52" s="85"/>
      <c r="W52" s="66"/>
      <c r="X52" s="67"/>
      <c r="Y52" s="68"/>
      <c r="Z52" s="68"/>
      <c r="AA52" s="62">
        <f t="shared" si="19"/>
        <v>0</v>
      </c>
      <c r="AB52" s="63">
        <f t="shared" si="20"/>
        <v>0</v>
      </c>
      <c r="AC52" s="69"/>
      <c r="AD52" s="70"/>
      <c r="AE52" s="70"/>
      <c r="AF52" s="62">
        <f t="shared" si="21"/>
        <v>0</v>
      </c>
      <c r="AG52" s="63">
        <f t="shared" si="22"/>
        <v>0</v>
      </c>
      <c r="AH52" s="89"/>
      <c r="AI52" s="66"/>
      <c r="AJ52" s="66"/>
      <c r="AK52" s="62">
        <f t="shared" si="39"/>
        <v>0</v>
      </c>
      <c r="AL52" s="72">
        <f t="shared" si="40"/>
        <v>0</v>
      </c>
      <c r="AM52" s="73">
        <f t="shared" si="23"/>
        <v>0</v>
      </c>
      <c r="AN52" s="74">
        <f t="shared" si="24"/>
        <v>0</v>
      </c>
      <c r="AO52" s="74">
        <f t="shared" si="25"/>
        <v>0</v>
      </c>
      <c r="AP52" s="75" t="e">
        <f t="shared" si="26"/>
        <v>#DIV/0!</v>
      </c>
      <c r="AQ52" s="76">
        <f t="shared" si="27"/>
        <v>0</v>
      </c>
      <c r="AR52" s="90">
        <f t="shared" si="38"/>
        <v>0</v>
      </c>
    </row>
    <row r="53" spans="1:44" x14ac:dyDescent="0.25">
      <c r="A53" t="str">
        <f t="shared" si="13"/>
        <v>46198E</v>
      </c>
      <c r="B53" s="51">
        <f t="shared" si="29"/>
        <v>46198</v>
      </c>
      <c r="C53" s="52" t="s">
        <v>88</v>
      </c>
      <c r="D53" s="79"/>
      <c r="E53" s="62"/>
      <c r="F53" s="62"/>
      <c r="G53" s="62">
        <f t="shared" si="14"/>
        <v>0</v>
      </c>
      <c r="H53" s="63">
        <f t="shared" si="15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6"/>
        <v>0</v>
      </c>
      <c r="S53" s="62">
        <f t="shared" si="17"/>
        <v>0</v>
      </c>
      <c r="T53" s="63">
        <f t="shared" si="18"/>
        <v>0</v>
      </c>
      <c r="U53" s="64"/>
      <c r="V53" s="65"/>
      <c r="W53" s="66"/>
      <c r="X53" s="67"/>
      <c r="Y53" s="68"/>
      <c r="Z53" s="68"/>
      <c r="AA53" s="62">
        <f t="shared" si="19"/>
        <v>0</v>
      </c>
      <c r="AB53" s="63">
        <f t="shared" si="20"/>
        <v>0</v>
      </c>
      <c r="AC53" s="69"/>
      <c r="AD53" s="70"/>
      <c r="AE53" s="70"/>
      <c r="AF53" s="62">
        <f t="shared" si="21"/>
        <v>0</v>
      </c>
      <c r="AG53" s="63">
        <f t="shared" si="22"/>
        <v>0</v>
      </c>
      <c r="AH53" s="89"/>
      <c r="AI53" s="66"/>
      <c r="AJ53" s="66"/>
      <c r="AK53" s="62">
        <f t="shared" si="39"/>
        <v>0</v>
      </c>
      <c r="AL53" s="72">
        <f t="shared" si="40"/>
        <v>0</v>
      </c>
      <c r="AM53" s="73">
        <f t="shared" si="23"/>
        <v>0</v>
      </c>
      <c r="AN53" s="74">
        <f t="shared" si="24"/>
        <v>0</v>
      </c>
      <c r="AO53" s="74">
        <f t="shared" si="25"/>
        <v>0</v>
      </c>
      <c r="AP53" s="75" t="e">
        <f t="shared" si="26"/>
        <v>#DIV/0!</v>
      </c>
      <c r="AQ53" s="76">
        <f t="shared" si="27"/>
        <v>0</v>
      </c>
      <c r="AR53" s="90">
        <f t="shared" si="38"/>
        <v>0</v>
      </c>
    </row>
    <row r="54" spans="1:44" x14ac:dyDescent="0.25">
      <c r="A54" t="str">
        <f t="shared" si="13"/>
        <v>46199M</v>
      </c>
      <c r="B54" s="51">
        <f t="shared" si="29"/>
        <v>46199</v>
      </c>
      <c r="C54" s="52" t="s">
        <v>87</v>
      </c>
      <c r="D54" s="79"/>
      <c r="E54" s="62"/>
      <c r="F54" s="62"/>
      <c r="G54" s="62">
        <f t="shared" si="14"/>
        <v>0</v>
      </c>
      <c r="H54" s="63">
        <f t="shared" si="15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6"/>
        <v>0</v>
      </c>
      <c r="S54" s="62">
        <f t="shared" si="17"/>
        <v>0</v>
      </c>
      <c r="T54" s="63">
        <f t="shared" si="18"/>
        <v>0</v>
      </c>
      <c r="U54" s="64"/>
      <c r="V54" s="65"/>
      <c r="W54" s="66"/>
      <c r="X54" s="67"/>
      <c r="Y54" s="68"/>
      <c r="Z54" s="68"/>
      <c r="AA54" s="62">
        <f t="shared" si="19"/>
        <v>0</v>
      </c>
      <c r="AB54" s="63">
        <f t="shared" si="20"/>
        <v>0</v>
      </c>
      <c r="AC54" s="69"/>
      <c r="AD54" s="70"/>
      <c r="AE54" s="70"/>
      <c r="AF54" s="62">
        <f t="shared" si="21"/>
        <v>0</v>
      </c>
      <c r="AG54" s="63">
        <f t="shared" si="22"/>
        <v>0</v>
      </c>
      <c r="AH54" s="89"/>
      <c r="AI54" s="66"/>
      <c r="AJ54" s="66"/>
      <c r="AK54" s="62">
        <f t="shared" si="39"/>
        <v>0</v>
      </c>
      <c r="AL54" s="72">
        <f t="shared" si="40"/>
        <v>0</v>
      </c>
      <c r="AM54" s="73">
        <f t="shared" si="23"/>
        <v>0</v>
      </c>
      <c r="AN54" s="74">
        <f t="shared" si="24"/>
        <v>0</v>
      </c>
      <c r="AO54" s="74">
        <f t="shared" si="25"/>
        <v>0</v>
      </c>
      <c r="AP54" s="75" t="e">
        <f t="shared" si="26"/>
        <v>#DIV/0!</v>
      </c>
      <c r="AQ54" s="76">
        <f t="shared" si="27"/>
        <v>0</v>
      </c>
      <c r="AR54" s="90">
        <f t="shared" si="38"/>
        <v>0</v>
      </c>
    </row>
    <row r="55" spans="1:44" x14ac:dyDescent="0.25">
      <c r="A55" t="str">
        <f t="shared" si="13"/>
        <v>46199E</v>
      </c>
      <c r="B55" s="51">
        <f t="shared" si="29"/>
        <v>46199</v>
      </c>
      <c r="C55" s="52" t="s">
        <v>88</v>
      </c>
      <c r="D55" s="79"/>
      <c r="E55" s="62"/>
      <c r="F55" s="62"/>
      <c r="G55" s="62">
        <f t="shared" si="14"/>
        <v>0</v>
      </c>
      <c r="H55" s="63">
        <f t="shared" si="15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6"/>
        <v>0</v>
      </c>
      <c r="S55" s="62">
        <f t="shared" si="17"/>
        <v>0</v>
      </c>
      <c r="T55" s="63">
        <f t="shared" si="18"/>
        <v>0</v>
      </c>
      <c r="U55" s="64"/>
      <c r="V55" s="65"/>
      <c r="W55" s="66"/>
      <c r="X55" s="67"/>
      <c r="Y55" s="68"/>
      <c r="Z55" s="68"/>
      <c r="AA55" s="62">
        <f t="shared" si="19"/>
        <v>0</v>
      </c>
      <c r="AB55" s="63">
        <f t="shared" si="20"/>
        <v>0</v>
      </c>
      <c r="AC55" s="69"/>
      <c r="AD55" s="70"/>
      <c r="AE55" s="70"/>
      <c r="AF55" s="62">
        <f t="shared" si="21"/>
        <v>0</v>
      </c>
      <c r="AG55" s="63">
        <f t="shared" si="22"/>
        <v>0</v>
      </c>
      <c r="AH55" s="89"/>
      <c r="AI55" s="66"/>
      <c r="AJ55" s="66"/>
      <c r="AK55" s="62">
        <f t="shared" si="39"/>
        <v>0</v>
      </c>
      <c r="AL55" s="72">
        <f t="shared" si="40"/>
        <v>0</v>
      </c>
      <c r="AM55" s="73">
        <f t="shared" si="23"/>
        <v>0</v>
      </c>
      <c r="AN55" s="74">
        <f t="shared" si="24"/>
        <v>0</v>
      </c>
      <c r="AO55" s="74">
        <f t="shared" si="25"/>
        <v>0</v>
      </c>
      <c r="AP55" s="75" t="e">
        <f t="shared" si="26"/>
        <v>#DIV/0!</v>
      </c>
      <c r="AQ55" s="76">
        <f t="shared" si="27"/>
        <v>0</v>
      </c>
      <c r="AR55" s="90">
        <f t="shared" si="38"/>
        <v>0</v>
      </c>
    </row>
    <row r="56" spans="1:44" x14ac:dyDescent="0.25">
      <c r="A56" t="str">
        <f t="shared" si="13"/>
        <v>46200M</v>
      </c>
      <c r="B56" s="51">
        <f t="shared" si="29"/>
        <v>46200</v>
      </c>
      <c r="C56" s="52" t="s">
        <v>87</v>
      </c>
      <c r="D56" s="79"/>
      <c r="E56" s="62"/>
      <c r="F56" s="62"/>
      <c r="G56" s="62">
        <f t="shared" si="14"/>
        <v>0</v>
      </c>
      <c r="H56" s="63">
        <f t="shared" si="15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6"/>
        <v>0</v>
      </c>
      <c r="S56" s="62">
        <f t="shared" si="17"/>
        <v>0</v>
      </c>
      <c r="T56" s="63">
        <f t="shared" si="18"/>
        <v>0</v>
      </c>
      <c r="U56" s="64"/>
      <c r="V56" s="65"/>
      <c r="W56" s="66"/>
      <c r="X56" s="67"/>
      <c r="Y56" s="68"/>
      <c r="Z56" s="68"/>
      <c r="AA56" s="62">
        <f t="shared" si="19"/>
        <v>0</v>
      </c>
      <c r="AB56" s="63">
        <f t="shared" si="20"/>
        <v>0</v>
      </c>
      <c r="AC56" s="69"/>
      <c r="AD56" s="70"/>
      <c r="AE56" s="70"/>
      <c r="AF56" s="62">
        <f t="shared" si="21"/>
        <v>0</v>
      </c>
      <c r="AG56" s="63">
        <f t="shared" si="22"/>
        <v>0</v>
      </c>
      <c r="AH56" s="89"/>
      <c r="AI56" s="66"/>
      <c r="AJ56" s="66"/>
      <c r="AK56" s="62">
        <f t="shared" si="39"/>
        <v>0</v>
      </c>
      <c r="AL56" s="72">
        <f t="shared" si="40"/>
        <v>0</v>
      </c>
      <c r="AM56" s="73">
        <f t="shared" si="23"/>
        <v>0</v>
      </c>
      <c r="AN56" s="74">
        <f t="shared" si="24"/>
        <v>0</v>
      </c>
      <c r="AO56" s="74">
        <f t="shared" si="25"/>
        <v>0</v>
      </c>
      <c r="AP56" s="75" t="e">
        <f t="shared" si="26"/>
        <v>#DIV/0!</v>
      </c>
      <c r="AQ56" s="76">
        <f t="shared" si="27"/>
        <v>0</v>
      </c>
      <c r="AR56" s="90">
        <f t="shared" si="38"/>
        <v>0</v>
      </c>
    </row>
    <row r="57" spans="1:44" x14ac:dyDescent="0.25">
      <c r="A57" t="str">
        <f t="shared" si="13"/>
        <v>46200E</v>
      </c>
      <c r="B57" s="51">
        <f t="shared" si="29"/>
        <v>46200</v>
      </c>
      <c r="C57" s="52" t="s">
        <v>88</v>
      </c>
      <c r="D57" s="79"/>
      <c r="E57" s="62"/>
      <c r="F57" s="62"/>
      <c r="G57" s="62">
        <f t="shared" si="14"/>
        <v>0</v>
      </c>
      <c r="H57" s="63">
        <f t="shared" si="15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6"/>
        <v>0</v>
      </c>
      <c r="S57" s="62">
        <f t="shared" si="17"/>
        <v>0</v>
      </c>
      <c r="T57" s="63">
        <f t="shared" si="18"/>
        <v>0</v>
      </c>
      <c r="U57" s="64"/>
      <c r="V57" s="65"/>
      <c r="W57" s="66"/>
      <c r="X57" s="67"/>
      <c r="Y57" s="68"/>
      <c r="Z57" s="68"/>
      <c r="AA57" s="62">
        <f t="shared" si="19"/>
        <v>0</v>
      </c>
      <c r="AB57" s="63">
        <f t="shared" si="20"/>
        <v>0</v>
      </c>
      <c r="AC57" s="69"/>
      <c r="AD57" s="70"/>
      <c r="AE57" s="70"/>
      <c r="AF57" s="62">
        <f t="shared" si="21"/>
        <v>0</v>
      </c>
      <c r="AG57" s="63">
        <f t="shared" si="22"/>
        <v>0</v>
      </c>
      <c r="AH57" s="89"/>
      <c r="AI57" s="66"/>
      <c r="AJ57" s="66"/>
      <c r="AK57" s="62">
        <f t="shared" si="39"/>
        <v>0</v>
      </c>
      <c r="AL57" s="72">
        <f t="shared" si="40"/>
        <v>0</v>
      </c>
      <c r="AM57" s="73">
        <f t="shared" si="23"/>
        <v>0</v>
      </c>
      <c r="AN57" s="74">
        <f t="shared" si="24"/>
        <v>0</v>
      </c>
      <c r="AO57" s="74">
        <f t="shared" si="25"/>
        <v>0</v>
      </c>
      <c r="AP57" s="75" t="e">
        <f t="shared" si="26"/>
        <v>#DIV/0!</v>
      </c>
      <c r="AQ57" s="76">
        <f t="shared" si="27"/>
        <v>0</v>
      </c>
      <c r="AR57" s="90">
        <f t="shared" si="38"/>
        <v>0</v>
      </c>
    </row>
    <row r="58" spans="1:44" x14ac:dyDescent="0.25">
      <c r="A58" t="str">
        <f t="shared" si="13"/>
        <v>46201M</v>
      </c>
      <c r="B58" s="51">
        <f t="shared" si="29"/>
        <v>46201</v>
      </c>
      <c r="C58" s="52" t="s">
        <v>87</v>
      </c>
      <c r="D58" s="79"/>
      <c r="E58" s="62"/>
      <c r="F58" s="62"/>
      <c r="G58" s="62">
        <f t="shared" si="14"/>
        <v>0</v>
      </c>
      <c r="H58" s="63">
        <f t="shared" si="15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6"/>
        <v>0</v>
      </c>
      <c r="S58" s="62">
        <f t="shared" si="17"/>
        <v>0</v>
      </c>
      <c r="T58" s="63">
        <f t="shared" si="18"/>
        <v>0</v>
      </c>
      <c r="U58" s="64"/>
      <c r="V58" s="65"/>
      <c r="W58" s="66"/>
      <c r="X58" s="67"/>
      <c r="Y58" s="68"/>
      <c r="Z58" s="68"/>
      <c r="AA58" s="62">
        <f t="shared" si="19"/>
        <v>0</v>
      </c>
      <c r="AB58" s="63">
        <f t="shared" si="20"/>
        <v>0</v>
      </c>
      <c r="AC58" s="69"/>
      <c r="AD58" s="70"/>
      <c r="AE58" s="70"/>
      <c r="AF58" s="62">
        <f t="shared" si="21"/>
        <v>0</v>
      </c>
      <c r="AG58" s="63">
        <f t="shared" si="22"/>
        <v>0</v>
      </c>
      <c r="AH58" s="89"/>
      <c r="AI58" s="66"/>
      <c r="AJ58" s="66"/>
      <c r="AK58" s="62">
        <f t="shared" si="39"/>
        <v>0</v>
      </c>
      <c r="AL58" s="72">
        <f t="shared" si="40"/>
        <v>0</v>
      </c>
      <c r="AM58" s="73">
        <f t="shared" si="23"/>
        <v>0</v>
      </c>
      <c r="AN58" s="74">
        <f t="shared" si="24"/>
        <v>0</v>
      </c>
      <c r="AO58" s="74">
        <f t="shared" si="25"/>
        <v>0</v>
      </c>
      <c r="AP58" s="75" t="e">
        <f t="shared" si="26"/>
        <v>#DIV/0!</v>
      </c>
      <c r="AQ58" s="76">
        <f t="shared" si="27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29"/>
        <v>46201</v>
      </c>
      <c r="C59" s="52" t="s">
        <v>88</v>
      </c>
      <c r="D59" s="79"/>
      <c r="E59" s="62"/>
      <c r="F59" s="62"/>
      <c r="G59" s="62">
        <f t="shared" si="14"/>
        <v>0</v>
      </c>
      <c r="H59" s="63">
        <f t="shared" si="15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6"/>
        <v>0</v>
      </c>
      <c r="S59" s="62">
        <f t="shared" si="17"/>
        <v>0</v>
      </c>
      <c r="T59" s="63">
        <f t="shared" si="18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21"/>
        <v>0</v>
      </c>
      <c r="AG59" s="63">
        <f t="shared" si="22"/>
        <v>0</v>
      </c>
      <c r="AH59" s="89"/>
      <c r="AI59" s="66"/>
      <c r="AJ59" s="66"/>
      <c r="AK59" s="62">
        <f t="shared" si="39"/>
        <v>0</v>
      </c>
      <c r="AL59" s="72">
        <f t="shared" si="40"/>
        <v>0</v>
      </c>
      <c r="AM59" s="73">
        <f t="shared" si="23"/>
        <v>0</v>
      </c>
      <c r="AN59" s="74">
        <f t="shared" si="24"/>
        <v>0</v>
      </c>
      <c r="AO59" s="74">
        <f t="shared" si="25"/>
        <v>0</v>
      </c>
      <c r="AP59" s="75" t="e">
        <f t="shared" si="26"/>
        <v>#DIV/0!</v>
      </c>
      <c r="AQ59" s="76">
        <f t="shared" si="27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29"/>
        <v>46202</v>
      </c>
      <c r="C60" s="52" t="s">
        <v>87</v>
      </c>
      <c r="D60" s="79"/>
      <c r="E60" s="62"/>
      <c r="F60" s="62"/>
      <c r="G60" s="62">
        <f t="shared" si="14"/>
        <v>0</v>
      </c>
      <c r="H60" s="63">
        <f t="shared" si="15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6"/>
        <v>0</v>
      </c>
      <c r="S60" s="62">
        <f t="shared" si="17"/>
        <v>0</v>
      </c>
      <c r="T60" s="63">
        <f t="shared" si="18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21"/>
        <v>0</v>
      </c>
      <c r="AG60" s="63">
        <f t="shared" si="22"/>
        <v>0</v>
      </c>
      <c r="AH60" s="89"/>
      <c r="AI60" s="66"/>
      <c r="AJ60" s="66"/>
      <c r="AK60" s="62">
        <f t="shared" si="39"/>
        <v>0</v>
      </c>
      <c r="AL60" s="72">
        <f t="shared" si="40"/>
        <v>0</v>
      </c>
      <c r="AM60" s="73">
        <f t="shared" si="23"/>
        <v>0</v>
      </c>
      <c r="AN60" s="74">
        <f t="shared" si="24"/>
        <v>0</v>
      </c>
      <c r="AO60" s="74">
        <f t="shared" si="25"/>
        <v>0</v>
      </c>
      <c r="AP60" s="75" t="e">
        <f t="shared" si="26"/>
        <v>#DIV/0!</v>
      </c>
      <c r="AQ60" s="76">
        <f t="shared" si="27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29"/>
        <v>46202</v>
      </c>
      <c r="C61" s="52" t="s">
        <v>88</v>
      </c>
      <c r="D61" s="79"/>
      <c r="E61" s="62"/>
      <c r="F61" s="62"/>
      <c r="G61" s="62">
        <f t="shared" si="14"/>
        <v>0</v>
      </c>
      <c r="H61" s="63">
        <f t="shared" si="15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6"/>
        <v>0</v>
      </c>
      <c r="S61" s="62">
        <f t="shared" si="17"/>
        <v>0</v>
      </c>
      <c r="T61" s="63">
        <f t="shared" si="18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21"/>
        <v>0</v>
      </c>
      <c r="AG61" s="63">
        <f t="shared" si="22"/>
        <v>0</v>
      </c>
      <c r="AH61" s="89"/>
      <c r="AI61" s="66"/>
      <c r="AJ61" s="66"/>
      <c r="AK61" s="62">
        <f t="shared" si="39"/>
        <v>0</v>
      </c>
      <c r="AL61" s="72">
        <f t="shared" si="40"/>
        <v>0</v>
      </c>
      <c r="AM61" s="73">
        <f t="shared" si="23"/>
        <v>0</v>
      </c>
      <c r="AN61" s="74">
        <f t="shared" si="24"/>
        <v>0</v>
      </c>
      <c r="AO61" s="74">
        <f t="shared" si="25"/>
        <v>0</v>
      </c>
      <c r="AP61" s="75" t="e">
        <f t="shared" si="26"/>
        <v>#DIV/0!</v>
      </c>
      <c r="AQ61" s="76">
        <f t="shared" si="27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29"/>
        <v>46203</v>
      </c>
      <c r="C62" s="52" t="s">
        <v>87</v>
      </c>
      <c r="D62" s="79"/>
      <c r="E62" s="62"/>
      <c r="F62" s="62"/>
      <c r="G62" s="62">
        <f t="shared" si="14"/>
        <v>0</v>
      </c>
      <c r="H62" s="63">
        <f t="shared" si="15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6"/>
        <v>0</v>
      </c>
      <c r="S62" s="62">
        <f t="shared" si="17"/>
        <v>0</v>
      </c>
      <c r="T62" s="63">
        <f t="shared" si="18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21"/>
        <v>0</v>
      </c>
      <c r="AG62" s="63">
        <f t="shared" si="22"/>
        <v>0</v>
      </c>
      <c r="AH62" s="89"/>
      <c r="AI62" s="66"/>
      <c r="AJ62" s="66"/>
      <c r="AK62" s="62">
        <f t="shared" si="39"/>
        <v>0</v>
      </c>
      <c r="AL62" s="72">
        <f t="shared" si="40"/>
        <v>0</v>
      </c>
      <c r="AM62" s="73">
        <f t="shared" si="23"/>
        <v>0</v>
      </c>
      <c r="AN62" s="74">
        <f t="shared" si="24"/>
        <v>0</v>
      </c>
      <c r="AO62" s="74">
        <f t="shared" si="25"/>
        <v>0</v>
      </c>
      <c r="AP62" s="75" t="e">
        <f t="shared" si="26"/>
        <v>#DIV/0!</v>
      </c>
      <c r="AQ62" s="76">
        <f t="shared" si="27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29"/>
        <v>46203</v>
      </c>
      <c r="C63" s="52" t="s">
        <v>88</v>
      </c>
      <c r="D63" s="79"/>
      <c r="E63" s="62"/>
      <c r="F63" s="62"/>
      <c r="G63" s="62">
        <f t="shared" si="14"/>
        <v>0</v>
      </c>
      <c r="H63" s="63">
        <f t="shared" si="15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6"/>
        <v>0</v>
      </c>
      <c r="S63" s="62">
        <f t="shared" si="17"/>
        <v>0</v>
      </c>
      <c r="T63" s="63">
        <f t="shared" si="18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21"/>
        <v>0</v>
      </c>
      <c r="AG63" s="63">
        <f t="shared" si="22"/>
        <v>0</v>
      </c>
      <c r="AH63" s="89"/>
      <c r="AI63" s="66"/>
      <c r="AJ63" s="66"/>
      <c r="AK63" s="62">
        <f t="shared" si="39"/>
        <v>0</v>
      </c>
      <c r="AL63" s="72">
        <f t="shared" si="40"/>
        <v>0</v>
      </c>
      <c r="AM63" s="73">
        <f t="shared" si="23"/>
        <v>0</v>
      </c>
      <c r="AN63" s="74">
        <f t="shared" si="24"/>
        <v>0</v>
      </c>
      <c r="AO63" s="74">
        <f t="shared" si="25"/>
        <v>0</v>
      </c>
      <c r="AP63" s="75" t="e">
        <f t="shared" si="26"/>
        <v>#DIV/0!</v>
      </c>
      <c r="AQ63" s="76">
        <f t="shared" si="27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29"/>
        <v>46204</v>
      </c>
      <c r="C64" s="52" t="s">
        <v>87</v>
      </c>
      <c r="D64" s="79"/>
      <c r="E64" s="62"/>
      <c r="F64" s="62"/>
      <c r="G64" s="62">
        <f t="shared" si="14"/>
        <v>0</v>
      </c>
      <c r="H64" s="63">
        <f t="shared" si="15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6"/>
        <v>0</v>
      </c>
      <c r="S64" s="62">
        <f t="shared" si="17"/>
        <v>0</v>
      </c>
      <c r="T64" s="63">
        <f t="shared" si="18"/>
        <v>0</v>
      </c>
      <c r="U64" s="64"/>
      <c r="V64" s="65"/>
      <c r="W64" s="66"/>
      <c r="X64" s="68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21"/>
        <v>0</v>
      </c>
      <c r="AG64" s="63">
        <f t="shared" si="22"/>
        <v>0</v>
      </c>
      <c r="AH64" s="71"/>
      <c r="AI64" s="71"/>
      <c r="AJ64" s="71"/>
      <c r="AK64" s="62">
        <f t="shared" ref="AK64:AK65" si="41">AH64*AI64%</f>
        <v>0</v>
      </c>
      <c r="AL64" s="72">
        <f t="shared" ref="AL64:AL65" si="42">AH64*AJ64%</f>
        <v>0</v>
      </c>
      <c r="AM64" s="73">
        <f t="shared" si="23"/>
        <v>0</v>
      </c>
      <c r="AN64" s="74">
        <f t="shared" si="24"/>
        <v>0</v>
      </c>
      <c r="AO64" s="74">
        <f t="shared" si="25"/>
        <v>0</v>
      </c>
      <c r="AP64" s="75" t="e">
        <f t="shared" si="26"/>
        <v>#DIV/0!</v>
      </c>
      <c r="AQ64" s="76">
        <f t="shared" si="27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29"/>
        <v>46204</v>
      </c>
      <c r="C65" s="52" t="s">
        <v>88</v>
      </c>
      <c r="D65" s="79"/>
      <c r="E65" s="62"/>
      <c r="F65" s="62"/>
      <c r="G65" s="62">
        <f t="shared" si="14"/>
        <v>0</v>
      </c>
      <c r="H65" s="63">
        <f t="shared" si="15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6"/>
        <v>0</v>
      </c>
      <c r="S65" s="62">
        <f t="shared" si="17"/>
        <v>0</v>
      </c>
      <c r="T65" s="63">
        <f t="shared" si="18"/>
        <v>0</v>
      </c>
      <c r="U65" s="64"/>
      <c r="V65" s="65"/>
      <c r="W65" s="66"/>
      <c r="X65" s="68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21"/>
        <v>0</v>
      </c>
      <c r="AG65" s="63">
        <f t="shared" si="22"/>
        <v>0</v>
      </c>
      <c r="AH65" s="71"/>
      <c r="AI65" s="71"/>
      <c r="AJ65" s="71"/>
      <c r="AK65" s="62">
        <f t="shared" si="41"/>
        <v>0</v>
      </c>
      <c r="AL65" s="72">
        <f t="shared" si="42"/>
        <v>0</v>
      </c>
      <c r="AM65" s="73">
        <f t="shared" si="23"/>
        <v>0</v>
      </c>
      <c r="AN65" s="74">
        <f t="shared" si="24"/>
        <v>0</v>
      </c>
      <c r="AO65" s="74">
        <f t="shared" si="25"/>
        <v>0</v>
      </c>
      <c r="AP65" s="75" t="e">
        <f t="shared" si="26"/>
        <v>#DIV/0!</v>
      </c>
      <c r="AQ65" s="76">
        <f t="shared" si="27"/>
        <v>0</v>
      </c>
      <c r="AR65" s="77">
        <f t="shared" si="12"/>
        <v>0</v>
      </c>
    </row>
    <row r="66" spans="1:44" x14ac:dyDescent="0.25">
      <c r="J66">
        <f>SUM(J4:J65)</f>
        <v>68949.23</v>
      </c>
      <c r="X66" s="77"/>
      <c r="AH66" s="77"/>
      <c r="AI66" s="77"/>
      <c r="AJ66" s="77"/>
      <c r="AM66" s="83">
        <f>-SUM(AM4:AM65)</f>
        <v>194.76999999999953</v>
      </c>
      <c r="AN66" s="83">
        <f t="shared" ref="AN66:AO66" si="43">-SUM(AN4:AN65)</f>
        <v>49.123301999999541</v>
      </c>
      <c r="AO66" s="83">
        <f t="shared" si="43"/>
        <v>39.804582999999226</v>
      </c>
      <c r="AP66" s="83" t="e">
        <f>-SUM(AP4:AP65)</f>
        <v>#DIV/0!</v>
      </c>
      <c r="AQ66" s="127">
        <f>-SUM(AQ4:AQ65)</f>
        <v>33964.391737172904</v>
      </c>
    </row>
    <row r="67" spans="1:44" x14ac:dyDescent="0.25">
      <c r="Q67">
        <f>2126*27</f>
        <v>57402</v>
      </c>
      <c r="X67" s="77"/>
      <c r="AH67" s="86"/>
      <c r="AI67" s="86"/>
      <c r="AJ67" s="86"/>
    </row>
    <row r="68" spans="1:44" x14ac:dyDescent="0.25">
      <c r="Q68">
        <f>2600*37</f>
        <v>96200</v>
      </c>
      <c r="AH68" s="77"/>
      <c r="AI68" s="77"/>
      <c r="AJ68" s="77"/>
    </row>
    <row r="69" spans="1:44" x14ac:dyDescent="0.25">
      <c r="X69" s="77"/>
    </row>
  </sheetData>
  <autoFilter ref="D3:AQ66" xr:uid="{00000000-0009-0000-0000-000001000000}"/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6" priority="1" operator="lessThan">
      <formula>0.1</formula>
    </cfRule>
    <cfRule type="cellIs" dxfId="125" priority="2" operator="greaterThan">
      <formula>0.1</formula>
    </cfRule>
  </conditionalFormatting>
  <conditionalFormatting sqref="AP1:AQ1">
    <cfRule type="cellIs" dxfId="124" priority="13" operator="lessThan">
      <formula>1</formula>
    </cfRule>
  </conditionalFormatting>
  <conditionalFormatting sqref="AQ4:AQ65">
    <cfRule type="cellIs" dxfId="123" priority="11" operator="lessThan">
      <formula>0</formula>
    </cfRule>
    <cfRule type="cellIs" dxfId="122" priority="1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9"/>
  <sheetViews>
    <sheetView topLeftCell="A7" zoomScale="80" zoomScaleNormal="80" workbookViewId="0">
      <selection activeCell="AH26" sqref="AH26:AJ39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154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9" t="s">
        <v>64</v>
      </c>
      <c r="C2" s="261" t="s">
        <v>65</v>
      </c>
      <c r="D2" s="263" t="s">
        <v>66</v>
      </c>
      <c r="E2" s="264"/>
      <c r="F2" s="264"/>
      <c r="G2" s="264"/>
      <c r="H2" s="265"/>
      <c r="I2" s="256" t="s">
        <v>67</v>
      </c>
      <c r="J2" s="257"/>
      <c r="K2" s="257"/>
      <c r="L2" s="258"/>
      <c r="M2" s="256" t="s">
        <v>68</v>
      </c>
      <c r="N2" s="257"/>
      <c r="O2" s="257"/>
      <c r="P2" s="257"/>
      <c r="Q2" s="258"/>
      <c r="R2" s="256" t="s">
        <v>69</v>
      </c>
      <c r="S2" s="257"/>
      <c r="T2" s="258"/>
      <c r="U2" s="253" t="s">
        <v>70</v>
      </c>
      <c r="V2" s="254"/>
      <c r="W2" s="254"/>
      <c r="X2" s="254"/>
      <c r="Y2" s="254"/>
      <c r="Z2" s="254"/>
      <c r="AA2" s="254"/>
      <c r="AB2" s="255"/>
      <c r="AC2" s="256" t="s">
        <v>71</v>
      </c>
      <c r="AD2" s="257"/>
      <c r="AE2" s="257"/>
      <c r="AF2" s="257"/>
      <c r="AG2" s="258"/>
      <c r="AH2" s="256" t="s">
        <v>72</v>
      </c>
      <c r="AI2" s="257"/>
      <c r="AJ2" s="257"/>
      <c r="AK2" s="257"/>
      <c r="AL2" s="258"/>
      <c r="AM2" s="253" t="s">
        <v>73</v>
      </c>
      <c r="AN2" s="254"/>
      <c r="AO2" s="254"/>
      <c r="AP2" s="254"/>
      <c r="AQ2" s="255"/>
    </row>
    <row r="3" spans="1:46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2645.2</v>
      </c>
      <c r="E4" s="54">
        <v>4.25</v>
      </c>
      <c r="F4" s="55">
        <v>8.1999999999999993</v>
      </c>
      <c r="G4" s="62">
        <f t="shared" ref="G4:G65" si="0">+D4*E4%</f>
        <v>112.42100000000001</v>
      </c>
      <c r="H4" s="63">
        <f t="shared" ref="H4:H65" si="1">+D4*F4%</f>
        <v>216.90639999999996</v>
      </c>
      <c r="I4" s="203">
        <v>754.8</v>
      </c>
      <c r="J4" s="203">
        <v>777.44399999999996</v>
      </c>
      <c r="K4" s="203">
        <v>4.404795972443031</v>
      </c>
      <c r="L4" s="203">
        <v>8.1855855855855886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777.44399999999996</v>
      </c>
      <c r="S4" s="62">
        <f t="shared" ref="S4:S65" si="2">+J4*K4%+O4*P4%</f>
        <v>34.244821999999999</v>
      </c>
      <c r="T4" s="63">
        <f t="shared" ref="T4:T65" si="3">+J4*L4%+O4*Q4%</f>
        <v>63.638344000000025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3422</v>
      </c>
      <c r="AI4" s="66">
        <v>4.3</v>
      </c>
      <c r="AJ4" s="66">
        <v>8.1999999999999993</v>
      </c>
      <c r="AK4" s="62">
        <f t="shared" ref="AK4:AK65" si="8">AH4*AI4%</f>
        <v>147.14599999999999</v>
      </c>
      <c r="AL4" s="72">
        <f t="shared" ref="AL4:AL65" si="9">AH4*AJ4%</f>
        <v>280.60399999999998</v>
      </c>
      <c r="AM4" s="73">
        <f>+D4+R4-AC4-AH4</f>
        <v>0.64399999999977808</v>
      </c>
      <c r="AN4" s="74">
        <f t="shared" ref="AN4:AO19" si="10">+G4+S4-AF4-AK4</f>
        <v>-0.48017799999999511</v>
      </c>
      <c r="AO4" s="74">
        <f t="shared" si="10"/>
        <v>-5.925600000000486E-2</v>
      </c>
      <c r="AP4" s="75">
        <f>(AN4+AO4)/(S4+T4)</f>
        <v>-5.5109986940961829E-3</v>
      </c>
      <c r="AQ4" s="76">
        <f t="shared" ref="AQ4:AQ65" si="11">($AP$1*AN4+$AQ$1*AO4)</f>
        <v>-233.29044661999927</v>
      </c>
      <c r="AR4" s="77">
        <f t="shared" ref="AR4:AR65" si="12">(D4+J4+O4)-(X4+AH4)</f>
        <v>0.64399999999977808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3422</v>
      </c>
      <c r="E5" s="62">
        <v>4.3</v>
      </c>
      <c r="F5" s="62">
        <v>8.1999999999999993</v>
      </c>
      <c r="G5" s="62">
        <f t="shared" si="0"/>
        <v>147.14599999999999</v>
      </c>
      <c r="H5" s="63">
        <f t="shared" si="1"/>
        <v>280.60399999999998</v>
      </c>
      <c r="I5" s="203">
        <v>1164.2</v>
      </c>
      <c r="J5" s="203">
        <v>1199.126</v>
      </c>
      <c r="K5" s="203">
        <v>3.7507215255110813</v>
      </c>
      <c r="L5" s="203">
        <v>7.9814121285002582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1199.126</v>
      </c>
      <c r="S5" s="62">
        <f t="shared" si="2"/>
        <v>44.975877000000004</v>
      </c>
      <c r="T5" s="63">
        <f t="shared" si="3"/>
        <v>95.707188000000002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4622</v>
      </c>
      <c r="AI5" s="66">
        <v>4.17</v>
      </c>
      <c r="AJ5" s="66">
        <v>8.15</v>
      </c>
      <c r="AK5" s="62">
        <f t="shared" si="8"/>
        <v>192.73740000000001</v>
      </c>
      <c r="AL5" s="72">
        <f t="shared" si="9"/>
        <v>376.69300000000004</v>
      </c>
      <c r="AM5" s="73">
        <f t="shared" ref="AM5:AM65" si="15">+D5+R5-AC5-AH5</f>
        <v>-0.87399999999979627</v>
      </c>
      <c r="AN5" s="74">
        <f t="shared" si="10"/>
        <v>-0.61552300000002447</v>
      </c>
      <c r="AO5" s="74">
        <f t="shared" si="10"/>
        <v>-0.38181200000002491</v>
      </c>
      <c r="AP5" s="75">
        <f t="shared" ref="AP5:AP65" si="16">(AN5+AO5)/(S5+T5)</f>
        <v>-7.0892328085121643E-3</v>
      </c>
      <c r="AQ5" s="76">
        <f t="shared" si="11"/>
        <v>-390.58057987668514</v>
      </c>
      <c r="AR5" s="77">
        <f t="shared" si="12"/>
        <v>-0.87399999999979627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4622</v>
      </c>
      <c r="E6" s="62">
        <v>4.17</v>
      </c>
      <c r="F6" s="62">
        <v>8.15</v>
      </c>
      <c r="G6" s="62">
        <f t="shared" si="0"/>
        <v>192.73740000000001</v>
      </c>
      <c r="H6" s="63">
        <f t="shared" si="1"/>
        <v>376.69300000000004</v>
      </c>
      <c r="I6" s="203">
        <v>759.49999999999977</v>
      </c>
      <c r="J6" s="203">
        <v>782.28499999999974</v>
      </c>
      <c r="K6" s="203">
        <v>4.4207504937458859</v>
      </c>
      <c r="L6" s="203">
        <v>8.1474522712310744</v>
      </c>
      <c r="M6" s="58" t="s">
        <v>213</v>
      </c>
      <c r="N6" s="58">
        <v>87610</v>
      </c>
      <c r="O6" s="59">
        <v>1790</v>
      </c>
      <c r="P6" s="56">
        <v>4.3</v>
      </c>
      <c r="Q6" s="60">
        <v>7.77</v>
      </c>
      <c r="R6" s="61">
        <f t="shared" si="14"/>
        <v>2572.2849999999999</v>
      </c>
      <c r="S6" s="62">
        <f t="shared" si="2"/>
        <v>111.55286799999999</v>
      </c>
      <c r="T6" s="63">
        <f t="shared" si="3"/>
        <v>202.81929700000001</v>
      </c>
      <c r="U6" s="64" t="s">
        <v>171</v>
      </c>
      <c r="V6" s="65" t="s">
        <v>216</v>
      </c>
      <c r="W6" s="66" t="s">
        <v>217</v>
      </c>
      <c r="X6" s="67">
        <v>6200</v>
      </c>
      <c r="Y6" s="68">
        <v>4.3</v>
      </c>
      <c r="Z6" s="68">
        <v>8.2700000000000014</v>
      </c>
      <c r="AA6" s="62">
        <f t="shared" si="4"/>
        <v>266.59999999999997</v>
      </c>
      <c r="AB6" s="63">
        <f t="shared" si="5"/>
        <v>512.74</v>
      </c>
      <c r="AC6" s="69">
        <v>6170</v>
      </c>
      <c r="AD6" s="70">
        <v>4.25</v>
      </c>
      <c r="AE6" s="70">
        <v>8.1999999999999993</v>
      </c>
      <c r="AF6" s="62">
        <f t="shared" si="6"/>
        <v>262.22500000000002</v>
      </c>
      <c r="AG6" s="63">
        <f t="shared" si="7"/>
        <v>505.93999999999994</v>
      </c>
      <c r="AH6" s="71">
        <v>994</v>
      </c>
      <c r="AI6" s="66">
        <v>4.22</v>
      </c>
      <c r="AJ6" s="66">
        <v>8.0500000000000007</v>
      </c>
      <c r="AK6" s="62">
        <f t="shared" si="8"/>
        <v>41.946799999999996</v>
      </c>
      <c r="AL6" s="72">
        <f t="shared" si="9"/>
        <v>80.016999999999996</v>
      </c>
      <c r="AM6" s="73">
        <f t="shared" si="15"/>
        <v>30.284999999999854</v>
      </c>
      <c r="AN6" s="74">
        <f t="shared" si="10"/>
        <v>0.11846799999995028</v>
      </c>
      <c r="AO6" s="74">
        <f t="shared" si="10"/>
        <v>-6.4447029999999472</v>
      </c>
      <c r="AP6" s="75">
        <f t="shared" si="16"/>
        <v>-2.0123394194266522E-2</v>
      </c>
      <c r="AQ6" s="76">
        <f t="shared" si="11"/>
        <v>-1875.5462792733401</v>
      </c>
      <c r="AR6" s="77">
        <f t="shared" si="12"/>
        <v>0.28499999999985448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994</v>
      </c>
      <c r="E7" s="62">
        <v>4.22</v>
      </c>
      <c r="F7" s="62">
        <v>8.0500000000000007</v>
      </c>
      <c r="G7" s="62">
        <f t="shared" si="0"/>
        <v>41.946799999999996</v>
      </c>
      <c r="H7" s="63">
        <f t="shared" si="1"/>
        <v>80.016999999999996</v>
      </c>
      <c r="I7" s="203">
        <v>1083.5000000000002</v>
      </c>
      <c r="J7" s="203">
        <v>1116.0050000000003</v>
      </c>
      <c r="K7" s="203">
        <v>3.746202122750347</v>
      </c>
      <c r="L7" s="203">
        <v>8.037480387632673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1116.0050000000003</v>
      </c>
      <c r="S7" s="62">
        <f t="shared" si="2"/>
        <v>41.807803000000028</v>
      </c>
      <c r="T7" s="63">
        <f t="shared" si="3"/>
        <v>89.698683000000031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2110</v>
      </c>
      <c r="AI7" s="71">
        <v>3.94</v>
      </c>
      <c r="AJ7" s="71">
        <v>8.02</v>
      </c>
      <c r="AK7" s="62">
        <f t="shared" si="8"/>
        <v>83.134</v>
      </c>
      <c r="AL7" s="72">
        <f t="shared" si="9"/>
        <v>169.22199999999998</v>
      </c>
      <c r="AM7" s="73">
        <f t="shared" si="15"/>
        <v>5.0000000001091394E-3</v>
      </c>
      <c r="AN7" s="74">
        <f t="shared" si="10"/>
        <v>0.6206030000000311</v>
      </c>
      <c r="AO7" s="74">
        <f t="shared" si="10"/>
        <v>0.49368300000003273</v>
      </c>
      <c r="AP7" s="75">
        <f t="shared" si="16"/>
        <v>8.4732398674242076E-3</v>
      </c>
      <c r="AQ7" s="76">
        <f t="shared" si="11"/>
        <v>426.34104975002379</v>
      </c>
      <c r="AR7" s="77">
        <f t="shared" si="12"/>
        <v>5.0000000001091394E-3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2110</v>
      </c>
      <c r="E8" s="62">
        <v>3.94</v>
      </c>
      <c r="F8" s="62">
        <v>8.02</v>
      </c>
      <c r="G8" s="62">
        <f t="shared" si="0"/>
        <v>83.134</v>
      </c>
      <c r="H8" s="63">
        <f t="shared" si="1"/>
        <v>169.22199999999998</v>
      </c>
      <c r="I8" s="203">
        <v>705.69999999999993</v>
      </c>
      <c r="J8" s="203">
        <v>726.87099999999998</v>
      </c>
      <c r="K8" s="203">
        <v>4.5484058381748618</v>
      </c>
      <c r="L8" s="203">
        <v>8.1759104435312473</v>
      </c>
      <c r="M8" s="58" t="s">
        <v>213</v>
      </c>
      <c r="N8" s="58" t="s">
        <v>214</v>
      </c>
      <c r="O8" s="59">
        <v>1478</v>
      </c>
      <c r="P8" s="56">
        <v>4.5</v>
      </c>
      <c r="Q8" s="60">
        <v>8.06</v>
      </c>
      <c r="R8" s="61">
        <f t="shared" si="14"/>
        <v>2204.8710000000001</v>
      </c>
      <c r="S8" s="62">
        <f t="shared" si="2"/>
        <v>99.571042999999989</v>
      </c>
      <c r="T8" s="63">
        <f t="shared" si="3"/>
        <v>178.55512200000001</v>
      </c>
      <c r="U8" s="64" t="s">
        <v>187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7"/>
        <v>0</v>
      </c>
      <c r="AH8" s="71">
        <v>4315</v>
      </c>
      <c r="AI8" s="71">
        <v>4.2300000000000004</v>
      </c>
      <c r="AJ8" s="71">
        <v>8.06</v>
      </c>
      <c r="AK8" s="62">
        <f t="shared" si="8"/>
        <v>182.52450000000002</v>
      </c>
      <c r="AL8" s="72">
        <f t="shared" si="9"/>
        <v>347.78900000000004</v>
      </c>
      <c r="AM8" s="73">
        <f t="shared" si="15"/>
        <v>-0.12899999999990541</v>
      </c>
      <c r="AN8" s="74">
        <f t="shared" si="10"/>
        <v>0.1805429999999717</v>
      </c>
      <c r="AO8" s="74">
        <f t="shared" si="10"/>
        <v>-1.1878000000081101E-2</v>
      </c>
      <c r="AP8" s="75">
        <f t="shared" si="16"/>
        <v>6.0643341484930256E-4</v>
      </c>
      <c r="AQ8" s="76">
        <f t="shared" si="11"/>
        <v>77.492789476629696</v>
      </c>
      <c r="AR8" s="90">
        <f t="shared" si="12"/>
        <v>-0.12899999999990541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4315</v>
      </c>
      <c r="E9" s="62">
        <v>4.2300000000000004</v>
      </c>
      <c r="F9" s="62">
        <v>8.06</v>
      </c>
      <c r="G9" s="62">
        <f t="shared" si="0"/>
        <v>182.52450000000002</v>
      </c>
      <c r="H9" s="63">
        <f t="shared" si="1"/>
        <v>347.78900000000004</v>
      </c>
      <c r="I9" s="203">
        <v>830.1</v>
      </c>
      <c r="J9" s="203">
        <v>855.00300000000004</v>
      </c>
      <c r="K9" s="203">
        <v>3.7429827731598615</v>
      </c>
      <c r="L9" s="203">
        <v>8.0582339477171452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4"/>
        <v>855.00300000000004</v>
      </c>
      <c r="S9" s="62">
        <f t="shared" si="2"/>
        <v>32.002615000000013</v>
      </c>
      <c r="T9" s="63">
        <f t="shared" si="3"/>
        <v>68.898142000000036</v>
      </c>
      <c r="U9" s="64" t="s">
        <v>171</v>
      </c>
      <c r="V9" s="65" t="s">
        <v>218</v>
      </c>
      <c r="W9" s="66" t="s">
        <v>219</v>
      </c>
      <c r="X9" s="67">
        <v>3100</v>
      </c>
      <c r="Y9" s="68">
        <v>4.3</v>
      </c>
      <c r="Z9" s="68">
        <v>8.14</v>
      </c>
      <c r="AA9" s="62">
        <f t="shared" si="4"/>
        <v>133.29999999999998</v>
      </c>
      <c r="AB9" s="63">
        <f t="shared" si="5"/>
        <v>252.34</v>
      </c>
      <c r="AC9" s="69">
        <v>3090</v>
      </c>
      <c r="AD9" s="70">
        <v>4.25</v>
      </c>
      <c r="AE9" s="70">
        <v>8.07</v>
      </c>
      <c r="AF9" s="62">
        <f t="shared" si="6"/>
        <v>131.32500000000002</v>
      </c>
      <c r="AG9" s="63">
        <f t="shared" si="7"/>
        <v>249.36300000000003</v>
      </c>
      <c r="AH9" s="82">
        <v>2070</v>
      </c>
      <c r="AI9" s="82">
        <v>4.1399999999999997</v>
      </c>
      <c r="AJ9" s="82">
        <v>8.06</v>
      </c>
      <c r="AK9" s="62">
        <f t="shared" si="8"/>
        <v>85.697999999999993</v>
      </c>
      <c r="AL9" s="72">
        <f t="shared" si="9"/>
        <v>166.84200000000001</v>
      </c>
      <c r="AM9" s="73">
        <f t="shared" si="15"/>
        <v>10.002999999999702</v>
      </c>
      <c r="AN9" s="74">
        <f t="shared" si="10"/>
        <v>-2.4958849999999728</v>
      </c>
      <c r="AO9" s="74">
        <f t="shared" si="10"/>
        <v>0.48214200000006713</v>
      </c>
      <c r="AP9" s="75">
        <f t="shared" si="16"/>
        <v>-1.9957659980686812E-2</v>
      </c>
      <c r="AQ9" s="76">
        <f t="shared" si="11"/>
        <v>-976.13549186996772</v>
      </c>
      <c r="AR9" s="90">
        <f t="shared" si="12"/>
        <v>2.9999999997016857E-3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2070</v>
      </c>
      <c r="E10" s="62">
        <v>4.1399999999999997</v>
      </c>
      <c r="F10" s="62">
        <v>8.06</v>
      </c>
      <c r="G10" s="62">
        <f t="shared" si="0"/>
        <v>85.697999999999993</v>
      </c>
      <c r="H10" s="63">
        <f t="shared" si="1"/>
        <v>166.84200000000001</v>
      </c>
      <c r="I10" s="203">
        <v>756.49999999999989</v>
      </c>
      <c r="J10" s="203">
        <v>779.19499999999994</v>
      </c>
      <c r="K10" s="203">
        <v>4.6381097157964302</v>
      </c>
      <c r="L10" s="203">
        <v>8.20421678783873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4"/>
        <v>779.19499999999994</v>
      </c>
      <c r="S10" s="62">
        <f t="shared" si="2"/>
        <v>36.139918999999992</v>
      </c>
      <c r="T10" s="63">
        <f t="shared" si="3"/>
        <v>63.926846999999995</v>
      </c>
      <c r="U10" s="64" t="s">
        <v>167</v>
      </c>
      <c r="V10" s="136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7"/>
        <v>0</v>
      </c>
      <c r="AH10" s="71">
        <v>2850</v>
      </c>
      <c r="AI10" s="71">
        <v>4.26</v>
      </c>
      <c r="AJ10" s="71">
        <v>8.09</v>
      </c>
      <c r="AK10" s="62">
        <f t="shared" si="8"/>
        <v>121.41</v>
      </c>
      <c r="AL10" s="72">
        <f t="shared" si="9"/>
        <v>230.565</v>
      </c>
      <c r="AM10" s="73">
        <f t="shared" si="15"/>
        <v>-0.80500000000029104</v>
      </c>
      <c r="AN10" s="74">
        <f t="shared" si="10"/>
        <v>0.42791899999998861</v>
      </c>
      <c r="AO10" s="74">
        <f t="shared" si="10"/>
        <v>0.20384699999999611</v>
      </c>
      <c r="AP10" s="75">
        <f t="shared" si="16"/>
        <v>6.3134447654677357E-3</v>
      </c>
      <c r="AQ10" s="76">
        <f t="shared" si="11"/>
        <v>253.10308946999376</v>
      </c>
      <c r="AR10" s="90">
        <f t="shared" si="12"/>
        <v>-0.80500000000029104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2850</v>
      </c>
      <c r="E11" s="62">
        <v>4.26</v>
      </c>
      <c r="F11" s="62">
        <v>8.09</v>
      </c>
      <c r="G11" s="62">
        <f t="shared" si="0"/>
        <v>121.41</v>
      </c>
      <c r="H11" s="63">
        <f t="shared" si="1"/>
        <v>230.565</v>
      </c>
      <c r="I11" s="203">
        <v>1269.5</v>
      </c>
      <c r="J11" s="203">
        <v>1307.585</v>
      </c>
      <c r="K11" s="203">
        <v>3.9375344623867665</v>
      </c>
      <c r="L11" s="203">
        <v>8.0934619929105924</v>
      </c>
      <c r="M11" s="58" t="s">
        <v>213</v>
      </c>
      <c r="N11" s="58" t="s">
        <v>215</v>
      </c>
      <c r="O11" s="59">
        <v>2150</v>
      </c>
      <c r="P11" s="56">
        <v>4.45</v>
      </c>
      <c r="Q11" s="60">
        <v>7.93</v>
      </c>
      <c r="R11" s="61">
        <f t="shared" si="14"/>
        <v>3457.585</v>
      </c>
      <c r="S11" s="62">
        <f t="shared" si="2"/>
        <v>147.16161000000002</v>
      </c>
      <c r="T11" s="63">
        <f t="shared" si="3"/>
        <v>276.32389499999994</v>
      </c>
      <c r="U11" s="64" t="s">
        <v>175</v>
      </c>
      <c r="V11" s="136" t="s">
        <v>220</v>
      </c>
      <c r="W11" s="66" t="s">
        <v>217</v>
      </c>
      <c r="X11" s="67">
        <v>3400</v>
      </c>
      <c r="Y11" s="68">
        <v>4.5999999999999996</v>
      </c>
      <c r="Z11" s="68">
        <v>8.14</v>
      </c>
      <c r="AA11" s="62">
        <f t="shared" si="4"/>
        <v>156.4</v>
      </c>
      <c r="AB11" s="63">
        <f t="shared" si="5"/>
        <v>276.76</v>
      </c>
      <c r="AC11" s="69">
        <v>3450</v>
      </c>
      <c r="AD11" s="70">
        <v>4.55</v>
      </c>
      <c r="AE11" s="70">
        <v>8.07</v>
      </c>
      <c r="AF11" s="62">
        <f t="shared" si="6"/>
        <v>156.97499999999999</v>
      </c>
      <c r="AG11" s="63">
        <f t="shared" si="7"/>
        <v>278.41500000000002</v>
      </c>
      <c r="AH11" s="71">
        <v>2907</v>
      </c>
      <c r="AI11" s="71">
        <v>4.25</v>
      </c>
      <c r="AJ11" s="71">
        <v>8.0399999999999991</v>
      </c>
      <c r="AK11" s="62">
        <f t="shared" si="8"/>
        <v>123.54750000000001</v>
      </c>
      <c r="AL11" s="72">
        <f t="shared" si="9"/>
        <v>233.72279999999995</v>
      </c>
      <c r="AM11" s="73">
        <f t="shared" si="15"/>
        <v>-49.414999999999964</v>
      </c>
      <c r="AN11" s="74">
        <f t="shared" si="10"/>
        <v>-11.950889999999987</v>
      </c>
      <c r="AO11" s="74">
        <f t="shared" si="10"/>
        <v>-5.2489050000000361</v>
      </c>
      <c r="AP11" s="75">
        <f t="shared" si="16"/>
        <v>-4.0614837572776008E-2</v>
      </c>
      <c r="AQ11" s="76">
        <f t="shared" si="11"/>
        <v>-6935.7313256000052</v>
      </c>
      <c r="AR11" s="90">
        <f t="shared" si="12"/>
        <v>0.58500000000003638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2907</v>
      </c>
      <c r="E12" s="62">
        <v>4.25</v>
      </c>
      <c r="F12" s="62">
        <v>8.0399999999999991</v>
      </c>
      <c r="G12" s="62">
        <f t="shared" si="0"/>
        <v>123.54750000000001</v>
      </c>
      <c r="H12" s="63">
        <f t="shared" si="1"/>
        <v>233.72279999999995</v>
      </c>
      <c r="I12" s="203">
        <v>685.60000000000014</v>
      </c>
      <c r="J12" s="203">
        <v>706.16800000000012</v>
      </c>
      <c r="K12" s="203">
        <v>4.7125437572928828</v>
      </c>
      <c r="L12" s="203">
        <v>8.2154171528588105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4"/>
        <v>706.16800000000012</v>
      </c>
      <c r="S12" s="62">
        <f t="shared" si="2"/>
        <v>33.278476000000012</v>
      </c>
      <c r="T12" s="63">
        <f t="shared" si="3"/>
        <v>58.014647000000011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3613</v>
      </c>
      <c r="AI12" s="71">
        <v>4.34</v>
      </c>
      <c r="AJ12" s="71">
        <v>8.07</v>
      </c>
      <c r="AK12" s="62">
        <f t="shared" si="8"/>
        <v>156.80420000000001</v>
      </c>
      <c r="AL12" s="72">
        <f t="shared" si="9"/>
        <v>291.56910000000005</v>
      </c>
      <c r="AM12" s="73">
        <f t="shared" si="15"/>
        <v>0.16800000000012005</v>
      </c>
      <c r="AN12" s="74">
        <f t="shared" si="10"/>
        <v>2.1776000000016893E-2</v>
      </c>
      <c r="AO12" s="74">
        <f t="shared" si="10"/>
        <v>0.16834699999992608</v>
      </c>
      <c r="AP12" s="75">
        <f t="shared" si="16"/>
        <v>2.0825555502131626E-3</v>
      </c>
      <c r="AQ12" s="76">
        <f t="shared" si="11"/>
        <v>60.157232006652137</v>
      </c>
      <c r="AR12" s="90">
        <f t="shared" si="12"/>
        <v>0.16800000000012005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3613</v>
      </c>
      <c r="E13" s="62">
        <v>4.34</v>
      </c>
      <c r="F13" s="62">
        <v>8.07</v>
      </c>
      <c r="G13" s="62">
        <f t="shared" si="0"/>
        <v>156.80420000000001</v>
      </c>
      <c r="H13" s="63">
        <f t="shared" si="1"/>
        <v>291.56910000000005</v>
      </c>
      <c r="I13" s="203">
        <v>1096.6000000000001</v>
      </c>
      <c r="J13" s="203">
        <v>1129.4980000000003</v>
      </c>
      <c r="K13" s="203">
        <v>3.9009392668247309</v>
      </c>
      <c r="L13" s="203">
        <v>8.0771566660587268</v>
      </c>
      <c r="M13" s="58" t="s">
        <v>213</v>
      </c>
      <c r="N13" s="58" t="s">
        <v>337</v>
      </c>
      <c r="O13" s="59">
        <v>1740</v>
      </c>
      <c r="P13" s="56">
        <v>4.2</v>
      </c>
      <c r="Q13" s="60">
        <v>7.6</v>
      </c>
      <c r="R13" s="61">
        <f t="shared" si="14"/>
        <v>2869.4980000000005</v>
      </c>
      <c r="S13" s="62">
        <f t="shared" si="2"/>
        <v>117.141031</v>
      </c>
      <c r="T13" s="63">
        <f t="shared" si="3"/>
        <v>223.47132300000004</v>
      </c>
      <c r="U13" s="64" t="s">
        <v>172</v>
      </c>
      <c r="V13" s="136" t="s">
        <v>338</v>
      </c>
      <c r="W13" s="66" t="s">
        <v>217</v>
      </c>
      <c r="X13" s="67">
        <v>6280</v>
      </c>
      <c r="Y13" s="68">
        <v>4.45</v>
      </c>
      <c r="Z13" s="68">
        <v>8.24</v>
      </c>
      <c r="AA13" s="62">
        <f t="shared" si="4"/>
        <v>279.46000000000004</v>
      </c>
      <c r="AB13" s="63">
        <f t="shared" si="5"/>
        <v>517.47199999999998</v>
      </c>
      <c r="AC13" s="69">
        <v>6250</v>
      </c>
      <c r="AD13" s="70">
        <v>4.34992</v>
      </c>
      <c r="AE13" s="70">
        <v>7.9399360000000003</v>
      </c>
      <c r="AF13" s="62">
        <f t="shared" si="6"/>
        <v>271.87</v>
      </c>
      <c r="AG13" s="63">
        <f t="shared" si="7"/>
        <v>496.24600000000004</v>
      </c>
      <c r="AH13" s="71">
        <v>183</v>
      </c>
      <c r="AI13" s="71">
        <v>4.22</v>
      </c>
      <c r="AJ13" s="71">
        <v>7.95</v>
      </c>
      <c r="AK13" s="62">
        <f t="shared" si="8"/>
        <v>7.722599999999999</v>
      </c>
      <c r="AL13" s="72">
        <f t="shared" si="9"/>
        <v>14.548500000000001</v>
      </c>
      <c r="AM13" s="73">
        <f t="shared" si="15"/>
        <v>49.498000000000502</v>
      </c>
      <c r="AN13" s="74">
        <f t="shared" si="10"/>
        <v>-5.6473689999999683</v>
      </c>
      <c r="AO13" s="74">
        <f t="shared" si="10"/>
        <v>4.2459230000001078</v>
      </c>
      <c r="AP13" s="75">
        <f t="shared" si="16"/>
        <v>-4.1144896347472485E-3</v>
      </c>
      <c r="AQ13" s="76">
        <f t="shared" si="11"/>
        <v>-1264.4688885032867</v>
      </c>
      <c r="AR13" s="90">
        <f t="shared" si="12"/>
        <v>19.498000000000502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183</v>
      </c>
      <c r="E14" s="62">
        <v>4.22</v>
      </c>
      <c r="F14" s="62">
        <v>7.95</v>
      </c>
      <c r="G14" s="62">
        <f t="shared" si="0"/>
        <v>7.722599999999999</v>
      </c>
      <c r="H14" s="63">
        <f t="shared" si="1"/>
        <v>14.548500000000001</v>
      </c>
      <c r="I14" s="203">
        <v>693.40000000000032</v>
      </c>
      <c r="J14" s="203">
        <v>714.20200000000034</v>
      </c>
      <c r="K14" s="203">
        <v>4.5640611479665418</v>
      </c>
      <c r="L14" s="203">
        <v>8.2698154023651558</v>
      </c>
      <c r="M14" s="58">
        <v>0</v>
      </c>
      <c r="N14" s="58" t="s">
        <v>187</v>
      </c>
      <c r="O14" s="59">
        <v>0</v>
      </c>
      <c r="P14" s="56">
        <v>0</v>
      </c>
      <c r="Q14" s="60">
        <v>0</v>
      </c>
      <c r="R14" s="61">
        <f t="shared" si="14"/>
        <v>714.20200000000034</v>
      </c>
      <c r="S14" s="62">
        <f t="shared" si="2"/>
        <v>32.596616000000012</v>
      </c>
      <c r="T14" s="63">
        <f t="shared" si="3"/>
        <v>59.063187000000021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897.2</v>
      </c>
      <c r="AI14" s="71">
        <v>4.5199999999999996</v>
      </c>
      <c r="AJ14" s="71">
        <v>8.23</v>
      </c>
      <c r="AK14" s="62">
        <f t="shared" si="8"/>
        <v>40.553440000000002</v>
      </c>
      <c r="AL14" s="72">
        <f t="shared" si="9"/>
        <v>73.839560000000006</v>
      </c>
      <c r="AM14" s="73">
        <f t="shared" si="15"/>
        <v>2.0000000002937668E-3</v>
      </c>
      <c r="AN14" s="74">
        <f t="shared" si="10"/>
        <v>-0.23422399999999044</v>
      </c>
      <c r="AO14" s="74">
        <f t="shared" si="10"/>
        <v>-0.22787299999998822</v>
      </c>
      <c r="AP14" s="75">
        <f t="shared" si="16"/>
        <v>-5.041435666188138E-3</v>
      </c>
      <c r="AQ14" s="76">
        <f t="shared" si="11"/>
        <v>-173.34180812665886</v>
      </c>
      <c r="AR14" s="90">
        <f t="shared" si="12"/>
        <v>2.0000000002937668E-3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897.2</v>
      </c>
      <c r="E15" s="62">
        <v>4.5199999999999996</v>
      </c>
      <c r="F15" s="62">
        <v>8.23</v>
      </c>
      <c r="G15" s="62">
        <f t="shared" si="0"/>
        <v>40.553440000000002</v>
      </c>
      <c r="H15" s="63">
        <f t="shared" si="1"/>
        <v>73.839560000000006</v>
      </c>
      <c r="I15" s="203">
        <v>1095.3</v>
      </c>
      <c r="J15" s="203">
        <v>1128.1589999999999</v>
      </c>
      <c r="K15" s="203">
        <v>3.8519401077330429</v>
      </c>
      <c r="L15" s="203">
        <v>8.0470099516114306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4"/>
        <v>1128.1589999999999</v>
      </c>
      <c r="S15" s="62">
        <f t="shared" si="2"/>
        <v>43.456009000000016</v>
      </c>
      <c r="T15" s="63">
        <f t="shared" si="3"/>
        <v>90.783066999999988</v>
      </c>
      <c r="U15" s="64" t="s">
        <v>167</v>
      </c>
      <c r="V15" s="136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2025.4</v>
      </c>
      <c r="AI15" s="66">
        <v>4.18</v>
      </c>
      <c r="AJ15" s="66">
        <v>8.1</v>
      </c>
      <c r="AK15" s="62">
        <f t="shared" si="8"/>
        <v>84.661720000000003</v>
      </c>
      <c r="AL15" s="72">
        <f t="shared" si="9"/>
        <v>164.0574</v>
      </c>
      <c r="AM15" s="73">
        <f t="shared" si="15"/>
        <v>-4.1000000000167347E-2</v>
      </c>
      <c r="AN15" s="74">
        <f t="shared" si="10"/>
        <v>-0.65227099999998472</v>
      </c>
      <c r="AO15" s="74">
        <f t="shared" si="10"/>
        <v>0.56522699999999304</v>
      </c>
      <c r="AP15" s="75">
        <f t="shared" si="16"/>
        <v>-6.4842520221155035E-4</v>
      </c>
      <c r="AQ15" s="76">
        <f t="shared" si="11"/>
        <v>-123.65360622999521</v>
      </c>
      <c r="AR15" s="90">
        <f t="shared" si="12"/>
        <v>-4.1000000000167347E-2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2025.4</v>
      </c>
      <c r="E16" s="62">
        <v>4.18</v>
      </c>
      <c r="F16" s="62">
        <v>8.1</v>
      </c>
      <c r="G16" s="62">
        <f t="shared" si="0"/>
        <v>84.661720000000003</v>
      </c>
      <c r="H16" s="63">
        <f t="shared" si="1"/>
        <v>164.0574</v>
      </c>
      <c r="I16" s="203">
        <v>658.4</v>
      </c>
      <c r="J16" s="203">
        <v>678.15200000000004</v>
      </c>
      <c r="K16" s="203">
        <v>4.5424665856622113</v>
      </c>
      <c r="L16" s="203">
        <v>8.3436968408262455</v>
      </c>
      <c r="M16" s="58" t="s">
        <v>213</v>
      </c>
      <c r="N16" s="58" t="s">
        <v>339</v>
      </c>
      <c r="O16" s="59">
        <v>2270</v>
      </c>
      <c r="P16" s="56">
        <v>4.2</v>
      </c>
      <c r="Q16" s="60">
        <v>8</v>
      </c>
      <c r="R16" s="61">
        <f t="shared" si="14"/>
        <v>2948.152</v>
      </c>
      <c r="S16" s="62">
        <f t="shared" si="2"/>
        <v>126.144828</v>
      </c>
      <c r="T16" s="63">
        <f t="shared" si="3"/>
        <v>238.18294700000001</v>
      </c>
      <c r="U16" s="64" t="s">
        <v>172</v>
      </c>
      <c r="V16" s="65" t="s">
        <v>417</v>
      </c>
      <c r="W16" s="66" t="s">
        <v>219</v>
      </c>
      <c r="X16" s="67">
        <v>5530</v>
      </c>
      <c r="Y16" s="68">
        <v>4.4264014466546122</v>
      </c>
      <c r="Z16" s="68">
        <v>8.1132007233273047</v>
      </c>
      <c r="AA16" s="62">
        <f t="shared" si="4"/>
        <v>244.78000000000009</v>
      </c>
      <c r="AB16" s="63">
        <f t="shared" si="5"/>
        <v>448.65999999999997</v>
      </c>
      <c r="AC16" s="69">
        <v>5520</v>
      </c>
      <c r="AD16" s="70">
        <v>4.2217391304347824</v>
      </c>
      <c r="AE16" s="70">
        <v>8.0095652173913034</v>
      </c>
      <c r="AF16" s="62">
        <f t="shared" si="6"/>
        <v>233.04</v>
      </c>
      <c r="AG16" s="63">
        <f t="shared" si="7"/>
        <v>442.12799999999999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-546.44800000000032</v>
      </c>
      <c r="AN16" s="74">
        <f t="shared" si="10"/>
        <v>-22.233451999999971</v>
      </c>
      <c r="AO16" s="74">
        <f t="shared" si="10"/>
        <v>-39.887652999999943</v>
      </c>
      <c r="AP16" s="75">
        <f t="shared" si="16"/>
        <v>-0.17050883644542311</v>
      </c>
      <c r="AQ16" s="76">
        <f t="shared" si="11"/>
        <v>-21918.129809473307</v>
      </c>
      <c r="AR16" s="90">
        <f t="shared" si="12"/>
        <v>-556.44800000000032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1146.6000000000001</v>
      </c>
      <c r="J17" s="203">
        <v>1180.9980000000003</v>
      </c>
      <c r="K17" s="203">
        <v>3.8795220652363507</v>
      </c>
      <c r="L17" s="203">
        <v>8.0924559567416736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4"/>
        <v>1180.9980000000003</v>
      </c>
      <c r="S17" s="62">
        <f t="shared" si="2"/>
        <v>45.817078000000009</v>
      </c>
      <c r="T17" s="63">
        <f t="shared" si="3"/>
        <v>95.571743000000041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1180.9000000000001</v>
      </c>
      <c r="AI17" s="66">
        <v>3.9</v>
      </c>
      <c r="AJ17" s="66">
        <v>8.1</v>
      </c>
      <c r="AK17" s="62">
        <f t="shared" si="8"/>
        <v>46.055100000000003</v>
      </c>
      <c r="AL17" s="72">
        <f>AH17*AJ17%</f>
        <v>95.652900000000017</v>
      </c>
      <c r="AM17" s="73">
        <f t="shared" si="15"/>
        <v>9.8000000000183718E-2</v>
      </c>
      <c r="AN17" s="74">
        <f t="shared" si="10"/>
        <v>-0.23802199999999374</v>
      </c>
      <c r="AO17" s="74">
        <f t="shared" si="10"/>
        <v>-8.1156999999976165E-2</v>
      </c>
      <c r="AP17" s="75">
        <f t="shared" si="16"/>
        <v>-2.2574557008292031E-3</v>
      </c>
      <c r="AQ17" s="76">
        <f t="shared" si="11"/>
        <v>-131.13858193332339</v>
      </c>
      <c r="AR17" s="90">
        <f t="shared" si="12"/>
        <v>9.8000000000183718E-2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1180.9000000000001</v>
      </c>
      <c r="E18" s="62">
        <v>3.9</v>
      </c>
      <c r="F18" s="62">
        <v>8.1</v>
      </c>
      <c r="G18" s="62">
        <f t="shared" si="0"/>
        <v>46.055100000000003</v>
      </c>
      <c r="H18" s="63">
        <f t="shared" si="1"/>
        <v>95.652900000000017</v>
      </c>
      <c r="I18" s="203">
        <v>748.3</v>
      </c>
      <c r="J18" s="203">
        <v>770.74900000000002</v>
      </c>
      <c r="K18" s="203">
        <v>4.4721502071361749</v>
      </c>
      <c r="L18" s="203">
        <v>8.2177201657089398</v>
      </c>
      <c r="M18" s="58" t="s">
        <v>213</v>
      </c>
      <c r="N18" s="58" t="s">
        <v>340</v>
      </c>
      <c r="O18" s="59">
        <v>1370</v>
      </c>
      <c r="P18" s="56">
        <v>4.0999999999999996</v>
      </c>
      <c r="Q18" s="60">
        <v>8</v>
      </c>
      <c r="R18" s="61">
        <f t="shared" si="14"/>
        <v>2140.7489999999998</v>
      </c>
      <c r="S18" s="62">
        <f t="shared" si="2"/>
        <v>90.63905299999999</v>
      </c>
      <c r="T18" s="63">
        <f t="shared" si="3"/>
        <v>172.937996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7">
        <v>3321.6</v>
      </c>
      <c r="AI18" s="71">
        <v>4.12</v>
      </c>
      <c r="AJ18" s="71">
        <v>8.08</v>
      </c>
      <c r="AK18" s="62">
        <f t="shared" si="8"/>
        <v>136.84992</v>
      </c>
      <c r="AL18" s="72">
        <f t="shared" si="9"/>
        <v>268.38527999999997</v>
      </c>
      <c r="AM18" s="73">
        <f t="shared" si="15"/>
        <v>4.8999999999978172E-2</v>
      </c>
      <c r="AN18" s="74">
        <f t="shared" si="10"/>
        <v>-0.15576699999999732</v>
      </c>
      <c r="AO18" s="74">
        <f t="shared" si="10"/>
        <v>0.20561600000007729</v>
      </c>
      <c r="AP18" s="75">
        <f t="shared" si="16"/>
        <v>1.8912496436698467E-4</v>
      </c>
      <c r="AQ18" s="76">
        <f t="shared" si="11"/>
        <v>-8.3899782633089899</v>
      </c>
      <c r="AR18" s="90">
        <f t="shared" si="12"/>
        <v>4.9000000000432919E-2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3321.6</v>
      </c>
      <c r="E19" s="62">
        <v>4.12</v>
      </c>
      <c r="F19" s="62">
        <v>8.08</v>
      </c>
      <c r="G19" s="62">
        <f t="shared" si="0"/>
        <v>136.84992</v>
      </c>
      <c r="H19" s="63">
        <f t="shared" si="1"/>
        <v>268.38527999999997</v>
      </c>
      <c r="I19" s="203">
        <v>1136.8999999999999</v>
      </c>
      <c r="J19" s="203">
        <v>1171.0069999999998</v>
      </c>
      <c r="K19" s="203">
        <v>3.8294660920045733</v>
      </c>
      <c r="L19" s="203">
        <v>8.037241621954438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4"/>
        <v>1171.0069999999998</v>
      </c>
      <c r="S19" s="62">
        <f t="shared" si="2"/>
        <v>44.843315999999987</v>
      </c>
      <c r="T19" s="63">
        <f t="shared" si="3"/>
        <v>94.116662000000005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4493</v>
      </c>
      <c r="AI19" s="71">
        <v>4.03</v>
      </c>
      <c r="AJ19" s="71">
        <v>8.0500000000000007</v>
      </c>
      <c r="AK19" s="62">
        <f t="shared" si="8"/>
        <v>181.06790000000001</v>
      </c>
      <c r="AL19" s="72">
        <f t="shared" si="9"/>
        <v>361.68650000000002</v>
      </c>
      <c r="AM19" s="73">
        <f t="shared" si="15"/>
        <v>-0.3930000000000291</v>
      </c>
      <c r="AN19" s="74">
        <f t="shared" si="10"/>
        <v>0.62533599999997591</v>
      </c>
      <c r="AO19" s="74">
        <f t="shared" si="10"/>
        <v>0.81544199999996181</v>
      </c>
      <c r="AP19" s="75">
        <f t="shared" si="16"/>
        <v>1.0368294675463593E-2</v>
      </c>
      <c r="AQ19" s="76">
        <f t="shared" si="11"/>
        <v>524.75962923997781</v>
      </c>
      <c r="AR19" s="90">
        <f t="shared" si="12"/>
        <v>-0.3930000000000291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4493</v>
      </c>
      <c r="E20" s="62">
        <v>4.03</v>
      </c>
      <c r="F20" s="62">
        <v>8.0500000000000007</v>
      </c>
      <c r="G20" s="62">
        <f t="shared" si="0"/>
        <v>181.06790000000001</v>
      </c>
      <c r="H20" s="63">
        <f t="shared" si="1"/>
        <v>361.68650000000002</v>
      </c>
      <c r="I20" s="203">
        <v>665.50000000000011</v>
      </c>
      <c r="J20" s="203">
        <v>685.46500000000015</v>
      </c>
      <c r="K20" s="203">
        <v>4.4711645379413953</v>
      </c>
      <c r="L20" s="203">
        <v>8.1383771600300499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4"/>
        <v>685.46500000000015</v>
      </c>
      <c r="S20" s="62">
        <f t="shared" si="2"/>
        <v>30.648267999999991</v>
      </c>
      <c r="T20" s="63">
        <f t="shared" si="3"/>
        <v>55.785726999999994</v>
      </c>
      <c r="U20" s="64" t="s">
        <v>171</v>
      </c>
      <c r="V20" s="65" t="s">
        <v>418</v>
      </c>
      <c r="W20" s="66" t="s">
        <v>208</v>
      </c>
      <c r="X20" s="67">
        <v>5300</v>
      </c>
      <c r="Y20" s="68">
        <v>4.16</v>
      </c>
      <c r="Z20" s="68">
        <v>8.07</v>
      </c>
      <c r="AA20" s="62">
        <f t="shared" si="4"/>
        <v>220.48</v>
      </c>
      <c r="AB20" s="63">
        <f t="shared" si="5"/>
        <v>427.71000000000004</v>
      </c>
      <c r="AC20" s="69">
        <v>5180</v>
      </c>
      <c r="AD20" s="70">
        <v>4.1081081081081088</v>
      </c>
      <c r="AE20" s="70">
        <v>8.0513513513513502</v>
      </c>
      <c r="AF20" s="62">
        <f t="shared" si="6"/>
        <v>212.8</v>
      </c>
      <c r="AG20" s="63">
        <f t="shared" si="7"/>
        <v>417.05999999999995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15"/>
        <v>-1.5349999999998545</v>
      </c>
      <c r="AN20" s="74">
        <f t="shared" ref="AN20:AO65" si="18">+G20+S20-AF20-AK20</f>
        <v>-1.083832000000001</v>
      </c>
      <c r="AO20" s="74">
        <f t="shared" si="18"/>
        <v>0.41222700000008672</v>
      </c>
      <c r="AP20" s="75">
        <f t="shared" si="16"/>
        <v>-7.7701487707459828E-3</v>
      </c>
      <c r="AQ20" s="76">
        <f t="shared" si="11"/>
        <v>-363.17447473997453</v>
      </c>
      <c r="AR20" s="90">
        <f t="shared" si="12"/>
        <v>-121.53499999999985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1069.1999999999998</v>
      </c>
      <c r="J21" s="203">
        <v>1101.2759999999998</v>
      </c>
      <c r="K21" s="203">
        <v>3.9614384586606799</v>
      </c>
      <c r="L21" s="203">
        <v>8.1050130939019827</v>
      </c>
      <c r="M21" s="58" t="s">
        <v>213</v>
      </c>
      <c r="N21" s="58" t="s">
        <v>415</v>
      </c>
      <c r="O21" s="59">
        <v>1486</v>
      </c>
      <c r="P21" s="56">
        <v>4</v>
      </c>
      <c r="Q21" s="60">
        <v>7.96</v>
      </c>
      <c r="R21" s="61">
        <f t="shared" si="14"/>
        <v>2587.2759999999998</v>
      </c>
      <c r="S21" s="62">
        <f t="shared" si="2"/>
        <v>103.06637099999998</v>
      </c>
      <c r="T21" s="63">
        <f t="shared" si="3"/>
        <v>207.54416399999999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2587.3000000000002</v>
      </c>
      <c r="AI21" s="66">
        <v>4</v>
      </c>
      <c r="AJ21" s="66">
        <v>8.1</v>
      </c>
      <c r="AK21" s="62">
        <f t="shared" si="8"/>
        <v>103.492</v>
      </c>
      <c r="AL21" s="72">
        <f t="shared" si="9"/>
        <v>209.57130000000001</v>
      </c>
      <c r="AM21" s="73">
        <f t="shared" si="15"/>
        <v>-2.400000000034197E-2</v>
      </c>
      <c r="AN21" s="74">
        <f t="shared" si="18"/>
        <v>-0.42562900000002912</v>
      </c>
      <c r="AO21" s="74">
        <f t="shared" si="18"/>
        <v>-2.0271360000000129</v>
      </c>
      <c r="AP21" s="75">
        <f t="shared" si="16"/>
        <v>-7.8965930759561723E-3</v>
      </c>
      <c r="AQ21" s="76">
        <f t="shared" si="11"/>
        <v>-797.73686223001698</v>
      </c>
      <c r="AR21" s="90">
        <f t="shared" si="12"/>
        <v>-2.400000000034197E-2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2587.3000000000002</v>
      </c>
      <c r="E22" s="62">
        <v>4</v>
      </c>
      <c r="F22" s="62">
        <v>8.1</v>
      </c>
      <c r="G22" s="62">
        <f t="shared" si="0"/>
        <v>103.492</v>
      </c>
      <c r="H22" s="63">
        <f t="shared" si="1"/>
        <v>209.57130000000001</v>
      </c>
      <c r="I22" s="203">
        <v>645.19999999999993</v>
      </c>
      <c r="J22" s="203">
        <v>664.55599999999993</v>
      </c>
      <c r="K22" s="203">
        <v>4.4261779293242398</v>
      </c>
      <c r="L22" s="203">
        <v>8.20482021078735</v>
      </c>
      <c r="M22" s="58">
        <v>0</v>
      </c>
      <c r="N22" s="58" t="s">
        <v>167</v>
      </c>
      <c r="O22" s="59">
        <v>0</v>
      </c>
      <c r="P22" s="56">
        <v>0</v>
      </c>
      <c r="Q22" s="60">
        <v>0</v>
      </c>
      <c r="R22" s="61">
        <f t="shared" si="14"/>
        <v>664.55599999999993</v>
      </c>
      <c r="S22" s="62">
        <f t="shared" si="2"/>
        <v>29.41443099999999</v>
      </c>
      <c r="T22" s="63">
        <f t="shared" si="3"/>
        <v>54.525624999999977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3252</v>
      </c>
      <c r="AI22" s="66">
        <v>4.08</v>
      </c>
      <c r="AJ22" s="66">
        <v>8.1199999999999992</v>
      </c>
      <c r="AK22" s="62">
        <f t="shared" si="8"/>
        <v>132.6816</v>
      </c>
      <c r="AL22" s="72">
        <f t="shared" si="9"/>
        <v>264.06239999999997</v>
      </c>
      <c r="AM22" s="73">
        <f t="shared" si="15"/>
        <v>-0.14399999999977808</v>
      </c>
      <c r="AN22" s="74">
        <f t="shared" si="18"/>
        <v>0.22483099999999467</v>
      </c>
      <c r="AO22" s="74">
        <f t="shared" si="18"/>
        <v>3.4525000000030559E-2</v>
      </c>
      <c r="AP22" s="75">
        <f t="shared" si="16"/>
        <v>3.0897763518292782E-3</v>
      </c>
      <c r="AQ22" s="76">
        <f t="shared" si="11"/>
        <v>111.2612960433401</v>
      </c>
      <c r="AR22" s="90">
        <f t="shared" si="12"/>
        <v>-0.14399999999977808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3252</v>
      </c>
      <c r="E23" s="62">
        <v>4.08</v>
      </c>
      <c r="F23" s="62">
        <v>8.1199999999999992</v>
      </c>
      <c r="G23" s="62">
        <f t="shared" si="0"/>
        <v>132.6816</v>
      </c>
      <c r="H23" s="63">
        <f t="shared" si="1"/>
        <v>264.06239999999997</v>
      </c>
      <c r="I23" s="203">
        <v>1089.8</v>
      </c>
      <c r="J23" s="203">
        <v>1122.4939999999999</v>
      </c>
      <c r="K23" s="203">
        <v>3.9713433657551844</v>
      </c>
      <c r="L23" s="203">
        <v>8.1115709304459536</v>
      </c>
      <c r="M23" s="58">
        <v>0</v>
      </c>
      <c r="N23" s="58" t="s">
        <v>167</v>
      </c>
      <c r="O23" s="59">
        <v>0</v>
      </c>
      <c r="P23" s="56">
        <v>0</v>
      </c>
      <c r="Q23" s="60">
        <v>0</v>
      </c>
      <c r="R23" s="61">
        <f t="shared" si="14"/>
        <v>1122.4939999999999</v>
      </c>
      <c r="S23" s="62">
        <f t="shared" si="2"/>
        <v>44.578091000000001</v>
      </c>
      <c r="T23" s="63">
        <f t="shared" si="3"/>
        <v>91.051896999999997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7">
        <v>4375</v>
      </c>
      <c r="AI23" s="66">
        <v>4.0599999999999996</v>
      </c>
      <c r="AJ23" s="84">
        <v>8.11</v>
      </c>
      <c r="AK23" s="62">
        <f t="shared" si="8"/>
        <v>177.625</v>
      </c>
      <c r="AL23" s="72">
        <f t="shared" si="9"/>
        <v>354.81249999999994</v>
      </c>
      <c r="AM23" s="73">
        <f t="shared" si="15"/>
        <v>-0.50600000000031287</v>
      </c>
      <c r="AN23" s="74">
        <f t="shared" si="18"/>
        <v>-0.36530899999999633</v>
      </c>
      <c r="AO23" s="74">
        <f t="shared" si="18"/>
        <v>0.30179700000002185</v>
      </c>
      <c r="AP23" s="75">
        <f t="shared" si="16"/>
        <v>-4.6827402211356442E-4</v>
      </c>
      <c r="AQ23" s="76">
        <f t="shared" si="11"/>
        <v>-73.671069009991797</v>
      </c>
      <c r="AR23" s="90">
        <f t="shared" si="12"/>
        <v>-0.50600000000031287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4375</v>
      </c>
      <c r="E24" s="62">
        <v>4.0599999999999996</v>
      </c>
      <c r="F24" s="62">
        <v>8.11</v>
      </c>
      <c r="G24" s="62">
        <f t="shared" si="0"/>
        <v>177.625</v>
      </c>
      <c r="H24" s="63">
        <f t="shared" si="1"/>
        <v>354.81249999999994</v>
      </c>
      <c r="I24" s="203">
        <v>705.99999999999989</v>
      </c>
      <c r="J24" s="203">
        <v>727.18</v>
      </c>
      <c r="K24" s="203">
        <v>4.3862464589235133</v>
      </c>
      <c r="L24" s="203">
        <v>8.2229886685552387</v>
      </c>
      <c r="M24" s="58" t="s">
        <v>213</v>
      </c>
      <c r="N24" s="58" t="s">
        <v>416</v>
      </c>
      <c r="O24" s="59">
        <v>1545</v>
      </c>
      <c r="P24" s="56">
        <v>4.2</v>
      </c>
      <c r="Q24" s="60">
        <v>7.85</v>
      </c>
      <c r="R24" s="61">
        <f t="shared" si="14"/>
        <v>2272.1799999999998</v>
      </c>
      <c r="S24" s="62">
        <f t="shared" si="2"/>
        <v>96.785907000000009</v>
      </c>
      <c r="T24" s="63">
        <f t="shared" si="3"/>
        <v>181.07842899999997</v>
      </c>
      <c r="U24" s="64" t="s">
        <v>171</v>
      </c>
      <c r="V24" s="65" t="s">
        <v>419</v>
      </c>
      <c r="W24" s="66" t="s">
        <v>217</v>
      </c>
      <c r="X24" s="67">
        <v>6200</v>
      </c>
      <c r="Y24" s="68">
        <v>4.25</v>
      </c>
      <c r="Z24" s="68">
        <v>8.2600000000000016</v>
      </c>
      <c r="AA24" s="62">
        <f t="shared" si="4"/>
        <v>263.5</v>
      </c>
      <c r="AB24" s="63">
        <f t="shared" si="5"/>
        <v>512.12000000000012</v>
      </c>
      <c r="AC24" s="69">
        <v>6170</v>
      </c>
      <c r="AD24" s="70">
        <v>4.1999189627228519</v>
      </c>
      <c r="AE24" s="70">
        <v>8.0300324149108597</v>
      </c>
      <c r="AF24" s="62">
        <f t="shared" si="6"/>
        <v>259.13499999999993</v>
      </c>
      <c r="AG24" s="63">
        <f t="shared" si="7"/>
        <v>495.45300000000003</v>
      </c>
      <c r="AH24" s="97">
        <v>448</v>
      </c>
      <c r="AI24" s="66">
        <v>4.13</v>
      </c>
      <c r="AJ24" s="66">
        <v>8.0500000000000007</v>
      </c>
      <c r="AK24" s="62">
        <f t="shared" si="8"/>
        <v>18.502399999999998</v>
      </c>
      <c r="AL24" s="72">
        <f t="shared" si="9"/>
        <v>36.064</v>
      </c>
      <c r="AM24" s="73">
        <f t="shared" si="15"/>
        <v>29.180000000000291</v>
      </c>
      <c r="AN24" s="74">
        <f t="shared" si="18"/>
        <v>-3.2264929999999232</v>
      </c>
      <c r="AO24" s="74">
        <f t="shared" si="18"/>
        <v>4.3739289999998832</v>
      </c>
      <c r="AP24" s="75">
        <f t="shared" si="16"/>
        <v>4.1294828135121303E-3</v>
      </c>
      <c r="AQ24" s="76">
        <f t="shared" si="11"/>
        <v>-139.40466103666722</v>
      </c>
      <c r="AR24" s="90">
        <f t="shared" si="12"/>
        <v>-0.81999999999970896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448</v>
      </c>
      <c r="E25" s="62">
        <v>4.13</v>
      </c>
      <c r="F25" s="62">
        <v>8.0500000000000007</v>
      </c>
      <c r="G25" s="62">
        <f t="shared" si="0"/>
        <v>18.502399999999998</v>
      </c>
      <c r="H25" s="63">
        <f t="shared" si="1"/>
        <v>36.064</v>
      </c>
      <c r="I25" s="203">
        <v>1070.9999999999998</v>
      </c>
      <c r="J25" s="203">
        <v>1103.1299999999999</v>
      </c>
      <c r="K25" s="203">
        <v>4.03716153127918</v>
      </c>
      <c r="L25" s="203">
        <v>8.1982072829131649</v>
      </c>
      <c r="M25" s="58">
        <v>0</v>
      </c>
      <c r="N25" s="58" t="s">
        <v>167</v>
      </c>
      <c r="O25" s="59">
        <v>0</v>
      </c>
      <c r="P25" s="56">
        <v>0</v>
      </c>
      <c r="Q25" s="60">
        <v>0</v>
      </c>
      <c r="R25" s="61">
        <f t="shared" si="14"/>
        <v>1103.1299999999999</v>
      </c>
      <c r="S25" s="62">
        <f t="shared" si="2"/>
        <v>44.535140000000013</v>
      </c>
      <c r="T25" s="63">
        <f t="shared" si="3"/>
        <v>90.436883999999992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1551</v>
      </c>
      <c r="AI25" s="66">
        <v>4.04</v>
      </c>
      <c r="AJ25" s="66">
        <v>8.15</v>
      </c>
      <c r="AK25" s="62">
        <f t="shared" si="8"/>
        <v>62.660399999999996</v>
      </c>
      <c r="AL25" s="72">
        <f t="shared" si="9"/>
        <v>126.40650000000001</v>
      </c>
      <c r="AM25" s="73">
        <f t="shared" si="15"/>
        <v>0.12999999999988177</v>
      </c>
      <c r="AN25" s="74">
        <f t="shared" si="18"/>
        <v>0.37714000000001136</v>
      </c>
      <c r="AO25" s="74">
        <f t="shared" si="18"/>
        <v>9.4383999999976709E-2</v>
      </c>
      <c r="AP25" s="75">
        <f t="shared" si="16"/>
        <v>3.4934943259055523E-3</v>
      </c>
      <c r="AQ25" s="76">
        <f t="shared" si="11"/>
        <v>197.54853169333146</v>
      </c>
      <c r="AR25" s="90">
        <f t="shared" si="12"/>
        <v>0.12999999999988177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>
        <v>1551</v>
      </c>
      <c r="E26" s="62">
        <v>4.04</v>
      </c>
      <c r="F26" s="62">
        <v>8.15</v>
      </c>
      <c r="G26" s="62">
        <f t="shared" si="0"/>
        <v>62.660399999999996</v>
      </c>
      <c r="H26" s="63">
        <f t="shared" si="1"/>
        <v>126.40650000000001</v>
      </c>
      <c r="I26" s="203">
        <v>657.29999999999984</v>
      </c>
      <c r="J26" s="203">
        <v>677.01899999999989</v>
      </c>
      <c r="K26" s="203">
        <v>4.3177088087631228</v>
      </c>
      <c r="L26" s="203">
        <v>8.1813935797961346</v>
      </c>
      <c r="M26" s="58" t="s">
        <v>213</v>
      </c>
      <c r="N26" s="58" t="s">
        <v>563</v>
      </c>
      <c r="O26" s="59">
        <v>1885</v>
      </c>
      <c r="P26" s="56">
        <v>4.2</v>
      </c>
      <c r="Q26" s="60">
        <v>8</v>
      </c>
      <c r="R26" s="61">
        <f t="shared" si="14"/>
        <v>2562.0189999999998</v>
      </c>
      <c r="S26" s="62">
        <f t="shared" si="2"/>
        <v>108.40170900000001</v>
      </c>
      <c r="T26" s="63">
        <f t="shared" si="3"/>
        <v>206.18958899999998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97">
        <v>4113</v>
      </c>
      <c r="AI26" s="66">
        <v>4.1500000000000004</v>
      </c>
      <c r="AJ26" s="66">
        <v>8.09</v>
      </c>
      <c r="AK26" s="62">
        <f t="shared" si="8"/>
        <v>170.68950000000001</v>
      </c>
      <c r="AL26" s="72">
        <f t="shared" si="9"/>
        <v>332.74169999999998</v>
      </c>
      <c r="AM26" s="73">
        <f t="shared" si="15"/>
        <v>1.9000000000232831E-2</v>
      </c>
      <c r="AN26" s="74">
        <f t="shared" si="18"/>
        <v>0.37260900000001129</v>
      </c>
      <c r="AO26" s="74">
        <f t="shared" si="18"/>
        <v>-0.14561099999997396</v>
      </c>
      <c r="AP26" s="75">
        <f t="shared" si="16"/>
        <v>7.2156477767556474E-4</v>
      </c>
      <c r="AQ26" s="76">
        <f t="shared" si="11"/>
        <v>123.69041685001287</v>
      </c>
      <c r="AR26" s="90">
        <f t="shared" si="12"/>
        <v>1.9000000000232831E-2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>
        <v>4113</v>
      </c>
      <c r="E27" s="62">
        <v>4.1500000000000004</v>
      </c>
      <c r="F27" s="62">
        <v>8.09</v>
      </c>
      <c r="G27" s="62">
        <f t="shared" si="0"/>
        <v>170.68950000000001</v>
      </c>
      <c r="H27" s="63">
        <f t="shared" si="1"/>
        <v>332.74169999999998</v>
      </c>
      <c r="I27" s="203">
        <v>1117.4000000000001</v>
      </c>
      <c r="J27" s="203">
        <v>1150.922</v>
      </c>
      <c r="K27" s="203">
        <v>3.9717021657419007</v>
      </c>
      <c r="L27" s="203">
        <v>8.1440934311795257</v>
      </c>
      <c r="M27" s="58">
        <v>0</v>
      </c>
      <c r="N27" s="58" t="s">
        <v>167</v>
      </c>
      <c r="O27" s="59">
        <v>0</v>
      </c>
      <c r="P27" s="56">
        <v>0</v>
      </c>
      <c r="Q27" s="60">
        <v>0</v>
      </c>
      <c r="R27" s="61">
        <f t="shared" si="14"/>
        <v>1150.922</v>
      </c>
      <c r="S27" s="62">
        <f t="shared" si="2"/>
        <v>45.711193999999999</v>
      </c>
      <c r="T27" s="63">
        <f t="shared" si="3"/>
        <v>93.732163000000028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>
        <v>5264</v>
      </c>
      <c r="AI27" s="66">
        <v>4.1100000000000003</v>
      </c>
      <c r="AJ27" s="66">
        <v>8.09</v>
      </c>
      <c r="AK27" s="62">
        <f t="shared" si="8"/>
        <v>216.35040000000004</v>
      </c>
      <c r="AL27" s="72">
        <f t="shared" si="9"/>
        <v>425.85759999999999</v>
      </c>
      <c r="AM27" s="73">
        <f t="shared" si="15"/>
        <v>-7.7999999999519787E-2</v>
      </c>
      <c r="AN27" s="74">
        <f t="shared" si="18"/>
        <v>5.0293999999979633E-2</v>
      </c>
      <c r="AO27" s="74">
        <f t="shared" si="18"/>
        <v>0.61626300000000356</v>
      </c>
      <c r="AP27" s="75">
        <f t="shared" si="16"/>
        <v>4.7801273172158581E-3</v>
      </c>
      <c r="AQ27" s="76">
        <f t="shared" si="11"/>
        <v>207.00856175999195</v>
      </c>
      <c r="AR27" s="90">
        <f t="shared" si="12"/>
        <v>-7.7999999999519787E-2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>
        <v>5264</v>
      </c>
      <c r="E28" s="62">
        <v>4.1100000000000003</v>
      </c>
      <c r="F28" s="62">
        <v>8.09</v>
      </c>
      <c r="G28" s="62">
        <f t="shared" si="0"/>
        <v>216.35040000000004</v>
      </c>
      <c r="H28" s="63">
        <f t="shared" si="1"/>
        <v>425.85759999999999</v>
      </c>
      <c r="I28" s="203">
        <v>743.2</v>
      </c>
      <c r="J28" s="203">
        <v>765.49600000000009</v>
      </c>
      <c r="K28" s="203">
        <v>4.6346071044133481</v>
      </c>
      <c r="L28" s="203">
        <v>8.3833019375672748</v>
      </c>
      <c r="M28" s="58">
        <v>0</v>
      </c>
      <c r="N28" s="58" t="s">
        <v>167</v>
      </c>
      <c r="O28" s="59">
        <v>0</v>
      </c>
      <c r="P28" s="56">
        <v>0</v>
      </c>
      <c r="Q28" s="60">
        <v>0</v>
      </c>
      <c r="R28" s="61">
        <f t="shared" si="14"/>
        <v>765.49600000000009</v>
      </c>
      <c r="S28" s="62">
        <f t="shared" si="2"/>
        <v>35.47773200000001</v>
      </c>
      <c r="T28" s="63">
        <f t="shared" si="3"/>
        <v>64.173840999999996</v>
      </c>
      <c r="U28" s="64" t="s">
        <v>172</v>
      </c>
      <c r="V28" s="65" t="s">
        <v>570</v>
      </c>
      <c r="W28" s="66" t="s">
        <v>217</v>
      </c>
      <c r="X28" s="67">
        <v>6280</v>
      </c>
      <c r="Y28" s="68">
        <v>4.25</v>
      </c>
      <c r="Z28" s="68">
        <v>8.16</v>
      </c>
      <c r="AA28" s="62">
        <f t="shared" si="4"/>
        <v>266.90000000000003</v>
      </c>
      <c r="AB28" s="63">
        <f t="shared" si="5"/>
        <v>512.44800000000009</v>
      </c>
      <c r="AC28" s="69">
        <v>6260</v>
      </c>
      <c r="AD28" s="70">
        <v>4.2001597444089462</v>
      </c>
      <c r="AE28" s="70">
        <v>8.0050159744408944</v>
      </c>
      <c r="AF28" s="62">
        <f t="shared" si="6"/>
        <v>262.93</v>
      </c>
      <c r="AG28" s="63">
        <f t="shared" si="7"/>
        <v>501.11400000000003</v>
      </c>
      <c r="AH28" s="97">
        <v>0</v>
      </c>
      <c r="AI28" s="66">
        <v>0</v>
      </c>
      <c r="AJ28" s="66">
        <v>0</v>
      </c>
      <c r="AK28" s="62">
        <f t="shared" si="8"/>
        <v>0</v>
      </c>
      <c r="AL28" s="72">
        <f t="shared" si="9"/>
        <v>0</v>
      </c>
      <c r="AM28" s="73">
        <f t="shared" si="15"/>
        <v>-230.50399999999991</v>
      </c>
      <c r="AN28" s="74">
        <f t="shared" si="18"/>
        <v>-11.101867999999968</v>
      </c>
      <c r="AO28" s="74">
        <f t="shared" si="18"/>
        <v>-11.08255900000006</v>
      </c>
      <c r="AP28" s="75">
        <f t="shared" si="16"/>
        <v>-0.22261993797127541</v>
      </c>
      <c r="AQ28" s="76">
        <f t="shared" si="11"/>
        <v>-8300.4539376733374</v>
      </c>
      <c r="AR28" s="90">
        <f t="shared" si="12"/>
        <v>-250.50399999999991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>
        <v>0</v>
      </c>
      <c r="E29" s="62">
        <v>0</v>
      </c>
      <c r="F29" s="62">
        <v>0</v>
      </c>
      <c r="G29" s="62">
        <f t="shared" si="0"/>
        <v>0</v>
      </c>
      <c r="H29" s="63">
        <f t="shared" si="1"/>
        <v>0</v>
      </c>
      <c r="I29" s="203">
        <v>1163.8999999999999</v>
      </c>
      <c r="J29" s="203">
        <v>1198.8169999999998</v>
      </c>
      <c r="K29" s="203">
        <v>3.9899218145888824</v>
      </c>
      <c r="L29" s="203">
        <v>8.1846120800756079</v>
      </c>
      <c r="M29" s="58" t="s">
        <v>213</v>
      </c>
      <c r="N29" s="58" t="s">
        <v>564</v>
      </c>
      <c r="O29" s="59">
        <v>1360</v>
      </c>
      <c r="P29" s="56">
        <v>4.2</v>
      </c>
      <c r="Q29" s="60">
        <v>8</v>
      </c>
      <c r="R29" s="61">
        <f t="shared" si="14"/>
        <v>2558.817</v>
      </c>
      <c r="S29" s="62">
        <f t="shared" si="2"/>
        <v>104.95186099999999</v>
      </c>
      <c r="T29" s="63">
        <f t="shared" si="3"/>
        <v>206.918521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>
        <v>2559</v>
      </c>
      <c r="AI29" s="66">
        <v>4.0999999999999996</v>
      </c>
      <c r="AJ29" s="66">
        <v>8.09</v>
      </c>
      <c r="AK29" s="62">
        <f t="shared" si="8"/>
        <v>104.91899999999998</v>
      </c>
      <c r="AL29" s="72">
        <f t="shared" si="9"/>
        <v>207.0231</v>
      </c>
      <c r="AM29" s="73">
        <f t="shared" si="15"/>
        <v>-0.18299999999999272</v>
      </c>
      <c r="AN29" s="74">
        <f t="shared" si="18"/>
        <v>3.2861000000011131E-2</v>
      </c>
      <c r="AO29" s="74">
        <f t="shared" si="18"/>
        <v>-0.10457900000000109</v>
      </c>
      <c r="AP29" s="75">
        <f t="shared" si="16"/>
        <v>-2.2996092011068225E-4</v>
      </c>
      <c r="AQ29" s="76">
        <f t="shared" si="11"/>
        <v>-16.546074416661998</v>
      </c>
      <c r="AR29" s="90">
        <f t="shared" si="12"/>
        <v>-0.18299999999999272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>
        <v>2559</v>
      </c>
      <c r="E30" s="62">
        <v>4.0999999999999996</v>
      </c>
      <c r="F30" s="62">
        <v>8.09</v>
      </c>
      <c r="G30" s="62">
        <f t="shared" si="0"/>
        <v>104.91899999999998</v>
      </c>
      <c r="H30" s="63">
        <f t="shared" si="1"/>
        <v>207.0231</v>
      </c>
      <c r="I30" s="203">
        <v>748.1</v>
      </c>
      <c r="J30" s="203">
        <v>770.54300000000001</v>
      </c>
      <c r="K30" s="203">
        <v>4.6113353829701937</v>
      </c>
      <c r="L30" s="203">
        <v>8.3264937842534437</v>
      </c>
      <c r="M30" s="58" t="s">
        <v>213</v>
      </c>
      <c r="N30" s="58" t="s">
        <v>565</v>
      </c>
      <c r="O30" s="59">
        <v>1278</v>
      </c>
      <c r="P30" s="56">
        <v>4.3</v>
      </c>
      <c r="Q30" s="60">
        <v>8.02</v>
      </c>
      <c r="R30" s="61">
        <f t="shared" si="14"/>
        <v>2048.5430000000001</v>
      </c>
      <c r="S30" s="62">
        <f t="shared" si="2"/>
        <v>90.486322000000001</v>
      </c>
      <c r="T30" s="63">
        <f t="shared" si="3"/>
        <v>166.65481500000001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97">
        <v>4607</v>
      </c>
      <c r="AI30" s="66">
        <v>4.2300000000000004</v>
      </c>
      <c r="AJ30" s="66">
        <v>8.1</v>
      </c>
      <c r="AK30" s="62">
        <f t="shared" si="8"/>
        <v>194.87610000000001</v>
      </c>
      <c r="AL30" s="72">
        <f t="shared" si="9"/>
        <v>373.16700000000003</v>
      </c>
      <c r="AM30" s="73">
        <f t="shared" si="15"/>
        <v>0.54299999999966531</v>
      </c>
      <c r="AN30" s="74">
        <f t="shared" si="18"/>
        <v>0.52922199999997588</v>
      </c>
      <c r="AO30" s="74">
        <f t="shared" si="18"/>
        <v>0.51091499999995449</v>
      </c>
      <c r="AP30" s="75">
        <f t="shared" si="16"/>
        <v>4.0450042810533668E-3</v>
      </c>
      <c r="AQ30" s="76">
        <f t="shared" si="11"/>
        <v>390.47628311997562</v>
      </c>
      <c r="AR30" s="90">
        <f t="shared" si="12"/>
        <v>0.54299999999966531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>
        <v>4607</v>
      </c>
      <c r="E31" s="62">
        <v>4.2300000000000004</v>
      </c>
      <c r="F31" s="62">
        <v>8.1</v>
      </c>
      <c r="G31" s="62">
        <f t="shared" si="0"/>
        <v>194.87610000000001</v>
      </c>
      <c r="H31" s="63">
        <f t="shared" si="1"/>
        <v>373.16700000000003</v>
      </c>
      <c r="I31" s="203">
        <v>1167.9999999999998</v>
      </c>
      <c r="J31" s="203">
        <v>1203.0399999999997</v>
      </c>
      <c r="K31" s="203">
        <v>3.9201284246575341</v>
      </c>
      <c r="L31" s="203">
        <v>8.0747773972602737</v>
      </c>
      <c r="M31" s="58">
        <v>0</v>
      </c>
      <c r="N31" s="58" t="s">
        <v>167</v>
      </c>
      <c r="O31" s="59">
        <v>0</v>
      </c>
      <c r="P31" s="56">
        <v>0</v>
      </c>
      <c r="Q31" s="60">
        <v>0</v>
      </c>
      <c r="R31" s="61">
        <f t="shared" si="14"/>
        <v>1203.0399999999997</v>
      </c>
      <c r="S31" s="62">
        <f t="shared" si="2"/>
        <v>47.160712999999987</v>
      </c>
      <c r="T31" s="63">
        <f t="shared" si="3"/>
        <v>97.142801999999989</v>
      </c>
      <c r="U31" s="64" t="s">
        <v>187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>
        <v>5810</v>
      </c>
      <c r="AI31" s="66">
        <v>4.16</v>
      </c>
      <c r="AJ31" s="66">
        <v>8.1</v>
      </c>
      <c r="AK31" s="62">
        <f t="shared" si="8"/>
        <v>241.696</v>
      </c>
      <c r="AL31" s="72">
        <f t="shared" si="9"/>
        <v>470.61</v>
      </c>
      <c r="AM31" s="73">
        <f t="shared" si="15"/>
        <v>3.999999999996362E-2</v>
      </c>
      <c r="AN31" s="74">
        <f t="shared" si="18"/>
        <v>0.34081299999999715</v>
      </c>
      <c r="AO31" s="74">
        <f t="shared" si="18"/>
        <v>-0.30019800000002306</v>
      </c>
      <c r="AP31" s="75">
        <f t="shared" si="16"/>
        <v>2.8145537549777698E-4</v>
      </c>
      <c r="AQ31" s="76">
        <f t="shared" si="11"/>
        <v>63.153107709991801</v>
      </c>
      <c r="AR31" s="90">
        <f t="shared" si="12"/>
        <v>3.999999999996362E-2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>
        <v>5810</v>
      </c>
      <c r="E32" s="62">
        <v>4.16</v>
      </c>
      <c r="F32" s="62">
        <v>8.1</v>
      </c>
      <c r="G32" s="62">
        <f t="shared" si="0"/>
        <v>241.696</v>
      </c>
      <c r="H32" s="63">
        <f t="shared" si="1"/>
        <v>470.61</v>
      </c>
      <c r="I32" s="203">
        <v>626.39999999999986</v>
      </c>
      <c r="J32" s="203">
        <v>645.19199999999989</v>
      </c>
      <c r="K32" s="203">
        <v>4.2917624521072799</v>
      </c>
      <c r="L32" s="203">
        <v>8.1363825031928485</v>
      </c>
      <c r="M32" s="58">
        <v>0</v>
      </c>
      <c r="N32" s="58" t="s">
        <v>167</v>
      </c>
      <c r="O32" s="59">
        <v>0</v>
      </c>
      <c r="P32" s="56">
        <v>0</v>
      </c>
      <c r="Q32" s="60">
        <v>0</v>
      </c>
      <c r="R32" s="61">
        <f t="shared" si="14"/>
        <v>645.19199999999989</v>
      </c>
      <c r="S32" s="62">
        <f t="shared" si="2"/>
        <v>27.690107999999995</v>
      </c>
      <c r="T32" s="63">
        <f t="shared" si="3"/>
        <v>52.495289</v>
      </c>
      <c r="U32" s="64" t="s">
        <v>175</v>
      </c>
      <c r="V32" s="85" t="s">
        <v>571</v>
      </c>
      <c r="W32" s="66" t="s">
        <v>217</v>
      </c>
      <c r="X32" s="67">
        <v>6450</v>
      </c>
      <c r="Y32" s="68">
        <v>4.3099999999999996</v>
      </c>
      <c r="Z32" s="68">
        <v>8.17</v>
      </c>
      <c r="AA32" s="62">
        <f t="shared" si="4"/>
        <v>277.995</v>
      </c>
      <c r="AB32" s="63">
        <f t="shared" si="5"/>
        <v>526.96499999999992</v>
      </c>
      <c r="AC32" s="69">
        <v>6380</v>
      </c>
      <c r="AD32" s="70">
        <v>4.2587774294670844</v>
      </c>
      <c r="AE32" s="70">
        <v>8.1098275862068974</v>
      </c>
      <c r="AF32" s="62">
        <f t="shared" si="6"/>
        <v>271.70999999999998</v>
      </c>
      <c r="AG32" s="63">
        <f t="shared" si="7"/>
        <v>517.40700000000004</v>
      </c>
      <c r="AH32" s="97">
        <v>0</v>
      </c>
      <c r="AI32" s="66">
        <v>0</v>
      </c>
      <c r="AJ32" s="66">
        <v>0</v>
      </c>
      <c r="AK32" s="62">
        <f t="shared" si="8"/>
        <v>0</v>
      </c>
      <c r="AL32" s="72">
        <f t="shared" si="9"/>
        <v>0</v>
      </c>
      <c r="AM32" s="73">
        <f t="shared" si="15"/>
        <v>75.192000000000007</v>
      </c>
      <c r="AN32" s="74">
        <f t="shared" si="18"/>
        <v>-2.3238920000000007</v>
      </c>
      <c r="AO32" s="74">
        <f t="shared" si="18"/>
        <v>5.6982889999999315</v>
      </c>
      <c r="AP32" s="75">
        <f t="shared" si="16"/>
        <v>4.2082438027960765E-2</v>
      </c>
      <c r="AQ32" s="76">
        <f t="shared" si="11"/>
        <v>662.12758560664611</v>
      </c>
      <c r="AR32" s="90">
        <f t="shared" si="12"/>
        <v>5.1920000000000073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>
        <v>0</v>
      </c>
      <c r="E33" s="62">
        <v>0</v>
      </c>
      <c r="F33" s="62">
        <v>0</v>
      </c>
      <c r="G33" s="62">
        <f t="shared" si="0"/>
        <v>0</v>
      </c>
      <c r="H33" s="63">
        <f t="shared" si="1"/>
        <v>0</v>
      </c>
      <c r="I33" s="203">
        <v>1086.8000000000004</v>
      </c>
      <c r="J33" s="203">
        <v>1119.4040000000005</v>
      </c>
      <c r="K33" s="203">
        <v>3.7915807876334182</v>
      </c>
      <c r="L33" s="203">
        <v>7.9971383879278601</v>
      </c>
      <c r="M33" s="58" t="s">
        <v>213</v>
      </c>
      <c r="N33" s="58" t="s">
        <v>566</v>
      </c>
      <c r="O33" s="59">
        <v>1044</v>
      </c>
      <c r="P33" s="56">
        <v>4.2</v>
      </c>
      <c r="Q33" s="60">
        <v>8</v>
      </c>
      <c r="R33" s="61">
        <f t="shared" si="14"/>
        <v>2163.4040000000005</v>
      </c>
      <c r="S33" s="62">
        <f t="shared" si="2"/>
        <v>86.291107000000011</v>
      </c>
      <c r="T33" s="63">
        <f t="shared" si="3"/>
        <v>173.04028700000003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>
        <v>2163</v>
      </c>
      <c r="AI33" s="66">
        <v>3.99</v>
      </c>
      <c r="AJ33" s="66">
        <v>8</v>
      </c>
      <c r="AK33" s="62">
        <f t="shared" si="8"/>
        <v>86.303700000000006</v>
      </c>
      <c r="AL33" s="72">
        <f t="shared" si="9"/>
        <v>173.04</v>
      </c>
      <c r="AM33" s="73">
        <f t="shared" si="15"/>
        <v>0.40400000000045111</v>
      </c>
      <c r="AN33" s="74">
        <f t="shared" si="18"/>
        <v>-1.2592999999995413E-2</v>
      </c>
      <c r="AO33" s="74">
        <f t="shared" si="18"/>
        <v>2.8700000004278081E-4</v>
      </c>
      <c r="AP33" s="75">
        <f t="shared" si="16"/>
        <v>-4.7452797018291703E-5</v>
      </c>
      <c r="AQ33" s="76">
        <f t="shared" si="11"/>
        <v>-5.5672321833184721</v>
      </c>
      <c r="AR33" s="90">
        <f t="shared" si="12"/>
        <v>0.40400000000045111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>
        <v>2163</v>
      </c>
      <c r="E34" s="62">
        <v>3.99</v>
      </c>
      <c r="F34" s="62">
        <v>8</v>
      </c>
      <c r="G34" s="62">
        <f t="shared" si="0"/>
        <v>86.303700000000006</v>
      </c>
      <c r="H34" s="63">
        <f t="shared" si="1"/>
        <v>173.04</v>
      </c>
      <c r="I34" s="203">
        <v>685.79999999999984</v>
      </c>
      <c r="J34" s="203">
        <v>706.37399999999991</v>
      </c>
      <c r="K34" s="203">
        <v>4.640361621463982</v>
      </c>
      <c r="L34" s="203">
        <v>8.2513706620005838</v>
      </c>
      <c r="M34" s="58" t="s">
        <v>213</v>
      </c>
      <c r="N34" s="58" t="s">
        <v>567</v>
      </c>
      <c r="O34" s="59">
        <v>1627</v>
      </c>
      <c r="P34" s="56">
        <v>4.4000000000000004</v>
      </c>
      <c r="Q34" s="60">
        <v>8.0399999999999991</v>
      </c>
      <c r="R34" s="61">
        <f t="shared" si="14"/>
        <v>2333.3739999999998</v>
      </c>
      <c r="S34" s="62">
        <f t="shared" si="2"/>
        <v>104.366308</v>
      </c>
      <c r="T34" s="63">
        <f t="shared" si="3"/>
        <v>189.09633699999998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7">
        <v>4496</v>
      </c>
      <c r="AI34" s="66">
        <v>4.2300000000000004</v>
      </c>
      <c r="AJ34" s="66">
        <v>8.06</v>
      </c>
      <c r="AK34" s="62">
        <f t="shared" si="8"/>
        <v>190.18080000000003</v>
      </c>
      <c r="AL34" s="72">
        <f t="shared" si="9"/>
        <v>362.37760000000003</v>
      </c>
      <c r="AM34" s="73">
        <f t="shared" si="15"/>
        <v>0.37399999999979627</v>
      </c>
      <c r="AN34" s="74">
        <f t="shared" si="18"/>
        <v>0.48920799999996234</v>
      </c>
      <c r="AO34" s="74">
        <f t="shared" si="18"/>
        <v>-0.2412630000000604</v>
      </c>
      <c r="AP34" s="75">
        <f t="shared" si="16"/>
        <v>8.4489458615730109E-4</v>
      </c>
      <c r="AQ34" s="76">
        <f t="shared" si="11"/>
        <v>147.40678105996503</v>
      </c>
      <c r="AR34" s="77">
        <f>(D34+J34+O34)-(X34+AH34)</f>
        <v>0.37399999999979627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>
        <v>4496</v>
      </c>
      <c r="E35" s="62">
        <v>4.2300000000000004</v>
      </c>
      <c r="F35" s="62">
        <v>8.06</v>
      </c>
      <c r="G35" s="62">
        <f t="shared" si="0"/>
        <v>190.18080000000003</v>
      </c>
      <c r="H35" s="63">
        <f t="shared" si="1"/>
        <v>362.37760000000003</v>
      </c>
      <c r="I35" s="203">
        <v>1094.1999999999994</v>
      </c>
      <c r="J35" s="203">
        <v>1127.0259999999994</v>
      </c>
      <c r="K35" s="203">
        <v>3.8216139645403047</v>
      </c>
      <c r="L35" s="203">
        <v>7.9747852312191574</v>
      </c>
      <c r="M35" s="58">
        <v>0</v>
      </c>
      <c r="N35" s="58" t="s">
        <v>167</v>
      </c>
      <c r="O35" s="59">
        <v>0</v>
      </c>
      <c r="P35" s="56">
        <v>0</v>
      </c>
      <c r="Q35" s="60">
        <v>0</v>
      </c>
      <c r="R35" s="61">
        <f t="shared" si="14"/>
        <v>1127.0259999999994</v>
      </c>
      <c r="S35" s="62">
        <f t="shared" si="2"/>
        <v>43.070582999999992</v>
      </c>
      <c r="T35" s="63">
        <f t="shared" si="3"/>
        <v>89.877902999999975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>
        <v>5623</v>
      </c>
      <c r="AI35" s="66">
        <v>4.1399999999999997</v>
      </c>
      <c r="AJ35" s="66">
        <v>8.0500000000000007</v>
      </c>
      <c r="AK35" s="62">
        <f t="shared" si="8"/>
        <v>232.79220000000001</v>
      </c>
      <c r="AL35" s="72">
        <f t="shared" si="9"/>
        <v>452.6515</v>
      </c>
      <c r="AM35" s="73">
        <f t="shared" si="15"/>
        <v>2.5999999999839929E-2</v>
      </c>
      <c r="AN35" s="74">
        <f t="shared" si="18"/>
        <v>0.45918300000002432</v>
      </c>
      <c r="AO35" s="74">
        <f t="shared" si="18"/>
        <v>-0.39599700000002258</v>
      </c>
      <c r="AP35" s="75">
        <f t="shared" si="16"/>
        <v>4.7526678867183E-4</v>
      </c>
      <c r="AQ35" s="76">
        <f t="shared" si="11"/>
        <v>87.620498350004141</v>
      </c>
      <c r="AR35" s="77">
        <f t="shared" si="12"/>
        <v>2.5999999999839929E-2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>
        <v>5623</v>
      </c>
      <c r="E36" s="62">
        <v>4.1399999999999997</v>
      </c>
      <c r="F36" s="62">
        <v>8.0500000000000007</v>
      </c>
      <c r="G36" s="62">
        <f t="shared" si="0"/>
        <v>232.79220000000001</v>
      </c>
      <c r="H36" s="63">
        <f t="shared" si="1"/>
        <v>452.6515</v>
      </c>
      <c r="I36" s="203">
        <v>615.9000000000002</v>
      </c>
      <c r="J36" s="203">
        <v>634.37700000000018</v>
      </c>
      <c r="K36" s="203">
        <v>4.6616820912485784</v>
      </c>
      <c r="L36" s="203">
        <v>8.1967689559993495</v>
      </c>
      <c r="M36" s="58">
        <v>0</v>
      </c>
      <c r="N36" s="58" t="s">
        <v>167</v>
      </c>
      <c r="O36" s="59">
        <v>0</v>
      </c>
      <c r="P36" s="56">
        <v>0</v>
      </c>
      <c r="Q36" s="60">
        <v>0</v>
      </c>
      <c r="R36" s="61">
        <f t="shared" si="14"/>
        <v>634.37700000000018</v>
      </c>
      <c r="S36" s="62">
        <f t="shared" si="2"/>
        <v>29.572639000000002</v>
      </c>
      <c r="T36" s="63">
        <f t="shared" si="3"/>
        <v>51.998417000000003</v>
      </c>
      <c r="U36" s="64" t="s">
        <v>175</v>
      </c>
      <c r="V36" s="65" t="s">
        <v>572</v>
      </c>
      <c r="W36" s="66" t="s">
        <v>208</v>
      </c>
      <c r="X36" s="67">
        <v>6370</v>
      </c>
      <c r="Y36" s="68">
        <v>4.22</v>
      </c>
      <c r="Z36" s="68">
        <v>8.26</v>
      </c>
      <c r="AA36" s="62">
        <f t="shared" si="4"/>
        <v>268.81399999999996</v>
      </c>
      <c r="AB36" s="63">
        <f t="shared" si="5"/>
        <v>526.16199999999992</v>
      </c>
      <c r="AC36" s="226">
        <v>6370</v>
      </c>
      <c r="AD36" s="227">
        <v>4.22</v>
      </c>
      <c r="AE36" s="227">
        <v>8.26</v>
      </c>
      <c r="AF36" s="62">
        <f t="shared" si="6"/>
        <v>268.81399999999996</v>
      </c>
      <c r="AG36" s="63">
        <f t="shared" si="7"/>
        <v>526.16199999999992</v>
      </c>
      <c r="AH36" s="97">
        <v>0</v>
      </c>
      <c r="AI36" s="66">
        <v>0</v>
      </c>
      <c r="AJ36" s="66">
        <v>0</v>
      </c>
      <c r="AK36" s="62">
        <f t="shared" si="8"/>
        <v>0</v>
      </c>
      <c r="AL36" s="72">
        <f t="shared" si="9"/>
        <v>0</v>
      </c>
      <c r="AM36" s="73">
        <f t="shared" si="15"/>
        <v>-112.62299999999959</v>
      </c>
      <c r="AN36" s="74">
        <f t="shared" si="18"/>
        <v>-6.4491609999999469</v>
      </c>
      <c r="AO36" s="74">
        <f t="shared" si="18"/>
        <v>-21.512082999999905</v>
      </c>
      <c r="AP36" s="75">
        <f t="shared" si="16"/>
        <v>-0.34278389138421661</v>
      </c>
      <c r="AQ36" s="76">
        <f t="shared" si="11"/>
        <v>-9333.0856508632824</v>
      </c>
      <c r="AR36" s="90">
        <f t="shared" si="12"/>
        <v>-112.62299999999959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>
        <v>0</v>
      </c>
      <c r="E37" s="62">
        <v>0</v>
      </c>
      <c r="F37" s="62">
        <v>0</v>
      </c>
      <c r="G37" s="62">
        <f t="shared" si="0"/>
        <v>0</v>
      </c>
      <c r="H37" s="63">
        <f t="shared" si="1"/>
        <v>0</v>
      </c>
      <c r="I37" s="203">
        <v>1146.0999999999999</v>
      </c>
      <c r="J37" s="203">
        <v>1180.4829999999999</v>
      </c>
      <c r="K37" s="203">
        <v>4.1565221184887893</v>
      </c>
      <c r="L37" s="203">
        <v>8.0035249978186886</v>
      </c>
      <c r="M37" s="58" t="s">
        <v>213</v>
      </c>
      <c r="N37" s="58" t="s">
        <v>568</v>
      </c>
      <c r="O37" s="59">
        <v>878</v>
      </c>
      <c r="P37" s="56">
        <v>4.3</v>
      </c>
      <c r="Q37" s="60">
        <v>8.02</v>
      </c>
      <c r="R37" s="61">
        <f t="shared" si="14"/>
        <v>2058.4830000000002</v>
      </c>
      <c r="S37" s="62">
        <f t="shared" si="2"/>
        <v>86.821037000000018</v>
      </c>
      <c r="T37" s="63">
        <f t="shared" si="3"/>
        <v>164.89585199999999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>
        <v>2058</v>
      </c>
      <c r="AI37" s="66">
        <v>4.24</v>
      </c>
      <c r="AJ37" s="66">
        <v>8</v>
      </c>
      <c r="AK37" s="62">
        <f t="shared" si="8"/>
        <v>87.259200000000007</v>
      </c>
      <c r="AL37" s="72">
        <f t="shared" si="9"/>
        <v>164.64000000000001</v>
      </c>
      <c r="AM37" s="73">
        <f t="shared" si="15"/>
        <v>0.48300000000017462</v>
      </c>
      <c r="AN37" s="74">
        <f t="shared" si="18"/>
        <v>-0.43816299999998876</v>
      </c>
      <c r="AO37" s="74">
        <f t="shared" si="18"/>
        <v>0.25585199999997599</v>
      </c>
      <c r="AP37" s="75">
        <f t="shared" si="16"/>
        <v>-7.242700349757332E-4</v>
      </c>
      <c r="AQ37" s="76">
        <f t="shared" si="11"/>
        <v>-120.12607145000216</v>
      </c>
      <c r="AR37" s="90">
        <f t="shared" si="12"/>
        <v>0.48300000000017462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>
        <v>2058</v>
      </c>
      <c r="E38" s="62">
        <v>4.24</v>
      </c>
      <c r="F38" s="62">
        <v>8</v>
      </c>
      <c r="G38" s="62">
        <f t="shared" si="0"/>
        <v>87.259200000000007</v>
      </c>
      <c r="H38" s="63">
        <f t="shared" si="1"/>
        <v>164.64000000000001</v>
      </c>
      <c r="I38" s="203">
        <v>499.90000000000003</v>
      </c>
      <c r="J38" s="203">
        <v>514.89700000000005</v>
      </c>
      <c r="K38" s="203">
        <v>4.5618323664732934</v>
      </c>
      <c r="L38" s="203">
        <v>8.1650330066013215</v>
      </c>
      <c r="M38" s="58" t="s">
        <v>213</v>
      </c>
      <c r="N38" s="58" t="s">
        <v>569</v>
      </c>
      <c r="O38" s="59">
        <v>1380</v>
      </c>
      <c r="P38" s="56">
        <v>4.3</v>
      </c>
      <c r="Q38" s="60">
        <v>8.02</v>
      </c>
      <c r="R38" s="61">
        <f t="shared" si="14"/>
        <v>1894.8969999999999</v>
      </c>
      <c r="S38" s="62">
        <f t="shared" si="2"/>
        <v>82.828737999999987</v>
      </c>
      <c r="T38" s="63">
        <f t="shared" si="3"/>
        <v>152.71751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97">
        <v>3953</v>
      </c>
      <c r="AI38" s="66">
        <v>4.3</v>
      </c>
      <c r="AJ38" s="66">
        <v>8.0299999999999994</v>
      </c>
      <c r="AK38" s="62">
        <f t="shared" si="8"/>
        <v>169.97899999999998</v>
      </c>
      <c r="AL38" s="72">
        <f t="shared" si="9"/>
        <v>317.42590000000001</v>
      </c>
      <c r="AM38" s="73">
        <f t="shared" si="15"/>
        <v>-0.10300000000006548</v>
      </c>
      <c r="AN38" s="74">
        <f t="shared" si="18"/>
        <v>0.10893800000002329</v>
      </c>
      <c r="AO38" s="74">
        <f t="shared" si="18"/>
        <v>-6.8389999999965312E-2</v>
      </c>
      <c r="AP38" s="75">
        <f t="shared" si="16"/>
        <v>1.7214453783215424E-4</v>
      </c>
      <c r="AQ38" s="76">
        <f t="shared" si="11"/>
        <v>28.43605431335417</v>
      </c>
      <c r="AR38" s="90">
        <f t="shared" si="12"/>
        <v>-0.10300000000006548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>
        <v>3953</v>
      </c>
      <c r="E39" s="62">
        <v>4.3</v>
      </c>
      <c r="F39" s="62">
        <v>8.0299999999999994</v>
      </c>
      <c r="G39" s="62">
        <f t="shared" si="0"/>
        <v>169.97899999999998</v>
      </c>
      <c r="H39" s="63">
        <f t="shared" si="1"/>
        <v>317.42590000000001</v>
      </c>
      <c r="I39" s="203">
        <v>1082.8999999999999</v>
      </c>
      <c r="J39" s="203">
        <v>1115.3869999999999</v>
      </c>
      <c r="K39" s="203">
        <v>4.002179333271771</v>
      </c>
      <c r="L39" s="203">
        <v>8.0559516114137999</v>
      </c>
      <c r="M39" s="58">
        <v>0</v>
      </c>
      <c r="N39" s="58" t="s">
        <v>167</v>
      </c>
      <c r="O39" s="59">
        <v>0</v>
      </c>
      <c r="P39" s="56">
        <v>0</v>
      </c>
      <c r="Q39" s="60">
        <v>0</v>
      </c>
      <c r="R39" s="61">
        <f t="shared" si="14"/>
        <v>1115.3869999999999</v>
      </c>
      <c r="S39" s="62">
        <f t="shared" si="2"/>
        <v>44.639788000000003</v>
      </c>
      <c r="T39" s="63">
        <f t="shared" si="3"/>
        <v>89.855037000000038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>
        <v>5068</v>
      </c>
      <c r="AI39" s="66">
        <v>4.2300000000000004</v>
      </c>
      <c r="AJ39" s="66">
        <v>8.0399999999999991</v>
      </c>
      <c r="AK39" s="62">
        <f t="shared" si="8"/>
        <v>214.37640000000002</v>
      </c>
      <c r="AL39" s="72">
        <f t="shared" si="9"/>
        <v>407.46719999999993</v>
      </c>
      <c r="AM39" s="73">
        <f t="shared" si="15"/>
        <v>0.38699999999971624</v>
      </c>
      <c r="AN39" s="74">
        <f t="shared" si="18"/>
        <v>0.24238799999997696</v>
      </c>
      <c r="AO39" s="74">
        <f t="shared" si="18"/>
        <v>-0.18626299999988305</v>
      </c>
      <c r="AP39" s="75">
        <f t="shared" si="16"/>
        <v>4.1730230140894927E-4</v>
      </c>
      <c r="AQ39" s="76">
        <f t="shared" si="11"/>
        <v>53.066848193357984</v>
      </c>
      <c r="AR39" s="90">
        <f t="shared" si="12"/>
        <v>0.38699999999971624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7"/>
      <c r="AI40" s="66"/>
      <c r="AJ40" s="66"/>
      <c r="AK40" s="62">
        <f t="shared" si="8"/>
        <v>0</v>
      </c>
      <c r="AL40" s="72">
        <f>AH40*AJ40%</f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7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33235.525000000001</v>
      </c>
      <c r="X66" s="77"/>
      <c r="AH66" s="77"/>
      <c r="AI66" s="77"/>
      <c r="AJ66" s="77"/>
      <c r="AM66" s="83">
        <f>-SUM(AM4:AM65)</f>
        <v>746.2749999999993</v>
      </c>
      <c r="AN66" s="83">
        <f t="shared" ref="AN66:AO66" si="19">-SUM(AN4:AN65)</f>
        <v>64.908388999999829</v>
      </c>
      <c r="AO66" s="83">
        <f t="shared" si="19"/>
        <v>68.92862099999985</v>
      </c>
      <c r="AP66" s="83" t="e">
        <f>-SUM(AP4:AP65)</f>
        <v>#DIV/0!</v>
      </c>
      <c r="AQ66" s="127">
        <f>-SUM(AQ4:AQ65)</f>
        <v>49766.523074729877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1" priority="1" operator="lessThan">
      <formula>0.1</formula>
    </cfRule>
    <cfRule type="cellIs" dxfId="120" priority="2" operator="greaterThan">
      <formula>0.1</formula>
    </cfRule>
  </conditionalFormatting>
  <conditionalFormatting sqref="AP1:AQ1">
    <cfRule type="cellIs" dxfId="119" priority="5" operator="lessThan">
      <formula>1</formula>
    </cfRule>
  </conditionalFormatting>
  <conditionalFormatting sqref="AQ4:AQ65">
    <cfRule type="cellIs" dxfId="118" priority="3" operator="lessThan">
      <formula>0</formula>
    </cfRule>
    <cfRule type="cellIs" dxfId="117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9"/>
  <sheetViews>
    <sheetView topLeftCell="A7" zoomScale="80" zoomScaleNormal="80" workbookViewId="0">
      <selection activeCell="AH26" sqref="AH26:AJ39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161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9" t="s">
        <v>64</v>
      </c>
      <c r="C2" s="261" t="s">
        <v>65</v>
      </c>
      <c r="D2" s="263" t="s">
        <v>66</v>
      </c>
      <c r="E2" s="264"/>
      <c r="F2" s="264"/>
      <c r="G2" s="264"/>
      <c r="H2" s="265"/>
      <c r="I2" s="256" t="s">
        <v>67</v>
      </c>
      <c r="J2" s="257"/>
      <c r="K2" s="257"/>
      <c r="L2" s="258"/>
      <c r="M2" s="256" t="s">
        <v>68</v>
      </c>
      <c r="N2" s="257"/>
      <c r="O2" s="257"/>
      <c r="P2" s="257"/>
      <c r="Q2" s="258"/>
      <c r="R2" s="256" t="s">
        <v>69</v>
      </c>
      <c r="S2" s="257"/>
      <c r="T2" s="258"/>
      <c r="U2" s="253" t="s">
        <v>70</v>
      </c>
      <c r="V2" s="254"/>
      <c r="W2" s="254"/>
      <c r="X2" s="254"/>
      <c r="Y2" s="254"/>
      <c r="Z2" s="254"/>
      <c r="AA2" s="254"/>
      <c r="AB2" s="255"/>
      <c r="AC2" s="256" t="s">
        <v>71</v>
      </c>
      <c r="AD2" s="257"/>
      <c r="AE2" s="257"/>
      <c r="AF2" s="257"/>
      <c r="AG2" s="258"/>
      <c r="AH2" s="256" t="s">
        <v>72</v>
      </c>
      <c r="AI2" s="257"/>
      <c r="AJ2" s="257"/>
      <c r="AK2" s="257"/>
      <c r="AL2" s="258"/>
      <c r="AM2" s="253" t="s">
        <v>73</v>
      </c>
      <c r="AN2" s="254"/>
      <c r="AO2" s="254"/>
      <c r="AP2" s="254"/>
      <c r="AQ2" s="255"/>
    </row>
    <row r="3" spans="1:46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465.1</v>
      </c>
      <c r="E4" s="54">
        <v>4.17</v>
      </c>
      <c r="F4" s="55">
        <v>8.07</v>
      </c>
      <c r="G4" s="62">
        <f t="shared" ref="G4:G65" si="0">+D4*E4%</f>
        <v>19.394670000000001</v>
      </c>
      <c r="H4" s="63">
        <f t="shared" ref="H4:H65" si="1">+D4*F4%</f>
        <v>37.533570000000005</v>
      </c>
      <c r="I4" s="203">
        <v>78.36</v>
      </c>
      <c r="J4" s="203">
        <v>80.710800000000006</v>
      </c>
      <c r="K4" s="203">
        <v>5.1332312404287901</v>
      </c>
      <c r="L4" s="203">
        <v>8.3776927003573238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80.710800000000006</v>
      </c>
      <c r="S4" s="62">
        <f t="shared" ref="S4:S65" si="2">+J4*K4%+O4*P4%</f>
        <v>4.1430720000000001</v>
      </c>
      <c r="T4" s="63">
        <f t="shared" ref="T4:T65" si="3">+J4*L4%+O4*Q4%</f>
        <v>6.7617027999999992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546</v>
      </c>
      <c r="AI4" s="66">
        <v>4.32</v>
      </c>
      <c r="AJ4" s="66">
        <v>8.11</v>
      </c>
      <c r="AK4" s="62">
        <f t="shared" ref="AK4:AK65" si="8">AH4*AI4%</f>
        <v>23.587200000000003</v>
      </c>
      <c r="AL4" s="72">
        <f t="shared" ref="AL4:AL65" si="9">AH4*AJ4%</f>
        <v>44.280599999999993</v>
      </c>
      <c r="AM4" s="73">
        <f>+D4+R4-AC4-AH4</f>
        <v>-0.18920000000002801</v>
      </c>
      <c r="AN4" s="74">
        <f t="shared" ref="AN4:AO19" si="10">+G4+S4-AF4-AK4</f>
        <v>-4.9458000000001334E-2</v>
      </c>
      <c r="AO4" s="74">
        <f t="shared" si="10"/>
        <v>1.4672800000013808E-2</v>
      </c>
      <c r="AP4" s="75">
        <f>(AN4+AO4)/(S4+T4)</f>
        <v>-3.1899053981369273E-3</v>
      </c>
      <c r="AQ4" s="76">
        <f t="shared" ref="AQ4:AQ65" si="11">($AP$1*AN4+$AQ$1*AO4)</f>
        <v>-17.811013014663132</v>
      </c>
      <c r="AR4" s="77">
        <f t="shared" ref="AR4:AR65" si="12">(D4+J4+O4)-(X4+AH4)</f>
        <v>-0.18920000000002801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546</v>
      </c>
      <c r="E5" s="62">
        <v>4.32</v>
      </c>
      <c r="F5" s="62">
        <v>8.11</v>
      </c>
      <c r="G5" s="62">
        <f t="shared" si="0"/>
        <v>23.587200000000003</v>
      </c>
      <c r="H5" s="63">
        <f t="shared" si="1"/>
        <v>44.280599999999993</v>
      </c>
      <c r="I5" s="203">
        <v>1564.2699999999995</v>
      </c>
      <c r="J5" s="203">
        <v>1611.1980999999996</v>
      </c>
      <c r="K5" s="203">
        <v>4.5188298695238007</v>
      </c>
      <c r="L5" s="203">
        <v>8.1907758890728548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1611.1980999999996</v>
      </c>
      <c r="S5" s="62">
        <f t="shared" si="2"/>
        <v>72.807300999999939</v>
      </c>
      <c r="T5" s="63">
        <f t="shared" si="3"/>
        <v>131.96962549999989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2157</v>
      </c>
      <c r="AI5" s="66">
        <v>3.92</v>
      </c>
      <c r="AJ5" s="66">
        <v>8.17</v>
      </c>
      <c r="AK5" s="62">
        <f t="shared" si="8"/>
        <v>84.554400000000001</v>
      </c>
      <c r="AL5" s="72">
        <f t="shared" si="9"/>
        <v>176.2269</v>
      </c>
      <c r="AM5" s="73">
        <f t="shared" ref="AM5:AM65" si="15">+D5+R5-AC5-AH5</f>
        <v>0.19809999999961292</v>
      </c>
      <c r="AN5" s="74">
        <f t="shared" si="10"/>
        <v>11.840100999999933</v>
      </c>
      <c r="AO5" s="74">
        <f t="shared" si="10"/>
        <v>2.3325499999884869E-2</v>
      </c>
      <c r="AP5" s="75">
        <f t="shared" ref="AP5:AP65" si="16">(AN5+AO5)/(S5+T5)</f>
        <v>5.7933414192540035E-2</v>
      </c>
      <c r="AQ5" s="76">
        <f t="shared" si="11"/>
        <v>5322.1204400466031</v>
      </c>
      <c r="AR5" s="77">
        <f t="shared" si="12"/>
        <v>0.19809999999961292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2157</v>
      </c>
      <c r="E6" s="62">
        <v>3.92</v>
      </c>
      <c r="F6" s="62">
        <v>8.17</v>
      </c>
      <c r="G6" s="62">
        <f t="shared" si="0"/>
        <v>84.554400000000001</v>
      </c>
      <c r="H6" s="63">
        <f t="shared" si="1"/>
        <v>176.2269</v>
      </c>
      <c r="I6" s="203">
        <v>281.99</v>
      </c>
      <c r="J6" s="203">
        <v>290.44970000000001</v>
      </c>
      <c r="K6" s="203">
        <v>5.0657257349551399</v>
      </c>
      <c r="L6" s="203">
        <v>8.0440015603390194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290.44970000000001</v>
      </c>
      <c r="S6" s="62">
        <f t="shared" si="2"/>
        <v>14.713385199999999</v>
      </c>
      <c r="T6" s="63">
        <f t="shared" si="3"/>
        <v>23.363778400000001</v>
      </c>
      <c r="U6" s="64" t="s">
        <v>221</v>
      </c>
      <c r="V6" s="65" t="s">
        <v>222</v>
      </c>
      <c r="W6" s="66" t="s">
        <v>149</v>
      </c>
      <c r="X6" s="67">
        <v>1790</v>
      </c>
      <c r="Y6" s="68">
        <v>4.3</v>
      </c>
      <c r="Z6" s="68">
        <v>7.77</v>
      </c>
      <c r="AA6" s="62">
        <f t="shared" si="4"/>
        <v>76.97</v>
      </c>
      <c r="AB6" s="63">
        <f t="shared" si="5"/>
        <v>139.083</v>
      </c>
      <c r="AC6" s="69">
        <v>1790</v>
      </c>
      <c r="AD6" s="70">
        <v>4.3</v>
      </c>
      <c r="AE6" s="70">
        <v>7.77</v>
      </c>
      <c r="AF6" s="62">
        <f t="shared" si="6"/>
        <v>76.97</v>
      </c>
      <c r="AG6" s="63">
        <f t="shared" si="7"/>
        <v>139.083</v>
      </c>
      <c r="AH6" s="71">
        <v>657</v>
      </c>
      <c r="AI6" s="66">
        <v>4.0599999999999996</v>
      </c>
      <c r="AJ6" s="66">
        <v>8.15</v>
      </c>
      <c r="AK6" s="62">
        <f t="shared" si="8"/>
        <v>26.674199999999999</v>
      </c>
      <c r="AL6" s="72">
        <f t="shared" si="9"/>
        <v>53.545500000000004</v>
      </c>
      <c r="AM6" s="73">
        <f t="shared" si="15"/>
        <v>0.44970000000012078</v>
      </c>
      <c r="AN6" s="74">
        <f t="shared" si="10"/>
        <v>-4.3764147999999921</v>
      </c>
      <c r="AO6" s="74">
        <f t="shared" si="10"/>
        <v>6.9621783999999991</v>
      </c>
      <c r="AP6" s="75">
        <f t="shared" si="16"/>
        <v>6.790851406799657E-2</v>
      </c>
      <c r="AQ6" s="76">
        <f t="shared" si="11"/>
        <v>118.97796916133689</v>
      </c>
      <c r="AR6" s="77">
        <f t="shared" si="12"/>
        <v>0.44970000000012078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657</v>
      </c>
      <c r="E7" s="62">
        <v>4.0599999999999996</v>
      </c>
      <c r="F7" s="62">
        <v>8.15</v>
      </c>
      <c r="G7" s="62">
        <f t="shared" si="0"/>
        <v>26.674199999999999</v>
      </c>
      <c r="H7" s="63">
        <f t="shared" si="1"/>
        <v>53.545500000000004</v>
      </c>
      <c r="I7" s="203">
        <v>632.36</v>
      </c>
      <c r="J7" s="203">
        <v>651.33080000000007</v>
      </c>
      <c r="K7" s="203">
        <v>4.5293329748877218</v>
      </c>
      <c r="L7" s="203">
        <v>8.1579306091466872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651.33080000000007</v>
      </c>
      <c r="S7" s="62">
        <f t="shared" si="2"/>
        <v>29.500940700000001</v>
      </c>
      <c r="T7" s="63">
        <f t="shared" si="3"/>
        <v>53.135114699999995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1308</v>
      </c>
      <c r="AI7" s="71">
        <v>4.28</v>
      </c>
      <c r="AJ7" s="71">
        <v>8.17</v>
      </c>
      <c r="AK7" s="62">
        <f t="shared" si="8"/>
        <v>55.982400000000005</v>
      </c>
      <c r="AL7" s="72">
        <f t="shared" si="9"/>
        <v>106.86359999999999</v>
      </c>
      <c r="AM7" s="73">
        <f t="shared" si="15"/>
        <v>0.33080000000018117</v>
      </c>
      <c r="AN7" s="74">
        <f t="shared" si="10"/>
        <v>0.19274069999999455</v>
      </c>
      <c r="AO7" s="74">
        <f t="shared" si="10"/>
        <v>-0.18298529999998436</v>
      </c>
      <c r="AP7" s="75">
        <f t="shared" si="16"/>
        <v>1.1805258555468493E-4</v>
      </c>
      <c r="AQ7" s="76">
        <f t="shared" si="11"/>
        <v>31.760606955002231</v>
      </c>
      <c r="AR7" s="77">
        <f t="shared" si="12"/>
        <v>0.33080000000018117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1308</v>
      </c>
      <c r="E8" s="62">
        <v>4.28</v>
      </c>
      <c r="F8" s="62">
        <v>8.17</v>
      </c>
      <c r="G8" s="62">
        <f t="shared" si="0"/>
        <v>55.982400000000005</v>
      </c>
      <c r="H8" s="63">
        <f t="shared" si="1"/>
        <v>106.86359999999999</v>
      </c>
      <c r="I8" s="203">
        <v>290.18999999999994</v>
      </c>
      <c r="J8" s="203">
        <v>298.89569999999992</v>
      </c>
      <c r="K8" s="203">
        <v>5.1413522175126625</v>
      </c>
      <c r="L8" s="203">
        <v>8.2297804886453676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298.89569999999992</v>
      </c>
      <c r="S8" s="62">
        <f t="shared" si="2"/>
        <v>15.367280699999991</v>
      </c>
      <c r="T8" s="63">
        <f t="shared" si="3"/>
        <v>24.598459999999985</v>
      </c>
      <c r="U8" s="64" t="s">
        <v>221</v>
      </c>
      <c r="V8" s="65" t="s">
        <v>214</v>
      </c>
      <c r="W8" s="66" t="s">
        <v>149</v>
      </c>
      <c r="X8" s="67">
        <v>1478</v>
      </c>
      <c r="Y8" s="68">
        <v>4.5</v>
      </c>
      <c r="Z8" s="68">
        <v>8.06</v>
      </c>
      <c r="AA8" s="62">
        <f t="shared" si="4"/>
        <v>66.509999999999991</v>
      </c>
      <c r="AB8" s="63">
        <f t="shared" si="5"/>
        <v>119.1268</v>
      </c>
      <c r="AC8" s="69">
        <v>1478</v>
      </c>
      <c r="AD8" s="70">
        <v>4.5</v>
      </c>
      <c r="AE8" s="70">
        <v>8.06</v>
      </c>
      <c r="AF8" s="62">
        <f t="shared" si="6"/>
        <v>66.509999999999991</v>
      </c>
      <c r="AG8" s="63">
        <f t="shared" si="7"/>
        <v>119.1268</v>
      </c>
      <c r="AH8" s="71">
        <v>0</v>
      </c>
      <c r="AI8" s="71">
        <v>0</v>
      </c>
      <c r="AJ8" s="71">
        <v>0</v>
      </c>
      <c r="AK8" s="62">
        <f t="shared" si="8"/>
        <v>0</v>
      </c>
      <c r="AL8" s="72">
        <f t="shared" si="9"/>
        <v>0</v>
      </c>
      <c r="AM8" s="73">
        <f t="shared" si="15"/>
        <v>128.89570000000003</v>
      </c>
      <c r="AN8" s="74">
        <f t="shared" si="10"/>
        <v>4.8396807000000024</v>
      </c>
      <c r="AO8" s="74">
        <f t="shared" si="10"/>
        <v>12.335259999999977</v>
      </c>
      <c r="AP8" s="75">
        <f t="shared" si="16"/>
        <v>0.42974158364591475</v>
      </c>
      <c r="AQ8" s="76">
        <f t="shared" si="11"/>
        <v>5864.1954407703279</v>
      </c>
      <c r="AR8" s="90">
        <f t="shared" si="12"/>
        <v>128.89570000000003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203">
        <v>1433.6399999999994</v>
      </c>
      <c r="J9" s="203">
        <v>1476.6491999999994</v>
      </c>
      <c r="K9" s="203">
        <v>4.3695572110153194</v>
      </c>
      <c r="L9" s="203">
        <v>8.1348616110041583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1476.6491999999994</v>
      </c>
      <c r="S9" s="62">
        <f t="shared" si="2"/>
        <v>64.523031599999996</v>
      </c>
      <c r="T9" s="63">
        <f t="shared" si="3"/>
        <v>120.12336889999997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1476</v>
      </c>
      <c r="AI9" s="82">
        <v>4.4000000000000004</v>
      </c>
      <c r="AJ9" s="82">
        <v>8.1</v>
      </c>
      <c r="AK9" s="62">
        <f t="shared" si="8"/>
        <v>64.944000000000003</v>
      </c>
      <c r="AL9" s="72">
        <f t="shared" si="9"/>
        <v>119.556</v>
      </c>
      <c r="AM9" s="73">
        <f t="shared" si="15"/>
        <v>0.64919999999938227</v>
      </c>
      <c r="AN9" s="74">
        <f t="shared" si="10"/>
        <v>-0.42096840000000668</v>
      </c>
      <c r="AO9" s="74">
        <f t="shared" si="10"/>
        <v>0.56736889999997686</v>
      </c>
      <c r="AP9" s="75">
        <f t="shared" si="16"/>
        <v>7.928695041091267E-4</v>
      </c>
      <c r="AQ9" s="76">
        <f t="shared" si="11"/>
        <v>-19.178542511343238</v>
      </c>
      <c r="AR9" s="90">
        <f t="shared" si="12"/>
        <v>0.64919999999938227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1476</v>
      </c>
      <c r="E10" s="62">
        <v>4.4000000000000004</v>
      </c>
      <c r="F10" s="62">
        <v>8.1</v>
      </c>
      <c r="G10" s="62">
        <f t="shared" si="0"/>
        <v>64.944000000000003</v>
      </c>
      <c r="H10" s="63">
        <f t="shared" si="1"/>
        <v>119.556</v>
      </c>
      <c r="I10" s="203">
        <v>277.91999999999996</v>
      </c>
      <c r="J10" s="203">
        <v>286.25759999999997</v>
      </c>
      <c r="K10" s="203">
        <v>5.1575561312607929</v>
      </c>
      <c r="L10" s="203">
        <v>8.1207469775474941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286.25759999999997</v>
      </c>
      <c r="S10" s="62">
        <f t="shared" si="2"/>
        <v>14.763896399999995</v>
      </c>
      <c r="T10" s="63">
        <f t="shared" si="3"/>
        <v>23.246255399999992</v>
      </c>
      <c r="U10" s="64" t="s">
        <v>221</v>
      </c>
      <c r="V10" s="65" t="s">
        <v>215</v>
      </c>
      <c r="W10" s="66" t="s">
        <v>149</v>
      </c>
      <c r="X10" s="67">
        <v>2150</v>
      </c>
      <c r="Y10" s="68">
        <v>4.45</v>
      </c>
      <c r="Z10" s="68">
        <v>7.93</v>
      </c>
      <c r="AA10" s="62">
        <f t="shared" si="4"/>
        <v>95.675000000000011</v>
      </c>
      <c r="AB10" s="63">
        <f t="shared" si="5"/>
        <v>170.49499999999998</v>
      </c>
      <c r="AC10" s="69">
        <v>2150</v>
      </c>
      <c r="AD10" s="70">
        <v>4.45</v>
      </c>
      <c r="AE10" s="70">
        <v>7.93</v>
      </c>
      <c r="AF10" s="62">
        <f t="shared" si="6"/>
        <v>95.675000000000011</v>
      </c>
      <c r="AG10" s="63">
        <f t="shared" si="7"/>
        <v>170.49499999999998</v>
      </c>
      <c r="AH10" s="71">
        <v>0</v>
      </c>
      <c r="AI10" s="71">
        <v>0</v>
      </c>
      <c r="AJ10" s="71">
        <v>0</v>
      </c>
      <c r="AK10" s="62">
        <f t="shared" si="8"/>
        <v>0</v>
      </c>
      <c r="AL10" s="72">
        <f t="shared" si="9"/>
        <v>0</v>
      </c>
      <c r="AM10" s="73">
        <f t="shared" si="15"/>
        <v>-387.74240000000009</v>
      </c>
      <c r="AN10" s="74">
        <f t="shared" si="10"/>
        <v>-15.967103600000016</v>
      </c>
      <c r="AO10" s="74">
        <f t="shared" si="10"/>
        <v>-27.692744599999997</v>
      </c>
      <c r="AP10" s="75">
        <f t="shared" si="16"/>
        <v>-1.1486365124171913</v>
      </c>
      <c r="AQ10" s="76">
        <f t="shared" si="11"/>
        <v>-15455.492462666674</v>
      </c>
      <c r="AR10" s="90">
        <f t="shared" si="12"/>
        <v>-387.74240000000009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203">
        <v>713.6099999999999</v>
      </c>
      <c r="J11" s="203">
        <v>735.01829999999995</v>
      </c>
      <c r="K11" s="203">
        <v>4.5622763133924691</v>
      </c>
      <c r="L11" s="203">
        <v>8.0700298482364339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735.01829999999995</v>
      </c>
      <c r="S11" s="62">
        <f t="shared" si="2"/>
        <v>33.533565799999991</v>
      </c>
      <c r="T11" s="63">
        <f t="shared" si="3"/>
        <v>59.316196200000007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735</v>
      </c>
      <c r="AI11" s="71">
        <v>4.5999999999999996</v>
      </c>
      <c r="AJ11" s="71">
        <v>8.1</v>
      </c>
      <c r="AK11" s="62">
        <f t="shared" si="8"/>
        <v>33.81</v>
      </c>
      <c r="AL11" s="72">
        <f t="shared" si="9"/>
        <v>59.535000000000004</v>
      </c>
      <c r="AM11" s="73">
        <f t="shared" si="15"/>
        <v>1.8299999999953798E-2</v>
      </c>
      <c r="AN11" s="74">
        <f t="shared" si="10"/>
        <v>-0.27643420000001129</v>
      </c>
      <c r="AO11" s="74">
        <f t="shared" si="10"/>
        <v>-0.21880379999999633</v>
      </c>
      <c r="AP11" s="75">
        <f t="shared" si="16"/>
        <v>-5.3337562674636435E-3</v>
      </c>
      <c r="AQ11" s="76">
        <f t="shared" si="11"/>
        <v>-189.57621929400398</v>
      </c>
      <c r="AR11" s="90">
        <f t="shared" si="12"/>
        <v>1.8299999999953798E-2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735</v>
      </c>
      <c r="E12" s="62">
        <v>4.5999999999999996</v>
      </c>
      <c r="F12" s="62">
        <v>8.1</v>
      </c>
      <c r="G12" s="62">
        <f t="shared" si="0"/>
        <v>33.81</v>
      </c>
      <c r="H12" s="63">
        <f t="shared" si="1"/>
        <v>59.535000000000004</v>
      </c>
      <c r="I12" s="203">
        <v>305.93</v>
      </c>
      <c r="J12" s="203">
        <v>315.10790000000003</v>
      </c>
      <c r="K12" s="203">
        <v>5.1563135357761585</v>
      </c>
      <c r="L12" s="203">
        <v>8.1745464648775865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315.10790000000003</v>
      </c>
      <c r="S12" s="62">
        <f t="shared" si="2"/>
        <v>16.247951300000004</v>
      </c>
      <c r="T12" s="63">
        <f t="shared" si="3"/>
        <v>25.758641700000005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1050</v>
      </c>
      <c r="AI12" s="71">
        <v>4.75</v>
      </c>
      <c r="AJ12" s="71">
        <v>8.1</v>
      </c>
      <c r="AK12" s="62">
        <f t="shared" si="8"/>
        <v>49.875</v>
      </c>
      <c r="AL12" s="72">
        <f t="shared" si="9"/>
        <v>85.05</v>
      </c>
      <c r="AM12" s="73">
        <f t="shared" si="15"/>
        <v>0.10789999999997235</v>
      </c>
      <c r="AN12" s="74">
        <f t="shared" si="10"/>
        <v>0.18295130000000626</v>
      </c>
      <c r="AO12" s="74">
        <f t="shared" si="10"/>
        <v>0.24364170000001195</v>
      </c>
      <c r="AP12" s="75">
        <f t="shared" si="16"/>
        <v>1.0155382037291577E-2</v>
      </c>
      <c r="AQ12" s="76">
        <f t="shared" si="11"/>
        <v>155.0441317810064</v>
      </c>
      <c r="AR12" s="90">
        <f t="shared" si="12"/>
        <v>0.10789999999997235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1050</v>
      </c>
      <c r="E13" s="62">
        <v>4.75</v>
      </c>
      <c r="F13" s="62">
        <v>8.1</v>
      </c>
      <c r="G13" s="62">
        <f t="shared" si="0"/>
        <v>49.875</v>
      </c>
      <c r="H13" s="63">
        <f t="shared" si="1"/>
        <v>85.05</v>
      </c>
      <c r="I13" s="203">
        <v>1306.95</v>
      </c>
      <c r="J13" s="203">
        <v>1346.1585</v>
      </c>
      <c r="K13" s="203">
        <v>4.2331963732353968</v>
      </c>
      <c r="L13" s="203">
        <v>8.3348421898312903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1346.1585</v>
      </c>
      <c r="S13" s="62">
        <f t="shared" si="2"/>
        <v>56.985532800000023</v>
      </c>
      <c r="T13" s="63">
        <f t="shared" si="3"/>
        <v>112.20018660000005</v>
      </c>
      <c r="U13" s="64" t="s">
        <v>221</v>
      </c>
      <c r="V13" s="65" t="s">
        <v>337</v>
      </c>
      <c r="W13" s="66" t="s">
        <v>149</v>
      </c>
      <c r="X13" s="67">
        <v>1740</v>
      </c>
      <c r="Y13" s="68">
        <v>4.2</v>
      </c>
      <c r="Z13" s="68">
        <v>7.6</v>
      </c>
      <c r="AA13" s="62">
        <f t="shared" si="4"/>
        <v>73.08</v>
      </c>
      <c r="AB13" s="63">
        <f t="shared" si="5"/>
        <v>132.24</v>
      </c>
      <c r="AC13" s="69">
        <v>1740</v>
      </c>
      <c r="AD13" s="70">
        <v>4.2</v>
      </c>
      <c r="AE13" s="70">
        <v>7.6</v>
      </c>
      <c r="AF13" s="62">
        <f t="shared" si="6"/>
        <v>73.08</v>
      </c>
      <c r="AG13" s="63">
        <f t="shared" si="7"/>
        <v>132.24</v>
      </c>
      <c r="AH13" s="71">
        <v>656</v>
      </c>
      <c r="AI13" s="71">
        <v>4.4400000000000004</v>
      </c>
      <c r="AJ13" s="71">
        <v>8.2100000000000009</v>
      </c>
      <c r="AK13" s="62">
        <f t="shared" si="8"/>
        <v>29.1264</v>
      </c>
      <c r="AL13" s="72">
        <f t="shared" si="9"/>
        <v>53.857600000000005</v>
      </c>
      <c r="AM13" s="73">
        <f t="shared" si="15"/>
        <v>0.15850000000000364</v>
      </c>
      <c r="AN13" s="74">
        <f t="shared" si="10"/>
        <v>4.6541328000000171</v>
      </c>
      <c r="AO13" s="74">
        <f t="shared" si="10"/>
        <v>11.152586600000049</v>
      </c>
      <c r="AP13" s="75">
        <f t="shared" si="16"/>
        <v>9.3428212830592244E-2</v>
      </c>
      <c r="AQ13" s="76">
        <f t="shared" si="11"/>
        <v>5426.9585223186896</v>
      </c>
      <c r="AR13" s="90">
        <f t="shared" si="12"/>
        <v>0.15850000000000364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656</v>
      </c>
      <c r="E14" s="62">
        <v>4.4400000000000004</v>
      </c>
      <c r="F14" s="62">
        <v>8.2100000000000009</v>
      </c>
      <c r="G14" s="62">
        <f t="shared" si="0"/>
        <v>29.1264</v>
      </c>
      <c r="H14" s="63">
        <f t="shared" si="1"/>
        <v>53.857600000000005</v>
      </c>
      <c r="I14" s="203">
        <v>504.80999999999995</v>
      </c>
      <c r="J14" s="203">
        <v>519.95429999999999</v>
      </c>
      <c r="K14" s="203">
        <v>4.6948356807511731</v>
      </c>
      <c r="L14" s="203">
        <v>8.1673382064539144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519.95429999999999</v>
      </c>
      <c r="S14" s="62">
        <f t="shared" si="2"/>
        <v>24.410999999999994</v>
      </c>
      <c r="T14" s="63">
        <f t="shared" si="3"/>
        <v>42.466426200000001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1175</v>
      </c>
      <c r="AI14" s="71">
        <v>4.5599999999999996</v>
      </c>
      <c r="AJ14" s="71">
        <v>8.2100000000000009</v>
      </c>
      <c r="AK14" s="62">
        <f t="shared" si="8"/>
        <v>53.579999999999991</v>
      </c>
      <c r="AL14" s="72">
        <f t="shared" si="9"/>
        <v>96.467500000000001</v>
      </c>
      <c r="AM14" s="73">
        <f t="shared" si="15"/>
        <v>0.95429999999987558</v>
      </c>
      <c r="AN14" s="74">
        <f t="shared" si="10"/>
        <v>-4.2600000000000193E-2</v>
      </c>
      <c r="AO14" s="74">
        <f t="shared" si="10"/>
        <v>-0.14347379999999532</v>
      </c>
      <c r="AP14" s="75">
        <f t="shared" si="16"/>
        <v>-2.7823110214130146E-3</v>
      </c>
      <c r="AQ14" s="76">
        <f t="shared" si="11"/>
        <v>-62.061448371998694</v>
      </c>
      <c r="AR14" s="90">
        <f t="shared" si="12"/>
        <v>0.95429999999987558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1175</v>
      </c>
      <c r="E15" s="62">
        <v>4.5599999999999996</v>
      </c>
      <c r="F15" s="62">
        <v>8.2100000000000009</v>
      </c>
      <c r="G15" s="62">
        <f t="shared" si="0"/>
        <v>53.579999999999991</v>
      </c>
      <c r="H15" s="63">
        <f t="shared" si="1"/>
        <v>96.467500000000001</v>
      </c>
      <c r="I15" s="203">
        <v>441.26</v>
      </c>
      <c r="J15" s="203">
        <v>454.49779999999998</v>
      </c>
      <c r="K15" s="203">
        <v>4.1661356116575261</v>
      </c>
      <c r="L15" s="203">
        <v>8.0223451026605623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454.49779999999998</v>
      </c>
      <c r="S15" s="62">
        <f t="shared" si="2"/>
        <v>18.934994699999997</v>
      </c>
      <c r="T15" s="63">
        <f t="shared" si="3"/>
        <v>36.461381999999993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1630</v>
      </c>
      <c r="AI15" s="66">
        <v>4.45</v>
      </c>
      <c r="AJ15" s="66">
        <v>8.14</v>
      </c>
      <c r="AK15" s="62">
        <f t="shared" si="8"/>
        <v>72.535000000000011</v>
      </c>
      <c r="AL15" s="72">
        <f t="shared" si="9"/>
        <v>132.68199999999999</v>
      </c>
      <c r="AM15" s="73">
        <f t="shared" si="15"/>
        <v>-0.5021999999999025</v>
      </c>
      <c r="AN15" s="74">
        <f t="shared" si="10"/>
        <v>-2.000530000002243E-2</v>
      </c>
      <c r="AO15" s="74">
        <f t="shared" si="10"/>
        <v>0.24688199999999938</v>
      </c>
      <c r="AP15" s="75">
        <f t="shared" si="16"/>
        <v>4.0955151494588091E-3</v>
      </c>
      <c r="AQ15" s="76">
        <f t="shared" si="11"/>
        <v>64.904619856989754</v>
      </c>
      <c r="AR15" s="90">
        <f t="shared" si="12"/>
        <v>-0.5021999999999025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1630</v>
      </c>
      <c r="E16" s="62">
        <v>4.45</v>
      </c>
      <c r="F16" s="62">
        <v>8.14</v>
      </c>
      <c r="G16" s="62">
        <f t="shared" si="0"/>
        <v>72.535000000000011</v>
      </c>
      <c r="H16" s="63">
        <f t="shared" si="1"/>
        <v>132.68199999999999</v>
      </c>
      <c r="I16" s="203">
        <v>265.36</v>
      </c>
      <c r="J16" s="203">
        <v>273.32080000000002</v>
      </c>
      <c r="K16" s="203">
        <v>4.7359323183599642</v>
      </c>
      <c r="L16" s="203">
        <v>8.1341347603255976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273.32080000000002</v>
      </c>
      <c r="S16" s="62">
        <f t="shared" si="2"/>
        <v>12.944288100000003</v>
      </c>
      <c r="T16" s="63">
        <f t="shared" si="3"/>
        <v>22.232282200000007</v>
      </c>
      <c r="U16" s="64" t="s">
        <v>221</v>
      </c>
      <c r="V16" s="65" t="s">
        <v>339</v>
      </c>
      <c r="W16" s="66" t="s">
        <v>149</v>
      </c>
      <c r="X16" s="67">
        <v>2270</v>
      </c>
      <c r="Y16" s="68">
        <v>4.4000000000000004</v>
      </c>
      <c r="Z16" s="68">
        <v>8</v>
      </c>
      <c r="AA16" s="62">
        <f t="shared" si="4"/>
        <v>99.88000000000001</v>
      </c>
      <c r="AB16" s="63">
        <f t="shared" si="5"/>
        <v>181.6</v>
      </c>
      <c r="AC16" s="69">
        <v>2270</v>
      </c>
      <c r="AD16" s="70">
        <v>4.2</v>
      </c>
      <c r="AE16" s="70">
        <v>8</v>
      </c>
      <c r="AF16" s="62">
        <f t="shared" si="6"/>
        <v>95.34</v>
      </c>
      <c r="AG16" s="63">
        <f t="shared" si="7"/>
        <v>181.6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-366.67920000000004</v>
      </c>
      <c r="AN16" s="74">
        <f t="shared" si="10"/>
        <v>-9.8607118999999841</v>
      </c>
      <c r="AO16" s="74">
        <f t="shared" si="10"/>
        <v>-26.685717799999992</v>
      </c>
      <c r="AP16" s="75">
        <f t="shared" si="16"/>
        <v>-1.0389423809176748</v>
      </c>
      <c r="AQ16" s="76">
        <f t="shared" si="11"/>
        <v>-12412.895897427657</v>
      </c>
      <c r="AR16" s="90">
        <f t="shared" si="12"/>
        <v>-366.67920000000004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1057.48</v>
      </c>
      <c r="J17" s="203">
        <v>1089.2044000000001</v>
      </c>
      <c r="K17" s="203">
        <v>4.19286795022128</v>
      </c>
      <c r="L17" s="203">
        <v>8.040774293603663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1089.2044000000001</v>
      </c>
      <c r="S17" s="62">
        <f t="shared" si="2"/>
        <v>45.668902199999998</v>
      </c>
      <c r="T17" s="63">
        <f t="shared" si="3"/>
        <v>87.580467400000018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1089</v>
      </c>
      <c r="AI17" s="66">
        <v>4.2</v>
      </c>
      <c r="AJ17" s="66">
        <v>8.1999999999999993</v>
      </c>
      <c r="AK17" s="62">
        <f t="shared" si="8"/>
        <v>45.738</v>
      </c>
      <c r="AL17" s="72">
        <f>AH17*AJ17%</f>
        <v>89.297999999999988</v>
      </c>
      <c r="AM17" s="73">
        <f t="shared" si="15"/>
        <v>0.20440000000007785</v>
      </c>
      <c r="AN17" s="74">
        <f t="shared" si="10"/>
        <v>-6.9097800000001541E-2</v>
      </c>
      <c r="AO17" s="74">
        <f t="shared" si="10"/>
        <v>-1.71753259999997</v>
      </c>
      <c r="AP17" s="75">
        <f t="shared" si="16"/>
        <v>-1.3408171501022781E-2</v>
      </c>
      <c r="AQ17" s="76">
        <f t="shared" si="11"/>
        <v>-545.03039970865836</v>
      </c>
      <c r="AR17" s="90">
        <f t="shared" si="12"/>
        <v>0.20440000000007785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1089</v>
      </c>
      <c r="E18" s="62">
        <v>4.2</v>
      </c>
      <c r="F18" s="62">
        <v>8.1999999999999993</v>
      </c>
      <c r="G18" s="62">
        <f t="shared" si="0"/>
        <v>45.738</v>
      </c>
      <c r="H18" s="63">
        <f t="shared" si="1"/>
        <v>89.297999999999988</v>
      </c>
      <c r="I18" s="203">
        <v>329.71999999999997</v>
      </c>
      <c r="J18" s="203">
        <v>339.61159999999995</v>
      </c>
      <c r="K18" s="203">
        <v>5.1817784787092087</v>
      </c>
      <c r="L18" s="203">
        <v>8.1962847264345502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339.61159999999995</v>
      </c>
      <c r="S18" s="62">
        <f t="shared" si="2"/>
        <v>17.597920800000001</v>
      </c>
      <c r="T18" s="63">
        <f t="shared" si="3"/>
        <v>27.835533699999992</v>
      </c>
      <c r="U18" s="64" t="s">
        <v>221</v>
      </c>
      <c r="V18" s="65" t="s">
        <v>340</v>
      </c>
      <c r="W18" s="66" t="s">
        <v>149</v>
      </c>
      <c r="X18" s="67">
        <v>1370</v>
      </c>
      <c r="Y18" s="68">
        <v>4.0999999999999996</v>
      </c>
      <c r="Z18" s="68">
        <v>8</v>
      </c>
      <c r="AA18" s="62">
        <f t="shared" si="4"/>
        <v>56.169999999999995</v>
      </c>
      <c r="AB18" s="63">
        <f t="shared" si="5"/>
        <v>109.60000000000001</v>
      </c>
      <c r="AC18" s="69">
        <v>1370</v>
      </c>
      <c r="AD18" s="70">
        <v>4.0999999999999996</v>
      </c>
      <c r="AE18" s="70">
        <v>8</v>
      </c>
      <c r="AF18" s="62">
        <f t="shared" si="6"/>
        <v>56.169999999999995</v>
      </c>
      <c r="AG18" s="63">
        <f t="shared" si="7"/>
        <v>109.60000000000001</v>
      </c>
      <c r="AH18" s="97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15"/>
        <v>58.611599999999953</v>
      </c>
      <c r="AN18" s="74">
        <f t="shared" si="10"/>
        <v>7.1659208000000021</v>
      </c>
      <c r="AO18" s="74">
        <f t="shared" si="10"/>
        <v>7.5335336999999782</v>
      </c>
      <c r="AP18" s="75">
        <f t="shared" si="16"/>
        <v>0.32353812101168716</v>
      </c>
      <c r="AQ18" s="76">
        <f t="shared" si="11"/>
        <v>5471.4392485059943</v>
      </c>
      <c r="AR18" s="90">
        <f t="shared" si="12"/>
        <v>58.611599999999953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0"/>
        <v>0</v>
      </c>
      <c r="H19" s="63">
        <f t="shared" si="1"/>
        <v>0</v>
      </c>
      <c r="I19" s="203">
        <v>948.18000000000006</v>
      </c>
      <c r="J19" s="203">
        <v>976.62540000000013</v>
      </c>
      <c r="K19" s="203">
        <v>4.2503965491784266</v>
      </c>
      <c r="L19" s="203">
        <v>7.9827026513953054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976.62540000000013</v>
      </c>
      <c r="S19" s="62">
        <f t="shared" si="2"/>
        <v>41.510452300000011</v>
      </c>
      <c r="T19" s="63">
        <f t="shared" si="3"/>
        <v>77.961101700000015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976.6</v>
      </c>
      <c r="AI19" s="71">
        <v>4.3</v>
      </c>
      <c r="AJ19" s="71">
        <v>8</v>
      </c>
      <c r="AK19" s="62">
        <f t="shared" si="8"/>
        <v>41.9938</v>
      </c>
      <c r="AL19" s="72">
        <f t="shared" si="9"/>
        <v>78.128</v>
      </c>
      <c r="AM19" s="73">
        <f t="shared" si="15"/>
        <v>2.5400000000104228E-2</v>
      </c>
      <c r="AN19" s="74">
        <f t="shared" si="10"/>
        <v>-0.48334769999998883</v>
      </c>
      <c r="AO19" s="74">
        <f t="shared" si="10"/>
        <v>-0.16689829999998551</v>
      </c>
      <c r="AP19" s="75">
        <f t="shared" si="16"/>
        <v>-5.4426847080266006E-3</v>
      </c>
      <c r="AQ19" s="76">
        <f t="shared" si="11"/>
        <v>-266.92782657565732</v>
      </c>
      <c r="AR19" s="90">
        <f t="shared" si="12"/>
        <v>2.5400000000104228E-2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976.6</v>
      </c>
      <c r="E20" s="62">
        <v>4.3</v>
      </c>
      <c r="F20" s="62">
        <v>8</v>
      </c>
      <c r="G20" s="62">
        <f t="shared" si="0"/>
        <v>41.9938</v>
      </c>
      <c r="H20" s="63">
        <f t="shared" si="1"/>
        <v>78.128</v>
      </c>
      <c r="I20" s="203">
        <v>295.19</v>
      </c>
      <c r="J20" s="203">
        <v>304.04570000000001</v>
      </c>
      <c r="K20" s="203">
        <v>5.1255157695043856</v>
      </c>
      <c r="L20" s="203">
        <v>8.1487516514787064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304.04570000000001</v>
      </c>
      <c r="S20" s="62">
        <f t="shared" si="2"/>
        <v>15.583910299999998</v>
      </c>
      <c r="T20" s="63">
        <f t="shared" si="3"/>
        <v>24.775928999999994</v>
      </c>
      <c r="U20" s="64" t="s">
        <v>221</v>
      </c>
      <c r="V20" s="65" t="s">
        <v>341</v>
      </c>
      <c r="W20" s="66" t="s">
        <v>149</v>
      </c>
      <c r="X20" s="67">
        <v>1480</v>
      </c>
      <c r="Y20" s="68">
        <v>4</v>
      </c>
      <c r="Z20" s="68">
        <v>7.95</v>
      </c>
      <c r="AA20" s="62">
        <f t="shared" si="4"/>
        <v>59.2</v>
      </c>
      <c r="AB20" s="63">
        <f t="shared" si="5"/>
        <v>117.66</v>
      </c>
      <c r="AC20" s="69">
        <v>1486</v>
      </c>
      <c r="AD20" s="70">
        <v>4</v>
      </c>
      <c r="AE20" s="70">
        <v>7.96</v>
      </c>
      <c r="AF20" s="62">
        <f t="shared" si="6"/>
        <v>59.44</v>
      </c>
      <c r="AG20" s="63">
        <f t="shared" si="7"/>
        <v>118.2856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15"/>
        <v>-205.35429999999997</v>
      </c>
      <c r="AN20" s="74">
        <f t="shared" ref="AN20:AO65" si="18">+G20+S20-AF20-AK20</f>
        <v>-1.862289699999998</v>
      </c>
      <c r="AO20" s="74">
        <f t="shared" si="18"/>
        <v>-15.381671000000011</v>
      </c>
      <c r="AP20" s="75">
        <f t="shared" si="16"/>
        <v>-0.4272554350829641</v>
      </c>
      <c r="AQ20" s="76">
        <f t="shared" si="11"/>
        <v>-5439.3244216336698</v>
      </c>
      <c r="AR20" s="90">
        <f t="shared" si="12"/>
        <v>-199.35429999999997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1088.0700000000002</v>
      </c>
      <c r="J21" s="203">
        <v>1120.7121000000002</v>
      </c>
      <c r="K21" s="203">
        <v>4.2598757432885748</v>
      </c>
      <c r="L21" s="203">
        <v>8.0864539965259574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1120.7121000000002</v>
      </c>
      <c r="S21" s="62">
        <f t="shared" si="2"/>
        <v>47.740942900000007</v>
      </c>
      <c r="T21" s="63">
        <f t="shared" si="3"/>
        <v>90.625868400000002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1120</v>
      </c>
      <c r="AI21" s="66">
        <v>4.3</v>
      </c>
      <c r="AJ21" s="66">
        <v>8.1</v>
      </c>
      <c r="AK21" s="62">
        <f t="shared" si="8"/>
        <v>48.16</v>
      </c>
      <c r="AL21" s="72">
        <f t="shared" si="9"/>
        <v>90.72</v>
      </c>
      <c r="AM21" s="73">
        <f t="shared" si="15"/>
        <v>0.71210000000019136</v>
      </c>
      <c r="AN21" s="74">
        <f t="shared" si="18"/>
        <v>-0.41905709999998919</v>
      </c>
      <c r="AO21" s="74">
        <f t="shared" si="18"/>
        <v>-9.4131599999997206E-2</v>
      </c>
      <c r="AP21" s="75">
        <f t="shared" si="16"/>
        <v>-3.708900242611766E-3</v>
      </c>
      <c r="AQ21" s="76">
        <f t="shared" si="11"/>
        <v>-216.29000046499434</v>
      </c>
      <c r="AR21" s="90">
        <f t="shared" si="12"/>
        <v>0.71210000000019136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1120</v>
      </c>
      <c r="E22" s="62">
        <v>4.3</v>
      </c>
      <c r="F22" s="62">
        <v>8.1</v>
      </c>
      <c r="G22" s="62">
        <f t="shared" si="0"/>
        <v>48.16</v>
      </c>
      <c r="H22" s="63">
        <f t="shared" si="1"/>
        <v>90.72</v>
      </c>
      <c r="I22" s="203">
        <v>298.50000000000006</v>
      </c>
      <c r="J22" s="203">
        <v>307.45500000000004</v>
      </c>
      <c r="K22" s="203">
        <v>5.0051691792294806</v>
      </c>
      <c r="L22" s="203">
        <v>8.0336783919597998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307.45500000000004</v>
      </c>
      <c r="S22" s="62">
        <f t="shared" si="2"/>
        <v>15.388642900000002</v>
      </c>
      <c r="T22" s="63">
        <f t="shared" si="3"/>
        <v>24.699945900000007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1428</v>
      </c>
      <c r="AI22" s="66">
        <v>4.45</v>
      </c>
      <c r="AJ22" s="66">
        <v>8.07</v>
      </c>
      <c r="AK22" s="62">
        <f t="shared" si="8"/>
        <v>63.546000000000006</v>
      </c>
      <c r="AL22" s="72">
        <f t="shared" si="9"/>
        <v>115.23960000000001</v>
      </c>
      <c r="AM22" s="73">
        <f t="shared" si="15"/>
        <v>-0.54500000000007276</v>
      </c>
      <c r="AN22" s="74">
        <f t="shared" si="18"/>
        <v>2.6428999999907887E-3</v>
      </c>
      <c r="AO22" s="74">
        <f t="shared" si="18"/>
        <v>0.18034589999999184</v>
      </c>
      <c r="AP22" s="75">
        <f t="shared" si="16"/>
        <v>4.5646106654665423E-3</v>
      </c>
      <c r="AQ22" s="76">
        <f t="shared" si="11"/>
        <v>55.159142884993429</v>
      </c>
      <c r="AR22" s="90">
        <f t="shared" si="12"/>
        <v>-0.54500000000007276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1428</v>
      </c>
      <c r="E23" s="62">
        <v>4.45</v>
      </c>
      <c r="F23" s="62">
        <v>8.07</v>
      </c>
      <c r="G23" s="62">
        <f t="shared" si="0"/>
        <v>63.546000000000006</v>
      </c>
      <c r="H23" s="63">
        <f t="shared" si="1"/>
        <v>115.23960000000001</v>
      </c>
      <c r="I23" s="203">
        <v>934.58</v>
      </c>
      <c r="J23" s="203">
        <v>962.61740000000009</v>
      </c>
      <c r="K23" s="203">
        <v>4.2609739134156515</v>
      </c>
      <c r="L23" s="203">
        <v>7.9816516510090096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962.61740000000009</v>
      </c>
      <c r="S23" s="62">
        <f t="shared" si="2"/>
        <v>41.0168763</v>
      </c>
      <c r="T23" s="63">
        <f t="shared" si="3"/>
        <v>76.832767600000011</v>
      </c>
      <c r="U23" s="64" t="s">
        <v>221</v>
      </c>
      <c r="V23" s="65" t="s">
        <v>416</v>
      </c>
      <c r="W23" s="66" t="s">
        <v>149</v>
      </c>
      <c r="X23" s="67">
        <v>1545</v>
      </c>
      <c r="Y23" s="68">
        <v>4.2</v>
      </c>
      <c r="Z23" s="68">
        <v>7.85</v>
      </c>
      <c r="AA23" s="62">
        <f t="shared" si="4"/>
        <v>64.89</v>
      </c>
      <c r="AB23" s="63">
        <f t="shared" si="5"/>
        <v>121.2825</v>
      </c>
      <c r="AC23" s="69">
        <v>1545</v>
      </c>
      <c r="AD23" s="70">
        <v>4.2</v>
      </c>
      <c r="AE23" s="70">
        <v>7.85</v>
      </c>
      <c r="AF23" s="62">
        <f t="shared" si="6"/>
        <v>64.89</v>
      </c>
      <c r="AG23" s="63">
        <f t="shared" si="7"/>
        <v>121.2825</v>
      </c>
      <c r="AH23" s="97">
        <v>846</v>
      </c>
      <c r="AI23" s="66">
        <v>4.38</v>
      </c>
      <c r="AJ23" s="84">
        <v>8.0399999999999991</v>
      </c>
      <c r="AK23" s="62">
        <f t="shared" si="8"/>
        <v>37.0548</v>
      </c>
      <c r="AL23" s="72">
        <f t="shared" si="9"/>
        <v>68.018399999999986</v>
      </c>
      <c r="AM23" s="73">
        <f t="shared" si="15"/>
        <v>-0.38259999999991123</v>
      </c>
      <c r="AN23" s="74">
        <f t="shared" si="18"/>
        <v>2.6180762999999985</v>
      </c>
      <c r="AO23" s="74">
        <f t="shared" si="18"/>
        <v>2.7714676000000225</v>
      </c>
      <c r="AP23" s="75">
        <f t="shared" si="16"/>
        <v>4.5732373231210245E-2</v>
      </c>
      <c r="AQ23" s="76">
        <f t="shared" si="11"/>
        <v>2004.7069787103396</v>
      </c>
      <c r="AR23" s="90">
        <f t="shared" si="12"/>
        <v>-0.38259999999991123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846</v>
      </c>
      <c r="E24" s="62">
        <v>4.38</v>
      </c>
      <c r="F24" s="62">
        <v>8.0399999999999991</v>
      </c>
      <c r="G24" s="62">
        <f t="shared" si="0"/>
        <v>37.0548</v>
      </c>
      <c r="H24" s="63">
        <f t="shared" si="1"/>
        <v>68.018399999999986</v>
      </c>
      <c r="I24" s="203">
        <v>271.28000000000003</v>
      </c>
      <c r="J24" s="203">
        <v>279.41840000000002</v>
      </c>
      <c r="K24" s="203">
        <v>5.1963358891182549</v>
      </c>
      <c r="L24" s="203">
        <v>8.2405300796225287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279.41840000000002</v>
      </c>
      <c r="S24" s="62">
        <f t="shared" si="2"/>
        <v>14.519518600000003</v>
      </c>
      <c r="T24" s="63">
        <f t="shared" si="3"/>
        <v>23.025557299999996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7">
        <v>1126</v>
      </c>
      <c r="AI24" s="66">
        <v>4.58</v>
      </c>
      <c r="AJ24" s="66">
        <v>8.07</v>
      </c>
      <c r="AK24" s="62">
        <f t="shared" si="8"/>
        <v>51.570799999999998</v>
      </c>
      <c r="AL24" s="72">
        <f t="shared" si="9"/>
        <v>90.868200000000016</v>
      </c>
      <c r="AM24" s="73">
        <f t="shared" si="15"/>
        <v>-0.58159999999998035</v>
      </c>
      <c r="AN24" s="74">
        <f t="shared" si="18"/>
        <v>3.5186000000066997E-3</v>
      </c>
      <c r="AO24" s="74">
        <f t="shared" si="18"/>
        <v>0.17575729999997236</v>
      </c>
      <c r="AP24" s="75">
        <f t="shared" si="16"/>
        <v>4.7749510608920904E-3</v>
      </c>
      <c r="AQ24" s="76">
        <f t="shared" si="11"/>
        <v>54.179007754661413</v>
      </c>
      <c r="AR24" s="90">
        <f t="shared" si="12"/>
        <v>-0.58159999999998035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1126</v>
      </c>
      <c r="E25" s="62">
        <v>4.58</v>
      </c>
      <c r="F25" s="62">
        <v>8.07</v>
      </c>
      <c r="G25" s="62">
        <f t="shared" si="0"/>
        <v>51.570799999999998</v>
      </c>
      <c r="H25" s="63">
        <f t="shared" si="1"/>
        <v>90.868200000000016</v>
      </c>
      <c r="I25" s="203">
        <v>588.66999999999996</v>
      </c>
      <c r="J25" s="203">
        <v>606.33010000000002</v>
      </c>
      <c r="K25" s="203">
        <v>4.2434623813002208</v>
      </c>
      <c r="L25" s="203">
        <v>7.9996500586066919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606.33010000000002</v>
      </c>
      <c r="S25" s="62">
        <f t="shared" si="2"/>
        <v>25.729389700000009</v>
      </c>
      <c r="T25" s="63">
        <f t="shared" si="3"/>
        <v>48.50428620000001</v>
      </c>
      <c r="U25" s="64" t="s">
        <v>187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1732</v>
      </c>
      <c r="AI25" s="66">
        <v>4.45</v>
      </c>
      <c r="AJ25" s="66">
        <v>8.0399999999999991</v>
      </c>
      <c r="AK25" s="62">
        <f t="shared" si="8"/>
        <v>77.074000000000012</v>
      </c>
      <c r="AL25" s="72">
        <f t="shared" si="9"/>
        <v>139.25279999999998</v>
      </c>
      <c r="AM25" s="73">
        <f t="shared" si="15"/>
        <v>0.33010000000012951</v>
      </c>
      <c r="AN25" s="74">
        <f t="shared" si="18"/>
        <v>0.22618969999999194</v>
      </c>
      <c r="AO25" s="74">
        <f t="shared" si="18"/>
        <v>0.11968620000004648</v>
      </c>
      <c r="AP25" s="75">
        <f t="shared" si="16"/>
        <v>4.6592856383128175E-3</v>
      </c>
      <c r="AQ25" s="76">
        <f t="shared" si="11"/>
        <v>137.3577062550103</v>
      </c>
      <c r="AR25" s="90">
        <f t="shared" si="12"/>
        <v>0.33010000000012951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>
        <v>1732</v>
      </c>
      <c r="E26" s="62">
        <v>4.45</v>
      </c>
      <c r="F26" s="62">
        <v>8.0399999999999991</v>
      </c>
      <c r="G26" s="62">
        <f t="shared" si="0"/>
        <v>77.074000000000012</v>
      </c>
      <c r="H26" s="63">
        <f t="shared" si="1"/>
        <v>139.25279999999998</v>
      </c>
      <c r="I26" s="203">
        <v>1108.1599999999999</v>
      </c>
      <c r="J26" s="203">
        <v>1141.4047999999998</v>
      </c>
      <c r="K26" s="203">
        <v>4.499508193762634</v>
      </c>
      <c r="L26" s="203">
        <v>8.2086621065550087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1141.4047999999998</v>
      </c>
      <c r="S26" s="62">
        <f t="shared" si="2"/>
        <v>51.357602499999992</v>
      </c>
      <c r="T26" s="63">
        <f t="shared" si="3"/>
        <v>93.694063299999968</v>
      </c>
      <c r="U26" s="64" t="s">
        <v>221</v>
      </c>
      <c r="V26" s="65" t="s">
        <v>563</v>
      </c>
      <c r="W26" s="66" t="s">
        <v>149</v>
      </c>
      <c r="X26" s="67">
        <v>1885</v>
      </c>
      <c r="Y26" s="68">
        <v>4.2</v>
      </c>
      <c r="Z26" s="68">
        <v>8</v>
      </c>
      <c r="AA26" s="62">
        <f t="shared" si="4"/>
        <v>79.17</v>
      </c>
      <c r="AB26" s="63">
        <f t="shared" si="5"/>
        <v>150.80000000000001</v>
      </c>
      <c r="AC26" s="69">
        <v>1885</v>
      </c>
      <c r="AD26" s="70">
        <v>4.2</v>
      </c>
      <c r="AE26" s="70">
        <v>8</v>
      </c>
      <c r="AF26" s="62">
        <f t="shared" si="6"/>
        <v>79.17</v>
      </c>
      <c r="AG26" s="63">
        <f t="shared" si="7"/>
        <v>150.80000000000001</v>
      </c>
      <c r="AH26" s="97">
        <v>800</v>
      </c>
      <c r="AI26" s="66">
        <v>4.47</v>
      </c>
      <c r="AJ26" s="66">
        <v>8.1</v>
      </c>
      <c r="AK26" s="62">
        <f t="shared" si="8"/>
        <v>35.76</v>
      </c>
      <c r="AL26" s="72">
        <f t="shared" si="9"/>
        <v>64.8</v>
      </c>
      <c r="AM26" s="73">
        <f t="shared" si="15"/>
        <v>188.4047999999998</v>
      </c>
      <c r="AN26" s="74">
        <f t="shared" si="18"/>
        <v>13.501602499999997</v>
      </c>
      <c r="AO26" s="74">
        <f t="shared" si="18"/>
        <v>17.346863299999953</v>
      </c>
      <c r="AP26" s="75">
        <f t="shared" si="16"/>
        <v>0.21267226149980525</v>
      </c>
      <c r="AQ26" s="76">
        <f t="shared" si="11"/>
        <v>11252.457980943651</v>
      </c>
      <c r="AR26" s="90">
        <f t="shared" si="12"/>
        <v>188.4047999999998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>
        <v>800</v>
      </c>
      <c r="E27" s="62">
        <v>4.47</v>
      </c>
      <c r="F27" s="62">
        <v>8.1</v>
      </c>
      <c r="G27" s="62">
        <f t="shared" si="0"/>
        <v>35.76</v>
      </c>
      <c r="H27" s="63">
        <f t="shared" si="1"/>
        <v>64.8</v>
      </c>
      <c r="I27" s="203">
        <v>685.25</v>
      </c>
      <c r="J27" s="203">
        <v>705.8075</v>
      </c>
      <c r="K27" s="203">
        <v>4.2450755198832537</v>
      </c>
      <c r="L27" s="203">
        <v>8.1118482305727824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705.8075</v>
      </c>
      <c r="S27" s="62">
        <f t="shared" si="2"/>
        <v>29.9620614</v>
      </c>
      <c r="T27" s="63">
        <f t="shared" si="3"/>
        <v>57.254033199999988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>
        <v>1506</v>
      </c>
      <c r="AI27" s="66">
        <v>4.34</v>
      </c>
      <c r="AJ27" s="66">
        <v>8.09</v>
      </c>
      <c r="AK27" s="62">
        <f t="shared" si="8"/>
        <v>65.360399999999998</v>
      </c>
      <c r="AL27" s="72">
        <f t="shared" si="9"/>
        <v>121.83539999999999</v>
      </c>
      <c r="AM27" s="73">
        <f t="shared" si="15"/>
        <v>-0.19250000000010914</v>
      </c>
      <c r="AN27" s="74">
        <f t="shared" si="18"/>
        <v>0.36166140000000269</v>
      </c>
      <c r="AO27" s="74">
        <f t="shared" si="18"/>
        <v>0.21863319999999931</v>
      </c>
      <c r="AP27" s="75">
        <f t="shared" si="16"/>
        <v>6.6535265384378038E-3</v>
      </c>
      <c r="AQ27" s="76">
        <f t="shared" si="11"/>
        <v>227.78450561533435</v>
      </c>
      <c r="AR27" s="90">
        <f t="shared" si="12"/>
        <v>-0.19250000000010914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>
        <v>1506</v>
      </c>
      <c r="E28" s="62">
        <v>4.34</v>
      </c>
      <c r="F28" s="62">
        <v>8.09</v>
      </c>
      <c r="G28" s="62">
        <f t="shared" si="0"/>
        <v>65.360399999999998</v>
      </c>
      <c r="H28" s="63">
        <f t="shared" si="1"/>
        <v>121.83539999999999</v>
      </c>
      <c r="I28" s="203">
        <v>278.78999999999996</v>
      </c>
      <c r="J28" s="203">
        <v>287.15369999999996</v>
      </c>
      <c r="K28" s="203">
        <v>5.0237777538649162</v>
      </c>
      <c r="L28" s="203">
        <v>8.1561318555184918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287.15369999999996</v>
      </c>
      <c r="S28" s="62">
        <f t="shared" si="2"/>
        <v>14.425963699999999</v>
      </c>
      <c r="T28" s="63">
        <f t="shared" si="3"/>
        <v>23.420634400000001</v>
      </c>
      <c r="U28" s="64" t="s">
        <v>221</v>
      </c>
      <c r="V28" s="65" t="s">
        <v>564</v>
      </c>
      <c r="W28" s="66" t="s">
        <v>149</v>
      </c>
      <c r="X28" s="67">
        <v>1360</v>
      </c>
      <c r="Y28" s="68">
        <v>4.2</v>
      </c>
      <c r="Z28" s="68">
        <v>8</v>
      </c>
      <c r="AA28" s="62">
        <f t="shared" si="4"/>
        <v>57.120000000000005</v>
      </c>
      <c r="AB28" s="63">
        <f t="shared" si="5"/>
        <v>108.8</v>
      </c>
      <c r="AC28" s="69">
        <v>1360</v>
      </c>
      <c r="AD28" s="70">
        <v>4.2</v>
      </c>
      <c r="AE28" s="70">
        <v>8</v>
      </c>
      <c r="AF28" s="62">
        <f t="shared" si="6"/>
        <v>57.120000000000005</v>
      </c>
      <c r="AG28" s="63">
        <f t="shared" si="7"/>
        <v>108.8</v>
      </c>
      <c r="AH28" s="97">
        <v>433</v>
      </c>
      <c r="AI28" s="66">
        <v>4.4400000000000004</v>
      </c>
      <c r="AJ28" s="66">
        <v>8.1</v>
      </c>
      <c r="AK28" s="62">
        <f t="shared" si="8"/>
        <v>19.225200000000001</v>
      </c>
      <c r="AL28" s="72">
        <f t="shared" si="9"/>
        <v>35.073</v>
      </c>
      <c r="AM28" s="73">
        <f t="shared" si="15"/>
        <v>0.15369999999984429</v>
      </c>
      <c r="AN28" s="74">
        <f t="shared" si="18"/>
        <v>3.4411636999999899</v>
      </c>
      <c r="AO28" s="74">
        <f t="shared" si="18"/>
        <v>1.3830344000000068</v>
      </c>
      <c r="AP28" s="75">
        <f t="shared" si="16"/>
        <v>0.12746715272144887</v>
      </c>
      <c r="AQ28" s="76">
        <f t="shared" si="11"/>
        <v>1958.6781115696642</v>
      </c>
      <c r="AR28" s="90">
        <f t="shared" si="12"/>
        <v>0.15369999999984429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>
        <v>433</v>
      </c>
      <c r="E29" s="62">
        <v>4.4400000000000004</v>
      </c>
      <c r="F29" s="62">
        <v>8.1</v>
      </c>
      <c r="G29" s="62">
        <f t="shared" si="0"/>
        <v>19.225200000000001</v>
      </c>
      <c r="H29" s="63">
        <f t="shared" si="1"/>
        <v>35.073</v>
      </c>
      <c r="I29" s="203">
        <v>1054.3500000000001</v>
      </c>
      <c r="J29" s="203">
        <v>1085.9805000000001</v>
      </c>
      <c r="K29" s="203">
        <v>4.4440954142362585</v>
      </c>
      <c r="L29" s="203">
        <v>8.2422430881585811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1085.9805000000001</v>
      </c>
      <c r="S29" s="62">
        <f t="shared" si="2"/>
        <v>48.262009599999999</v>
      </c>
      <c r="T29" s="63">
        <f t="shared" si="3"/>
        <v>89.509152700000001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>
        <v>1519</v>
      </c>
      <c r="AI29" s="66">
        <v>4.4000000000000004</v>
      </c>
      <c r="AJ29" s="66">
        <v>8.17</v>
      </c>
      <c r="AK29" s="62">
        <f t="shared" si="8"/>
        <v>66.836000000000013</v>
      </c>
      <c r="AL29" s="72">
        <f t="shared" si="9"/>
        <v>124.10229999999999</v>
      </c>
      <c r="AM29" s="73">
        <f t="shared" si="15"/>
        <v>-1.9499999999879947E-2</v>
      </c>
      <c r="AN29" s="74">
        <f t="shared" si="18"/>
        <v>0.65120959999998718</v>
      </c>
      <c r="AO29" s="74">
        <f t="shared" si="18"/>
        <v>0.47985270000000924</v>
      </c>
      <c r="AP29" s="75">
        <f t="shared" si="16"/>
        <v>8.2097173393738312E-3</v>
      </c>
      <c r="AQ29" s="76">
        <f t="shared" si="11"/>
        <v>435.94161857399706</v>
      </c>
      <c r="AR29" s="90">
        <f t="shared" si="12"/>
        <v>-1.9499999999879947E-2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>
        <v>1519</v>
      </c>
      <c r="E30" s="62">
        <v>4.4000000000000004</v>
      </c>
      <c r="F30" s="62">
        <v>8.17</v>
      </c>
      <c r="G30" s="62">
        <f t="shared" si="0"/>
        <v>66.836000000000013</v>
      </c>
      <c r="H30" s="63">
        <f t="shared" si="1"/>
        <v>124.10229999999999</v>
      </c>
      <c r="I30" s="203">
        <v>333.64</v>
      </c>
      <c r="J30" s="203">
        <v>343.64920000000001</v>
      </c>
      <c r="K30" s="203">
        <v>5.0207049514446709</v>
      </c>
      <c r="L30" s="203">
        <v>8.1373396475242785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343.64920000000001</v>
      </c>
      <c r="S30" s="62">
        <f t="shared" si="2"/>
        <v>17.253612400000002</v>
      </c>
      <c r="T30" s="63">
        <f t="shared" si="3"/>
        <v>27.963902600000004</v>
      </c>
      <c r="U30" s="64" t="s">
        <v>221</v>
      </c>
      <c r="V30" s="65" t="s">
        <v>565</v>
      </c>
      <c r="W30" s="66" t="s">
        <v>149</v>
      </c>
      <c r="X30" s="67">
        <v>1278</v>
      </c>
      <c r="Y30" s="68">
        <v>4.3</v>
      </c>
      <c r="Z30" s="68">
        <v>8.02</v>
      </c>
      <c r="AA30" s="62">
        <f t="shared" si="4"/>
        <v>54.953999999999994</v>
      </c>
      <c r="AB30" s="63">
        <f t="shared" si="5"/>
        <v>102.4956</v>
      </c>
      <c r="AC30" s="69">
        <v>1278</v>
      </c>
      <c r="AD30" s="70">
        <v>4.3</v>
      </c>
      <c r="AE30" s="70">
        <v>8.02</v>
      </c>
      <c r="AF30" s="62">
        <f t="shared" si="6"/>
        <v>54.953999999999994</v>
      </c>
      <c r="AG30" s="63">
        <f t="shared" si="7"/>
        <v>102.4956</v>
      </c>
      <c r="AH30" s="97">
        <v>300</v>
      </c>
      <c r="AI30" s="66">
        <v>4.5</v>
      </c>
      <c r="AJ30" s="66">
        <v>8.15</v>
      </c>
      <c r="AK30" s="62">
        <f t="shared" si="8"/>
        <v>13.5</v>
      </c>
      <c r="AL30" s="72">
        <f t="shared" si="9"/>
        <v>24.45</v>
      </c>
      <c r="AM30" s="73">
        <f t="shared" si="15"/>
        <v>284.64920000000006</v>
      </c>
      <c r="AN30" s="74">
        <f t="shared" si="18"/>
        <v>15.635612400000028</v>
      </c>
      <c r="AO30" s="74">
        <f t="shared" si="18"/>
        <v>25.120602600000002</v>
      </c>
      <c r="AP30" s="75">
        <f t="shared" si="16"/>
        <v>0.90133690451587223</v>
      </c>
      <c r="AQ30" s="76">
        <f t="shared" si="11"/>
        <v>14536.909237928014</v>
      </c>
      <c r="AR30" s="90">
        <f t="shared" si="12"/>
        <v>284.64920000000006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>
        <v>300</v>
      </c>
      <c r="E31" s="62">
        <v>4.5</v>
      </c>
      <c r="F31" s="62">
        <v>8.15</v>
      </c>
      <c r="G31" s="62">
        <f t="shared" si="0"/>
        <v>13.5</v>
      </c>
      <c r="H31" s="63">
        <f t="shared" si="1"/>
        <v>24.45</v>
      </c>
      <c r="I31" s="203">
        <v>1083.3400000000001</v>
      </c>
      <c r="J31" s="203">
        <v>1115.8402000000001</v>
      </c>
      <c r="K31" s="203">
        <v>4.5302730444735735</v>
      </c>
      <c r="L31" s="203">
        <v>8.2588965606365505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1115.8402000000001</v>
      </c>
      <c r="S31" s="62">
        <f t="shared" si="2"/>
        <v>50.550607800000016</v>
      </c>
      <c r="T31" s="63">
        <f t="shared" si="3"/>
        <v>92.156087900000003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>
        <v>1416</v>
      </c>
      <c r="AI31" s="66">
        <v>4.5</v>
      </c>
      <c r="AJ31" s="66">
        <v>8.26</v>
      </c>
      <c r="AK31" s="62">
        <f t="shared" si="8"/>
        <v>63.72</v>
      </c>
      <c r="AL31" s="72">
        <f t="shared" si="9"/>
        <v>116.96159999999999</v>
      </c>
      <c r="AM31" s="73">
        <f t="shared" si="15"/>
        <v>-0.15979999999990468</v>
      </c>
      <c r="AN31" s="74">
        <f t="shared" si="18"/>
        <v>0.3306078000000241</v>
      </c>
      <c r="AO31" s="74">
        <f t="shared" si="18"/>
        <v>-0.35551209999998434</v>
      </c>
      <c r="AP31" s="75">
        <f t="shared" si="16"/>
        <v>-1.7451388582575276E-4</v>
      </c>
      <c r="AQ31" s="76">
        <f t="shared" si="11"/>
        <v>42.017856290682175</v>
      </c>
      <c r="AR31" s="90">
        <f t="shared" si="12"/>
        <v>-0.15979999999990468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>
        <v>1416</v>
      </c>
      <c r="E32" s="62">
        <v>4.5</v>
      </c>
      <c r="F32" s="62">
        <v>8.26</v>
      </c>
      <c r="G32" s="62">
        <f t="shared" si="0"/>
        <v>63.72</v>
      </c>
      <c r="H32" s="63">
        <f t="shared" si="1"/>
        <v>116.96159999999999</v>
      </c>
      <c r="I32" s="203">
        <v>232.57</v>
      </c>
      <c r="J32" s="203">
        <v>239.5471</v>
      </c>
      <c r="K32" s="203">
        <v>5.2642129251408187</v>
      </c>
      <c r="L32" s="203">
        <v>8.2260351722062168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239.5471</v>
      </c>
      <c r="S32" s="62">
        <f t="shared" si="2"/>
        <v>12.610269400000002</v>
      </c>
      <c r="T32" s="63">
        <f t="shared" si="3"/>
        <v>19.705228699999999</v>
      </c>
      <c r="U32" s="64" t="s">
        <v>221</v>
      </c>
      <c r="V32" s="85" t="s">
        <v>566</v>
      </c>
      <c r="W32" s="66" t="s">
        <v>149</v>
      </c>
      <c r="X32" s="67">
        <v>1044</v>
      </c>
      <c r="Y32" s="68">
        <v>4.2</v>
      </c>
      <c r="Z32" s="68">
        <v>8</v>
      </c>
      <c r="AA32" s="62">
        <f t="shared" si="4"/>
        <v>43.848000000000006</v>
      </c>
      <c r="AB32" s="63">
        <f t="shared" si="5"/>
        <v>83.52</v>
      </c>
      <c r="AC32" s="69">
        <v>1044</v>
      </c>
      <c r="AD32" s="70">
        <v>4.2</v>
      </c>
      <c r="AE32" s="70">
        <v>8</v>
      </c>
      <c r="AF32" s="62">
        <f t="shared" si="6"/>
        <v>43.848000000000006</v>
      </c>
      <c r="AG32" s="63">
        <f t="shared" si="7"/>
        <v>83.52</v>
      </c>
      <c r="AH32" s="97">
        <v>612</v>
      </c>
      <c r="AI32" s="66">
        <v>4.6100000000000003</v>
      </c>
      <c r="AJ32" s="66">
        <v>8.25</v>
      </c>
      <c r="AK32" s="62">
        <f t="shared" si="8"/>
        <v>28.213200000000001</v>
      </c>
      <c r="AL32" s="72">
        <f t="shared" si="9"/>
        <v>50.49</v>
      </c>
      <c r="AM32" s="73">
        <f t="shared" si="15"/>
        <v>-0.45289999999999964</v>
      </c>
      <c r="AN32" s="74">
        <f t="shared" si="18"/>
        <v>4.2690693999999993</v>
      </c>
      <c r="AO32" s="74">
        <f t="shared" si="18"/>
        <v>2.6568286999999984</v>
      </c>
      <c r="AP32" s="75">
        <f t="shared" si="16"/>
        <v>0.214321254729476</v>
      </c>
      <c r="AQ32" s="76">
        <f t="shared" si="11"/>
        <v>2711.5459254986663</v>
      </c>
      <c r="AR32" s="90">
        <f t="shared" si="12"/>
        <v>-0.45289999999999964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>
        <v>612</v>
      </c>
      <c r="E33" s="62">
        <v>4.6100000000000003</v>
      </c>
      <c r="F33" s="62">
        <v>8.25</v>
      </c>
      <c r="G33" s="62">
        <f t="shared" si="0"/>
        <v>28.213200000000001</v>
      </c>
      <c r="H33" s="63">
        <f t="shared" si="1"/>
        <v>50.49</v>
      </c>
      <c r="I33" s="203">
        <v>723.97</v>
      </c>
      <c r="J33" s="203">
        <v>745.68910000000005</v>
      </c>
      <c r="K33" s="203">
        <v>4.1984239678439721</v>
      </c>
      <c r="L33" s="203">
        <v>8.0148942635744547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745.68910000000005</v>
      </c>
      <c r="S33" s="62">
        <f t="shared" si="2"/>
        <v>31.307189900000008</v>
      </c>
      <c r="T33" s="63">
        <f t="shared" si="3"/>
        <v>59.766192899999979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>
        <v>1357</v>
      </c>
      <c r="AI33" s="66">
        <v>4.38</v>
      </c>
      <c r="AJ33" s="66">
        <v>8.1</v>
      </c>
      <c r="AK33" s="62">
        <f t="shared" si="8"/>
        <v>59.436599999999999</v>
      </c>
      <c r="AL33" s="72">
        <f t="shared" si="9"/>
        <v>109.917</v>
      </c>
      <c r="AM33" s="73">
        <f t="shared" si="15"/>
        <v>0.68910000000005311</v>
      </c>
      <c r="AN33" s="74">
        <f t="shared" si="18"/>
        <v>8.3789900000013517E-2</v>
      </c>
      <c r="AO33" s="74">
        <f t="shared" si="18"/>
        <v>0.33919289999997204</v>
      </c>
      <c r="AP33" s="75">
        <f t="shared" si="16"/>
        <v>4.6444173587893304E-3</v>
      </c>
      <c r="AQ33" s="76">
        <f t="shared" si="11"/>
        <v>139.12551383499772</v>
      </c>
      <c r="AR33" s="90">
        <f t="shared" si="12"/>
        <v>0.68910000000005311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>
        <v>1357</v>
      </c>
      <c r="E34" s="62">
        <v>4.38</v>
      </c>
      <c r="F34" s="62">
        <v>8.1</v>
      </c>
      <c r="G34" s="62">
        <f t="shared" si="0"/>
        <v>59.436599999999999</v>
      </c>
      <c r="H34" s="63">
        <f t="shared" si="1"/>
        <v>109.917</v>
      </c>
      <c r="I34" s="203">
        <v>481.02000000000004</v>
      </c>
      <c r="J34" s="203">
        <v>495.45060000000007</v>
      </c>
      <c r="K34" s="203">
        <v>4.8758533948692371</v>
      </c>
      <c r="L34" s="203">
        <v>8.0817824622676824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495.45060000000007</v>
      </c>
      <c r="S34" s="62">
        <f t="shared" si="2"/>
        <v>24.157444900000005</v>
      </c>
      <c r="T34" s="63">
        <f t="shared" si="3"/>
        <v>40.041239700000013</v>
      </c>
      <c r="U34" s="64" t="s">
        <v>221</v>
      </c>
      <c r="V34" s="65" t="s">
        <v>567</v>
      </c>
      <c r="W34" s="66" t="s">
        <v>149</v>
      </c>
      <c r="X34" s="67">
        <v>1627</v>
      </c>
      <c r="Y34" s="68">
        <v>4.4000000000000004</v>
      </c>
      <c r="Z34" s="68">
        <v>8.0399999999999991</v>
      </c>
      <c r="AA34" s="62">
        <f t="shared" si="4"/>
        <v>71.588000000000008</v>
      </c>
      <c r="AB34" s="63">
        <f t="shared" si="5"/>
        <v>130.81079999999997</v>
      </c>
      <c r="AC34" s="69">
        <v>1627</v>
      </c>
      <c r="AD34" s="70">
        <v>4.4000000000000004</v>
      </c>
      <c r="AE34" s="70">
        <v>8.0399999999999991</v>
      </c>
      <c r="AF34" s="62">
        <f t="shared" si="6"/>
        <v>71.588000000000008</v>
      </c>
      <c r="AG34" s="63">
        <f t="shared" si="7"/>
        <v>130.81079999999997</v>
      </c>
      <c r="AH34" s="97">
        <v>225</v>
      </c>
      <c r="AI34" s="66">
        <v>4.41</v>
      </c>
      <c r="AJ34" s="66">
        <v>8.08</v>
      </c>
      <c r="AK34" s="62">
        <f t="shared" si="8"/>
        <v>9.9224999999999994</v>
      </c>
      <c r="AL34" s="72">
        <f t="shared" si="9"/>
        <v>18.18</v>
      </c>
      <c r="AM34" s="73">
        <f t="shared" si="15"/>
        <v>0.45060000000012224</v>
      </c>
      <c r="AN34" s="74">
        <f t="shared" si="18"/>
        <v>2.0835448999999926</v>
      </c>
      <c r="AO34" s="74">
        <f t="shared" si="18"/>
        <v>0.96743970000003543</v>
      </c>
      <c r="AP34" s="75">
        <f t="shared" si="16"/>
        <v>4.7524098336432688E-2</v>
      </c>
      <c r="AQ34" s="76">
        <f t="shared" si="11"/>
        <v>1224.8530448770073</v>
      </c>
      <c r="AR34" s="77">
        <f>(D34+J34+O34)-(X34+AH34)</f>
        <v>0.45060000000012224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>
        <v>225</v>
      </c>
      <c r="E35" s="62">
        <v>4.41</v>
      </c>
      <c r="F35" s="62">
        <v>8.08</v>
      </c>
      <c r="G35" s="62">
        <f t="shared" si="0"/>
        <v>9.9224999999999994</v>
      </c>
      <c r="H35" s="63">
        <f t="shared" si="1"/>
        <v>18.18</v>
      </c>
      <c r="I35" s="203">
        <v>769.40000000000009</v>
      </c>
      <c r="J35" s="203">
        <v>792.48200000000008</v>
      </c>
      <c r="K35" s="203">
        <v>4.2784546399792047</v>
      </c>
      <c r="L35" s="203">
        <v>8.0737444762152339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792.48200000000008</v>
      </c>
      <c r="S35" s="62">
        <f t="shared" si="2"/>
        <v>33.905982900000005</v>
      </c>
      <c r="T35" s="63">
        <f t="shared" si="3"/>
        <v>63.982971700000014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>
        <v>1017</v>
      </c>
      <c r="AI35" s="66">
        <v>4.32</v>
      </c>
      <c r="AJ35" s="66">
        <v>8.09</v>
      </c>
      <c r="AK35" s="62">
        <f t="shared" si="8"/>
        <v>43.934400000000004</v>
      </c>
      <c r="AL35" s="72">
        <f t="shared" si="9"/>
        <v>82.275300000000001</v>
      </c>
      <c r="AM35" s="73">
        <f t="shared" si="15"/>
        <v>0.48200000000008458</v>
      </c>
      <c r="AN35" s="74">
        <f t="shared" si="18"/>
        <v>-0.10591709999999921</v>
      </c>
      <c r="AO35" s="74">
        <f t="shared" si="18"/>
        <v>-0.11232829999998728</v>
      </c>
      <c r="AP35" s="75">
        <f t="shared" si="16"/>
        <v>-2.2295201832708759E-3</v>
      </c>
      <c r="AQ35" s="76">
        <f t="shared" si="11"/>
        <v>-81.164110129662504</v>
      </c>
      <c r="AR35" s="77">
        <f t="shared" si="12"/>
        <v>0.48200000000008458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>
        <v>1017</v>
      </c>
      <c r="E36" s="62">
        <v>4.32</v>
      </c>
      <c r="F36" s="62">
        <v>8.09</v>
      </c>
      <c r="G36" s="62">
        <f t="shared" si="0"/>
        <v>43.934400000000004</v>
      </c>
      <c r="H36" s="63">
        <f t="shared" si="1"/>
        <v>82.275300000000001</v>
      </c>
      <c r="I36" s="203">
        <v>729.01</v>
      </c>
      <c r="J36" s="203">
        <v>750.88030000000003</v>
      </c>
      <c r="K36" s="203">
        <v>4.8040712747424585</v>
      </c>
      <c r="L36" s="203">
        <v>8.0756903197487002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750.88030000000003</v>
      </c>
      <c r="S36" s="62">
        <f t="shared" si="2"/>
        <v>36.072824799999999</v>
      </c>
      <c r="T36" s="63">
        <f t="shared" si="3"/>
        <v>60.638767700000002</v>
      </c>
      <c r="U36" s="64" t="s">
        <v>221</v>
      </c>
      <c r="V36" s="65" t="s">
        <v>568</v>
      </c>
      <c r="W36" s="66" t="s">
        <v>149</v>
      </c>
      <c r="X36" s="67">
        <v>878</v>
      </c>
      <c r="Y36" s="68">
        <v>4.3</v>
      </c>
      <c r="Z36" s="68">
        <v>8.02</v>
      </c>
      <c r="AA36" s="62">
        <f t="shared" si="4"/>
        <v>37.753999999999998</v>
      </c>
      <c r="AB36" s="63">
        <f t="shared" si="5"/>
        <v>70.415599999999998</v>
      </c>
      <c r="AC36" s="69">
        <v>878</v>
      </c>
      <c r="AD36" s="70">
        <v>4.3</v>
      </c>
      <c r="AE36" s="70">
        <v>8.02</v>
      </c>
      <c r="AF36" s="62">
        <f t="shared" si="6"/>
        <v>37.753999999999998</v>
      </c>
      <c r="AG36" s="63">
        <f t="shared" si="7"/>
        <v>70.415599999999998</v>
      </c>
      <c r="AH36" s="97">
        <v>890</v>
      </c>
      <c r="AI36" s="66">
        <v>4.5199999999999996</v>
      </c>
      <c r="AJ36" s="66">
        <v>8.09</v>
      </c>
      <c r="AK36" s="62">
        <f t="shared" si="8"/>
        <v>40.227999999999994</v>
      </c>
      <c r="AL36" s="72">
        <f t="shared" si="9"/>
        <v>72.001000000000005</v>
      </c>
      <c r="AM36" s="73">
        <f t="shared" si="15"/>
        <v>-0.11969999999996617</v>
      </c>
      <c r="AN36" s="74">
        <f t="shared" si="18"/>
        <v>2.0252248000000108</v>
      </c>
      <c r="AO36" s="74">
        <f t="shared" si="18"/>
        <v>0.4974677000000014</v>
      </c>
      <c r="AP36" s="75">
        <f t="shared" si="16"/>
        <v>2.6084696103003499E-2</v>
      </c>
      <c r="AQ36" s="76">
        <f t="shared" si="11"/>
        <v>1058.0224817726721</v>
      </c>
      <c r="AR36" s="90">
        <f t="shared" si="12"/>
        <v>-0.11969999999996617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>
        <v>890</v>
      </c>
      <c r="E37" s="62">
        <v>4.5199999999999996</v>
      </c>
      <c r="F37" s="62">
        <v>8.09</v>
      </c>
      <c r="G37" s="62">
        <f t="shared" si="0"/>
        <v>40.227999999999994</v>
      </c>
      <c r="H37" s="63">
        <f t="shared" si="1"/>
        <v>72.001000000000005</v>
      </c>
      <c r="I37" s="203">
        <v>412.64</v>
      </c>
      <c r="J37" s="203">
        <v>425.01920000000001</v>
      </c>
      <c r="K37" s="203">
        <v>4.6523458704924403</v>
      </c>
      <c r="L37" s="203">
        <v>8.0930835595191937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425.01920000000001</v>
      </c>
      <c r="S37" s="62">
        <f t="shared" si="2"/>
        <v>19.773363200000006</v>
      </c>
      <c r="T37" s="63">
        <f t="shared" si="3"/>
        <v>34.397159000000002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>
        <v>1315</v>
      </c>
      <c r="AI37" s="66">
        <v>4.5999999999999996</v>
      </c>
      <c r="AJ37" s="66">
        <v>8.09</v>
      </c>
      <c r="AK37" s="62">
        <f t="shared" si="8"/>
        <v>60.49</v>
      </c>
      <c r="AL37" s="72">
        <f t="shared" si="9"/>
        <v>106.3835</v>
      </c>
      <c r="AM37" s="73">
        <f t="shared" si="15"/>
        <v>1.9199999999955253E-2</v>
      </c>
      <c r="AN37" s="74">
        <f t="shared" si="18"/>
        <v>-0.48863680000000187</v>
      </c>
      <c r="AO37" s="74">
        <f t="shared" si="18"/>
        <v>1.4659000000008859E-2</v>
      </c>
      <c r="AP37" s="75">
        <f t="shared" si="16"/>
        <v>-8.7497365864417122E-3</v>
      </c>
      <c r="AQ37" s="76">
        <f t="shared" si="11"/>
        <v>-214.96689809466486</v>
      </c>
      <c r="AR37" s="90">
        <f t="shared" si="12"/>
        <v>1.9199999999955253E-2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>
        <v>1315</v>
      </c>
      <c r="E38" s="62">
        <v>4.5999999999999996</v>
      </c>
      <c r="F38" s="62">
        <v>8.09</v>
      </c>
      <c r="G38" s="62">
        <f t="shared" si="0"/>
        <v>60.49</v>
      </c>
      <c r="H38" s="63">
        <f t="shared" si="1"/>
        <v>106.3835</v>
      </c>
      <c r="I38" s="203">
        <v>255.57999999999998</v>
      </c>
      <c r="J38" s="203">
        <v>263.24739999999997</v>
      </c>
      <c r="K38" s="203">
        <v>5.0807222787385564</v>
      </c>
      <c r="L38" s="203">
        <v>8.2464199076610072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263.24739999999997</v>
      </c>
      <c r="S38" s="62">
        <f t="shared" si="2"/>
        <v>13.374869300000002</v>
      </c>
      <c r="T38" s="63">
        <f t="shared" si="3"/>
        <v>21.708485999999997</v>
      </c>
      <c r="U38" s="64" t="s">
        <v>221</v>
      </c>
      <c r="V38" s="65" t="s">
        <v>569</v>
      </c>
      <c r="W38" s="66" t="s">
        <v>149</v>
      </c>
      <c r="X38" s="67">
        <v>1380</v>
      </c>
      <c r="Y38" s="68">
        <v>4.3</v>
      </c>
      <c r="Z38" s="68">
        <v>8.02</v>
      </c>
      <c r="AA38" s="62">
        <f t="shared" si="4"/>
        <v>59.339999999999996</v>
      </c>
      <c r="AB38" s="63">
        <f t="shared" si="5"/>
        <v>110.67599999999999</v>
      </c>
      <c r="AC38" s="69">
        <v>1380</v>
      </c>
      <c r="AD38" s="70">
        <v>4.3</v>
      </c>
      <c r="AE38" s="70">
        <v>8.02</v>
      </c>
      <c r="AF38" s="62">
        <f t="shared" si="6"/>
        <v>59.339999999999996</v>
      </c>
      <c r="AG38" s="63">
        <f t="shared" si="7"/>
        <v>110.67599999999999</v>
      </c>
      <c r="AH38" s="97">
        <v>198</v>
      </c>
      <c r="AI38" s="66">
        <v>4.68</v>
      </c>
      <c r="AJ38" s="66">
        <v>8.11</v>
      </c>
      <c r="AK38" s="62">
        <f t="shared" si="8"/>
        <v>9.2663999999999991</v>
      </c>
      <c r="AL38" s="72">
        <f t="shared" si="9"/>
        <v>16.057799999999997</v>
      </c>
      <c r="AM38" s="73">
        <f t="shared" si="15"/>
        <v>0.24739999999997053</v>
      </c>
      <c r="AN38" s="74">
        <f t="shared" si="18"/>
        <v>5.258469300000014</v>
      </c>
      <c r="AO38" s="74">
        <f t="shared" si="18"/>
        <v>1.358186000000007</v>
      </c>
      <c r="AP38" s="75">
        <f t="shared" si="16"/>
        <v>0.18859813274473269</v>
      </c>
      <c r="AQ38" s="76">
        <f t="shared" si="11"/>
        <v>2767.048304969675</v>
      </c>
      <c r="AR38" s="90">
        <f t="shared" si="12"/>
        <v>0.24739999999997053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>
        <v>198</v>
      </c>
      <c r="E39" s="62">
        <v>4.68</v>
      </c>
      <c r="F39" s="62">
        <v>8.11</v>
      </c>
      <c r="G39" s="62">
        <f t="shared" si="0"/>
        <v>9.2663999999999991</v>
      </c>
      <c r="H39" s="63">
        <f t="shared" si="1"/>
        <v>16.057799999999997</v>
      </c>
      <c r="I39" s="203">
        <v>1249.57</v>
      </c>
      <c r="J39" s="203">
        <v>1287.0571</v>
      </c>
      <c r="K39" s="203">
        <v>4.3720231759725348</v>
      </c>
      <c r="L39" s="203">
        <v>8.1054258664980772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1287.0571</v>
      </c>
      <c r="S39" s="62">
        <f t="shared" si="2"/>
        <v>56.270434700000003</v>
      </c>
      <c r="T39" s="63">
        <f t="shared" si="3"/>
        <v>104.32145910000001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>
        <v>1485</v>
      </c>
      <c r="AI39" s="66">
        <v>4.43</v>
      </c>
      <c r="AJ39" s="66">
        <v>8.1</v>
      </c>
      <c r="AK39" s="62">
        <f t="shared" si="8"/>
        <v>65.785499999999999</v>
      </c>
      <c r="AL39" s="72">
        <f t="shared" si="9"/>
        <v>120.28500000000001</v>
      </c>
      <c r="AM39" s="73">
        <f t="shared" si="15"/>
        <v>5.7099999999991269E-2</v>
      </c>
      <c r="AN39" s="74">
        <f t="shared" si="18"/>
        <v>-0.24866529999999898</v>
      </c>
      <c r="AO39" s="74">
        <f t="shared" si="18"/>
        <v>9.4259100000002149E-2</v>
      </c>
      <c r="AP39" s="75">
        <f t="shared" si="16"/>
        <v>-9.6148190513459665E-4</v>
      </c>
      <c r="AQ39" s="76">
        <f t="shared" si="11"/>
        <v>-83.419104768998906</v>
      </c>
      <c r="AR39" s="90">
        <f t="shared" si="12"/>
        <v>5.7099999999991269E-2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7"/>
      <c r="AI40" s="66"/>
      <c r="AJ40" s="66"/>
      <c r="AK40" s="62">
        <f t="shared" si="8"/>
        <v>0</v>
      </c>
      <c r="AL40" s="72">
        <f t="shared" si="9"/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7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24004.778299999998</v>
      </c>
      <c r="X66" s="77"/>
      <c r="AH66" s="77"/>
      <c r="AI66" s="77"/>
      <c r="AJ66" s="77"/>
      <c r="AM66" s="83">
        <f>-SUM(AM4:AM65)</f>
        <v>296.12170000000037</v>
      </c>
      <c r="AN66" s="83">
        <f t="shared" ref="AN66:AO66" si="19">-SUM(AN4:AN65)</f>
        <v>-44.677202799999989</v>
      </c>
      <c r="AO66" s="83">
        <f t="shared" si="19"/>
        <v>-20.051926700000017</v>
      </c>
      <c r="AP66" s="83" t="e">
        <f>-SUM(AP4:AP65)</f>
        <v>#DIV/0!</v>
      </c>
      <c r="AQ66" s="127">
        <f>-SUM(AQ4:AQ65)</f>
        <v>-26057.050052212668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6" priority="1" operator="lessThan">
      <formula>0.1</formula>
    </cfRule>
    <cfRule type="cellIs" dxfId="115" priority="2" operator="greaterThan">
      <formula>0.1</formula>
    </cfRule>
  </conditionalFormatting>
  <conditionalFormatting sqref="AP1:AQ1">
    <cfRule type="cellIs" dxfId="114" priority="5" operator="lessThan">
      <formula>1</formula>
    </cfRule>
  </conditionalFormatting>
  <conditionalFormatting sqref="AQ4:AQ65">
    <cfRule type="cellIs" dxfId="113" priority="3" operator="lessThan">
      <formula>0</formula>
    </cfRule>
    <cfRule type="cellIs" dxfId="112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V71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H26" sqref="AH26:AJ39"/>
    </sheetView>
  </sheetViews>
  <sheetFormatPr defaultRowHeight="15" x14ac:dyDescent="0.25"/>
  <cols>
    <col min="1" max="1" width="3.42578125" customWidth="1"/>
    <col min="2" max="2" width="11.7109375" bestFit="1" customWidth="1"/>
    <col min="3" max="3" width="4.7109375" bestFit="1" customWidth="1"/>
    <col min="4" max="4" width="7.140625" bestFit="1" customWidth="1"/>
    <col min="5" max="5" width="6.28515625" customWidth="1"/>
    <col min="6" max="6" width="5.5703125" bestFit="1" customWidth="1"/>
    <col min="7" max="7" width="7.28515625" customWidth="1"/>
    <col min="8" max="9" width="7.5703125" bestFit="1" customWidth="1"/>
    <col min="10" max="10" width="8.7109375" bestFit="1" customWidth="1"/>
    <col min="11" max="12" width="7.28515625" bestFit="1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8.7109375" bestFit="1" customWidth="1"/>
    <col min="19" max="19" width="7.28515625" customWidth="1"/>
    <col min="20" max="20" width="7.5703125" customWidth="1"/>
    <col min="21" max="21" width="6.7109375" bestFit="1" customWidth="1"/>
    <col min="22" max="22" width="7.140625" bestFit="1" customWidth="1"/>
    <col min="23" max="23" width="12.42578125" bestFit="1" customWidth="1"/>
    <col min="24" max="24" width="7.42578125" bestFit="1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.42578125" customWidth="1"/>
    <col min="36" max="36" width="5.5703125" bestFit="1" customWidth="1"/>
    <col min="37" max="37" width="7.28515625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89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" si="0">+D4*E4%</f>
        <v>0</v>
      </c>
      <c r="H4" s="63">
        <f t="shared" ref="H4" si="1">+D4*F4%</f>
        <v>0</v>
      </c>
      <c r="I4" s="203">
        <v>3638.9999999999991</v>
      </c>
      <c r="J4" s="203">
        <v>3748.1699999999992</v>
      </c>
      <c r="K4" s="203">
        <v>4.3174278647980193</v>
      </c>
      <c r="L4" s="203">
        <v>8.2878922780983757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3748.1699999999992</v>
      </c>
      <c r="S4" s="62">
        <f t="shared" ref="S4" si="2">+J4*K4%+O4*P4%</f>
        <v>161.82453599999988</v>
      </c>
      <c r="T4" s="63">
        <f t="shared" ref="T4" si="3">+J4*L4%+O4*Q4%</f>
        <v>310.64429199999984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2">
        <f t="shared" ref="AG4" si="7">AC4*AE4%</f>
        <v>0</v>
      </c>
      <c r="AH4" s="89">
        <v>3749</v>
      </c>
      <c r="AI4" s="66">
        <v>4.32</v>
      </c>
      <c r="AJ4" s="66">
        <v>8.39</v>
      </c>
      <c r="AK4" s="62">
        <f t="shared" ref="AK4" si="8">AH4*AI4%</f>
        <v>161.95680000000002</v>
      </c>
      <c r="AL4" s="72">
        <f t="shared" ref="AL4" si="9">AH4*AJ4%</f>
        <v>314.54110000000003</v>
      </c>
      <c r="AM4" s="73">
        <f t="shared" ref="AM4" si="10">+D4+R4-AC4-AH4</f>
        <v>-0.83000000000083674</v>
      </c>
      <c r="AN4" s="74">
        <f t="shared" ref="AN4:AO4" si="11">+G4+S4-AF4-AK4</f>
        <v>-0.13226400000013427</v>
      </c>
      <c r="AO4" s="74">
        <f t="shared" si="11"/>
        <v>-3.8968080000001919</v>
      </c>
      <c r="AP4" s="75">
        <f t="shared" ref="AP4" si="12">(AN4+AO4)/(S4+T4)</f>
        <v>-8.5276991014533749E-3</v>
      </c>
      <c r="AQ4" s="76">
        <f t="shared" ref="AQ4" si="13">($AP$1*AN4+$AQ$1*AO4)</f>
        <v>-1225.5853517601179</v>
      </c>
      <c r="AR4" s="90">
        <f t="shared" ref="AR4:AR65" si="14">(D4+J4+O4)-(X4+AH4)</f>
        <v>-0.83000000000083674</v>
      </c>
    </row>
    <row r="5" spans="1:44" x14ac:dyDescent="0.25">
      <c r="A5" t="str">
        <f t="shared" ref="A5:A65" si="15">CONCATENATE(B5,C5)</f>
        <v>46174E</v>
      </c>
      <c r="B5" s="51">
        <f>+B4</f>
        <v>46174</v>
      </c>
      <c r="C5" s="52" t="s">
        <v>88</v>
      </c>
      <c r="D5" s="91">
        <v>3749</v>
      </c>
      <c r="E5" s="62">
        <v>4.32</v>
      </c>
      <c r="F5" s="62">
        <v>8.39</v>
      </c>
      <c r="G5" s="62">
        <f t="shared" ref="G5:G65" si="16">+D5*E5%</f>
        <v>161.95680000000002</v>
      </c>
      <c r="H5" s="63">
        <f t="shared" ref="H5:H65" si="17">+D5*F5%</f>
        <v>314.54110000000003</v>
      </c>
      <c r="I5" s="203">
        <v>4129.5</v>
      </c>
      <c r="J5" s="203">
        <v>4253.3850000000002</v>
      </c>
      <c r="K5" s="203">
        <v>3.8815643540380176</v>
      </c>
      <c r="L5" s="203">
        <v>8.20396658191064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4253.3850000000002</v>
      </c>
      <c r="S5" s="62">
        <f t="shared" ref="S5:S65" si="19">+J5*K5%+O5*P5%</f>
        <v>165.09787599999993</v>
      </c>
      <c r="T5" s="63">
        <f t="shared" ref="T5:T65" si="20">+J5*L5%+O5*Q5%</f>
        <v>348.94628399999993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21">X5*Y5%</f>
        <v>0</v>
      </c>
      <c r="AB5" s="63">
        <f t="shared" ref="AB5:AB65" si="22">X5*Z5%</f>
        <v>0</v>
      </c>
      <c r="AC5" s="69"/>
      <c r="AD5" s="70"/>
      <c r="AE5" s="70"/>
      <c r="AF5" s="62">
        <f t="shared" ref="AF5:AF65" si="23">AC5*AD5%</f>
        <v>0</v>
      </c>
      <c r="AG5" s="62">
        <f t="shared" ref="AG5:AG65" si="24">AC5*AE5%</f>
        <v>0</v>
      </c>
      <c r="AH5" s="89">
        <v>8003</v>
      </c>
      <c r="AI5" s="66">
        <v>4.09</v>
      </c>
      <c r="AJ5" s="66">
        <v>8.2899999999999991</v>
      </c>
      <c r="AK5" s="62">
        <f t="shared" ref="AK5:AK65" si="25">AH5*AI5%</f>
        <v>327.3227</v>
      </c>
      <c r="AL5" s="72">
        <f t="shared" ref="AL5:AL65" si="26">AH5*AJ5%</f>
        <v>663.44869999999992</v>
      </c>
      <c r="AM5" s="73">
        <f t="shared" ref="AM5:AM65" si="27">+D5+R5-AC5-AH5</f>
        <v>-0.61499999999978172</v>
      </c>
      <c r="AN5" s="74">
        <f t="shared" ref="AN5:AN65" si="28">+G5+S5-AF5-AK5</f>
        <v>-0.26802400000002535</v>
      </c>
      <c r="AO5" s="74">
        <f t="shared" ref="AO5:AO65" si="29">+H5+T5-AG5-AL5</f>
        <v>3.8684000000102969E-2</v>
      </c>
      <c r="AP5" s="75">
        <f t="shared" ref="AP5:AP65" si="30">(AN5+AO5)/(S5+T5)</f>
        <v>-4.4614843985373243E-4</v>
      </c>
      <c r="AQ5" s="76">
        <f t="shared" ref="AQ5:AQ65" si="31">($AP$1*AN5+$AQ$1*AO5)</f>
        <v>-108.74156421331391</v>
      </c>
      <c r="AR5" s="90">
        <f t="shared" si="14"/>
        <v>-0.61499999999978172</v>
      </c>
    </row>
    <row r="6" spans="1:44" x14ac:dyDescent="0.25">
      <c r="A6" t="str">
        <f t="shared" si="15"/>
        <v>46175M</v>
      </c>
      <c r="B6" s="51">
        <f>+B4+1</f>
        <v>46175</v>
      </c>
      <c r="C6" s="52" t="s">
        <v>87</v>
      </c>
      <c r="D6" s="91">
        <v>8003</v>
      </c>
      <c r="E6" s="62">
        <v>4.09</v>
      </c>
      <c r="F6" s="62">
        <v>8.2899999999999991</v>
      </c>
      <c r="G6" s="62">
        <f t="shared" si="16"/>
        <v>327.3227</v>
      </c>
      <c r="H6" s="63">
        <f t="shared" si="17"/>
        <v>663.44869999999992</v>
      </c>
      <c r="I6" s="203">
        <v>4508.699999999998</v>
      </c>
      <c r="J6" s="203">
        <v>4643.9609999999984</v>
      </c>
      <c r="K6" s="203">
        <v>4.1986625856677122</v>
      </c>
      <c r="L6" s="203">
        <v>8.2063654712001277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4643.9609999999984</v>
      </c>
      <c r="S6" s="62">
        <f t="shared" si="19"/>
        <v>194.98425300000008</v>
      </c>
      <c r="T6" s="63">
        <f t="shared" si="20"/>
        <v>381.10041200000001</v>
      </c>
      <c r="U6" s="64" t="s">
        <v>168</v>
      </c>
      <c r="V6" s="65" t="s">
        <v>329</v>
      </c>
      <c r="W6" s="66" t="s">
        <v>225</v>
      </c>
      <c r="X6" s="67">
        <v>9870</v>
      </c>
      <c r="Y6" s="68">
        <v>4.25</v>
      </c>
      <c r="Z6" s="68">
        <v>8.32</v>
      </c>
      <c r="AA6" s="62">
        <f t="shared" si="21"/>
        <v>419.47500000000002</v>
      </c>
      <c r="AB6" s="63">
        <f t="shared" si="22"/>
        <v>821.18399999999997</v>
      </c>
      <c r="AC6" s="69">
        <v>9840</v>
      </c>
      <c r="AD6" s="70">
        <v>4.0999999999999988</v>
      </c>
      <c r="AE6" s="70">
        <v>8.1099999999999977</v>
      </c>
      <c r="AF6" s="62">
        <f t="shared" si="23"/>
        <v>403.43999999999988</v>
      </c>
      <c r="AG6" s="62">
        <f t="shared" si="24"/>
        <v>798.02399999999977</v>
      </c>
      <c r="AH6" s="89">
        <v>3087</v>
      </c>
      <c r="AI6" s="66">
        <v>4.13</v>
      </c>
      <c r="AJ6" s="66">
        <v>8.26</v>
      </c>
      <c r="AK6" s="62">
        <f t="shared" si="25"/>
        <v>127.49309999999998</v>
      </c>
      <c r="AL6" s="72">
        <f t="shared" si="26"/>
        <v>254.98619999999997</v>
      </c>
      <c r="AM6" s="73">
        <f t="shared" si="27"/>
        <v>-280.03900000000067</v>
      </c>
      <c r="AN6" s="74">
        <f t="shared" si="28"/>
        <v>-8.6261469999998468</v>
      </c>
      <c r="AO6" s="74">
        <f t="shared" si="29"/>
        <v>-8.461087999999819</v>
      </c>
      <c r="AP6" s="75">
        <f t="shared" si="30"/>
        <v>-2.966097873825484E-2</v>
      </c>
      <c r="AQ6" s="76">
        <f t="shared" si="31"/>
        <v>-6404.5416591565445</v>
      </c>
      <c r="AR6" s="90">
        <f t="shared" si="14"/>
        <v>-310.03900000000067</v>
      </c>
    </row>
    <row r="7" spans="1:44" x14ac:dyDescent="0.25">
      <c r="A7" t="str">
        <f t="shared" si="15"/>
        <v>46175E</v>
      </c>
      <c r="B7" s="51">
        <f>+B5+1</f>
        <v>46175</v>
      </c>
      <c r="C7" s="52" t="s">
        <v>88</v>
      </c>
      <c r="D7" s="91">
        <v>3087</v>
      </c>
      <c r="E7" s="62">
        <v>4.13</v>
      </c>
      <c r="F7" s="62">
        <v>8.26</v>
      </c>
      <c r="G7" s="62">
        <f t="shared" si="16"/>
        <v>127.49309999999998</v>
      </c>
      <c r="H7" s="63">
        <f t="shared" si="17"/>
        <v>254.98619999999997</v>
      </c>
      <c r="I7" s="203">
        <v>4080.2</v>
      </c>
      <c r="J7" s="203">
        <v>4202.6059999999998</v>
      </c>
      <c r="K7" s="203">
        <v>3.7818415763933135</v>
      </c>
      <c r="L7" s="203">
        <v>8.1626072251360249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4202.6059999999998</v>
      </c>
      <c r="S7" s="62">
        <f t="shared" si="19"/>
        <v>158.93590099999997</v>
      </c>
      <c r="T7" s="63">
        <f t="shared" si="20"/>
        <v>343.04222100000004</v>
      </c>
      <c r="U7" s="64" t="s">
        <v>175</v>
      </c>
      <c r="V7" s="65" t="s">
        <v>226</v>
      </c>
      <c r="W7" s="66" t="s">
        <v>227</v>
      </c>
      <c r="X7" s="67">
        <v>3650</v>
      </c>
      <c r="Y7" s="68">
        <v>4.2</v>
      </c>
      <c r="Z7" s="68">
        <v>8.31</v>
      </c>
      <c r="AA7" s="62">
        <f t="shared" si="21"/>
        <v>153.30000000000001</v>
      </c>
      <c r="AB7" s="63">
        <f t="shared" si="22"/>
        <v>303.31500000000005</v>
      </c>
      <c r="AC7" s="69">
        <v>3670</v>
      </c>
      <c r="AD7" s="70">
        <v>4.1500000000000004</v>
      </c>
      <c r="AE7" s="70">
        <v>8.25</v>
      </c>
      <c r="AF7" s="62">
        <f t="shared" si="23"/>
        <v>152.30500000000001</v>
      </c>
      <c r="AG7" s="62">
        <f t="shared" si="24"/>
        <v>302.77500000000003</v>
      </c>
      <c r="AH7" s="89">
        <v>3641</v>
      </c>
      <c r="AI7" s="71">
        <v>3.93</v>
      </c>
      <c r="AJ7" s="71">
        <v>8.1999999999999993</v>
      </c>
      <c r="AK7" s="62">
        <f t="shared" si="25"/>
        <v>143.09130000000002</v>
      </c>
      <c r="AL7" s="72">
        <f t="shared" si="26"/>
        <v>298.56199999999995</v>
      </c>
      <c r="AM7" s="73">
        <f t="shared" si="27"/>
        <v>-21.394000000000233</v>
      </c>
      <c r="AN7" s="74">
        <f t="shared" si="28"/>
        <v>-8.9672990000000539</v>
      </c>
      <c r="AO7" s="74">
        <f t="shared" si="29"/>
        <v>-3.3085790000000088</v>
      </c>
      <c r="AP7" s="75">
        <f t="shared" si="30"/>
        <v>-2.4455006029127428E-2</v>
      </c>
      <c r="AQ7" s="76">
        <f t="shared" si="31"/>
        <v>-5015.6796600166936</v>
      </c>
      <c r="AR7" s="90">
        <f t="shared" si="14"/>
        <v>-1.3940000000002328</v>
      </c>
    </row>
    <row r="8" spans="1:44" x14ac:dyDescent="0.25">
      <c r="A8" t="str">
        <f t="shared" si="15"/>
        <v>46176M</v>
      </c>
      <c r="B8" s="51">
        <f>+B6+1</f>
        <v>46176</v>
      </c>
      <c r="C8" s="52" t="s">
        <v>87</v>
      </c>
      <c r="D8" s="91">
        <v>3641</v>
      </c>
      <c r="E8" s="62">
        <v>3.93</v>
      </c>
      <c r="F8" s="62">
        <v>8.1999999999999993</v>
      </c>
      <c r="G8" s="62">
        <f t="shared" si="16"/>
        <v>143.09130000000002</v>
      </c>
      <c r="H8" s="63">
        <f t="shared" si="17"/>
        <v>298.56199999999995</v>
      </c>
      <c r="I8" s="203">
        <v>3942.6</v>
      </c>
      <c r="J8" s="203">
        <v>4060.8780000000002</v>
      </c>
      <c r="K8" s="203">
        <v>4.27426571298128</v>
      </c>
      <c r="L8" s="203">
        <v>8.2024146502308088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4060.8780000000002</v>
      </c>
      <c r="S8" s="62">
        <f t="shared" si="19"/>
        <v>173.57271599999996</v>
      </c>
      <c r="T8" s="63">
        <f t="shared" si="20"/>
        <v>333.0900519999999</v>
      </c>
      <c r="U8" s="64" t="s">
        <v>167</v>
      </c>
      <c r="V8" s="65" t="s">
        <v>167</v>
      </c>
      <c r="W8" s="66" t="s">
        <v>167</v>
      </c>
      <c r="X8" s="67">
        <v>0</v>
      </c>
      <c r="Y8" s="68">
        <v>0</v>
      </c>
      <c r="Z8" s="68">
        <v>0</v>
      </c>
      <c r="AA8" s="62">
        <f t="shared" si="21"/>
        <v>0</v>
      </c>
      <c r="AB8" s="63">
        <f t="shared" si="22"/>
        <v>0</v>
      </c>
      <c r="AC8" s="69"/>
      <c r="AD8" s="70"/>
      <c r="AE8" s="70"/>
      <c r="AF8" s="62">
        <f t="shared" si="23"/>
        <v>0</v>
      </c>
      <c r="AG8" s="62">
        <f t="shared" si="24"/>
        <v>0</v>
      </c>
      <c r="AH8" s="89">
        <v>7703</v>
      </c>
      <c r="AI8" s="66">
        <v>4.1100000000000003</v>
      </c>
      <c r="AJ8" s="66">
        <v>8.1999999999999993</v>
      </c>
      <c r="AK8" s="62">
        <f t="shared" si="25"/>
        <v>316.59330000000006</v>
      </c>
      <c r="AL8" s="72">
        <f t="shared" si="26"/>
        <v>631.64599999999996</v>
      </c>
      <c r="AM8" s="73">
        <f t="shared" si="27"/>
        <v>-1.1219999999993888</v>
      </c>
      <c r="AN8" s="74">
        <f t="shared" si="28"/>
        <v>7.0715999999890755E-2</v>
      </c>
      <c r="AO8" s="74">
        <f t="shared" si="29"/>
        <v>6.0519999999542051E-3</v>
      </c>
      <c r="AP8" s="75">
        <f t="shared" si="30"/>
        <v>1.5151695535647685E-4</v>
      </c>
      <c r="AQ8" s="76">
        <f t="shared" si="31"/>
        <v>33.556321773270589</v>
      </c>
      <c r="AR8" s="90">
        <f t="shared" ref="AR8:AR15" si="32">(D8+J8+O8)-(X8+AH8)</f>
        <v>-1.1219999999993888</v>
      </c>
    </row>
    <row r="9" spans="1:44" x14ac:dyDescent="0.25">
      <c r="A9" t="str">
        <f t="shared" si="15"/>
        <v>46176E</v>
      </c>
      <c r="B9" s="51">
        <f t="shared" ref="B9:B65" si="33">+B7+1</f>
        <v>46176</v>
      </c>
      <c r="C9" s="52" t="s">
        <v>88</v>
      </c>
      <c r="D9" s="91">
        <v>7703</v>
      </c>
      <c r="E9" s="62">
        <v>4.1100000000000003</v>
      </c>
      <c r="F9" s="62">
        <v>8.1999999999999993</v>
      </c>
      <c r="G9" s="62">
        <f t="shared" si="16"/>
        <v>316.59330000000006</v>
      </c>
      <c r="H9" s="63">
        <f t="shared" si="17"/>
        <v>631.64599999999996</v>
      </c>
      <c r="I9" s="203">
        <v>4461.2</v>
      </c>
      <c r="J9" s="203">
        <v>4595.0360000000001</v>
      </c>
      <c r="K9" s="203">
        <v>3.9278109028960806</v>
      </c>
      <c r="L9" s="203">
        <v>8.1428606652918525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4595.0360000000001</v>
      </c>
      <c r="S9" s="62">
        <f t="shared" si="19"/>
        <v>180.48432499999996</v>
      </c>
      <c r="T9" s="63">
        <f t="shared" si="20"/>
        <v>374.16737900000015</v>
      </c>
      <c r="U9" s="64" t="s">
        <v>172</v>
      </c>
      <c r="V9" s="65" t="s">
        <v>228</v>
      </c>
      <c r="W9" s="66" t="s">
        <v>227</v>
      </c>
      <c r="X9" s="67">
        <v>6280</v>
      </c>
      <c r="Y9" s="68">
        <v>4.2</v>
      </c>
      <c r="Z9" s="68">
        <v>8.25</v>
      </c>
      <c r="AA9" s="62">
        <f t="shared" si="21"/>
        <v>263.76</v>
      </c>
      <c r="AB9" s="63">
        <f t="shared" si="22"/>
        <v>518.1</v>
      </c>
      <c r="AC9" s="69">
        <v>6290</v>
      </c>
      <c r="AD9" s="70">
        <v>4.0499205087440382</v>
      </c>
      <c r="AE9" s="70">
        <v>8.2199841017488087</v>
      </c>
      <c r="AF9" s="62">
        <f t="shared" si="23"/>
        <v>254.74</v>
      </c>
      <c r="AG9" s="62">
        <f t="shared" si="24"/>
        <v>517.03700000000003</v>
      </c>
      <c r="AH9" s="92">
        <v>6019</v>
      </c>
      <c r="AI9" s="66">
        <v>4.04</v>
      </c>
      <c r="AJ9" s="66">
        <v>8.18</v>
      </c>
      <c r="AK9" s="62">
        <f t="shared" si="25"/>
        <v>243.16759999999999</v>
      </c>
      <c r="AL9" s="72">
        <f t="shared" si="26"/>
        <v>492.35419999999999</v>
      </c>
      <c r="AM9" s="73">
        <f t="shared" si="27"/>
        <v>-10.963999999999942</v>
      </c>
      <c r="AN9" s="74">
        <f t="shared" si="28"/>
        <v>-0.82997499999999036</v>
      </c>
      <c r="AO9" s="74">
        <f t="shared" si="29"/>
        <v>-3.577820999999858</v>
      </c>
      <c r="AP9" s="75">
        <f t="shared" si="30"/>
        <v>-7.9469619730941042E-3</v>
      </c>
      <c r="AQ9" s="76">
        <f t="shared" si="31"/>
        <v>-1443.3304939899533</v>
      </c>
      <c r="AR9" s="90">
        <f t="shared" si="32"/>
        <v>-0.96399999999994179</v>
      </c>
    </row>
    <row r="10" spans="1:44" x14ac:dyDescent="0.25">
      <c r="A10" t="str">
        <f t="shared" si="15"/>
        <v>46177M</v>
      </c>
      <c r="B10" s="51">
        <f t="shared" si="33"/>
        <v>46177</v>
      </c>
      <c r="C10" s="52" t="s">
        <v>87</v>
      </c>
      <c r="D10" s="91">
        <v>6019</v>
      </c>
      <c r="E10" s="62">
        <v>4.04</v>
      </c>
      <c r="F10" s="62">
        <v>8.18</v>
      </c>
      <c r="G10" s="62">
        <f t="shared" si="16"/>
        <v>243.16759999999999</v>
      </c>
      <c r="H10" s="63">
        <f t="shared" si="17"/>
        <v>492.35419999999999</v>
      </c>
      <c r="I10" s="203">
        <v>3699.0000000000005</v>
      </c>
      <c r="J10" s="203">
        <v>3809.9700000000007</v>
      </c>
      <c r="K10" s="203">
        <v>4.3174749932414169</v>
      </c>
      <c r="L10" s="203">
        <v>8.2260070289267357</v>
      </c>
      <c r="M10" s="58" t="s">
        <v>159</v>
      </c>
      <c r="N10" s="58" t="s">
        <v>223</v>
      </c>
      <c r="O10" s="59">
        <v>6200</v>
      </c>
      <c r="P10" s="56">
        <v>3.85</v>
      </c>
      <c r="Q10" s="60">
        <v>8.07</v>
      </c>
      <c r="R10" s="61">
        <f t="shared" si="18"/>
        <v>10009.970000000001</v>
      </c>
      <c r="S10" s="62">
        <f t="shared" si="19"/>
        <v>403.19450200000006</v>
      </c>
      <c r="T10" s="63">
        <f t="shared" si="20"/>
        <v>813.74839999999995</v>
      </c>
      <c r="U10" s="64" t="s">
        <v>168</v>
      </c>
      <c r="V10" s="65" t="s">
        <v>229</v>
      </c>
      <c r="W10" s="66" t="s">
        <v>225</v>
      </c>
      <c r="X10" s="67">
        <v>9870</v>
      </c>
      <c r="Y10" s="68">
        <v>4.05</v>
      </c>
      <c r="Z10" s="68">
        <v>8.15</v>
      </c>
      <c r="AA10" s="62">
        <f t="shared" si="21"/>
        <v>399.73500000000001</v>
      </c>
      <c r="AB10" s="63">
        <f t="shared" si="22"/>
        <v>804.40499999999997</v>
      </c>
      <c r="AC10" s="69">
        <v>9820</v>
      </c>
      <c r="AD10" s="70">
        <v>4</v>
      </c>
      <c r="AE10" s="70">
        <v>8.08</v>
      </c>
      <c r="AF10" s="62">
        <f t="shared" si="23"/>
        <v>392.8</v>
      </c>
      <c r="AG10" s="62">
        <f t="shared" si="24"/>
        <v>793.45600000000002</v>
      </c>
      <c r="AH10" s="89">
        <v>6125</v>
      </c>
      <c r="AI10" s="66">
        <v>4.03</v>
      </c>
      <c r="AJ10" s="66">
        <v>8.15</v>
      </c>
      <c r="AK10" s="62">
        <f t="shared" si="25"/>
        <v>246.83750000000001</v>
      </c>
      <c r="AL10" s="72">
        <f t="shared" si="26"/>
        <v>499.1875</v>
      </c>
      <c r="AM10" s="73">
        <f t="shared" si="27"/>
        <v>83.970000000001164</v>
      </c>
      <c r="AN10" s="74">
        <f t="shared" si="28"/>
        <v>6.7246020000000328</v>
      </c>
      <c r="AO10" s="74">
        <f t="shared" si="29"/>
        <v>13.459099999999921</v>
      </c>
      <c r="AP10" s="75">
        <f t="shared" si="30"/>
        <v>1.6585578474412232E-2</v>
      </c>
      <c r="AQ10" s="76">
        <f t="shared" si="31"/>
        <v>7046.6908044866586</v>
      </c>
      <c r="AR10" s="90">
        <f t="shared" si="32"/>
        <v>33.970000000001164</v>
      </c>
    </row>
    <row r="11" spans="1:44" ht="14.25" customHeight="1" x14ac:dyDescent="0.25">
      <c r="A11" t="str">
        <f t="shared" si="15"/>
        <v>46177E</v>
      </c>
      <c r="B11" s="51">
        <f t="shared" si="33"/>
        <v>46177</v>
      </c>
      <c r="C11" s="52" t="s">
        <v>88</v>
      </c>
      <c r="D11" s="91">
        <v>6125</v>
      </c>
      <c r="E11" s="62">
        <v>4.03</v>
      </c>
      <c r="F11" s="62">
        <v>8.15</v>
      </c>
      <c r="G11" s="62">
        <f t="shared" si="16"/>
        <v>246.83750000000001</v>
      </c>
      <c r="H11" s="63">
        <f t="shared" si="17"/>
        <v>499.1875</v>
      </c>
      <c r="I11" s="203">
        <v>4440.8999999999996</v>
      </c>
      <c r="J11" s="203">
        <v>4574.1269999999995</v>
      </c>
      <c r="K11" s="203">
        <v>3.9102456709225604</v>
      </c>
      <c r="L11" s="203">
        <v>8.1712535747258439</v>
      </c>
      <c r="M11" s="58" t="s">
        <v>159</v>
      </c>
      <c r="N11" s="58" t="s">
        <v>224</v>
      </c>
      <c r="O11" s="59">
        <v>3222</v>
      </c>
      <c r="P11" s="56">
        <v>3.6</v>
      </c>
      <c r="Q11" s="60">
        <v>8</v>
      </c>
      <c r="R11" s="61">
        <f t="shared" si="18"/>
        <v>7796.1269999999995</v>
      </c>
      <c r="S11" s="62">
        <f t="shared" si="19"/>
        <v>294.85160299999995</v>
      </c>
      <c r="T11" s="63">
        <f t="shared" si="20"/>
        <v>631.52351599999997</v>
      </c>
      <c r="U11" s="64" t="s">
        <v>172</v>
      </c>
      <c r="V11" s="65" t="s">
        <v>230</v>
      </c>
      <c r="W11" s="66" t="s">
        <v>227</v>
      </c>
      <c r="X11" s="67">
        <v>3150</v>
      </c>
      <c r="Y11" s="68">
        <v>4.0999999999999996</v>
      </c>
      <c r="Z11" s="68">
        <v>8.16</v>
      </c>
      <c r="AA11" s="62">
        <f t="shared" si="21"/>
        <v>129.14999999999998</v>
      </c>
      <c r="AB11" s="63">
        <f t="shared" si="22"/>
        <v>257.04000000000002</v>
      </c>
      <c r="AC11" s="69">
        <v>3150</v>
      </c>
      <c r="AD11" s="70">
        <v>4</v>
      </c>
      <c r="AE11" s="70">
        <v>8.08</v>
      </c>
      <c r="AF11" s="62">
        <f t="shared" si="23"/>
        <v>126</v>
      </c>
      <c r="AG11" s="62">
        <f t="shared" si="24"/>
        <v>254.51999999999998</v>
      </c>
      <c r="AH11" s="89">
        <v>10772</v>
      </c>
      <c r="AI11" s="66">
        <v>3.89</v>
      </c>
      <c r="AJ11" s="66">
        <v>8.1199999999999992</v>
      </c>
      <c r="AK11" s="62">
        <f t="shared" si="25"/>
        <v>419.03080000000006</v>
      </c>
      <c r="AL11" s="72">
        <f t="shared" si="26"/>
        <v>874.68639999999994</v>
      </c>
      <c r="AM11" s="73">
        <f t="shared" si="27"/>
        <v>-0.87299999999959255</v>
      </c>
      <c r="AN11" s="74">
        <f t="shared" si="28"/>
        <v>-3.3416970000001243</v>
      </c>
      <c r="AO11" s="74">
        <f t="shared" si="29"/>
        <v>1.5046160000000555</v>
      </c>
      <c r="AP11" s="75">
        <f t="shared" si="30"/>
        <v>-1.9830854287010151E-3</v>
      </c>
      <c r="AQ11" s="76">
        <f t="shared" si="31"/>
        <v>-1049.8297545633725</v>
      </c>
      <c r="AR11" s="90">
        <f t="shared" si="32"/>
        <v>-0.87299999999959255</v>
      </c>
    </row>
    <row r="12" spans="1:44" x14ac:dyDescent="0.25">
      <c r="A12" t="str">
        <f t="shared" si="15"/>
        <v>46178M</v>
      </c>
      <c r="B12" s="51">
        <f t="shared" si="33"/>
        <v>46178</v>
      </c>
      <c r="C12" s="52" t="s">
        <v>87</v>
      </c>
      <c r="D12" s="91">
        <v>10772</v>
      </c>
      <c r="E12" s="62">
        <v>3.89</v>
      </c>
      <c r="F12" s="62">
        <v>8.1199999999999992</v>
      </c>
      <c r="G12" s="62">
        <f t="shared" si="16"/>
        <v>419.03080000000006</v>
      </c>
      <c r="H12" s="63">
        <f t="shared" si="17"/>
        <v>874.68639999999994</v>
      </c>
      <c r="I12" s="203">
        <v>2696.1000000000004</v>
      </c>
      <c r="J12" s="203">
        <v>2776.9830000000006</v>
      </c>
      <c r="K12" s="203">
        <v>4.4062831497348025</v>
      </c>
      <c r="L12" s="203">
        <v>8.2659359816030573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2776.9830000000006</v>
      </c>
      <c r="S12" s="62">
        <f t="shared" si="19"/>
        <v>122.36173400000004</v>
      </c>
      <c r="T12" s="63">
        <f t="shared" si="20"/>
        <v>229.5436370000001</v>
      </c>
      <c r="U12" s="64" t="s">
        <v>170</v>
      </c>
      <c r="V12" s="65" t="s">
        <v>342</v>
      </c>
      <c r="W12" s="66" t="s">
        <v>227</v>
      </c>
      <c r="X12" s="67">
        <v>10070</v>
      </c>
      <c r="Y12" s="68">
        <v>4.25</v>
      </c>
      <c r="Z12" s="68">
        <v>8.26</v>
      </c>
      <c r="AA12" s="62">
        <f t="shared" si="21"/>
        <v>427.97500000000002</v>
      </c>
      <c r="AB12" s="63">
        <f t="shared" si="22"/>
        <v>831.78199999999993</v>
      </c>
      <c r="AC12" s="69">
        <v>10110</v>
      </c>
      <c r="AD12" s="70">
        <v>4.2</v>
      </c>
      <c r="AE12" s="70">
        <v>8.1827497527200794</v>
      </c>
      <c r="AF12" s="62">
        <f t="shared" si="23"/>
        <v>424.62</v>
      </c>
      <c r="AG12" s="62">
        <f t="shared" si="24"/>
        <v>827.27600000000007</v>
      </c>
      <c r="AH12" s="89">
        <v>3480</v>
      </c>
      <c r="AI12" s="66">
        <v>4</v>
      </c>
      <c r="AJ12" s="66">
        <v>8.15</v>
      </c>
      <c r="AK12" s="62">
        <f t="shared" si="25"/>
        <v>139.20000000000002</v>
      </c>
      <c r="AL12" s="72">
        <f t="shared" si="26"/>
        <v>283.62</v>
      </c>
      <c r="AM12" s="73">
        <f t="shared" si="27"/>
        <v>-41.016999999999825</v>
      </c>
      <c r="AN12" s="74">
        <f t="shared" si="28"/>
        <v>-22.427465999999953</v>
      </c>
      <c r="AO12" s="74">
        <f t="shared" si="29"/>
        <v>-6.6659630000000334</v>
      </c>
      <c r="AP12" s="75">
        <f t="shared" si="30"/>
        <v>-8.2674012383857506E-2</v>
      </c>
      <c r="AQ12" s="76">
        <f t="shared" si="31"/>
        <v>-12062.858728946656</v>
      </c>
      <c r="AR12" s="90">
        <f t="shared" si="32"/>
        <v>-1.0169999999998254</v>
      </c>
    </row>
    <row r="13" spans="1:44" x14ac:dyDescent="0.25">
      <c r="A13" t="str">
        <f t="shared" si="15"/>
        <v>46178E</v>
      </c>
      <c r="B13" s="51">
        <f t="shared" si="33"/>
        <v>46178</v>
      </c>
      <c r="C13" s="52" t="s">
        <v>88</v>
      </c>
      <c r="D13" s="91">
        <v>3480</v>
      </c>
      <c r="E13" s="62">
        <v>4</v>
      </c>
      <c r="F13" s="62">
        <v>8.15</v>
      </c>
      <c r="G13" s="62">
        <f t="shared" si="16"/>
        <v>139.20000000000002</v>
      </c>
      <c r="H13" s="63">
        <f t="shared" si="17"/>
        <v>283.62</v>
      </c>
      <c r="I13" s="203">
        <v>5251.4000000000005</v>
      </c>
      <c r="J13" s="203">
        <v>5408.9420000000009</v>
      </c>
      <c r="K13" s="203">
        <v>3.6900807403739968</v>
      </c>
      <c r="L13" s="203">
        <v>8.0946109608866212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5408.9420000000009</v>
      </c>
      <c r="S13" s="62">
        <f t="shared" si="19"/>
        <v>199.59432700000008</v>
      </c>
      <c r="T13" s="63">
        <f t="shared" si="20"/>
        <v>437.8328120000001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1"/>
        <v>0</v>
      </c>
      <c r="AB13" s="63">
        <f t="shared" si="22"/>
        <v>0</v>
      </c>
      <c r="AC13" s="69"/>
      <c r="AD13" s="70"/>
      <c r="AE13" s="70"/>
      <c r="AF13" s="62">
        <f t="shared" si="23"/>
        <v>0</v>
      </c>
      <c r="AG13" s="62">
        <f t="shared" si="24"/>
        <v>0</v>
      </c>
      <c r="AH13" s="89">
        <v>8890</v>
      </c>
      <c r="AI13" s="66">
        <v>3.81</v>
      </c>
      <c r="AJ13" s="66">
        <v>8.11</v>
      </c>
      <c r="AK13" s="62">
        <f t="shared" si="25"/>
        <v>338.709</v>
      </c>
      <c r="AL13" s="72">
        <f t="shared" si="26"/>
        <v>720.97899999999993</v>
      </c>
      <c r="AM13" s="73">
        <f t="shared" si="27"/>
        <v>-1.0579999999990832</v>
      </c>
      <c r="AN13" s="74">
        <f t="shared" si="28"/>
        <v>8.5327000000063435E-2</v>
      </c>
      <c r="AO13" s="74">
        <f t="shared" si="29"/>
        <v>0.47381200000017998</v>
      </c>
      <c r="AP13" s="75">
        <f t="shared" si="30"/>
        <v>8.7718103888300759E-4</v>
      </c>
      <c r="AQ13" s="76">
        <f t="shared" si="31"/>
        <v>180.1034401834157</v>
      </c>
      <c r="AR13" s="90">
        <f t="shared" si="32"/>
        <v>-1.0579999999990832</v>
      </c>
    </row>
    <row r="14" spans="1:44" x14ac:dyDescent="0.25">
      <c r="A14" t="str">
        <f t="shared" si="15"/>
        <v>46179M</v>
      </c>
      <c r="B14" s="51">
        <f t="shared" si="33"/>
        <v>46179</v>
      </c>
      <c r="C14" s="52" t="s">
        <v>87</v>
      </c>
      <c r="D14" s="91">
        <v>8890</v>
      </c>
      <c r="E14" s="62">
        <v>3.81</v>
      </c>
      <c r="F14" s="62">
        <v>8.11</v>
      </c>
      <c r="G14" s="62">
        <f t="shared" si="16"/>
        <v>338.709</v>
      </c>
      <c r="H14" s="63">
        <f t="shared" si="17"/>
        <v>720.97899999999993</v>
      </c>
      <c r="I14" s="203">
        <v>3520.6</v>
      </c>
      <c r="J14" s="203">
        <v>3626.2179999999998</v>
      </c>
      <c r="K14" s="203">
        <v>4.1523916377890133</v>
      </c>
      <c r="L14" s="203">
        <v>8.1586604556041546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3626.2179999999998</v>
      </c>
      <c r="S14" s="62">
        <f t="shared" si="19"/>
        <v>150.57477299999999</v>
      </c>
      <c r="T14" s="63">
        <f t="shared" si="20"/>
        <v>295.8508139999999</v>
      </c>
      <c r="U14" s="64" t="s">
        <v>168</v>
      </c>
      <c r="V14" s="65" t="s">
        <v>343</v>
      </c>
      <c r="W14" s="66" t="s">
        <v>225</v>
      </c>
      <c r="X14" s="67">
        <v>9870</v>
      </c>
      <c r="Y14" s="68">
        <v>4.05</v>
      </c>
      <c r="Z14" s="68">
        <v>8.2200000000000006</v>
      </c>
      <c r="AA14" s="62">
        <f t="shared" si="21"/>
        <v>399.73500000000001</v>
      </c>
      <c r="AB14" s="63">
        <f t="shared" si="22"/>
        <v>811.31400000000008</v>
      </c>
      <c r="AC14" s="69">
        <v>9820</v>
      </c>
      <c r="AD14" s="70">
        <v>4</v>
      </c>
      <c r="AE14" s="70">
        <v>8.15</v>
      </c>
      <c r="AF14" s="62">
        <f t="shared" si="23"/>
        <v>392.8</v>
      </c>
      <c r="AG14" s="62">
        <f t="shared" si="24"/>
        <v>800.33</v>
      </c>
      <c r="AH14" s="89">
        <v>2687</v>
      </c>
      <c r="AI14" s="66">
        <v>3.91</v>
      </c>
      <c r="AJ14" s="66">
        <v>8.1199999999999992</v>
      </c>
      <c r="AK14" s="62">
        <f t="shared" si="25"/>
        <v>105.0617</v>
      </c>
      <c r="AL14" s="72">
        <f t="shared" si="26"/>
        <v>218.18439999999998</v>
      </c>
      <c r="AM14" s="73">
        <f t="shared" si="27"/>
        <v>9.2180000000007567</v>
      </c>
      <c r="AN14" s="74">
        <f t="shared" si="28"/>
        <v>-8.5779270000000167</v>
      </c>
      <c r="AO14" s="74">
        <f t="shared" si="29"/>
        <v>-1.6845860000001949</v>
      </c>
      <c r="AP14" s="75">
        <f t="shared" si="30"/>
        <v>-2.2988182798761071E-2</v>
      </c>
      <c r="AQ14" s="76">
        <f t="shared" si="31"/>
        <v>-4354.868877076733</v>
      </c>
      <c r="AR14" s="90">
        <f t="shared" si="32"/>
        <v>-40.781999999999243</v>
      </c>
    </row>
    <row r="15" spans="1:44" x14ac:dyDescent="0.25">
      <c r="A15" t="str">
        <f t="shared" si="15"/>
        <v>46179E</v>
      </c>
      <c r="B15" s="51">
        <f t="shared" si="33"/>
        <v>46179</v>
      </c>
      <c r="C15" s="52" t="s">
        <v>88</v>
      </c>
      <c r="D15" s="91">
        <v>2687</v>
      </c>
      <c r="E15" s="62">
        <v>3.91</v>
      </c>
      <c r="F15" s="62">
        <v>8.1199999999999992</v>
      </c>
      <c r="G15" s="62">
        <f t="shared" si="16"/>
        <v>105.0617</v>
      </c>
      <c r="H15" s="63">
        <f t="shared" si="17"/>
        <v>218.18439999999998</v>
      </c>
      <c r="I15" s="203">
        <v>4086.5</v>
      </c>
      <c r="J15" s="203">
        <v>4209.0950000000003</v>
      </c>
      <c r="K15" s="203">
        <v>3.8857163832130177</v>
      </c>
      <c r="L15" s="203">
        <v>8.1230123577633631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4209.0950000000003</v>
      </c>
      <c r="S15" s="62">
        <f t="shared" si="19"/>
        <v>163.55349399999997</v>
      </c>
      <c r="T15" s="63">
        <f t="shared" si="20"/>
        <v>341.90530699999988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1"/>
        <v>0</v>
      </c>
      <c r="AB15" s="63">
        <f t="shared" si="22"/>
        <v>0</v>
      </c>
      <c r="AC15" s="69"/>
      <c r="AD15" s="70"/>
      <c r="AE15" s="70"/>
      <c r="AF15" s="62">
        <f t="shared" si="23"/>
        <v>0</v>
      </c>
      <c r="AG15" s="62">
        <f t="shared" si="24"/>
        <v>0</v>
      </c>
      <c r="AH15" s="89">
        <v>6910</v>
      </c>
      <c r="AI15" s="66">
        <v>3.89</v>
      </c>
      <c r="AJ15" s="66">
        <v>8.1199999999999992</v>
      </c>
      <c r="AK15" s="62">
        <f t="shared" si="25"/>
        <v>268.79900000000004</v>
      </c>
      <c r="AL15" s="72">
        <f t="shared" si="26"/>
        <v>561.09199999999998</v>
      </c>
      <c r="AM15" s="73">
        <f t="shared" si="27"/>
        <v>-13.904999999999745</v>
      </c>
      <c r="AN15" s="74">
        <f t="shared" si="28"/>
        <v>-0.18380600000006098</v>
      </c>
      <c r="AO15" s="74">
        <f t="shared" si="29"/>
        <v>-1.0022930000001224</v>
      </c>
      <c r="AP15" s="75">
        <f t="shared" si="30"/>
        <v>-2.3465789845851033E-3</v>
      </c>
      <c r="AQ15" s="76">
        <f t="shared" si="31"/>
        <v>-382.47191854673076</v>
      </c>
      <c r="AR15" s="90">
        <f t="shared" si="32"/>
        <v>-13.904999999999745</v>
      </c>
    </row>
    <row r="16" spans="1:44" x14ac:dyDescent="0.25">
      <c r="A16" t="str">
        <f t="shared" si="15"/>
        <v>46180M</v>
      </c>
      <c r="B16" s="51">
        <f t="shared" si="33"/>
        <v>46180</v>
      </c>
      <c r="C16" s="52" t="s">
        <v>87</v>
      </c>
      <c r="D16" s="91">
        <v>6910</v>
      </c>
      <c r="E16" s="62">
        <v>3.89</v>
      </c>
      <c r="F16" s="62">
        <v>8.1199999999999992</v>
      </c>
      <c r="G16" s="62">
        <f t="shared" si="16"/>
        <v>268.79900000000004</v>
      </c>
      <c r="H16" s="63">
        <f t="shared" si="17"/>
        <v>561.09199999999998</v>
      </c>
      <c r="I16" s="203">
        <v>3655.4000000000015</v>
      </c>
      <c r="J16" s="203">
        <v>3765.0620000000017</v>
      </c>
      <c r="K16" s="203">
        <v>4.2185096022323139</v>
      </c>
      <c r="L16" s="203">
        <v>8.2203589210483123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3765.0620000000017</v>
      </c>
      <c r="S16" s="62">
        <f t="shared" si="19"/>
        <v>158.82950200000008</v>
      </c>
      <c r="T16" s="63">
        <f t="shared" si="20"/>
        <v>309.50161000000014</v>
      </c>
      <c r="U16" s="64" t="s">
        <v>168</v>
      </c>
      <c r="V16" s="65" t="s">
        <v>344</v>
      </c>
      <c r="W16" s="66" t="s">
        <v>225</v>
      </c>
      <c r="X16" s="67">
        <v>9870</v>
      </c>
      <c r="Y16" s="68">
        <v>4.2</v>
      </c>
      <c r="Z16" s="68">
        <v>8.25</v>
      </c>
      <c r="AA16" s="62">
        <f t="shared" si="21"/>
        <v>414.54</v>
      </c>
      <c r="AB16" s="63">
        <f t="shared" si="22"/>
        <v>814.27500000000009</v>
      </c>
      <c r="AC16" s="69">
        <v>9840</v>
      </c>
      <c r="AD16" s="70">
        <v>4.0999999999999988</v>
      </c>
      <c r="AE16" s="70">
        <v>8.0399999999999974</v>
      </c>
      <c r="AF16" s="62">
        <f t="shared" si="23"/>
        <v>403.43999999999988</v>
      </c>
      <c r="AG16" s="62">
        <f t="shared" si="24"/>
        <v>791.13599999999974</v>
      </c>
      <c r="AH16" s="89">
        <v>766</v>
      </c>
      <c r="AI16" s="118">
        <v>4</v>
      </c>
      <c r="AJ16" s="118">
        <v>8.15</v>
      </c>
      <c r="AK16" s="62">
        <f t="shared" si="25"/>
        <v>30.64</v>
      </c>
      <c r="AL16" s="72">
        <f t="shared" si="26"/>
        <v>62.429000000000002</v>
      </c>
      <c r="AM16" s="73">
        <f t="shared" si="27"/>
        <v>69.062000000001717</v>
      </c>
      <c r="AN16" s="74">
        <f t="shared" si="28"/>
        <v>-6.451497999999745</v>
      </c>
      <c r="AO16" s="74">
        <f t="shared" si="29"/>
        <v>17.028610000000384</v>
      </c>
      <c r="AP16" s="75">
        <f t="shared" si="30"/>
        <v>2.2584687903460566E-2</v>
      </c>
      <c r="AQ16" s="76">
        <f t="shared" si="31"/>
        <v>2200.0669095535632</v>
      </c>
      <c r="AR16" s="90">
        <f t="shared" si="14"/>
        <v>39.062000000001717</v>
      </c>
    </row>
    <row r="17" spans="1:48" x14ac:dyDescent="0.25">
      <c r="A17" t="str">
        <f t="shared" si="15"/>
        <v>46180E</v>
      </c>
      <c r="B17" s="51">
        <f t="shared" si="33"/>
        <v>46180</v>
      </c>
      <c r="C17" s="52" t="s">
        <v>88</v>
      </c>
      <c r="D17" s="91">
        <v>766</v>
      </c>
      <c r="E17" s="62">
        <v>4</v>
      </c>
      <c r="F17" s="62">
        <v>8.15</v>
      </c>
      <c r="G17" s="62">
        <f t="shared" si="16"/>
        <v>30.64</v>
      </c>
      <c r="H17" s="63">
        <f t="shared" si="17"/>
        <v>62.429000000000002</v>
      </c>
      <c r="I17" s="203">
        <v>3896.0000000000005</v>
      </c>
      <c r="J17" s="203">
        <v>4012.8800000000006</v>
      </c>
      <c r="K17" s="203">
        <v>3.9567325462012337</v>
      </c>
      <c r="L17" s="203">
        <v>8.1351257700205348</v>
      </c>
      <c r="M17" s="58" t="s">
        <v>159</v>
      </c>
      <c r="N17" s="58" t="s">
        <v>224</v>
      </c>
      <c r="O17" s="59">
        <v>3035</v>
      </c>
      <c r="P17" s="56">
        <v>4.0999999999999996</v>
      </c>
      <c r="Q17" s="60">
        <v>8</v>
      </c>
      <c r="R17" s="61">
        <f t="shared" si="18"/>
        <v>7047.880000000001</v>
      </c>
      <c r="S17" s="62">
        <f t="shared" si="19"/>
        <v>283.21392900000006</v>
      </c>
      <c r="T17" s="63">
        <f t="shared" si="20"/>
        <v>569.25283500000012</v>
      </c>
      <c r="U17" s="64" t="s">
        <v>167</v>
      </c>
      <c r="V17" s="65" t="s">
        <v>167</v>
      </c>
      <c r="W17" s="66" t="s">
        <v>187</v>
      </c>
      <c r="X17" s="67">
        <v>0</v>
      </c>
      <c r="Y17" s="68">
        <v>0</v>
      </c>
      <c r="Z17" s="68">
        <v>0</v>
      </c>
      <c r="AA17" s="62">
        <f t="shared" si="21"/>
        <v>0</v>
      </c>
      <c r="AB17" s="63">
        <f t="shared" si="22"/>
        <v>0</v>
      </c>
      <c r="AC17" s="69"/>
      <c r="AD17" s="70"/>
      <c r="AE17" s="70"/>
      <c r="AF17" s="62">
        <f t="shared" si="23"/>
        <v>0</v>
      </c>
      <c r="AG17" s="62">
        <f t="shared" si="24"/>
        <v>0</v>
      </c>
      <c r="AH17" s="89">
        <v>7814</v>
      </c>
      <c r="AI17" s="66">
        <v>4.0199999999999996</v>
      </c>
      <c r="AJ17" s="66">
        <v>8.09</v>
      </c>
      <c r="AK17" s="62">
        <f t="shared" si="25"/>
        <v>314.12279999999993</v>
      </c>
      <c r="AL17" s="72">
        <f t="shared" si="26"/>
        <v>632.15260000000001</v>
      </c>
      <c r="AM17" s="73">
        <f t="shared" si="27"/>
        <v>-0.11999999999898137</v>
      </c>
      <c r="AN17" s="74">
        <f t="shared" si="28"/>
        <v>-0.2688709999998764</v>
      </c>
      <c r="AO17" s="74">
        <f t="shared" si="29"/>
        <v>-0.47076499999991483</v>
      </c>
      <c r="AP17" s="75">
        <f t="shared" si="30"/>
        <v>-8.6764203747864948E-4</v>
      </c>
      <c r="AQ17" s="76">
        <f t="shared" si="31"/>
        <v>-261.58629137658568</v>
      </c>
      <c r="AR17" s="90">
        <f t="shared" si="14"/>
        <v>-0.11999999999898137</v>
      </c>
    </row>
    <row r="18" spans="1:48" x14ac:dyDescent="0.25">
      <c r="A18" t="str">
        <f t="shared" si="15"/>
        <v>46181M</v>
      </c>
      <c r="B18" s="51">
        <f t="shared" si="33"/>
        <v>46181</v>
      </c>
      <c r="C18" s="52" t="s">
        <v>87</v>
      </c>
      <c r="D18" s="91">
        <v>7814</v>
      </c>
      <c r="E18" s="62">
        <v>4.0199999999999996</v>
      </c>
      <c r="F18" s="62">
        <v>8.09</v>
      </c>
      <c r="G18" s="62">
        <f t="shared" si="16"/>
        <v>314.12279999999993</v>
      </c>
      <c r="H18" s="63">
        <f t="shared" si="17"/>
        <v>632.15260000000001</v>
      </c>
      <c r="I18" s="203">
        <v>3976.2999999999993</v>
      </c>
      <c r="J18" s="203">
        <v>4095.5889999999995</v>
      </c>
      <c r="K18" s="203">
        <v>4.2355355481226269</v>
      </c>
      <c r="L18" s="203">
        <v>8.191829087342505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4095.5889999999995</v>
      </c>
      <c r="S18" s="62">
        <f t="shared" si="19"/>
        <v>173.47012799999999</v>
      </c>
      <c r="T18" s="63">
        <f t="shared" si="20"/>
        <v>335.50365099999999</v>
      </c>
      <c r="U18" s="64" t="s">
        <v>168</v>
      </c>
      <c r="V18" s="65" t="s">
        <v>420</v>
      </c>
      <c r="W18" s="66" t="s">
        <v>225</v>
      </c>
      <c r="X18" s="67">
        <v>9860</v>
      </c>
      <c r="Y18" s="68">
        <v>4.2</v>
      </c>
      <c r="Z18" s="68">
        <v>8.18</v>
      </c>
      <c r="AA18" s="62">
        <f t="shared" si="21"/>
        <v>414.12</v>
      </c>
      <c r="AB18" s="63">
        <f t="shared" si="22"/>
        <v>806.548</v>
      </c>
      <c r="AC18" s="69">
        <v>9850</v>
      </c>
      <c r="AD18" s="70">
        <v>4.0999999999999996</v>
      </c>
      <c r="AE18" s="70">
        <v>8.0399999999999974</v>
      </c>
      <c r="AF18" s="62">
        <f t="shared" si="23"/>
        <v>403.84999999999997</v>
      </c>
      <c r="AG18" s="62">
        <f t="shared" si="24"/>
        <v>791.93999999999971</v>
      </c>
      <c r="AH18" s="89">
        <v>2051</v>
      </c>
      <c r="AI18" s="66">
        <v>4.0999999999999996</v>
      </c>
      <c r="AJ18" s="66">
        <v>8.1199999999999992</v>
      </c>
      <c r="AK18" s="62">
        <f t="shared" si="25"/>
        <v>84.090999999999994</v>
      </c>
      <c r="AL18" s="72">
        <f t="shared" si="26"/>
        <v>166.54119999999998</v>
      </c>
      <c r="AM18" s="73">
        <f t="shared" si="27"/>
        <v>8.5889999999999418</v>
      </c>
      <c r="AN18" s="74">
        <f t="shared" si="28"/>
        <v>-0.34807200000004457</v>
      </c>
      <c r="AO18" s="74">
        <f t="shared" si="29"/>
        <v>9.1750510000003089</v>
      </c>
      <c r="AP18" s="75">
        <f t="shared" si="30"/>
        <v>1.7342698905517224E-2</v>
      </c>
      <c r="AQ18" s="76">
        <f t="shared" si="31"/>
        <v>2589.5950947534061</v>
      </c>
      <c r="AR18" s="90">
        <f>(D18+J18+O18)-(X18+AH18)</f>
        <v>-1.4110000000000582</v>
      </c>
    </row>
    <row r="19" spans="1:48" x14ac:dyDescent="0.25">
      <c r="A19" t="str">
        <f t="shared" si="15"/>
        <v>46181E</v>
      </c>
      <c r="B19" s="51">
        <f t="shared" si="33"/>
        <v>46181</v>
      </c>
      <c r="C19" s="52" t="s">
        <v>88</v>
      </c>
      <c r="D19" s="91">
        <v>2051</v>
      </c>
      <c r="E19" s="62">
        <v>4.0999999999999996</v>
      </c>
      <c r="F19" s="62">
        <v>8.1199999999999992</v>
      </c>
      <c r="G19" s="62">
        <f t="shared" si="16"/>
        <v>84.090999999999994</v>
      </c>
      <c r="H19" s="63">
        <f t="shared" si="17"/>
        <v>166.54119999999998</v>
      </c>
      <c r="I19" s="203">
        <v>4264.8999999999996</v>
      </c>
      <c r="J19" s="203">
        <v>4392.8469999999998</v>
      </c>
      <c r="K19" s="203">
        <v>4.0136720673403827</v>
      </c>
      <c r="L19" s="203">
        <v>8.2072850477150698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4392.8469999999998</v>
      </c>
      <c r="S19" s="62">
        <f t="shared" si="19"/>
        <v>176.31447299999996</v>
      </c>
      <c r="T19" s="63">
        <f t="shared" si="20"/>
        <v>360.53347500000001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1"/>
        <v>0</v>
      </c>
      <c r="AB19" s="63">
        <f t="shared" si="22"/>
        <v>0</v>
      </c>
      <c r="AC19" s="69"/>
      <c r="AD19" s="70"/>
      <c r="AE19" s="70"/>
      <c r="AF19" s="62">
        <f t="shared" si="23"/>
        <v>0</v>
      </c>
      <c r="AG19" s="62">
        <f t="shared" si="24"/>
        <v>0</v>
      </c>
      <c r="AH19" s="89">
        <v>6444</v>
      </c>
      <c r="AI19" s="66">
        <v>4.04</v>
      </c>
      <c r="AJ19" s="66">
        <v>8.18</v>
      </c>
      <c r="AK19" s="62">
        <f t="shared" si="25"/>
        <v>260.33760000000001</v>
      </c>
      <c r="AL19" s="72">
        <f t="shared" si="26"/>
        <v>527.11919999999998</v>
      </c>
      <c r="AM19" s="73">
        <f t="shared" si="27"/>
        <v>-0.15300000000024738</v>
      </c>
      <c r="AN19" s="74">
        <f t="shared" si="28"/>
        <v>6.7872999999963213E-2</v>
      </c>
      <c r="AO19" s="74">
        <f t="shared" si="29"/>
        <v>-4.4525000000021464E-2</v>
      </c>
      <c r="AP19" s="75">
        <f t="shared" si="30"/>
        <v>4.3490899214430359E-5</v>
      </c>
      <c r="AQ19" s="76">
        <f t="shared" si="31"/>
        <v>17.143723263310395</v>
      </c>
      <c r="AR19" s="90">
        <f>(D19+J19+O19)-(X19+AH19)</f>
        <v>-0.15300000000024738</v>
      </c>
    </row>
    <row r="20" spans="1:48" x14ac:dyDescent="0.25">
      <c r="A20" t="str">
        <f t="shared" si="15"/>
        <v>46182M</v>
      </c>
      <c r="B20" s="51">
        <f t="shared" si="33"/>
        <v>46182</v>
      </c>
      <c r="C20" s="52" t="s">
        <v>87</v>
      </c>
      <c r="D20" s="91">
        <v>6444</v>
      </c>
      <c r="E20" s="62">
        <v>4.04</v>
      </c>
      <c r="F20" s="62">
        <v>8.18</v>
      </c>
      <c r="G20" s="62">
        <f t="shared" si="16"/>
        <v>260.33760000000001</v>
      </c>
      <c r="H20" s="63">
        <f t="shared" si="17"/>
        <v>527.11919999999998</v>
      </c>
      <c r="I20" s="203">
        <v>3618.6000000000004</v>
      </c>
      <c r="J20" s="203">
        <v>3727.1580000000004</v>
      </c>
      <c r="K20" s="203">
        <v>4.1935803902061561</v>
      </c>
      <c r="L20" s="203">
        <v>8.2741087713480344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3727.1580000000004</v>
      </c>
      <c r="S20" s="62">
        <f t="shared" si="19"/>
        <v>156.30136699999997</v>
      </c>
      <c r="T20" s="63">
        <f t="shared" si="20"/>
        <v>308.38910700000002</v>
      </c>
      <c r="U20" s="64" t="s">
        <v>168</v>
      </c>
      <c r="V20" s="65" t="s">
        <v>421</v>
      </c>
      <c r="W20" s="66" t="s">
        <v>227</v>
      </c>
      <c r="X20" s="67">
        <v>9870</v>
      </c>
      <c r="Y20" s="68">
        <v>4.25</v>
      </c>
      <c r="Z20" s="68">
        <v>8.26</v>
      </c>
      <c r="AA20" s="62">
        <f t="shared" si="21"/>
        <v>419.47500000000002</v>
      </c>
      <c r="AB20" s="63">
        <f t="shared" si="22"/>
        <v>815.26199999999994</v>
      </c>
      <c r="AC20" s="69">
        <v>9850</v>
      </c>
      <c r="AD20" s="70">
        <v>4.2</v>
      </c>
      <c r="AE20" s="70">
        <v>8.25</v>
      </c>
      <c r="AF20" s="62">
        <f t="shared" si="23"/>
        <v>413.70000000000005</v>
      </c>
      <c r="AG20" s="62">
        <f t="shared" si="24"/>
        <v>812.625</v>
      </c>
      <c r="AH20" s="89">
        <v>302</v>
      </c>
      <c r="AI20" s="66">
        <v>4.09</v>
      </c>
      <c r="AJ20" s="66">
        <v>8.2100000000000009</v>
      </c>
      <c r="AK20" s="62">
        <f t="shared" si="25"/>
        <v>12.351799999999999</v>
      </c>
      <c r="AL20" s="72">
        <f t="shared" si="26"/>
        <v>24.794200000000004</v>
      </c>
      <c r="AM20" s="73">
        <f t="shared" si="27"/>
        <v>19.157999999999447</v>
      </c>
      <c r="AN20" s="74">
        <f t="shared" si="28"/>
        <v>-9.4128330000000648</v>
      </c>
      <c r="AO20" s="74">
        <f t="shared" si="29"/>
        <v>-1.9108929999999447</v>
      </c>
      <c r="AP20" s="75">
        <f t="shared" si="30"/>
        <v>-2.4368319631187466E-2</v>
      </c>
      <c r="AQ20" s="76">
        <f t="shared" si="31"/>
        <v>-4797.3941797833468</v>
      </c>
      <c r="AR20" s="90">
        <f>(D20+J20+O20)-(X20+AH20)</f>
        <v>-0.84200000000055297</v>
      </c>
    </row>
    <row r="21" spans="1:48" x14ac:dyDescent="0.25">
      <c r="A21" t="str">
        <f t="shared" si="15"/>
        <v>46182E</v>
      </c>
      <c r="B21" s="51">
        <f t="shared" si="33"/>
        <v>46182</v>
      </c>
      <c r="C21" s="52" t="s">
        <v>88</v>
      </c>
      <c r="D21" s="91">
        <v>302</v>
      </c>
      <c r="E21" s="62">
        <v>4.09</v>
      </c>
      <c r="F21" s="62">
        <v>8.2100000000000009</v>
      </c>
      <c r="G21" s="62">
        <f t="shared" si="16"/>
        <v>12.351799999999999</v>
      </c>
      <c r="H21" s="63">
        <f t="shared" si="17"/>
        <v>24.794200000000004</v>
      </c>
      <c r="I21" s="203">
        <v>4265</v>
      </c>
      <c r="J21" s="203">
        <v>4392.95</v>
      </c>
      <c r="K21" s="203">
        <v>4.0405556858147733</v>
      </c>
      <c r="L21" s="203">
        <v>8.2236459554513477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4392.95</v>
      </c>
      <c r="S21" s="62">
        <f t="shared" si="19"/>
        <v>177.49959100000009</v>
      </c>
      <c r="T21" s="63">
        <f t="shared" si="20"/>
        <v>361.26065499999993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1"/>
        <v>0</v>
      </c>
      <c r="AB21" s="63">
        <f t="shared" si="22"/>
        <v>0</v>
      </c>
      <c r="AC21" s="69"/>
      <c r="AD21" s="70"/>
      <c r="AE21" s="70"/>
      <c r="AF21" s="62">
        <f t="shared" si="23"/>
        <v>0</v>
      </c>
      <c r="AG21" s="62">
        <f t="shared" si="24"/>
        <v>0</v>
      </c>
      <c r="AH21" s="89">
        <v>4695</v>
      </c>
      <c r="AI21" s="66">
        <v>4.04</v>
      </c>
      <c r="AJ21" s="66">
        <v>8.2200000000000006</v>
      </c>
      <c r="AK21" s="62">
        <f t="shared" si="25"/>
        <v>189.678</v>
      </c>
      <c r="AL21" s="72">
        <f t="shared" si="26"/>
        <v>385.92900000000003</v>
      </c>
      <c r="AM21" s="73">
        <f t="shared" si="27"/>
        <v>-5.0000000000181899E-2</v>
      </c>
      <c r="AN21" s="74">
        <f t="shared" si="28"/>
        <v>0.17339100000009466</v>
      </c>
      <c r="AO21" s="74">
        <f t="shared" si="29"/>
        <v>0.1258549999998877</v>
      </c>
      <c r="AP21" s="75">
        <f t="shared" si="30"/>
        <v>5.5543444829443179E-4</v>
      </c>
      <c r="AQ21" s="76">
        <f t="shared" si="31"/>
        <v>115.50199917667555</v>
      </c>
      <c r="AR21" s="90">
        <f>(D21+J21+O21)-(X21+AH21)</f>
        <v>-5.0000000000181899E-2</v>
      </c>
    </row>
    <row r="22" spans="1:48" x14ac:dyDescent="0.25">
      <c r="A22" t="str">
        <f t="shared" si="15"/>
        <v>46183M</v>
      </c>
      <c r="B22" s="51">
        <f t="shared" si="33"/>
        <v>46183</v>
      </c>
      <c r="C22" s="52" t="s">
        <v>87</v>
      </c>
      <c r="D22" s="91">
        <v>4695</v>
      </c>
      <c r="E22" s="62">
        <v>4.04</v>
      </c>
      <c r="F22" s="62">
        <v>8.2200000000000006</v>
      </c>
      <c r="G22" s="62">
        <f t="shared" si="16"/>
        <v>189.678</v>
      </c>
      <c r="H22" s="63">
        <f t="shared" si="17"/>
        <v>385.92900000000003</v>
      </c>
      <c r="I22" s="203">
        <v>3442.2</v>
      </c>
      <c r="J22" s="203">
        <v>3545.4659999999999</v>
      </c>
      <c r="K22" s="203">
        <v>4.1317326128638658</v>
      </c>
      <c r="L22" s="203">
        <v>8.2415083376910161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8"/>
        <v>3545.4659999999999</v>
      </c>
      <c r="S22" s="62">
        <f t="shared" si="19"/>
        <v>146.48917499999999</v>
      </c>
      <c r="T22" s="63">
        <f t="shared" si="20"/>
        <v>292.19987600000013</v>
      </c>
      <c r="U22" s="64" t="s">
        <v>168</v>
      </c>
      <c r="V22" s="65" t="s">
        <v>422</v>
      </c>
      <c r="W22" s="66" t="s">
        <v>159</v>
      </c>
      <c r="X22" s="67">
        <v>5930</v>
      </c>
      <c r="Y22" s="68">
        <v>4.2</v>
      </c>
      <c r="Z22" s="68">
        <v>8.25</v>
      </c>
      <c r="AA22" s="62">
        <f t="shared" si="21"/>
        <v>249.06</v>
      </c>
      <c r="AB22" s="63">
        <f t="shared" si="22"/>
        <v>489.22500000000002</v>
      </c>
      <c r="AC22" s="69">
        <v>5930</v>
      </c>
      <c r="AD22" s="70">
        <v>4.1500000000000004</v>
      </c>
      <c r="AE22" s="70">
        <v>8.23</v>
      </c>
      <c r="AF22" s="62">
        <f t="shared" si="23"/>
        <v>246.095</v>
      </c>
      <c r="AG22" s="62">
        <f t="shared" si="24"/>
        <v>488.03899999999999</v>
      </c>
      <c r="AH22" s="89">
        <v>2312</v>
      </c>
      <c r="AI22" s="66">
        <v>4.08</v>
      </c>
      <c r="AJ22" s="66">
        <v>8.23</v>
      </c>
      <c r="AK22" s="62">
        <f t="shared" si="25"/>
        <v>94.329600000000013</v>
      </c>
      <c r="AL22" s="72">
        <f t="shared" si="26"/>
        <v>190.27760000000001</v>
      </c>
      <c r="AM22" s="73">
        <f t="shared" si="27"/>
        <v>-1.5339999999996508</v>
      </c>
      <c r="AN22" s="74">
        <f t="shared" si="28"/>
        <v>-4.2574250000000262</v>
      </c>
      <c r="AO22" s="74">
        <f t="shared" si="29"/>
        <v>-0.18772399999977551</v>
      </c>
      <c r="AP22" s="75">
        <f t="shared" si="30"/>
        <v>-1.0132801331300609E-2</v>
      </c>
      <c r="AQ22" s="76">
        <f t="shared" si="31"/>
        <v>-1967.3814439766113</v>
      </c>
      <c r="AR22" s="90">
        <f t="shared" si="14"/>
        <v>-1.5339999999996508</v>
      </c>
      <c r="AT22" s="83"/>
      <c r="AU22" s="83"/>
    </row>
    <row r="23" spans="1:48" x14ac:dyDescent="0.25">
      <c r="A23" t="str">
        <f t="shared" si="15"/>
        <v>46183E</v>
      </c>
      <c r="B23" s="51">
        <f t="shared" si="33"/>
        <v>46183</v>
      </c>
      <c r="C23" s="52" t="s">
        <v>88</v>
      </c>
      <c r="D23" s="91">
        <v>2312</v>
      </c>
      <c r="E23" s="62">
        <v>4.08</v>
      </c>
      <c r="F23" s="62">
        <v>8.23</v>
      </c>
      <c r="G23" s="62">
        <f t="shared" si="16"/>
        <v>94.329600000000013</v>
      </c>
      <c r="H23" s="63">
        <f t="shared" si="17"/>
        <v>190.27760000000001</v>
      </c>
      <c r="I23" s="203">
        <v>4209.8</v>
      </c>
      <c r="J23" s="203">
        <v>4336.0940000000001</v>
      </c>
      <c r="K23" s="203">
        <v>3.89839184759371</v>
      </c>
      <c r="L23" s="203">
        <v>8.2126561831916014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8"/>
        <v>4336.0940000000001</v>
      </c>
      <c r="S23" s="62">
        <f t="shared" si="19"/>
        <v>169.037935</v>
      </c>
      <c r="T23" s="63">
        <f t="shared" si="20"/>
        <v>356.10849200000001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21"/>
        <v>0</v>
      </c>
      <c r="AB23" s="63">
        <f t="shared" si="22"/>
        <v>0</v>
      </c>
      <c r="AC23" s="69"/>
      <c r="AD23" s="70"/>
      <c r="AE23" s="70"/>
      <c r="AF23" s="62">
        <f t="shared" si="23"/>
        <v>0</v>
      </c>
      <c r="AG23" s="62">
        <f t="shared" si="24"/>
        <v>0</v>
      </c>
      <c r="AH23" s="89">
        <v>6649</v>
      </c>
      <c r="AI23" s="66">
        <v>3.96</v>
      </c>
      <c r="AJ23" s="84">
        <v>8.2200000000000006</v>
      </c>
      <c r="AK23" s="62">
        <f t="shared" si="25"/>
        <v>263.30039999999997</v>
      </c>
      <c r="AL23" s="72">
        <f t="shared" si="26"/>
        <v>546.54780000000005</v>
      </c>
      <c r="AM23" s="73">
        <f t="shared" si="27"/>
        <v>-0.90599999999994907</v>
      </c>
      <c r="AN23" s="74">
        <f t="shared" si="28"/>
        <v>6.7135000000064338E-2</v>
      </c>
      <c r="AO23" s="74">
        <f t="shared" si="29"/>
        <v>-0.16170800000008967</v>
      </c>
      <c r="AP23" s="75">
        <f t="shared" si="30"/>
        <v>-1.800888193037736E-4</v>
      </c>
      <c r="AQ23" s="76">
        <f t="shared" si="31"/>
        <v>-18.257319336664626</v>
      </c>
      <c r="AR23" s="90">
        <f t="shared" si="14"/>
        <v>-0.90599999999994907</v>
      </c>
      <c r="AU23" s="83"/>
    </row>
    <row r="24" spans="1:48" x14ac:dyDescent="0.25">
      <c r="A24" t="str">
        <f t="shared" si="15"/>
        <v>46184M</v>
      </c>
      <c r="B24" s="51">
        <f t="shared" si="33"/>
        <v>46184</v>
      </c>
      <c r="C24" s="52" t="s">
        <v>87</v>
      </c>
      <c r="D24" s="91">
        <v>6649</v>
      </c>
      <c r="E24" s="62">
        <v>3.96</v>
      </c>
      <c r="F24" s="62">
        <v>8.2200000000000006</v>
      </c>
      <c r="G24" s="62">
        <f t="shared" si="16"/>
        <v>263.30039999999997</v>
      </c>
      <c r="H24" s="63">
        <f t="shared" si="17"/>
        <v>546.54780000000005</v>
      </c>
      <c r="I24" s="203">
        <v>3806.2999999999997</v>
      </c>
      <c r="J24" s="203">
        <v>3920.489</v>
      </c>
      <c r="K24" s="203">
        <v>4.3662822163255646</v>
      </c>
      <c r="L24" s="203">
        <v>8.3484381157554584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8"/>
        <v>3920.489</v>
      </c>
      <c r="S24" s="62">
        <f t="shared" si="19"/>
        <v>171.17961399999999</v>
      </c>
      <c r="T24" s="63">
        <f t="shared" si="20"/>
        <v>327.299598</v>
      </c>
      <c r="U24" s="64" t="s">
        <v>170</v>
      </c>
      <c r="V24" s="65" t="s">
        <v>423</v>
      </c>
      <c r="W24" s="66" t="s">
        <v>227</v>
      </c>
      <c r="X24" s="67">
        <v>10070</v>
      </c>
      <c r="Y24" s="68">
        <v>4.1500000000000004</v>
      </c>
      <c r="Z24" s="68">
        <v>8.24</v>
      </c>
      <c r="AA24" s="62">
        <f t="shared" si="21"/>
        <v>417.90500000000003</v>
      </c>
      <c r="AB24" s="63">
        <f t="shared" si="22"/>
        <v>829.76800000000003</v>
      </c>
      <c r="AC24" s="69">
        <v>10120</v>
      </c>
      <c r="AD24" s="70">
        <v>4.1016798418972336</v>
      </c>
      <c r="AE24" s="70">
        <v>8.2303359683794479</v>
      </c>
      <c r="AF24" s="62">
        <f t="shared" si="23"/>
        <v>415.09000000000003</v>
      </c>
      <c r="AG24" s="62">
        <f t="shared" si="24"/>
        <v>832.9100000000002</v>
      </c>
      <c r="AH24" s="89">
        <v>501</v>
      </c>
      <c r="AI24" s="66">
        <v>4.1100000000000003</v>
      </c>
      <c r="AJ24" s="66">
        <v>8.27</v>
      </c>
      <c r="AK24" s="62">
        <f t="shared" si="25"/>
        <v>20.591100000000001</v>
      </c>
      <c r="AL24" s="72">
        <f t="shared" si="26"/>
        <v>41.432699999999997</v>
      </c>
      <c r="AM24" s="73">
        <f t="shared" si="27"/>
        <v>-51.511000000000422</v>
      </c>
      <c r="AN24" s="74">
        <f t="shared" si="28"/>
        <v>-1.2010860000000498</v>
      </c>
      <c r="AO24" s="74">
        <f t="shared" si="29"/>
        <v>-0.49530200000008051</v>
      </c>
      <c r="AP24" s="75">
        <f t="shared" si="30"/>
        <v>-3.403126869009997E-3</v>
      </c>
      <c r="AQ24" s="76">
        <f t="shared" si="31"/>
        <v>-687.4101968067132</v>
      </c>
      <c r="AR24" s="90">
        <f t="shared" si="14"/>
        <v>-1.511000000000422</v>
      </c>
      <c r="AT24" s="77"/>
      <c r="AU24" s="77"/>
      <c r="AV24" s="77"/>
    </row>
    <row r="25" spans="1:48" x14ac:dyDescent="0.25">
      <c r="A25" t="str">
        <f t="shared" si="15"/>
        <v>46184E</v>
      </c>
      <c r="B25" s="51">
        <f t="shared" si="33"/>
        <v>46184</v>
      </c>
      <c r="C25" s="52" t="s">
        <v>88</v>
      </c>
      <c r="D25" s="91">
        <v>501</v>
      </c>
      <c r="E25" s="62">
        <v>4.1100000000000003</v>
      </c>
      <c r="F25" s="62">
        <v>8.27</v>
      </c>
      <c r="G25" s="62">
        <f t="shared" si="16"/>
        <v>20.591100000000001</v>
      </c>
      <c r="H25" s="63">
        <f t="shared" si="17"/>
        <v>41.432699999999997</v>
      </c>
      <c r="I25" s="203">
        <v>4845.4999999999991</v>
      </c>
      <c r="J25" s="203">
        <v>4990.8649999999989</v>
      </c>
      <c r="K25" s="203">
        <v>4.1908430502528127</v>
      </c>
      <c r="L25" s="203">
        <v>8.3540769786399771</v>
      </c>
      <c r="M25" s="58" t="s">
        <v>159</v>
      </c>
      <c r="N25" s="58" t="s">
        <v>224</v>
      </c>
      <c r="O25" s="59">
        <v>1870</v>
      </c>
      <c r="P25" s="56">
        <v>4.2</v>
      </c>
      <c r="Q25" s="60">
        <v>8.1999999999999993</v>
      </c>
      <c r="R25" s="61">
        <f t="shared" si="18"/>
        <v>6860.8649999999989</v>
      </c>
      <c r="S25" s="62">
        <f t="shared" si="19"/>
        <v>287.699319</v>
      </c>
      <c r="T25" s="63">
        <f t="shared" si="20"/>
        <v>570.28070400000001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1"/>
        <v>0</v>
      </c>
      <c r="AB25" s="63">
        <f t="shared" si="22"/>
        <v>0</v>
      </c>
      <c r="AC25" s="69"/>
      <c r="AD25" s="70"/>
      <c r="AE25" s="70"/>
      <c r="AF25" s="62">
        <f t="shared" si="23"/>
        <v>0</v>
      </c>
      <c r="AG25" s="62">
        <f t="shared" si="24"/>
        <v>0</v>
      </c>
      <c r="AH25" s="89">
        <v>7368</v>
      </c>
      <c r="AI25" s="66">
        <v>4.1900000000000004</v>
      </c>
      <c r="AJ25" s="66">
        <v>8.31</v>
      </c>
      <c r="AK25" s="62">
        <f t="shared" si="25"/>
        <v>308.71920000000006</v>
      </c>
      <c r="AL25" s="72">
        <f t="shared" si="26"/>
        <v>612.2808</v>
      </c>
      <c r="AM25" s="73">
        <f t="shared" si="27"/>
        <v>-6.1350000000011278</v>
      </c>
      <c r="AN25" s="74">
        <f t="shared" si="28"/>
        <v>-0.4287810000000718</v>
      </c>
      <c r="AO25" s="74">
        <f t="shared" si="29"/>
        <v>-0.56739600000003065</v>
      </c>
      <c r="AP25" s="75">
        <f t="shared" si="30"/>
        <v>-1.1610724880480141E-3</v>
      </c>
      <c r="AQ25" s="76">
        <f t="shared" si="31"/>
        <v>-362.29057095004146</v>
      </c>
      <c r="AR25" s="90">
        <f t="shared" si="14"/>
        <v>-6.1350000000011278</v>
      </c>
    </row>
    <row r="26" spans="1:48" x14ac:dyDescent="0.25">
      <c r="A26" t="str">
        <f t="shared" si="15"/>
        <v>46185M</v>
      </c>
      <c r="B26" s="51">
        <f t="shared" si="33"/>
        <v>46185</v>
      </c>
      <c r="C26" s="52" t="s">
        <v>87</v>
      </c>
      <c r="D26" s="91">
        <v>7368</v>
      </c>
      <c r="E26" s="62">
        <v>4.1900000000000004</v>
      </c>
      <c r="F26" s="62">
        <v>8.31</v>
      </c>
      <c r="G26" s="62">
        <f t="shared" si="16"/>
        <v>308.71920000000006</v>
      </c>
      <c r="H26" s="63">
        <f t="shared" si="17"/>
        <v>612.2808</v>
      </c>
      <c r="I26" s="203">
        <v>4106.5999999999995</v>
      </c>
      <c r="J26" s="203">
        <v>4229.7979999999998</v>
      </c>
      <c r="K26" s="203">
        <v>4.3283105245215028</v>
      </c>
      <c r="L26" s="203">
        <v>8.2816807091024192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8"/>
        <v>4229.7979999999998</v>
      </c>
      <c r="S26" s="62">
        <f t="shared" si="19"/>
        <v>183.07879200000005</v>
      </c>
      <c r="T26" s="63">
        <f t="shared" si="20"/>
        <v>350.29836499999993</v>
      </c>
      <c r="U26" s="64" t="s">
        <v>170</v>
      </c>
      <c r="V26" s="65" t="s">
        <v>503</v>
      </c>
      <c r="W26" s="66" t="s">
        <v>225</v>
      </c>
      <c r="X26" s="67">
        <v>10070</v>
      </c>
      <c r="Y26" s="68">
        <v>4.38</v>
      </c>
      <c r="Z26" s="68">
        <v>8.35</v>
      </c>
      <c r="AA26" s="62">
        <f t="shared" si="21"/>
        <v>441.06599999999997</v>
      </c>
      <c r="AB26" s="63">
        <f t="shared" si="22"/>
        <v>840.84499999999991</v>
      </c>
      <c r="AC26" s="69">
        <v>10030</v>
      </c>
      <c r="AD26" s="70">
        <v>4.3</v>
      </c>
      <c r="AE26" s="70">
        <v>8.27</v>
      </c>
      <c r="AF26" s="62">
        <f t="shared" si="23"/>
        <v>431.28999999999996</v>
      </c>
      <c r="AG26" s="62">
        <f t="shared" si="24"/>
        <v>829.48099999999999</v>
      </c>
      <c r="AH26" s="89">
        <v>1529</v>
      </c>
      <c r="AI26" s="66">
        <v>4.24</v>
      </c>
      <c r="AJ26" s="66">
        <v>8.3000000000000007</v>
      </c>
      <c r="AK26" s="62">
        <f t="shared" si="25"/>
        <v>64.829599999999999</v>
      </c>
      <c r="AL26" s="72">
        <f t="shared" si="26"/>
        <v>126.90700000000001</v>
      </c>
      <c r="AM26" s="73">
        <f t="shared" si="27"/>
        <v>38.797999999998865</v>
      </c>
      <c r="AN26" s="74">
        <f t="shared" si="28"/>
        <v>-4.3216079999998271</v>
      </c>
      <c r="AO26" s="74">
        <f t="shared" si="29"/>
        <v>6.1911649999998701</v>
      </c>
      <c r="AP26" s="75">
        <f t="shared" si="30"/>
        <v>3.5051313605468917E-3</v>
      </c>
      <c r="AQ26" s="76">
        <f t="shared" si="31"/>
        <v>-87.162460513294491</v>
      </c>
      <c r="AR26" s="90">
        <f t="shared" si="14"/>
        <v>-1.202000000001135</v>
      </c>
    </row>
    <row r="27" spans="1:48" x14ac:dyDescent="0.25">
      <c r="A27" t="str">
        <f t="shared" si="15"/>
        <v>46185E</v>
      </c>
      <c r="B27" s="51">
        <f t="shared" si="33"/>
        <v>46185</v>
      </c>
      <c r="C27" s="52" t="s">
        <v>88</v>
      </c>
      <c r="D27" s="91">
        <v>1529</v>
      </c>
      <c r="E27" s="62">
        <v>4.24</v>
      </c>
      <c r="F27" s="62">
        <v>8.3000000000000007</v>
      </c>
      <c r="G27" s="62">
        <f t="shared" si="16"/>
        <v>64.829599999999999</v>
      </c>
      <c r="H27" s="63">
        <f t="shared" si="17"/>
        <v>126.90700000000001</v>
      </c>
      <c r="I27" s="203">
        <v>5561.9000000000005</v>
      </c>
      <c r="J27" s="203">
        <v>5728.7570000000005</v>
      </c>
      <c r="K27" s="203">
        <v>3.9045254319567047</v>
      </c>
      <c r="L27" s="203">
        <v>8.2439148492421683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8"/>
        <v>5728.7570000000005</v>
      </c>
      <c r="S27" s="62">
        <f t="shared" si="19"/>
        <v>223.68077399999999</v>
      </c>
      <c r="T27" s="63">
        <f t="shared" si="20"/>
        <v>472.27384900000015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21"/>
        <v>0</v>
      </c>
      <c r="AB27" s="63">
        <f t="shared" si="22"/>
        <v>0</v>
      </c>
      <c r="AC27" s="69"/>
      <c r="AD27" s="70"/>
      <c r="AE27" s="70"/>
      <c r="AF27" s="62">
        <f t="shared" si="23"/>
        <v>0</v>
      </c>
      <c r="AG27" s="62">
        <f t="shared" si="24"/>
        <v>0</v>
      </c>
      <c r="AH27" s="89">
        <v>7258</v>
      </c>
      <c r="AI27" s="66">
        <v>3.97</v>
      </c>
      <c r="AJ27" s="66">
        <v>8.25</v>
      </c>
      <c r="AK27" s="62">
        <f t="shared" si="25"/>
        <v>288.14260000000002</v>
      </c>
      <c r="AL27" s="72">
        <f t="shared" si="26"/>
        <v>598.78500000000008</v>
      </c>
      <c r="AM27" s="73">
        <f t="shared" si="27"/>
        <v>-0.24299999999948341</v>
      </c>
      <c r="AN27" s="74">
        <f t="shared" si="28"/>
        <v>0.36777399999994032</v>
      </c>
      <c r="AO27" s="74">
        <f t="shared" si="29"/>
        <v>0.39584900000011203</v>
      </c>
      <c r="AP27" s="75">
        <f t="shared" si="30"/>
        <v>1.0972310187528595E-3</v>
      </c>
      <c r="AQ27" s="76">
        <f t="shared" si="31"/>
        <v>283.56447606667342</v>
      </c>
      <c r="AR27" s="90">
        <f t="shared" si="14"/>
        <v>-0.24299999999948341</v>
      </c>
    </row>
    <row r="28" spans="1:48" x14ac:dyDescent="0.25">
      <c r="A28" t="str">
        <f t="shared" si="15"/>
        <v>46186M</v>
      </c>
      <c r="B28" s="51">
        <f t="shared" si="33"/>
        <v>46186</v>
      </c>
      <c r="C28" s="52" t="s">
        <v>87</v>
      </c>
      <c r="D28" s="91">
        <v>7258</v>
      </c>
      <c r="E28" s="62">
        <v>3.97</v>
      </c>
      <c r="F28" s="62">
        <v>8.25</v>
      </c>
      <c r="G28" s="62">
        <f t="shared" si="16"/>
        <v>288.14260000000002</v>
      </c>
      <c r="H28" s="63">
        <f t="shared" si="17"/>
        <v>598.78500000000008</v>
      </c>
      <c r="I28" s="203">
        <v>4614.2000000000007</v>
      </c>
      <c r="J28" s="203">
        <v>4752.6260000000011</v>
      </c>
      <c r="K28" s="203">
        <v>4.204661696502102</v>
      </c>
      <c r="L28" s="203">
        <v>8.241244419400978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8"/>
        <v>4752.6260000000011</v>
      </c>
      <c r="S28" s="62">
        <f t="shared" si="19"/>
        <v>199.83184500000002</v>
      </c>
      <c r="T28" s="63">
        <f t="shared" si="20"/>
        <v>391.67552500000005</v>
      </c>
      <c r="U28" s="64" t="s">
        <v>168</v>
      </c>
      <c r="V28" s="65" t="s">
        <v>504</v>
      </c>
      <c r="W28" s="66" t="s">
        <v>225</v>
      </c>
      <c r="X28" s="67">
        <v>9870</v>
      </c>
      <c r="Y28" s="68">
        <v>4.2</v>
      </c>
      <c r="Z28" s="68">
        <v>8.25</v>
      </c>
      <c r="AA28" s="62">
        <f t="shared" si="21"/>
        <v>414.54</v>
      </c>
      <c r="AB28" s="63">
        <f t="shared" si="22"/>
        <v>814.27500000000009</v>
      </c>
      <c r="AC28" s="69">
        <v>9810</v>
      </c>
      <c r="AD28" s="70">
        <v>4.1500000000000004</v>
      </c>
      <c r="AE28" s="70">
        <v>8.18</v>
      </c>
      <c r="AF28" s="62">
        <f t="shared" si="23"/>
        <v>407.11500000000001</v>
      </c>
      <c r="AG28" s="62">
        <f t="shared" si="24"/>
        <v>802.45799999999997</v>
      </c>
      <c r="AH28" s="89">
        <v>2142</v>
      </c>
      <c r="AI28" s="66">
        <v>4.0599999999999996</v>
      </c>
      <c r="AJ28" s="66">
        <v>8.25</v>
      </c>
      <c r="AK28" s="62">
        <f t="shared" si="25"/>
        <v>86.965199999999996</v>
      </c>
      <c r="AL28" s="72">
        <f t="shared" si="26"/>
        <v>176.715</v>
      </c>
      <c r="AM28" s="73">
        <f t="shared" si="27"/>
        <v>58.626000000000204</v>
      </c>
      <c r="AN28" s="74">
        <f t="shared" si="28"/>
        <v>-6.1057549999999452</v>
      </c>
      <c r="AO28" s="74">
        <f t="shared" si="29"/>
        <v>11.287525000000215</v>
      </c>
      <c r="AP28" s="75">
        <f t="shared" si="30"/>
        <v>8.7602796901757457E-3</v>
      </c>
      <c r="AQ28" s="76">
        <f t="shared" si="31"/>
        <v>637.1207547834224</v>
      </c>
      <c r="AR28" s="90">
        <f t="shared" si="14"/>
        <v>-1.3739999999997963</v>
      </c>
    </row>
    <row r="29" spans="1:48" x14ac:dyDescent="0.25">
      <c r="A29" t="str">
        <f t="shared" si="15"/>
        <v>46186E</v>
      </c>
      <c r="B29" s="51">
        <f t="shared" si="33"/>
        <v>46186</v>
      </c>
      <c r="C29" s="52" t="s">
        <v>88</v>
      </c>
      <c r="D29" s="91">
        <v>2142</v>
      </c>
      <c r="E29" s="62">
        <v>4.0599999999999996</v>
      </c>
      <c r="F29" s="62">
        <v>8.25</v>
      </c>
      <c r="G29" s="62">
        <f t="shared" si="16"/>
        <v>86.965199999999996</v>
      </c>
      <c r="H29" s="63">
        <f t="shared" si="17"/>
        <v>176.715</v>
      </c>
      <c r="I29" s="203">
        <v>4474.8</v>
      </c>
      <c r="J29" s="203">
        <v>4609.0439999999999</v>
      </c>
      <c r="K29" s="203">
        <v>3.8906811477607923</v>
      </c>
      <c r="L29" s="203">
        <v>8.2947416644319283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8"/>
        <v>4609.0439999999999</v>
      </c>
      <c r="S29" s="62">
        <f t="shared" si="19"/>
        <v>179.32320599999994</v>
      </c>
      <c r="T29" s="63">
        <f t="shared" si="20"/>
        <v>382.30829299999994</v>
      </c>
      <c r="U29" s="64" t="s">
        <v>167</v>
      </c>
      <c r="V29" s="65" t="s">
        <v>167</v>
      </c>
      <c r="W29" s="66" t="s">
        <v>167</v>
      </c>
      <c r="X29" s="67">
        <v>0</v>
      </c>
      <c r="Y29" s="68">
        <v>0</v>
      </c>
      <c r="Z29" s="68">
        <v>0</v>
      </c>
      <c r="AA29" s="62">
        <f t="shared" si="21"/>
        <v>0</v>
      </c>
      <c r="AB29" s="63">
        <f t="shared" si="22"/>
        <v>0</v>
      </c>
      <c r="AC29" s="69"/>
      <c r="AD29" s="70"/>
      <c r="AE29" s="70"/>
      <c r="AF29" s="62">
        <f t="shared" si="23"/>
        <v>0</v>
      </c>
      <c r="AG29" s="62">
        <f t="shared" si="24"/>
        <v>0</v>
      </c>
      <c r="AH29" s="89">
        <v>6752</v>
      </c>
      <c r="AI29" s="66">
        <v>3.94</v>
      </c>
      <c r="AJ29" s="66">
        <v>8.2799999999999994</v>
      </c>
      <c r="AK29" s="62">
        <f t="shared" si="25"/>
        <v>266.02879999999999</v>
      </c>
      <c r="AL29" s="72">
        <f t="shared" si="26"/>
        <v>559.06560000000002</v>
      </c>
      <c r="AM29" s="73">
        <f t="shared" si="27"/>
        <v>-0.95600000000013097</v>
      </c>
      <c r="AN29" s="74">
        <f t="shared" si="28"/>
        <v>0.25960599999996248</v>
      </c>
      <c r="AO29" s="74">
        <f t="shared" si="29"/>
        <v>-4.2307000000050721E-2</v>
      </c>
      <c r="AP29" s="75">
        <f t="shared" si="30"/>
        <v>3.8690671799359282E-4</v>
      </c>
      <c r="AQ29" s="76">
        <f t="shared" si="31"/>
        <v>103.87837254663465</v>
      </c>
      <c r="AR29" s="90">
        <f t="shared" si="14"/>
        <v>-0.95600000000013097</v>
      </c>
    </row>
    <row r="30" spans="1:48" x14ac:dyDescent="0.25">
      <c r="A30" t="str">
        <f t="shared" si="15"/>
        <v>46187M</v>
      </c>
      <c r="B30" s="51">
        <f t="shared" si="33"/>
        <v>46187</v>
      </c>
      <c r="C30" s="52" t="s">
        <v>87</v>
      </c>
      <c r="D30" s="91">
        <v>6752</v>
      </c>
      <c r="E30" s="62">
        <v>3.94</v>
      </c>
      <c r="F30" s="62">
        <v>8.2799999999999994</v>
      </c>
      <c r="G30" s="62">
        <f t="shared" si="16"/>
        <v>266.02879999999999</v>
      </c>
      <c r="H30" s="63">
        <f t="shared" si="17"/>
        <v>559.06560000000002</v>
      </c>
      <c r="I30" s="203">
        <v>4338.7000000000007</v>
      </c>
      <c r="J30" s="203">
        <v>4468.8610000000008</v>
      </c>
      <c r="K30" s="203">
        <v>4.2401525802659776</v>
      </c>
      <c r="L30" s="203">
        <v>8.2311291400649971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8"/>
        <v>4468.8610000000008</v>
      </c>
      <c r="S30" s="62">
        <f t="shared" si="19"/>
        <v>189.486525</v>
      </c>
      <c r="T30" s="63">
        <f t="shared" si="20"/>
        <v>367.83772000000005</v>
      </c>
      <c r="U30" s="64" t="s">
        <v>168</v>
      </c>
      <c r="V30" s="65" t="s">
        <v>505</v>
      </c>
      <c r="W30" s="66" t="s">
        <v>225</v>
      </c>
      <c r="X30" s="67">
        <v>9850</v>
      </c>
      <c r="Y30" s="68">
        <v>4.2</v>
      </c>
      <c r="Z30" s="68">
        <v>8.31</v>
      </c>
      <c r="AA30" s="62">
        <f t="shared" si="21"/>
        <v>413.70000000000005</v>
      </c>
      <c r="AB30" s="63">
        <f t="shared" si="22"/>
        <v>818.53500000000008</v>
      </c>
      <c r="AC30" s="69">
        <v>9850</v>
      </c>
      <c r="AD30" s="70">
        <v>4.1500000000000004</v>
      </c>
      <c r="AE30" s="70">
        <v>8.24</v>
      </c>
      <c r="AF30" s="62">
        <f t="shared" si="23"/>
        <v>408.77500000000003</v>
      </c>
      <c r="AG30" s="62">
        <f t="shared" si="24"/>
        <v>811.64</v>
      </c>
      <c r="AH30" s="89">
        <v>1372</v>
      </c>
      <c r="AI30" s="66">
        <v>4.0599999999999996</v>
      </c>
      <c r="AJ30" s="66">
        <v>8.24</v>
      </c>
      <c r="AK30" s="62">
        <f t="shared" si="25"/>
        <v>55.703199999999995</v>
      </c>
      <c r="AL30" s="72">
        <f t="shared" si="26"/>
        <v>113.0528</v>
      </c>
      <c r="AM30" s="73">
        <f t="shared" si="27"/>
        <v>-1.1389999999992142</v>
      </c>
      <c r="AN30" s="74">
        <f t="shared" si="28"/>
        <v>-8.9628750000000679</v>
      </c>
      <c r="AO30" s="74">
        <f t="shared" si="29"/>
        <v>2.2105200000001304</v>
      </c>
      <c r="AP30" s="75">
        <f t="shared" si="30"/>
        <v>-1.2115667065587534E-2</v>
      </c>
      <c r="AQ30" s="76">
        <f t="shared" si="31"/>
        <v>-3361.9745274499919</v>
      </c>
      <c r="AR30" s="90">
        <f t="shared" si="14"/>
        <v>-1.1389999999992142</v>
      </c>
    </row>
    <row r="31" spans="1:48" x14ac:dyDescent="0.25">
      <c r="A31" t="str">
        <f t="shared" si="15"/>
        <v>46187E</v>
      </c>
      <c r="B31" s="51">
        <f t="shared" si="33"/>
        <v>46187</v>
      </c>
      <c r="C31" s="52" t="s">
        <v>88</v>
      </c>
      <c r="D31" s="91">
        <v>1372</v>
      </c>
      <c r="E31" s="62">
        <v>4.0599999999999996</v>
      </c>
      <c r="F31" s="62">
        <v>8.24</v>
      </c>
      <c r="G31" s="62">
        <f t="shared" si="16"/>
        <v>55.703199999999995</v>
      </c>
      <c r="H31" s="63">
        <f t="shared" si="17"/>
        <v>113.0528</v>
      </c>
      <c r="I31" s="203">
        <v>4469.5</v>
      </c>
      <c r="J31" s="203">
        <v>4603.585</v>
      </c>
      <c r="K31" s="203">
        <v>3.7682604318156421</v>
      </c>
      <c r="L31" s="203">
        <v>8.2393981429690175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8"/>
        <v>4603.585</v>
      </c>
      <c r="S31" s="62">
        <f t="shared" si="19"/>
        <v>173.47507200000013</v>
      </c>
      <c r="T31" s="63">
        <f t="shared" si="20"/>
        <v>379.30769700000025</v>
      </c>
      <c r="U31" s="64" t="s">
        <v>167</v>
      </c>
      <c r="V31" s="65" t="s">
        <v>167</v>
      </c>
      <c r="W31" s="66" t="s">
        <v>167</v>
      </c>
      <c r="X31" s="67">
        <v>0</v>
      </c>
      <c r="Y31" s="68">
        <v>0</v>
      </c>
      <c r="Z31" s="68">
        <v>0</v>
      </c>
      <c r="AA31" s="62">
        <f t="shared" si="21"/>
        <v>0</v>
      </c>
      <c r="AB31" s="63">
        <f t="shared" si="22"/>
        <v>0</v>
      </c>
      <c r="AC31" s="69"/>
      <c r="AD31" s="70"/>
      <c r="AE31" s="70"/>
      <c r="AF31" s="62">
        <f t="shared" si="23"/>
        <v>0</v>
      </c>
      <c r="AG31" s="62">
        <f t="shared" si="24"/>
        <v>0</v>
      </c>
      <c r="AH31" s="89">
        <v>5977</v>
      </c>
      <c r="AI31" s="66">
        <v>3.84</v>
      </c>
      <c r="AJ31" s="66">
        <v>8.26</v>
      </c>
      <c r="AK31" s="62">
        <f t="shared" si="25"/>
        <v>229.51679999999999</v>
      </c>
      <c r="AL31" s="72">
        <f t="shared" si="26"/>
        <v>493.70019999999994</v>
      </c>
      <c r="AM31" s="73">
        <f t="shared" si="27"/>
        <v>-1.4149999999999636</v>
      </c>
      <c r="AN31" s="74">
        <f t="shared" si="28"/>
        <v>-0.33852799999988292</v>
      </c>
      <c r="AO31" s="74">
        <f t="shared" si="29"/>
        <v>-1.3397029999997017</v>
      </c>
      <c r="AP31" s="75">
        <f t="shared" si="30"/>
        <v>-3.035968366082669E-3</v>
      </c>
      <c r="AQ31" s="76">
        <f t="shared" si="31"/>
        <v>-552.90598696652489</v>
      </c>
      <c r="AR31" s="90">
        <f t="shared" si="14"/>
        <v>-1.4149999999999636</v>
      </c>
    </row>
    <row r="32" spans="1:48" x14ac:dyDescent="0.25">
      <c r="A32" t="str">
        <f t="shared" si="15"/>
        <v>46188M</v>
      </c>
      <c r="B32" s="51">
        <f t="shared" si="33"/>
        <v>46188</v>
      </c>
      <c r="C32" s="52" t="s">
        <v>87</v>
      </c>
      <c r="D32" s="91">
        <v>5977</v>
      </c>
      <c r="E32" s="62">
        <v>3.84</v>
      </c>
      <c r="F32" s="62">
        <v>8.26</v>
      </c>
      <c r="G32" s="62">
        <f t="shared" si="16"/>
        <v>229.51679999999999</v>
      </c>
      <c r="H32" s="63">
        <f t="shared" si="17"/>
        <v>493.70019999999994</v>
      </c>
      <c r="I32" s="203">
        <v>3600.2000000000003</v>
      </c>
      <c r="J32" s="203">
        <v>3708.2060000000006</v>
      </c>
      <c r="K32" s="203">
        <v>4.4647686239653357</v>
      </c>
      <c r="L32" s="203">
        <v>8.2781428809510622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8"/>
        <v>3708.2060000000006</v>
      </c>
      <c r="S32" s="62">
        <f t="shared" si="19"/>
        <v>165.56281800000005</v>
      </c>
      <c r="T32" s="63">
        <f t="shared" si="20"/>
        <v>306.97059100000018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21"/>
        <v>0</v>
      </c>
      <c r="AB32" s="63">
        <f t="shared" si="22"/>
        <v>0</v>
      </c>
      <c r="AC32" s="69"/>
      <c r="AD32" s="70"/>
      <c r="AE32" s="70"/>
      <c r="AF32" s="62">
        <f t="shared" si="23"/>
        <v>0</v>
      </c>
      <c r="AG32" s="62">
        <f t="shared" si="24"/>
        <v>0</v>
      </c>
      <c r="AH32" s="89">
        <v>9686</v>
      </c>
      <c r="AI32" s="66">
        <v>4.08</v>
      </c>
      <c r="AJ32" s="66">
        <v>8.27</v>
      </c>
      <c r="AK32" s="62">
        <f t="shared" si="25"/>
        <v>395.18880000000001</v>
      </c>
      <c r="AL32" s="72">
        <f t="shared" si="26"/>
        <v>801.03219999999999</v>
      </c>
      <c r="AM32" s="73">
        <f t="shared" si="27"/>
        <v>-0.79399999999986903</v>
      </c>
      <c r="AN32" s="74">
        <f t="shared" si="28"/>
        <v>-0.10918199999997569</v>
      </c>
      <c r="AO32" s="74">
        <f t="shared" si="29"/>
        <v>-0.36140899999986686</v>
      </c>
      <c r="AP32" s="75">
        <f t="shared" si="30"/>
        <v>-9.958893721308123E-4</v>
      </c>
      <c r="AQ32" s="76">
        <f t="shared" si="31"/>
        <v>-157.17296774661594</v>
      </c>
      <c r="AR32" s="90">
        <f t="shared" si="14"/>
        <v>-0.79399999999986903</v>
      </c>
    </row>
    <row r="33" spans="1:44" x14ac:dyDescent="0.25">
      <c r="A33" t="str">
        <f t="shared" si="15"/>
        <v>46188E</v>
      </c>
      <c r="B33" s="51">
        <f t="shared" si="33"/>
        <v>46188</v>
      </c>
      <c r="C33" s="52" t="s">
        <v>88</v>
      </c>
      <c r="D33" s="91">
        <v>9686</v>
      </c>
      <c r="E33" s="62">
        <v>4.08</v>
      </c>
      <c r="F33" s="62">
        <v>8.27</v>
      </c>
      <c r="G33" s="62">
        <f t="shared" si="16"/>
        <v>395.18880000000001</v>
      </c>
      <c r="H33" s="63">
        <f t="shared" si="17"/>
        <v>801.03219999999999</v>
      </c>
      <c r="I33" s="203">
        <v>6342.3</v>
      </c>
      <c r="J33" s="203">
        <v>6532.5690000000004</v>
      </c>
      <c r="K33" s="203">
        <v>3.9764580672626662</v>
      </c>
      <c r="L33" s="203">
        <v>8.1997839900351615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8"/>
        <v>6532.5690000000004</v>
      </c>
      <c r="S33" s="62">
        <f t="shared" si="19"/>
        <v>259.76486700000009</v>
      </c>
      <c r="T33" s="63">
        <f t="shared" si="20"/>
        <v>535.65654700000005</v>
      </c>
      <c r="U33" s="64" t="s">
        <v>168</v>
      </c>
      <c r="V33" s="65" t="s">
        <v>506</v>
      </c>
      <c r="W33" s="66" t="s">
        <v>227</v>
      </c>
      <c r="X33" s="67">
        <v>9870</v>
      </c>
      <c r="Y33" s="68">
        <v>4.25</v>
      </c>
      <c r="Z33" s="68">
        <v>8.32</v>
      </c>
      <c r="AA33" s="62">
        <f t="shared" si="21"/>
        <v>419.47500000000002</v>
      </c>
      <c r="AB33" s="63">
        <f t="shared" si="22"/>
        <v>821.18399999999997</v>
      </c>
      <c r="AC33" s="69">
        <v>9820</v>
      </c>
      <c r="AD33" s="70">
        <v>4.25</v>
      </c>
      <c r="AE33" s="70">
        <v>8.26</v>
      </c>
      <c r="AF33" s="62">
        <f t="shared" si="23"/>
        <v>417.35</v>
      </c>
      <c r="AG33" s="62">
        <f t="shared" si="24"/>
        <v>811.13199999999995</v>
      </c>
      <c r="AH33" s="89">
        <v>6350</v>
      </c>
      <c r="AI33" s="66">
        <v>4.1100000000000003</v>
      </c>
      <c r="AJ33" s="66">
        <v>8.27</v>
      </c>
      <c r="AK33" s="62">
        <f t="shared" si="25"/>
        <v>260.98500000000001</v>
      </c>
      <c r="AL33" s="72">
        <f t="shared" si="26"/>
        <v>525.14499999999998</v>
      </c>
      <c r="AM33" s="73">
        <f t="shared" si="27"/>
        <v>48.568999999999505</v>
      </c>
      <c r="AN33" s="74">
        <f t="shared" si="28"/>
        <v>-23.381332999999927</v>
      </c>
      <c r="AO33" s="74">
        <f t="shared" si="29"/>
        <v>0.41174700000021858</v>
      </c>
      <c r="AP33" s="75">
        <f t="shared" si="30"/>
        <v>-2.887725373709854E-2</v>
      </c>
      <c r="AQ33" s="76">
        <f t="shared" si="31"/>
        <v>-10372.889299849903</v>
      </c>
      <c r="AR33" s="90">
        <f t="shared" si="14"/>
        <v>-1.4310000000004948</v>
      </c>
    </row>
    <row r="34" spans="1:44" x14ac:dyDescent="0.25">
      <c r="A34" t="str">
        <f t="shared" si="15"/>
        <v>46189M</v>
      </c>
      <c r="B34" s="51">
        <f t="shared" si="33"/>
        <v>46189</v>
      </c>
      <c r="C34" s="52" t="s">
        <v>87</v>
      </c>
      <c r="D34" s="91">
        <v>6350</v>
      </c>
      <c r="E34" s="62">
        <v>4.1100000000000003</v>
      </c>
      <c r="F34" s="62">
        <v>8.27</v>
      </c>
      <c r="G34" s="62">
        <f t="shared" si="16"/>
        <v>260.98500000000001</v>
      </c>
      <c r="H34" s="63">
        <f t="shared" si="17"/>
        <v>525.14499999999998</v>
      </c>
      <c r="I34" s="203">
        <v>3278.4999999999995</v>
      </c>
      <c r="J34" s="203">
        <v>3376.8549999999996</v>
      </c>
      <c r="K34" s="203">
        <v>4.4481226170504797</v>
      </c>
      <c r="L34" s="203">
        <v>8.2980417874027754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8"/>
        <v>3376.8549999999996</v>
      </c>
      <c r="S34" s="62">
        <f t="shared" si="19"/>
        <v>150.20665099999997</v>
      </c>
      <c r="T34" s="63">
        <f t="shared" si="20"/>
        <v>280.21283899999997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1"/>
        <v>0</v>
      </c>
      <c r="AB34" s="63">
        <f t="shared" si="22"/>
        <v>0</v>
      </c>
      <c r="AC34" s="69"/>
      <c r="AD34" s="70"/>
      <c r="AE34" s="70"/>
      <c r="AF34" s="62">
        <f t="shared" si="23"/>
        <v>0</v>
      </c>
      <c r="AG34" s="62">
        <f t="shared" si="24"/>
        <v>0</v>
      </c>
      <c r="AH34" s="89">
        <v>9728</v>
      </c>
      <c r="AI34" s="66">
        <v>4.2300000000000004</v>
      </c>
      <c r="AJ34" s="66">
        <v>8.2799999999999994</v>
      </c>
      <c r="AK34" s="62">
        <f t="shared" si="25"/>
        <v>411.49440000000004</v>
      </c>
      <c r="AL34" s="72">
        <f t="shared" si="26"/>
        <v>805.47839999999997</v>
      </c>
      <c r="AM34" s="73">
        <f t="shared" si="27"/>
        <v>-1.1450000000004366</v>
      </c>
      <c r="AN34" s="74">
        <f t="shared" si="28"/>
        <v>-0.30274900000006255</v>
      </c>
      <c r="AO34" s="74">
        <f t="shared" si="29"/>
        <v>-0.1205609999999524</v>
      </c>
      <c r="AP34" s="75">
        <f t="shared" si="30"/>
        <v>-9.8348241618894869E-4</v>
      </c>
      <c r="AQ34" s="76">
        <f t="shared" si="31"/>
        <v>-171.98774593001383</v>
      </c>
      <c r="AR34" s="90">
        <f t="shared" si="14"/>
        <v>-1.1450000000004366</v>
      </c>
    </row>
    <row r="35" spans="1:44" x14ac:dyDescent="0.25">
      <c r="A35" t="str">
        <f t="shared" si="15"/>
        <v>46189E</v>
      </c>
      <c r="B35" s="51">
        <f t="shared" si="33"/>
        <v>46189</v>
      </c>
      <c r="C35" s="52" t="s">
        <v>88</v>
      </c>
      <c r="D35" s="91">
        <v>9728</v>
      </c>
      <c r="E35" s="62">
        <v>4.2300000000000004</v>
      </c>
      <c r="F35" s="62">
        <v>8.2799999999999994</v>
      </c>
      <c r="G35" s="62">
        <f t="shared" si="16"/>
        <v>411.49440000000004</v>
      </c>
      <c r="H35" s="63">
        <f t="shared" si="17"/>
        <v>805.47839999999997</v>
      </c>
      <c r="I35" s="203">
        <v>5822</v>
      </c>
      <c r="J35" s="203">
        <v>5996.66</v>
      </c>
      <c r="K35" s="203">
        <v>4.2514668498797663</v>
      </c>
      <c r="L35" s="203">
        <v>8.4075214702851273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8"/>
        <v>5996.66</v>
      </c>
      <c r="S35" s="62">
        <f t="shared" si="19"/>
        <v>254.94601199999997</v>
      </c>
      <c r="T35" s="63">
        <f t="shared" si="20"/>
        <v>504.17047700000012</v>
      </c>
      <c r="U35" s="64" t="s">
        <v>168</v>
      </c>
      <c r="V35" s="65" t="s">
        <v>573</v>
      </c>
      <c r="W35" s="66" t="s">
        <v>225</v>
      </c>
      <c r="X35" s="67">
        <v>9850</v>
      </c>
      <c r="Y35" s="68">
        <v>4.2</v>
      </c>
      <c r="Z35" s="68">
        <v>8.25</v>
      </c>
      <c r="AA35" s="62">
        <f t="shared" si="21"/>
        <v>413.70000000000005</v>
      </c>
      <c r="AB35" s="63">
        <f t="shared" si="22"/>
        <v>812.625</v>
      </c>
      <c r="AC35" s="69">
        <v>9810</v>
      </c>
      <c r="AD35" s="70">
        <v>4.1500000000000004</v>
      </c>
      <c r="AE35" s="70">
        <v>8.18</v>
      </c>
      <c r="AF35" s="62">
        <f t="shared" si="23"/>
        <v>407.11500000000001</v>
      </c>
      <c r="AG35" s="62">
        <f t="shared" si="24"/>
        <v>802.45799999999997</v>
      </c>
      <c r="AH35" s="89">
        <v>5875</v>
      </c>
      <c r="AI35" s="66">
        <v>4.24</v>
      </c>
      <c r="AJ35" s="66">
        <v>8.33</v>
      </c>
      <c r="AK35" s="62">
        <f t="shared" si="25"/>
        <v>249.1</v>
      </c>
      <c r="AL35" s="72">
        <f t="shared" si="26"/>
        <v>489.38749999999999</v>
      </c>
      <c r="AM35" s="73">
        <f t="shared" si="27"/>
        <v>39.659999999999854</v>
      </c>
      <c r="AN35" s="74">
        <f t="shared" si="28"/>
        <v>10.225412000000034</v>
      </c>
      <c r="AO35" s="74">
        <f t="shared" si="29"/>
        <v>17.803377000000125</v>
      </c>
      <c r="AP35" s="75">
        <f t="shared" si="30"/>
        <v>3.6922908942372025E-2</v>
      </c>
      <c r="AQ35" s="76">
        <f t="shared" si="31"/>
        <v>9918.365680300054</v>
      </c>
      <c r="AR35" s="90">
        <f t="shared" si="14"/>
        <v>-0.34000000000014552</v>
      </c>
    </row>
    <row r="36" spans="1:44" x14ac:dyDescent="0.25">
      <c r="A36" t="str">
        <f t="shared" si="15"/>
        <v>46190M</v>
      </c>
      <c r="B36" s="51">
        <f t="shared" si="33"/>
        <v>46190</v>
      </c>
      <c r="C36" s="52" t="s">
        <v>87</v>
      </c>
      <c r="D36" s="91">
        <v>5875</v>
      </c>
      <c r="E36" s="62">
        <v>4.24</v>
      </c>
      <c r="F36" s="62">
        <v>8.33</v>
      </c>
      <c r="G36" s="62">
        <f t="shared" si="16"/>
        <v>249.1</v>
      </c>
      <c r="H36" s="63">
        <f t="shared" si="17"/>
        <v>489.38749999999999</v>
      </c>
      <c r="I36" s="203">
        <v>3900.5</v>
      </c>
      <c r="J36" s="203">
        <v>4017.5150000000003</v>
      </c>
      <c r="K36" s="203">
        <v>4.3514318677092678</v>
      </c>
      <c r="L36" s="203">
        <v>8.3009255223689298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8"/>
        <v>4017.5150000000003</v>
      </c>
      <c r="S36" s="62">
        <f t="shared" si="19"/>
        <v>174.81942799999999</v>
      </c>
      <c r="T36" s="63">
        <f t="shared" si="20"/>
        <v>333.49092800000011</v>
      </c>
      <c r="U36" s="64" t="s">
        <v>574</v>
      </c>
      <c r="V36" s="85" t="s">
        <v>575</v>
      </c>
      <c r="W36" s="66" t="s">
        <v>227</v>
      </c>
      <c r="X36" s="67">
        <v>9380</v>
      </c>
      <c r="Y36" s="68">
        <v>4.2300000000000004</v>
      </c>
      <c r="Z36" s="68">
        <v>8.32</v>
      </c>
      <c r="AA36" s="62">
        <f t="shared" si="21"/>
        <v>396.77400000000006</v>
      </c>
      <c r="AB36" s="63">
        <f t="shared" si="22"/>
        <v>780.41599999999994</v>
      </c>
      <c r="AC36" s="226">
        <v>9380</v>
      </c>
      <c r="AD36" s="227">
        <v>4.2300000000000004</v>
      </c>
      <c r="AE36" s="227">
        <v>8.32</v>
      </c>
      <c r="AF36" s="62">
        <f t="shared" si="23"/>
        <v>396.77400000000006</v>
      </c>
      <c r="AG36" s="62">
        <f t="shared" si="24"/>
        <v>780.41599999999994</v>
      </c>
      <c r="AH36" s="89">
        <v>513</v>
      </c>
      <c r="AI36" s="66">
        <v>4.28</v>
      </c>
      <c r="AJ36" s="66">
        <v>8.32</v>
      </c>
      <c r="AK36" s="62">
        <f t="shared" si="25"/>
        <v>21.956400000000002</v>
      </c>
      <c r="AL36" s="72">
        <f t="shared" si="26"/>
        <v>42.681599999999996</v>
      </c>
      <c r="AM36" s="73">
        <f t="shared" si="27"/>
        <v>-0.48500000000058208</v>
      </c>
      <c r="AN36" s="74">
        <f t="shared" si="28"/>
        <v>5.1890279999999223</v>
      </c>
      <c r="AO36" s="74">
        <f t="shared" si="29"/>
        <v>-0.21917199999983694</v>
      </c>
      <c r="AP36" s="75">
        <f t="shared" si="30"/>
        <v>9.7772078442566381E-3</v>
      </c>
      <c r="AQ36" s="76">
        <f t="shared" si="31"/>
        <v>2263.814224466681</v>
      </c>
      <c r="AR36" s="90">
        <f t="shared" si="14"/>
        <v>-0.48500000000058208</v>
      </c>
    </row>
    <row r="37" spans="1:44" x14ac:dyDescent="0.25">
      <c r="A37" t="str">
        <f t="shared" si="15"/>
        <v>46190E</v>
      </c>
      <c r="B37" s="51">
        <f t="shared" si="33"/>
        <v>46190</v>
      </c>
      <c r="C37" s="52" t="s">
        <v>88</v>
      </c>
      <c r="D37" s="91">
        <v>513</v>
      </c>
      <c r="E37" s="62">
        <v>4.28</v>
      </c>
      <c r="F37" s="62">
        <v>8.32</v>
      </c>
      <c r="G37" s="62">
        <f t="shared" si="16"/>
        <v>21.956400000000002</v>
      </c>
      <c r="H37" s="63">
        <f t="shared" si="17"/>
        <v>42.681599999999996</v>
      </c>
      <c r="I37" s="203">
        <v>4490.3000000000011</v>
      </c>
      <c r="J37" s="203">
        <v>4625.0090000000009</v>
      </c>
      <c r="K37" s="203">
        <v>4.0743068391866917</v>
      </c>
      <c r="L37" s="203">
        <v>8.2399928735273793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8"/>
        <v>4625.0090000000009</v>
      </c>
      <c r="S37" s="62">
        <f t="shared" si="19"/>
        <v>188.43705800000004</v>
      </c>
      <c r="T37" s="63">
        <f t="shared" si="20"/>
        <v>381.10041200000001</v>
      </c>
      <c r="U37" s="64" t="s">
        <v>167</v>
      </c>
      <c r="V37" s="65" t="s">
        <v>167</v>
      </c>
      <c r="W37" s="66" t="s">
        <v>167</v>
      </c>
      <c r="X37" s="67">
        <v>0</v>
      </c>
      <c r="Y37" s="68">
        <v>0</v>
      </c>
      <c r="Z37" s="68">
        <v>0</v>
      </c>
      <c r="AA37" s="62">
        <f t="shared" si="21"/>
        <v>0</v>
      </c>
      <c r="AB37" s="63">
        <f t="shared" si="22"/>
        <v>0</v>
      </c>
      <c r="AC37" s="69"/>
      <c r="AD37" s="70"/>
      <c r="AE37" s="70"/>
      <c r="AF37" s="62">
        <f t="shared" si="23"/>
        <v>0</v>
      </c>
      <c r="AG37" s="62">
        <f t="shared" si="24"/>
        <v>0</v>
      </c>
      <c r="AH37" s="89">
        <v>5139</v>
      </c>
      <c r="AI37" s="66">
        <v>4.09</v>
      </c>
      <c r="AJ37" s="66">
        <v>8.25</v>
      </c>
      <c r="AK37" s="62">
        <f t="shared" si="25"/>
        <v>210.18510000000001</v>
      </c>
      <c r="AL37" s="72">
        <f t="shared" si="26"/>
        <v>423.96750000000003</v>
      </c>
      <c r="AM37" s="73">
        <f t="shared" si="27"/>
        <v>-0.99099999999907595</v>
      </c>
      <c r="AN37" s="74">
        <f t="shared" si="28"/>
        <v>0.20835800000003246</v>
      </c>
      <c r="AO37" s="74">
        <f t="shared" si="29"/>
        <v>-0.18548800000002075</v>
      </c>
      <c r="AP37" s="75">
        <f t="shared" si="30"/>
        <v>4.0155391356448798E-5</v>
      </c>
      <c r="AQ37" s="76">
        <f t="shared" si="31"/>
        <v>38.022377726675032</v>
      </c>
      <c r="AR37" s="90">
        <f t="shared" si="14"/>
        <v>-0.99099999999907595</v>
      </c>
    </row>
    <row r="38" spans="1:44" x14ac:dyDescent="0.25">
      <c r="A38" t="str">
        <f t="shared" si="15"/>
        <v>46191M</v>
      </c>
      <c r="B38" s="51">
        <f t="shared" si="33"/>
        <v>46191</v>
      </c>
      <c r="C38" s="52" t="s">
        <v>87</v>
      </c>
      <c r="D38" s="91">
        <v>5139</v>
      </c>
      <c r="E38" s="62">
        <v>4.09</v>
      </c>
      <c r="F38" s="62">
        <v>8.25</v>
      </c>
      <c r="G38" s="62">
        <f t="shared" si="16"/>
        <v>210.18510000000001</v>
      </c>
      <c r="H38" s="63">
        <f t="shared" si="17"/>
        <v>423.96750000000003</v>
      </c>
      <c r="I38" s="203">
        <v>3383.9</v>
      </c>
      <c r="J38" s="203">
        <v>3485.4170000000004</v>
      </c>
      <c r="K38" s="203">
        <v>4.3443777889417552</v>
      </c>
      <c r="L38" s="203">
        <v>8.2861993557729239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8"/>
        <v>3485.4170000000004</v>
      </c>
      <c r="S38" s="62">
        <f t="shared" si="19"/>
        <v>151.41968200000005</v>
      </c>
      <c r="T38" s="63">
        <f t="shared" si="20"/>
        <v>288.80860099999995</v>
      </c>
      <c r="U38" s="64" t="s">
        <v>167</v>
      </c>
      <c r="V38" s="65" t="s">
        <v>187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21"/>
        <v>0</v>
      </c>
      <c r="AB38" s="63">
        <f t="shared" si="22"/>
        <v>0</v>
      </c>
      <c r="AC38" s="69"/>
      <c r="AD38" s="70"/>
      <c r="AE38" s="70"/>
      <c r="AF38" s="62">
        <f t="shared" si="23"/>
        <v>0</v>
      </c>
      <c r="AG38" s="62">
        <f t="shared" si="24"/>
        <v>0</v>
      </c>
      <c r="AH38" s="89">
        <v>8625</v>
      </c>
      <c r="AI38" s="71">
        <v>4.1900000000000004</v>
      </c>
      <c r="AJ38" s="71">
        <v>8.27</v>
      </c>
      <c r="AK38" s="62">
        <f t="shared" si="25"/>
        <v>361.38750000000005</v>
      </c>
      <c r="AL38" s="72">
        <f t="shared" si="26"/>
        <v>713.28749999999991</v>
      </c>
      <c r="AM38" s="73">
        <f t="shared" si="27"/>
        <v>-0.58299999999871943</v>
      </c>
      <c r="AN38" s="74">
        <f t="shared" si="28"/>
        <v>0.21728200000001152</v>
      </c>
      <c r="AO38" s="74">
        <f t="shared" si="29"/>
        <v>-0.51139899999998306</v>
      </c>
      <c r="AP38" s="75">
        <f t="shared" si="30"/>
        <v>-6.6810109971960057E-4</v>
      </c>
      <c r="AQ38" s="76">
        <f t="shared" si="31"/>
        <v>-55.508020773323111</v>
      </c>
      <c r="AR38" s="90">
        <f t="shared" si="14"/>
        <v>-0.58299999999871943</v>
      </c>
    </row>
    <row r="39" spans="1:44" x14ac:dyDescent="0.25">
      <c r="A39" t="str">
        <f t="shared" si="15"/>
        <v>46191E</v>
      </c>
      <c r="B39" s="51">
        <f t="shared" si="33"/>
        <v>46191</v>
      </c>
      <c r="C39" s="52" t="s">
        <v>88</v>
      </c>
      <c r="D39" s="91">
        <v>8625</v>
      </c>
      <c r="E39" s="62">
        <v>4.1900000000000004</v>
      </c>
      <c r="F39" s="62">
        <v>8.27</v>
      </c>
      <c r="G39" s="62">
        <f t="shared" si="16"/>
        <v>361.38750000000005</v>
      </c>
      <c r="H39" s="63">
        <f t="shared" si="17"/>
        <v>713.28749999999991</v>
      </c>
      <c r="I39" s="203">
        <v>4852.5</v>
      </c>
      <c r="J39" s="203">
        <v>4998.0749999999998</v>
      </c>
      <c r="K39" s="203">
        <v>4.0643688820195774</v>
      </c>
      <c r="L39" s="203">
        <v>8.3227676455435322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8"/>
        <v>4998.0749999999998</v>
      </c>
      <c r="S39" s="62">
        <f t="shared" si="19"/>
        <v>203.14020500000001</v>
      </c>
      <c r="T39" s="63">
        <f t="shared" si="20"/>
        <v>415.97816899999992</v>
      </c>
      <c r="U39" s="64" t="s">
        <v>170</v>
      </c>
      <c r="V39" s="65" t="s">
        <v>576</v>
      </c>
      <c r="W39" s="66" t="s">
        <v>225</v>
      </c>
      <c r="X39" s="67">
        <v>10070</v>
      </c>
      <c r="Y39" s="68">
        <v>4.3</v>
      </c>
      <c r="Z39" s="68">
        <v>8.33</v>
      </c>
      <c r="AA39" s="62">
        <f t="shared" si="21"/>
        <v>433.01</v>
      </c>
      <c r="AB39" s="63">
        <f t="shared" si="22"/>
        <v>838.83100000000002</v>
      </c>
      <c r="AC39" s="226">
        <v>10070</v>
      </c>
      <c r="AD39" s="227">
        <v>4.3</v>
      </c>
      <c r="AE39" s="227">
        <v>8.33</v>
      </c>
      <c r="AF39" s="62">
        <f t="shared" si="23"/>
        <v>433.01</v>
      </c>
      <c r="AG39" s="62">
        <f t="shared" si="24"/>
        <v>838.83100000000002</v>
      </c>
      <c r="AH39" s="89">
        <v>3454</v>
      </c>
      <c r="AI39" s="66">
        <v>4.1399999999999997</v>
      </c>
      <c r="AJ39" s="66">
        <v>8.2899999999999991</v>
      </c>
      <c r="AK39" s="62">
        <f t="shared" si="25"/>
        <v>142.9956</v>
      </c>
      <c r="AL39" s="72">
        <f t="shared" si="26"/>
        <v>286.33659999999998</v>
      </c>
      <c r="AM39" s="73">
        <f t="shared" si="27"/>
        <v>99.075000000000728</v>
      </c>
      <c r="AN39" s="74">
        <f t="shared" si="28"/>
        <v>-11.477894999999904</v>
      </c>
      <c r="AO39" s="74">
        <f t="shared" si="29"/>
        <v>4.0980689999998958</v>
      </c>
      <c r="AP39" s="75">
        <f t="shared" si="30"/>
        <v>-1.1919894982796957E-2</v>
      </c>
      <c r="AQ39" s="76">
        <f t="shared" si="31"/>
        <v>-3926.099074589988</v>
      </c>
      <c r="AR39" s="90">
        <f t="shared" si="14"/>
        <v>99.075000000000728</v>
      </c>
    </row>
    <row r="40" spans="1:44" x14ac:dyDescent="0.25">
      <c r="A40" t="str">
        <f t="shared" si="15"/>
        <v>46192M</v>
      </c>
      <c r="B40" s="51">
        <f t="shared" si="33"/>
        <v>46192</v>
      </c>
      <c r="C40" s="52" t="s">
        <v>87</v>
      </c>
      <c r="D40" s="91"/>
      <c r="E40" s="62"/>
      <c r="F40" s="62"/>
      <c r="G40" s="62">
        <f t="shared" si="16"/>
        <v>0</v>
      </c>
      <c r="H40" s="63">
        <f t="shared" si="17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8"/>
        <v>0</v>
      </c>
      <c r="S40" s="62">
        <f t="shared" si="19"/>
        <v>0</v>
      </c>
      <c r="T40" s="63">
        <f t="shared" si="20"/>
        <v>0</v>
      </c>
      <c r="U40" s="64"/>
      <c r="V40" s="65"/>
      <c r="W40" s="66"/>
      <c r="X40" s="67"/>
      <c r="Y40" s="68"/>
      <c r="Z40" s="68"/>
      <c r="AA40" s="62">
        <f t="shared" si="21"/>
        <v>0</v>
      </c>
      <c r="AB40" s="63">
        <f t="shared" si="22"/>
        <v>0</v>
      </c>
      <c r="AC40" s="69"/>
      <c r="AD40" s="70"/>
      <c r="AE40" s="70"/>
      <c r="AF40" s="62">
        <f t="shared" si="23"/>
        <v>0</v>
      </c>
      <c r="AG40" s="62">
        <f t="shared" si="24"/>
        <v>0</v>
      </c>
      <c r="AH40" s="89"/>
      <c r="AI40" s="66"/>
      <c r="AJ40" s="66"/>
      <c r="AK40" s="62">
        <f t="shared" si="25"/>
        <v>0</v>
      </c>
      <c r="AL40" s="72">
        <f t="shared" si="26"/>
        <v>0</v>
      </c>
      <c r="AM40" s="73">
        <f t="shared" si="27"/>
        <v>0</v>
      </c>
      <c r="AN40" s="74">
        <f t="shared" si="28"/>
        <v>0</v>
      </c>
      <c r="AO40" s="74">
        <f t="shared" si="29"/>
        <v>0</v>
      </c>
      <c r="AP40" s="75" t="e">
        <f t="shared" si="30"/>
        <v>#DIV/0!</v>
      </c>
      <c r="AQ40" s="76">
        <f t="shared" si="31"/>
        <v>0</v>
      </c>
      <c r="AR40" s="90">
        <f t="shared" si="14"/>
        <v>0</v>
      </c>
    </row>
    <row r="41" spans="1:44" x14ac:dyDescent="0.25">
      <c r="A41" t="str">
        <f t="shared" si="15"/>
        <v>46192E</v>
      </c>
      <c r="B41" s="51">
        <f t="shared" si="33"/>
        <v>46192</v>
      </c>
      <c r="C41" s="52" t="s">
        <v>88</v>
      </c>
      <c r="D41" s="91"/>
      <c r="E41" s="62"/>
      <c r="F41" s="62"/>
      <c r="G41" s="62">
        <f t="shared" si="16"/>
        <v>0</v>
      </c>
      <c r="H41" s="63">
        <f t="shared" si="17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8"/>
        <v>0</v>
      </c>
      <c r="S41" s="62">
        <f t="shared" si="19"/>
        <v>0</v>
      </c>
      <c r="T41" s="63">
        <f t="shared" si="20"/>
        <v>0</v>
      </c>
      <c r="U41" s="64"/>
      <c r="V41" s="65"/>
      <c r="W41" s="66"/>
      <c r="X41" s="67"/>
      <c r="Y41" s="68"/>
      <c r="Z41" s="68"/>
      <c r="AA41" s="62">
        <f t="shared" si="21"/>
        <v>0</v>
      </c>
      <c r="AB41" s="63">
        <f t="shared" si="22"/>
        <v>0</v>
      </c>
      <c r="AC41" s="69"/>
      <c r="AD41" s="70"/>
      <c r="AE41" s="70"/>
      <c r="AF41" s="62">
        <f t="shared" si="23"/>
        <v>0</v>
      </c>
      <c r="AG41" s="62">
        <f t="shared" si="24"/>
        <v>0</v>
      </c>
      <c r="AH41" s="89"/>
      <c r="AI41" s="71"/>
      <c r="AJ41" s="71"/>
      <c r="AK41" s="62">
        <f t="shared" si="25"/>
        <v>0</v>
      </c>
      <c r="AL41" s="72">
        <f t="shared" si="26"/>
        <v>0</v>
      </c>
      <c r="AM41" s="73">
        <f t="shared" si="27"/>
        <v>0</v>
      </c>
      <c r="AN41" s="74">
        <f t="shared" si="28"/>
        <v>0</v>
      </c>
      <c r="AO41" s="74">
        <f t="shared" si="29"/>
        <v>0</v>
      </c>
      <c r="AP41" s="75" t="e">
        <f t="shared" si="30"/>
        <v>#DIV/0!</v>
      </c>
      <c r="AQ41" s="76">
        <f t="shared" si="31"/>
        <v>0</v>
      </c>
      <c r="AR41" s="90">
        <f t="shared" si="14"/>
        <v>0</v>
      </c>
    </row>
    <row r="42" spans="1:44" x14ac:dyDescent="0.25">
      <c r="A42" t="str">
        <f t="shared" si="15"/>
        <v>46193M</v>
      </c>
      <c r="B42" s="51">
        <f t="shared" si="33"/>
        <v>46193</v>
      </c>
      <c r="C42" s="52" t="s">
        <v>87</v>
      </c>
      <c r="D42" s="91"/>
      <c r="E42" s="62"/>
      <c r="F42" s="62"/>
      <c r="G42" s="62">
        <f t="shared" si="16"/>
        <v>0</v>
      </c>
      <c r="H42" s="63">
        <f t="shared" si="17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8"/>
        <v>0</v>
      </c>
      <c r="S42" s="62">
        <f t="shared" si="19"/>
        <v>0</v>
      </c>
      <c r="T42" s="63">
        <f t="shared" si="20"/>
        <v>0</v>
      </c>
      <c r="U42" s="64"/>
      <c r="V42" s="65"/>
      <c r="W42" s="66"/>
      <c r="X42" s="67"/>
      <c r="Y42" s="68"/>
      <c r="Z42" s="68"/>
      <c r="AA42" s="62">
        <f t="shared" si="21"/>
        <v>0</v>
      </c>
      <c r="AB42" s="63">
        <f t="shared" si="22"/>
        <v>0</v>
      </c>
      <c r="AC42" s="69"/>
      <c r="AD42" s="70"/>
      <c r="AE42" s="70"/>
      <c r="AF42" s="62">
        <f t="shared" si="23"/>
        <v>0</v>
      </c>
      <c r="AG42" s="62">
        <f t="shared" si="24"/>
        <v>0</v>
      </c>
      <c r="AH42" s="89"/>
      <c r="AI42" s="66"/>
      <c r="AJ42" s="66"/>
      <c r="AK42" s="62">
        <f t="shared" si="25"/>
        <v>0</v>
      </c>
      <c r="AL42" s="72">
        <f t="shared" si="26"/>
        <v>0</v>
      </c>
      <c r="AM42" s="73">
        <f t="shared" si="27"/>
        <v>0</v>
      </c>
      <c r="AN42" s="74">
        <f t="shared" si="28"/>
        <v>0</v>
      </c>
      <c r="AO42" s="74">
        <f t="shared" si="29"/>
        <v>0</v>
      </c>
      <c r="AP42" s="75" t="e">
        <f t="shared" si="30"/>
        <v>#DIV/0!</v>
      </c>
      <c r="AQ42" s="76">
        <f t="shared" si="31"/>
        <v>0</v>
      </c>
      <c r="AR42" s="90">
        <f t="shared" si="14"/>
        <v>0</v>
      </c>
    </row>
    <row r="43" spans="1:44" x14ac:dyDescent="0.25">
      <c r="A43" t="str">
        <f t="shared" si="15"/>
        <v>46193E</v>
      </c>
      <c r="B43" s="51">
        <f t="shared" si="33"/>
        <v>46193</v>
      </c>
      <c r="C43" s="52" t="s">
        <v>88</v>
      </c>
      <c r="D43" s="91"/>
      <c r="E43" s="62"/>
      <c r="F43" s="62"/>
      <c r="G43" s="62">
        <f t="shared" si="16"/>
        <v>0</v>
      </c>
      <c r="H43" s="63">
        <f t="shared" si="17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8"/>
        <v>0</v>
      </c>
      <c r="S43" s="62">
        <f t="shared" si="19"/>
        <v>0</v>
      </c>
      <c r="T43" s="63">
        <f t="shared" si="20"/>
        <v>0</v>
      </c>
      <c r="U43" s="64"/>
      <c r="V43" s="65"/>
      <c r="W43" s="66"/>
      <c r="X43" s="67"/>
      <c r="Y43" s="68"/>
      <c r="Z43" s="68"/>
      <c r="AA43" s="62">
        <f t="shared" si="21"/>
        <v>0</v>
      </c>
      <c r="AB43" s="63">
        <f t="shared" si="22"/>
        <v>0</v>
      </c>
      <c r="AC43" s="69"/>
      <c r="AD43" s="70"/>
      <c r="AE43" s="70"/>
      <c r="AF43" s="62">
        <f t="shared" si="23"/>
        <v>0</v>
      </c>
      <c r="AG43" s="62">
        <f t="shared" si="24"/>
        <v>0</v>
      </c>
      <c r="AH43" s="89"/>
      <c r="AI43" s="71"/>
      <c r="AJ43" s="71"/>
      <c r="AK43" s="62">
        <f t="shared" si="25"/>
        <v>0</v>
      </c>
      <c r="AL43" s="72">
        <f t="shared" si="26"/>
        <v>0</v>
      </c>
      <c r="AM43" s="73">
        <f t="shared" si="27"/>
        <v>0</v>
      </c>
      <c r="AN43" s="74">
        <f t="shared" si="28"/>
        <v>0</v>
      </c>
      <c r="AO43" s="74">
        <f t="shared" si="29"/>
        <v>0</v>
      </c>
      <c r="AP43" s="75" t="e">
        <f t="shared" si="30"/>
        <v>#DIV/0!</v>
      </c>
      <c r="AQ43" s="76">
        <f t="shared" si="31"/>
        <v>0</v>
      </c>
      <c r="AR43" s="90">
        <f t="shared" si="14"/>
        <v>0</v>
      </c>
    </row>
    <row r="44" spans="1:44" x14ac:dyDescent="0.25">
      <c r="A44" t="str">
        <f t="shared" si="15"/>
        <v>46194M</v>
      </c>
      <c r="B44" s="51">
        <f t="shared" si="33"/>
        <v>46194</v>
      </c>
      <c r="C44" s="52" t="s">
        <v>87</v>
      </c>
      <c r="D44" s="91"/>
      <c r="E44" s="62"/>
      <c r="F44" s="62"/>
      <c r="G44" s="62">
        <f t="shared" si="16"/>
        <v>0</v>
      </c>
      <c r="H44" s="63">
        <f t="shared" si="17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8"/>
        <v>0</v>
      </c>
      <c r="S44" s="62">
        <f t="shared" si="19"/>
        <v>0</v>
      </c>
      <c r="T44" s="63">
        <f t="shared" si="20"/>
        <v>0</v>
      </c>
      <c r="U44" s="64"/>
      <c r="V44" s="65"/>
      <c r="W44" s="66"/>
      <c r="X44" s="67"/>
      <c r="Y44" s="68"/>
      <c r="Z44" s="68"/>
      <c r="AA44" s="62">
        <f t="shared" si="21"/>
        <v>0</v>
      </c>
      <c r="AB44" s="63">
        <f t="shared" si="22"/>
        <v>0</v>
      </c>
      <c r="AC44" s="69"/>
      <c r="AD44" s="70"/>
      <c r="AE44" s="70"/>
      <c r="AF44" s="62">
        <f t="shared" si="23"/>
        <v>0</v>
      </c>
      <c r="AG44" s="62">
        <f t="shared" si="24"/>
        <v>0</v>
      </c>
      <c r="AH44" s="89"/>
      <c r="AI44" s="66"/>
      <c r="AJ44" s="66"/>
      <c r="AK44" s="62">
        <f t="shared" si="25"/>
        <v>0</v>
      </c>
      <c r="AL44" s="72">
        <f t="shared" si="26"/>
        <v>0</v>
      </c>
      <c r="AM44" s="73">
        <f t="shared" si="27"/>
        <v>0</v>
      </c>
      <c r="AN44" s="74">
        <f t="shared" si="28"/>
        <v>0</v>
      </c>
      <c r="AO44" s="74">
        <f t="shared" si="29"/>
        <v>0</v>
      </c>
      <c r="AP44" s="75" t="e">
        <f t="shared" si="30"/>
        <v>#DIV/0!</v>
      </c>
      <c r="AQ44" s="76">
        <f t="shared" si="31"/>
        <v>0</v>
      </c>
      <c r="AR44" s="90">
        <f t="shared" si="14"/>
        <v>0</v>
      </c>
    </row>
    <row r="45" spans="1:44" x14ac:dyDescent="0.25">
      <c r="A45" t="str">
        <f t="shared" si="15"/>
        <v>46194E</v>
      </c>
      <c r="B45" s="51">
        <f t="shared" si="33"/>
        <v>46194</v>
      </c>
      <c r="C45" s="52" t="s">
        <v>88</v>
      </c>
      <c r="D45" s="91"/>
      <c r="E45" s="62"/>
      <c r="F45" s="62"/>
      <c r="G45" s="62">
        <f t="shared" si="16"/>
        <v>0</v>
      </c>
      <c r="H45" s="63">
        <f t="shared" si="17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8"/>
        <v>0</v>
      </c>
      <c r="S45" s="62">
        <f t="shared" si="19"/>
        <v>0</v>
      </c>
      <c r="T45" s="63">
        <f t="shared" si="20"/>
        <v>0</v>
      </c>
      <c r="U45" s="64"/>
      <c r="V45" s="65"/>
      <c r="W45" s="66"/>
      <c r="X45" s="67"/>
      <c r="Y45" s="68"/>
      <c r="Z45" s="68"/>
      <c r="AA45" s="62">
        <f t="shared" si="21"/>
        <v>0</v>
      </c>
      <c r="AB45" s="63">
        <f t="shared" si="22"/>
        <v>0</v>
      </c>
      <c r="AC45" s="69"/>
      <c r="AD45" s="70"/>
      <c r="AE45" s="70"/>
      <c r="AF45" s="62">
        <f t="shared" si="23"/>
        <v>0</v>
      </c>
      <c r="AG45" s="62">
        <f t="shared" si="24"/>
        <v>0</v>
      </c>
      <c r="AH45" s="89"/>
      <c r="AI45" s="71"/>
      <c r="AJ45" s="71"/>
      <c r="AK45" s="62">
        <f t="shared" si="25"/>
        <v>0</v>
      </c>
      <c r="AL45" s="72">
        <f t="shared" si="26"/>
        <v>0</v>
      </c>
      <c r="AM45" s="73">
        <f t="shared" si="27"/>
        <v>0</v>
      </c>
      <c r="AN45" s="74">
        <f t="shared" si="28"/>
        <v>0</v>
      </c>
      <c r="AO45" s="74">
        <f t="shared" si="29"/>
        <v>0</v>
      </c>
      <c r="AP45" s="75" t="e">
        <f t="shared" si="30"/>
        <v>#DIV/0!</v>
      </c>
      <c r="AQ45" s="76">
        <f t="shared" si="31"/>
        <v>0</v>
      </c>
      <c r="AR45" s="90">
        <f t="shared" si="14"/>
        <v>0</v>
      </c>
    </row>
    <row r="46" spans="1:44" x14ac:dyDescent="0.25">
      <c r="A46" t="str">
        <f t="shared" si="15"/>
        <v>46195M</v>
      </c>
      <c r="B46" s="51">
        <f t="shared" si="33"/>
        <v>46195</v>
      </c>
      <c r="C46" s="52" t="s">
        <v>87</v>
      </c>
      <c r="D46" s="91"/>
      <c r="E46" s="62"/>
      <c r="F46" s="62"/>
      <c r="G46" s="62">
        <f t="shared" si="16"/>
        <v>0</v>
      </c>
      <c r="H46" s="63">
        <f t="shared" si="17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8"/>
        <v>0</v>
      </c>
      <c r="S46" s="62">
        <f t="shared" si="19"/>
        <v>0</v>
      </c>
      <c r="T46" s="63">
        <f t="shared" si="20"/>
        <v>0</v>
      </c>
      <c r="U46" s="64"/>
      <c r="V46" s="65"/>
      <c r="W46" s="66"/>
      <c r="X46" s="67"/>
      <c r="Y46" s="68"/>
      <c r="Z46" s="68"/>
      <c r="AA46" s="62">
        <f t="shared" si="21"/>
        <v>0</v>
      </c>
      <c r="AB46" s="63">
        <f t="shared" si="22"/>
        <v>0</v>
      </c>
      <c r="AC46" s="69"/>
      <c r="AD46" s="70"/>
      <c r="AE46" s="70"/>
      <c r="AF46" s="62">
        <f t="shared" si="23"/>
        <v>0</v>
      </c>
      <c r="AG46" s="62">
        <f t="shared" si="24"/>
        <v>0</v>
      </c>
      <c r="AH46" s="89"/>
      <c r="AI46" s="66"/>
      <c r="AJ46" s="66"/>
      <c r="AK46" s="62">
        <f t="shared" si="25"/>
        <v>0</v>
      </c>
      <c r="AL46" s="72">
        <f t="shared" si="26"/>
        <v>0</v>
      </c>
      <c r="AM46" s="73">
        <f t="shared" si="27"/>
        <v>0</v>
      </c>
      <c r="AN46" s="74">
        <f t="shared" si="28"/>
        <v>0</v>
      </c>
      <c r="AO46" s="74">
        <f t="shared" si="29"/>
        <v>0</v>
      </c>
      <c r="AP46" s="75" t="e">
        <f t="shared" si="30"/>
        <v>#DIV/0!</v>
      </c>
      <c r="AQ46" s="76">
        <f t="shared" si="31"/>
        <v>0</v>
      </c>
      <c r="AR46" s="90">
        <f t="shared" si="14"/>
        <v>0</v>
      </c>
    </row>
    <row r="47" spans="1:44" x14ac:dyDescent="0.25">
      <c r="A47" t="str">
        <f t="shared" si="15"/>
        <v>46195E</v>
      </c>
      <c r="B47" s="51">
        <f t="shared" si="33"/>
        <v>46195</v>
      </c>
      <c r="C47" s="52" t="s">
        <v>88</v>
      </c>
      <c r="D47" s="91"/>
      <c r="E47" s="62"/>
      <c r="F47" s="62"/>
      <c r="G47" s="62">
        <f t="shared" si="16"/>
        <v>0</v>
      </c>
      <c r="H47" s="63">
        <f t="shared" si="17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8"/>
        <v>0</v>
      </c>
      <c r="S47" s="62">
        <f t="shared" si="19"/>
        <v>0</v>
      </c>
      <c r="T47" s="63">
        <f t="shared" si="20"/>
        <v>0</v>
      </c>
      <c r="U47" s="64"/>
      <c r="V47" s="65"/>
      <c r="W47" s="66"/>
      <c r="X47" s="67"/>
      <c r="Y47" s="68"/>
      <c r="Z47" s="68"/>
      <c r="AA47" s="62">
        <f t="shared" si="21"/>
        <v>0</v>
      </c>
      <c r="AB47" s="63">
        <f t="shared" si="22"/>
        <v>0</v>
      </c>
      <c r="AC47" s="69"/>
      <c r="AD47" s="70"/>
      <c r="AE47" s="70"/>
      <c r="AF47" s="62">
        <f t="shared" si="23"/>
        <v>0</v>
      </c>
      <c r="AG47" s="62">
        <f t="shared" si="24"/>
        <v>0</v>
      </c>
      <c r="AH47" s="89"/>
      <c r="AI47" s="66"/>
      <c r="AJ47" s="66"/>
      <c r="AK47" s="62">
        <f t="shared" si="25"/>
        <v>0</v>
      </c>
      <c r="AL47" s="72">
        <f t="shared" si="26"/>
        <v>0</v>
      </c>
      <c r="AM47" s="73">
        <f t="shared" si="27"/>
        <v>0</v>
      </c>
      <c r="AN47" s="74">
        <f t="shared" si="28"/>
        <v>0</v>
      </c>
      <c r="AO47" s="74">
        <f t="shared" si="29"/>
        <v>0</v>
      </c>
      <c r="AP47" s="75" t="e">
        <f t="shared" si="30"/>
        <v>#DIV/0!</v>
      </c>
      <c r="AQ47" s="76">
        <f t="shared" si="31"/>
        <v>0</v>
      </c>
      <c r="AR47" s="90">
        <f t="shared" si="14"/>
        <v>0</v>
      </c>
    </row>
    <row r="48" spans="1:44" x14ac:dyDescent="0.25">
      <c r="A48" t="str">
        <f t="shared" si="15"/>
        <v>46196M</v>
      </c>
      <c r="B48" s="51">
        <f t="shared" si="33"/>
        <v>46196</v>
      </c>
      <c r="C48" s="52" t="s">
        <v>87</v>
      </c>
      <c r="D48" s="91"/>
      <c r="E48" s="62"/>
      <c r="F48" s="62"/>
      <c r="G48" s="62">
        <f t="shared" si="16"/>
        <v>0</v>
      </c>
      <c r="H48" s="63">
        <f t="shared" si="17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8"/>
        <v>0</v>
      </c>
      <c r="S48" s="62">
        <f t="shared" si="19"/>
        <v>0</v>
      </c>
      <c r="T48" s="63">
        <f t="shared" si="20"/>
        <v>0</v>
      </c>
      <c r="U48" s="64"/>
      <c r="V48" s="65"/>
      <c r="W48" s="66"/>
      <c r="X48" s="67"/>
      <c r="Y48" s="68"/>
      <c r="Z48" s="68"/>
      <c r="AA48" s="62">
        <f t="shared" si="21"/>
        <v>0</v>
      </c>
      <c r="AB48" s="63">
        <f t="shared" si="22"/>
        <v>0</v>
      </c>
      <c r="AC48" s="69"/>
      <c r="AD48" s="70"/>
      <c r="AE48" s="70"/>
      <c r="AF48" s="62">
        <f t="shared" si="23"/>
        <v>0</v>
      </c>
      <c r="AG48" s="62">
        <f t="shared" si="24"/>
        <v>0</v>
      </c>
      <c r="AH48" s="89"/>
      <c r="AI48" s="71"/>
      <c r="AJ48" s="71"/>
      <c r="AK48" s="62">
        <f t="shared" si="25"/>
        <v>0</v>
      </c>
      <c r="AL48" s="72">
        <f t="shared" si="26"/>
        <v>0</v>
      </c>
      <c r="AM48" s="73">
        <f t="shared" si="27"/>
        <v>0</v>
      </c>
      <c r="AN48" s="74">
        <f t="shared" si="28"/>
        <v>0</v>
      </c>
      <c r="AO48" s="74">
        <f t="shared" si="29"/>
        <v>0</v>
      </c>
      <c r="AP48" s="75" t="e">
        <f t="shared" si="30"/>
        <v>#DIV/0!</v>
      </c>
      <c r="AQ48" s="76">
        <f t="shared" si="31"/>
        <v>0</v>
      </c>
      <c r="AR48" s="90">
        <f t="shared" si="14"/>
        <v>0</v>
      </c>
    </row>
    <row r="49" spans="1:44" x14ac:dyDescent="0.25">
      <c r="A49" t="str">
        <f t="shared" si="15"/>
        <v>46196E</v>
      </c>
      <c r="B49" s="51">
        <f t="shared" si="33"/>
        <v>46196</v>
      </c>
      <c r="C49" s="52" t="s">
        <v>88</v>
      </c>
      <c r="D49" s="91"/>
      <c r="E49" s="62"/>
      <c r="F49" s="62"/>
      <c r="G49" s="62">
        <f t="shared" si="16"/>
        <v>0</v>
      </c>
      <c r="H49" s="63">
        <f t="shared" si="17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8"/>
        <v>0</v>
      </c>
      <c r="S49" s="62">
        <f t="shared" si="19"/>
        <v>0</v>
      </c>
      <c r="T49" s="63">
        <f t="shared" si="20"/>
        <v>0</v>
      </c>
      <c r="U49" s="64"/>
      <c r="V49" s="65"/>
      <c r="W49" s="66"/>
      <c r="X49" s="67"/>
      <c r="Y49" s="68"/>
      <c r="Z49" s="68"/>
      <c r="AA49" s="62">
        <f t="shared" si="21"/>
        <v>0</v>
      </c>
      <c r="AB49" s="63">
        <f t="shared" si="22"/>
        <v>0</v>
      </c>
      <c r="AC49" s="69"/>
      <c r="AD49" s="70"/>
      <c r="AE49" s="70"/>
      <c r="AF49" s="62">
        <f t="shared" si="23"/>
        <v>0</v>
      </c>
      <c r="AG49" s="62">
        <f t="shared" si="24"/>
        <v>0</v>
      </c>
      <c r="AH49" s="89"/>
      <c r="AI49" s="66"/>
      <c r="AJ49" s="66"/>
      <c r="AK49" s="62">
        <f t="shared" si="25"/>
        <v>0</v>
      </c>
      <c r="AL49" s="72">
        <f t="shared" si="26"/>
        <v>0</v>
      </c>
      <c r="AM49" s="73">
        <f t="shared" si="27"/>
        <v>0</v>
      </c>
      <c r="AN49" s="74">
        <f t="shared" si="28"/>
        <v>0</v>
      </c>
      <c r="AO49" s="74">
        <f t="shared" si="29"/>
        <v>0</v>
      </c>
      <c r="AP49" s="75" t="e">
        <f t="shared" si="30"/>
        <v>#DIV/0!</v>
      </c>
      <c r="AQ49" s="76">
        <f t="shared" si="31"/>
        <v>0</v>
      </c>
      <c r="AR49" s="90">
        <f t="shared" si="14"/>
        <v>0</v>
      </c>
    </row>
    <row r="50" spans="1:44" x14ac:dyDescent="0.25">
      <c r="A50" t="str">
        <f t="shared" si="15"/>
        <v>46197M</v>
      </c>
      <c r="B50" s="51">
        <f t="shared" si="33"/>
        <v>46197</v>
      </c>
      <c r="C50" s="52" t="s">
        <v>87</v>
      </c>
      <c r="D50" s="91"/>
      <c r="E50" s="62"/>
      <c r="F50" s="62"/>
      <c r="G50" s="62">
        <f t="shared" si="16"/>
        <v>0</v>
      </c>
      <c r="H50" s="63">
        <f t="shared" si="17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8"/>
        <v>0</v>
      </c>
      <c r="S50" s="62">
        <f t="shared" si="19"/>
        <v>0</v>
      </c>
      <c r="T50" s="63">
        <f t="shared" si="20"/>
        <v>0</v>
      </c>
      <c r="U50" s="64"/>
      <c r="V50" s="65"/>
      <c r="W50" s="66"/>
      <c r="X50" s="67"/>
      <c r="Y50" s="68"/>
      <c r="Z50" s="68"/>
      <c r="AA50" s="62">
        <f t="shared" si="21"/>
        <v>0</v>
      </c>
      <c r="AB50" s="63">
        <f t="shared" si="22"/>
        <v>0</v>
      </c>
      <c r="AC50" s="69"/>
      <c r="AD50" s="70"/>
      <c r="AE50" s="70"/>
      <c r="AF50" s="62">
        <f t="shared" si="23"/>
        <v>0</v>
      </c>
      <c r="AG50" s="62">
        <f t="shared" si="24"/>
        <v>0</v>
      </c>
      <c r="AH50" s="89"/>
      <c r="AI50" s="71"/>
      <c r="AJ50" s="71"/>
      <c r="AK50" s="62">
        <f t="shared" si="25"/>
        <v>0</v>
      </c>
      <c r="AL50" s="72">
        <f t="shared" si="26"/>
        <v>0</v>
      </c>
      <c r="AM50" s="73">
        <f t="shared" si="27"/>
        <v>0</v>
      </c>
      <c r="AN50" s="74">
        <f t="shared" si="28"/>
        <v>0</v>
      </c>
      <c r="AO50" s="74">
        <f t="shared" si="29"/>
        <v>0</v>
      </c>
      <c r="AP50" s="75" t="e">
        <f t="shared" si="30"/>
        <v>#DIV/0!</v>
      </c>
      <c r="AQ50" s="76">
        <f t="shared" si="31"/>
        <v>0</v>
      </c>
      <c r="AR50" s="90">
        <f t="shared" ref="AR50:AR62" si="34">(D50+J50+O50)-(X50+AH50)</f>
        <v>0</v>
      </c>
    </row>
    <row r="51" spans="1:44" x14ac:dyDescent="0.25">
      <c r="A51" t="str">
        <f t="shared" si="15"/>
        <v>46197E</v>
      </c>
      <c r="B51" s="51">
        <f t="shared" si="33"/>
        <v>46197</v>
      </c>
      <c r="C51" s="52" t="s">
        <v>88</v>
      </c>
      <c r="D51" s="91"/>
      <c r="E51" s="62"/>
      <c r="F51" s="62"/>
      <c r="G51" s="62">
        <f t="shared" si="16"/>
        <v>0</v>
      </c>
      <c r="H51" s="63">
        <f t="shared" si="17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8"/>
        <v>0</v>
      </c>
      <c r="S51" s="62">
        <f t="shared" si="19"/>
        <v>0</v>
      </c>
      <c r="T51" s="63">
        <f t="shared" si="20"/>
        <v>0</v>
      </c>
      <c r="U51" s="64"/>
      <c r="V51" s="85"/>
      <c r="W51" s="66"/>
      <c r="X51" s="67"/>
      <c r="Y51" s="68"/>
      <c r="Z51" s="68"/>
      <c r="AA51" s="62">
        <f t="shared" si="21"/>
        <v>0</v>
      </c>
      <c r="AB51" s="63">
        <f t="shared" si="22"/>
        <v>0</v>
      </c>
      <c r="AC51" s="69"/>
      <c r="AD51" s="70"/>
      <c r="AE51" s="70"/>
      <c r="AF51" s="62">
        <f t="shared" si="23"/>
        <v>0</v>
      </c>
      <c r="AG51" s="62">
        <f t="shared" si="24"/>
        <v>0</v>
      </c>
      <c r="AH51" s="89"/>
      <c r="AI51" s="66"/>
      <c r="AJ51" s="66"/>
      <c r="AK51" s="62">
        <f t="shared" si="25"/>
        <v>0</v>
      </c>
      <c r="AL51" s="72">
        <f t="shared" si="26"/>
        <v>0</v>
      </c>
      <c r="AM51" s="73">
        <f t="shared" si="27"/>
        <v>0</v>
      </c>
      <c r="AN51" s="74">
        <f t="shared" si="28"/>
        <v>0</v>
      </c>
      <c r="AO51" s="74">
        <f t="shared" si="29"/>
        <v>0</v>
      </c>
      <c r="AP51" s="75" t="e">
        <f t="shared" si="30"/>
        <v>#DIV/0!</v>
      </c>
      <c r="AQ51" s="76">
        <f t="shared" si="31"/>
        <v>0</v>
      </c>
      <c r="AR51" s="90">
        <f t="shared" si="34"/>
        <v>0</v>
      </c>
    </row>
    <row r="52" spans="1:44" x14ac:dyDescent="0.25">
      <c r="A52" t="str">
        <f t="shared" si="15"/>
        <v>46198M</v>
      </c>
      <c r="B52" s="51">
        <f t="shared" si="33"/>
        <v>46198</v>
      </c>
      <c r="C52" s="52" t="s">
        <v>87</v>
      </c>
      <c r="D52" s="91"/>
      <c r="E52" s="62"/>
      <c r="F52" s="62"/>
      <c r="G52" s="62">
        <f t="shared" si="16"/>
        <v>0</v>
      </c>
      <c r="H52" s="63">
        <f t="shared" si="17"/>
        <v>0</v>
      </c>
      <c r="I52" s="119"/>
      <c r="J52" s="119"/>
      <c r="K52" s="203"/>
      <c r="L52" s="203"/>
      <c r="M52" s="58"/>
      <c r="N52" s="58"/>
      <c r="O52" s="59"/>
      <c r="P52" s="56"/>
      <c r="Q52" s="60"/>
      <c r="R52" s="61">
        <f t="shared" si="18"/>
        <v>0</v>
      </c>
      <c r="S52" s="62">
        <f t="shared" si="19"/>
        <v>0</v>
      </c>
      <c r="T52" s="63">
        <f t="shared" si="20"/>
        <v>0</v>
      </c>
      <c r="U52" s="64"/>
      <c r="V52" s="65"/>
      <c r="W52" s="66"/>
      <c r="X52" s="67"/>
      <c r="Y52" s="68"/>
      <c r="Z52" s="68"/>
      <c r="AA52" s="62">
        <f t="shared" si="21"/>
        <v>0</v>
      </c>
      <c r="AB52" s="63">
        <f t="shared" si="22"/>
        <v>0</v>
      </c>
      <c r="AC52" s="69"/>
      <c r="AD52" s="70"/>
      <c r="AE52" s="70"/>
      <c r="AF52" s="62">
        <f t="shared" si="23"/>
        <v>0</v>
      </c>
      <c r="AG52" s="62">
        <f t="shared" si="24"/>
        <v>0</v>
      </c>
      <c r="AH52" s="89"/>
      <c r="AI52" s="66"/>
      <c r="AJ52" s="66"/>
      <c r="AK52" s="62">
        <f t="shared" si="25"/>
        <v>0</v>
      </c>
      <c r="AL52" s="72">
        <f t="shared" si="26"/>
        <v>0</v>
      </c>
      <c r="AM52" s="73">
        <f t="shared" si="27"/>
        <v>0</v>
      </c>
      <c r="AN52" s="74">
        <f t="shared" si="28"/>
        <v>0</v>
      </c>
      <c r="AO52" s="74">
        <f t="shared" si="29"/>
        <v>0</v>
      </c>
      <c r="AP52" s="75" t="e">
        <f t="shared" si="30"/>
        <v>#DIV/0!</v>
      </c>
      <c r="AQ52" s="76">
        <f t="shared" si="31"/>
        <v>0</v>
      </c>
      <c r="AR52" s="90">
        <f t="shared" si="34"/>
        <v>0</v>
      </c>
    </row>
    <row r="53" spans="1:44" x14ac:dyDescent="0.25">
      <c r="A53" t="str">
        <f t="shared" si="15"/>
        <v>46198E</v>
      </c>
      <c r="B53" s="51">
        <f t="shared" si="33"/>
        <v>46198</v>
      </c>
      <c r="C53" s="52" t="s">
        <v>88</v>
      </c>
      <c r="D53" s="91"/>
      <c r="E53" s="62"/>
      <c r="F53" s="62"/>
      <c r="G53" s="62">
        <f t="shared" si="16"/>
        <v>0</v>
      </c>
      <c r="H53" s="63">
        <f t="shared" si="17"/>
        <v>0</v>
      </c>
      <c r="I53" s="119"/>
      <c r="J53" s="119"/>
      <c r="K53" s="203"/>
      <c r="L53" s="203"/>
      <c r="M53" s="58"/>
      <c r="N53" s="58"/>
      <c r="O53" s="59"/>
      <c r="P53" s="56"/>
      <c r="Q53" s="60"/>
      <c r="R53" s="61">
        <f t="shared" si="18"/>
        <v>0</v>
      </c>
      <c r="S53" s="62">
        <f t="shared" si="19"/>
        <v>0</v>
      </c>
      <c r="T53" s="63">
        <f t="shared" si="20"/>
        <v>0</v>
      </c>
      <c r="U53" s="64"/>
      <c r="V53" s="65"/>
      <c r="W53" s="66"/>
      <c r="X53" s="67"/>
      <c r="Y53" s="68"/>
      <c r="Z53" s="68"/>
      <c r="AA53" s="62">
        <f t="shared" si="21"/>
        <v>0</v>
      </c>
      <c r="AB53" s="63">
        <f t="shared" si="22"/>
        <v>0</v>
      </c>
      <c r="AC53" s="69"/>
      <c r="AD53" s="70"/>
      <c r="AE53" s="70"/>
      <c r="AF53" s="62">
        <f t="shared" si="23"/>
        <v>0</v>
      </c>
      <c r="AG53" s="62">
        <f t="shared" si="24"/>
        <v>0</v>
      </c>
      <c r="AH53" s="89"/>
      <c r="AI53" s="66"/>
      <c r="AJ53" s="66"/>
      <c r="AK53" s="62">
        <f t="shared" si="25"/>
        <v>0</v>
      </c>
      <c r="AL53" s="72">
        <f t="shared" si="26"/>
        <v>0</v>
      </c>
      <c r="AM53" s="73">
        <f t="shared" si="27"/>
        <v>0</v>
      </c>
      <c r="AN53" s="74">
        <f t="shared" si="28"/>
        <v>0</v>
      </c>
      <c r="AO53" s="74">
        <f t="shared" si="29"/>
        <v>0</v>
      </c>
      <c r="AP53" s="75" t="e">
        <f t="shared" si="30"/>
        <v>#DIV/0!</v>
      </c>
      <c r="AQ53" s="76">
        <f t="shared" si="31"/>
        <v>0</v>
      </c>
      <c r="AR53" s="90">
        <f t="shared" si="34"/>
        <v>0</v>
      </c>
    </row>
    <row r="54" spans="1:44" x14ac:dyDescent="0.25">
      <c r="A54" t="str">
        <f t="shared" si="15"/>
        <v>46199M</v>
      </c>
      <c r="B54" s="51">
        <f t="shared" si="33"/>
        <v>46199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9"/>
      <c r="J54" s="119"/>
      <c r="K54" s="203"/>
      <c r="L54" s="203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21"/>
        <v>0</v>
      </c>
      <c r="AB54" s="63">
        <f t="shared" si="22"/>
        <v>0</v>
      </c>
      <c r="AC54" s="69"/>
      <c r="AD54" s="70"/>
      <c r="AE54" s="70"/>
      <c r="AF54" s="62">
        <f t="shared" si="23"/>
        <v>0</v>
      </c>
      <c r="AG54" s="62">
        <f t="shared" si="24"/>
        <v>0</v>
      </c>
      <c r="AH54" s="89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90">
        <f t="shared" si="34"/>
        <v>0</v>
      </c>
    </row>
    <row r="55" spans="1:44" x14ac:dyDescent="0.25">
      <c r="A55" t="str">
        <f t="shared" si="15"/>
        <v>46199E</v>
      </c>
      <c r="B55" s="51">
        <f t="shared" si="33"/>
        <v>46199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9"/>
      <c r="J55" s="119"/>
      <c r="K55" s="203"/>
      <c r="L55" s="203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21"/>
        <v>0</v>
      </c>
      <c r="AB55" s="63">
        <f t="shared" si="22"/>
        <v>0</v>
      </c>
      <c r="AC55" s="69"/>
      <c r="AD55" s="70"/>
      <c r="AE55" s="70"/>
      <c r="AF55" s="62">
        <f t="shared" si="23"/>
        <v>0</v>
      </c>
      <c r="AG55" s="62">
        <f t="shared" si="24"/>
        <v>0</v>
      </c>
      <c r="AH55" s="89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90">
        <f t="shared" si="34"/>
        <v>0</v>
      </c>
    </row>
    <row r="56" spans="1:44" x14ac:dyDescent="0.25">
      <c r="A56" t="str">
        <f t="shared" si="15"/>
        <v>46200M</v>
      </c>
      <c r="B56" s="51">
        <f t="shared" si="33"/>
        <v>46200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9"/>
      <c r="J56" s="119"/>
      <c r="K56" s="203"/>
      <c r="L56" s="203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21"/>
        <v>0</v>
      </c>
      <c r="AB56" s="63">
        <f t="shared" si="22"/>
        <v>0</v>
      </c>
      <c r="AC56" s="69"/>
      <c r="AD56" s="70"/>
      <c r="AE56" s="70"/>
      <c r="AF56" s="62">
        <f t="shared" si="23"/>
        <v>0</v>
      </c>
      <c r="AG56" s="62">
        <f t="shared" si="24"/>
        <v>0</v>
      </c>
      <c r="AH56" s="89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90">
        <f t="shared" si="34"/>
        <v>0</v>
      </c>
    </row>
    <row r="57" spans="1:44" x14ac:dyDescent="0.25">
      <c r="A57" t="str">
        <f t="shared" si="15"/>
        <v>46200E</v>
      </c>
      <c r="B57" s="51">
        <f t="shared" si="33"/>
        <v>46200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9"/>
      <c r="J57" s="119"/>
      <c r="K57" s="203"/>
      <c r="L57" s="203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21"/>
        <v>0</v>
      </c>
      <c r="AB57" s="63">
        <f t="shared" si="22"/>
        <v>0</v>
      </c>
      <c r="AC57" s="69"/>
      <c r="AD57" s="70"/>
      <c r="AE57" s="70"/>
      <c r="AF57" s="62">
        <f t="shared" si="23"/>
        <v>0</v>
      </c>
      <c r="AG57" s="62">
        <f t="shared" si="24"/>
        <v>0</v>
      </c>
      <c r="AH57" s="89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90">
        <f t="shared" si="34"/>
        <v>0</v>
      </c>
    </row>
    <row r="58" spans="1:44" x14ac:dyDescent="0.25">
      <c r="A58" t="str">
        <f t="shared" si="15"/>
        <v>46201M</v>
      </c>
      <c r="B58" s="51">
        <f t="shared" si="33"/>
        <v>46201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9"/>
      <c r="J58" s="119"/>
      <c r="K58" s="203"/>
      <c r="L58" s="203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21"/>
        <v>0</v>
      </c>
      <c r="AB58" s="63">
        <f t="shared" si="22"/>
        <v>0</v>
      </c>
      <c r="AC58" s="69"/>
      <c r="AD58" s="70"/>
      <c r="AE58" s="70"/>
      <c r="AF58" s="62">
        <f t="shared" si="23"/>
        <v>0</v>
      </c>
      <c r="AG58" s="62">
        <f t="shared" si="24"/>
        <v>0</v>
      </c>
      <c r="AH58" s="89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90">
        <f t="shared" si="34"/>
        <v>0</v>
      </c>
    </row>
    <row r="59" spans="1:44" x14ac:dyDescent="0.25">
      <c r="A59" t="str">
        <f t="shared" si="15"/>
        <v>46201E</v>
      </c>
      <c r="B59" s="51">
        <f t="shared" si="33"/>
        <v>46201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9"/>
      <c r="J59" s="119"/>
      <c r="K59" s="203"/>
      <c r="L59" s="203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21"/>
        <v>0</v>
      </c>
      <c r="AB59" s="63">
        <f t="shared" si="22"/>
        <v>0</v>
      </c>
      <c r="AC59" s="69"/>
      <c r="AD59" s="70"/>
      <c r="AE59" s="70"/>
      <c r="AF59" s="62">
        <f t="shared" si="23"/>
        <v>0</v>
      </c>
      <c r="AG59" s="62">
        <f t="shared" si="24"/>
        <v>0</v>
      </c>
      <c r="AH59" s="89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90">
        <f t="shared" si="34"/>
        <v>0</v>
      </c>
    </row>
    <row r="60" spans="1:44" x14ac:dyDescent="0.25">
      <c r="A60" t="str">
        <f t="shared" si="15"/>
        <v>46202M</v>
      </c>
      <c r="B60" s="51">
        <f t="shared" si="33"/>
        <v>46202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9"/>
      <c r="J60" s="119"/>
      <c r="K60" s="203"/>
      <c r="L60" s="203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21"/>
        <v>0</v>
      </c>
      <c r="AB60" s="63">
        <f t="shared" si="22"/>
        <v>0</v>
      </c>
      <c r="AC60" s="69"/>
      <c r="AD60" s="70"/>
      <c r="AE60" s="70"/>
      <c r="AF60" s="62">
        <f t="shared" si="23"/>
        <v>0</v>
      </c>
      <c r="AG60" s="62">
        <f t="shared" si="24"/>
        <v>0</v>
      </c>
      <c r="AH60" s="89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90">
        <f t="shared" si="34"/>
        <v>0</v>
      </c>
    </row>
    <row r="61" spans="1:44" x14ac:dyDescent="0.25">
      <c r="A61" t="str">
        <f t="shared" si="15"/>
        <v>46202E</v>
      </c>
      <c r="B61" s="51">
        <f t="shared" si="33"/>
        <v>46202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9"/>
      <c r="J61" s="119"/>
      <c r="K61" s="203"/>
      <c r="L61" s="203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21"/>
        <v>0</v>
      </c>
      <c r="AB61" s="63">
        <f t="shared" si="22"/>
        <v>0</v>
      </c>
      <c r="AC61" s="69"/>
      <c r="AD61" s="70"/>
      <c r="AE61" s="70"/>
      <c r="AF61" s="62">
        <f t="shared" si="23"/>
        <v>0</v>
      </c>
      <c r="AG61" s="62">
        <f t="shared" si="24"/>
        <v>0</v>
      </c>
      <c r="AH61" s="89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90">
        <f t="shared" si="34"/>
        <v>0</v>
      </c>
    </row>
    <row r="62" spans="1:44" x14ac:dyDescent="0.25">
      <c r="A62" t="str">
        <f t="shared" si="15"/>
        <v>46203M</v>
      </c>
      <c r="B62" s="51">
        <f t="shared" si="33"/>
        <v>46203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9"/>
      <c r="J62" s="119"/>
      <c r="K62" s="203"/>
      <c r="L62" s="203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21"/>
        <v>0</v>
      </c>
      <c r="AB62" s="63">
        <f t="shared" si="22"/>
        <v>0</v>
      </c>
      <c r="AC62" s="69"/>
      <c r="AD62" s="70"/>
      <c r="AE62" s="70"/>
      <c r="AF62" s="62">
        <f t="shared" si="23"/>
        <v>0</v>
      </c>
      <c r="AG62" s="62">
        <f t="shared" si="24"/>
        <v>0</v>
      </c>
      <c r="AH62" s="89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90">
        <f t="shared" si="34"/>
        <v>0</v>
      </c>
    </row>
    <row r="63" spans="1:44" x14ac:dyDescent="0.25">
      <c r="A63" t="str">
        <f t="shared" si="15"/>
        <v>46203E</v>
      </c>
      <c r="B63" s="51">
        <f t="shared" si="33"/>
        <v>46203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9"/>
      <c r="J63" s="119"/>
      <c r="K63" s="203"/>
      <c r="L63" s="203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21"/>
        <v>0</v>
      </c>
      <c r="AB63" s="63">
        <f t="shared" si="22"/>
        <v>0</v>
      </c>
      <c r="AC63" s="69"/>
      <c r="AD63" s="70"/>
      <c r="AE63" s="70"/>
      <c r="AF63" s="62">
        <f t="shared" si="23"/>
        <v>0</v>
      </c>
      <c r="AG63" s="62">
        <f t="shared" si="24"/>
        <v>0</v>
      </c>
      <c r="AH63" s="89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90">
        <v>0</v>
      </c>
    </row>
    <row r="64" spans="1:44" x14ac:dyDescent="0.25">
      <c r="A64" t="str">
        <f t="shared" si="15"/>
        <v>46204M</v>
      </c>
      <c r="B64" s="51">
        <f t="shared" si="33"/>
        <v>46204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9"/>
      <c r="J64" s="119"/>
      <c r="K64" s="203"/>
      <c r="L64" s="203"/>
      <c r="M64" s="57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21"/>
        <v>0</v>
      </c>
      <c r="AB64" s="63">
        <f t="shared" si="22"/>
        <v>0</v>
      </c>
      <c r="AC64" s="69"/>
      <c r="AD64" s="70"/>
      <c r="AE64" s="70"/>
      <c r="AF64" s="62">
        <f t="shared" si="23"/>
        <v>0</v>
      </c>
      <c r="AG64" s="62">
        <f t="shared" si="24"/>
        <v>0</v>
      </c>
      <c r="AH64" s="89"/>
      <c r="AI64" s="71"/>
      <c r="AJ64" s="71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90">
        <f t="shared" si="14"/>
        <v>0</v>
      </c>
    </row>
    <row r="65" spans="1:44" x14ac:dyDescent="0.25">
      <c r="A65" t="str">
        <f t="shared" si="15"/>
        <v>46204E</v>
      </c>
      <c r="B65" s="51">
        <f t="shared" si="33"/>
        <v>46204</v>
      </c>
      <c r="C65" s="52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9"/>
      <c r="J65" s="119"/>
      <c r="K65" s="203"/>
      <c r="L65" s="203"/>
      <c r="M65" s="57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21"/>
        <v>0</v>
      </c>
      <c r="AB65" s="63">
        <f t="shared" si="22"/>
        <v>0</v>
      </c>
      <c r="AC65" s="69"/>
      <c r="AD65" s="70"/>
      <c r="AE65" s="70"/>
      <c r="AF65" s="62">
        <f t="shared" si="23"/>
        <v>0</v>
      </c>
      <c r="AG65" s="62">
        <f t="shared" si="24"/>
        <v>0</v>
      </c>
      <c r="AH65" s="89"/>
      <c r="AI65" s="71"/>
      <c r="AJ65" s="71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90">
        <f t="shared" si="14"/>
        <v>0</v>
      </c>
    </row>
    <row r="66" spans="1:44" x14ac:dyDescent="0.25">
      <c r="J66" s="83">
        <f>SUM(J4:J65)</f>
        <v>156221.74800000002</v>
      </c>
      <c r="R66" s="83">
        <f>SUM(R4:R65)</f>
        <v>170548.74799999999</v>
      </c>
      <c r="S66" s="83">
        <f t="shared" ref="S66:T66" si="35">SUM(S4:S65)</f>
        <v>6966.2380080000003</v>
      </c>
      <c r="T66" s="83">
        <f t="shared" si="35"/>
        <v>14021.815142000001</v>
      </c>
      <c r="AH66" s="90"/>
      <c r="AI66" s="77"/>
      <c r="AJ66" s="77"/>
      <c r="AM66" s="83">
        <f>-SUM(AM4:AM65)</f>
        <v>-34.74800000000505</v>
      </c>
      <c r="AN66" s="83">
        <f>-SUM(AN4:AN65)</f>
        <v>107.06659199999966</v>
      </c>
      <c r="AO66" s="83">
        <f>-SUM(AO4:AO65)</f>
        <v>-48.994542000001864</v>
      </c>
      <c r="AQ66" s="127">
        <f>-SUM(AQ4:AQ65)</f>
        <v>33400.503915239286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1" priority="2" operator="lessThan">
      <formula>0.1</formula>
    </cfRule>
    <cfRule type="cellIs" dxfId="110" priority="3" operator="greaterThan">
      <formula>0.1</formula>
    </cfRule>
  </conditionalFormatting>
  <conditionalFormatting sqref="AP1:AQ1">
    <cfRule type="cellIs" dxfId="109" priority="1" operator="lessThan">
      <formula>1</formula>
    </cfRule>
  </conditionalFormatting>
  <conditionalFormatting sqref="AQ4:AQ65">
    <cfRule type="cellIs" dxfId="108" priority="12" operator="lessThan">
      <formula>0</formula>
    </cfRule>
    <cfRule type="cellIs" dxfId="107" priority="1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71"/>
  <sheetViews>
    <sheetView zoomScale="80" zoomScaleNormal="80" workbookViewId="0">
      <pane xSplit="3" ySplit="3" topLeftCell="D24" activePane="bottomRight" state="frozen"/>
      <selection pane="topRight" activeCell="D1" sqref="D1"/>
      <selection pane="bottomLeft" activeCell="A4" sqref="A4"/>
      <selection pane="bottomRight" activeCell="AH26" sqref="AH26:AJ39"/>
    </sheetView>
  </sheetViews>
  <sheetFormatPr defaultRowHeight="15" x14ac:dyDescent="0.25"/>
  <cols>
    <col min="1" max="1" width="5.28515625" customWidth="1"/>
    <col min="2" max="2" width="9.7109375" customWidth="1"/>
    <col min="3" max="3" width="4.7109375" bestFit="1" customWidth="1"/>
    <col min="4" max="4" width="7.5703125" bestFit="1" customWidth="1"/>
    <col min="5" max="5" width="5" bestFit="1" customWidth="1"/>
    <col min="6" max="6" width="5.5703125" bestFit="1" customWidth="1"/>
    <col min="7" max="7" width="6.5703125" bestFit="1" customWidth="1"/>
    <col min="8" max="8" width="7.5703125" bestFit="1" customWidth="1"/>
    <col min="9" max="9" width="7.42578125" customWidth="1"/>
    <col min="10" max="10" width="8" customWidth="1"/>
    <col min="11" max="11" width="6.140625" customWidth="1"/>
    <col min="12" max="12" width="5.7109375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7.5703125" customWidth="1"/>
    <col min="19" max="19" width="6.140625" customWidth="1"/>
    <col min="20" max="20" width="7.5703125" bestFit="1" customWidth="1"/>
    <col min="21" max="21" width="6.7109375" bestFit="1" customWidth="1"/>
    <col min="22" max="22" width="7.140625" bestFit="1" customWidth="1"/>
    <col min="23" max="23" width="8.85546875" customWidth="1"/>
    <col min="24" max="24" width="6.42578125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" bestFit="1" customWidth="1"/>
    <col min="36" max="37" width="6.5703125" bestFit="1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137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:G65" si="0">+D4*E4%</f>
        <v>0</v>
      </c>
      <c r="H4" s="63">
        <f t="shared" ref="H4:H65" si="1">+D4*F4%</f>
        <v>0</v>
      </c>
      <c r="I4" s="203">
        <v>3293.8</v>
      </c>
      <c r="J4" s="203">
        <v>3392.6140000000005</v>
      </c>
      <c r="K4" s="203">
        <v>4.094116218349626</v>
      </c>
      <c r="L4" s="203">
        <v>8.1930991559900423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3392.6140000000005</v>
      </c>
      <c r="S4" s="62">
        <f t="shared" ref="S4:S65" si="3">+J4*K4%+O4*P4%</f>
        <v>138.89756</v>
      </c>
      <c r="T4" s="63">
        <f t="shared" ref="T4:T65" si="4">+J4*L4%+O4*Q4%</f>
        <v>277.96022900000008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3393</v>
      </c>
      <c r="AI4" s="66">
        <v>4.09</v>
      </c>
      <c r="AJ4" s="66">
        <v>8.19</v>
      </c>
      <c r="AK4" s="62">
        <f t="shared" ref="AK4:AK65" si="9">AH4*AI4%</f>
        <v>138.77369999999999</v>
      </c>
      <c r="AL4" s="72">
        <f t="shared" ref="AL4:AL65" si="10">AH4*AJ4%</f>
        <v>277.88670000000002</v>
      </c>
      <c r="AM4" s="73">
        <f t="shared" ref="AM4:AM65" si="11">+D4+R4-AC4-AH4</f>
        <v>-0.38599999999951251</v>
      </c>
      <c r="AN4" s="74">
        <f t="shared" ref="AN4:AO19" si="12">+G4+S4-AF4-AK4</f>
        <v>0.12386000000000763</v>
      </c>
      <c r="AO4" s="74">
        <f t="shared" si="12"/>
        <v>7.352900000006457E-2</v>
      </c>
      <c r="AP4" s="75">
        <f t="shared" ref="AP4:AP65" si="13">(AN4+AO4)/(S4+T4)</f>
        <v>4.735164010575131E-4</v>
      </c>
      <c r="AQ4" s="76">
        <f t="shared" ref="AQ4:AQ65" si="14">($AP$1*AN4+$AQ$1*AO4)</f>
        <v>77.607261526689427</v>
      </c>
      <c r="AR4" s="90">
        <f t="shared" ref="AR4:AR65" si="15">(D4+J4+O4)-(X4+AH4)</f>
        <v>-0.38599999999951251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3393</v>
      </c>
      <c r="E5" s="62">
        <v>4.09</v>
      </c>
      <c r="F5" s="62">
        <v>8.19</v>
      </c>
      <c r="G5" s="62">
        <f t="shared" si="0"/>
        <v>138.77369999999999</v>
      </c>
      <c r="H5" s="63">
        <f t="shared" si="1"/>
        <v>277.88670000000002</v>
      </c>
      <c r="I5" s="203">
        <v>2696.2999999999993</v>
      </c>
      <c r="J5" s="203">
        <v>2777.1889999999994</v>
      </c>
      <c r="K5" s="203">
        <v>3.5424841449393609</v>
      </c>
      <c r="L5" s="203">
        <v>8.2520528131142683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2777.1889999999994</v>
      </c>
      <c r="S5" s="62">
        <f t="shared" si="3"/>
        <v>98.381479999999968</v>
      </c>
      <c r="T5" s="63">
        <f t="shared" si="4"/>
        <v>229.17510299999998</v>
      </c>
      <c r="U5" s="64" t="s">
        <v>175</v>
      </c>
      <c r="V5" s="65" t="s">
        <v>231</v>
      </c>
      <c r="W5" s="66" t="s">
        <v>225</v>
      </c>
      <c r="X5" s="67">
        <v>3410</v>
      </c>
      <c r="Y5" s="68">
        <v>4.1500000000000004</v>
      </c>
      <c r="Z5" s="68">
        <v>8.18</v>
      </c>
      <c r="AA5" s="62">
        <f t="shared" si="5"/>
        <v>141.51500000000001</v>
      </c>
      <c r="AB5" s="63">
        <f t="shared" si="6"/>
        <v>278.93799999999999</v>
      </c>
      <c r="AC5" s="69">
        <v>3360</v>
      </c>
      <c r="AD5" s="70">
        <v>4.05</v>
      </c>
      <c r="AE5" s="70">
        <v>7.91</v>
      </c>
      <c r="AF5" s="62">
        <f t="shared" si="7"/>
        <v>136.08000000000001</v>
      </c>
      <c r="AG5" s="62">
        <f t="shared" si="8"/>
        <v>265.77600000000001</v>
      </c>
      <c r="AH5" s="89">
        <v>2761</v>
      </c>
      <c r="AI5" s="66">
        <v>3.84</v>
      </c>
      <c r="AJ5" s="66">
        <v>8.2200000000000006</v>
      </c>
      <c r="AK5" s="62">
        <f t="shared" si="9"/>
        <v>106.02239999999999</v>
      </c>
      <c r="AL5" s="72">
        <f t="shared" si="10"/>
        <v>226.95420000000001</v>
      </c>
      <c r="AM5" s="73">
        <f t="shared" si="11"/>
        <v>49.188999999999396</v>
      </c>
      <c r="AN5" s="74">
        <f t="shared" si="12"/>
        <v>-4.9472200000000299</v>
      </c>
      <c r="AO5" s="74">
        <f t="shared" si="12"/>
        <v>14.331602999999973</v>
      </c>
      <c r="AP5" s="75">
        <f t="shared" si="13"/>
        <v>2.8649654707137866E-2</v>
      </c>
      <c r="AQ5" s="76">
        <f t="shared" si="14"/>
        <v>2068.2100716199793</v>
      </c>
      <c r="AR5" s="90">
        <f t="shared" si="15"/>
        <v>-0.8110000000006039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2761</v>
      </c>
      <c r="E6" s="62">
        <v>3.84</v>
      </c>
      <c r="F6" s="62">
        <v>8.2200000000000006</v>
      </c>
      <c r="G6" s="62">
        <f t="shared" si="0"/>
        <v>106.02239999999999</v>
      </c>
      <c r="H6" s="63">
        <f t="shared" si="1"/>
        <v>226.95420000000001</v>
      </c>
      <c r="I6" s="203">
        <v>3101.6</v>
      </c>
      <c r="J6" s="203">
        <v>3194.6480000000001</v>
      </c>
      <c r="K6" s="203">
        <v>4.0556454733041001</v>
      </c>
      <c r="L6" s="203">
        <v>8.173071962857879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3194.6480000000001</v>
      </c>
      <c r="S6" s="62">
        <f t="shared" si="3"/>
        <v>129.56359699999999</v>
      </c>
      <c r="T6" s="63">
        <f t="shared" si="4"/>
        <v>261.10088000000002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5957</v>
      </c>
      <c r="AI6" s="66">
        <v>3.96</v>
      </c>
      <c r="AJ6" s="66">
        <v>8.19</v>
      </c>
      <c r="AK6" s="62">
        <f t="shared" si="9"/>
        <v>235.89719999999997</v>
      </c>
      <c r="AL6" s="72">
        <f t="shared" si="10"/>
        <v>487.87830000000002</v>
      </c>
      <c r="AM6" s="73">
        <f t="shared" si="11"/>
        <v>-1.3519999999998618</v>
      </c>
      <c r="AN6" s="74">
        <f t="shared" si="12"/>
        <v>-0.31120300000000611</v>
      </c>
      <c r="AO6" s="74">
        <f t="shared" si="12"/>
        <v>0.17678000000000793</v>
      </c>
      <c r="AP6" s="75">
        <f t="shared" si="13"/>
        <v>-3.4408810607061712E-4</v>
      </c>
      <c r="AQ6" s="76">
        <f t="shared" si="14"/>
        <v>-86.796598863333713</v>
      </c>
      <c r="AR6" s="90">
        <f t="shared" si="15"/>
        <v>-1.3519999999998618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5957</v>
      </c>
      <c r="E7" s="62">
        <v>3.96</v>
      </c>
      <c r="F7" s="62">
        <v>8.19</v>
      </c>
      <c r="G7" s="62">
        <f t="shared" si="0"/>
        <v>235.89719999999997</v>
      </c>
      <c r="H7" s="63">
        <f t="shared" si="1"/>
        <v>487.87830000000002</v>
      </c>
      <c r="I7" s="203">
        <v>1478.6000000000004</v>
      </c>
      <c r="J7" s="203">
        <v>1522.9580000000003</v>
      </c>
      <c r="K7" s="203">
        <v>4.084032192614635</v>
      </c>
      <c r="L7" s="203">
        <v>8.3095901528472869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1522.9580000000003</v>
      </c>
      <c r="S7" s="62">
        <f t="shared" si="3"/>
        <v>62.198095000000009</v>
      </c>
      <c r="T7" s="63">
        <f t="shared" si="4"/>
        <v>126.551568</v>
      </c>
      <c r="U7" s="64" t="s">
        <v>232</v>
      </c>
      <c r="V7" s="65" t="s">
        <v>233</v>
      </c>
      <c r="W7" s="66" t="s">
        <v>227</v>
      </c>
      <c r="X7" s="67">
        <v>5000</v>
      </c>
      <c r="Y7" s="68">
        <v>3.75</v>
      </c>
      <c r="Z7" s="68">
        <v>8.2899999999999991</v>
      </c>
      <c r="AA7" s="62">
        <f t="shared" si="5"/>
        <v>187.5</v>
      </c>
      <c r="AB7" s="63">
        <f t="shared" si="6"/>
        <v>414.49999999999994</v>
      </c>
      <c r="AC7" s="69">
        <v>4990</v>
      </c>
      <c r="AD7" s="70">
        <v>3.7</v>
      </c>
      <c r="AE7" s="70">
        <v>8.15</v>
      </c>
      <c r="AF7" s="62">
        <f t="shared" si="7"/>
        <v>184.63000000000002</v>
      </c>
      <c r="AG7" s="62">
        <f t="shared" si="8"/>
        <v>406.685</v>
      </c>
      <c r="AH7" s="89">
        <v>2481</v>
      </c>
      <c r="AI7" s="66">
        <v>3.98</v>
      </c>
      <c r="AJ7" s="66">
        <v>8.2100000000000009</v>
      </c>
      <c r="AK7" s="62">
        <f t="shared" si="9"/>
        <v>98.743800000000007</v>
      </c>
      <c r="AL7" s="72">
        <f t="shared" si="10"/>
        <v>203.69010000000003</v>
      </c>
      <c r="AM7" s="73">
        <f t="shared" si="11"/>
        <v>8.9580000000005384</v>
      </c>
      <c r="AN7" s="74">
        <f t="shared" si="12"/>
        <v>14.721494999999933</v>
      </c>
      <c r="AO7" s="74">
        <f t="shared" si="12"/>
        <v>4.0547680000000241</v>
      </c>
      <c r="AP7" s="75">
        <f t="shared" si="13"/>
        <v>9.9477067675611999E-2</v>
      </c>
      <c r="AQ7" s="76">
        <f t="shared" si="14"/>
        <v>7822.1102557033109</v>
      </c>
      <c r="AR7" s="90">
        <f t="shared" si="15"/>
        <v>-1.0419999999994616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2481</v>
      </c>
      <c r="E8" s="62">
        <v>3.98</v>
      </c>
      <c r="F8" s="62">
        <v>8.2100000000000009</v>
      </c>
      <c r="G8" s="62">
        <f t="shared" si="0"/>
        <v>98.743800000000007</v>
      </c>
      <c r="H8" s="63">
        <f t="shared" si="1"/>
        <v>203.69010000000003</v>
      </c>
      <c r="I8" s="203">
        <v>807.9</v>
      </c>
      <c r="J8" s="203">
        <v>832.13699999999994</v>
      </c>
      <c r="K8" s="203">
        <v>4.6610595370714183</v>
      </c>
      <c r="L8" s="203">
        <v>8.3896521846763168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832.13699999999994</v>
      </c>
      <c r="S8" s="62">
        <f t="shared" si="3"/>
        <v>38.786400999999991</v>
      </c>
      <c r="T8" s="63">
        <f t="shared" si="4"/>
        <v>69.813399999999959</v>
      </c>
      <c r="U8" s="64" t="s">
        <v>171</v>
      </c>
      <c r="V8" s="65" t="s">
        <v>234</v>
      </c>
      <c r="W8" s="66" t="s">
        <v>227</v>
      </c>
      <c r="X8" s="67">
        <v>3100</v>
      </c>
      <c r="Y8" s="68">
        <v>4.05</v>
      </c>
      <c r="Z8" s="68">
        <v>7.97</v>
      </c>
      <c r="AA8" s="62">
        <f t="shared" si="5"/>
        <v>125.55</v>
      </c>
      <c r="AB8" s="63">
        <f t="shared" si="6"/>
        <v>247.06999999999996</v>
      </c>
      <c r="AC8" s="69">
        <v>3060</v>
      </c>
      <c r="AD8" s="70">
        <v>4</v>
      </c>
      <c r="AE8" s="70">
        <v>7.96</v>
      </c>
      <c r="AF8" s="62">
        <f t="shared" si="7"/>
        <v>122.4</v>
      </c>
      <c r="AG8" s="62">
        <f t="shared" si="8"/>
        <v>243.57600000000002</v>
      </c>
      <c r="AH8" s="89">
        <v>400</v>
      </c>
      <c r="AI8" s="66">
        <v>4.1500000000000004</v>
      </c>
      <c r="AJ8" s="66">
        <v>8.26</v>
      </c>
      <c r="AK8" s="62">
        <f t="shared" si="9"/>
        <v>16.600000000000001</v>
      </c>
      <c r="AL8" s="72">
        <f t="shared" si="10"/>
        <v>33.04</v>
      </c>
      <c r="AM8" s="73">
        <f t="shared" si="11"/>
        <v>-146.86300000000028</v>
      </c>
      <c r="AN8" s="74">
        <f t="shared" si="12"/>
        <v>-1.4697990000000019</v>
      </c>
      <c r="AO8" s="74">
        <f t="shared" si="12"/>
        <v>-3.1125000000000469</v>
      </c>
      <c r="AP8" s="75">
        <f t="shared" si="13"/>
        <v>-4.2194359085428255E-2</v>
      </c>
      <c r="AQ8" s="76">
        <f t="shared" si="14"/>
        <v>-1591.2957190900149</v>
      </c>
      <c r="AR8" s="90">
        <f t="shared" si="15"/>
        <v>-186.86300000000028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>
        <v>400</v>
      </c>
      <c r="E9" s="62">
        <v>4.1500000000000004</v>
      </c>
      <c r="F9" s="62">
        <v>8.26</v>
      </c>
      <c r="G9" s="62">
        <f t="shared" si="0"/>
        <v>16.600000000000001</v>
      </c>
      <c r="H9" s="63">
        <f t="shared" si="1"/>
        <v>33.04</v>
      </c>
      <c r="I9" s="203">
        <v>5444.3000000000011</v>
      </c>
      <c r="J9" s="203">
        <v>5607.6290000000008</v>
      </c>
      <c r="K9" s="203">
        <v>3.7320665650313174</v>
      </c>
      <c r="L9" s="203">
        <v>8.0834211928071547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5607.6290000000008</v>
      </c>
      <c r="S9" s="62">
        <f t="shared" si="3"/>
        <v>209.28044700000004</v>
      </c>
      <c r="T9" s="63">
        <f t="shared" si="4"/>
        <v>453.28827100000001</v>
      </c>
      <c r="U9" s="64" t="s">
        <v>168</v>
      </c>
      <c r="V9" s="65" t="s">
        <v>235</v>
      </c>
      <c r="W9" s="66" t="s">
        <v>236</v>
      </c>
      <c r="X9" s="67">
        <v>6290</v>
      </c>
      <c r="Y9" s="68">
        <v>4</v>
      </c>
      <c r="Z9" s="68">
        <v>8.09</v>
      </c>
      <c r="AA9" s="62">
        <f t="shared" si="5"/>
        <v>251.6</v>
      </c>
      <c r="AB9" s="63">
        <f t="shared" si="6"/>
        <v>508.86099999999999</v>
      </c>
      <c r="AC9" s="69">
        <v>6200</v>
      </c>
      <c r="AD9" s="70">
        <v>3.85</v>
      </c>
      <c r="AE9" s="70">
        <v>8.07</v>
      </c>
      <c r="AF9" s="62">
        <f t="shared" si="7"/>
        <v>238.7</v>
      </c>
      <c r="AG9" s="62">
        <f t="shared" si="8"/>
        <v>500.34000000000003</v>
      </c>
      <c r="AH9" s="89">
        <v>0</v>
      </c>
      <c r="AI9" s="66">
        <v>0</v>
      </c>
      <c r="AJ9" s="66">
        <v>0</v>
      </c>
      <c r="AK9" s="62">
        <f t="shared" si="9"/>
        <v>0</v>
      </c>
      <c r="AL9" s="72">
        <f t="shared" si="10"/>
        <v>0</v>
      </c>
      <c r="AM9" s="73">
        <f t="shared" si="11"/>
        <v>-192.37099999999919</v>
      </c>
      <c r="AN9" s="74">
        <f t="shared" si="12"/>
        <v>-12.819552999999956</v>
      </c>
      <c r="AO9" s="74">
        <f t="shared" si="12"/>
        <v>-14.011729000000003</v>
      </c>
      <c r="AP9" s="75">
        <f t="shared" si="13"/>
        <v>-4.0495847858606507E-2</v>
      </c>
      <c r="AQ9" s="76">
        <f t="shared" si="14"/>
        <v>-9948.1623808233162</v>
      </c>
      <c r="AR9" s="90">
        <f t="shared" si="15"/>
        <v>-282.37099999999919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>
        <v>0</v>
      </c>
      <c r="E10" s="62">
        <v>0</v>
      </c>
      <c r="F10" s="62">
        <v>0</v>
      </c>
      <c r="G10" s="62">
        <f t="shared" si="0"/>
        <v>0</v>
      </c>
      <c r="H10" s="63">
        <f t="shared" si="1"/>
        <v>0</v>
      </c>
      <c r="I10" s="203">
        <v>5358.5</v>
      </c>
      <c r="J10" s="203">
        <v>5519.2550000000001</v>
      </c>
      <c r="K10" s="203">
        <v>3.6109974806382388</v>
      </c>
      <c r="L10" s="203">
        <v>8.0503387141924065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5519.2550000000001</v>
      </c>
      <c r="S10" s="62">
        <f t="shared" si="3"/>
        <v>199.30015900000004</v>
      </c>
      <c r="T10" s="63">
        <f t="shared" si="4"/>
        <v>444.31872200000009</v>
      </c>
      <c r="U10" s="64" t="s">
        <v>167</v>
      </c>
      <c r="V10" s="65" t="s">
        <v>224</v>
      </c>
      <c r="W10" s="66" t="s">
        <v>236</v>
      </c>
      <c r="X10" s="67">
        <v>3222</v>
      </c>
      <c r="Y10" s="68">
        <v>3.6</v>
      </c>
      <c r="Z10" s="68">
        <v>8</v>
      </c>
      <c r="AA10" s="62">
        <f t="shared" si="5"/>
        <v>115.99200000000002</v>
      </c>
      <c r="AB10" s="63">
        <f t="shared" si="6"/>
        <v>257.76</v>
      </c>
      <c r="AC10" s="69">
        <v>3222</v>
      </c>
      <c r="AD10" s="70">
        <v>3.6</v>
      </c>
      <c r="AE10" s="70">
        <v>8</v>
      </c>
      <c r="AF10" s="62">
        <f t="shared" si="7"/>
        <v>115.99200000000002</v>
      </c>
      <c r="AG10" s="62">
        <f t="shared" si="8"/>
        <v>257.76</v>
      </c>
      <c r="AH10" s="89">
        <v>2298</v>
      </c>
      <c r="AI10" s="66">
        <v>3.61</v>
      </c>
      <c r="AJ10" s="66">
        <v>8.0500000000000007</v>
      </c>
      <c r="AK10" s="62">
        <f t="shared" si="9"/>
        <v>82.957800000000006</v>
      </c>
      <c r="AL10" s="72">
        <f t="shared" si="10"/>
        <v>184.989</v>
      </c>
      <c r="AM10" s="73">
        <f t="shared" si="11"/>
        <v>-0.74499999999989086</v>
      </c>
      <c r="AN10" s="74">
        <f t="shared" si="12"/>
        <v>0.35035900000001163</v>
      </c>
      <c r="AO10" s="74">
        <f t="shared" si="12"/>
        <v>1.5697220000000982</v>
      </c>
      <c r="AP10" s="75">
        <f t="shared" si="13"/>
        <v>2.9832577270213884E-3</v>
      </c>
      <c r="AQ10" s="76">
        <f t="shared" si="14"/>
        <v>627.05559403670134</v>
      </c>
      <c r="AR10" s="90">
        <f t="shared" si="15"/>
        <v>-0.74499999999989086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>
        <v>2298</v>
      </c>
      <c r="E11" s="62">
        <v>3.61</v>
      </c>
      <c r="F11" s="62">
        <v>8.0500000000000007</v>
      </c>
      <c r="G11" s="62">
        <f t="shared" si="0"/>
        <v>82.957800000000006</v>
      </c>
      <c r="H11" s="63">
        <f t="shared" si="1"/>
        <v>184.989</v>
      </c>
      <c r="I11" s="203">
        <v>4968.6000000000004</v>
      </c>
      <c r="J11" s="203">
        <v>5117.6580000000004</v>
      </c>
      <c r="K11" s="203">
        <v>3.9713641669685629</v>
      </c>
      <c r="L11" s="203">
        <v>8.0935917562291202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5117.6580000000004</v>
      </c>
      <c r="S11" s="62">
        <f t="shared" si="3"/>
        <v>203.24083600000003</v>
      </c>
      <c r="T11" s="63">
        <f t="shared" si="4"/>
        <v>414.20234600000009</v>
      </c>
      <c r="U11" s="64" t="s">
        <v>172</v>
      </c>
      <c r="V11" s="65" t="s">
        <v>237</v>
      </c>
      <c r="W11" s="66" t="s">
        <v>236</v>
      </c>
      <c r="X11" s="67">
        <v>3130</v>
      </c>
      <c r="Y11" s="68">
        <v>3.95</v>
      </c>
      <c r="Z11" s="68">
        <v>8.01</v>
      </c>
      <c r="AA11" s="62">
        <f t="shared" si="5"/>
        <v>123.63500000000001</v>
      </c>
      <c r="AB11" s="63">
        <f t="shared" si="6"/>
        <v>250.71300000000002</v>
      </c>
      <c r="AC11" s="69">
        <v>3130</v>
      </c>
      <c r="AD11" s="70">
        <v>3.9</v>
      </c>
      <c r="AE11" s="70">
        <v>7.94</v>
      </c>
      <c r="AF11" s="62">
        <f t="shared" si="7"/>
        <v>122.07</v>
      </c>
      <c r="AG11" s="62">
        <f t="shared" si="8"/>
        <v>248.52199999999999</v>
      </c>
      <c r="AH11" s="89">
        <v>4287</v>
      </c>
      <c r="AI11" s="66">
        <v>3.86</v>
      </c>
      <c r="AJ11" s="66">
        <v>8.08</v>
      </c>
      <c r="AK11" s="62">
        <f t="shared" si="9"/>
        <v>165.47819999999999</v>
      </c>
      <c r="AL11" s="72">
        <f t="shared" si="10"/>
        <v>346.38959999999997</v>
      </c>
      <c r="AM11" s="73">
        <f t="shared" si="11"/>
        <v>-1.3419999999996435</v>
      </c>
      <c r="AN11" s="74">
        <f t="shared" si="12"/>
        <v>-1.3495639999999582</v>
      </c>
      <c r="AO11" s="74">
        <f t="shared" si="12"/>
        <v>4.2797460000001024</v>
      </c>
      <c r="AP11" s="75">
        <f t="shared" si="13"/>
        <v>4.7456706712815299E-3</v>
      </c>
      <c r="AQ11" s="76">
        <f t="shared" si="14"/>
        <v>674.98107600004948</v>
      </c>
      <c r="AR11" s="90">
        <f t="shared" si="15"/>
        <v>-1.3419999999996435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>
        <v>4287</v>
      </c>
      <c r="E12" s="62">
        <v>3.86</v>
      </c>
      <c r="F12" s="62">
        <v>8.08</v>
      </c>
      <c r="G12" s="62">
        <f t="shared" si="0"/>
        <v>165.47819999999999</v>
      </c>
      <c r="H12" s="63">
        <f t="shared" si="1"/>
        <v>346.38959999999997</v>
      </c>
      <c r="I12" s="203">
        <v>4315.5</v>
      </c>
      <c r="J12" s="203">
        <v>4444.9650000000001</v>
      </c>
      <c r="K12" s="203">
        <v>4.0183454987834537</v>
      </c>
      <c r="L12" s="203">
        <v>8.0670837678136937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4444.9650000000001</v>
      </c>
      <c r="S12" s="62">
        <f t="shared" si="3"/>
        <v>178.61405099999996</v>
      </c>
      <c r="T12" s="63">
        <f t="shared" si="4"/>
        <v>358.57904999999994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8733</v>
      </c>
      <c r="AI12" s="66">
        <v>3.94</v>
      </c>
      <c r="AJ12" s="66">
        <v>8.08</v>
      </c>
      <c r="AK12" s="62">
        <f t="shared" si="9"/>
        <v>344.08019999999999</v>
      </c>
      <c r="AL12" s="72">
        <f t="shared" si="10"/>
        <v>705.62639999999999</v>
      </c>
      <c r="AM12" s="73">
        <f t="shared" si="11"/>
        <v>-1.0349999999998545</v>
      </c>
      <c r="AN12" s="74">
        <f t="shared" si="12"/>
        <v>1.2050999999928536E-2</v>
      </c>
      <c r="AO12" s="74">
        <f t="shared" si="12"/>
        <v>-0.65775000000007822</v>
      </c>
      <c r="AP12" s="75">
        <f t="shared" si="13"/>
        <v>-1.2019867693724344E-3</v>
      </c>
      <c r="AQ12" s="76">
        <f t="shared" si="14"/>
        <v>-191.43722059005552</v>
      </c>
      <c r="AR12" s="90">
        <f t="shared" si="15"/>
        <v>-1.0349999999998545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>
        <v>8733</v>
      </c>
      <c r="E13" s="62">
        <v>3.94</v>
      </c>
      <c r="F13" s="62">
        <v>8.08</v>
      </c>
      <c r="G13" s="62">
        <f t="shared" si="0"/>
        <v>344.08019999999999</v>
      </c>
      <c r="H13" s="63">
        <f t="shared" si="1"/>
        <v>705.62639999999999</v>
      </c>
      <c r="I13" s="203">
        <v>4212.0999999999995</v>
      </c>
      <c r="J13" s="203">
        <v>4338.4629999999997</v>
      </c>
      <c r="K13" s="203">
        <v>3.5934783124807113</v>
      </c>
      <c r="L13" s="203">
        <v>8.1067733434628799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4338.4629999999997</v>
      </c>
      <c r="S13" s="62">
        <f t="shared" si="3"/>
        <v>155.90172700000005</v>
      </c>
      <c r="T13" s="63">
        <f t="shared" si="4"/>
        <v>351.70936199999994</v>
      </c>
      <c r="U13" s="64" t="s">
        <v>256</v>
      </c>
      <c r="V13" s="65" t="s">
        <v>346</v>
      </c>
      <c r="W13" s="66" t="s">
        <v>225</v>
      </c>
      <c r="X13" s="67">
        <v>10100</v>
      </c>
      <c r="Y13" s="68">
        <v>3.95</v>
      </c>
      <c r="Z13" s="68">
        <v>8.08</v>
      </c>
      <c r="AA13" s="62">
        <f t="shared" si="5"/>
        <v>398.95</v>
      </c>
      <c r="AB13" s="63">
        <f t="shared" si="6"/>
        <v>816.07999999999993</v>
      </c>
      <c r="AC13" s="69">
        <v>10100</v>
      </c>
      <c r="AD13" s="70">
        <v>3.85</v>
      </c>
      <c r="AE13" s="70">
        <v>7.99</v>
      </c>
      <c r="AF13" s="62">
        <f t="shared" si="7"/>
        <v>388.85</v>
      </c>
      <c r="AG13" s="62">
        <f t="shared" si="8"/>
        <v>806.99</v>
      </c>
      <c r="AH13" s="89">
        <v>2973</v>
      </c>
      <c r="AI13" s="66">
        <v>3.82</v>
      </c>
      <c r="AJ13" s="66">
        <v>8.09</v>
      </c>
      <c r="AK13" s="62">
        <f t="shared" si="9"/>
        <v>113.56859999999999</v>
      </c>
      <c r="AL13" s="72">
        <f t="shared" si="10"/>
        <v>240.51570000000001</v>
      </c>
      <c r="AM13" s="73">
        <f t="shared" si="11"/>
        <v>-1.5370000000002619</v>
      </c>
      <c r="AN13" s="74">
        <f t="shared" si="12"/>
        <v>-2.4366729999999706</v>
      </c>
      <c r="AO13" s="74">
        <f t="shared" si="12"/>
        <v>9.8300619999999128</v>
      </c>
      <c r="AP13" s="75">
        <f t="shared" si="13"/>
        <v>1.4565065973174479E-2</v>
      </c>
      <c r="AQ13" s="76">
        <f t="shared" si="14"/>
        <v>1848.0285451833206</v>
      </c>
      <c r="AR13" s="90">
        <f t="shared" si="15"/>
        <v>-1.5370000000002619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>
        <v>2973</v>
      </c>
      <c r="E14" s="62">
        <v>3.82</v>
      </c>
      <c r="F14" s="62">
        <v>8.09</v>
      </c>
      <c r="G14" s="62">
        <f t="shared" si="0"/>
        <v>113.56859999999999</v>
      </c>
      <c r="H14" s="63">
        <f t="shared" si="1"/>
        <v>240.51570000000001</v>
      </c>
      <c r="I14" s="203">
        <v>2141.4</v>
      </c>
      <c r="J14" s="203">
        <v>2205.6420000000003</v>
      </c>
      <c r="K14" s="203">
        <v>3.7129774913607925</v>
      </c>
      <c r="L14" s="203">
        <v>8.0958718595311474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2205.6420000000003</v>
      </c>
      <c r="S14" s="62">
        <f t="shared" si="3"/>
        <v>81.894991000000019</v>
      </c>
      <c r="T14" s="63">
        <f t="shared" si="4"/>
        <v>178.56595000000002</v>
      </c>
      <c r="U14" s="64" t="s">
        <v>167</v>
      </c>
      <c r="V14" s="65" t="s">
        <v>187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>
        <v>5180</v>
      </c>
      <c r="AI14" s="66">
        <v>3.77</v>
      </c>
      <c r="AJ14" s="66">
        <v>8.09</v>
      </c>
      <c r="AK14" s="62">
        <f t="shared" si="9"/>
        <v>195.28599999999997</v>
      </c>
      <c r="AL14" s="72">
        <f t="shared" si="10"/>
        <v>419.06200000000001</v>
      </c>
      <c r="AM14" s="73">
        <f t="shared" si="11"/>
        <v>-1.3580000000001746</v>
      </c>
      <c r="AN14" s="74">
        <f t="shared" si="12"/>
        <v>0.17759100000003514</v>
      </c>
      <c r="AO14" s="74">
        <f t="shared" si="12"/>
        <v>1.9650000000012824E-2</v>
      </c>
      <c r="AP14" s="75">
        <f t="shared" si="13"/>
        <v>7.5727669278461188E-4</v>
      </c>
      <c r="AQ14" s="76">
        <f t="shared" si="14"/>
        <v>85.603096810019622</v>
      </c>
      <c r="AR14" s="90">
        <f t="shared" si="15"/>
        <v>-1.3580000000001746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>
        <v>5180</v>
      </c>
      <c r="E15" s="62">
        <v>3.77</v>
      </c>
      <c r="F15" s="62">
        <v>8.09</v>
      </c>
      <c r="G15" s="62">
        <f t="shared" si="0"/>
        <v>195.28599999999997</v>
      </c>
      <c r="H15" s="63">
        <f t="shared" si="1"/>
        <v>419.06200000000001</v>
      </c>
      <c r="I15" s="203">
        <v>3467.5</v>
      </c>
      <c r="J15" s="203">
        <v>3571.5250000000001</v>
      </c>
      <c r="K15" s="203">
        <v>4.1008594087959622</v>
      </c>
      <c r="L15" s="203">
        <v>8.0879192501802475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3571.5250000000001</v>
      </c>
      <c r="S15" s="62">
        <f t="shared" si="3"/>
        <v>146.46321899999998</v>
      </c>
      <c r="T15" s="63">
        <f t="shared" si="4"/>
        <v>288.8620580000001</v>
      </c>
      <c r="U15" s="64" t="s">
        <v>170</v>
      </c>
      <c r="V15" s="65" t="s">
        <v>347</v>
      </c>
      <c r="W15" s="66" t="s">
        <v>227</v>
      </c>
      <c r="X15" s="67">
        <v>4870</v>
      </c>
      <c r="Y15" s="68">
        <v>3.95</v>
      </c>
      <c r="Z15" s="68">
        <v>8.26</v>
      </c>
      <c r="AA15" s="62">
        <f t="shared" si="5"/>
        <v>192.36500000000001</v>
      </c>
      <c r="AB15" s="63">
        <f t="shared" si="6"/>
        <v>402.26199999999994</v>
      </c>
      <c r="AC15" s="69">
        <v>4910</v>
      </c>
      <c r="AD15" s="70">
        <v>3.9</v>
      </c>
      <c r="AE15" s="70">
        <v>8.25</v>
      </c>
      <c r="AF15" s="62">
        <f t="shared" si="7"/>
        <v>191.49</v>
      </c>
      <c r="AG15" s="62">
        <f t="shared" si="8"/>
        <v>405.07500000000005</v>
      </c>
      <c r="AH15" s="89">
        <v>3883</v>
      </c>
      <c r="AI15" s="66">
        <v>3.9</v>
      </c>
      <c r="AJ15" s="66">
        <v>8.09</v>
      </c>
      <c r="AK15" s="62">
        <f t="shared" si="9"/>
        <v>151.43700000000001</v>
      </c>
      <c r="AL15" s="72">
        <f t="shared" si="10"/>
        <v>314.13470000000001</v>
      </c>
      <c r="AM15" s="73">
        <f t="shared" si="11"/>
        <v>-41.475000000000364</v>
      </c>
      <c r="AN15" s="74">
        <f t="shared" si="12"/>
        <v>-1.1777810000000954</v>
      </c>
      <c r="AO15" s="74">
        <f t="shared" si="12"/>
        <v>-11.285641999999996</v>
      </c>
      <c r="AP15" s="75">
        <f t="shared" si="13"/>
        <v>-2.8630138561882977E-2</v>
      </c>
      <c r="AQ15" s="76">
        <f t="shared" si="14"/>
        <v>-3906.2093688567084</v>
      </c>
      <c r="AR15" s="90">
        <f t="shared" si="15"/>
        <v>-1.4750000000003638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>
        <v>3883</v>
      </c>
      <c r="E16" s="62">
        <v>3.9</v>
      </c>
      <c r="F16" s="62">
        <v>8.09</v>
      </c>
      <c r="G16" s="62">
        <f t="shared" si="0"/>
        <v>151.43700000000001</v>
      </c>
      <c r="H16" s="63">
        <f t="shared" si="1"/>
        <v>314.13470000000001</v>
      </c>
      <c r="I16" s="203">
        <v>691.9000000000002</v>
      </c>
      <c r="J16" s="203">
        <v>712.65700000000027</v>
      </c>
      <c r="K16" s="203">
        <v>4.5751409163173866</v>
      </c>
      <c r="L16" s="203">
        <v>8.3635785518138466</v>
      </c>
      <c r="M16" s="57" t="s">
        <v>264</v>
      </c>
      <c r="N16" s="58" t="s">
        <v>345</v>
      </c>
      <c r="O16" s="59">
        <v>3089</v>
      </c>
      <c r="P16" s="56">
        <v>4.3499999999999996</v>
      </c>
      <c r="Q16" s="60">
        <v>8.0299999999999994</v>
      </c>
      <c r="R16" s="61">
        <f t="shared" si="2"/>
        <v>3801.6570000000002</v>
      </c>
      <c r="S16" s="62">
        <f t="shared" si="3"/>
        <v>166.976562</v>
      </c>
      <c r="T16" s="63">
        <f t="shared" si="4"/>
        <v>307.650328</v>
      </c>
      <c r="U16" s="64" t="s">
        <v>175</v>
      </c>
      <c r="V16" s="65" t="s">
        <v>348</v>
      </c>
      <c r="W16" s="66" t="s">
        <v>227</v>
      </c>
      <c r="X16" s="67">
        <v>7130</v>
      </c>
      <c r="Y16" s="68">
        <v>4.3499999999999996</v>
      </c>
      <c r="Z16" s="68">
        <v>8.3800000000000008</v>
      </c>
      <c r="AA16" s="62">
        <f t="shared" si="5"/>
        <v>310.15499999999997</v>
      </c>
      <c r="AB16" s="63">
        <f t="shared" si="6"/>
        <v>597.49400000000014</v>
      </c>
      <c r="AC16" s="69">
        <v>7160</v>
      </c>
      <c r="AD16" s="70">
        <v>4.3000000000000007</v>
      </c>
      <c r="AE16" s="70">
        <v>8.2700000000000014</v>
      </c>
      <c r="AF16" s="62">
        <f t="shared" si="7"/>
        <v>307.88000000000005</v>
      </c>
      <c r="AG16" s="62">
        <f t="shared" si="8"/>
        <v>592.13200000000006</v>
      </c>
      <c r="AH16" s="89">
        <v>561</v>
      </c>
      <c r="AI16" s="66">
        <v>4.1399999999999997</v>
      </c>
      <c r="AJ16" s="66">
        <v>8.08</v>
      </c>
      <c r="AK16" s="62">
        <f t="shared" si="9"/>
        <v>23.2254</v>
      </c>
      <c r="AL16" s="72">
        <f t="shared" si="10"/>
        <v>45.328800000000001</v>
      </c>
      <c r="AM16" s="73">
        <f t="shared" si="11"/>
        <v>-36.342999999999847</v>
      </c>
      <c r="AN16" s="74">
        <f t="shared" si="12"/>
        <v>-12.69183800000004</v>
      </c>
      <c r="AO16" s="74">
        <f t="shared" si="12"/>
        <v>-15.675772000000052</v>
      </c>
      <c r="AP16" s="75">
        <f t="shared" si="13"/>
        <v>-5.9768231842068809E-2</v>
      </c>
      <c r="AQ16" s="76">
        <f t="shared" si="14"/>
        <v>-10388.833535593367</v>
      </c>
      <c r="AR16" s="90">
        <f t="shared" si="15"/>
        <v>-6.3429999999998472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>
        <v>561</v>
      </c>
      <c r="E17" s="62">
        <v>4.1399999999999997</v>
      </c>
      <c r="F17" s="62">
        <v>8.08</v>
      </c>
      <c r="G17" s="62">
        <f t="shared" si="0"/>
        <v>23.2254</v>
      </c>
      <c r="H17" s="63">
        <f t="shared" si="1"/>
        <v>45.328800000000001</v>
      </c>
      <c r="I17" s="203">
        <v>1306.8999999999999</v>
      </c>
      <c r="J17" s="203">
        <v>1346.107</v>
      </c>
      <c r="K17" s="203">
        <v>4.1462391919810235</v>
      </c>
      <c r="L17" s="203">
        <v>8.3617262223582518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1346.107</v>
      </c>
      <c r="S17" s="62">
        <f t="shared" si="3"/>
        <v>55.812815999999998</v>
      </c>
      <c r="T17" s="63">
        <f t="shared" si="4"/>
        <v>112.55778199999997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1908</v>
      </c>
      <c r="AI17" s="66">
        <v>4.1500000000000004</v>
      </c>
      <c r="AJ17" s="66">
        <v>8.2799999999999994</v>
      </c>
      <c r="AK17" s="62">
        <f t="shared" si="9"/>
        <v>79.182000000000002</v>
      </c>
      <c r="AL17" s="72">
        <f t="shared" si="10"/>
        <v>157.98239999999998</v>
      </c>
      <c r="AM17" s="73">
        <f t="shared" si="11"/>
        <v>-0.8930000000000291</v>
      </c>
      <c r="AN17" s="74">
        <f t="shared" si="12"/>
        <v>-0.14378399999999658</v>
      </c>
      <c r="AO17" s="74">
        <f t="shared" si="12"/>
        <v>-9.5818000000008396E-2</v>
      </c>
      <c r="AP17" s="75">
        <f t="shared" si="13"/>
        <v>-1.4230631882652398E-3</v>
      </c>
      <c r="AQ17" s="76">
        <f t="shared" si="14"/>
        <v>-93.221847693334325</v>
      </c>
      <c r="AR17" s="90">
        <f t="shared" si="15"/>
        <v>-0.8930000000000291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>
        <v>1908</v>
      </c>
      <c r="E18" s="62">
        <v>4.1500000000000004</v>
      </c>
      <c r="F18" s="62">
        <v>8.2799999999999994</v>
      </c>
      <c r="G18" s="62">
        <f t="shared" si="0"/>
        <v>79.182000000000002</v>
      </c>
      <c r="H18" s="63">
        <f t="shared" si="1"/>
        <v>157.98239999999998</v>
      </c>
      <c r="I18" s="203">
        <v>3875.2000000000007</v>
      </c>
      <c r="J18" s="203">
        <v>3991.456000000001</v>
      </c>
      <c r="K18" s="203">
        <v>4.1990245664739865</v>
      </c>
      <c r="L18" s="203">
        <v>8.0724530346820789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3991.456000000001</v>
      </c>
      <c r="S18" s="62">
        <f t="shared" si="3"/>
        <v>167.60221799999997</v>
      </c>
      <c r="T18" s="63">
        <f t="shared" si="4"/>
        <v>322.20841099999996</v>
      </c>
      <c r="U18" s="64" t="s">
        <v>167</v>
      </c>
      <c r="V18" s="65" t="s">
        <v>224</v>
      </c>
      <c r="W18" s="66" t="s">
        <v>236</v>
      </c>
      <c r="X18" s="67">
        <v>3035</v>
      </c>
      <c r="Y18" s="68">
        <v>4.0999999999999996</v>
      </c>
      <c r="Z18" s="68">
        <v>8</v>
      </c>
      <c r="AA18" s="62">
        <f t="shared" si="5"/>
        <v>124.43499999999999</v>
      </c>
      <c r="AB18" s="63">
        <f t="shared" si="6"/>
        <v>242.8</v>
      </c>
      <c r="AC18" s="69">
        <v>3035</v>
      </c>
      <c r="AD18" s="70">
        <v>4.0999999999999996</v>
      </c>
      <c r="AE18" s="70">
        <v>8</v>
      </c>
      <c r="AF18" s="62">
        <f t="shared" si="7"/>
        <v>124.43499999999999</v>
      </c>
      <c r="AG18" s="62">
        <f t="shared" si="8"/>
        <v>242.8</v>
      </c>
      <c r="AH18" s="89">
        <v>2866</v>
      </c>
      <c r="AI18" s="66">
        <v>4.18</v>
      </c>
      <c r="AJ18" s="66">
        <v>8.14</v>
      </c>
      <c r="AK18" s="62">
        <f t="shared" si="9"/>
        <v>119.79879999999999</v>
      </c>
      <c r="AL18" s="72">
        <f t="shared" si="10"/>
        <v>233.29239999999999</v>
      </c>
      <c r="AM18" s="73">
        <f t="shared" si="11"/>
        <v>-1.5439999999989595</v>
      </c>
      <c r="AN18" s="74">
        <f t="shared" si="12"/>
        <v>2.5504179999999792</v>
      </c>
      <c r="AO18" s="74">
        <f t="shared" si="12"/>
        <v>4.0984109999999419</v>
      </c>
      <c r="AP18" s="75">
        <f t="shared" si="13"/>
        <v>1.3574284848767383E-2</v>
      </c>
      <c r="AQ18" s="76">
        <f t="shared" si="14"/>
        <v>2371.4532657199734</v>
      </c>
      <c r="AR18" s="90">
        <f>(D18+J18+O18)-(X18+AH18)</f>
        <v>-1.5439999999989595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>
        <v>2866</v>
      </c>
      <c r="E19" s="62">
        <v>4.18</v>
      </c>
      <c r="F19" s="62">
        <v>8.14</v>
      </c>
      <c r="G19" s="62">
        <f t="shared" si="0"/>
        <v>119.79879999999999</v>
      </c>
      <c r="H19" s="63">
        <f t="shared" si="1"/>
        <v>233.29239999999999</v>
      </c>
      <c r="I19" s="203">
        <v>3571.5</v>
      </c>
      <c r="J19" s="203">
        <v>3678.645</v>
      </c>
      <c r="K19" s="203">
        <v>3.7098782024359513</v>
      </c>
      <c r="L19" s="203">
        <v>8.1394036119277597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3678.645</v>
      </c>
      <c r="S19" s="62">
        <f t="shared" si="3"/>
        <v>136.47324899999998</v>
      </c>
      <c r="T19" s="63">
        <f t="shared" si="4"/>
        <v>299.41976399999993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6546</v>
      </c>
      <c r="AI19" s="66">
        <v>3.92</v>
      </c>
      <c r="AJ19" s="66">
        <v>8.14</v>
      </c>
      <c r="AK19" s="62">
        <f t="shared" si="9"/>
        <v>256.60320000000002</v>
      </c>
      <c r="AL19" s="72">
        <f t="shared" si="10"/>
        <v>532.84439999999995</v>
      </c>
      <c r="AM19" s="73">
        <f t="shared" si="11"/>
        <v>-1.3549999999995634</v>
      </c>
      <c r="AN19" s="74">
        <f t="shared" si="12"/>
        <v>-0.33115100000003395</v>
      </c>
      <c r="AO19" s="74">
        <f t="shared" si="12"/>
        <v>-0.13223600000003444</v>
      </c>
      <c r="AP19" s="75">
        <f t="shared" si="13"/>
        <v>-1.0630750807654457E-3</v>
      </c>
      <c r="AQ19" s="76">
        <f t="shared" si="14"/>
        <v>-188.23170391669223</v>
      </c>
      <c r="AR19" s="90">
        <f>(D19+J19+O19)-(X19+AH19)</f>
        <v>-1.3549999999995634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>
        <v>6546</v>
      </c>
      <c r="E20" s="62">
        <v>3.92</v>
      </c>
      <c r="F20" s="62">
        <v>8.14</v>
      </c>
      <c r="G20" s="62">
        <f t="shared" si="0"/>
        <v>256.60320000000002</v>
      </c>
      <c r="H20" s="63">
        <f t="shared" si="1"/>
        <v>532.84439999999995</v>
      </c>
      <c r="I20" s="203">
        <v>776.4</v>
      </c>
      <c r="J20" s="203">
        <v>799.69200000000001</v>
      </c>
      <c r="K20" s="203">
        <v>4.5737635239567238</v>
      </c>
      <c r="L20" s="203">
        <v>8.4167181865018037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799.69200000000001</v>
      </c>
      <c r="S20" s="62">
        <f t="shared" si="3"/>
        <v>36.576021000000004</v>
      </c>
      <c r="T20" s="63">
        <f t="shared" si="4"/>
        <v>67.307822000000002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>
        <v>7346</v>
      </c>
      <c r="AI20" s="66">
        <v>3.99</v>
      </c>
      <c r="AJ20" s="66">
        <v>8.17</v>
      </c>
      <c r="AK20" s="62">
        <f t="shared" si="9"/>
        <v>293.10540000000003</v>
      </c>
      <c r="AL20" s="72">
        <f t="shared" si="10"/>
        <v>600.16819999999996</v>
      </c>
      <c r="AM20" s="73">
        <f t="shared" si="11"/>
        <v>-0.30799999999999272</v>
      </c>
      <c r="AN20" s="74">
        <f t="shared" ref="AN20:AO65" si="18">+G20+S20-AF20-AK20</f>
        <v>7.3821000000009462E-2</v>
      </c>
      <c r="AO20" s="74">
        <f t="shared" si="18"/>
        <v>-1.5978000000018255E-2</v>
      </c>
      <c r="AP20" s="75">
        <f t="shared" si="13"/>
        <v>5.5680458413529422E-4</v>
      </c>
      <c r="AQ20" s="76">
        <f t="shared" si="14"/>
        <v>28.357195789998784</v>
      </c>
      <c r="AR20" s="90">
        <f>(D20+J20+O20)-(X20+AH20)</f>
        <v>-0.30799999999999272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>
        <v>7346</v>
      </c>
      <c r="E21" s="62">
        <v>3.99</v>
      </c>
      <c r="F21" s="62">
        <v>8.17</v>
      </c>
      <c r="G21" s="62">
        <f t="shared" si="0"/>
        <v>293.10540000000003</v>
      </c>
      <c r="H21" s="63">
        <f t="shared" si="1"/>
        <v>600.16819999999996</v>
      </c>
      <c r="I21" s="203">
        <v>1845.8000000000002</v>
      </c>
      <c r="J21" s="203">
        <v>1901.1740000000002</v>
      </c>
      <c r="K21" s="203">
        <v>4.257980279553581</v>
      </c>
      <c r="L21" s="203">
        <v>8.2461480117022443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1901.1740000000002</v>
      </c>
      <c r="S21" s="62">
        <f t="shared" si="3"/>
        <v>80.951614000000006</v>
      </c>
      <c r="T21" s="63">
        <f t="shared" si="4"/>
        <v>156.77362200000005</v>
      </c>
      <c r="U21" s="64" t="s">
        <v>170</v>
      </c>
      <c r="V21" s="65" t="s">
        <v>425</v>
      </c>
      <c r="W21" s="66" t="s">
        <v>227</v>
      </c>
      <c r="X21" s="67">
        <v>4870</v>
      </c>
      <c r="Y21" s="68">
        <v>3.85</v>
      </c>
      <c r="Z21" s="68">
        <v>8.06</v>
      </c>
      <c r="AA21" s="62">
        <f t="shared" si="5"/>
        <v>187.495</v>
      </c>
      <c r="AB21" s="63">
        <f t="shared" si="6"/>
        <v>392.52200000000005</v>
      </c>
      <c r="AC21" s="69">
        <v>4840</v>
      </c>
      <c r="AD21" s="70">
        <v>3.8</v>
      </c>
      <c r="AE21" s="70">
        <v>8.0399999999999991</v>
      </c>
      <c r="AF21" s="62">
        <f t="shared" si="7"/>
        <v>183.92</v>
      </c>
      <c r="AG21" s="62">
        <f t="shared" si="8"/>
        <v>389.13599999999991</v>
      </c>
      <c r="AH21" s="89">
        <v>4378</v>
      </c>
      <c r="AI21" s="66">
        <v>4.05</v>
      </c>
      <c r="AJ21" s="66">
        <v>8.19</v>
      </c>
      <c r="AK21" s="62">
        <f t="shared" si="9"/>
        <v>177.309</v>
      </c>
      <c r="AL21" s="72">
        <f t="shared" si="10"/>
        <v>358.5582</v>
      </c>
      <c r="AM21" s="73">
        <f t="shared" si="11"/>
        <v>29.174000000000888</v>
      </c>
      <c r="AN21" s="74">
        <f t="shared" si="18"/>
        <v>12.828014000000053</v>
      </c>
      <c r="AO21" s="74">
        <f t="shared" si="18"/>
        <v>9.2476220000000922</v>
      </c>
      <c r="AP21" s="75">
        <f t="shared" si="13"/>
        <v>9.2861979533380878E-2</v>
      </c>
      <c r="AQ21" s="76">
        <f t="shared" si="14"/>
        <v>8526.1904260867195</v>
      </c>
      <c r="AR21" s="90">
        <f>(D21+J21+O21)-(X21+AH21)</f>
        <v>-0.82599999999911233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>
        <v>4378</v>
      </c>
      <c r="E22" s="62">
        <v>4.05</v>
      </c>
      <c r="F22" s="62">
        <v>8.19</v>
      </c>
      <c r="G22" s="62">
        <f t="shared" si="0"/>
        <v>177.309</v>
      </c>
      <c r="H22" s="63">
        <f t="shared" si="1"/>
        <v>358.5582</v>
      </c>
      <c r="I22" s="203">
        <v>838.09999999999991</v>
      </c>
      <c r="J22" s="203">
        <v>863.24299999999994</v>
      </c>
      <c r="K22" s="203">
        <v>4.4370242214532869</v>
      </c>
      <c r="L22" s="203">
        <v>8.4233504355088886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863.24299999999994</v>
      </c>
      <c r="S22" s="62">
        <f t="shared" si="3"/>
        <v>38.302300999999993</v>
      </c>
      <c r="T22" s="63">
        <f t="shared" si="4"/>
        <v>72.713982999999999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5243</v>
      </c>
      <c r="AI22" s="66">
        <v>4.1100000000000003</v>
      </c>
      <c r="AJ22" s="66">
        <v>8.23</v>
      </c>
      <c r="AK22" s="62">
        <f t="shared" si="9"/>
        <v>215.48730000000003</v>
      </c>
      <c r="AL22" s="72">
        <f t="shared" si="10"/>
        <v>431.49889999999999</v>
      </c>
      <c r="AM22" s="73">
        <f t="shared" si="11"/>
        <v>-1.7569999999996071</v>
      </c>
      <c r="AN22" s="74">
        <f t="shared" si="18"/>
        <v>0.12400099999996428</v>
      </c>
      <c r="AO22" s="74">
        <f t="shared" si="18"/>
        <v>-0.22671700000000783</v>
      </c>
      <c r="AP22" s="75">
        <f t="shared" si="13"/>
        <v>-9.2523363509486203E-4</v>
      </c>
      <c r="AQ22" s="76">
        <f t="shared" si="14"/>
        <v>-12.185063403351727</v>
      </c>
      <c r="AR22" s="90">
        <f t="shared" si="15"/>
        <v>-1.7569999999996071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>
        <v>5243</v>
      </c>
      <c r="E23" s="62">
        <v>4.1100000000000003</v>
      </c>
      <c r="F23" s="62">
        <v>8.23</v>
      </c>
      <c r="G23" s="62">
        <f t="shared" si="0"/>
        <v>215.48730000000003</v>
      </c>
      <c r="H23" s="63">
        <f t="shared" si="1"/>
        <v>431.49889999999999</v>
      </c>
      <c r="I23" s="203">
        <v>7988.7</v>
      </c>
      <c r="J23" s="203">
        <v>8228.3610000000008</v>
      </c>
      <c r="K23" s="203">
        <v>3.9361673363626135</v>
      </c>
      <c r="L23" s="203">
        <v>8.0239425688785371</v>
      </c>
      <c r="M23" s="58" t="s">
        <v>236</v>
      </c>
      <c r="N23" s="58" t="s">
        <v>424</v>
      </c>
      <c r="O23" s="59">
        <v>5930</v>
      </c>
      <c r="P23" s="56">
        <v>4.1500000000000004</v>
      </c>
      <c r="Q23" s="60">
        <v>8.23</v>
      </c>
      <c r="R23" s="61">
        <f t="shared" si="2"/>
        <v>14158.361000000001</v>
      </c>
      <c r="S23" s="62">
        <f t="shared" si="3"/>
        <v>569.97705800000017</v>
      </c>
      <c r="T23" s="63">
        <f t="shared" si="4"/>
        <v>1148.2779609999998</v>
      </c>
      <c r="U23" s="64" t="s">
        <v>426</v>
      </c>
      <c r="V23" s="65" t="s">
        <v>427</v>
      </c>
      <c r="W23" s="66" t="s">
        <v>225</v>
      </c>
      <c r="X23" s="67">
        <v>15770</v>
      </c>
      <c r="Y23" s="68">
        <v>4.21</v>
      </c>
      <c r="Z23" s="68">
        <v>8.25</v>
      </c>
      <c r="AA23" s="62">
        <f t="shared" si="5"/>
        <v>663.91700000000003</v>
      </c>
      <c r="AB23" s="63">
        <f t="shared" si="6"/>
        <v>1301.0250000000001</v>
      </c>
      <c r="AC23" s="69">
        <v>15750</v>
      </c>
      <c r="AD23" s="70">
        <v>4.1624761904761911</v>
      </c>
      <c r="AE23" s="70">
        <v>8.1030920634920633</v>
      </c>
      <c r="AF23" s="62">
        <f t="shared" si="7"/>
        <v>655.59000000000015</v>
      </c>
      <c r="AG23" s="62">
        <f t="shared" si="8"/>
        <v>1276.2370000000001</v>
      </c>
      <c r="AH23" s="89">
        <v>3752</v>
      </c>
      <c r="AI23" s="66">
        <v>4.05</v>
      </c>
      <c r="AJ23" s="84">
        <v>8.14</v>
      </c>
      <c r="AK23" s="62">
        <f t="shared" si="9"/>
        <v>151.95600000000002</v>
      </c>
      <c r="AL23" s="72">
        <f t="shared" si="10"/>
        <v>305.4128</v>
      </c>
      <c r="AM23" s="73">
        <f t="shared" si="11"/>
        <v>-100.63899999999921</v>
      </c>
      <c r="AN23" s="74">
        <f t="shared" si="18"/>
        <v>-22.081641999999988</v>
      </c>
      <c r="AO23" s="74">
        <f t="shared" si="18"/>
        <v>-1.8729390000002581</v>
      </c>
      <c r="AP23" s="75">
        <f t="shared" si="13"/>
        <v>-1.3941225682519159E-2</v>
      </c>
      <c r="AQ23" s="76">
        <f t="shared" si="14"/>
        <v>-10473.190607880071</v>
      </c>
      <c r="AR23" s="90">
        <f t="shared" si="15"/>
        <v>-120.63899999999921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>
        <v>3752</v>
      </c>
      <c r="E24" s="62">
        <v>4.05</v>
      </c>
      <c r="F24" s="62">
        <v>8.14</v>
      </c>
      <c r="G24" s="62">
        <f t="shared" si="0"/>
        <v>151.95600000000002</v>
      </c>
      <c r="H24" s="63">
        <f t="shared" si="1"/>
        <v>305.4128</v>
      </c>
      <c r="I24" s="203">
        <v>5864.7</v>
      </c>
      <c r="J24" s="203">
        <v>6040.6409999999996</v>
      </c>
      <c r="K24" s="203">
        <v>4.1313025389192966</v>
      </c>
      <c r="L24" s="203">
        <v>8.1215867819325798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6040.6409999999996</v>
      </c>
      <c r="S24" s="62">
        <f t="shared" si="3"/>
        <v>249.55715499999997</v>
      </c>
      <c r="T24" s="63">
        <f t="shared" si="4"/>
        <v>490.59590099999997</v>
      </c>
      <c r="U24" s="64" t="s">
        <v>169</v>
      </c>
      <c r="V24" s="65" t="s">
        <v>428</v>
      </c>
      <c r="W24" s="66" t="s">
        <v>227</v>
      </c>
      <c r="X24" s="67">
        <v>5900</v>
      </c>
      <c r="Y24" s="68">
        <v>3.93</v>
      </c>
      <c r="Z24" s="68">
        <v>8.26</v>
      </c>
      <c r="AA24" s="62">
        <f t="shared" si="5"/>
        <v>231.87</v>
      </c>
      <c r="AB24" s="63">
        <f t="shared" si="6"/>
        <v>487.34</v>
      </c>
      <c r="AC24" s="69">
        <v>5930</v>
      </c>
      <c r="AD24" s="70">
        <v>3.8499156829679597</v>
      </c>
      <c r="AE24" s="70">
        <v>8.1150927487352451</v>
      </c>
      <c r="AF24" s="62">
        <f t="shared" si="7"/>
        <v>228.3</v>
      </c>
      <c r="AG24" s="62">
        <f t="shared" si="8"/>
        <v>481.22500000000002</v>
      </c>
      <c r="AH24" s="89">
        <v>1967</v>
      </c>
      <c r="AI24" s="66">
        <v>4.08</v>
      </c>
      <c r="AJ24" s="66">
        <v>8.11</v>
      </c>
      <c r="AK24" s="62">
        <f t="shared" si="9"/>
        <v>80.253600000000006</v>
      </c>
      <c r="AL24" s="72">
        <f t="shared" si="10"/>
        <v>159.52369999999999</v>
      </c>
      <c r="AM24" s="73">
        <f t="shared" si="11"/>
        <v>1895.6409999999996</v>
      </c>
      <c r="AN24" s="74">
        <f t="shared" si="18"/>
        <v>92.959554999999966</v>
      </c>
      <c r="AO24" s="74">
        <f t="shared" si="18"/>
        <v>155.26000099999996</v>
      </c>
      <c r="AP24" s="75">
        <f t="shared" si="13"/>
        <v>0.33536246859730584</v>
      </c>
      <c r="AQ24" s="76">
        <f t="shared" si="14"/>
        <v>88195.651867656648</v>
      </c>
      <c r="AR24" s="90">
        <f t="shared" si="15"/>
        <v>1925.6409999999996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>
        <v>1967</v>
      </c>
      <c r="E25" s="62">
        <v>4.08</v>
      </c>
      <c r="F25" s="62">
        <v>8.11</v>
      </c>
      <c r="G25" s="62">
        <f t="shared" si="0"/>
        <v>80.253600000000006</v>
      </c>
      <c r="H25" s="63">
        <f t="shared" si="1"/>
        <v>159.52369999999999</v>
      </c>
      <c r="I25" s="203">
        <v>3058.6000000000004</v>
      </c>
      <c r="J25" s="203">
        <v>3150.3580000000006</v>
      </c>
      <c r="K25" s="203">
        <v>3.7906100830445308</v>
      </c>
      <c r="L25" s="203">
        <v>8.1097495586215906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3150.3580000000006</v>
      </c>
      <c r="S25" s="62">
        <f t="shared" si="3"/>
        <v>119.41778800000004</v>
      </c>
      <c r="T25" s="63">
        <f t="shared" si="4"/>
        <v>255.486144</v>
      </c>
      <c r="U25" s="64" t="s">
        <v>175</v>
      </c>
      <c r="V25" s="65" t="s">
        <v>429</v>
      </c>
      <c r="W25" s="66" t="s">
        <v>430</v>
      </c>
      <c r="X25" s="67">
        <v>5350</v>
      </c>
      <c r="Y25" s="68">
        <v>4.04</v>
      </c>
      <c r="Z25" s="68">
        <v>8.24</v>
      </c>
      <c r="AA25" s="62">
        <f t="shared" si="5"/>
        <v>216.14</v>
      </c>
      <c r="AB25" s="63">
        <f t="shared" si="6"/>
        <v>440.84000000000003</v>
      </c>
      <c r="AC25" s="69">
        <v>5360</v>
      </c>
      <c r="AD25" s="70">
        <v>3.9721082089552238</v>
      </c>
      <c r="AE25" s="70">
        <v>8.1869776119402999</v>
      </c>
      <c r="AF25" s="62">
        <f t="shared" si="7"/>
        <v>212.905</v>
      </c>
      <c r="AG25" s="62">
        <f t="shared" si="8"/>
        <v>438.82200000000006</v>
      </c>
      <c r="AH25" s="89">
        <v>1694</v>
      </c>
      <c r="AI25" s="66">
        <v>3.99</v>
      </c>
      <c r="AJ25" s="66">
        <v>8.1300000000000008</v>
      </c>
      <c r="AK25" s="62">
        <f t="shared" si="9"/>
        <v>67.590600000000009</v>
      </c>
      <c r="AL25" s="72">
        <f t="shared" si="10"/>
        <v>137.72220000000002</v>
      </c>
      <c r="AM25" s="73">
        <f t="shared" si="11"/>
        <v>-1936.6419999999998</v>
      </c>
      <c r="AN25" s="74">
        <f t="shared" si="18"/>
        <v>-80.824211999999974</v>
      </c>
      <c r="AO25" s="74">
        <f t="shared" si="18"/>
        <v>-161.53435600000009</v>
      </c>
      <c r="AP25" s="75">
        <f t="shared" si="13"/>
        <v>-0.64645512440237629</v>
      </c>
      <c r="AQ25" s="76">
        <f t="shared" si="14"/>
        <v>-84625.722176893352</v>
      </c>
      <c r="AR25" s="90">
        <f t="shared" si="15"/>
        <v>-1926.6419999999998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>
        <v>1694</v>
      </c>
      <c r="E26" s="62">
        <v>3.99</v>
      </c>
      <c r="F26" s="62">
        <v>8.1300000000000008</v>
      </c>
      <c r="G26" s="62">
        <f t="shared" si="0"/>
        <v>67.590600000000009</v>
      </c>
      <c r="H26" s="63">
        <f t="shared" si="1"/>
        <v>137.72220000000002</v>
      </c>
      <c r="I26" s="203">
        <v>885.09999999999991</v>
      </c>
      <c r="J26" s="203">
        <v>911.65299999999991</v>
      </c>
      <c r="K26" s="203">
        <v>4.3344028923285514</v>
      </c>
      <c r="L26" s="203">
        <v>8.3767596881708286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911.65299999999991</v>
      </c>
      <c r="S26" s="62">
        <f t="shared" si="3"/>
        <v>39.514713999999998</v>
      </c>
      <c r="T26" s="63">
        <f t="shared" si="4"/>
        <v>76.366980999999996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>
        <v>2606</v>
      </c>
      <c r="AI26" s="66">
        <v>4.1100000000000003</v>
      </c>
      <c r="AJ26" s="66">
        <v>8.2200000000000006</v>
      </c>
      <c r="AK26" s="62">
        <f t="shared" si="9"/>
        <v>107.10660000000001</v>
      </c>
      <c r="AL26" s="72">
        <f t="shared" si="10"/>
        <v>214.21320000000003</v>
      </c>
      <c r="AM26" s="73">
        <f t="shared" si="11"/>
        <v>-0.34700000000020736</v>
      </c>
      <c r="AN26" s="74">
        <f t="shared" si="18"/>
        <v>-1.2860000000074479E-3</v>
      </c>
      <c r="AO26" s="74">
        <f t="shared" si="18"/>
        <v>-0.12401900000003252</v>
      </c>
      <c r="AP26" s="75">
        <f t="shared" si="13"/>
        <v>-1.0813183221046255E-3</v>
      </c>
      <c r="AQ26" s="76">
        <f t="shared" si="14"/>
        <v>-37.692877786679752</v>
      </c>
      <c r="AR26" s="90">
        <f t="shared" si="15"/>
        <v>-0.34700000000020736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>
        <v>2606</v>
      </c>
      <c r="E27" s="62">
        <v>4.1100000000000003</v>
      </c>
      <c r="F27" s="62">
        <v>8.2200000000000006</v>
      </c>
      <c r="G27" s="62">
        <f t="shared" si="0"/>
        <v>107.10660000000001</v>
      </c>
      <c r="H27" s="63">
        <f t="shared" si="1"/>
        <v>214.21320000000003</v>
      </c>
      <c r="I27" s="203">
        <v>4737.9000000000005</v>
      </c>
      <c r="J27" s="203">
        <v>4880.0370000000003</v>
      </c>
      <c r="K27" s="203">
        <v>3.9682623103062524</v>
      </c>
      <c r="L27" s="203">
        <v>8.1222229257687992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4880.0370000000003</v>
      </c>
      <c r="S27" s="62">
        <f t="shared" si="3"/>
        <v>193.65266899999995</v>
      </c>
      <c r="T27" s="63">
        <f t="shared" si="4"/>
        <v>396.36748399999993</v>
      </c>
      <c r="U27" s="64" t="s">
        <v>169</v>
      </c>
      <c r="V27" s="65" t="s">
        <v>507</v>
      </c>
      <c r="W27" s="66" t="s">
        <v>225</v>
      </c>
      <c r="X27" s="67">
        <v>5900</v>
      </c>
      <c r="Y27" s="68">
        <v>4.2</v>
      </c>
      <c r="Z27" s="68">
        <v>8.25</v>
      </c>
      <c r="AA27" s="62">
        <f t="shared" si="5"/>
        <v>247.8</v>
      </c>
      <c r="AB27" s="63">
        <f t="shared" si="6"/>
        <v>486.75</v>
      </c>
      <c r="AC27" s="69">
        <v>5920</v>
      </c>
      <c r="AD27" s="70">
        <v>4.1500000000000004</v>
      </c>
      <c r="AE27" s="70">
        <v>8.11</v>
      </c>
      <c r="AF27" s="62">
        <f t="shared" si="7"/>
        <v>245.68</v>
      </c>
      <c r="AG27" s="62">
        <f t="shared" si="8"/>
        <v>480.11199999999997</v>
      </c>
      <c r="AH27" s="89">
        <v>1587</v>
      </c>
      <c r="AI27" s="66">
        <v>4.0199999999999996</v>
      </c>
      <c r="AJ27" s="66">
        <v>8.15</v>
      </c>
      <c r="AK27" s="62">
        <f t="shared" si="9"/>
        <v>63.797399999999989</v>
      </c>
      <c r="AL27" s="72">
        <f t="shared" si="10"/>
        <v>129.34049999999999</v>
      </c>
      <c r="AM27" s="73">
        <f t="shared" si="11"/>
        <v>-20.962999999999738</v>
      </c>
      <c r="AN27" s="74">
        <f t="shared" si="18"/>
        <v>-8.7181310000000352</v>
      </c>
      <c r="AO27" s="74">
        <f t="shared" si="18"/>
        <v>1.1281840000000614</v>
      </c>
      <c r="AP27" s="75">
        <f t="shared" si="13"/>
        <v>-1.2863877549619859E-2</v>
      </c>
      <c r="AQ27" s="76">
        <f t="shared" si="14"/>
        <v>-3576.0208009166645</v>
      </c>
      <c r="AR27" s="90">
        <f t="shared" si="15"/>
        <v>-0.96299999999973807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>
        <v>1587</v>
      </c>
      <c r="E28" s="62">
        <v>4.0199999999999996</v>
      </c>
      <c r="F28" s="62">
        <v>8.15</v>
      </c>
      <c r="G28" s="62">
        <f t="shared" si="0"/>
        <v>63.797399999999989</v>
      </c>
      <c r="H28" s="63">
        <f t="shared" si="1"/>
        <v>129.34049999999999</v>
      </c>
      <c r="I28" s="203">
        <v>877</v>
      </c>
      <c r="J28" s="203">
        <v>903.31000000000006</v>
      </c>
      <c r="K28" s="203">
        <v>4.3913340935005696</v>
      </c>
      <c r="L28" s="203">
        <v>8.4398973774230335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903.31000000000006</v>
      </c>
      <c r="S28" s="62">
        <f t="shared" si="3"/>
        <v>39.667359999999995</v>
      </c>
      <c r="T28" s="63">
        <f t="shared" si="4"/>
        <v>76.238437000000005</v>
      </c>
      <c r="U28" s="64" t="s">
        <v>167</v>
      </c>
      <c r="V28" s="65" t="s">
        <v>167</v>
      </c>
      <c r="W28" s="66" t="s">
        <v>167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2491</v>
      </c>
      <c r="AI28" s="66">
        <v>4.1500000000000004</v>
      </c>
      <c r="AJ28" s="66">
        <v>8.26</v>
      </c>
      <c r="AK28" s="62">
        <f t="shared" si="9"/>
        <v>103.37650000000001</v>
      </c>
      <c r="AL28" s="72">
        <f t="shared" si="10"/>
        <v>205.75659999999999</v>
      </c>
      <c r="AM28" s="73">
        <f t="shared" si="11"/>
        <v>-0.69000000000005457</v>
      </c>
      <c r="AN28" s="74">
        <f t="shared" si="18"/>
        <v>8.8259999999976912E-2</v>
      </c>
      <c r="AO28" s="74">
        <f t="shared" si="18"/>
        <v>-0.17766299999999546</v>
      </c>
      <c r="AP28" s="75">
        <f t="shared" si="13"/>
        <v>-7.7134192002509196E-4</v>
      </c>
      <c r="AQ28" s="76">
        <f t="shared" si="14"/>
        <v>-13.549001620009008</v>
      </c>
      <c r="AR28" s="90">
        <f t="shared" si="15"/>
        <v>-0.69000000000005457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>
        <v>2491</v>
      </c>
      <c r="E29" s="62">
        <v>4.1500000000000004</v>
      </c>
      <c r="F29" s="62">
        <v>8.26</v>
      </c>
      <c r="G29" s="62">
        <f t="shared" si="0"/>
        <v>103.37650000000001</v>
      </c>
      <c r="H29" s="63">
        <f t="shared" si="1"/>
        <v>205.75659999999999</v>
      </c>
      <c r="I29" s="203">
        <v>5506.0999999999995</v>
      </c>
      <c r="J29" s="203">
        <v>5671.2829999999994</v>
      </c>
      <c r="K29" s="203">
        <v>4.0283049708505114</v>
      </c>
      <c r="L29" s="203">
        <v>8.1188500027242529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5671.2829999999994</v>
      </c>
      <c r="S29" s="62">
        <f t="shared" si="3"/>
        <v>228.45657500000002</v>
      </c>
      <c r="T29" s="63">
        <f t="shared" si="4"/>
        <v>460.44296000000003</v>
      </c>
      <c r="U29" s="64" t="s">
        <v>170</v>
      </c>
      <c r="V29" s="65" t="s">
        <v>508</v>
      </c>
      <c r="W29" s="66" t="s">
        <v>227</v>
      </c>
      <c r="X29" s="67">
        <v>4870</v>
      </c>
      <c r="Y29" s="68">
        <v>4.25</v>
      </c>
      <c r="Z29" s="68">
        <v>8.26</v>
      </c>
      <c r="AA29" s="62">
        <f t="shared" si="5"/>
        <v>206.97500000000002</v>
      </c>
      <c r="AB29" s="63">
        <f t="shared" si="6"/>
        <v>402.26199999999994</v>
      </c>
      <c r="AC29" s="69">
        <v>4850</v>
      </c>
      <c r="AD29" s="70">
        <v>4</v>
      </c>
      <c r="AE29" s="70">
        <v>8.08</v>
      </c>
      <c r="AF29" s="62">
        <f t="shared" si="7"/>
        <v>194</v>
      </c>
      <c r="AG29" s="63">
        <f t="shared" si="8"/>
        <v>391.88</v>
      </c>
      <c r="AH29" s="89">
        <v>3294</v>
      </c>
      <c r="AI29" s="66">
        <v>4.07</v>
      </c>
      <c r="AJ29" s="66">
        <v>8.16</v>
      </c>
      <c r="AK29" s="62">
        <f t="shared" si="9"/>
        <v>134.0658</v>
      </c>
      <c r="AL29" s="72">
        <f t="shared" si="10"/>
        <v>268.79040000000003</v>
      </c>
      <c r="AM29" s="73">
        <f t="shared" si="11"/>
        <v>18.282999999999447</v>
      </c>
      <c r="AN29" s="74">
        <f t="shared" si="18"/>
        <v>3.7672750000000121</v>
      </c>
      <c r="AO29" s="74">
        <f t="shared" si="18"/>
        <v>5.5291599999999903</v>
      </c>
      <c r="AP29" s="75">
        <f t="shared" si="13"/>
        <v>1.3494616453762017E-2</v>
      </c>
      <c r="AQ29" s="76">
        <f t="shared" si="14"/>
        <v>3345.8975639833361</v>
      </c>
      <c r="AR29" s="90">
        <f t="shared" si="15"/>
        <v>-1.717000000000553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>
        <v>3294</v>
      </c>
      <c r="E30" s="62">
        <v>4.07</v>
      </c>
      <c r="F30" s="62">
        <v>8.16</v>
      </c>
      <c r="G30" s="62">
        <f t="shared" si="0"/>
        <v>134.0658</v>
      </c>
      <c r="H30" s="63">
        <f t="shared" si="1"/>
        <v>268.79040000000003</v>
      </c>
      <c r="I30" s="203">
        <v>815.69999999999993</v>
      </c>
      <c r="J30" s="203">
        <v>840.17099999999994</v>
      </c>
      <c r="K30" s="203">
        <v>4.5518082628417309</v>
      </c>
      <c r="L30" s="203">
        <v>8.3509501042049763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840.17099999999994</v>
      </c>
      <c r="S30" s="62">
        <f t="shared" si="3"/>
        <v>38.242972999999992</v>
      </c>
      <c r="T30" s="63">
        <f t="shared" si="4"/>
        <v>70.162260999999987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>
        <v>4305</v>
      </c>
      <c r="AI30" s="66">
        <v>4.24</v>
      </c>
      <c r="AJ30" s="66">
        <v>8.3000000000000007</v>
      </c>
      <c r="AK30" s="62">
        <f t="shared" si="9"/>
        <v>182.53200000000001</v>
      </c>
      <c r="AL30" s="72">
        <f t="shared" si="10"/>
        <v>357.315</v>
      </c>
      <c r="AM30" s="73">
        <f t="shared" si="11"/>
        <v>-170.82899999999972</v>
      </c>
      <c r="AN30" s="74">
        <f t="shared" si="18"/>
        <v>-10.223227000000037</v>
      </c>
      <c r="AO30" s="74">
        <f t="shared" si="18"/>
        <v>-18.362338999999963</v>
      </c>
      <c r="AP30" s="75">
        <f t="shared" si="13"/>
        <v>-0.26369175126728667</v>
      </c>
      <c r="AQ30" s="76">
        <f t="shared" si="14"/>
        <v>-10084.667232896672</v>
      </c>
      <c r="AR30" s="90">
        <f t="shared" si="15"/>
        <v>-170.82899999999972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>
        <v>4305</v>
      </c>
      <c r="E31" s="62">
        <v>4.24</v>
      </c>
      <c r="F31" s="62">
        <v>8.3000000000000007</v>
      </c>
      <c r="G31" s="62">
        <f t="shared" si="0"/>
        <v>182.53200000000001</v>
      </c>
      <c r="H31" s="63">
        <f t="shared" si="1"/>
        <v>357.315</v>
      </c>
      <c r="I31" s="203">
        <v>4780.2999999999984</v>
      </c>
      <c r="J31" s="203">
        <v>4923.708999999998</v>
      </c>
      <c r="K31" s="203">
        <v>3.9729891429408193</v>
      </c>
      <c r="L31" s="203">
        <v>8.1161726251490478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4923.708999999998</v>
      </c>
      <c r="S31" s="62">
        <f t="shared" si="3"/>
        <v>195.61842399999989</v>
      </c>
      <c r="T31" s="63">
        <f t="shared" si="4"/>
        <v>399.61672199999981</v>
      </c>
      <c r="U31" s="64" t="s">
        <v>175</v>
      </c>
      <c r="V31" s="65" t="s">
        <v>509</v>
      </c>
      <c r="W31" s="66" t="s">
        <v>225</v>
      </c>
      <c r="X31" s="67">
        <v>7130</v>
      </c>
      <c r="Y31" s="68">
        <v>4.05</v>
      </c>
      <c r="Z31" s="68">
        <v>8.16</v>
      </c>
      <c r="AA31" s="62">
        <f t="shared" si="5"/>
        <v>288.76499999999999</v>
      </c>
      <c r="AB31" s="63">
        <f t="shared" si="6"/>
        <v>581.80799999999999</v>
      </c>
      <c r="AC31" s="69">
        <v>7110</v>
      </c>
      <c r="AD31" s="70">
        <v>3.9500000000000006</v>
      </c>
      <c r="AE31" s="70">
        <v>7.9500000000000011</v>
      </c>
      <c r="AF31" s="62">
        <f t="shared" si="7"/>
        <v>280.84500000000003</v>
      </c>
      <c r="AG31" s="63">
        <f t="shared" si="8"/>
        <v>565.24500000000012</v>
      </c>
      <c r="AH31" s="89">
        <v>2200</v>
      </c>
      <c r="AI31" s="66">
        <v>4.0999999999999996</v>
      </c>
      <c r="AJ31" s="66">
        <v>8.1999999999999993</v>
      </c>
      <c r="AK31" s="62">
        <f t="shared" si="9"/>
        <v>90.199999999999989</v>
      </c>
      <c r="AL31" s="72">
        <f t="shared" si="10"/>
        <v>180.39999999999998</v>
      </c>
      <c r="AM31" s="73">
        <f t="shared" si="11"/>
        <v>-81.291000000001077</v>
      </c>
      <c r="AN31" s="74">
        <f t="shared" si="18"/>
        <v>7.105423999999914</v>
      </c>
      <c r="AO31" s="74">
        <f t="shared" si="18"/>
        <v>11.286721999999713</v>
      </c>
      <c r="AP31" s="75">
        <f t="shared" si="13"/>
        <v>3.0898958375686431E-2</v>
      </c>
      <c r="AQ31" s="76">
        <f t="shared" si="14"/>
        <v>6567.510803186542</v>
      </c>
      <c r="AR31" s="90">
        <f t="shared" si="15"/>
        <v>-101.29100000000108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>
        <v>2200</v>
      </c>
      <c r="E32" s="62">
        <v>4.0999999999999996</v>
      </c>
      <c r="F32" s="62">
        <v>8.1999999999999993</v>
      </c>
      <c r="G32" s="62">
        <f t="shared" si="0"/>
        <v>90.199999999999989</v>
      </c>
      <c r="H32" s="63">
        <f t="shared" si="1"/>
        <v>180.39999999999998</v>
      </c>
      <c r="I32" s="203">
        <v>725.99999999999989</v>
      </c>
      <c r="J32" s="203">
        <v>747.77999999999986</v>
      </c>
      <c r="K32" s="203">
        <v>4.6176308539944904</v>
      </c>
      <c r="L32" s="203">
        <v>8.517245179063357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2"/>
        <v>747.77999999999986</v>
      </c>
      <c r="S32" s="62">
        <f t="shared" si="3"/>
        <v>34.52971999999999</v>
      </c>
      <c r="T32" s="63">
        <f t="shared" si="4"/>
        <v>63.690255999999955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>
        <v>2948</v>
      </c>
      <c r="AI32" s="66">
        <v>4.2300000000000004</v>
      </c>
      <c r="AJ32" s="66">
        <v>8.2799999999999994</v>
      </c>
      <c r="AK32" s="62">
        <f t="shared" si="9"/>
        <v>124.70040000000002</v>
      </c>
      <c r="AL32" s="72">
        <f t="shared" si="10"/>
        <v>244.09440000000001</v>
      </c>
      <c r="AM32" s="73">
        <f t="shared" si="11"/>
        <v>-0.22000000000025466</v>
      </c>
      <c r="AN32" s="74">
        <f t="shared" si="18"/>
        <v>2.9319999999970037E-2</v>
      </c>
      <c r="AO32" s="74">
        <f t="shared" si="18"/>
        <v>-4.14400000008186E-3</v>
      </c>
      <c r="AP32" s="75">
        <f t="shared" si="13"/>
        <v>2.5632260386510572E-4</v>
      </c>
      <c r="AQ32" s="76">
        <f t="shared" si="14"/>
        <v>11.921852506628719</v>
      </c>
      <c r="AR32" s="90">
        <f t="shared" si="15"/>
        <v>-0.22000000000025466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>
        <v>2948</v>
      </c>
      <c r="E33" s="62">
        <v>4.2300000000000004</v>
      </c>
      <c r="F33" s="62">
        <v>8.2799999999999994</v>
      </c>
      <c r="G33" s="62">
        <f t="shared" si="0"/>
        <v>124.70040000000002</v>
      </c>
      <c r="H33" s="63">
        <f t="shared" si="1"/>
        <v>244.09440000000001</v>
      </c>
      <c r="I33" s="203">
        <v>1263.5999999999999</v>
      </c>
      <c r="J33" s="203">
        <v>1301.508</v>
      </c>
      <c r="K33" s="203">
        <v>4.2131766381766376</v>
      </c>
      <c r="L33" s="203">
        <v>8.3559433364988909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1301.508</v>
      </c>
      <c r="S33" s="62">
        <f t="shared" si="3"/>
        <v>54.834830999999994</v>
      </c>
      <c r="T33" s="63">
        <f t="shared" si="4"/>
        <v>108.75327099999998</v>
      </c>
      <c r="U33" s="64" t="s">
        <v>171</v>
      </c>
      <c r="V33" s="65" t="s">
        <v>510</v>
      </c>
      <c r="W33" s="66" t="s">
        <v>219</v>
      </c>
      <c r="X33" s="67">
        <v>3100</v>
      </c>
      <c r="Y33" s="68">
        <v>3.95</v>
      </c>
      <c r="Z33" s="68">
        <v>8.2200000000000006</v>
      </c>
      <c r="AA33" s="62">
        <f t="shared" si="5"/>
        <v>122.45</v>
      </c>
      <c r="AB33" s="63">
        <f t="shared" si="6"/>
        <v>254.82000000000002</v>
      </c>
      <c r="AC33" s="69">
        <v>3070</v>
      </c>
      <c r="AD33" s="70">
        <v>3.9</v>
      </c>
      <c r="AE33" s="70">
        <v>8.19</v>
      </c>
      <c r="AF33" s="62">
        <f t="shared" si="7"/>
        <v>119.73</v>
      </c>
      <c r="AG33" s="63">
        <f t="shared" si="8"/>
        <v>251.43299999999999</v>
      </c>
      <c r="AH33" s="89">
        <v>1350</v>
      </c>
      <c r="AI33" s="66">
        <v>4.22</v>
      </c>
      <c r="AJ33" s="66">
        <v>8.3000000000000007</v>
      </c>
      <c r="AK33" s="62">
        <f t="shared" si="9"/>
        <v>56.969999999999992</v>
      </c>
      <c r="AL33" s="72">
        <f t="shared" si="10"/>
        <v>112.05000000000001</v>
      </c>
      <c r="AM33" s="73">
        <f t="shared" si="11"/>
        <v>-170.49200000000019</v>
      </c>
      <c r="AN33" s="74">
        <f t="shared" si="18"/>
        <v>2.8352310000000145</v>
      </c>
      <c r="AO33" s="74">
        <f t="shared" si="18"/>
        <v>-10.635329000000013</v>
      </c>
      <c r="AP33" s="75">
        <f t="shared" si="13"/>
        <v>-4.7681328315674197E-2</v>
      </c>
      <c r="AQ33" s="76">
        <f t="shared" si="14"/>
        <v>-1910.1068127166643</v>
      </c>
      <c r="AR33" s="90">
        <f t="shared" si="15"/>
        <v>-200.49200000000019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>
        <v>1350</v>
      </c>
      <c r="E34" s="62">
        <v>4.22</v>
      </c>
      <c r="F34" s="62">
        <v>8.3000000000000007</v>
      </c>
      <c r="G34" s="62">
        <f t="shared" si="0"/>
        <v>56.969999999999992</v>
      </c>
      <c r="H34" s="63">
        <f t="shared" si="1"/>
        <v>112.05000000000001</v>
      </c>
      <c r="I34" s="203">
        <v>803.90000000000009</v>
      </c>
      <c r="J34" s="203">
        <v>828.01700000000017</v>
      </c>
      <c r="K34" s="203">
        <v>4.7096031844756832</v>
      </c>
      <c r="L34" s="203">
        <v>8.4199776091553673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828.01700000000017</v>
      </c>
      <c r="S34" s="62">
        <f t="shared" si="3"/>
        <v>38.996315000000024</v>
      </c>
      <c r="T34" s="63">
        <f t="shared" si="4"/>
        <v>69.718846000000013</v>
      </c>
      <c r="U34" s="64" t="s">
        <v>167</v>
      </c>
      <c r="V34" s="65" t="s">
        <v>167</v>
      </c>
      <c r="W34" s="66" t="s">
        <v>167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>
        <v>2179</v>
      </c>
      <c r="AI34" s="66">
        <v>4.41</v>
      </c>
      <c r="AJ34" s="66">
        <v>8.35</v>
      </c>
      <c r="AK34" s="62">
        <f t="shared" si="9"/>
        <v>96.093900000000005</v>
      </c>
      <c r="AL34" s="72">
        <f t="shared" si="10"/>
        <v>181.94649999999999</v>
      </c>
      <c r="AM34" s="73">
        <f t="shared" si="11"/>
        <v>-0.98299999999971988</v>
      </c>
      <c r="AN34" s="74">
        <f t="shared" si="18"/>
        <v>-0.12758499999999628</v>
      </c>
      <c r="AO34" s="74">
        <f t="shared" si="18"/>
        <v>-0.17765399999996134</v>
      </c>
      <c r="AP34" s="75">
        <f t="shared" si="13"/>
        <v>-2.8076948715548286E-3</v>
      </c>
      <c r="AQ34" s="76">
        <f t="shared" si="14"/>
        <v>-110.44128710998677</v>
      </c>
      <c r="AR34" s="90">
        <f t="shared" si="15"/>
        <v>-0.98299999999971988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>
        <v>2179</v>
      </c>
      <c r="E35" s="62">
        <v>4.41</v>
      </c>
      <c r="F35" s="62">
        <v>8.35</v>
      </c>
      <c r="G35" s="62">
        <f t="shared" si="0"/>
        <v>96.093900000000005</v>
      </c>
      <c r="H35" s="63">
        <f t="shared" si="1"/>
        <v>181.94649999999999</v>
      </c>
      <c r="I35" s="203">
        <v>1472.3999999999999</v>
      </c>
      <c r="J35" s="203">
        <v>1516.5719999999999</v>
      </c>
      <c r="K35" s="203">
        <v>4.0663135017658227</v>
      </c>
      <c r="L35" s="203">
        <v>8.3371909807117603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1516.5719999999999</v>
      </c>
      <c r="S35" s="62">
        <f t="shared" si="3"/>
        <v>61.668571999999962</v>
      </c>
      <c r="T35" s="63">
        <f t="shared" si="4"/>
        <v>126.43950399999994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>
        <v>3697</v>
      </c>
      <c r="AI35" s="66">
        <v>4.2699999999999996</v>
      </c>
      <c r="AJ35" s="66">
        <v>8.35</v>
      </c>
      <c r="AK35" s="62">
        <f t="shared" si="9"/>
        <v>157.86189999999999</v>
      </c>
      <c r="AL35" s="72">
        <f t="shared" si="10"/>
        <v>308.69949999999994</v>
      </c>
      <c r="AM35" s="73">
        <f t="shared" si="11"/>
        <v>-1.4279999999998836</v>
      </c>
      <c r="AN35" s="74">
        <f t="shared" si="18"/>
        <v>-9.9428000000017391E-2</v>
      </c>
      <c r="AO35" s="74">
        <f t="shared" si="18"/>
        <v>-0.31349599999998645</v>
      </c>
      <c r="AP35" s="75">
        <f t="shared" si="13"/>
        <v>-2.1951423287110972E-3</v>
      </c>
      <c r="AQ35" s="76">
        <f t="shared" si="14"/>
        <v>-138.45521638667043</v>
      </c>
      <c r="AR35" s="90">
        <f t="shared" si="15"/>
        <v>-1.4279999999998836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>
        <v>3697</v>
      </c>
      <c r="E36" s="62">
        <v>4.2699999999999996</v>
      </c>
      <c r="F36" s="62">
        <v>8.35</v>
      </c>
      <c r="G36" s="62">
        <f t="shared" si="0"/>
        <v>157.86189999999999</v>
      </c>
      <c r="H36" s="63">
        <f t="shared" si="1"/>
        <v>308.69949999999994</v>
      </c>
      <c r="I36" s="203">
        <v>929.7</v>
      </c>
      <c r="J36" s="203">
        <v>957.59100000000012</v>
      </c>
      <c r="K36" s="203">
        <v>4.5711197160374315</v>
      </c>
      <c r="L36" s="203">
        <v>8.3486823706572011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957.59100000000012</v>
      </c>
      <c r="S36" s="62">
        <f t="shared" si="3"/>
        <v>43.772631000000004</v>
      </c>
      <c r="T36" s="63">
        <f t="shared" si="4"/>
        <v>79.946231000000012</v>
      </c>
      <c r="U36" s="64" t="s">
        <v>167</v>
      </c>
      <c r="V36" s="85" t="s">
        <v>187</v>
      </c>
      <c r="W36" s="66" t="s">
        <v>167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>
        <v>4655</v>
      </c>
      <c r="AI36" s="66">
        <v>4.33</v>
      </c>
      <c r="AJ36" s="66">
        <v>8.35</v>
      </c>
      <c r="AK36" s="62">
        <f t="shared" si="9"/>
        <v>201.5615</v>
      </c>
      <c r="AL36" s="72">
        <f t="shared" si="10"/>
        <v>388.69249999999994</v>
      </c>
      <c r="AM36" s="73">
        <f t="shared" si="11"/>
        <v>-0.40899999999965075</v>
      </c>
      <c r="AN36" s="74">
        <f t="shared" si="18"/>
        <v>7.3030999999986079E-2</v>
      </c>
      <c r="AO36" s="74">
        <f t="shared" si="18"/>
        <v>-4.6768999999983407E-2</v>
      </c>
      <c r="AP36" s="75">
        <f t="shared" si="13"/>
        <v>2.1227159363947811E-4</v>
      </c>
      <c r="AQ36" s="76">
        <f t="shared" si="14"/>
        <v>18.787631683332048</v>
      </c>
      <c r="AR36" s="90">
        <f t="shared" si="15"/>
        <v>-0.40899999999965075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>
        <v>4655</v>
      </c>
      <c r="E37" s="62">
        <v>4.33</v>
      </c>
      <c r="F37" s="62">
        <v>8.35</v>
      </c>
      <c r="G37" s="62">
        <f t="shared" si="0"/>
        <v>201.5615</v>
      </c>
      <c r="H37" s="63">
        <f t="shared" si="1"/>
        <v>388.69249999999994</v>
      </c>
      <c r="I37" s="203">
        <v>1609.7000000000003</v>
      </c>
      <c r="J37" s="203">
        <v>1657.9910000000002</v>
      </c>
      <c r="K37" s="203">
        <v>4.2609865192271847</v>
      </c>
      <c r="L37" s="203">
        <v>8.1808784245511621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1657.9910000000002</v>
      </c>
      <c r="S37" s="62">
        <f t="shared" si="3"/>
        <v>70.646772999999996</v>
      </c>
      <c r="T37" s="63">
        <f t="shared" si="4"/>
        <v>135.63822800000008</v>
      </c>
      <c r="U37" s="64" t="s">
        <v>577</v>
      </c>
      <c r="V37" s="65" t="s">
        <v>578</v>
      </c>
      <c r="W37" s="66" t="s">
        <v>225</v>
      </c>
      <c r="X37" s="67">
        <v>4850</v>
      </c>
      <c r="Y37" s="68">
        <v>4.1500000000000004</v>
      </c>
      <c r="Z37" s="68">
        <v>8.3000000000000007</v>
      </c>
      <c r="AA37" s="62">
        <f t="shared" si="5"/>
        <v>201.27500000000001</v>
      </c>
      <c r="AB37" s="63">
        <f t="shared" si="6"/>
        <v>402.55</v>
      </c>
      <c r="AC37" s="69">
        <v>4800</v>
      </c>
      <c r="AD37" s="70">
        <v>4.0999999999999996</v>
      </c>
      <c r="AE37" s="70">
        <v>8.23</v>
      </c>
      <c r="AF37" s="62">
        <f t="shared" si="7"/>
        <v>196.79999999999998</v>
      </c>
      <c r="AG37" s="63">
        <f t="shared" si="8"/>
        <v>395.03999999999996</v>
      </c>
      <c r="AH37" s="89">
        <v>1464</v>
      </c>
      <c r="AI37" s="66">
        <v>4.3099999999999996</v>
      </c>
      <c r="AJ37" s="66">
        <v>8.31</v>
      </c>
      <c r="AK37" s="62">
        <f t="shared" si="9"/>
        <v>63.098399999999998</v>
      </c>
      <c r="AL37" s="72">
        <f t="shared" si="10"/>
        <v>121.65840000000001</v>
      </c>
      <c r="AM37" s="73">
        <f t="shared" si="11"/>
        <v>48.990999999999985</v>
      </c>
      <c r="AN37" s="74">
        <f t="shared" si="18"/>
        <v>12.309872999999982</v>
      </c>
      <c r="AO37" s="74">
        <f t="shared" si="18"/>
        <v>7.6323280000000437</v>
      </c>
      <c r="AP37" s="75">
        <f t="shared" si="13"/>
        <v>9.6673053800940267E-2</v>
      </c>
      <c r="AQ37" s="76">
        <f t="shared" si="14"/>
        <v>7810.1773300833393</v>
      </c>
      <c r="AR37" s="90">
        <f t="shared" si="15"/>
        <v>-1.0090000000000146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>
        <v>1464</v>
      </c>
      <c r="E38" s="62">
        <v>4.3099999999999996</v>
      </c>
      <c r="F38" s="62">
        <v>8.31</v>
      </c>
      <c r="G38" s="62">
        <f t="shared" si="0"/>
        <v>63.098399999999998</v>
      </c>
      <c r="H38" s="63">
        <f t="shared" si="1"/>
        <v>121.65840000000001</v>
      </c>
      <c r="I38" s="203">
        <v>4617.6000000000004</v>
      </c>
      <c r="J38" s="203">
        <v>4756.1280000000006</v>
      </c>
      <c r="K38" s="203">
        <v>3.8088422557172561</v>
      </c>
      <c r="L38" s="203">
        <v>8.0593425155925171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4756.1280000000006</v>
      </c>
      <c r="S38" s="62">
        <f t="shared" si="3"/>
        <v>181.15341300000006</v>
      </c>
      <c r="T38" s="63">
        <f t="shared" si="4"/>
        <v>383.31264600000014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>
        <v>6221</v>
      </c>
      <c r="AI38" s="71">
        <v>3.93</v>
      </c>
      <c r="AJ38" s="71">
        <v>8.1199999999999992</v>
      </c>
      <c r="AK38" s="62">
        <f t="shared" si="9"/>
        <v>244.48530000000002</v>
      </c>
      <c r="AL38" s="72">
        <f t="shared" si="10"/>
        <v>505.14519999999999</v>
      </c>
      <c r="AM38" s="73">
        <f t="shared" si="11"/>
        <v>-0.87199999999938882</v>
      </c>
      <c r="AN38" s="74">
        <f t="shared" si="18"/>
        <v>-0.23348699999996825</v>
      </c>
      <c r="AO38" s="74">
        <f t="shared" si="18"/>
        <v>-0.17415399999981673</v>
      </c>
      <c r="AP38" s="75">
        <f t="shared" si="13"/>
        <v>-7.2217096759007225E-4</v>
      </c>
      <c r="AQ38" s="76">
        <f t="shared" si="14"/>
        <v>-156.93429726326426</v>
      </c>
      <c r="AR38" s="90">
        <f t="shared" si="15"/>
        <v>-0.87199999999938882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>
        <v>6221</v>
      </c>
      <c r="E39" s="62">
        <v>3.93</v>
      </c>
      <c r="F39" s="62">
        <v>8.1199999999999992</v>
      </c>
      <c r="G39" s="62">
        <f t="shared" si="0"/>
        <v>244.48530000000002</v>
      </c>
      <c r="H39" s="63">
        <f t="shared" si="1"/>
        <v>505.14519999999999</v>
      </c>
      <c r="I39" s="203">
        <v>5303.7</v>
      </c>
      <c r="J39" s="203">
        <v>5462.8109999999997</v>
      </c>
      <c r="K39" s="203">
        <v>3.9207308105662086</v>
      </c>
      <c r="L39" s="203">
        <v>8.1325301204819276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5462.8109999999997</v>
      </c>
      <c r="S39" s="62">
        <f t="shared" si="3"/>
        <v>214.18211399999998</v>
      </c>
      <c r="T39" s="63">
        <f t="shared" si="4"/>
        <v>444.26474999999999</v>
      </c>
      <c r="U39" s="64" t="s">
        <v>169</v>
      </c>
      <c r="V39" s="65" t="s">
        <v>579</v>
      </c>
      <c r="W39" s="66" t="s">
        <v>227</v>
      </c>
      <c r="X39" s="67">
        <v>5900</v>
      </c>
      <c r="Y39" s="68">
        <v>4.05</v>
      </c>
      <c r="Z39" s="68">
        <v>8.16</v>
      </c>
      <c r="AA39" s="62">
        <f t="shared" si="5"/>
        <v>238.95000000000002</v>
      </c>
      <c r="AB39" s="63">
        <f t="shared" si="6"/>
        <v>481.44000000000005</v>
      </c>
      <c r="AC39" s="226">
        <v>5900</v>
      </c>
      <c r="AD39" s="227">
        <v>4.05</v>
      </c>
      <c r="AE39" s="227">
        <v>8.16</v>
      </c>
      <c r="AF39" s="62">
        <f t="shared" si="7"/>
        <v>238.95000000000002</v>
      </c>
      <c r="AG39" s="63">
        <f t="shared" si="8"/>
        <v>481.44000000000005</v>
      </c>
      <c r="AH39" s="89">
        <v>5785</v>
      </c>
      <c r="AI39" s="66">
        <v>3.93</v>
      </c>
      <c r="AJ39" s="66">
        <v>8.1300000000000008</v>
      </c>
      <c r="AK39" s="62">
        <f t="shared" si="9"/>
        <v>227.35050000000001</v>
      </c>
      <c r="AL39" s="72">
        <f t="shared" si="10"/>
        <v>470.32050000000004</v>
      </c>
      <c r="AM39" s="73">
        <f t="shared" si="11"/>
        <v>-1.1890000000003056</v>
      </c>
      <c r="AN39" s="74">
        <f t="shared" si="18"/>
        <v>-7.63308600000002</v>
      </c>
      <c r="AO39" s="74">
        <f t="shared" si="18"/>
        <v>-2.350550000000112</v>
      </c>
      <c r="AP39" s="75">
        <f t="shared" si="13"/>
        <v>-1.5162401927697741E-2</v>
      </c>
      <c r="AQ39" s="76">
        <f t="shared" si="14"/>
        <v>-4130.0255699267091</v>
      </c>
      <c r="AR39" s="90">
        <f t="shared" si="15"/>
        <v>-1.1890000000003056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18"/>
        <v>0</v>
      </c>
      <c r="AO40" s="74">
        <f t="shared" si="18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18"/>
        <v>0</v>
      </c>
      <c r="AO41" s="74">
        <f t="shared" si="18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18"/>
        <v>0</v>
      </c>
      <c r="AO42" s="74">
        <f t="shared" si="18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18"/>
        <v>0</v>
      </c>
      <c r="AO43" s="74">
        <f t="shared" si="18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18"/>
        <v>0</v>
      </c>
      <c r="AO44" s="74">
        <f t="shared" si="18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18"/>
        <v>0</v>
      </c>
      <c r="AO45" s="74">
        <f t="shared" si="18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18"/>
        <v>0</v>
      </c>
      <c r="AO46" s="74">
        <f t="shared" si="18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18"/>
        <v>0</v>
      </c>
      <c r="AO47" s="74">
        <f t="shared" si="18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18"/>
        <v>0</v>
      </c>
      <c r="AO48" s="74">
        <f t="shared" si="18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18"/>
        <v>0</v>
      </c>
      <c r="AO49" s="74">
        <f t="shared" si="18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18"/>
        <v>0</v>
      </c>
      <c r="AO50" s="74">
        <f t="shared" si="18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18"/>
        <v>0</v>
      </c>
      <c r="AO51" s="74">
        <f t="shared" si="18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9"/>
      <c r="J52" s="119"/>
      <c r="K52" s="119"/>
      <c r="L52" s="119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18"/>
        <v>0</v>
      </c>
      <c r="AO52" s="74">
        <f t="shared" si="18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9"/>
      <c r="J53" s="119"/>
      <c r="K53" s="119"/>
      <c r="L53" s="119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18"/>
        <v>0</v>
      </c>
      <c r="AO53" s="74">
        <f t="shared" si="18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18"/>
        <v>0</v>
      </c>
      <c r="AO54" s="74">
        <f t="shared" si="18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18"/>
        <v>0</v>
      </c>
      <c r="AO55" s="74">
        <f t="shared" si="18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18"/>
        <v>0</v>
      </c>
      <c r="AO56" s="74">
        <f t="shared" si="18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18"/>
        <v>0</v>
      </c>
      <c r="AO57" s="74">
        <f t="shared" si="18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18"/>
        <v>0</v>
      </c>
      <c r="AO58" s="74">
        <f t="shared" si="18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18"/>
        <v>0</v>
      </c>
      <c r="AO59" s="74">
        <f t="shared" si="18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18"/>
        <v>0</v>
      </c>
      <c r="AO60" s="74">
        <f t="shared" si="18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18"/>
        <v>0</v>
      </c>
      <c r="AO61" s="74">
        <f t="shared" si="18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18"/>
        <v>0</v>
      </c>
      <c r="AO62" s="74">
        <f t="shared" si="18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18"/>
        <v>0</v>
      </c>
      <c r="AO63" s="74">
        <f t="shared" si="18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108595.57800000001</v>
      </c>
      <c r="R66" s="83">
        <f>SUM(R4:R65)</f>
        <v>117614.57800000001</v>
      </c>
      <c r="S66" s="83">
        <f t="shared" ref="S66:T66" si="19">SUM(S4:S65)</f>
        <v>4699.1064290000013</v>
      </c>
      <c r="T66" s="83">
        <f t="shared" si="19"/>
        <v>9578.0772340000003</v>
      </c>
      <c r="AH66" s="90"/>
      <c r="AI66" s="77"/>
      <c r="AJ66" s="77"/>
      <c r="AM66" s="83">
        <f>-SUM(AM4:AM65)</f>
        <v>867.42199999999639</v>
      </c>
      <c r="AN66" s="83">
        <f>-SUM(AN4:AN65)</f>
        <v>17.491071000000389</v>
      </c>
      <c r="AO66" s="83">
        <f>-SUM(AO4:AO65)</f>
        <v>12.46926600000053</v>
      </c>
      <c r="AQ66" s="127">
        <f>-SUM(AQ4:AQ65)</f>
        <v>11583.635482650319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6" priority="2" operator="lessThan">
      <formula>0.1</formula>
    </cfRule>
    <cfRule type="cellIs" dxfId="105" priority="3" operator="greaterThan">
      <formula>0.1</formula>
    </cfRule>
  </conditionalFormatting>
  <conditionalFormatting sqref="AP1:AQ1">
    <cfRule type="cellIs" dxfId="104" priority="1" operator="lessThan">
      <formula>1</formula>
    </cfRule>
  </conditionalFormatting>
  <conditionalFormatting sqref="AQ4:AQ65">
    <cfRule type="cellIs" dxfId="103" priority="4" operator="lessThan">
      <formula>0</formula>
    </cfRule>
    <cfRule type="cellIs" dxfId="102" priority="5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O65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8.7109375" defaultRowHeight="12.75" x14ac:dyDescent="0.25"/>
  <cols>
    <col min="1" max="1" width="11.7109375" style="130" customWidth="1"/>
    <col min="2" max="2" width="4.7109375" style="130" customWidth="1"/>
    <col min="3" max="6" width="9.28515625" style="130" bestFit="1" customWidth="1"/>
    <col min="7" max="7" width="8.7109375" style="130"/>
    <col min="8" max="9" width="9.28515625" style="130" bestFit="1" customWidth="1"/>
    <col min="10" max="10" width="10.28515625" style="130" bestFit="1" customWidth="1"/>
    <col min="11" max="15" width="9.28515625" style="130" bestFit="1" customWidth="1"/>
    <col min="16" max="16384" width="8.7109375" style="130"/>
  </cols>
  <sheetData>
    <row r="1" spans="1:15" ht="14.65" customHeight="1" x14ac:dyDescent="0.25">
      <c r="A1" s="266" t="s">
        <v>64</v>
      </c>
      <c r="B1" s="266" t="s">
        <v>65</v>
      </c>
      <c r="C1" s="266" t="s">
        <v>105</v>
      </c>
      <c r="D1" s="266"/>
      <c r="E1" s="266"/>
      <c r="F1" s="266"/>
      <c r="G1" s="266"/>
      <c r="H1" s="266"/>
      <c r="I1" s="266" t="s">
        <v>106</v>
      </c>
      <c r="J1" s="266"/>
      <c r="K1" s="266"/>
      <c r="L1" s="266"/>
      <c r="M1" s="266"/>
      <c r="N1" s="266"/>
      <c r="O1" s="266"/>
    </row>
    <row r="2" spans="1:15" x14ac:dyDescent="0.25">
      <c r="A2" s="266"/>
      <c r="B2" s="266"/>
      <c r="C2" s="131" t="s">
        <v>17</v>
      </c>
      <c r="D2" s="131" t="s">
        <v>18</v>
      </c>
      <c r="E2" s="131" t="s">
        <v>19</v>
      </c>
      <c r="F2" s="131" t="s">
        <v>20</v>
      </c>
      <c r="G2" s="131" t="s">
        <v>104</v>
      </c>
      <c r="H2" s="131" t="s">
        <v>21</v>
      </c>
      <c r="I2" s="131" t="s">
        <v>24</v>
      </c>
      <c r="J2" s="131" t="s">
        <v>25</v>
      </c>
      <c r="K2" s="131" t="s">
        <v>27</v>
      </c>
      <c r="L2" s="131" t="s">
        <v>28</v>
      </c>
      <c r="M2" s="131" t="s">
        <v>29</v>
      </c>
      <c r="N2" s="131" t="s">
        <v>30</v>
      </c>
      <c r="O2" s="131" t="s">
        <v>31</v>
      </c>
    </row>
    <row r="3" spans="1:15" x14ac:dyDescent="0.25">
      <c r="A3" s="132">
        <f>Manjhaul!B4</f>
        <v>46174</v>
      </c>
      <c r="B3" s="133" t="str">
        <f>Manjhaul!C4</f>
        <v>M</v>
      </c>
      <c r="C3" s="134">
        <f>Manjhaul!AQ4</f>
        <v>-712.12493685665436</v>
      </c>
      <c r="D3" s="134">
        <f>'Sahibpur Kamal'!AQ4</f>
        <v>-1225.5853517601179</v>
      </c>
      <c r="E3" s="134">
        <f>Dalsingsarai!AQ4</f>
        <v>-15586.84973858808</v>
      </c>
      <c r="F3" s="134">
        <f>Musrigharari!AQ4</f>
        <v>-4574.2161790966784</v>
      </c>
      <c r="G3" s="134"/>
      <c r="H3" s="134">
        <f>Buxar!AQ4</f>
        <v>-201.93887149348106</v>
      </c>
      <c r="I3" s="134">
        <f>Laldiyara!AQ4</f>
        <v>9635.5464846153609</v>
      </c>
      <c r="J3" s="134">
        <f>Asarganj!AQ4</f>
        <v>11932.999241240017</v>
      </c>
      <c r="K3" s="134">
        <f>Madhatpur!AQ4</f>
        <v>136.96663082666703</v>
      </c>
      <c r="L3" s="134">
        <f>Sonvarsha!AQ4</f>
        <v>45.280653880064165</v>
      </c>
      <c r="M3" s="134">
        <f>Araiya!AQ4</f>
        <v>4472.046358009934</v>
      </c>
      <c r="N3" s="134">
        <f>Teghra!AQ4</f>
        <v>264.6309486333227</v>
      </c>
      <c r="O3" s="134">
        <f>Halsi!AQ4</f>
        <v>-24744.866699373291</v>
      </c>
    </row>
    <row r="4" spans="1:15" x14ac:dyDescent="0.25">
      <c r="A4" s="132">
        <f>Manjhaul!B5</f>
        <v>46174</v>
      </c>
      <c r="B4" s="133" t="str">
        <f>Manjhaul!C5</f>
        <v>E</v>
      </c>
      <c r="C4" s="134">
        <f>Manjhaul!AQ5</f>
        <v>699.12420398329095</v>
      </c>
      <c r="D4" s="134">
        <f>'Sahibpur Kamal'!AQ5</f>
        <v>-108.74156421331391</v>
      </c>
      <c r="E4" s="134">
        <f>Dalsingsarai!AQ5</f>
        <v>-60.812116878404595</v>
      </c>
      <c r="F4" s="134">
        <f>Musrigharari!AQ5</f>
        <v>470.57409732668197</v>
      </c>
      <c r="G4" s="134"/>
      <c r="H4" s="134">
        <f>Buxar!AQ5</f>
        <v>9202.3162225867054</v>
      </c>
      <c r="I4" s="134">
        <f>Laldiyara!AQ5</f>
        <v>-2585.4447721665624</v>
      </c>
      <c r="J4" s="134">
        <f>Asarganj!AQ5</f>
        <v>4633.058927804841</v>
      </c>
      <c r="K4" s="134">
        <f>Madhatpur!AQ5</f>
        <v>1655.066826233339</v>
      </c>
      <c r="L4" s="134">
        <f>Sonvarsha!AQ5</f>
        <v>97.647052836546436</v>
      </c>
      <c r="M4" s="134">
        <f>Araiya!AQ5</f>
        <v>-3706.9184678167053</v>
      </c>
      <c r="N4" s="134">
        <f>Teghra!AQ5</f>
        <v>-3068.2590740082278</v>
      </c>
      <c r="O4" s="134">
        <f>Halsi!AQ5</f>
        <v>13218.155847819988</v>
      </c>
    </row>
    <row r="5" spans="1:15" x14ac:dyDescent="0.25">
      <c r="A5" s="132">
        <f>Manjhaul!B6</f>
        <v>46175</v>
      </c>
      <c r="B5" s="133" t="str">
        <f>Manjhaul!C6</f>
        <v>M</v>
      </c>
      <c r="C5" s="134">
        <f>Manjhaul!AQ6</f>
        <v>-692.59151602666634</v>
      </c>
      <c r="D5" s="134">
        <f>'Sahibpur Kamal'!AQ6</f>
        <v>-6404.5416591565445</v>
      </c>
      <c r="E5" s="134">
        <f>Dalsingsarai!AQ6</f>
        <v>-24.879115928352348</v>
      </c>
      <c r="F5" s="134">
        <f>Musrigharari!AQ6</f>
        <v>692.75716381669145</v>
      </c>
      <c r="G5" s="134"/>
      <c r="H5" s="134">
        <f>Buxar!AQ6</f>
        <v>-200.66486491322718</v>
      </c>
      <c r="I5" s="134">
        <f>Laldiyara!AQ6</f>
        <v>10428.38681612927</v>
      </c>
      <c r="J5" s="134">
        <f>Asarganj!AQ6</f>
        <v>1991.0800014234219</v>
      </c>
      <c r="K5" s="134">
        <f>Madhatpur!AQ6</f>
        <v>51.713534180001886</v>
      </c>
      <c r="L5" s="134">
        <f>Sonvarsha!AQ6</f>
        <v>81.888067286620071</v>
      </c>
      <c r="M5" s="134">
        <f>Araiya!AQ6</f>
        <v>388.23263094004767</v>
      </c>
      <c r="N5" s="134">
        <f>Teghra!AQ6</f>
        <v>342.97217800999636</v>
      </c>
      <c r="O5" s="134">
        <f>Halsi!AQ6</f>
        <v>19009.653890406662</v>
      </c>
    </row>
    <row r="6" spans="1:15" x14ac:dyDescent="0.25">
      <c r="A6" s="132">
        <f>Manjhaul!B7</f>
        <v>46175</v>
      </c>
      <c r="B6" s="133" t="str">
        <f>Manjhaul!C7</f>
        <v>E</v>
      </c>
      <c r="C6" s="134">
        <f>Manjhaul!AQ7</f>
        <v>-1418.5708629399592</v>
      </c>
      <c r="D6" s="134">
        <f>'Sahibpur Kamal'!AQ7</f>
        <v>-5015.6796600166936</v>
      </c>
      <c r="E6" s="134">
        <f>Dalsingsarai!AQ7</f>
        <v>-1812.3636931399433</v>
      </c>
      <c r="F6" s="134">
        <f>Musrigharari!AQ7</f>
        <v>683.42866438003284</v>
      </c>
      <c r="G6" s="134"/>
      <c r="H6" s="134">
        <f>Buxar!AQ7</f>
        <v>261.69313195656264</v>
      </c>
      <c r="I6" s="134">
        <f>Laldiyara!AQ7</f>
        <v>724.25867488329459</v>
      </c>
      <c r="J6" s="134">
        <f>Asarganj!AQ7</f>
        <v>421.64836906504217</v>
      </c>
      <c r="K6" s="134">
        <f>Madhatpur!AQ7</f>
        <v>123.26978818000525</v>
      </c>
      <c r="L6" s="134">
        <f>Sonvarsha!AQ7</f>
        <v>177.46384938331767</v>
      </c>
      <c r="M6" s="134">
        <f>Araiya!AQ7</f>
        <v>-2376.7483088067615</v>
      </c>
      <c r="N6" s="134">
        <f>Teghra!AQ7</f>
        <v>-3563.6657502600228</v>
      </c>
      <c r="O6" s="134">
        <f>Halsi!AQ7</f>
        <v>3693.8267558499792</v>
      </c>
    </row>
    <row r="7" spans="1:15" x14ac:dyDescent="0.25">
      <c r="A7" s="132">
        <f>Manjhaul!B8</f>
        <v>46176</v>
      </c>
      <c r="B7" s="133" t="str">
        <f>Manjhaul!C8</f>
        <v>M</v>
      </c>
      <c r="C7" s="134">
        <f>Manjhaul!AQ8</f>
        <v>135.79183335669006</v>
      </c>
      <c r="D7" s="134">
        <f>'Sahibpur Kamal'!AQ8</f>
        <v>33.556321773270589</v>
      </c>
      <c r="E7" s="134">
        <f>Dalsingsarai!AQ8</f>
        <v>5583.3430395049636</v>
      </c>
      <c r="F7" s="134">
        <f>Musrigharari!AQ8</f>
        <v>-5301.3656847433231</v>
      </c>
      <c r="G7" s="134"/>
      <c r="H7" s="134">
        <f>Buxar!AQ8</f>
        <v>-6156.0879305565604</v>
      </c>
      <c r="I7" s="134">
        <f>Laldiyara!AQ8</f>
        <v>5856.6061533467091</v>
      </c>
      <c r="J7" s="134">
        <f>Asarganj!AQ8</f>
        <v>2514.3755106982521</v>
      </c>
      <c r="K7" s="134">
        <f>Madhatpur!AQ8</f>
        <v>143.18208904999051</v>
      </c>
      <c r="L7" s="134">
        <f>Sonvarsha!AQ8</f>
        <v>-35.10655764004656</v>
      </c>
      <c r="M7" s="134">
        <f>Araiya!AQ8</f>
        <v>2508.1927480867184</v>
      </c>
      <c r="N7" s="134">
        <f>Teghra!AQ8</f>
        <v>-757.50225602334535</v>
      </c>
      <c r="O7" s="134">
        <f>Halsi!AQ8</f>
        <v>-580.45619221326251</v>
      </c>
    </row>
    <row r="8" spans="1:15" x14ac:dyDescent="0.25">
      <c r="A8" s="132">
        <f>Manjhaul!B9</f>
        <v>46176</v>
      </c>
      <c r="B8" s="133" t="str">
        <f>Manjhaul!C9</f>
        <v>E</v>
      </c>
      <c r="C8" s="134">
        <f>Manjhaul!AQ9</f>
        <v>337.80163263006227</v>
      </c>
      <c r="D8" s="134">
        <f>'Sahibpur Kamal'!AQ9</f>
        <v>-1443.3304939899533</v>
      </c>
      <c r="E8" s="134">
        <f>Dalsingsarai!AQ9</f>
        <v>310.94521778846956</v>
      </c>
      <c r="F8" s="134">
        <f>Musrigharari!AQ9</f>
        <v>910.59029240670043</v>
      </c>
      <c r="G8" s="134"/>
      <c r="H8" s="134">
        <f>Buxar!AQ9</f>
        <v>291.51512107671209</v>
      </c>
      <c r="I8" s="134">
        <f>Laldiyara!AQ9</f>
        <v>-504.78223641996328</v>
      </c>
      <c r="J8" s="134">
        <f>Asarganj!AQ9</f>
        <v>-620.65967399345493</v>
      </c>
      <c r="K8" s="134">
        <f>Madhatpur!AQ9</f>
        <v>164.06149169668237</v>
      </c>
      <c r="L8" s="134">
        <f>Sonvarsha!AQ9</f>
        <v>226.66543283993099</v>
      </c>
      <c r="M8" s="134">
        <f>Araiya!AQ9</f>
        <v>-6945.6218603567504</v>
      </c>
      <c r="N8" s="134">
        <f>Teghra!AQ9</f>
        <v>-4654.1260496499453</v>
      </c>
      <c r="O8" s="134">
        <f>Halsi!AQ9</f>
        <v>-7726.0432164298836</v>
      </c>
    </row>
    <row r="9" spans="1:15" x14ac:dyDescent="0.25">
      <c r="A9" s="132">
        <f>Manjhaul!B10</f>
        <v>46177</v>
      </c>
      <c r="B9" s="133" t="str">
        <f>Manjhaul!C10</f>
        <v>M</v>
      </c>
      <c r="C9" s="134">
        <f>Manjhaul!AQ10</f>
        <v>-2190.9896500800296</v>
      </c>
      <c r="D9" s="134">
        <f>'Sahibpur Kamal'!AQ10</f>
        <v>7046.6908044866586</v>
      </c>
      <c r="E9" s="134">
        <f>Dalsingsarai!AQ10</f>
        <v>866.30382453995594</v>
      </c>
      <c r="F9" s="134">
        <f>Musrigharari!AQ10</f>
        <v>-1928.3804424500108</v>
      </c>
      <c r="G9" s="134"/>
      <c r="H9" s="134">
        <f>Buxar!AQ10</f>
        <v>-2879.467055593318</v>
      </c>
      <c r="I9" s="134">
        <f>Laldiyara!AQ10</f>
        <v>-1901.9180957700166</v>
      </c>
      <c r="J9" s="134">
        <f>Asarganj!AQ10</f>
        <v>411.6939394518937</v>
      </c>
      <c r="K9" s="134">
        <f>Madhatpur!AQ10</f>
        <v>236.87439442331339</v>
      </c>
      <c r="L9" s="134">
        <f>Sonvarsha!AQ10</f>
        <v>-212.68173670332149</v>
      </c>
      <c r="M9" s="134">
        <f>Araiya!AQ10</f>
        <v>476.17963649666387</v>
      </c>
      <c r="N9" s="134">
        <f>Teghra!AQ10</f>
        <v>235.32505637666657</v>
      </c>
      <c r="O9" s="134">
        <f>Halsi!AQ10</f>
        <v>-16275.111442846681</v>
      </c>
    </row>
    <row r="10" spans="1:15" x14ac:dyDescent="0.25">
      <c r="A10" s="132">
        <f>Manjhaul!B11</f>
        <v>46177</v>
      </c>
      <c r="B10" s="133" t="str">
        <f>Manjhaul!C11</f>
        <v>E</v>
      </c>
      <c r="C10" s="134">
        <f>Manjhaul!AQ11</f>
        <v>1005.6221452200048</v>
      </c>
      <c r="D10" s="134">
        <f>'Sahibpur Kamal'!AQ11</f>
        <v>-1049.8297545633725</v>
      </c>
      <c r="E10" s="134">
        <f>Dalsingsarai!AQ11</f>
        <v>21220.485197886399</v>
      </c>
      <c r="F10" s="134">
        <f>Musrigharari!AQ11</f>
        <v>149.25284861664903</v>
      </c>
      <c r="G10" s="134"/>
      <c r="H10" s="134">
        <f>Buxar!AQ11</f>
        <v>-21.631626170061057</v>
      </c>
      <c r="I10" s="134">
        <f>Laldiyara!AQ11</f>
        <v>-19977.974308086643</v>
      </c>
      <c r="J10" s="134">
        <f>Asarganj!AQ11</f>
        <v>-20238.003181036656</v>
      </c>
      <c r="K10" s="134">
        <f>Madhatpur!AQ11</f>
        <v>98.084440813337793</v>
      </c>
      <c r="L10" s="134">
        <f>Sonvarsha!AQ11</f>
        <v>147.67029123004824</v>
      </c>
      <c r="M10" s="134">
        <f>Araiya!AQ11</f>
        <v>7378.2299929799237</v>
      </c>
      <c r="N10" s="134">
        <f>Teghra!AQ11</f>
        <v>10803.284006899961</v>
      </c>
      <c r="O10" s="134">
        <f>Halsi!AQ11</f>
        <v>14431.834759649944</v>
      </c>
    </row>
    <row r="11" spans="1:15" x14ac:dyDescent="0.25">
      <c r="A11" s="132">
        <f>Manjhaul!B12</f>
        <v>46178</v>
      </c>
      <c r="B11" s="133" t="str">
        <f>Manjhaul!C12</f>
        <v>M</v>
      </c>
      <c r="C11" s="134">
        <f>Manjhaul!AQ12</f>
        <v>-5756.8836399433276</v>
      </c>
      <c r="D11" s="134">
        <f>'Sahibpur Kamal'!AQ12</f>
        <v>-12062.858728946656</v>
      </c>
      <c r="E11" s="134">
        <f>Dalsingsarai!AQ12</f>
        <v>541.14051974034203</v>
      </c>
      <c r="F11" s="134">
        <f>Musrigharari!AQ12</f>
        <v>5916.7894221333536</v>
      </c>
      <c r="G11" s="134"/>
      <c r="H11" s="134">
        <f>Buxar!AQ12</f>
        <v>18.149431300015181</v>
      </c>
      <c r="I11" s="134">
        <f>Laldiyara!AQ12</f>
        <v>31278.257649099978</v>
      </c>
      <c r="J11" s="134">
        <f>Asarganj!AQ12</f>
        <v>15737.860892856645</v>
      </c>
      <c r="K11" s="134">
        <f>Madhatpur!AQ12</f>
        <v>1.0802270966718659</v>
      </c>
      <c r="L11" s="134">
        <f>Sonvarsha!AQ12</f>
        <v>7.5303156132721369</v>
      </c>
      <c r="M11" s="134">
        <f>Araiya!AQ12</f>
        <v>-3869.4394500299932</v>
      </c>
      <c r="N11" s="134">
        <f>Teghra!AQ12</f>
        <v>46439.233728066676</v>
      </c>
      <c r="O11" s="134">
        <f>Halsi!AQ12</f>
        <v>-17846.585840160067</v>
      </c>
    </row>
    <row r="12" spans="1:15" x14ac:dyDescent="0.25">
      <c r="A12" s="132">
        <f>Manjhaul!B13</f>
        <v>46178</v>
      </c>
      <c r="B12" s="133" t="str">
        <f>Manjhaul!C13</f>
        <v>E</v>
      </c>
      <c r="C12" s="134">
        <f>Manjhaul!AQ13</f>
        <v>1250.8009257333672</v>
      </c>
      <c r="D12" s="134">
        <f>'Sahibpur Kamal'!AQ13</f>
        <v>180.1034401834157</v>
      </c>
      <c r="E12" s="134">
        <f>Dalsingsarai!AQ13</f>
        <v>-19104.718513650107</v>
      </c>
      <c r="F12" s="134">
        <f>Musrigharari!AQ13</f>
        <v>996.56703197331728</v>
      </c>
      <c r="G12" s="134"/>
      <c r="H12" s="134">
        <f>Buxar!AQ13</f>
        <v>1160.5212341798551</v>
      </c>
      <c r="I12" s="134">
        <f>Laldiyara!AQ13</f>
        <v>-318.69303029663035</v>
      </c>
      <c r="J12" s="134">
        <f>Asarganj!AQ13</f>
        <v>-433.94438805667249</v>
      </c>
      <c r="K12" s="134">
        <f>Madhatpur!AQ13</f>
        <v>-67.65627355668056</v>
      </c>
      <c r="L12" s="134">
        <f>Sonvarsha!AQ13</f>
        <v>315.35313989674415</v>
      </c>
      <c r="M12" s="134">
        <f>Araiya!AQ13</f>
        <v>-2239.3568594833246</v>
      </c>
      <c r="N12" s="134">
        <f>Teghra!AQ13</f>
        <v>98.152450678365966</v>
      </c>
      <c r="O12" s="134">
        <f>Halsi!AQ13</f>
        <v>18854.441611903403</v>
      </c>
    </row>
    <row r="13" spans="1:15" x14ac:dyDescent="0.25">
      <c r="A13" s="132">
        <f>Manjhaul!B14</f>
        <v>46179</v>
      </c>
      <c r="B13" s="133" t="str">
        <f>Manjhaul!C14</f>
        <v>M</v>
      </c>
      <c r="C13" s="134">
        <f>Manjhaul!AQ14</f>
        <v>69.454906290000025</v>
      </c>
      <c r="D13" s="134">
        <f>'Sahibpur Kamal'!AQ14</f>
        <v>-4354.868877076733</v>
      </c>
      <c r="E13" s="134">
        <f>Dalsingsarai!AQ14</f>
        <v>8006.123836659779</v>
      </c>
      <c r="F13" s="134">
        <f>Musrigharari!AQ14</f>
        <v>1245.0550273700148</v>
      </c>
      <c r="G13" s="134"/>
      <c r="H13" s="134">
        <f>Buxar!AQ14</f>
        <v>135.68708768995828</v>
      </c>
      <c r="I13" s="134">
        <f>Laldiyara!AQ14</f>
        <v>-9967.8925738700527</v>
      </c>
      <c r="J13" s="134">
        <f>Asarganj!AQ14</f>
        <v>6012.122269101762</v>
      </c>
      <c r="K13" s="134">
        <f>Madhatpur!AQ14</f>
        <v>7.3755913000041282</v>
      </c>
      <c r="L13" s="134">
        <f>Sonvarsha!AQ14</f>
        <v>-131.01767550666318</v>
      </c>
      <c r="M13" s="134">
        <f>Araiya!AQ14</f>
        <v>2389.6080839400133</v>
      </c>
      <c r="N13" s="134">
        <f>Teghra!AQ14</f>
        <v>1689.6634969316246</v>
      </c>
      <c r="O13" s="134">
        <f>Halsi!AQ14</f>
        <v>18935.891991940116</v>
      </c>
    </row>
    <row r="14" spans="1:15" x14ac:dyDescent="0.25">
      <c r="A14" s="132">
        <f>Manjhaul!B15</f>
        <v>46179</v>
      </c>
      <c r="B14" s="133" t="str">
        <f>Manjhaul!C15</f>
        <v>E</v>
      </c>
      <c r="C14" s="134">
        <f>Manjhaul!AQ15</f>
        <v>2112.599339876685</v>
      </c>
      <c r="D14" s="134">
        <f>'Sahibpur Kamal'!AQ15</f>
        <v>-382.47191854673076</v>
      </c>
      <c r="E14" s="134">
        <f>Dalsingsarai!AQ15</f>
        <v>1178.6622259719766</v>
      </c>
      <c r="F14" s="134">
        <f>Musrigharari!AQ15</f>
        <v>615.78795303671222</v>
      </c>
      <c r="G14" s="134"/>
      <c r="H14" s="134">
        <f>Buxar!AQ15</f>
        <v>-21.632523989931215</v>
      </c>
      <c r="I14" s="134">
        <f>Laldiyara!AQ15</f>
        <v>13289.691152686621</v>
      </c>
      <c r="J14" s="134">
        <f>Asarganj!AQ15</f>
        <v>307.6254535200606</v>
      </c>
      <c r="K14" s="134">
        <f>Madhatpur!AQ15</f>
        <v>1130.3808182333312</v>
      </c>
      <c r="L14" s="134">
        <f>Sonvarsha!AQ15</f>
        <v>150.22578622330047</v>
      </c>
      <c r="M14" s="134">
        <f>Araiya!AQ15</f>
        <v>5254.8478349033394</v>
      </c>
      <c r="N14" s="134">
        <f>Teghra!AQ15</f>
        <v>459.51100965003701</v>
      </c>
      <c r="O14" s="134">
        <f>Halsi!AQ15</f>
        <v>5846.6033910899678</v>
      </c>
    </row>
    <row r="15" spans="1:15" x14ac:dyDescent="0.25">
      <c r="A15" s="132">
        <f>Manjhaul!B16</f>
        <v>46180</v>
      </c>
      <c r="B15" s="133" t="str">
        <f>Manjhaul!C16</f>
        <v>M</v>
      </c>
      <c r="C15" s="134">
        <f>Manjhaul!AQ16</f>
        <v>54.033800333325964</v>
      </c>
      <c r="D15" s="134">
        <f>'Sahibpur Kamal'!AQ16</f>
        <v>2200.0669095535632</v>
      </c>
      <c r="E15" s="134">
        <f>Dalsingsarai!AQ16</f>
        <v>18730.399040121756</v>
      </c>
      <c r="F15" s="134">
        <f>Musrigharari!AQ16</f>
        <v>-10300.288133006703</v>
      </c>
      <c r="G15" s="134"/>
      <c r="H15" s="134">
        <f>Buxar!AQ16</f>
        <v>392.55413787333418</v>
      </c>
      <c r="I15" s="134">
        <f>Laldiyara!AQ16</f>
        <v>1590.3790448699401</v>
      </c>
      <c r="J15" s="134">
        <f>Asarganj!AQ16</f>
        <v>156.00430537988024</v>
      </c>
      <c r="K15" s="134">
        <f>Madhatpur!AQ16</f>
        <v>40.04307127332963</v>
      </c>
      <c r="L15" s="134">
        <f>Sonvarsha!AQ16</f>
        <v>288.74130618672734</v>
      </c>
      <c r="M15" s="134">
        <f>Araiya!AQ16</f>
        <v>-2117.8016082299846</v>
      </c>
      <c r="N15" s="134">
        <f>Teghra!AQ16</f>
        <v>-1460.9636039715861</v>
      </c>
      <c r="O15" s="134">
        <f>Halsi!AQ16</f>
        <v>-16987.469064719862</v>
      </c>
    </row>
    <row r="16" spans="1:15" x14ac:dyDescent="0.25">
      <c r="A16" s="132">
        <f>Manjhaul!B17</f>
        <v>46180</v>
      </c>
      <c r="B16" s="133" t="str">
        <f>Manjhaul!C17</f>
        <v>E</v>
      </c>
      <c r="C16" s="134">
        <f>Manjhaul!AQ17</f>
        <v>-1017.8200773765977</v>
      </c>
      <c r="D16" s="134">
        <f>'Sahibpur Kamal'!AQ17</f>
        <v>-261.58629137658568</v>
      </c>
      <c r="E16" s="134">
        <f>Dalsingsarai!AQ17</f>
        <v>-9955.3669823043911</v>
      </c>
      <c r="F16" s="134">
        <f>Musrigharari!AQ17</f>
        <v>-934.79507069666533</v>
      </c>
      <c r="G16" s="134"/>
      <c r="H16" s="134">
        <f>Buxar!AQ17</f>
        <v>-96.223858499989717</v>
      </c>
      <c r="I16" s="134">
        <f>Laldiyara!AQ17</f>
        <v>230.05814498339157</v>
      </c>
      <c r="J16" s="134">
        <f>Asarganj!AQ17</f>
        <v>5188.3799757533488</v>
      </c>
      <c r="K16" s="134">
        <f>Madhatpur!AQ17</f>
        <v>55.161013343331611</v>
      </c>
      <c r="L16" s="134">
        <f>Sonvarsha!AQ17</f>
        <v>-331.51704226667721</v>
      </c>
      <c r="M16" s="134">
        <f>Araiya!AQ17</f>
        <v>-2662.3915374465296</v>
      </c>
      <c r="N16" s="134">
        <f>Teghra!AQ17</f>
        <v>-35858.933343823395</v>
      </c>
      <c r="O16" s="134">
        <f>Halsi!AQ17</f>
        <v>4137.8493230433351</v>
      </c>
    </row>
    <row r="17" spans="1:15" x14ac:dyDescent="0.25">
      <c r="A17" s="132">
        <f>Manjhaul!B18</f>
        <v>46181</v>
      </c>
      <c r="B17" s="133" t="str">
        <f>Manjhaul!C18</f>
        <v>M</v>
      </c>
      <c r="C17" s="134">
        <f>Manjhaul!AQ18</f>
        <v>9056.6521101466824</v>
      </c>
      <c r="D17" s="134">
        <f>'Sahibpur Kamal'!AQ18</f>
        <v>2589.5950947534061</v>
      </c>
      <c r="E17" s="134">
        <f>Dalsingsarai!AQ18</f>
        <v>925.59717414272814</v>
      </c>
      <c r="F17" s="134">
        <f>Musrigharari!AQ18</f>
        <v>2953.6005019033264</v>
      </c>
      <c r="G17" s="134"/>
      <c r="H17" s="134">
        <f>Buxar!AQ18</f>
        <v>115.66899369665371</v>
      </c>
      <c r="I17" s="134">
        <f>Laldiyara!AQ18</f>
        <v>-88.398609016522286</v>
      </c>
      <c r="J17" s="134">
        <f>Asarganj!AQ18</f>
        <v>3351.4980155065514</v>
      </c>
      <c r="K17" s="134">
        <f>Madhatpur!AQ18</f>
        <v>150.25092518335396</v>
      </c>
      <c r="L17" s="134">
        <f>Sonvarsha!AQ18</f>
        <v>158.27459288664136</v>
      </c>
      <c r="M17" s="134">
        <f>Araiya!AQ18</f>
        <v>-1509.3687462699695</v>
      </c>
      <c r="N17" s="134">
        <f>Teghra!AQ18</f>
        <v>148.88429350667474</v>
      </c>
      <c r="O17" s="134">
        <f>Halsi!AQ18</f>
        <v>13823.463248723347</v>
      </c>
    </row>
    <row r="18" spans="1:15" x14ac:dyDescent="0.25">
      <c r="A18" s="132">
        <f>Manjhaul!B19</f>
        <v>46181</v>
      </c>
      <c r="B18" s="133" t="str">
        <f>Manjhaul!C19</f>
        <v>E</v>
      </c>
      <c r="C18" s="134">
        <f>Manjhaul!AQ19</f>
        <v>45.588905413361353</v>
      </c>
      <c r="D18" s="134">
        <f>'Sahibpur Kamal'!AQ19</f>
        <v>17.143723263310395</v>
      </c>
      <c r="E18" s="134">
        <f>Dalsingsarai!AQ19</f>
        <v>-16100.55944817813</v>
      </c>
      <c r="F18" s="134">
        <f>Musrigharari!AQ19</f>
        <v>356.62682311665617</v>
      </c>
      <c r="G18" s="134"/>
      <c r="H18" s="134">
        <f>Buxar!AQ19</f>
        <v>-529.72262856339069</v>
      </c>
      <c r="I18" s="134">
        <f>Laldiyara!AQ19</f>
        <v>-12476.482158396839</v>
      </c>
      <c r="J18" s="134">
        <f>Asarganj!AQ19</f>
        <v>-701.41282198164708</v>
      </c>
      <c r="K18" s="134">
        <f>Madhatpur!AQ19</f>
        <v>79.870067199985257</v>
      </c>
      <c r="L18" s="134">
        <f>Sonvarsha!AQ19</f>
        <v>381.15795897667982</v>
      </c>
      <c r="M18" s="134">
        <f>Araiya!AQ19</f>
        <v>678.98804665996749</v>
      </c>
      <c r="N18" s="134">
        <f>Teghra!AQ19</f>
        <v>-31214.938444690029</v>
      </c>
      <c r="O18" s="134">
        <f>Halsi!AQ19</f>
        <v>-26696.301812693171</v>
      </c>
    </row>
    <row r="19" spans="1:15" x14ac:dyDescent="0.25">
      <c r="A19" s="132">
        <f>Manjhaul!B20</f>
        <v>46182</v>
      </c>
      <c r="B19" s="133" t="str">
        <f>Manjhaul!C20</f>
        <v>M</v>
      </c>
      <c r="C19" s="134">
        <f>Manjhaul!AQ20</f>
        <v>4687.7628759500067</v>
      </c>
      <c r="D19" s="134">
        <f>'Sahibpur Kamal'!AQ20</f>
        <v>-4797.3941797833468</v>
      </c>
      <c r="E19" s="134">
        <f>Dalsingsarai!AQ20</f>
        <v>1193.176638474323</v>
      </c>
      <c r="F19" s="134">
        <f>Musrigharari!AQ20</f>
        <v>733.10818735001442</v>
      </c>
      <c r="G19" s="134"/>
      <c r="H19" s="134">
        <f>Buxar!AQ20</f>
        <v>4157.1909096666986</v>
      </c>
      <c r="I19" s="134">
        <f>Laldiyara!AQ20</f>
        <v>-15.309477003535385</v>
      </c>
      <c r="J19" s="134">
        <f>Asarganj!AQ20</f>
        <v>3107.180618465145</v>
      </c>
      <c r="K19" s="134">
        <f>Madhatpur!AQ20</f>
        <v>850.15533474666927</v>
      </c>
      <c r="L19" s="134">
        <f>Sonvarsha!AQ20</f>
        <v>305.21510609330221</v>
      </c>
      <c r="M19" s="134">
        <f>Araiya!AQ20</f>
        <v>4358.9897212400265</v>
      </c>
      <c r="N19" s="134">
        <f>Teghra!AQ20</f>
        <v>28044.227185205003</v>
      </c>
      <c r="O19" s="134">
        <f>Halsi!AQ20</f>
        <v>15938.319708079865</v>
      </c>
    </row>
    <row r="20" spans="1:15" x14ac:dyDescent="0.25">
      <c r="A20" s="132">
        <f>Manjhaul!B21</f>
        <v>46182</v>
      </c>
      <c r="B20" s="133" t="str">
        <f>Manjhaul!C21</f>
        <v>E</v>
      </c>
      <c r="C20" s="134">
        <f>Manjhaul!AQ21</f>
        <v>-12.817876866701335</v>
      </c>
      <c r="D20" s="134">
        <f>'Sahibpur Kamal'!AQ21</f>
        <v>115.50199917667555</v>
      </c>
      <c r="E20" s="134">
        <f>Dalsingsarai!AQ21</f>
        <v>51.244991849421567</v>
      </c>
      <c r="F20" s="134">
        <f>Musrigharari!AQ21</f>
        <v>627.99097283997594</v>
      </c>
      <c r="G20" s="134"/>
      <c r="H20" s="134">
        <f>Buxar!AQ21</f>
        <v>-8.7054123566454962</v>
      </c>
      <c r="I20" s="134">
        <f>Laldiyara!AQ21</f>
        <v>-4702.484280853163</v>
      </c>
      <c r="J20" s="134">
        <f>Asarganj!AQ21</f>
        <v>-3110.0915005416209</v>
      </c>
      <c r="K20" s="134">
        <f>Madhatpur!AQ21</f>
        <v>32.170536603335123</v>
      </c>
      <c r="L20" s="134">
        <f>Sonvarsha!AQ21</f>
        <v>-154.08102530330621</v>
      </c>
      <c r="M20" s="134">
        <f>Araiya!AQ21</f>
        <v>-6103.1285214899654</v>
      </c>
      <c r="N20" s="134">
        <f>Teghra!AQ21</f>
        <v>344.03542134505074</v>
      </c>
      <c r="O20" s="134">
        <f>Halsi!AQ21</f>
        <v>-24914.209317946665</v>
      </c>
    </row>
    <row r="21" spans="1:15" x14ac:dyDescent="0.25">
      <c r="A21" s="132">
        <f>Manjhaul!B22</f>
        <v>46183</v>
      </c>
      <c r="B21" s="133" t="str">
        <f>Manjhaul!C22</f>
        <v>M</v>
      </c>
      <c r="C21" s="134">
        <f>Manjhaul!AQ22</f>
        <v>-6117.5069591533174</v>
      </c>
      <c r="D21" s="134">
        <f>'Sahibpur Kamal'!AQ22</f>
        <v>-1967.3814439766113</v>
      </c>
      <c r="E21" s="134">
        <f>Dalsingsarai!AQ22</f>
        <v>1036.3935939538471</v>
      </c>
      <c r="F21" s="134">
        <f>Musrigharari!AQ22</f>
        <v>-8068.1696479999955</v>
      </c>
      <c r="G21" s="134"/>
      <c r="H21" s="134">
        <f>Buxar!AQ22</f>
        <v>5064.9099737132892</v>
      </c>
      <c r="I21" s="134">
        <f>Laldiyara!AQ22</f>
        <v>-2362.0497983134828</v>
      </c>
      <c r="J21" s="134">
        <f>Asarganj!AQ22</f>
        <v>3554.1090549066735</v>
      </c>
      <c r="K21" s="134">
        <f>Madhatpur!AQ22</f>
        <v>-26.35610464666949</v>
      </c>
      <c r="L21" s="134">
        <f>Sonvarsha!AQ22</f>
        <v>-72.115446223353047</v>
      </c>
      <c r="M21" s="134">
        <f>Araiya!AQ22</f>
        <v>-5129.8865538432583</v>
      </c>
      <c r="N21" s="134">
        <f>Teghra!AQ22</f>
        <v>201.72519033334433</v>
      </c>
      <c r="O21" s="134">
        <f>Halsi!AQ22</f>
        <v>14594.265361316513</v>
      </c>
    </row>
    <row r="22" spans="1:15" x14ac:dyDescent="0.25">
      <c r="A22" s="132">
        <f>Manjhaul!B23</f>
        <v>46183</v>
      </c>
      <c r="B22" s="133" t="str">
        <f>Manjhaul!C23</f>
        <v>E</v>
      </c>
      <c r="C22" s="134">
        <f>Manjhaul!AQ23</f>
        <v>37.905661126682617</v>
      </c>
      <c r="D22" s="134">
        <f>'Sahibpur Kamal'!AQ23</f>
        <v>-18.257319336664626</v>
      </c>
      <c r="E22" s="134">
        <f>Dalsingsarai!AQ23</f>
        <v>12881.378388391473</v>
      </c>
      <c r="F22" s="134">
        <f>Musrigharari!AQ23</f>
        <v>119.00708845670405</v>
      </c>
      <c r="G22" s="134"/>
      <c r="H22" s="134">
        <f>Buxar!AQ23</f>
        <v>-313.1219075601054</v>
      </c>
      <c r="I22" s="134">
        <f>Laldiyara!AQ23</f>
        <v>56.609496276784469</v>
      </c>
      <c r="J22" s="134">
        <f>Asarganj!AQ23</f>
        <v>-13550.542503574967</v>
      </c>
      <c r="K22" s="134">
        <f>Madhatpur!AQ23</f>
        <v>111.0625785500045</v>
      </c>
      <c r="L22" s="134">
        <f>Sonvarsha!AQ23</f>
        <v>-293.81713155655234</v>
      </c>
      <c r="M22" s="134">
        <f>Araiya!AQ23</f>
        <v>-4845.3904398899631</v>
      </c>
      <c r="N22" s="134">
        <f>Teghra!AQ23</f>
        <v>-4290.6045674798943</v>
      </c>
      <c r="O22" s="134">
        <f>Halsi!AQ23</f>
        <v>-5402.47877168993</v>
      </c>
    </row>
    <row r="23" spans="1:15" x14ac:dyDescent="0.25">
      <c r="A23" s="132">
        <f>Manjhaul!B24</f>
        <v>46184</v>
      </c>
      <c r="B23" s="133" t="str">
        <f>Manjhaul!C24</f>
        <v>M</v>
      </c>
      <c r="C23" s="134">
        <f>Manjhaul!AQ24</f>
        <v>-1885.766912516659</v>
      </c>
      <c r="D23" s="134">
        <f>'Sahibpur Kamal'!AQ24</f>
        <v>-687.4101968067132</v>
      </c>
      <c r="E23" s="134">
        <f>Dalsingsarai!AQ24</f>
        <v>93.754329771626828</v>
      </c>
      <c r="F23" s="134">
        <f>Musrigharari!AQ24</f>
        <v>687.11631039332713</v>
      </c>
      <c r="G23" s="134"/>
      <c r="H23" s="134">
        <f>Buxar!AQ24</f>
        <v>81.104120789933802</v>
      </c>
      <c r="I23" s="134">
        <f>Laldiyara!AQ24</f>
        <v>-933.68087607688403</v>
      </c>
      <c r="J23" s="134">
        <f>Asarganj!AQ24</f>
        <v>-2191.2439575948051</v>
      </c>
      <c r="K23" s="134">
        <f>Madhatpur!AQ24</f>
        <v>41.106090153319798</v>
      </c>
      <c r="L23" s="134">
        <f>Sonvarsha!AQ24</f>
        <v>273.64760525660182</v>
      </c>
      <c r="M23" s="134">
        <f>Araiya!AQ24</f>
        <v>-8971.6833231665842</v>
      </c>
      <c r="N23" s="134">
        <f>Teghra!AQ24</f>
        <v>6536.610232973313</v>
      </c>
      <c r="O23" s="134">
        <f>Halsi!AQ24</f>
        <v>-20603.486100633378</v>
      </c>
    </row>
    <row r="24" spans="1:15" x14ac:dyDescent="0.25">
      <c r="A24" s="132">
        <f>Manjhaul!B25</f>
        <v>46184</v>
      </c>
      <c r="B24" s="133" t="str">
        <f>Manjhaul!C25</f>
        <v>E</v>
      </c>
      <c r="C24" s="134">
        <f>Manjhaul!AQ25</f>
        <v>536.8071765467123</v>
      </c>
      <c r="D24" s="134">
        <f>'Sahibpur Kamal'!AQ25</f>
        <v>-362.29057095004146</v>
      </c>
      <c r="E24" s="134">
        <f>Dalsingsarai!AQ25</f>
        <v>3112.3450885964849</v>
      </c>
      <c r="F24" s="134">
        <f>Musrigharari!AQ25</f>
        <v>724.94236481336327</v>
      </c>
      <c r="G24" s="134"/>
      <c r="H24" s="134">
        <f>Buxar!AQ25</f>
        <v>-15064.167590009914</v>
      </c>
      <c r="I24" s="134">
        <f>Laldiyara!AQ25</f>
        <v>-13289.646710596568</v>
      </c>
      <c r="J24" s="134">
        <f>Asarganj!AQ25</f>
        <v>-15567.872592066678</v>
      </c>
      <c r="K24" s="134">
        <f>Madhatpur!AQ25</f>
        <v>-77.328488416652704</v>
      </c>
      <c r="L24" s="134">
        <f>Sonvarsha!AQ25</f>
        <v>1445.0938124700947</v>
      </c>
      <c r="M24" s="134">
        <f>Araiya!AQ25</f>
        <v>26759.224629573291</v>
      </c>
      <c r="N24" s="134">
        <f>Teghra!AQ25</f>
        <v>-11290.833486239997</v>
      </c>
      <c r="O24" s="134">
        <f>Halsi!AQ25</f>
        <v>21885.719704566749</v>
      </c>
    </row>
    <row r="25" spans="1:15" x14ac:dyDescent="0.25">
      <c r="A25" s="132">
        <f>Manjhaul!B26</f>
        <v>46185</v>
      </c>
      <c r="B25" s="133" t="str">
        <f>Manjhaul!C26</f>
        <v>M</v>
      </c>
      <c r="C25" s="134">
        <f>Manjhaul!AQ26</f>
        <v>-7669.0856652667208</v>
      </c>
      <c r="D25" s="134">
        <f>'Sahibpur Kamal'!AQ26</f>
        <v>-87.162460513294491</v>
      </c>
      <c r="E25" s="134">
        <f>Dalsingsarai!AQ26</f>
        <v>718.0809400636374</v>
      </c>
      <c r="F25" s="134">
        <f>Musrigharari!AQ26</f>
        <v>-1505.860215346599</v>
      </c>
      <c r="G25" s="134"/>
      <c r="H25" s="134">
        <f>Buxar!AQ26</f>
        <v>80.139413199917641</v>
      </c>
      <c r="I25" s="134">
        <f>Laldiyara!AQ26</f>
        <v>2413.9991598799761</v>
      </c>
      <c r="J25" s="134">
        <f>Asarganj!AQ26</f>
        <v>401.12023849325021</v>
      </c>
      <c r="K25" s="134">
        <f>Madhatpur!AQ26</f>
        <v>78.069189916671462</v>
      </c>
      <c r="L25" s="134">
        <f>Sonvarsha!AQ26</f>
        <v>11.691860950098317</v>
      </c>
      <c r="M25" s="134">
        <f>Araiya!AQ26</f>
        <v>-8013.026890330053</v>
      </c>
      <c r="N25" s="134">
        <f>Teghra!AQ26</f>
        <v>-4067.5004873066846</v>
      </c>
      <c r="O25" s="134">
        <f>Halsi!AQ26</f>
        <v>18632.543453626677</v>
      </c>
    </row>
    <row r="26" spans="1:15" x14ac:dyDescent="0.25">
      <c r="A26" s="132">
        <f>Manjhaul!B27</f>
        <v>46185</v>
      </c>
      <c r="B26" s="133" t="str">
        <f>Manjhaul!C27</f>
        <v>E</v>
      </c>
      <c r="C26" s="134">
        <f>Manjhaul!AQ27</f>
        <v>-887.85419799999659</v>
      </c>
      <c r="D26" s="134">
        <f>'Sahibpur Kamal'!AQ27</f>
        <v>283.56447606667342</v>
      </c>
      <c r="E26" s="134">
        <f>Dalsingsarai!AQ27</f>
        <v>-6567.947562689078</v>
      </c>
      <c r="F26" s="134">
        <f>Musrigharari!AQ27</f>
        <v>484.75755841333148</v>
      </c>
      <c r="G26" s="134"/>
      <c r="H26" s="134">
        <f>Buxar!AQ27</f>
        <v>294.25469909727769</v>
      </c>
      <c r="I26" s="134">
        <f>Laldiyara!AQ27</f>
        <v>254.02604842988561</v>
      </c>
      <c r="J26" s="134">
        <f>Asarganj!AQ27</f>
        <v>-89808.584674654994</v>
      </c>
      <c r="K26" s="134">
        <f>Madhatpur!AQ27</f>
        <v>-28.974596676661115</v>
      </c>
      <c r="L26" s="134">
        <f>Sonvarsha!AQ27</f>
        <v>-11.549855753228712</v>
      </c>
      <c r="M26" s="134">
        <f>Araiya!AQ27</f>
        <v>-2519.2693030632372</v>
      </c>
      <c r="N26" s="134">
        <f>Teghra!AQ27</f>
        <v>468.71807893170882</v>
      </c>
      <c r="O26" s="134">
        <f>Halsi!AQ27</f>
        <v>-307.31361070662751</v>
      </c>
    </row>
    <row r="27" spans="1:15" x14ac:dyDescent="0.25">
      <c r="A27" s="132">
        <f>Manjhaul!B28</f>
        <v>46186</v>
      </c>
      <c r="B27" s="133" t="str">
        <f>Manjhaul!C28</f>
        <v>M</v>
      </c>
      <c r="C27" s="134">
        <f>Manjhaul!AQ28</f>
        <v>155.1376098066512</v>
      </c>
      <c r="D27" s="134">
        <f>'Sahibpur Kamal'!AQ28</f>
        <v>637.1207547834224</v>
      </c>
      <c r="E27" s="134">
        <f>Dalsingsarai!AQ28</f>
        <v>-2088.6646557699896</v>
      </c>
      <c r="F27" s="134">
        <f>Musrigharari!AQ28</f>
        <v>3378.0327863333378</v>
      </c>
      <c r="G27" s="134"/>
      <c r="H27" s="134">
        <f>Buxar!AQ28</f>
        <v>7096.2136578667423</v>
      </c>
      <c r="I27" s="134">
        <f>Laldiyara!AQ28</f>
        <v>-3716.2759967665988</v>
      </c>
      <c r="J27" s="134">
        <f>Asarganj!AQ28</f>
        <v>275.69007093846585</v>
      </c>
      <c r="K27" s="134">
        <f>Madhatpur!AQ28</f>
        <v>53.627387146666806</v>
      </c>
      <c r="L27" s="134">
        <f>Sonvarsha!AQ28</f>
        <v>14.286261476704794</v>
      </c>
      <c r="M27" s="134">
        <f>Araiya!AQ28</f>
        <v>-4752.4801357366969</v>
      </c>
      <c r="N27" s="134">
        <f>Teghra!AQ28</f>
        <v>1438.6049680566916</v>
      </c>
      <c r="O27" s="134">
        <f>Halsi!AQ28</f>
        <v>-18373.804598380066</v>
      </c>
    </row>
    <row r="28" spans="1:15" x14ac:dyDescent="0.25">
      <c r="A28" s="132">
        <f>Manjhaul!B29</f>
        <v>46186</v>
      </c>
      <c r="B28" s="133" t="str">
        <f>Manjhaul!C29</f>
        <v>E</v>
      </c>
      <c r="C28" s="134">
        <f>Manjhaul!AQ29</f>
        <v>2181.1100388001009</v>
      </c>
      <c r="D28" s="134">
        <f>'Sahibpur Kamal'!AQ29</f>
        <v>103.87837254663465</v>
      </c>
      <c r="E28" s="134">
        <f>Dalsingsarai!AQ29</f>
        <v>-1598.2250639226245</v>
      </c>
      <c r="F28" s="134">
        <f>Musrigharari!AQ29</f>
        <v>-138.88811526334564</v>
      </c>
      <c r="G28" s="134"/>
      <c r="H28" s="134">
        <f>Buxar!AQ29</f>
        <v>84.284797776722897</v>
      </c>
      <c r="I28" s="134">
        <f>Laldiyara!AQ29</f>
        <v>-96.326209980084315</v>
      </c>
      <c r="J28" s="134">
        <f>Asarganj!AQ29</f>
        <v>-12085.360791606592</v>
      </c>
      <c r="K28" s="134">
        <f>Madhatpur!AQ29</f>
        <v>170.60450458333938</v>
      </c>
      <c r="L28" s="134">
        <f>Sonvarsha!AQ29</f>
        <v>-95.038885736764627</v>
      </c>
      <c r="M28" s="134">
        <f>Araiya!AQ29</f>
        <v>394.19505356003236</v>
      </c>
      <c r="N28" s="134">
        <f>Teghra!AQ29</f>
        <v>403.37339260161508</v>
      </c>
      <c r="O28" s="134">
        <f>Halsi!AQ29</f>
        <v>7095.8723366300774</v>
      </c>
    </row>
    <row r="29" spans="1:15" x14ac:dyDescent="0.25">
      <c r="A29" s="132">
        <f>Manjhaul!B30</f>
        <v>46187</v>
      </c>
      <c r="B29" s="133" t="str">
        <f>Manjhaul!C30</f>
        <v>M</v>
      </c>
      <c r="C29" s="134">
        <f>Manjhaul!AQ30</f>
        <v>-14692.731225993284</v>
      </c>
      <c r="D29" s="134">
        <f>'Sahibpur Kamal'!AQ30</f>
        <v>-3361.9745274499919</v>
      </c>
      <c r="E29" s="134">
        <f>Dalsingsarai!AQ30</f>
        <v>839.59336530306609</v>
      </c>
      <c r="F29" s="134">
        <f>Musrigharari!AQ30</f>
        <v>1455.5550614733202</v>
      </c>
      <c r="G29" s="134"/>
      <c r="H29" s="134">
        <f>Buxar!AQ30</f>
        <v>21.38412712326226</v>
      </c>
      <c r="I29" s="134">
        <f>Laldiyara!AQ30</f>
        <v>-3481.7084011968764</v>
      </c>
      <c r="J29" s="134">
        <f>Asarganj!AQ30</f>
        <v>250.68518539154937</v>
      </c>
      <c r="K29" s="134">
        <f>Madhatpur!AQ30</f>
        <v>158.15997119999631</v>
      </c>
      <c r="L29" s="134">
        <f>Sonvarsha!AQ30</f>
        <v>2.8490821332765108</v>
      </c>
      <c r="M29" s="134">
        <f>Araiya!AQ30</f>
        <v>-1373.7741340400394</v>
      </c>
      <c r="N29" s="134">
        <f>Teghra!AQ30</f>
        <v>-2336.5150493300262</v>
      </c>
      <c r="O29" s="134">
        <f>Halsi!AQ30</f>
        <v>12945.442424273186</v>
      </c>
    </row>
    <row r="30" spans="1:15" x14ac:dyDescent="0.25">
      <c r="A30" s="132">
        <f>Manjhaul!B31</f>
        <v>46187</v>
      </c>
      <c r="B30" s="133" t="str">
        <f>Manjhaul!C31</f>
        <v>E</v>
      </c>
      <c r="C30" s="134">
        <f>Manjhaul!AQ31</f>
        <v>71.328806266703111</v>
      </c>
      <c r="D30" s="134">
        <f>'Sahibpur Kamal'!AQ31</f>
        <v>-552.90598696652489</v>
      </c>
      <c r="E30" s="134">
        <f>Dalsingsarai!AQ31</f>
        <v>18604.378346425496</v>
      </c>
      <c r="F30" s="134">
        <f>Musrigharari!AQ31</f>
        <v>376.40549844337329</v>
      </c>
      <c r="G30" s="134"/>
      <c r="H30" s="134">
        <f>Buxar!AQ31</f>
        <v>6234.3318961000195</v>
      </c>
      <c r="I30" s="134">
        <f>Laldiyara!AQ31</f>
        <v>18623.885326456642</v>
      </c>
      <c r="J30" s="134">
        <f>Asarganj!AQ31</f>
        <v>5776.8555710249911</v>
      </c>
      <c r="K30" s="134">
        <f>Madhatpur!AQ31</f>
        <v>501.02740354334378</v>
      </c>
      <c r="L30" s="134">
        <f>Sonvarsha!AQ31</f>
        <v>106.34947245998046</v>
      </c>
      <c r="M30" s="134">
        <f>Araiya!AQ31</f>
        <v>3495.3230933133545</v>
      </c>
      <c r="N30" s="134">
        <f>Teghra!AQ31</f>
        <v>1608.4633094016483</v>
      </c>
      <c r="O30" s="134">
        <f>Halsi!AQ31</f>
        <v>-24090.299207076732</v>
      </c>
    </row>
    <row r="31" spans="1:15" x14ac:dyDescent="0.25">
      <c r="A31" s="132">
        <f>Manjhaul!B32</f>
        <v>46188</v>
      </c>
      <c r="B31" s="133" t="str">
        <f>Manjhaul!C32</f>
        <v>M</v>
      </c>
      <c r="C31" s="134">
        <f>Manjhaul!AQ32</f>
        <v>117.39759646998839</v>
      </c>
      <c r="D31" s="134">
        <f>'Sahibpur Kamal'!AQ32</f>
        <v>-157.17296774661594</v>
      </c>
      <c r="E31" s="134">
        <f>Dalsingsarai!AQ32</f>
        <v>6159.0481478423935</v>
      </c>
      <c r="F31" s="134">
        <f>Musrigharari!AQ32</f>
        <v>5953.3360830532365</v>
      </c>
      <c r="G31" s="134"/>
      <c r="H31" s="134">
        <f>Buxar!AQ32</f>
        <v>135.65270118401574</v>
      </c>
      <c r="I31" s="134">
        <f>Laldiyara!AQ32</f>
        <v>8740.7430700332679</v>
      </c>
      <c r="J31" s="134">
        <f>Asarganj!AQ32</f>
        <v>6399.2933775284109</v>
      </c>
      <c r="K31" s="134">
        <f>Madhatpur!AQ32</f>
        <v>76.608885686677468</v>
      </c>
      <c r="L31" s="134">
        <f>Sonvarsha!AQ32</f>
        <v>-5712.5301348500398</v>
      </c>
      <c r="M31" s="134">
        <f>Araiya!AQ32</f>
        <v>457.24431342327489</v>
      </c>
      <c r="N31" s="134">
        <f>Teghra!AQ32</f>
        <v>-1415.1047540117327</v>
      </c>
      <c r="O31" s="134">
        <f>Halsi!AQ32</f>
        <v>23276.057121239912</v>
      </c>
    </row>
    <row r="32" spans="1:15" x14ac:dyDescent="0.25">
      <c r="A32" s="132">
        <f>Manjhaul!B33</f>
        <v>46188</v>
      </c>
      <c r="B32" s="133" t="str">
        <f>Manjhaul!C33</f>
        <v>E</v>
      </c>
      <c r="C32" s="134">
        <f>Manjhaul!AQ33</f>
        <v>-2264.2159989166425</v>
      </c>
      <c r="D32" s="134">
        <f>'Sahibpur Kamal'!AQ33</f>
        <v>-10372.889299849903</v>
      </c>
      <c r="E32" s="134">
        <f>Dalsingsarai!AQ33</f>
        <v>-20332.859794349635</v>
      </c>
      <c r="F32" s="134">
        <f>Musrigharari!AQ33</f>
        <v>317.32939135334823</v>
      </c>
      <c r="G32" s="134"/>
      <c r="H32" s="134">
        <f>Buxar!AQ33</f>
        <v>108.62469797660206</v>
      </c>
      <c r="I32" s="134">
        <f>Laldiyara!AQ33</f>
        <v>16831.188230780128</v>
      </c>
      <c r="J32" s="134">
        <f>Asarganj!AQ33</f>
        <v>391.59683729833353</v>
      </c>
      <c r="K32" s="134">
        <f>Madhatpur!AQ33</f>
        <v>9.9141773499997274</v>
      </c>
      <c r="L32" s="134">
        <f>Sonvarsha!AQ33</f>
        <v>-8936.5460900099843</v>
      </c>
      <c r="M32" s="134">
        <f>Araiya!AQ33</f>
        <v>-8139.6855000998312</v>
      </c>
      <c r="N32" s="134">
        <f>Teghra!AQ33</f>
        <v>294.64649278165706</v>
      </c>
      <c r="O32" s="134">
        <f>Halsi!AQ33</f>
        <v>-7158.0596892932854</v>
      </c>
    </row>
    <row r="33" spans="1:15" x14ac:dyDescent="0.25">
      <c r="A33" s="132">
        <f>Manjhaul!B34</f>
        <v>46189</v>
      </c>
      <c r="B33" s="133" t="str">
        <f>Manjhaul!C34</f>
        <v>M</v>
      </c>
      <c r="C33" s="134">
        <f>Manjhaul!AQ34</f>
        <v>307.79873277998468</v>
      </c>
      <c r="D33" s="134">
        <f>'Sahibpur Kamal'!AQ34</f>
        <v>-171.98774593001383</v>
      </c>
      <c r="E33" s="134">
        <f>Dalsingsarai!AQ34</f>
        <v>500.01282205230507</v>
      </c>
      <c r="F33" s="134">
        <f>Musrigharari!AQ34</f>
        <v>543.9168634900343</v>
      </c>
      <c r="G33" s="134"/>
      <c r="H33" s="134">
        <f>Buxar!AQ34</f>
        <v>1723.3126682565635</v>
      </c>
      <c r="I33" s="134">
        <f>Laldiyara!AQ34</f>
        <v>160.9610199633218</v>
      </c>
      <c r="J33" s="134">
        <f>Asarganj!AQ34</f>
        <v>2294.8690700834441</v>
      </c>
      <c r="K33" s="134">
        <f>Madhatpur!AQ34</f>
        <v>98.709323533325176</v>
      </c>
      <c r="L33" s="134">
        <f>Sonvarsha!AQ34</f>
        <v>-82.731569176727476</v>
      </c>
      <c r="M33" s="134">
        <f>Araiya!AQ34</f>
        <v>-109.5681571600503</v>
      </c>
      <c r="N33" s="134">
        <f>Teghra!AQ34</f>
        <v>248.89051803001627</v>
      </c>
      <c r="O33" s="134">
        <f>Halsi!AQ34</f>
        <v>16662.289883469941</v>
      </c>
    </row>
    <row r="34" spans="1:15" x14ac:dyDescent="0.25">
      <c r="A34" s="132">
        <f>Manjhaul!B35</f>
        <v>46189</v>
      </c>
      <c r="B34" s="133" t="str">
        <f>Manjhaul!C35</f>
        <v>E</v>
      </c>
      <c r="C34" s="134">
        <f>Manjhaul!AQ35</f>
        <v>-62.026493246653452</v>
      </c>
      <c r="D34" s="134">
        <f>'Sahibpur Kamal'!AQ35</f>
        <v>9918.365680300054</v>
      </c>
      <c r="E34" s="134">
        <f>Dalsingsarai!AQ35</f>
        <v>-251.32691720038545</v>
      </c>
      <c r="F34" s="134">
        <f>Musrigharari!AQ35</f>
        <v>1313.2062990199975</v>
      </c>
      <c r="G34" s="134"/>
      <c r="H34" s="134">
        <f>Buxar!AQ35</f>
        <v>-1514.4055164700394</v>
      </c>
      <c r="I34" s="134">
        <f>Laldiyara!AQ35</f>
        <v>25050.081506193339</v>
      </c>
      <c r="J34" s="134">
        <f>Asarganj!AQ35</f>
        <v>-11312.79745544698</v>
      </c>
      <c r="K34" s="134">
        <f>Madhatpur!AQ35</f>
        <v>42.029647660006582</v>
      </c>
      <c r="L34" s="134">
        <f>Sonvarsha!AQ35</f>
        <v>-10021.674236419824</v>
      </c>
      <c r="M34" s="134">
        <f>Araiya!AQ35</f>
        <v>317.84713421999004</v>
      </c>
      <c r="N34" s="134">
        <f>Teghra!AQ35</f>
        <v>-14698.10415496494</v>
      </c>
      <c r="O34" s="134">
        <f>Halsi!AQ35</f>
        <v>-27427.428960213332</v>
      </c>
    </row>
    <row r="35" spans="1:15" x14ac:dyDescent="0.25">
      <c r="A35" s="132">
        <f>Manjhaul!B36</f>
        <v>46190</v>
      </c>
      <c r="B35" s="133" t="str">
        <f>Manjhaul!C36</f>
        <v>M</v>
      </c>
      <c r="C35" s="134">
        <f>Manjhaul!AQ36</f>
        <v>-3121.9785625233371</v>
      </c>
      <c r="D35" s="134">
        <f>'Sahibpur Kamal'!AQ36</f>
        <v>2263.814224466681</v>
      </c>
      <c r="E35" s="134">
        <f>Dalsingsarai!AQ36</f>
        <v>9853.6542713070539</v>
      </c>
      <c r="F35" s="134">
        <f>Musrigharari!AQ36</f>
        <v>-11933.215765496641</v>
      </c>
      <c r="G35" s="134"/>
      <c r="H35" s="134">
        <f>Buxar!AQ36</f>
        <v>297.71546599672126</v>
      </c>
      <c r="I35" s="134">
        <f>Laldiyara!AQ36</f>
        <v>-184.03693924007754</v>
      </c>
      <c r="J35" s="134">
        <f>Asarganj!AQ36</f>
        <v>550.60711885664705</v>
      </c>
      <c r="K35" s="134">
        <f>Madhatpur!AQ36</f>
        <v>1732.7635704866602</v>
      </c>
      <c r="L35" s="134">
        <f>Sonvarsha!AQ36</f>
        <v>-112.79582006009616</v>
      </c>
      <c r="M35" s="134">
        <f>Araiya!AQ36</f>
        <v>-736.95085694991144</v>
      </c>
      <c r="N35" s="134">
        <f>Teghra!AQ36</f>
        <v>183.12108802168234</v>
      </c>
      <c r="O35" s="134">
        <f>Halsi!AQ36</f>
        <v>7153.1834792367335</v>
      </c>
    </row>
    <row r="36" spans="1:15" x14ac:dyDescent="0.25">
      <c r="A36" s="132">
        <f>Manjhaul!B37</f>
        <v>46190</v>
      </c>
      <c r="B36" s="133" t="str">
        <f>Manjhaul!C37</f>
        <v>E</v>
      </c>
      <c r="C36" s="134">
        <f>Manjhaul!AQ37</f>
        <v>158.46418254337388</v>
      </c>
      <c r="D36" s="134">
        <f>'Sahibpur Kamal'!AQ37</f>
        <v>38.022377726675032</v>
      </c>
      <c r="E36" s="134">
        <f>Dalsingsarai!AQ37</f>
        <v>-1508.5369010762497</v>
      </c>
      <c r="F36" s="134">
        <f>Musrigharari!AQ37</f>
        <v>508.98882239335092</v>
      </c>
      <c r="G36" s="134"/>
      <c r="H36" s="134">
        <f>Buxar!AQ37</f>
        <v>203.79436616010724</v>
      </c>
      <c r="I36" s="134">
        <f>Laldiyara!AQ37</f>
        <v>-64.382971473294916</v>
      </c>
      <c r="J36" s="134">
        <f>Asarganj!AQ37</f>
        <v>-13997.35594423841</v>
      </c>
      <c r="K36" s="134">
        <f>Madhatpur!AQ37</f>
        <v>49.014836896672108</v>
      </c>
      <c r="L36" s="134">
        <f>Sonvarsha!AQ37</f>
        <v>-5133.156414283364</v>
      </c>
      <c r="M36" s="134">
        <f>Araiya!AQ37</f>
        <v>2482.0462844100939</v>
      </c>
      <c r="N36" s="134">
        <f>Teghra!AQ37</f>
        <v>434.57765042999756</v>
      </c>
      <c r="O36" s="134">
        <f>Halsi!AQ37</f>
        <v>-5050.7815789199885</v>
      </c>
    </row>
    <row r="37" spans="1:15" x14ac:dyDescent="0.25">
      <c r="A37" s="132">
        <f>Manjhaul!B38</f>
        <v>46191</v>
      </c>
      <c r="B37" s="133" t="str">
        <f>Manjhaul!C38</f>
        <v>M</v>
      </c>
      <c r="C37" s="134">
        <f>Manjhaul!AQ38</f>
        <v>-5653.9158065133615</v>
      </c>
      <c r="D37" s="134">
        <f>'Sahibpur Kamal'!AQ38</f>
        <v>-55.508020773323111</v>
      </c>
      <c r="E37" s="134">
        <f>Dalsingsarai!AQ38</f>
        <v>1009.610665679038</v>
      </c>
      <c r="F37" s="134">
        <f>Musrigharari!AQ38</f>
        <v>204.91858643666802</v>
      </c>
      <c r="G37" s="134"/>
      <c r="H37" s="134">
        <f>Buxar!AQ38</f>
        <v>-3315.2371606201032</v>
      </c>
      <c r="I37" s="134">
        <f>Laldiyara!AQ38</f>
        <v>-4046.6472710765929</v>
      </c>
      <c r="J37" s="134">
        <f>Asarganj!AQ38</f>
        <v>-720.91257456164885</v>
      </c>
      <c r="K37" s="134">
        <f>Madhatpur!AQ38</f>
        <v>98.307100173339137</v>
      </c>
      <c r="L37" s="134">
        <f>Sonvarsha!AQ38</f>
        <v>-19833.004210506631</v>
      </c>
      <c r="M37" s="134">
        <f>Araiya!AQ38</f>
        <v>-1945.3332293267579</v>
      </c>
      <c r="N37" s="134">
        <f>Teghra!AQ38</f>
        <v>-3166.6399450583131</v>
      </c>
      <c r="O37" s="134">
        <f>Halsi!AQ38</f>
        <v>1382.9962418068308</v>
      </c>
    </row>
    <row r="38" spans="1:15" x14ac:dyDescent="0.25">
      <c r="A38" s="132">
        <f>Manjhaul!B39</f>
        <v>46191</v>
      </c>
      <c r="B38" s="133" t="str">
        <f>Manjhaul!C39</f>
        <v>E</v>
      </c>
      <c r="C38" s="134">
        <f>Manjhaul!AQ39</f>
        <v>-2828.6938382266635</v>
      </c>
      <c r="D38" s="134">
        <f>'Sahibpur Kamal'!AQ39</f>
        <v>-3926.099074589988</v>
      </c>
      <c r="E38" s="134">
        <f>Dalsingsarai!AQ39</f>
        <v>-3883.8382233164848</v>
      </c>
      <c r="F38" s="134">
        <f>Musrigharari!AQ39</f>
        <v>490.72521831661714</v>
      </c>
      <c r="G38" s="134"/>
      <c r="H38" s="134">
        <f>Buxar!AQ39</f>
        <v>-220.89708897670138</v>
      </c>
      <c r="I38" s="134">
        <f>Laldiyara!AQ39</f>
        <v>-4320.3430593400117</v>
      </c>
      <c r="J38" s="134">
        <f>Asarganj!AQ39</f>
        <v>380.16594269506811</v>
      </c>
      <c r="K38" s="134">
        <f>Madhatpur!AQ39</f>
        <v>157.05684969333547</v>
      </c>
      <c r="L38" s="134">
        <f>Sonvarsha!AQ39</f>
        <v>67.365379876719089</v>
      </c>
      <c r="M38" s="134">
        <f>Araiya!AQ39</f>
        <v>398.28896312333012</v>
      </c>
      <c r="N38" s="134">
        <f>Teghra!AQ39</f>
        <v>-4287.2503119600869</v>
      </c>
      <c r="O38" s="134">
        <f>Halsi!AQ39</f>
        <v>-31351.589940696616</v>
      </c>
    </row>
    <row r="39" spans="1:15" x14ac:dyDescent="0.25">
      <c r="A39" s="132">
        <f>Manjhaul!B40</f>
        <v>46192</v>
      </c>
      <c r="B39" s="133" t="str">
        <f>Manjhaul!C40</f>
        <v>M</v>
      </c>
      <c r="C39" s="134">
        <f>Manjhaul!AQ40</f>
        <v>0</v>
      </c>
      <c r="D39" s="134">
        <f>'Sahibpur Kamal'!AQ40</f>
        <v>0</v>
      </c>
      <c r="E39" s="134">
        <f>Dalsingsarai!AQ40</f>
        <v>0</v>
      </c>
      <c r="F39" s="134">
        <f>Musrigharari!AQ40</f>
        <v>0</v>
      </c>
      <c r="G39" s="134"/>
      <c r="H39" s="134">
        <f>Buxar!AQ40</f>
        <v>0</v>
      </c>
      <c r="I39" s="134">
        <f>Laldiyara!AQ40</f>
        <v>0</v>
      </c>
      <c r="J39" s="134">
        <f>Asarganj!AQ40</f>
        <v>0</v>
      </c>
      <c r="K39" s="134">
        <f>Madhatpur!AQ40</f>
        <v>0</v>
      </c>
      <c r="L39" s="134">
        <f>Sonvarsha!AQ40</f>
        <v>0</v>
      </c>
      <c r="M39" s="134">
        <f>Araiya!AQ40</f>
        <v>0</v>
      </c>
      <c r="N39" s="134">
        <f>Teghra!AQ40</f>
        <v>0</v>
      </c>
      <c r="O39" s="134">
        <f>Halsi!AQ40</f>
        <v>0</v>
      </c>
    </row>
    <row r="40" spans="1:15" x14ac:dyDescent="0.25">
      <c r="A40" s="132">
        <f>Manjhaul!B41</f>
        <v>46192</v>
      </c>
      <c r="B40" s="133" t="str">
        <f>Manjhaul!C41</f>
        <v>E</v>
      </c>
      <c r="C40" s="134">
        <f>Manjhaul!AQ41</f>
        <v>0</v>
      </c>
      <c r="D40" s="134">
        <f>'Sahibpur Kamal'!AQ41</f>
        <v>0</v>
      </c>
      <c r="E40" s="134">
        <f>Dalsingsarai!AQ41</f>
        <v>0</v>
      </c>
      <c r="F40" s="134">
        <f>Musrigharari!AQ41</f>
        <v>0</v>
      </c>
      <c r="G40" s="134"/>
      <c r="H40" s="134">
        <f>Buxar!AQ41</f>
        <v>0</v>
      </c>
      <c r="I40" s="134">
        <f>Laldiyara!AQ41</f>
        <v>0</v>
      </c>
      <c r="J40" s="134">
        <f>Asarganj!AQ41</f>
        <v>0</v>
      </c>
      <c r="K40" s="134">
        <f>Madhatpur!AQ41</f>
        <v>0</v>
      </c>
      <c r="L40" s="134">
        <f>Sonvarsha!AQ41</f>
        <v>0</v>
      </c>
      <c r="M40" s="134">
        <f>Araiya!AQ41</f>
        <v>0</v>
      </c>
      <c r="N40" s="134">
        <f>Teghra!AQ41</f>
        <v>0</v>
      </c>
      <c r="O40" s="134">
        <f>Halsi!AQ41</f>
        <v>0</v>
      </c>
    </row>
    <row r="41" spans="1:15" x14ac:dyDescent="0.25">
      <c r="A41" s="132">
        <f>Manjhaul!B42</f>
        <v>46193</v>
      </c>
      <c r="B41" s="133" t="str">
        <f>Manjhaul!C42</f>
        <v>M</v>
      </c>
      <c r="C41" s="134">
        <f>Manjhaul!AQ42</f>
        <v>0</v>
      </c>
      <c r="D41" s="134">
        <f>'Sahibpur Kamal'!AQ42</f>
        <v>0</v>
      </c>
      <c r="E41" s="134">
        <f>Dalsingsarai!AQ42</f>
        <v>0</v>
      </c>
      <c r="F41" s="134">
        <f>Musrigharari!AQ42</f>
        <v>0</v>
      </c>
      <c r="G41" s="134"/>
      <c r="H41" s="134">
        <f>Buxar!AQ42</f>
        <v>0</v>
      </c>
      <c r="I41" s="134">
        <f>Laldiyara!AQ42</f>
        <v>0</v>
      </c>
      <c r="J41" s="134">
        <f>Asarganj!AQ42</f>
        <v>0</v>
      </c>
      <c r="K41" s="134">
        <f>Madhatpur!AQ42</f>
        <v>0</v>
      </c>
      <c r="L41" s="134">
        <f>Sonvarsha!AQ42</f>
        <v>0</v>
      </c>
      <c r="M41" s="134">
        <f>Araiya!AQ42</f>
        <v>0</v>
      </c>
      <c r="N41" s="134">
        <f>Teghra!AQ42</f>
        <v>0</v>
      </c>
      <c r="O41" s="134">
        <f>Halsi!AQ42</f>
        <v>0</v>
      </c>
    </row>
    <row r="42" spans="1:15" x14ac:dyDescent="0.25">
      <c r="A42" s="132">
        <f>Manjhaul!B43</f>
        <v>46193</v>
      </c>
      <c r="B42" s="133" t="str">
        <f>Manjhaul!C43</f>
        <v>E</v>
      </c>
      <c r="C42" s="134">
        <f>Manjhaul!AQ43</f>
        <v>0</v>
      </c>
      <c r="D42" s="134">
        <f>'Sahibpur Kamal'!AQ43</f>
        <v>0</v>
      </c>
      <c r="E42" s="134">
        <f>Dalsingsarai!AQ43</f>
        <v>0</v>
      </c>
      <c r="F42" s="134">
        <f>Musrigharari!AQ43</f>
        <v>0</v>
      </c>
      <c r="G42" s="134"/>
      <c r="H42" s="134">
        <f>Buxar!AQ43</f>
        <v>0</v>
      </c>
      <c r="I42" s="134">
        <f>Laldiyara!AQ43</f>
        <v>0</v>
      </c>
      <c r="J42" s="134">
        <f>Asarganj!AQ43</f>
        <v>0</v>
      </c>
      <c r="K42" s="134">
        <f>Madhatpur!AQ43</f>
        <v>0</v>
      </c>
      <c r="L42" s="134">
        <f>Sonvarsha!AQ43</f>
        <v>0</v>
      </c>
      <c r="M42" s="134">
        <f>Araiya!AQ43</f>
        <v>0</v>
      </c>
      <c r="N42" s="134">
        <f>Teghra!AQ43</f>
        <v>0</v>
      </c>
      <c r="O42" s="134">
        <f>Halsi!AQ43</f>
        <v>0</v>
      </c>
    </row>
    <row r="43" spans="1:15" x14ac:dyDescent="0.25">
      <c r="A43" s="132">
        <f>Manjhaul!B44</f>
        <v>46194</v>
      </c>
      <c r="B43" s="133" t="str">
        <f>Manjhaul!C44</f>
        <v>M</v>
      </c>
      <c r="C43" s="134">
        <f>Manjhaul!AQ44</f>
        <v>0</v>
      </c>
      <c r="D43" s="134">
        <f>'Sahibpur Kamal'!AQ44</f>
        <v>0</v>
      </c>
      <c r="E43" s="134">
        <f>Dalsingsarai!AQ44</f>
        <v>0</v>
      </c>
      <c r="F43" s="134">
        <f>Musrigharari!AQ44</f>
        <v>0</v>
      </c>
      <c r="G43" s="134"/>
      <c r="H43" s="134">
        <f>Buxar!AQ44</f>
        <v>0</v>
      </c>
      <c r="I43" s="134">
        <f>Laldiyara!AQ44</f>
        <v>0</v>
      </c>
      <c r="J43" s="134">
        <f>Asarganj!AQ44</f>
        <v>0</v>
      </c>
      <c r="K43" s="134">
        <f>Madhatpur!AQ44</f>
        <v>0</v>
      </c>
      <c r="L43" s="134">
        <f>Sonvarsha!AQ44</f>
        <v>0</v>
      </c>
      <c r="M43" s="134">
        <f>Araiya!AQ44</f>
        <v>0</v>
      </c>
      <c r="N43" s="134">
        <f>Teghra!AQ44</f>
        <v>0</v>
      </c>
      <c r="O43" s="134">
        <f>Halsi!AQ44</f>
        <v>0</v>
      </c>
    </row>
    <row r="44" spans="1:15" x14ac:dyDescent="0.25">
      <c r="A44" s="132">
        <f>Manjhaul!B45</f>
        <v>46194</v>
      </c>
      <c r="B44" s="133" t="str">
        <f>Manjhaul!C45</f>
        <v>E</v>
      </c>
      <c r="C44" s="134">
        <f>Manjhaul!AQ45</f>
        <v>0</v>
      </c>
      <c r="D44" s="134">
        <f>'Sahibpur Kamal'!AQ45</f>
        <v>0</v>
      </c>
      <c r="E44" s="134">
        <f>Dalsingsarai!AQ45</f>
        <v>0</v>
      </c>
      <c r="F44" s="134">
        <f>Musrigharari!AQ45</f>
        <v>0</v>
      </c>
      <c r="G44" s="134"/>
      <c r="H44" s="134">
        <f>Buxar!AQ45</f>
        <v>0</v>
      </c>
      <c r="I44" s="134">
        <f>Laldiyara!AQ45</f>
        <v>0</v>
      </c>
      <c r="J44" s="134">
        <f>Asarganj!AQ45</f>
        <v>0</v>
      </c>
      <c r="K44" s="134">
        <f>Madhatpur!AQ45</f>
        <v>0</v>
      </c>
      <c r="L44" s="134">
        <f>Sonvarsha!AQ45</f>
        <v>0</v>
      </c>
      <c r="M44" s="134">
        <f>Araiya!AQ45</f>
        <v>0</v>
      </c>
      <c r="N44" s="134">
        <f>Teghra!AQ45</f>
        <v>0</v>
      </c>
      <c r="O44" s="134">
        <f>Halsi!AQ45</f>
        <v>0</v>
      </c>
    </row>
    <row r="45" spans="1:15" x14ac:dyDescent="0.25">
      <c r="A45" s="132">
        <f>Manjhaul!B46</f>
        <v>46195</v>
      </c>
      <c r="B45" s="133" t="str">
        <f>Manjhaul!C46</f>
        <v>M</v>
      </c>
      <c r="C45" s="134">
        <f>Manjhaul!AQ46</f>
        <v>0</v>
      </c>
      <c r="D45" s="134">
        <f>'Sahibpur Kamal'!AQ46</f>
        <v>0</v>
      </c>
      <c r="E45" s="134">
        <f>Dalsingsarai!AQ46</f>
        <v>0</v>
      </c>
      <c r="F45" s="134">
        <f>Musrigharari!AQ46</f>
        <v>0</v>
      </c>
      <c r="G45" s="134"/>
      <c r="H45" s="134">
        <f>Buxar!AQ46</f>
        <v>0</v>
      </c>
      <c r="I45" s="134">
        <f>Laldiyara!AQ46</f>
        <v>0</v>
      </c>
      <c r="J45" s="134">
        <f>Asarganj!AQ46</f>
        <v>0</v>
      </c>
      <c r="K45" s="134">
        <f>Madhatpur!AQ46</f>
        <v>0</v>
      </c>
      <c r="L45" s="134">
        <f>Sonvarsha!AQ46</f>
        <v>0</v>
      </c>
      <c r="M45" s="134">
        <f>Araiya!AQ46</f>
        <v>0</v>
      </c>
      <c r="N45" s="134">
        <f>Teghra!AQ46</f>
        <v>0</v>
      </c>
      <c r="O45" s="134">
        <f>Halsi!AQ46</f>
        <v>0</v>
      </c>
    </row>
    <row r="46" spans="1:15" x14ac:dyDescent="0.25">
      <c r="A46" s="132">
        <f>Manjhaul!B47</f>
        <v>46195</v>
      </c>
      <c r="B46" s="133" t="str">
        <f>Manjhaul!C47</f>
        <v>E</v>
      </c>
      <c r="C46" s="134">
        <f>Manjhaul!AQ47</f>
        <v>0</v>
      </c>
      <c r="D46" s="134">
        <f>'Sahibpur Kamal'!AQ47</f>
        <v>0</v>
      </c>
      <c r="E46" s="134">
        <f>Dalsingsarai!AQ47</f>
        <v>0</v>
      </c>
      <c r="F46" s="134">
        <f>Musrigharari!AQ47</f>
        <v>0</v>
      </c>
      <c r="G46" s="134"/>
      <c r="H46" s="134">
        <f>Buxar!AQ47</f>
        <v>0</v>
      </c>
      <c r="I46" s="134">
        <f>Laldiyara!AQ47</f>
        <v>0</v>
      </c>
      <c r="J46" s="134">
        <f>Asarganj!AQ47</f>
        <v>0</v>
      </c>
      <c r="K46" s="134">
        <f>Madhatpur!AQ47</f>
        <v>0</v>
      </c>
      <c r="L46" s="134">
        <f>Sonvarsha!AQ47</f>
        <v>0</v>
      </c>
      <c r="M46" s="134">
        <f>Araiya!AQ47</f>
        <v>0</v>
      </c>
      <c r="N46" s="134">
        <f>Teghra!AQ47</f>
        <v>0</v>
      </c>
      <c r="O46" s="134">
        <f>Halsi!AQ47</f>
        <v>0</v>
      </c>
    </row>
    <row r="47" spans="1:15" x14ac:dyDescent="0.25">
      <c r="A47" s="132">
        <f>Manjhaul!B48</f>
        <v>46196</v>
      </c>
      <c r="B47" s="133" t="str">
        <f>Manjhaul!C48</f>
        <v>M</v>
      </c>
      <c r="C47" s="134">
        <f>Manjhaul!AQ48</f>
        <v>0</v>
      </c>
      <c r="D47" s="134">
        <f>'Sahibpur Kamal'!AQ48</f>
        <v>0</v>
      </c>
      <c r="E47" s="134">
        <f>Dalsingsarai!AQ48</f>
        <v>0</v>
      </c>
      <c r="F47" s="134">
        <f>Musrigharari!AQ48</f>
        <v>0</v>
      </c>
      <c r="G47" s="134"/>
      <c r="H47" s="134">
        <f>Buxar!AQ48</f>
        <v>0</v>
      </c>
      <c r="I47" s="134">
        <f>Laldiyara!AQ48</f>
        <v>0</v>
      </c>
      <c r="J47" s="134">
        <f>Asarganj!AQ48</f>
        <v>0</v>
      </c>
      <c r="K47" s="134">
        <f>Madhatpur!AQ48</f>
        <v>0</v>
      </c>
      <c r="L47" s="134">
        <f>Sonvarsha!AQ48</f>
        <v>0</v>
      </c>
      <c r="M47" s="134">
        <f>Araiya!AQ48</f>
        <v>0</v>
      </c>
      <c r="N47" s="134">
        <f>Teghra!AQ48</f>
        <v>0</v>
      </c>
      <c r="O47" s="134">
        <f>Halsi!AQ48</f>
        <v>0</v>
      </c>
    </row>
    <row r="48" spans="1:15" x14ac:dyDescent="0.25">
      <c r="A48" s="132">
        <f>Manjhaul!B49</f>
        <v>46196</v>
      </c>
      <c r="B48" s="133" t="str">
        <f>Manjhaul!C49</f>
        <v>E</v>
      </c>
      <c r="C48" s="134">
        <f>Manjhaul!AQ49</f>
        <v>0</v>
      </c>
      <c r="D48" s="134">
        <f>'Sahibpur Kamal'!AQ49</f>
        <v>0</v>
      </c>
      <c r="E48" s="134">
        <f>Dalsingsarai!AQ49</f>
        <v>0</v>
      </c>
      <c r="F48" s="134">
        <f>Musrigharari!AQ49</f>
        <v>0</v>
      </c>
      <c r="G48" s="134"/>
      <c r="H48" s="134">
        <f>Buxar!AQ49</f>
        <v>0</v>
      </c>
      <c r="I48" s="134">
        <f>Laldiyara!AQ49</f>
        <v>0</v>
      </c>
      <c r="J48" s="134">
        <f>Asarganj!AQ49</f>
        <v>0</v>
      </c>
      <c r="K48" s="134">
        <f>Madhatpur!AQ49</f>
        <v>0</v>
      </c>
      <c r="L48" s="134">
        <f>Sonvarsha!AQ49</f>
        <v>0</v>
      </c>
      <c r="M48" s="134">
        <f>Araiya!AQ49</f>
        <v>0</v>
      </c>
      <c r="N48" s="134">
        <f>Teghra!AQ49</f>
        <v>0</v>
      </c>
      <c r="O48" s="134">
        <f>Halsi!AQ49</f>
        <v>0</v>
      </c>
    </row>
    <row r="49" spans="1:15" x14ac:dyDescent="0.25">
      <c r="A49" s="132">
        <f>Manjhaul!B50</f>
        <v>46197</v>
      </c>
      <c r="B49" s="133" t="str">
        <f>Manjhaul!C50</f>
        <v>M</v>
      </c>
      <c r="C49" s="134">
        <f>Manjhaul!AQ50</f>
        <v>0</v>
      </c>
      <c r="D49" s="134">
        <f>'Sahibpur Kamal'!AQ50</f>
        <v>0</v>
      </c>
      <c r="E49" s="134">
        <f>Dalsingsarai!AQ50</f>
        <v>0</v>
      </c>
      <c r="F49" s="134">
        <f>Musrigharari!AQ50</f>
        <v>0</v>
      </c>
      <c r="G49" s="134"/>
      <c r="H49" s="134">
        <f>Buxar!AQ50</f>
        <v>0</v>
      </c>
      <c r="I49" s="134">
        <f>Laldiyara!AQ50</f>
        <v>0</v>
      </c>
      <c r="J49" s="134">
        <f>Asarganj!AQ50</f>
        <v>0</v>
      </c>
      <c r="K49" s="134">
        <f>Madhatpur!AQ50</f>
        <v>0</v>
      </c>
      <c r="L49" s="134">
        <f>Sonvarsha!AQ50</f>
        <v>0</v>
      </c>
      <c r="M49" s="134">
        <f>Araiya!AQ50</f>
        <v>0</v>
      </c>
      <c r="N49" s="134">
        <f>Teghra!AQ50</f>
        <v>0</v>
      </c>
      <c r="O49" s="134">
        <f>Halsi!AQ50</f>
        <v>0</v>
      </c>
    </row>
    <row r="50" spans="1:15" x14ac:dyDescent="0.25">
      <c r="A50" s="132">
        <f>Manjhaul!B51</f>
        <v>46197</v>
      </c>
      <c r="B50" s="133" t="str">
        <f>Manjhaul!C51</f>
        <v>E</v>
      </c>
      <c r="C50" s="134">
        <f>Manjhaul!AQ51</f>
        <v>0</v>
      </c>
      <c r="D50" s="134">
        <f>'Sahibpur Kamal'!AQ51</f>
        <v>0</v>
      </c>
      <c r="E50" s="134">
        <f>Dalsingsarai!AQ51</f>
        <v>0</v>
      </c>
      <c r="F50" s="134">
        <f>Musrigharari!AQ51</f>
        <v>0</v>
      </c>
      <c r="G50" s="134"/>
      <c r="H50" s="134">
        <f>Buxar!AQ51</f>
        <v>0</v>
      </c>
      <c r="I50" s="134">
        <f>Laldiyara!AQ51</f>
        <v>0</v>
      </c>
      <c r="J50" s="134">
        <f>Asarganj!AQ51</f>
        <v>0</v>
      </c>
      <c r="K50" s="134">
        <f>Madhatpur!AQ51</f>
        <v>0</v>
      </c>
      <c r="L50" s="134">
        <f>Sonvarsha!AQ51</f>
        <v>0</v>
      </c>
      <c r="M50" s="134">
        <f>Araiya!AQ51</f>
        <v>0</v>
      </c>
      <c r="N50" s="134">
        <f>Teghra!AQ51</f>
        <v>0</v>
      </c>
      <c r="O50" s="134">
        <f>Halsi!AQ51</f>
        <v>0</v>
      </c>
    </row>
    <row r="51" spans="1:15" x14ac:dyDescent="0.25">
      <c r="A51" s="132">
        <f>Manjhaul!B52</f>
        <v>46198</v>
      </c>
      <c r="B51" s="133" t="str">
        <f>Manjhaul!C52</f>
        <v>M</v>
      </c>
      <c r="C51" s="134">
        <f>Manjhaul!AQ52</f>
        <v>0</v>
      </c>
      <c r="D51" s="134">
        <f>'Sahibpur Kamal'!AQ52</f>
        <v>0</v>
      </c>
      <c r="E51" s="134">
        <f>Dalsingsarai!AQ52</f>
        <v>0</v>
      </c>
      <c r="F51" s="134">
        <f>Musrigharari!AQ52</f>
        <v>0</v>
      </c>
      <c r="G51" s="134"/>
      <c r="H51" s="134">
        <f>Buxar!AQ52</f>
        <v>0</v>
      </c>
      <c r="I51" s="134">
        <f>Laldiyara!AQ52</f>
        <v>0</v>
      </c>
      <c r="J51" s="134">
        <f>Asarganj!AQ52</f>
        <v>0</v>
      </c>
      <c r="K51" s="134">
        <f>Madhatpur!AQ52</f>
        <v>0</v>
      </c>
      <c r="L51" s="134">
        <f>Sonvarsha!AQ52</f>
        <v>0</v>
      </c>
      <c r="M51" s="134">
        <f>Araiya!AQ52</f>
        <v>0</v>
      </c>
      <c r="N51" s="134">
        <f>Teghra!AQ52</f>
        <v>0</v>
      </c>
      <c r="O51" s="134">
        <f>Halsi!AQ52</f>
        <v>0</v>
      </c>
    </row>
    <row r="52" spans="1:15" x14ac:dyDescent="0.25">
      <c r="A52" s="132">
        <f>Manjhaul!B53</f>
        <v>46198</v>
      </c>
      <c r="B52" s="133" t="str">
        <f>Manjhaul!C53</f>
        <v>E</v>
      </c>
      <c r="C52" s="134">
        <f>Manjhaul!AQ53</f>
        <v>0</v>
      </c>
      <c r="D52" s="134">
        <f>'Sahibpur Kamal'!AQ53</f>
        <v>0</v>
      </c>
      <c r="E52" s="134">
        <f>Dalsingsarai!AQ53</f>
        <v>0</v>
      </c>
      <c r="F52" s="134">
        <f>Musrigharari!AQ53</f>
        <v>0</v>
      </c>
      <c r="G52" s="134"/>
      <c r="H52" s="134">
        <f>Buxar!AQ53</f>
        <v>0</v>
      </c>
      <c r="I52" s="134">
        <f>Laldiyara!AQ53</f>
        <v>0</v>
      </c>
      <c r="J52" s="134">
        <f>Asarganj!AQ53</f>
        <v>0</v>
      </c>
      <c r="K52" s="134">
        <f>Madhatpur!AQ53</f>
        <v>0</v>
      </c>
      <c r="L52" s="134">
        <f>Sonvarsha!AQ53</f>
        <v>0</v>
      </c>
      <c r="M52" s="134">
        <f>Araiya!AQ53</f>
        <v>0</v>
      </c>
      <c r="N52" s="134">
        <f>Teghra!AQ53</f>
        <v>0</v>
      </c>
      <c r="O52" s="134">
        <f>Halsi!AQ53</f>
        <v>0</v>
      </c>
    </row>
    <row r="53" spans="1:15" x14ac:dyDescent="0.25">
      <c r="A53" s="132">
        <f>Manjhaul!B54</f>
        <v>46199</v>
      </c>
      <c r="B53" s="133" t="str">
        <f>Manjhaul!C54</f>
        <v>M</v>
      </c>
      <c r="C53" s="134">
        <f>Manjhaul!AQ54</f>
        <v>0</v>
      </c>
      <c r="D53" s="134">
        <f>'Sahibpur Kamal'!AQ54</f>
        <v>0</v>
      </c>
      <c r="E53" s="134">
        <f>Dalsingsarai!AQ54</f>
        <v>0</v>
      </c>
      <c r="F53" s="134">
        <f>Musrigharari!AQ54</f>
        <v>0</v>
      </c>
      <c r="G53" s="134"/>
      <c r="H53" s="134">
        <f>Buxar!AQ54</f>
        <v>0</v>
      </c>
      <c r="I53" s="134">
        <f>Laldiyara!AQ54</f>
        <v>0</v>
      </c>
      <c r="J53" s="134">
        <f>Asarganj!AQ54</f>
        <v>0</v>
      </c>
      <c r="K53" s="134">
        <f>Madhatpur!AQ54</f>
        <v>0</v>
      </c>
      <c r="L53" s="134">
        <f>Sonvarsha!AQ54</f>
        <v>0</v>
      </c>
      <c r="M53" s="134">
        <f>Araiya!AQ54</f>
        <v>0</v>
      </c>
      <c r="N53" s="134">
        <f>Teghra!AQ54</f>
        <v>0</v>
      </c>
      <c r="O53" s="134">
        <f>Halsi!AQ54</f>
        <v>0</v>
      </c>
    </row>
    <row r="54" spans="1:15" x14ac:dyDescent="0.25">
      <c r="A54" s="132">
        <f>Manjhaul!B55</f>
        <v>46199</v>
      </c>
      <c r="B54" s="133" t="str">
        <f>Manjhaul!C55</f>
        <v>E</v>
      </c>
      <c r="C54" s="134">
        <f>Manjhaul!AQ55</f>
        <v>0</v>
      </c>
      <c r="D54" s="134">
        <f>'Sahibpur Kamal'!AQ55</f>
        <v>0</v>
      </c>
      <c r="E54" s="134">
        <f>Dalsingsarai!AQ55</f>
        <v>0</v>
      </c>
      <c r="F54" s="134">
        <f>Musrigharari!AQ55</f>
        <v>0</v>
      </c>
      <c r="G54" s="134"/>
      <c r="H54" s="134">
        <f>Buxar!AQ55</f>
        <v>0</v>
      </c>
      <c r="I54" s="134">
        <f>Laldiyara!AQ55</f>
        <v>0</v>
      </c>
      <c r="J54" s="134">
        <f>Asarganj!AQ55</f>
        <v>0</v>
      </c>
      <c r="K54" s="134">
        <f>Madhatpur!AQ55</f>
        <v>0</v>
      </c>
      <c r="L54" s="134">
        <f>Sonvarsha!AQ55</f>
        <v>0</v>
      </c>
      <c r="M54" s="134">
        <f>Araiya!AQ55</f>
        <v>0</v>
      </c>
      <c r="N54" s="134">
        <f>Teghra!AQ55</f>
        <v>0</v>
      </c>
      <c r="O54" s="134">
        <f>Halsi!AQ55</f>
        <v>0</v>
      </c>
    </row>
    <row r="55" spans="1:15" x14ac:dyDescent="0.25">
      <c r="A55" s="132">
        <f>Manjhaul!B56</f>
        <v>46200</v>
      </c>
      <c r="B55" s="133" t="str">
        <f>Manjhaul!C56</f>
        <v>M</v>
      </c>
      <c r="C55" s="134">
        <f>Manjhaul!AQ56</f>
        <v>0</v>
      </c>
      <c r="D55" s="134">
        <f>'Sahibpur Kamal'!AQ56</f>
        <v>0</v>
      </c>
      <c r="E55" s="134">
        <f>Dalsingsarai!AQ56</f>
        <v>0</v>
      </c>
      <c r="F55" s="134">
        <f>Musrigharari!AQ56</f>
        <v>0</v>
      </c>
      <c r="G55" s="134"/>
      <c r="H55" s="134">
        <f>Buxar!AQ56</f>
        <v>0</v>
      </c>
      <c r="I55" s="134">
        <f>Laldiyara!AQ56</f>
        <v>0</v>
      </c>
      <c r="J55" s="134">
        <f>Asarganj!AQ56</f>
        <v>0</v>
      </c>
      <c r="K55" s="134">
        <f>Madhatpur!AQ56</f>
        <v>0</v>
      </c>
      <c r="L55" s="134">
        <f>Sonvarsha!AQ56</f>
        <v>0</v>
      </c>
      <c r="M55" s="134">
        <f>Araiya!AQ56</f>
        <v>0</v>
      </c>
      <c r="N55" s="134">
        <f>Teghra!AQ56</f>
        <v>0</v>
      </c>
      <c r="O55" s="134">
        <f>Halsi!AQ56</f>
        <v>0</v>
      </c>
    </row>
    <row r="56" spans="1:15" x14ac:dyDescent="0.25">
      <c r="A56" s="132">
        <f>Manjhaul!B57</f>
        <v>46200</v>
      </c>
      <c r="B56" s="133" t="str">
        <f>Manjhaul!C57</f>
        <v>E</v>
      </c>
      <c r="C56" s="134">
        <f>Manjhaul!AQ57</f>
        <v>0</v>
      </c>
      <c r="D56" s="134">
        <f>'Sahibpur Kamal'!AQ57</f>
        <v>0</v>
      </c>
      <c r="E56" s="134">
        <f>Dalsingsarai!AQ57</f>
        <v>0</v>
      </c>
      <c r="F56" s="134">
        <f>Musrigharari!AQ57</f>
        <v>0</v>
      </c>
      <c r="G56" s="134"/>
      <c r="H56" s="134">
        <f>Buxar!AQ57</f>
        <v>0</v>
      </c>
      <c r="I56" s="134">
        <f>Laldiyara!AQ57</f>
        <v>0</v>
      </c>
      <c r="J56" s="134">
        <f>Asarganj!AQ57</f>
        <v>0</v>
      </c>
      <c r="K56" s="134">
        <f>Madhatpur!AQ57</f>
        <v>0</v>
      </c>
      <c r="L56" s="134">
        <f>Sonvarsha!AQ57</f>
        <v>0</v>
      </c>
      <c r="M56" s="134">
        <f>Araiya!AQ57</f>
        <v>0</v>
      </c>
      <c r="N56" s="134">
        <f>Teghra!AQ57</f>
        <v>0</v>
      </c>
      <c r="O56" s="134">
        <f>Halsi!AQ57</f>
        <v>0</v>
      </c>
    </row>
    <row r="57" spans="1:15" x14ac:dyDescent="0.25">
      <c r="A57" s="132">
        <f>Manjhaul!B58</f>
        <v>46201</v>
      </c>
      <c r="B57" s="133" t="str">
        <f>Manjhaul!C58</f>
        <v>M</v>
      </c>
      <c r="C57" s="134">
        <f>Manjhaul!AQ58</f>
        <v>0</v>
      </c>
      <c r="D57" s="134">
        <f>'Sahibpur Kamal'!AQ58</f>
        <v>0</v>
      </c>
      <c r="E57" s="134">
        <f>Dalsingsarai!AQ58</f>
        <v>0</v>
      </c>
      <c r="F57" s="134">
        <f>Musrigharari!AQ58</f>
        <v>0</v>
      </c>
      <c r="G57" s="134"/>
      <c r="H57" s="134">
        <f>Buxar!AQ58</f>
        <v>0</v>
      </c>
      <c r="I57" s="134">
        <f>Laldiyara!AQ58</f>
        <v>0</v>
      </c>
      <c r="J57" s="134">
        <f>Asarganj!AQ58</f>
        <v>0</v>
      </c>
      <c r="K57" s="134">
        <f>Madhatpur!AQ58</f>
        <v>0</v>
      </c>
      <c r="L57" s="134">
        <f>Sonvarsha!AQ58</f>
        <v>0</v>
      </c>
      <c r="M57" s="134">
        <f>Araiya!AQ58</f>
        <v>0</v>
      </c>
      <c r="N57" s="134">
        <f>Teghra!AQ58</f>
        <v>0</v>
      </c>
      <c r="O57" s="134">
        <f>Halsi!AQ58</f>
        <v>0</v>
      </c>
    </row>
    <row r="58" spans="1:15" x14ac:dyDescent="0.25">
      <c r="A58" s="132">
        <f>Manjhaul!B59</f>
        <v>46201</v>
      </c>
      <c r="B58" s="133" t="str">
        <f>Manjhaul!C59</f>
        <v>E</v>
      </c>
      <c r="C58" s="134">
        <f>Manjhaul!AQ59</f>
        <v>0</v>
      </c>
      <c r="D58" s="134">
        <f>'Sahibpur Kamal'!AQ59</f>
        <v>0</v>
      </c>
      <c r="E58" s="134">
        <f>Dalsingsarai!AQ59</f>
        <v>0</v>
      </c>
      <c r="F58" s="134">
        <f>Musrigharari!AQ59</f>
        <v>0</v>
      </c>
      <c r="G58" s="134"/>
      <c r="H58" s="134">
        <f>Buxar!AQ59</f>
        <v>0</v>
      </c>
      <c r="I58" s="134">
        <f>Laldiyara!AQ59</f>
        <v>0</v>
      </c>
      <c r="J58" s="134">
        <f>Asarganj!AQ59</f>
        <v>0</v>
      </c>
      <c r="K58" s="134">
        <f>Madhatpur!AQ59</f>
        <v>0</v>
      </c>
      <c r="L58" s="134">
        <f>Sonvarsha!AQ59</f>
        <v>0</v>
      </c>
      <c r="M58" s="134">
        <f>Araiya!AQ59</f>
        <v>0</v>
      </c>
      <c r="N58" s="134">
        <f>Teghra!AQ59</f>
        <v>0</v>
      </c>
      <c r="O58" s="134">
        <f>Halsi!AQ59</f>
        <v>0</v>
      </c>
    </row>
    <row r="59" spans="1:15" x14ac:dyDescent="0.25">
      <c r="A59" s="132">
        <f>Manjhaul!B60</f>
        <v>46202</v>
      </c>
      <c r="B59" s="133" t="str">
        <f>Manjhaul!C60</f>
        <v>M</v>
      </c>
      <c r="C59" s="134">
        <f>Manjhaul!AQ60</f>
        <v>0</v>
      </c>
      <c r="D59" s="134">
        <f>'Sahibpur Kamal'!AQ60</f>
        <v>0</v>
      </c>
      <c r="E59" s="134">
        <f>Dalsingsarai!AQ60</f>
        <v>0</v>
      </c>
      <c r="F59" s="134">
        <f>Musrigharari!AQ60</f>
        <v>0</v>
      </c>
      <c r="G59" s="134"/>
      <c r="H59" s="134">
        <f>Buxar!AQ60</f>
        <v>0</v>
      </c>
      <c r="I59" s="134">
        <f>Laldiyara!AQ60</f>
        <v>0</v>
      </c>
      <c r="J59" s="134">
        <f>Asarganj!AQ60</f>
        <v>0</v>
      </c>
      <c r="K59" s="134">
        <f>Madhatpur!AQ60</f>
        <v>0</v>
      </c>
      <c r="L59" s="134">
        <f>Sonvarsha!AQ60</f>
        <v>0</v>
      </c>
      <c r="M59" s="134" t="e">
        <f>Araiya!#REF!</f>
        <v>#REF!</v>
      </c>
      <c r="N59" s="134">
        <f>Teghra!AQ60</f>
        <v>0</v>
      </c>
      <c r="O59" s="134" t="e">
        <f>Halsi!#REF!</f>
        <v>#REF!</v>
      </c>
    </row>
    <row r="60" spans="1:15" x14ac:dyDescent="0.25">
      <c r="A60" s="132">
        <f>Manjhaul!B61</f>
        <v>46202</v>
      </c>
      <c r="B60" s="133" t="str">
        <f>Manjhaul!C61</f>
        <v>E</v>
      </c>
      <c r="C60" s="134">
        <f>Manjhaul!AQ61</f>
        <v>0</v>
      </c>
      <c r="D60" s="134">
        <f>'Sahibpur Kamal'!AQ61</f>
        <v>0</v>
      </c>
      <c r="E60" s="134">
        <f>Dalsingsarai!AQ61</f>
        <v>0</v>
      </c>
      <c r="F60" s="134">
        <f>Musrigharari!AQ61</f>
        <v>0</v>
      </c>
      <c r="G60" s="134"/>
      <c r="H60" s="134">
        <f>Buxar!AQ61</f>
        <v>0</v>
      </c>
      <c r="I60" s="134">
        <f>Laldiyara!AQ61</f>
        <v>0</v>
      </c>
      <c r="J60" s="134">
        <f>Asarganj!AQ61</f>
        <v>0</v>
      </c>
      <c r="K60" s="134">
        <f>Madhatpur!AQ61</f>
        <v>0</v>
      </c>
      <c r="L60" s="134">
        <f>Sonvarsha!AQ61</f>
        <v>0</v>
      </c>
      <c r="M60" s="134" t="e">
        <f>Araiya!#REF!</f>
        <v>#REF!</v>
      </c>
      <c r="N60" s="134">
        <f>Teghra!AQ61</f>
        <v>0</v>
      </c>
      <c r="O60" s="134" t="e">
        <f>Halsi!#REF!</f>
        <v>#REF!</v>
      </c>
    </row>
    <row r="61" spans="1:15" x14ac:dyDescent="0.25">
      <c r="A61" s="132">
        <f>Manjhaul!B62</f>
        <v>46203</v>
      </c>
      <c r="B61" s="133" t="str">
        <f>Manjhaul!C62</f>
        <v>M</v>
      </c>
      <c r="C61" s="134">
        <f>Manjhaul!AQ62</f>
        <v>0</v>
      </c>
      <c r="D61" s="134">
        <f>'Sahibpur Kamal'!AQ62</f>
        <v>0</v>
      </c>
      <c r="E61" s="134">
        <f>Dalsingsarai!AQ62</f>
        <v>0</v>
      </c>
      <c r="F61" s="134">
        <f>Musrigharari!AQ62</f>
        <v>0</v>
      </c>
      <c r="G61" s="134"/>
      <c r="H61" s="134">
        <f>Buxar!AQ62</f>
        <v>0</v>
      </c>
      <c r="I61" s="134">
        <f>Laldiyara!AQ62</f>
        <v>0</v>
      </c>
      <c r="J61" s="134">
        <f>Asarganj!AQ62</f>
        <v>0</v>
      </c>
      <c r="K61" s="134">
        <f>Madhatpur!AQ62</f>
        <v>0</v>
      </c>
      <c r="L61" s="134">
        <f>Sonvarsha!AQ62</f>
        <v>0</v>
      </c>
      <c r="M61" s="134" t="e">
        <f>Araiya!#REF!</f>
        <v>#REF!</v>
      </c>
      <c r="N61" s="134">
        <f>Teghra!AQ62</f>
        <v>0</v>
      </c>
      <c r="O61" s="134" t="e">
        <f>Halsi!#REF!</f>
        <v>#REF!</v>
      </c>
    </row>
    <row r="62" spans="1:15" x14ac:dyDescent="0.25">
      <c r="A62" s="132">
        <f>Manjhaul!B63</f>
        <v>46203</v>
      </c>
      <c r="B62" s="133" t="str">
        <f>Manjhaul!C63</f>
        <v>E</v>
      </c>
      <c r="C62" s="134">
        <f>Manjhaul!AQ63</f>
        <v>0</v>
      </c>
      <c r="D62" s="134">
        <f>'Sahibpur Kamal'!AQ63</f>
        <v>0</v>
      </c>
      <c r="E62" s="134">
        <f>Dalsingsarai!AQ63</f>
        <v>0</v>
      </c>
      <c r="F62" s="134">
        <f>Musrigharari!AQ63</f>
        <v>0</v>
      </c>
      <c r="G62" s="134"/>
      <c r="H62" s="134">
        <f>Buxar!AQ63</f>
        <v>0</v>
      </c>
      <c r="I62" s="134">
        <f>Laldiyara!AQ63</f>
        <v>0</v>
      </c>
      <c r="J62" s="134">
        <f>Asarganj!AQ63</f>
        <v>0</v>
      </c>
      <c r="K62" s="134">
        <f>Madhatpur!AQ63</f>
        <v>0</v>
      </c>
      <c r="L62" s="134">
        <f>Sonvarsha!AQ63</f>
        <v>0</v>
      </c>
      <c r="M62" s="134" t="e">
        <f>Araiya!#REF!</f>
        <v>#REF!</v>
      </c>
      <c r="N62" s="134">
        <f>Teghra!AQ63</f>
        <v>0</v>
      </c>
      <c r="O62" s="134" t="e">
        <f>Halsi!#REF!</f>
        <v>#REF!</v>
      </c>
    </row>
    <row r="63" spans="1:15" x14ac:dyDescent="0.25">
      <c r="A63" s="132">
        <f>Manjhaul!B64</f>
        <v>46204</v>
      </c>
      <c r="B63" s="133" t="str">
        <f>Manjhaul!C64</f>
        <v>M</v>
      </c>
      <c r="C63" s="134">
        <f>Manjhaul!AQ64</f>
        <v>0</v>
      </c>
      <c r="D63" s="134">
        <f>'Sahibpur Kamal'!AQ64</f>
        <v>0</v>
      </c>
      <c r="E63" s="134">
        <f>Dalsingsarai!AQ64</f>
        <v>0</v>
      </c>
      <c r="F63" s="134">
        <f>Musrigharari!AQ64</f>
        <v>0</v>
      </c>
      <c r="G63" s="134"/>
      <c r="H63" s="134">
        <f>Buxar!AQ64</f>
        <v>0</v>
      </c>
      <c r="I63" s="134">
        <f>Laldiyara!AQ64</f>
        <v>0</v>
      </c>
      <c r="J63" s="134">
        <f>Asarganj!AQ64</f>
        <v>0</v>
      </c>
      <c r="K63" s="134">
        <f>Madhatpur!AQ64</f>
        <v>0</v>
      </c>
      <c r="L63" s="134">
        <f>Sonvarsha!AQ64</f>
        <v>0</v>
      </c>
      <c r="M63" s="134" t="e">
        <f>Araiya!#REF!</f>
        <v>#REF!</v>
      </c>
      <c r="N63" s="134">
        <f>Teghra!AQ64</f>
        <v>0</v>
      </c>
      <c r="O63" s="134" t="e">
        <f>Halsi!#REF!</f>
        <v>#REF!</v>
      </c>
    </row>
    <row r="64" spans="1:15" x14ac:dyDescent="0.25">
      <c r="A64" s="132">
        <f>Manjhaul!B65</f>
        <v>46204</v>
      </c>
      <c r="B64" s="133" t="str">
        <f>Manjhaul!C65</f>
        <v>E</v>
      </c>
      <c r="C64" s="134">
        <f>Manjhaul!AQ65</f>
        <v>0</v>
      </c>
      <c r="D64" s="134">
        <f>'Sahibpur Kamal'!AQ65</f>
        <v>0</v>
      </c>
      <c r="E64" s="134">
        <f>Dalsingsarai!AQ65</f>
        <v>0</v>
      </c>
      <c r="F64" s="134">
        <f>Musrigharari!AQ65</f>
        <v>0</v>
      </c>
      <c r="G64" s="134"/>
      <c r="H64" s="134">
        <f>Buxar!AQ65</f>
        <v>0</v>
      </c>
      <c r="I64" s="134">
        <f>Laldiyara!AQ65</f>
        <v>0</v>
      </c>
      <c r="J64" s="134">
        <f>Asarganj!AQ65</f>
        <v>0</v>
      </c>
      <c r="K64" s="134">
        <f>Madhatpur!AQ65</f>
        <v>0</v>
      </c>
      <c r="L64" s="134">
        <f>Sonvarsha!AQ65</f>
        <v>0</v>
      </c>
      <c r="M64" s="134" t="e">
        <f>Araiya!#REF!</f>
        <v>#REF!</v>
      </c>
      <c r="N64" s="134">
        <f>Teghra!AQ65</f>
        <v>0</v>
      </c>
      <c r="O64" s="134" t="e">
        <f>Halsi!#REF!</f>
        <v>#REF!</v>
      </c>
    </row>
    <row r="65" spans="1:15" x14ac:dyDescent="0.25">
      <c r="A65" s="267" t="s">
        <v>107</v>
      </c>
      <c r="B65" s="267"/>
      <c r="C65" s="135">
        <f>SUM(C3:C64)</f>
        <v>-33964.391737172904</v>
      </c>
      <c r="D65" s="135">
        <f t="shared" ref="D65:O65" si="0">SUM(D3:D64)</f>
        <v>-33400.503915239286</v>
      </c>
      <c r="E65" s="135">
        <f t="shared" si="0"/>
        <v>14538.722939074676</v>
      </c>
      <c r="F65" s="135">
        <f t="shared" si="0"/>
        <v>-11774.812335439827</v>
      </c>
      <c r="G65" s="135">
        <f t="shared" si="0"/>
        <v>0</v>
      </c>
      <c r="H65" s="135">
        <f t="shared" si="0"/>
        <v>6617.1148194942007</v>
      </c>
      <c r="I65" s="135">
        <f t="shared" si="0"/>
        <v>60130.200202687527</v>
      </c>
      <c r="J65" s="135">
        <f t="shared" si="0"/>
        <v>-108298.26207187146</v>
      </c>
      <c r="K65" s="135">
        <f t="shared" si="0"/>
        <v>8133.4528336600424</v>
      </c>
      <c r="L65" s="135">
        <f t="shared" si="0"/>
        <v>-46864.966804039905</v>
      </c>
      <c r="M65" s="135" t="e">
        <f t="shared" si="0"/>
        <v>#REF!</v>
      </c>
      <c r="N65" s="135">
        <f t="shared" si="0"/>
        <v>-25442.290581913174</v>
      </c>
      <c r="O65" s="135" t="e">
        <f t="shared" si="0"/>
        <v>#REF!</v>
      </c>
    </row>
  </sheetData>
  <mergeCells count="5">
    <mergeCell ref="C1:H1"/>
    <mergeCell ref="I1:O1"/>
    <mergeCell ref="A1:A2"/>
    <mergeCell ref="B1:B2"/>
    <mergeCell ref="A65:B65"/>
  </mergeCells>
  <conditionalFormatting sqref="C3:O65">
    <cfRule type="cellIs" dxfId="101" priority="1" operator="greaterThan">
      <formula>0</formula>
    </cfRule>
    <cfRule type="cellIs" dxfId="10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9"/>
  <sheetViews>
    <sheetView topLeftCell="A7" zoomScale="80" zoomScaleNormal="80" workbookViewId="0">
      <selection activeCell="AC38" sqref="AC38:AE38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7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164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9" t="s">
        <v>64</v>
      </c>
      <c r="C2" s="261" t="s">
        <v>65</v>
      </c>
      <c r="D2" s="263" t="s">
        <v>66</v>
      </c>
      <c r="E2" s="264"/>
      <c r="F2" s="264"/>
      <c r="G2" s="264"/>
      <c r="H2" s="265"/>
      <c r="I2" s="256" t="s">
        <v>67</v>
      </c>
      <c r="J2" s="257"/>
      <c r="K2" s="257"/>
      <c r="L2" s="258"/>
      <c r="M2" s="256" t="s">
        <v>68</v>
      </c>
      <c r="N2" s="257"/>
      <c r="O2" s="257"/>
      <c r="P2" s="257"/>
      <c r="Q2" s="258"/>
      <c r="R2" s="256" t="s">
        <v>69</v>
      </c>
      <c r="S2" s="257"/>
      <c r="T2" s="258"/>
      <c r="U2" s="253" t="s">
        <v>70</v>
      </c>
      <c r="V2" s="254"/>
      <c r="W2" s="254"/>
      <c r="X2" s="254"/>
      <c r="Y2" s="254"/>
      <c r="Z2" s="254"/>
      <c r="AA2" s="254"/>
      <c r="AB2" s="255"/>
      <c r="AC2" s="256" t="s">
        <v>71</v>
      </c>
      <c r="AD2" s="257"/>
      <c r="AE2" s="257"/>
      <c r="AF2" s="257"/>
      <c r="AG2" s="258"/>
      <c r="AH2" s="256" t="s">
        <v>72</v>
      </c>
      <c r="AI2" s="257"/>
      <c r="AJ2" s="257"/>
      <c r="AK2" s="257"/>
      <c r="AL2" s="258"/>
      <c r="AM2" s="253" t="s">
        <v>73</v>
      </c>
      <c r="AN2" s="254"/>
      <c r="AO2" s="254"/>
      <c r="AP2" s="254"/>
      <c r="AQ2" s="255"/>
    </row>
    <row r="3" spans="1:46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664</v>
      </c>
      <c r="E4" s="54">
        <v>3.9</v>
      </c>
      <c r="F4" s="55">
        <v>8.19</v>
      </c>
      <c r="G4" s="62">
        <f t="shared" ref="G4:G65" si="0">+D4*E4%</f>
        <v>25.896000000000001</v>
      </c>
      <c r="H4" s="63">
        <f t="shared" ref="H4:H65" si="1">+D4*F4%</f>
        <v>54.381599999999999</v>
      </c>
      <c r="I4" s="203">
        <v>371.40000000000009</v>
      </c>
      <c r="J4" s="203">
        <v>382.54200000000009</v>
      </c>
      <c r="K4" s="203">
        <v>4.5020193861066229</v>
      </c>
      <c r="L4" s="203">
        <v>8.5975498115239635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382.54200000000009</v>
      </c>
      <c r="S4" s="62">
        <f t="shared" ref="S4:S65" si="2">+J4*K4%+O4*P4%</f>
        <v>17.222115000000002</v>
      </c>
      <c r="T4" s="63">
        <f t="shared" ref="T4:T65" si="3">+J4*L4%+O4*Q4%</f>
        <v>32.889239000000011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2527</v>
      </c>
      <c r="AI4" s="66">
        <v>3.75</v>
      </c>
      <c r="AJ4" s="66">
        <v>8.34</v>
      </c>
      <c r="AK4" s="62">
        <f t="shared" ref="AK4:AK65" si="8">AH4*AI4%</f>
        <v>94.762500000000003</v>
      </c>
      <c r="AL4" s="72">
        <f t="shared" ref="AL4:AL65" si="9">AH4*AJ4%</f>
        <v>210.7518</v>
      </c>
      <c r="AM4" s="73">
        <f>+D4+R4-AC4-AH4</f>
        <v>-1480.4579999999999</v>
      </c>
      <c r="AN4" s="74">
        <f t="shared" ref="AN4:AO19" si="10">+G4+S4-AF4-AK4</f>
        <v>-51.644385</v>
      </c>
      <c r="AO4" s="74">
        <f t="shared" si="10"/>
        <v>-123.48096099999999</v>
      </c>
      <c r="AP4" s="75">
        <f>(AN4+AO4)/(S4+T4)</f>
        <v>-3.4947238903183484</v>
      </c>
      <c r="AQ4" s="76">
        <f t="shared" ref="AQ4:AQ65" si="11">($AP$1*AN4+$AQ$1*AO4)</f>
        <v>-60138.239672023337</v>
      </c>
      <c r="AR4" s="77">
        <f t="shared" ref="AR4:AR65" si="12">(D4+J4+O4)-(X4+AH4)</f>
        <v>-1480.4579999999999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2527</v>
      </c>
      <c r="E5" s="62">
        <v>3.75</v>
      </c>
      <c r="F5" s="62">
        <v>8.34</v>
      </c>
      <c r="G5" s="62">
        <f t="shared" si="0"/>
        <v>94.762500000000003</v>
      </c>
      <c r="H5" s="63">
        <f t="shared" si="1"/>
        <v>210.7518</v>
      </c>
      <c r="I5" s="203">
        <v>543.4</v>
      </c>
      <c r="J5" s="203">
        <v>559.702</v>
      </c>
      <c r="K5" s="203">
        <v>3.9036069193963936</v>
      </c>
      <c r="L5" s="203">
        <v>8.3540301803459709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559.702</v>
      </c>
      <c r="S5" s="62">
        <f t="shared" si="2"/>
        <v>21.848566000000002</v>
      </c>
      <c r="T5" s="63">
        <f t="shared" si="3"/>
        <v>46.757674000000009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3087</v>
      </c>
      <c r="AI5" s="66">
        <v>3.8</v>
      </c>
      <c r="AJ5" s="66">
        <v>8.42</v>
      </c>
      <c r="AK5" s="62">
        <f t="shared" si="8"/>
        <v>117.306</v>
      </c>
      <c r="AL5" s="72">
        <f t="shared" si="9"/>
        <v>259.92539999999997</v>
      </c>
      <c r="AM5" s="73">
        <f t="shared" ref="AM5:AM65" si="15">+D5+R5-AC5-AH5</f>
        <v>-0.29799999999977445</v>
      </c>
      <c r="AN5" s="74">
        <f t="shared" si="10"/>
        <v>-0.69493399999998928</v>
      </c>
      <c r="AO5" s="74">
        <f t="shared" si="10"/>
        <v>-2.4159259999999563</v>
      </c>
      <c r="AP5" s="75">
        <f t="shared" ref="AP5:AP65" si="16">(AN5+AO5)/(S5+T5)</f>
        <v>-4.5343688853957669E-2</v>
      </c>
      <c r="AQ5" s="76">
        <f t="shared" si="11"/>
        <v>-1034.9850490466488</v>
      </c>
      <c r="AR5" s="77">
        <f t="shared" si="12"/>
        <v>-0.29799999999977445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3087</v>
      </c>
      <c r="E6" s="62">
        <v>3.8</v>
      </c>
      <c r="F6" s="62">
        <v>8.42</v>
      </c>
      <c r="G6" s="62">
        <f t="shared" si="0"/>
        <v>117.306</v>
      </c>
      <c r="H6" s="63">
        <f t="shared" si="1"/>
        <v>259.92539999999997</v>
      </c>
      <c r="I6" s="203">
        <v>1724.6</v>
      </c>
      <c r="J6" s="203">
        <v>1776.338</v>
      </c>
      <c r="K6" s="203">
        <v>4.2137945030731769</v>
      </c>
      <c r="L6" s="203">
        <v>8.2776121999304166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1776.338</v>
      </c>
      <c r="S6" s="62">
        <f t="shared" si="2"/>
        <v>74.851233000000008</v>
      </c>
      <c r="T6" s="63">
        <f t="shared" si="3"/>
        <v>147.03837099999996</v>
      </c>
      <c r="U6" s="64" t="s">
        <v>167</v>
      </c>
      <c r="V6" s="65" t="s">
        <v>187</v>
      </c>
      <c r="W6" s="66">
        <v>0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7"/>
        <v>0</v>
      </c>
      <c r="AH6" s="71">
        <v>4863</v>
      </c>
      <c r="AI6" s="66">
        <v>3.94</v>
      </c>
      <c r="AJ6" s="66">
        <v>8.36</v>
      </c>
      <c r="AK6" s="62">
        <f t="shared" si="8"/>
        <v>191.60219999999998</v>
      </c>
      <c r="AL6" s="72">
        <f t="shared" si="9"/>
        <v>406.54679999999996</v>
      </c>
      <c r="AM6" s="73">
        <f t="shared" si="15"/>
        <v>0.33799999999973807</v>
      </c>
      <c r="AN6" s="74">
        <f t="shared" si="10"/>
        <v>0.55503300000003719</v>
      </c>
      <c r="AO6" s="74">
        <f t="shared" si="10"/>
        <v>0.41697099999998954</v>
      </c>
      <c r="AP6" s="75">
        <f t="shared" si="16"/>
        <v>4.3805747654587137E-3</v>
      </c>
      <c r="AQ6" s="76">
        <f t="shared" si="11"/>
        <v>373.94816510334692</v>
      </c>
      <c r="AR6" s="77">
        <f t="shared" si="12"/>
        <v>0.33799999999973807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4863</v>
      </c>
      <c r="E7" s="62">
        <v>3.94</v>
      </c>
      <c r="F7" s="62">
        <v>8.36</v>
      </c>
      <c r="G7" s="62">
        <f t="shared" si="0"/>
        <v>191.60219999999998</v>
      </c>
      <c r="H7" s="63">
        <f t="shared" si="1"/>
        <v>406.54679999999996</v>
      </c>
      <c r="I7" s="203">
        <v>540</v>
      </c>
      <c r="J7" s="203">
        <v>556.20000000000005</v>
      </c>
      <c r="K7" s="203">
        <v>3.9041111111111109</v>
      </c>
      <c r="L7" s="203">
        <v>8.4079999999999995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556.20000000000005</v>
      </c>
      <c r="S7" s="62">
        <f t="shared" si="2"/>
        <v>21.714666000000001</v>
      </c>
      <c r="T7" s="63">
        <f t="shared" si="3"/>
        <v>46.765295999999999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5419</v>
      </c>
      <c r="AI7" s="71">
        <v>4</v>
      </c>
      <c r="AJ7" s="71">
        <v>8.4600000000000009</v>
      </c>
      <c r="AK7" s="62">
        <f t="shared" si="8"/>
        <v>216.76</v>
      </c>
      <c r="AL7" s="72">
        <f t="shared" si="9"/>
        <v>458.44740000000007</v>
      </c>
      <c r="AM7" s="73">
        <f t="shared" si="15"/>
        <v>0.1999999999998181</v>
      </c>
      <c r="AN7" s="74">
        <f t="shared" si="10"/>
        <v>-3.4431340000000148</v>
      </c>
      <c r="AO7" s="74">
        <f t="shared" si="10"/>
        <v>-5.1353040000001329</v>
      </c>
      <c r="AP7" s="75">
        <f t="shared" si="16"/>
        <v>-0.12526931600809224</v>
      </c>
      <c r="AQ7" s="76">
        <f t="shared" si="11"/>
        <v>-3082.5168297000464</v>
      </c>
      <c r="AR7" s="77">
        <f t="shared" si="12"/>
        <v>0.1999999999998181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5419</v>
      </c>
      <c r="E8" s="62">
        <v>4</v>
      </c>
      <c r="F8" s="62">
        <v>8.4600000000000009</v>
      </c>
      <c r="G8" s="62">
        <f t="shared" si="0"/>
        <v>216.76</v>
      </c>
      <c r="H8" s="63">
        <f t="shared" si="1"/>
        <v>458.44740000000007</v>
      </c>
      <c r="I8" s="203">
        <v>1212.7</v>
      </c>
      <c r="J8" s="203">
        <v>1249.0810000000001</v>
      </c>
      <c r="K8" s="203">
        <v>3.9837305186773322</v>
      </c>
      <c r="L8" s="203">
        <v>8.1322421043951536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1249.0810000000001</v>
      </c>
      <c r="S8" s="62">
        <f t="shared" si="2"/>
        <v>49.760021000000016</v>
      </c>
      <c r="T8" s="63">
        <f t="shared" si="3"/>
        <v>101.57829100000005</v>
      </c>
      <c r="U8" s="64" t="s">
        <v>172</v>
      </c>
      <c r="V8" s="65" t="s">
        <v>238</v>
      </c>
      <c r="W8" s="66" t="s">
        <v>239</v>
      </c>
      <c r="X8" s="67">
        <v>6280</v>
      </c>
      <c r="Y8" s="68">
        <v>4.05</v>
      </c>
      <c r="Z8" s="68">
        <v>8.1999999999999993</v>
      </c>
      <c r="AA8" s="62">
        <f t="shared" si="4"/>
        <v>254.34</v>
      </c>
      <c r="AB8" s="63">
        <f t="shared" si="5"/>
        <v>514.95999999999992</v>
      </c>
      <c r="AC8" s="69">
        <v>6280</v>
      </c>
      <c r="AD8" s="70">
        <v>4.05</v>
      </c>
      <c r="AE8" s="70">
        <v>8.1999999999999993</v>
      </c>
      <c r="AF8" s="62">
        <f t="shared" si="6"/>
        <v>254.34</v>
      </c>
      <c r="AG8" s="63">
        <f t="shared" si="7"/>
        <v>514.95999999999992</v>
      </c>
      <c r="AH8" s="71">
        <v>388</v>
      </c>
      <c r="AI8" s="71">
        <v>4.05</v>
      </c>
      <c r="AJ8" s="71">
        <v>8.1</v>
      </c>
      <c r="AK8" s="62">
        <f t="shared" si="8"/>
        <v>15.714</v>
      </c>
      <c r="AL8" s="72">
        <f t="shared" si="9"/>
        <v>31.428000000000001</v>
      </c>
      <c r="AM8" s="73">
        <f t="shared" si="15"/>
        <v>8.1000000000130967E-2</v>
      </c>
      <c r="AN8" s="74">
        <f t="shared" si="10"/>
        <v>-3.5339790000000182</v>
      </c>
      <c r="AO8" s="74">
        <f t="shared" si="10"/>
        <v>13.637691000000242</v>
      </c>
      <c r="AP8" s="75">
        <f t="shared" si="16"/>
        <v>6.6762420344692486E-2</v>
      </c>
      <c r="AQ8" s="76">
        <f t="shared" si="11"/>
        <v>2494.9587316500647</v>
      </c>
      <c r="AR8" s="90">
        <f t="shared" si="12"/>
        <v>8.1000000000130967E-2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388</v>
      </c>
      <c r="E9" s="62">
        <v>4.05</v>
      </c>
      <c r="F9" s="62">
        <v>8.1</v>
      </c>
      <c r="G9" s="62">
        <f t="shared" si="0"/>
        <v>15.714</v>
      </c>
      <c r="H9" s="63">
        <f t="shared" si="1"/>
        <v>31.428000000000001</v>
      </c>
      <c r="I9" s="203">
        <v>2018.3000000000002</v>
      </c>
      <c r="J9" s="203">
        <v>2078.8490000000002</v>
      </c>
      <c r="K9" s="203">
        <v>3.6619779021949164</v>
      </c>
      <c r="L9" s="203">
        <v>8.3229500074319986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2078.8490000000002</v>
      </c>
      <c r="S9" s="62">
        <f t="shared" si="2"/>
        <v>76.126991000000004</v>
      </c>
      <c r="T9" s="63">
        <f t="shared" si="3"/>
        <v>173.02156300000004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986</v>
      </c>
      <c r="AI9" s="82">
        <v>4.01</v>
      </c>
      <c r="AJ9" s="82">
        <v>8.2200000000000006</v>
      </c>
      <c r="AK9" s="62">
        <f t="shared" si="8"/>
        <v>39.538599999999995</v>
      </c>
      <c r="AL9" s="72">
        <f t="shared" si="9"/>
        <v>81.049200000000013</v>
      </c>
      <c r="AM9" s="73">
        <f t="shared" si="15"/>
        <v>1480.8490000000002</v>
      </c>
      <c r="AN9" s="74">
        <f t="shared" si="10"/>
        <v>52.302391000000007</v>
      </c>
      <c r="AO9" s="74">
        <f t="shared" si="10"/>
        <v>123.40036300000003</v>
      </c>
      <c r="AP9" s="75">
        <f t="shared" si="16"/>
        <v>0.70521281853395779</v>
      </c>
      <c r="AQ9" s="76">
        <f t="shared" si="11"/>
        <v>60409.504313363344</v>
      </c>
      <c r="AR9" s="90">
        <f t="shared" si="12"/>
        <v>1480.8490000000002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986</v>
      </c>
      <c r="E10" s="62">
        <v>4.01</v>
      </c>
      <c r="F10" s="62">
        <v>8.2200000000000006</v>
      </c>
      <c r="G10" s="62">
        <f t="shared" si="0"/>
        <v>39.538599999999995</v>
      </c>
      <c r="H10" s="63">
        <f t="shared" si="1"/>
        <v>81.049200000000013</v>
      </c>
      <c r="I10" s="203">
        <v>354.29999999999995</v>
      </c>
      <c r="J10" s="203">
        <v>364.92899999999997</v>
      </c>
      <c r="K10" s="203">
        <v>4.7771662432966417</v>
      </c>
      <c r="L10" s="203">
        <v>8.620716906576348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364.92899999999997</v>
      </c>
      <c r="S10" s="62">
        <f t="shared" si="2"/>
        <v>17.433265000000002</v>
      </c>
      <c r="T10" s="63">
        <f t="shared" si="3"/>
        <v>31.459495999999998</v>
      </c>
      <c r="U10" s="64" t="s">
        <v>175</v>
      </c>
      <c r="V10" s="65" t="s">
        <v>205</v>
      </c>
      <c r="W10" s="66" t="s">
        <v>219</v>
      </c>
      <c r="X10" s="67">
        <v>1367</v>
      </c>
      <c r="Y10" s="68">
        <v>4.2</v>
      </c>
      <c r="Z10" s="68">
        <v>8.1300000000000008</v>
      </c>
      <c r="AA10" s="62">
        <f t="shared" si="4"/>
        <v>57.414000000000001</v>
      </c>
      <c r="AB10" s="63">
        <f t="shared" si="5"/>
        <v>111.13710000000002</v>
      </c>
      <c r="AC10" s="69">
        <v>1360</v>
      </c>
      <c r="AD10" s="70">
        <v>4.0999999999999996</v>
      </c>
      <c r="AE10" s="70">
        <v>8.0399999999999991</v>
      </c>
      <c r="AF10" s="62">
        <f t="shared" si="6"/>
        <v>55.759999999999991</v>
      </c>
      <c r="AG10" s="63">
        <f t="shared" si="7"/>
        <v>109.34399999999998</v>
      </c>
      <c r="AH10" s="71">
        <v>0</v>
      </c>
      <c r="AI10" s="71">
        <v>0</v>
      </c>
      <c r="AJ10" s="71">
        <v>0</v>
      </c>
      <c r="AK10" s="62">
        <f t="shared" si="8"/>
        <v>0</v>
      </c>
      <c r="AL10" s="72">
        <f t="shared" si="9"/>
        <v>0</v>
      </c>
      <c r="AM10" s="73">
        <f t="shared" si="15"/>
        <v>-9.0709999999999127</v>
      </c>
      <c r="AN10" s="74">
        <f t="shared" si="10"/>
        <v>1.2118650000000031</v>
      </c>
      <c r="AO10" s="74">
        <f t="shared" si="10"/>
        <v>3.1646960000000348</v>
      </c>
      <c r="AP10" s="75">
        <f t="shared" si="16"/>
        <v>8.9513476238333889E-2</v>
      </c>
      <c r="AQ10" s="76">
        <f t="shared" si="11"/>
        <v>1491.1274380566786</v>
      </c>
      <c r="AR10" s="90">
        <f t="shared" si="12"/>
        <v>-16.070999999999913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203">
        <v>528.1</v>
      </c>
      <c r="J11" s="203">
        <v>543.94299999999998</v>
      </c>
      <c r="K11" s="203">
        <v>3.950577542132172</v>
      </c>
      <c r="L11" s="203">
        <v>8.3646279113804205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543.94299999999998</v>
      </c>
      <c r="S11" s="62">
        <f t="shared" si="2"/>
        <v>21.488890000000001</v>
      </c>
      <c r="T11" s="63">
        <f t="shared" si="3"/>
        <v>45.498807999999997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544</v>
      </c>
      <c r="AI11" s="71">
        <v>3.9</v>
      </c>
      <c r="AJ11" s="71">
        <v>8.19</v>
      </c>
      <c r="AK11" s="62">
        <f t="shared" si="8"/>
        <v>21.216000000000001</v>
      </c>
      <c r="AL11" s="72">
        <f t="shared" si="9"/>
        <v>44.553600000000003</v>
      </c>
      <c r="AM11" s="73">
        <f t="shared" si="15"/>
        <v>-5.7000000000016371E-2</v>
      </c>
      <c r="AN11" s="74">
        <f t="shared" si="10"/>
        <v>0.2728900000000003</v>
      </c>
      <c r="AO11" s="74">
        <f t="shared" si="10"/>
        <v>0.94520799999999383</v>
      </c>
      <c r="AP11" s="75">
        <f t="shared" si="16"/>
        <v>1.8183905946432048E-2</v>
      </c>
      <c r="AQ11" s="76">
        <f t="shared" si="11"/>
        <v>405.37859875333163</v>
      </c>
      <c r="AR11" s="90">
        <f t="shared" si="12"/>
        <v>-5.7000000000016371E-2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544</v>
      </c>
      <c r="E12" s="62">
        <v>3.9</v>
      </c>
      <c r="F12" s="62">
        <v>8.19</v>
      </c>
      <c r="G12" s="62">
        <f t="shared" si="0"/>
        <v>21.216000000000001</v>
      </c>
      <c r="H12" s="63">
        <f t="shared" si="1"/>
        <v>44.553600000000003</v>
      </c>
      <c r="I12" s="203">
        <v>335</v>
      </c>
      <c r="J12" s="203">
        <v>345.05</v>
      </c>
      <c r="K12" s="203">
        <v>5.0984776119402975</v>
      </c>
      <c r="L12" s="203">
        <v>8.5532537313432826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345.05</v>
      </c>
      <c r="S12" s="62">
        <f t="shared" si="2"/>
        <v>17.592296999999999</v>
      </c>
      <c r="T12" s="63">
        <f t="shared" si="3"/>
        <v>29.513001999999997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889</v>
      </c>
      <c r="AI12" s="71">
        <v>4.5</v>
      </c>
      <c r="AJ12" s="71">
        <v>8.31</v>
      </c>
      <c r="AK12" s="62">
        <f t="shared" si="8"/>
        <v>40.004999999999995</v>
      </c>
      <c r="AL12" s="72">
        <f t="shared" si="9"/>
        <v>73.875900000000001</v>
      </c>
      <c r="AM12" s="73">
        <f t="shared" si="15"/>
        <v>4.9999999999954525E-2</v>
      </c>
      <c r="AN12" s="74">
        <f t="shared" si="10"/>
        <v>-1.1967029999999994</v>
      </c>
      <c r="AO12" s="74">
        <f t="shared" si="10"/>
        <v>0.1907020000000017</v>
      </c>
      <c r="AP12" s="75">
        <f t="shared" si="16"/>
        <v>-2.1356429560079809E-2</v>
      </c>
      <c r="AQ12" s="76">
        <f t="shared" si="11"/>
        <v>-480.13992051666594</v>
      </c>
      <c r="AR12" s="90">
        <f t="shared" si="12"/>
        <v>4.9999999999954525E-2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889</v>
      </c>
      <c r="E13" s="62">
        <v>4.5</v>
      </c>
      <c r="F13" s="62">
        <v>8.31</v>
      </c>
      <c r="G13" s="62">
        <f t="shared" si="0"/>
        <v>40.004999999999995</v>
      </c>
      <c r="H13" s="63">
        <f t="shared" si="1"/>
        <v>73.875900000000001</v>
      </c>
      <c r="I13" s="203">
        <v>666.19999999999993</v>
      </c>
      <c r="J13" s="203">
        <v>686.18599999999992</v>
      </c>
      <c r="K13" s="203">
        <v>3.9371810267187022</v>
      </c>
      <c r="L13" s="203">
        <v>8.2485439807865504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686.18599999999992</v>
      </c>
      <c r="S13" s="62">
        <f t="shared" si="2"/>
        <v>27.016384999999993</v>
      </c>
      <c r="T13" s="63">
        <f t="shared" si="3"/>
        <v>56.600353999999996</v>
      </c>
      <c r="U13" s="64" t="s">
        <v>167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1575</v>
      </c>
      <c r="AI13" s="71">
        <v>4.25</v>
      </c>
      <c r="AJ13" s="71">
        <v>8.2799999999999994</v>
      </c>
      <c r="AK13" s="62">
        <f t="shared" si="8"/>
        <v>66.9375</v>
      </c>
      <c r="AL13" s="72">
        <f t="shared" si="9"/>
        <v>130.41</v>
      </c>
      <c r="AM13" s="73">
        <f t="shared" si="15"/>
        <v>0.18599999999992178</v>
      </c>
      <c r="AN13" s="74">
        <f t="shared" si="10"/>
        <v>8.3884999999980892E-2</v>
      </c>
      <c r="AO13" s="74">
        <f t="shared" si="10"/>
        <v>6.625399999998649E-2</v>
      </c>
      <c r="AP13" s="75">
        <f t="shared" si="16"/>
        <v>1.795561532242574E-3</v>
      </c>
      <c r="AQ13" s="76">
        <f t="shared" si="11"/>
        <v>57.484870776654049</v>
      </c>
      <c r="AR13" s="90">
        <f t="shared" si="12"/>
        <v>0.18599999999992178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1575</v>
      </c>
      <c r="E14" s="62">
        <v>4.25</v>
      </c>
      <c r="F14" s="62">
        <v>8.2799999999999994</v>
      </c>
      <c r="G14" s="62">
        <f t="shared" si="0"/>
        <v>66.9375</v>
      </c>
      <c r="H14" s="63">
        <f t="shared" si="1"/>
        <v>130.41</v>
      </c>
      <c r="I14" s="203">
        <v>359.8</v>
      </c>
      <c r="J14" s="203">
        <v>370.59399999999999</v>
      </c>
      <c r="K14" s="203">
        <v>4.9619788771539737</v>
      </c>
      <c r="L14" s="203">
        <v>8.5888271261812115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370.59399999999999</v>
      </c>
      <c r="S14" s="62">
        <f t="shared" si="2"/>
        <v>18.388795999999999</v>
      </c>
      <c r="T14" s="63">
        <f t="shared" si="3"/>
        <v>31.829677999999998</v>
      </c>
      <c r="U14" s="64" t="s">
        <v>167</v>
      </c>
      <c r="V14" s="65" t="s">
        <v>187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1946</v>
      </c>
      <c r="AI14" s="71">
        <v>4.3</v>
      </c>
      <c r="AJ14" s="71">
        <v>8.33</v>
      </c>
      <c r="AK14" s="62">
        <f t="shared" si="8"/>
        <v>83.677999999999997</v>
      </c>
      <c r="AL14" s="72">
        <f t="shared" si="9"/>
        <v>162.1018</v>
      </c>
      <c r="AM14" s="73">
        <f t="shared" si="15"/>
        <v>-0.40599999999994907</v>
      </c>
      <c r="AN14" s="74">
        <f t="shared" si="10"/>
        <v>1.648296000000002</v>
      </c>
      <c r="AO14" s="74">
        <f t="shared" si="10"/>
        <v>0.13787800000000061</v>
      </c>
      <c r="AP14" s="75">
        <f t="shared" si="16"/>
        <v>3.5568066046770014E-2</v>
      </c>
      <c r="AQ14" s="76">
        <f t="shared" si="11"/>
        <v>781.19976601333451</v>
      </c>
      <c r="AR14" s="90">
        <f t="shared" si="12"/>
        <v>-0.40599999999994907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1946</v>
      </c>
      <c r="E15" s="62">
        <v>4.3</v>
      </c>
      <c r="F15" s="62">
        <v>8.33</v>
      </c>
      <c r="G15" s="62">
        <f t="shared" si="0"/>
        <v>83.677999999999997</v>
      </c>
      <c r="H15" s="63">
        <f t="shared" si="1"/>
        <v>162.1018</v>
      </c>
      <c r="I15" s="203">
        <v>648.79999999999995</v>
      </c>
      <c r="J15" s="203">
        <v>668.26400000000001</v>
      </c>
      <c r="K15" s="203">
        <v>3.9389950678175087</v>
      </c>
      <c r="L15" s="203">
        <v>8.3124229346485805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668.26400000000001</v>
      </c>
      <c r="S15" s="62">
        <f t="shared" si="2"/>
        <v>26.322885999999997</v>
      </c>
      <c r="T15" s="63">
        <f t="shared" si="3"/>
        <v>55.548929999999991</v>
      </c>
      <c r="U15" s="64" t="s">
        <v>167</v>
      </c>
      <c r="V15" s="65" t="s">
        <v>187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2614</v>
      </c>
      <c r="AI15" s="66">
        <v>4.2</v>
      </c>
      <c r="AJ15" s="66">
        <v>8.32</v>
      </c>
      <c r="AK15" s="62">
        <f t="shared" si="8"/>
        <v>109.78800000000001</v>
      </c>
      <c r="AL15" s="72">
        <f t="shared" si="9"/>
        <v>217.48479999999998</v>
      </c>
      <c r="AM15" s="73">
        <f t="shared" si="15"/>
        <v>0.26400000000012369</v>
      </c>
      <c r="AN15" s="74">
        <f t="shared" si="10"/>
        <v>0.21288599999998326</v>
      </c>
      <c r="AO15" s="74">
        <f t="shared" si="10"/>
        <v>0.16593000000000302</v>
      </c>
      <c r="AP15" s="75">
        <f t="shared" si="16"/>
        <v>4.6269402403384613E-3</v>
      </c>
      <c r="AQ15" s="76">
        <f t="shared" si="11"/>
        <v>145.2250784599934</v>
      </c>
      <c r="AR15" s="90">
        <f t="shared" si="12"/>
        <v>0.26400000000012369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2614</v>
      </c>
      <c r="E16" s="62">
        <v>4.2</v>
      </c>
      <c r="F16" s="62">
        <v>8.32</v>
      </c>
      <c r="G16" s="62">
        <f t="shared" si="0"/>
        <v>109.78800000000001</v>
      </c>
      <c r="H16" s="63">
        <f t="shared" si="1"/>
        <v>217.48479999999998</v>
      </c>
      <c r="I16" s="203">
        <v>430.6</v>
      </c>
      <c r="J16" s="203">
        <v>443.51800000000003</v>
      </c>
      <c r="K16" s="203">
        <v>4.5789828146771949</v>
      </c>
      <c r="L16" s="203">
        <v>8.583279145378544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443.51800000000003</v>
      </c>
      <c r="S16" s="62">
        <f t="shared" si="2"/>
        <v>20.308613000000001</v>
      </c>
      <c r="T16" s="63">
        <f t="shared" si="3"/>
        <v>38.068388000000013</v>
      </c>
      <c r="U16" s="64" t="s">
        <v>175</v>
      </c>
      <c r="V16" s="65" t="s">
        <v>349</v>
      </c>
      <c r="W16" s="66" t="s">
        <v>159</v>
      </c>
      <c r="X16" s="67">
        <v>3089</v>
      </c>
      <c r="Y16" s="68">
        <v>4.3499999999999996</v>
      </c>
      <c r="Z16" s="68">
        <v>8.0299999999999994</v>
      </c>
      <c r="AA16" s="62">
        <f t="shared" si="4"/>
        <v>134.3715</v>
      </c>
      <c r="AB16" s="63">
        <f t="shared" si="5"/>
        <v>248.04669999999999</v>
      </c>
      <c r="AC16" s="69">
        <v>3089</v>
      </c>
      <c r="AD16" s="70">
        <v>4.3499999999999996</v>
      </c>
      <c r="AE16" s="70">
        <v>8.0299999999999994</v>
      </c>
      <c r="AF16" s="62">
        <f t="shared" si="6"/>
        <v>134.3715</v>
      </c>
      <c r="AG16" s="63">
        <f t="shared" si="7"/>
        <v>248.04669999999999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-31.481999999999971</v>
      </c>
      <c r="AN16" s="74">
        <f t="shared" si="10"/>
        <v>-4.2748869999999783</v>
      </c>
      <c r="AO16" s="74">
        <f t="shared" si="10"/>
        <v>7.5064879999999903</v>
      </c>
      <c r="AP16" s="75">
        <f t="shared" si="16"/>
        <v>5.5357434343021684E-2</v>
      </c>
      <c r="AQ16" s="76">
        <f t="shared" si="11"/>
        <v>327.45216221667351</v>
      </c>
      <c r="AR16" s="90">
        <f t="shared" si="12"/>
        <v>-31.481999999999971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639.6</v>
      </c>
      <c r="J17" s="203">
        <v>658.78800000000001</v>
      </c>
      <c r="K17" s="203">
        <v>3.827157598499062</v>
      </c>
      <c r="L17" s="203">
        <v>8.3200437773608495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658.78800000000001</v>
      </c>
      <c r="S17" s="62">
        <f t="shared" si="2"/>
        <v>25.212855000000001</v>
      </c>
      <c r="T17" s="63">
        <f t="shared" si="3"/>
        <v>54.811449999999994</v>
      </c>
      <c r="U17" s="64" t="s">
        <v>167</v>
      </c>
      <c r="V17" s="65" t="s">
        <v>187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659</v>
      </c>
      <c r="AI17" s="66">
        <v>3.95</v>
      </c>
      <c r="AJ17" s="66">
        <v>8.1999999999999993</v>
      </c>
      <c r="AK17" s="62">
        <f t="shared" si="8"/>
        <v>26.0305</v>
      </c>
      <c r="AL17" s="72">
        <f>AH17*AJ17%</f>
        <v>54.03799999999999</v>
      </c>
      <c r="AM17" s="73">
        <f t="shared" si="15"/>
        <v>-0.21199999999998909</v>
      </c>
      <c r="AN17" s="74">
        <f t="shared" si="10"/>
        <v>-0.81764499999999884</v>
      </c>
      <c r="AO17" s="74">
        <f t="shared" si="10"/>
        <v>0.77345000000000397</v>
      </c>
      <c r="AP17" s="75">
        <f t="shared" si="16"/>
        <v>-5.5226971355758572E-4</v>
      </c>
      <c r="AQ17" s="76">
        <f t="shared" si="11"/>
        <v>-135.57605728333161</v>
      </c>
      <c r="AR17" s="90">
        <f t="shared" si="12"/>
        <v>-0.21199999999998909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659</v>
      </c>
      <c r="E18" s="62">
        <v>3.95</v>
      </c>
      <c r="F18" s="62">
        <v>8.1999999999999993</v>
      </c>
      <c r="G18" s="62">
        <f t="shared" si="0"/>
        <v>26.0305</v>
      </c>
      <c r="H18" s="63">
        <f t="shared" si="1"/>
        <v>54.03799999999999</v>
      </c>
      <c r="I18" s="203">
        <v>398.9</v>
      </c>
      <c r="J18" s="203">
        <v>410.86699999999996</v>
      </c>
      <c r="K18" s="203">
        <v>4.7815241915266977</v>
      </c>
      <c r="L18" s="203">
        <v>8.5578089746803698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410.86699999999996</v>
      </c>
      <c r="S18" s="62">
        <f t="shared" si="2"/>
        <v>19.645704999999996</v>
      </c>
      <c r="T18" s="63">
        <f t="shared" si="3"/>
        <v>35.161212999999989</v>
      </c>
      <c r="U18" s="64" t="s">
        <v>167</v>
      </c>
      <c r="V18" s="65" t="s">
        <v>187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7">
        <v>1070</v>
      </c>
      <c r="AI18" s="71">
        <v>4.75</v>
      </c>
      <c r="AJ18" s="71">
        <v>8.36</v>
      </c>
      <c r="AK18" s="62">
        <f t="shared" si="8"/>
        <v>50.825000000000003</v>
      </c>
      <c r="AL18" s="72">
        <f t="shared" si="9"/>
        <v>89.451999999999998</v>
      </c>
      <c r="AM18" s="73">
        <f t="shared" si="15"/>
        <v>-0.1330000000000382</v>
      </c>
      <c r="AN18" s="74">
        <f t="shared" si="10"/>
        <v>-5.1487950000000069</v>
      </c>
      <c r="AO18" s="74">
        <f t="shared" si="10"/>
        <v>-0.25278700000001209</v>
      </c>
      <c r="AP18" s="75">
        <f t="shared" si="16"/>
        <v>-9.8556572730472108E-2</v>
      </c>
      <c r="AQ18" s="76">
        <f t="shared" si="11"/>
        <v>-2386.9979715633403</v>
      </c>
      <c r="AR18" s="90">
        <f t="shared" si="12"/>
        <v>-0.1330000000000382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1070</v>
      </c>
      <c r="E19" s="62">
        <v>4.75</v>
      </c>
      <c r="F19" s="62">
        <v>8.36</v>
      </c>
      <c r="G19" s="62">
        <f t="shared" si="0"/>
        <v>50.825000000000003</v>
      </c>
      <c r="H19" s="63">
        <f t="shared" si="1"/>
        <v>89.451999999999998</v>
      </c>
      <c r="I19" s="203">
        <v>897.30000000000007</v>
      </c>
      <c r="J19" s="203">
        <v>924.21900000000005</v>
      </c>
      <c r="K19" s="203">
        <v>4.3156915190014491</v>
      </c>
      <c r="L19" s="203">
        <v>8.3115791819904175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924.21900000000005</v>
      </c>
      <c r="S19" s="62">
        <f t="shared" si="2"/>
        <v>39.886441000000005</v>
      </c>
      <c r="T19" s="63">
        <f t="shared" si="3"/>
        <v>76.817194000000029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1993</v>
      </c>
      <c r="AI19" s="71">
        <v>4.54</v>
      </c>
      <c r="AJ19" s="71">
        <v>8.34</v>
      </c>
      <c r="AK19" s="62">
        <f t="shared" si="8"/>
        <v>90.482200000000006</v>
      </c>
      <c r="AL19" s="72">
        <f t="shared" si="9"/>
        <v>166.21620000000001</v>
      </c>
      <c r="AM19" s="73">
        <f t="shared" si="15"/>
        <v>1.2190000000000509</v>
      </c>
      <c r="AN19" s="74">
        <f t="shared" si="10"/>
        <v>0.2292410000000018</v>
      </c>
      <c r="AO19" s="74">
        <f t="shared" si="10"/>
        <v>5.299400000001242E-2</v>
      </c>
      <c r="AP19" s="75">
        <f t="shared" si="16"/>
        <v>2.4183908239020502E-3</v>
      </c>
      <c r="AQ19" s="76">
        <f t="shared" si="11"/>
        <v>118.76826833667121</v>
      </c>
      <c r="AR19" s="90">
        <f t="shared" si="12"/>
        <v>1.2190000000000509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1993</v>
      </c>
      <c r="E20" s="62">
        <v>4.54</v>
      </c>
      <c r="F20" s="62">
        <v>8.34</v>
      </c>
      <c r="G20" s="62">
        <f t="shared" si="0"/>
        <v>90.482200000000006</v>
      </c>
      <c r="H20" s="63">
        <f t="shared" si="1"/>
        <v>166.21620000000001</v>
      </c>
      <c r="I20" s="203">
        <v>381.20000000000005</v>
      </c>
      <c r="J20" s="203">
        <v>392.63600000000008</v>
      </c>
      <c r="K20" s="203">
        <v>4.7906348373557179</v>
      </c>
      <c r="L20" s="203">
        <v>8.6460650577124856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392.63600000000008</v>
      </c>
      <c r="S20" s="62">
        <f t="shared" si="2"/>
        <v>18.809757000000001</v>
      </c>
      <c r="T20" s="63">
        <f t="shared" si="3"/>
        <v>33.947564000000007</v>
      </c>
      <c r="U20" s="64" t="s">
        <v>172</v>
      </c>
      <c r="V20" s="65" t="s">
        <v>350</v>
      </c>
      <c r="W20" s="66" t="s">
        <v>219</v>
      </c>
      <c r="X20" s="67">
        <v>2375</v>
      </c>
      <c r="Y20" s="68">
        <v>4.3</v>
      </c>
      <c r="Z20" s="68">
        <v>8.02</v>
      </c>
      <c r="AA20" s="62">
        <f t="shared" si="4"/>
        <v>102.12499999999999</v>
      </c>
      <c r="AB20" s="63">
        <f t="shared" si="5"/>
        <v>190.47499999999999</v>
      </c>
      <c r="AC20" s="69">
        <v>2370</v>
      </c>
      <c r="AD20" s="70">
        <v>4.2</v>
      </c>
      <c r="AE20" s="70">
        <v>8</v>
      </c>
      <c r="AF20" s="62">
        <f t="shared" si="6"/>
        <v>99.54</v>
      </c>
      <c r="AG20" s="63">
        <f t="shared" si="7"/>
        <v>189.6</v>
      </c>
      <c r="AH20" s="97">
        <v>0</v>
      </c>
      <c r="AI20" s="71">
        <v>0</v>
      </c>
      <c r="AJ20" s="71">
        <v>0</v>
      </c>
      <c r="AK20" s="62">
        <f t="shared" si="8"/>
        <v>0</v>
      </c>
      <c r="AL20" s="72">
        <f t="shared" si="9"/>
        <v>0</v>
      </c>
      <c r="AM20" s="73">
        <f t="shared" si="15"/>
        <v>15.635999999999967</v>
      </c>
      <c r="AN20" s="74">
        <f t="shared" ref="AN20:AO65" si="18">+G20+S20-AF20-AK20</f>
        <v>9.7519570000000044</v>
      </c>
      <c r="AO20" s="74">
        <f t="shared" si="18"/>
        <v>10.56376400000002</v>
      </c>
      <c r="AP20" s="75">
        <f t="shared" si="16"/>
        <v>0.38507870784416864</v>
      </c>
      <c r="AQ20" s="76">
        <f t="shared" si="11"/>
        <v>7539.2038816966751</v>
      </c>
      <c r="AR20" s="90">
        <f t="shared" si="12"/>
        <v>10.635999999999967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608.0999999999998</v>
      </c>
      <c r="J21" s="203">
        <v>626.34299999999985</v>
      </c>
      <c r="K21" s="203">
        <v>3.9358658115441556</v>
      </c>
      <c r="L21" s="203">
        <v>8.2958395000822271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626.34299999999985</v>
      </c>
      <c r="S21" s="62">
        <f t="shared" si="2"/>
        <v>24.652020000000004</v>
      </c>
      <c r="T21" s="63">
        <f t="shared" si="3"/>
        <v>51.960410000000017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627</v>
      </c>
      <c r="AI21" s="71">
        <v>4.0999999999999996</v>
      </c>
      <c r="AJ21" s="71">
        <v>8.23</v>
      </c>
      <c r="AK21" s="62">
        <f t="shared" si="8"/>
        <v>25.706999999999997</v>
      </c>
      <c r="AL21" s="72">
        <f t="shared" si="9"/>
        <v>51.6021</v>
      </c>
      <c r="AM21" s="73">
        <f t="shared" si="15"/>
        <v>-0.6570000000001528</v>
      </c>
      <c r="AN21" s="74">
        <f t="shared" si="18"/>
        <v>-1.0549799999999934</v>
      </c>
      <c r="AO21" s="74">
        <f t="shared" si="18"/>
        <v>0.35831000000001723</v>
      </c>
      <c r="AP21" s="75">
        <f t="shared" si="16"/>
        <v>-9.0934330108048515E-3</v>
      </c>
      <c r="AQ21" s="76">
        <f t="shared" si="11"/>
        <v>-366.3584437333252</v>
      </c>
      <c r="AR21" s="90">
        <f t="shared" si="12"/>
        <v>-0.6570000000001528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627</v>
      </c>
      <c r="E22" s="62">
        <v>4.0999999999999996</v>
      </c>
      <c r="F22" s="62">
        <v>8.23</v>
      </c>
      <c r="G22" s="62">
        <f t="shared" si="0"/>
        <v>25.706999999999997</v>
      </c>
      <c r="H22" s="63">
        <f t="shared" si="1"/>
        <v>51.6021</v>
      </c>
      <c r="I22" s="203">
        <v>427.7</v>
      </c>
      <c r="J22" s="203">
        <v>440.53100000000001</v>
      </c>
      <c r="K22" s="203">
        <v>4.4074818798223054</v>
      </c>
      <c r="L22" s="203">
        <v>8.463642740238484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440.53100000000001</v>
      </c>
      <c r="S22" s="62">
        <f t="shared" si="2"/>
        <v>19.416323999999999</v>
      </c>
      <c r="T22" s="63">
        <f t="shared" si="3"/>
        <v>37.284969999999994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1068</v>
      </c>
      <c r="AI22" s="71">
        <v>4.2</v>
      </c>
      <c r="AJ22" s="71">
        <v>8.25</v>
      </c>
      <c r="AK22" s="62">
        <f t="shared" si="8"/>
        <v>44.856000000000002</v>
      </c>
      <c r="AL22" s="72">
        <f t="shared" si="9"/>
        <v>88.11</v>
      </c>
      <c r="AM22" s="73">
        <f t="shared" si="15"/>
        <v>-0.46900000000005093</v>
      </c>
      <c r="AN22" s="74">
        <f t="shared" si="18"/>
        <v>0.26732399999999501</v>
      </c>
      <c r="AO22" s="74">
        <f t="shared" si="18"/>
        <v>0.77706999999999482</v>
      </c>
      <c r="AP22" s="75">
        <f t="shared" si="16"/>
        <v>1.8419226905121249E-2</v>
      </c>
      <c r="AQ22" s="76">
        <f t="shared" si="11"/>
        <v>352.56074597332957</v>
      </c>
      <c r="AR22" s="90">
        <f t="shared" si="12"/>
        <v>-0.46900000000005093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1068</v>
      </c>
      <c r="E23" s="62">
        <v>4.2</v>
      </c>
      <c r="F23" s="62">
        <v>8.25</v>
      </c>
      <c r="G23" s="62">
        <f t="shared" si="0"/>
        <v>44.856000000000002</v>
      </c>
      <c r="H23" s="63">
        <f t="shared" si="1"/>
        <v>88.11</v>
      </c>
      <c r="I23" s="203">
        <v>579.70000000000005</v>
      </c>
      <c r="J23" s="203">
        <v>597.09100000000001</v>
      </c>
      <c r="K23" s="203">
        <v>3.9084698982232191</v>
      </c>
      <c r="L23" s="203">
        <v>8.3560634811109207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597.09100000000001</v>
      </c>
      <c r="S23" s="62">
        <f t="shared" si="2"/>
        <v>23.337122000000001</v>
      </c>
      <c r="T23" s="63">
        <f t="shared" si="3"/>
        <v>49.893303000000003</v>
      </c>
      <c r="U23" s="64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7">
        <v>1665</v>
      </c>
      <c r="AI23" s="71">
        <v>4.09</v>
      </c>
      <c r="AJ23" s="71">
        <v>8.2799999999999994</v>
      </c>
      <c r="AK23" s="62">
        <f t="shared" si="8"/>
        <v>68.098500000000001</v>
      </c>
      <c r="AL23" s="72">
        <f t="shared" si="9"/>
        <v>137.86199999999999</v>
      </c>
      <c r="AM23" s="73">
        <f t="shared" si="15"/>
        <v>9.0999999999894499E-2</v>
      </c>
      <c r="AN23" s="74">
        <f t="shared" si="18"/>
        <v>9.4622000000001094E-2</v>
      </c>
      <c r="AO23" s="74">
        <f t="shared" si="18"/>
        <v>0.14130300000002194</v>
      </c>
      <c r="AP23" s="75">
        <f t="shared" si="16"/>
        <v>3.2216800598934532E-3</v>
      </c>
      <c r="AQ23" s="76">
        <f t="shared" si="11"/>
        <v>84.764981840007067</v>
      </c>
      <c r="AR23" s="90">
        <f t="shared" si="12"/>
        <v>9.0999999999894499E-2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1665</v>
      </c>
      <c r="E24" s="62">
        <v>4.09</v>
      </c>
      <c r="F24" s="62">
        <v>8.2799999999999994</v>
      </c>
      <c r="G24" s="62">
        <f t="shared" si="0"/>
        <v>68.098500000000001</v>
      </c>
      <c r="H24" s="63">
        <f t="shared" si="1"/>
        <v>137.86199999999999</v>
      </c>
      <c r="I24" s="203">
        <v>397.3</v>
      </c>
      <c r="J24" s="203">
        <v>409.21899999999999</v>
      </c>
      <c r="K24" s="203">
        <v>4.3386609614900573</v>
      </c>
      <c r="L24" s="203">
        <v>8.3165869619934565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409.21899999999999</v>
      </c>
      <c r="S24" s="62">
        <f t="shared" si="2"/>
        <v>17.754624999999997</v>
      </c>
      <c r="T24" s="63">
        <f t="shared" si="3"/>
        <v>34.033054</v>
      </c>
      <c r="U24" s="64" t="s">
        <v>187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7">
        <v>2074</v>
      </c>
      <c r="AI24" s="71">
        <v>4.0999999999999996</v>
      </c>
      <c r="AJ24" s="71">
        <v>8.26</v>
      </c>
      <c r="AK24" s="62">
        <f t="shared" si="8"/>
        <v>85.033999999999992</v>
      </c>
      <c r="AL24" s="72">
        <f t="shared" si="9"/>
        <v>171.3124</v>
      </c>
      <c r="AM24" s="73">
        <f t="shared" si="15"/>
        <v>0.21900000000005093</v>
      </c>
      <c r="AN24" s="74">
        <f t="shared" si="18"/>
        <v>0.81912500000001387</v>
      </c>
      <c r="AO24" s="74">
        <f t="shared" si="18"/>
        <v>0.5826539999999909</v>
      </c>
      <c r="AP24" s="75">
        <f t="shared" si="16"/>
        <v>2.7067808928065783E-2</v>
      </c>
      <c r="AQ24" s="76">
        <f t="shared" si="11"/>
        <v>542.08620851000353</v>
      </c>
      <c r="AR24" s="90">
        <f t="shared" si="12"/>
        <v>0.21900000000005093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2074</v>
      </c>
      <c r="E25" s="62">
        <v>4.0999999999999996</v>
      </c>
      <c r="F25" s="62">
        <v>8.26</v>
      </c>
      <c r="G25" s="62">
        <f t="shared" si="0"/>
        <v>85.033999999999992</v>
      </c>
      <c r="H25" s="63">
        <f t="shared" si="1"/>
        <v>171.3124</v>
      </c>
      <c r="I25" s="203">
        <v>510.20000000000005</v>
      </c>
      <c r="J25" s="203">
        <v>525.50600000000009</v>
      </c>
      <c r="K25" s="203">
        <v>3.8075264602116814</v>
      </c>
      <c r="L25" s="203">
        <v>8.2503528028224213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525.50600000000009</v>
      </c>
      <c r="S25" s="62">
        <f t="shared" si="2"/>
        <v>20.008780000000002</v>
      </c>
      <c r="T25" s="63">
        <f t="shared" si="3"/>
        <v>43.356099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2599</v>
      </c>
      <c r="AI25" s="71">
        <v>4.04</v>
      </c>
      <c r="AJ25" s="71">
        <v>8.52</v>
      </c>
      <c r="AK25" s="62">
        <f t="shared" si="8"/>
        <v>104.9996</v>
      </c>
      <c r="AL25" s="72">
        <f t="shared" si="9"/>
        <v>221.4348</v>
      </c>
      <c r="AM25" s="73">
        <f t="shared" si="15"/>
        <v>0.50600000000031287</v>
      </c>
      <c r="AN25" s="74">
        <f t="shared" si="18"/>
        <v>4.3179999999992447E-2</v>
      </c>
      <c r="AO25" s="74">
        <f t="shared" si="18"/>
        <v>-6.7663009999999986</v>
      </c>
      <c r="AP25" s="75">
        <f t="shared" si="16"/>
        <v>-0.10610169396835754</v>
      </c>
      <c r="AQ25" s="76">
        <f t="shared" si="11"/>
        <v>-2005.58952080667</v>
      </c>
      <c r="AR25" s="90">
        <f t="shared" si="12"/>
        <v>0.50600000000031287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>
        <v>2599</v>
      </c>
      <c r="E26" s="62">
        <v>4.04</v>
      </c>
      <c r="F26" s="62">
        <v>8.52</v>
      </c>
      <c r="G26" s="62">
        <f t="shared" si="0"/>
        <v>104.9996</v>
      </c>
      <c r="H26" s="63">
        <f t="shared" si="1"/>
        <v>221.4348</v>
      </c>
      <c r="I26" s="203">
        <v>383.20000000000005</v>
      </c>
      <c r="J26" s="203">
        <v>394.69600000000008</v>
      </c>
      <c r="K26" s="203">
        <v>4.3446242171189979</v>
      </c>
      <c r="L26" s="203">
        <v>8.3801670146137788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394.69600000000008</v>
      </c>
      <c r="S26" s="62">
        <f t="shared" si="2"/>
        <v>17.148058000000006</v>
      </c>
      <c r="T26" s="63">
        <f t="shared" si="3"/>
        <v>33.076184000000012</v>
      </c>
      <c r="U26" s="64" t="s">
        <v>171</v>
      </c>
      <c r="V26" s="65" t="s">
        <v>511</v>
      </c>
      <c r="W26" s="66" t="s">
        <v>219</v>
      </c>
      <c r="X26" s="67">
        <v>3040</v>
      </c>
      <c r="Y26" s="68">
        <v>4.1500000000000004</v>
      </c>
      <c r="Z26" s="68">
        <v>8.11</v>
      </c>
      <c r="AA26" s="62">
        <f t="shared" si="4"/>
        <v>126.16000000000001</v>
      </c>
      <c r="AB26" s="63">
        <f t="shared" si="5"/>
        <v>246.54399999999998</v>
      </c>
      <c r="AC26" s="69">
        <v>3000</v>
      </c>
      <c r="AD26" s="70">
        <v>4.0999999999999996</v>
      </c>
      <c r="AE26" s="70">
        <v>8.1</v>
      </c>
      <c r="AF26" s="62">
        <f t="shared" si="6"/>
        <v>122.99999999999999</v>
      </c>
      <c r="AG26" s="63">
        <f t="shared" si="7"/>
        <v>243</v>
      </c>
      <c r="AH26" s="97">
        <v>0</v>
      </c>
      <c r="AI26" s="71">
        <v>0</v>
      </c>
      <c r="AJ26" s="71">
        <v>0</v>
      </c>
      <c r="AK26" s="62">
        <f t="shared" si="8"/>
        <v>0</v>
      </c>
      <c r="AL26" s="72">
        <f t="shared" si="9"/>
        <v>0</v>
      </c>
      <c r="AM26" s="73">
        <f t="shared" si="15"/>
        <v>-6.3040000000000873</v>
      </c>
      <c r="AN26" s="74">
        <f t="shared" si="18"/>
        <v>-0.85234199999997884</v>
      </c>
      <c r="AO26" s="74">
        <f t="shared" si="18"/>
        <v>11.510984000000008</v>
      </c>
      <c r="AP26" s="75">
        <f t="shared" si="16"/>
        <v>0.21222106249010239</v>
      </c>
      <c r="AQ26" s="76">
        <f t="shared" si="11"/>
        <v>3062.3057044066791</v>
      </c>
      <c r="AR26" s="90">
        <f t="shared" si="12"/>
        <v>-46.304000000000087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>
        <v>0</v>
      </c>
      <c r="E27" s="62">
        <v>0</v>
      </c>
      <c r="F27" s="62">
        <v>0</v>
      </c>
      <c r="G27" s="62">
        <f t="shared" si="0"/>
        <v>0</v>
      </c>
      <c r="H27" s="63">
        <f t="shared" si="1"/>
        <v>0</v>
      </c>
      <c r="I27" s="203">
        <v>557.79999999999995</v>
      </c>
      <c r="J27" s="203">
        <v>574.53399999999999</v>
      </c>
      <c r="K27" s="203">
        <v>3.8161348153460026</v>
      </c>
      <c r="L27" s="203">
        <v>8.2820007171029051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574.53399999999999</v>
      </c>
      <c r="S27" s="62">
        <f t="shared" si="2"/>
        <v>21.924992000000003</v>
      </c>
      <c r="T27" s="63">
        <f t="shared" si="3"/>
        <v>47.582910000000005</v>
      </c>
      <c r="U27" s="64" t="s">
        <v>167</v>
      </c>
      <c r="V27" s="65" t="s">
        <v>187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>
        <v>574</v>
      </c>
      <c r="AI27" s="71">
        <v>4.0999999999999996</v>
      </c>
      <c r="AJ27" s="71">
        <v>8.35</v>
      </c>
      <c r="AK27" s="62">
        <f t="shared" si="8"/>
        <v>23.533999999999995</v>
      </c>
      <c r="AL27" s="72">
        <f t="shared" si="9"/>
        <v>47.928999999999995</v>
      </c>
      <c r="AM27" s="73">
        <f t="shared" si="15"/>
        <v>0.53399999999999181</v>
      </c>
      <c r="AN27" s="74">
        <f t="shared" si="18"/>
        <v>-1.6090079999999922</v>
      </c>
      <c r="AO27" s="74">
        <f t="shared" si="18"/>
        <v>-0.34608999999998957</v>
      </c>
      <c r="AP27" s="75">
        <f t="shared" si="16"/>
        <v>-2.8127708415080371E-2</v>
      </c>
      <c r="AQ27" s="76">
        <f t="shared" si="11"/>
        <v>-825.87528921332671</v>
      </c>
      <c r="AR27" s="90">
        <f t="shared" si="12"/>
        <v>0.53399999999999181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>
        <v>574</v>
      </c>
      <c r="E28" s="62">
        <v>4.0999999999999996</v>
      </c>
      <c r="F28" s="62">
        <v>8.35</v>
      </c>
      <c r="G28" s="62">
        <f t="shared" si="0"/>
        <v>23.533999999999995</v>
      </c>
      <c r="H28" s="63">
        <f t="shared" si="1"/>
        <v>47.928999999999995</v>
      </c>
      <c r="I28" s="203">
        <v>359.90000000000003</v>
      </c>
      <c r="J28" s="203">
        <v>370.69700000000006</v>
      </c>
      <c r="K28" s="203">
        <v>4.5143651014170612</v>
      </c>
      <c r="L28" s="203">
        <v>8.5342595165323729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370.69700000000006</v>
      </c>
      <c r="S28" s="62">
        <f t="shared" si="2"/>
        <v>16.734616000000006</v>
      </c>
      <c r="T28" s="63">
        <f t="shared" si="3"/>
        <v>31.636244000000019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97">
        <v>948</v>
      </c>
      <c r="AI28" s="66">
        <v>4.1500000000000004</v>
      </c>
      <c r="AJ28" s="66">
        <v>8.24</v>
      </c>
      <c r="AK28" s="62">
        <f t="shared" si="8"/>
        <v>39.341999999999999</v>
      </c>
      <c r="AL28" s="72">
        <f t="shared" si="9"/>
        <v>78.115200000000002</v>
      </c>
      <c r="AM28" s="73">
        <f t="shared" si="15"/>
        <v>-3.3029999999998836</v>
      </c>
      <c r="AN28" s="74">
        <f t="shared" si="18"/>
        <v>0.92661600000000277</v>
      </c>
      <c r="AO28" s="74">
        <f t="shared" si="18"/>
        <v>1.4500440000000054</v>
      </c>
      <c r="AP28" s="75">
        <f t="shared" si="16"/>
        <v>4.9134127447806535E-2</v>
      </c>
      <c r="AQ28" s="76">
        <f t="shared" si="11"/>
        <v>849.9266899200029</v>
      </c>
      <c r="AR28" s="90">
        <f t="shared" si="12"/>
        <v>-3.3029999999998836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>
        <v>948</v>
      </c>
      <c r="E29" s="62">
        <v>4.1500000000000004</v>
      </c>
      <c r="F29" s="62">
        <v>8.24</v>
      </c>
      <c r="G29" s="62">
        <f t="shared" si="0"/>
        <v>39.341999999999999</v>
      </c>
      <c r="H29" s="63">
        <f t="shared" si="1"/>
        <v>78.115200000000002</v>
      </c>
      <c r="I29" s="203">
        <v>636.4</v>
      </c>
      <c r="J29" s="203">
        <v>655.49199999999996</v>
      </c>
      <c r="K29" s="203">
        <v>3.6981772470144567</v>
      </c>
      <c r="L29" s="203">
        <v>8.2738372093023251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655.49199999999996</v>
      </c>
      <c r="S29" s="62">
        <f t="shared" si="2"/>
        <v>24.241256</v>
      </c>
      <c r="T29" s="63">
        <f t="shared" si="3"/>
        <v>54.234340999999993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>
        <v>1608</v>
      </c>
      <c r="AI29" s="66">
        <v>4.1500000000000004</v>
      </c>
      <c r="AJ29" s="66">
        <v>8.24</v>
      </c>
      <c r="AK29" s="62">
        <f t="shared" si="8"/>
        <v>66.731999999999999</v>
      </c>
      <c r="AL29" s="72">
        <f t="shared" si="9"/>
        <v>132.4992</v>
      </c>
      <c r="AM29" s="73">
        <f t="shared" si="15"/>
        <v>-4.5080000000000382</v>
      </c>
      <c r="AN29" s="74">
        <f t="shared" si="18"/>
        <v>-3.1487440000000007</v>
      </c>
      <c r="AO29" s="74">
        <f t="shared" si="18"/>
        <v>-0.14965900000001398</v>
      </c>
      <c r="AP29" s="75">
        <f t="shared" si="16"/>
        <v>-4.2030938611400621E-2</v>
      </c>
      <c r="AQ29" s="76">
        <f t="shared" si="11"/>
        <v>-1458.2916168333379</v>
      </c>
      <c r="AR29" s="90">
        <f t="shared" si="12"/>
        <v>-4.5080000000000382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>
        <v>1608</v>
      </c>
      <c r="E30" s="62">
        <v>4.1500000000000004</v>
      </c>
      <c r="F30" s="62">
        <v>8.24</v>
      </c>
      <c r="G30" s="62">
        <f t="shared" si="0"/>
        <v>66.731999999999999</v>
      </c>
      <c r="H30" s="63">
        <f t="shared" si="1"/>
        <v>132.4992</v>
      </c>
      <c r="I30" s="203">
        <v>367.30000000000007</v>
      </c>
      <c r="J30" s="203">
        <v>378.31900000000007</v>
      </c>
      <c r="K30" s="203">
        <v>4.5389055268173149</v>
      </c>
      <c r="L30" s="203">
        <v>8.4526817315545877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378.31900000000007</v>
      </c>
      <c r="S30" s="62">
        <f t="shared" si="2"/>
        <v>17.171541999999999</v>
      </c>
      <c r="T30" s="63">
        <f t="shared" si="3"/>
        <v>31.978101000000006</v>
      </c>
      <c r="U30" s="64" t="s">
        <v>172</v>
      </c>
      <c r="V30" s="65" t="s">
        <v>498</v>
      </c>
      <c r="W30" s="66" t="s">
        <v>219</v>
      </c>
      <c r="X30" s="67">
        <v>2004</v>
      </c>
      <c r="Y30" s="68">
        <v>4.25</v>
      </c>
      <c r="Z30" s="68">
        <v>8.26</v>
      </c>
      <c r="AA30" s="62">
        <f t="shared" si="4"/>
        <v>85.17</v>
      </c>
      <c r="AB30" s="63">
        <f t="shared" si="5"/>
        <v>165.53039999999999</v>
      </c>
      <c r="AC30" s="69">
        <v>2000</v>
      </c>
      <c r="AD30" s="70">
        <v>4.2</v>
      </c>
      <c r="AE30" s="70">
        <v>8.18</v>
      </c>
      <c r="AF30" s="62">
        <f t="shared" si="6"/>
        <v>84</v>
      </c>
      <c r="AG30" s="63">
        <f t="shared" si="7"/>
        <v>163.6</v>
      </c>
      <c r="AH30" s="97">
        <v>0</v>
      </c>
      <c r="AI30" s="66">
        <v>0</v>
      </c>
      <c r="AJ30" s="66">
        <v>0</v>
      </c>
      <c r="AK30" s="62">
        <f t="shared" si="8"/>
        <v>0</v>
      </c>
      <c r="AL30" s="72">
        <f t="shared" si="9"/>
        <v>0</v>
      </c>
      <c r="AM30" s="73">
        <f t="shared" si="15"/>
        <v>-13.68100000000004</v>
      </c>
      <c r="AN30" s="74">
        <f t="shared" si="18"/>
        <v>-9.6457999999998378E-2</v>
      </c>
      <c r="AO30" s="74">
        <f t="shared" si="18"/>
        <v>0.87730100000001698</v>
      </c>
      <c r="AP30" s="75">
        <f t="shared" si="16"/>
        <v>1.588705334034712E-2</v>
      </c>
      <c r="AQ30" s="76">
        <f t="shared" si="11"/>
        <v>219.25183382667251</v>
      </c>
      <c r="AR30" s="90">
        <f t="shared" si="12"/>
        <v>-17.68100000000004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>
        <v>0</v>
      </c>
      <c r="E31" s="62">
        <v>0</v>
      </c>
      <c r="F31" s="62">
        <v>0</v>
      </c>
      <c r="G31" s="62">
        <f t="shared" si="0"/>
        <v>0</v>
      </c>
      <c r="H31" s="63">
        <f t="shared" si="1"/>
        <v>0</v>
      </c>
      <c r="I31" s="203">
        <v>495.2</v>
      </c>
      <c r="J31" s="203">
        <v>510.05599999999998</v>
      </c>
      <c r="K31" s="203">
        <v>3.6989701130856227</v>
      </c>
      <c r="L31" s="203">
        <v>8.2320072697899835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510.05599999999998</v>
      </c>
      <c r="S31" s="62">
        <f t="shared" si="2"/>
        <v>18.866819000000003</v>
      </c>
      <c r="T31" s="63">
        <f t="shared" si="3"/>
        <v>41.987846999999995</v>
      </c>
      <c r="U31" s="64" t="s">
        <v>167</v>
      </c>
      <c r="V31" s="85" t="s">
        <v>187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>
        <v>515</v>
      </c>
      <c r="AI31" s="66">
        <v>3.9</v>
      </c>
      <c r="AJ31" s="66">
        <v>8.19</v>
      </c>
      <c r="AK31" s="62">
        <f t="shared" si="8"/>
        <v>20.085000000000001</v>
      </c>
      <c r="AL31" s="72">
        <f t="shared" si="9"/>
        <v>42.1785</v>
      </c>
      <c r="AM31" s="73">
        <f t="shared" si="15"/>
        <v>-4.9440000000000168</v>
      </c>
      <c r="AN31" s="74">
        <f t="shared" si="18"/>
        <v>-1.2181809999999977</v>
      </c>
      <c r="AO31" s="74">
        <f t="shared" si="18"/>
        <v>-0.19065300000000462</v>
      </c>
      <c r="AP31" s="75">
        <f t="shared" si="16"/>
        <v>-2.3150796686650165E-2</v>
      </c>
      <c r="AQ31" s="76">
        <f t="shared" si="11"/>
        <v>-603.91099153000039</v>
      </c>
      <c r="AR31" s="90">
        <f t="shared" si="12"/>
        <v>-4.9440000000000168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>
        <v>515</v>
      </c>
      <c r="E32" s="62">
        <v>3.9</v>
      </c>
      <c r="F32" s="62">
        <v>8.19</v>
      </c>
      <c r="G32" s="62">
        <f t="shared" si="0"/>
        <v>20.085000000000001</v>
      </c>
      <c r="H32" s="63">
        <f t="shared" si="1"/>
        <v>42.1785</v>
      </c>
      <c r="I32" s="203">
        <v>284</v>
      </c>
      <c r="J32" s="203">
        <v>292.52</v>
      </c>
      <c r="K32" s="203">
        <v>4.6170774647887329</v>
      </c>
      <c r="L32" s="203">
        <v>8.1009507042253528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292.52</v>
      </c>
      <c r="S32" s="62">
        <f t="shared" si="2"/>
        <v>13.505875000000001</v>
      </c>
      <c r="T32" s="63">
        <f t="shared" si="3"/>
        <v>23.696901</v>
      </c>
      <c r="U32" s="64" t="s">
        <v>167</v>
      </c>
      <c r="V32" s="8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7">
        <v>807</v>
      </c>
      <c r="AI32" s="66">
        <v>4.2</v>
      </c>
      <c r="AJ32" s="66">
        <v>8.25</v>
      </c>
      <c r="AK32" s="62">
        <f t="shared" si="8"/>
        <v>33.894000000000005</v>
      </c>
      <c r="AL32" s="72">
        <f t="shared" si="9"/>
        <v>66.577500000000001</v>
      </c>
      <c r="AM32" s="73">
        <f t="shared" si="15"/>
        <v>0.51999999999998181</v>
      </c>
      <c r="AN32" s="74">
        <f t="shared" si="18"/>
        <v>-0.30312500000000142</v>
      </c>
      <c r="AO32" s="74">
        <f t="shared" si="18"/>
        <v>-0.70209900000000403</v>
      </c>
      <c r="AP32" s="75">
        <f t="shared" si="16"/>
        <v>-2.7020134196437531E-2</v>
      </c>
      <c r="AQ32" s="76">
        <f t="shared" si="11"/>
        <v>-346.19535181000185</v>
      </c>
      <c r="AR32" s="90">
        <f t="shared" si="12"/>
        <v>0.51999999999998181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>
        <v>807</v>
      </c>
      <c r="E33" s="62">
        <v>4.2</v>
      </c>
      <c r="F33" s="62">
        <v>8.25</v>
      </c>
      <c r="G33" s="62">
        <f t="shared" si="0"/>
        <v>33.894000000000005</v>
      </c>
      <c r="H33" s="63">
        <f t="shared" si="1"/>
        <v>66.577500000000001</v>
      </c>
      <c r="I33" s="203">
        <v>490.5</v>
      </c>
      <c r="J33" s="203">
        <v>505.21500000000003</v>
      </c>
      <c r="K33" s="203">
        <v>3.8329459734964324</v>
      </c>
      <c r="L33" s="203">
        <v>8.0551070336391444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505.21500000000003</v>
      </c>
      <c r="S33" s="62">
        <f t="shared" si="2"/>
        <v>19.364618</v>
      </c>
      <c r="T33" s="63">
        <f t="shared" si="3"/>
        <v>40.695609000000005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>
        <v>1312</v>
      </c>
      <c r="AI33" s="66">
        <v>4.05</v>
      </c>
      <c r="AJ33" s="66">
        <v>8.2200000000000006</v>
      </c>
      <c r="AK33" s="62">
        <f t="shared" si="8"/>
        <v>53.136000000000003</v>
      </c>
      <c r="AL33" s="72">
        <f t="shared" si="9"/>
        <v>107.84640000000002</v>
      </c>
      <c r="AM33" s="73">
        <f t="shared" si="15"/>
        <v>0.21500000000014552</v>
      </c>
      <c r="AN33" s="74">
        <f t="shared" si="18"/>
        <v>0.12261800000000278</v>
      </c>
      <c r="AO33" s="74">
        <f t="shared" si="18"/>
        <v>-0.57329100000001176</v>
      </c>
      <c r="AP33" s="75">
        <f t="shared" si="16"/>
        <v>-7.5036845931336377E-3</v>
      </c>
      <c r="AQ33" s="76">
        <f t="shared" si="11"/>
        <v>-116.52626216000229</v>
      </c>
      <c r="AR33" s="90">
        <f t="shared" si="12"/>
        <v>0.21500000000014552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>
        <v>1312</v>
      </c>
      <c r="E34" s="62">
        <v>4.05</v>
      </c>
      <c r="F34" s="62">
        <v>8.2200000000000006</v>
      </c>
      <c r="G34" s="62">
        <f t="shared" si="0"/>
        <v>53.136000000000003</v>
      </c>
      <c r="H34" s="63">
        <f t="shared" si="1"/>
        <v>107.84640000000002</v>
      </c>
      <c r="I34" s="203">
        <v>316.5</v>
      </c>
      <c r="J34" s="203">
        <v>325.995</v>
      </c>
      <c r="K34" s="203">
        <v>4.7411058451816768</v>
      </c>
      <c r="L34" s="203">
        <v>8.4083096366508716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325.995</v>
      </c>
      <c r="S34" s="62">
        <f t="shared" si="2"/>
        <v>15.455768000000008</v>
      </c>
      <c r="T34" s="63">
        <f t="shared" si="3"/>
        <v>27.410669000000013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7">
        <v>1637</v>
      </c>
      <c r="AI34" s="66">
        <v>4.2</v>
      </c>
      <c r="AJ34" s="66">
        <v>8.25</v>
      </c>
      <c r="AK34" s="62">
        <f t="shared" si="8"/>
        <v>68.754000000000005</v>
      </c>
      <c r="AL34" s="72">
        <f t="shared" si="9"/>
        <v>135.05250000000001</v>
      </c>
      <c r="AM34" s="73">
        <f t="shared" si="15"/>
        <v>0.99499999999989086</v>
      </c>
      <c r="AN34" s="74">
        <f t="shared" si="18"/>
        <v>-0.16223199999998883</v>
      </c>
      <c r="AO34" s="74">
        <f t="shared" si="18"/>
        <v>0.20456900000002065</v>
      </c>
      <c r="AP34" s="75">
        <f t="shared" si="16"/>
        <v>9.8764914844757926E-4</v>
      </c>
      <c r="AQ34" s="76">
        <f t="shared" si="11"/>
        <v>-11.60552059332214</v>
      </c>
      <c r="AR34" s="77">
        <f>(D34+J34+O34)-(X34+AH34)</f>
        <v>0.99499999999989086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>
        <v>1637</v>
      </c>
      <c r="E35" s="62">
        <v>4.2</v>
      </c>
      <c r="F35" s="62">
        <v>8.25</v>
      </c>
      <c r="G35" s="62">
        <f t="shared" si="0"/>
        <v>68.754000000000005</v>
      </c>
      <c r="H35" s="63">
        <f t="shared" si="1"/>
        <v>135.05250000000001</v>
      </c>
      <c r="I35" s="203">
        <v>436.8</v>
      </c>
      <c r="J35" s="203">
        <v>449.904</v>
      </c>
      <c r="K35" s="203">
        <v>3.9548076923076927</v>
      </c>
      <c r="L35" s="203">
        <v>8.2309065934065924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449.904</v>
      </c>
      <c r="S35" s="62">
        <f t="shared" si="2"/>
        <v>17.792838000000003</v>
      </c>
      <c r="T35" s="63">
        <f t="shared" si="3"/>
        <v>37.031177999999997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>
        <v>2086</v>
      </c>
      <c r="AI35" s="66">
        <v>4.3</v>
      </c>
      <c r="AJ35" s="66">
        <v>8.27</v>
      </c>
      <c r="AK35" s="62">
        <f t="shared" si="8"/>
        <v>89.697999999999993</v>
      </c>
      <c r="AL35" s="72">
        <f t="shared" si="9"/>
        <v>172.51219999999998</v>
      </c>
      <c r="AM35" s="73">
        <f t="shared" si="15"/>
        <v>0.90399999999999636</v>
      </c>
      <c r="AN35" s="74">
        <f t="shared" si="18"/>
        <v>-3.1511619999999851</v>
      </c>
      <c r="AO35" s="74">
        <f t="shared" si="18"/>
        <v>-0.42852199999995833</v>
      </c>
      <c r="AP35" s="75">
        <f t="shared" si="16"/>
        <v>-6.5294085716010725E-2</v>
      </c>
      <c r="AQ35" s="76">
        <f t="shared" si="11"/>
        <v>-1542.8333407666478</v>
      </c>
      <c r="AR35" s="77">
        <f t="shared" si="12"/>
        <v>0.90399999999999636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>
        <v>2086</v>
      </c>
      <c r="E36" s="62">
        <v>4.3</v>
      </c>
      <c r="F36" s="62">
        <v>8.27</v>
      </c>
      <c r="G36" s="62">
        <f t="shared" si="0"/>
        <v>89.697999999999993</v>
      </c>
      <c r="H36" s="63">
        <f t="shared" si="1"/>
        <v>172.51219999999998</v>
      </c>
      <c r="I36" s="203">
        <v>295</v>
      </c>
      <c r="J36" s="203">
        <v>303.85000000000002</v>
      </c>
      <c r="K36" s="203">
        <v>4.9708135593220337</v>
      </c>
      <c r="L36" s="203">
        <v>8.3661355932203385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303.85000000000002</v>
      </c>
      <c r="S36" s="62">
        <f t="shared" si="2"/>
        <v>15.103816999999999</v>
      </c>
      <c r="T36" s="63">
        <f t="shared" si="3"/>
        <v>25.420503000000004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7">
        <v>2389</v>
      </c>
      <c r="AI36" s="66">
        <v>4.25</v>
      </c>
      <c r="AJ36" s="66">
        <v>8.26</v>
      </c>
      <c r="AK36" s="62">
        <f t="shared" si="8"/>
        <v>101.53250000000001</v>
      </c>
      <c r="AL36" s="72">
        <f t="shared" si="9"/>
        <v>197.33139999999997</v>
      </c>
      <c r="AM36" s="73">
        <f t="shared" si="15"/>
        <v>0.84999999999990905</v>
      </c>
      <c r="AN36" s="74">
        <f t="shared" si="18"/>
        <v>3.2693169999999867</v>
      </c>
      <c r="AO36" s="74">
        <f t="shared" si="18"/>
        <v>0.60130300000000148</v>
      </c>
      <c r="AP36" s="75">
        <f t="shared" si="16"/>
        <v>9.5513508925010662E-2</v>
      </c>
      <c r="AQ36" s="76">
        <f t="shared" si="11"/>
        <v>1647.5830476233277</v>
      </c>
      <c r="AR36" s="90">
        <f t="shared" si="12"/>
        <v>0.84999999999990905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>
        <v>2389</v>
      </c>
      <c r="E37" s="62">
        <v>4.25</v>
      </c>
      <c r="F37" s="62">
        <v>8.26</v>
      </c>
      <c r="G37" s="62">
        <f t="shared" si="0"/>
        <v>101.53250000000001</v>
      </c>
      <c r="H37" s="63">
        <f t="shared" si="1"/>
        <v>197.33139999999997</v>
      </c>
      <c r="I37" s="203">
        <v>415.4</v>
      </c>
      <c r="J37" s="203">
        <v>427.86199999999997</v>
      </c>
      <c r="K37" s="203">
        <v>4.2647568608570054</v>
      </c>
      <c r="L37" s="203">
        <v>8.3317766008666343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427.86199999999997</v>
      </c>
      <c r="S37" s="62">
        <f t="shared" si="2"/>
        <v>18.247273999999997</v>
      </c>
      <c r="T37" s="63">
        <f t="shared" si="3"/>
        <v>35.648505999999998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>
        <v>2816</v>
      </c>
      <c r="AI37" s="66">
        <v>4.1500000000000004</v>
      </c>
      <c r="AJ37" s="66">
        <v>8.24</v>
      </c>
      <c r="AK37" s="62">
        <f t="shared" si="8"/>
        <v>116.864</v>
      </c>
      <c r="AL37" s="72">
        <f t="shared" si="9"/>
        <v>232.0384</v>
      </c>
      <c r="AM37" s="73">
        <f t="shared" si="15"/>
        <v>0.86200000000008004</v>
      </c>
      <c r="AN37" s="74">
        <f t="shared" si="18"/>
        <v>2.915773999999999</v>
      </c>
      <c r="AO37" s="74">
        <f t="shared" si="18"/>
        <v>0.94150599999997553</v>
      </c>
      <c r="AP37" s="75">
        <f t="shared" si="16"/>
        <v>7.156923974381621E-2</v>
      </c>
      <c r="AQ37" s="76">
        <f t="shared" si="11"/>
        <v>1590.6877453133256</v>
      </c>
      <c r="AR37" s="90">
        <f t="shared" si="12"/>
        <v>0.86200000000008004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>
        <v>2816</v>
      </c>
      <c r="E38" s="62">
        <v>4.1500000000000004</v>
      </c>
      <c r="F38" s="62">
        <v>8.24</v>
      </c>
      <c r="G38" s="62">
        <f t="shared" si="0"/>
        <v>116.864</v>
      </c>
      <c r="H38" s="63">
        <f t="shared" si="1"/>
        <v>232.0384</v>
      </c>
      <c r="I38" s="203">
        <v>318.50000000000006</v>
      </c>
      <c r="J38" s="203">
        <v>328.05500000000006</v>
      </c>
      <c r="K38" s="203">
        <v>4.6848351648351656</v>
      </c>
      <c r="L38" s="203">
        <v>8.3381475667189964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328.05500000000006</v>
      </c>
      <c r="S38" s="62">
        <f t="shared" si="2"/>
        <v>15.368836000000005</v>
      </c>
      <c r="T38" s="63">
        <f t="shared" si="3"/>
        <v>27.35371000000001</v>
      </c>
      <c r="U38" s="64" t="s">
        <v>172</v>
      </c>
      <c r="V38" s="65" t="s">
        <v>639</v>
      </c>
      <c r="W38" s="66" t="s">
        <v>219</v>
      </c>
      <c r="X38" s="67">
        <v>3130</v>
      </c>
      <c r="Y38" s="68">
        <v>4.3499999999999996</v>
      </c>
      <c r="Z38" s="68">
        <v>8.2799999999999994</v>
      </c>
      <c r="AA38" s="62">
        <f t="shared" si="4"/>
        <v>136.155</v>
      </c>
      <c r="AB38" s="63">
        <f t="shared" si="5"/>
        <v>259.16399999999999</v>
      </c>
      <c r="AC38" s="69">
        <v>3130</v>
      </c>
      <c r="AD38" s="70">
        <v>4.3499999999999996</v>
      </c>
      <c r="AE38" s="70">
        <v>8.2799999999999994</v>
      </c>
      <c r="AF38" s="62">
        <f t="shared" si="6"/>
        <v>136.155</v>
      </c>
      <c r="AG38" s="63">
        <f t="shared" si="7"/>
        <v>259.16399999999999</v>
      </c>
      <c r="AH38" s="97">
        <v>40</v>
      </c>
      <c r="AI38" s="66">
        <v>3.6</v>
      </c>
      <c r="AJ38" s="66">
        <v>8.1300000000000008</v>
      </c>
      <c r="AK38" s="62">
        <f t="shared" si="8"/>
        <v>1.4400000000000002</v>
      </c>
      <c r="AL38" s="72">
        <f t="shared" si="9"/>
        <v>3.2520000000000007</v>
      </c>
      <c r="AM38" s="73">
        <f t="shared" si="15"/>
        <v>-25.944999999999709</v>
      </c>
      <c r="AN38" s="74">
        <f t="shared" si="18"/>
        <v>-5.3621639999999813</v>
      </c>
      <c r="AO38" s="74">
        <f t="shared" si="18"/>
        <v>-3.0238899999999855</v>
      </c>
      <c r="AP38" s="75">
        <f t="shared" si="16"/>
        <v>-0.19629106373950567</v>
      </c>
      <c r="AQ38" s="76">
        <f t="shared" si="11"/>
        <v>-3312.098681173321</v>
      </c>
      <c r="AR38" s="90">
        <f t="shared" si="12"/>
        <v>-25.944999999999709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>
        <v>40</v>
      </c>
      <c r="E39" s="62">
        <v>3.6</v>
      </c>
      <c r="F39" s="62">
        <v>8.1300000000000008</v>
      </c>
      <c r="G39" s="62">
        <f t="shared" si="0"/>
        <v>1.4400000000000002</v>
      </c>
      <c r="H39" s="63">
        <f t="shared" si="1"/>
        <v>3.2520000000000007</v>
      </c>
      <c r="I39" s="203">
        <v>405.99999999999994</v>
      </c>
      <c r="J39" s="203">
        <v>418.17999999999995</v>
      </c>
      <c r="K39" s="203">
        <v>4.033300492610838</v>
      </c>
      <c r="L39" s="203">
        <v>8.2653940886699537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418.17999999999995</v>
      </c>
      <c r="S39" s="62">
        <f t="shared" si="2"/>
        <v>16.866456000000003</v>
      </c>
      <c r="T39" s="63">
        <f t="shared" si="3"/>
        <v>34.564225000000008</v>
      </c>
      <c r="U39" s="64" t="s">
        <v>167</v>
      </c>
      <c r="V39" s="65" t="s">
        <v>187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>
        <v>458</v>
      </c>
      <c r="AI39" s="66">
        <v>4</v>
      </c>
      <c r="AJ39" s="66">
        <v>8</v>
      </c>
      <c r="AK39" s="62">
        <f t="shared" si="8"/>
        <v>18.32</v>
      </c>
      <c r="AL39" s="72">
        <f t="shared" si="9"/>
        <v>36.64</v>
      </c>
      <c r="AM39" s="73">
        <f t="shared" si="15"/>
        <v>0.17999999999994998</v>
      </c>
      <c r="AN39" s="74">
        <f t="shared" si="18"/>
        <v>-1.3543999999996004E-2</v>
      </c>
      <c r="AO39" s="74">
        <f t="shared" si="18"/>
        <v>1.1762250000000094</v>
      </c>
      <c r="AP39" s="75">
        <f t="shared" si="16"/>
        <v>2.2606758794424933E-2</v>
      </c>
      <c r="AQ39" s="76">
        <f t="shared" si="11"/>
        <v>345.93273946000465</v>
      </c>
      <c r="AR39" s="90">
        <f t="shared" si="12"/>
        <v>0.17999999999994998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7"/>
      <c r="AI40" s="66"/>
      <c r="AJ40" s="66"/>
      <c r="AK40" s="62">
        <f t="shared" si="8"/>
        <v>0</v>
      </c>
      <c r="AL40" s="72">
        <f t="shared" si="9"/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7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20945.770999999997</v>
      </c>
      <c r="X66" s="77"/>
      <c r="AH66" s="77"/>
      <c r="AI66" s="77"/>
      <c r="AJ66" s="77"/>
      <c r="AM66" s="83">
        <f>-SUM(AM4:AM65)</f>
        <v>77.228999999999417</v>
      </c>
      <c r="AN66" s="83">
        <f t="shared" ref="AN66:AO66" si="19">-SUM(AN4:AN65)</f>
        <v>12.999381999999905</v>
      </c>
      <c r="AO66" s="83">
        <f t="shared" si="19"/>
        <v>-36.178175000000323</v>
      </c>
      <c r="AP66" s="83" t="e">
        <f>-SUM(AP4:AP65)</f>
        <v>#DIV/0!</v>
      </c>
      <c r="AQ66" s="127">
        <f>-SUM(AQ4:AQ65)</f>
        <v>-4991.6104525467917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9" priority="1" operator="lessThan">
      <formula>0.1</formula>
    </cfRule>
    <cfRule type="cellIs" dxfId="98" priority="2" operator="greaterThan">
      <formula>0.1</formula>
    </cfRule>
  </conditionalFormatting>
  <conditionalFormatting sqref="AP1:AQ1">
    <cfRule type="cellIs" dxfId="97" priority="5" operator="lessThan">
      <formula>1</formula>
    </cfRule>
  </conditionalFormatting>
  <conditionalFormatting sqref="AQ4:AQ65">
    <cfRule type="cellIs" dxfId="96" priority="3" operator="lessThan">
      <formula>0</formula>
    </cfRule>
    <cfRule type="cellIs" dxfId="95" priority="4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71"/>
  <sheetViews>
    <sheetView topLeftCell="A7" zoomScale="80" zoomScaleNormal="80" workbookViewId="0">
      <selection activeCell="AH26" sqref="AH26:AJ39"/>
    </sheetView>
  </sheetViews>
  <sheetFormatPr defaultRowHeight="15" x14ac:dyDescent="0.25"/>
  <cols>
    <col min="1" max="1" width="4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9.285156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customWidth="1"/>
    <col min="21" max="21" width="7.85546875" bestFit="1" customWidth="1"/>
    <col min="22" max="22" width="7.7109375" customWidth="1"/>
    <col min="23" max="23" width="10.28515625" customWidth="1"/>
    <col min="24" max="24" width="7.7109375" customWidth="1"/>
    <col min="25" max="25" width="5.85546875" bestFit="1" customWidth="1"/>
    <col min="26" max="26" width="5.85546875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4.140625" bestFit="1" customWidth="1"/>
    <col min="45" max="49" width="8.7109375" bestFit="1" customWidth="1"/>
  </cols>
  <sheetData>
    <row r="1" spans="1:44" ht="15.75" thickBot="1" x14ac:dyDescent="0.3">
      <c r="B1" s="43" t="s">
        <v>114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10676.4</v>
      </c>
      <c r="E4" s="88">
        <v>4.53</v>
      </c>
      <c r="F4" s="88">
        <v>8.1300000000000008</v>
      </c>
      <c r="G4" s="62">
        <f t="shared" ref="G4:G11" si="0">+D4*E4%</f>
        <v>483.64091999999999</v>
      </c>
      <c r="H4" s="63">
        <f t="shared" ref="H4:H11" si="1">+D4*F4%</f>
        <v>867.99132000000009</v>
      </c>
      <c r="I4" s="203">
        <v>2705.4000000000005</v>
      </c>
      <c r="J4" s="203">
        <v>2786.5620000000008</v>
      </c>
      <c r="K4" s="203">
        <v>4.8653766540992098</v>
      </c>
      <c r="L4" s="203">
        <v>8.1485843128557676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2786.5620000000008</v>
      </c>
      <c r="S4" s="62">
        <f t="shared" ref="S4:S65" si="3">+J4*K4%+O4*P4%</f>
        <v>135.57673700000007</v>
      </c>
      <c r="T4" s="63">
        <f t="shared" ref="T4:T65" si="4">+J4*L4%+O4*Q4%</f>
        <v>227.06535400000001</v>
      </c>
      <c r="U4" s="64" t="s">
        <v>172</v>
      </c>
      <c r="V4" s="65" t="s">
        <v>240</v>
      </c>
      <c r="W4" s="66" t="s">
        <v>191</v>
      </c>
      <c r="X4" s="67">
        <v>6280</v>
      </c>
      <c r="Y4" s="68">
        <v>4.68</v>
      </c>
      <c r="Z4" s="68">
        <v>8.2200000000000006</v>
      </c>
      <c r="AA4" s="62">
        <f t="shared" ref="AA4:AA65" si="5">X4*Y4%</f>
        <v>293.90399999999994</v>
      </c>
      <c r="AB4" s="63">
        <f t="shared" ref="AB4:AB65" si="6">X4*Z4%</f>
        <v>516.21600000000001</v>
      </c>
      <c r="AC4" s="69">
        <v>6260</v>
      </c>
      <c r="AD4" s="70">
        <v>4.5</v>
      </c>
      <c r="AE4" s="70">
        <v>8.18</v>
      </c>
      <c r="AF4" s="62">
        <f t="shared" ref="AF4:AF65" si="7">AC4*AD4%</f>
        <v>281.7</v>
      </c>
      <c r="AG4" s="62">
        <f t="shared" ref="AG4:AG65" si="8">AC4*AE4%</f>
        <v>512.06799999999998</v>
      </c>
      <c r="AH4" s="89">
        <v>7182.9</v>
      </c>
      <c r="AI4" s="66">
        <v>4.5999999999999996</v>
      </c>
      <c r="AJ4" s="66">
        <v>8.1300000000000008</v>
      </c>
      <c r="AK4" s="62">
        <f t="shared" ref="AK4:AK65" si="9">AH4*AI4%</f>
        <v>330.41339999999997</v>
      </c>
      <c r="AL4" s="72">
        <f t="shared" ref="AL4:AL65" si="10">AH4*AJ4%</f>
        <v>583.96977000000004</v>
      </c>
      <c r="AM4" s="73">
        <f t="shared" ref="AM4:AM65" si="11">+D4+R4-AC4-AH4</f>
        <v>20.061999999999898</v>
      </c>
      <c r="AN4" s="74">
        <f t="shared" ref="AN4:AO19" si="12">+G4+S4-AF4-AK4</f>
        <v>7.1042570000000751</v>
      </c>
      <c r="AO4" s="74">
        <f t="shared" si="12"/>
        <v>-0.98109599999986585</v>
      </c>
      <c r="AP4" s="75">
        <f t="shared" ref="AP4:AP65" si="13">(AN4+AO4)/(S4+T4)</f>
        <v>1.6884860174712066E-2</v>
      </c>
      <c r="AQ4" s="76">
        <f t="shared" ref="AQ4:AQ65" si="14">($AP$1*AN4+$AQ$1*AO4)</f>
        <v>2895.5561396300741</v>
      </c>
      <c r="AR4" s="90">
        <f t="shared" ref="AR4:AR65" si="15">(D4+J4+O4)-(X4+AH4)</f>
        <v>6.1999999999898137E-2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7182.9</v>
      </c>
      <c r="E5" s="62">
        <v>4.5999999999999996</v>
      </c>
      <c r="F5" s="62">
        <v>8.1300000000000008</v>
      </c>
      <c r="G5" s="62">
        <f t="shared" si="0"/>
        <v>330.41339999999997</v>
      </c>
      <c r="H5" s="63">
        <f t="shared" si="1"/>
        <v>583.96977000000004</v>
      </c>
      <c r="I5" s="203">
        <v>2113.6000000000004</v>
      </c>
      <c r="J5" s="203">
        <v>2177.0080000000003</v>
      </c>
      <c r="K5" s="203">
        <v>4.3340367146101437</v>
      </c>
      <c r="L5" s="203">
        <v>8.1861799772899335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2177.0080000000003</v>
      </c>
      <c r="S5" s="62">
        <f t="shared" si="3"/>
        <v>94.352326000000005</v>
      </c>
      <c r="T5" s="63">
        <f t="shared" si="4"/>
        <v>178.21379300000007</v>
      </c>
      <c r="U5" s="64" t="s">
        <v>170</v>
      </c>
      <c r="V5" s="65" t="s">
        <v>241</v>
      </c>
      <c r="W5" s="66" t="s">
        <v>219</v>
      </c>
      <c r="X5" s="67">
        <v>5200</v>
      </c>
      <c r="Y5" s="68">
        <v>4.75</v>
      </c>
      <c r="Z5" s="68">
        <v>8.2899999999999991</v>
      </c>
      <c r="AA5" s="62">
        <f t="shared" si="5"/>
        <v>247</v>
      </c>
      <c r="AB5" s="63">
        <f t="shared" si="6"/>
        <v>431.07999999999993</v>
      </c>
      <c r="AC5" s="69">
        <v>5190</v>
      </c>
      <c r="AD5" s="70">
        <v>4.7</v>
      </c>
      <c r="AE5" s="70">
        <v>8.2200000000000006</v>
      </c>
      <c r="AF5" s="62">
        <f t="shared" si="7"/>
        <v>243.93</v>
      </c>
      <c r="AG5" s="62">
        <f t="shared" si="8"/>
        <v>426.61800000000005</v>
      </c>
      <c r="AH5" s="89">
        <v>4159.8999999999996</v>
      </c>
      <c r="AI5" s="66">
        <v>4.53</v>
      </c>
      <c r="AJ5" s="66">
        <v>8.14</v>
      </c>
      <c r="AK5" s="62">
        <f t="shared" si="9"/>
        <v>188.44346999999999</v>
      </c>
      <c r="AL5" s="72">
        <f t="shared" si="10"/>
        <v>338.61586</v>
      </c>
      <c r="AM5" s="73">
        <f t="shared" si="11"/>
        <v>10.007999999999811</v>
      </c>
      <c r="AN5" s="74">
        <f t="shared" si="12"/>
        <v>-7.6077440000000252</v>
      </c>
      <c r="AO5" s="74">
        <f t="shared" si="12"/>
        <v>-3.0502970000000005</v>
      </c>
      <c r="AP5" s="75">
        <f t="shared" si="13"/>
        <v>-3.9102589269358244E-2</v>
      </c>
      <c r="AQ5" s="76">
        <f t="shared" si="14"/>
        <v>-4328.0649098866788</v>
      </c>
      <c r="AR5" s="90">
        <f t="shared" si="15"/>
        <v>7.9999999998108251E-3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4159.8999999999996</v>
      </c>
      <c r="E6" s="62">
        <v>4.53</v>
      </c>
      <c r="F6" s="62">
        <v>8.14</v>
      </c>
      <c r="G6" s="62">
        <f t="shared" si="0"/>
        <v>188.44346999999999</v>
      </c>
      <c r="H6" s="63">
        <f t="shared" si="1"/>
        <v>338.61586</v>
      </c>
      <c r="I6" s="203">
        <v>2517.3000000000006</v>
      </c>
      <c r="J6" s="203">
        <v>2592.8190000000009</v>
      </c>
      <c r="K6" s="203">
        <v>4.7919199141937776</v>
      </c>
      <c r="L6" s="203">
        <v>8.0470106860525128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2592.8190000000009</v>
      </c>
      <c r="S6" s="62">
        <f t="shared" si="3"/>
        <v>124.24581000000001</v>
      </c>
      <c r="T6" s="63">
        <f t="shared" si="4"/>
        <v>208.64442199999996</v>
      </c>
      <c r="U6" s="64" t="s">
        <v>167</v>
      </c>
      <c r="V6" s="65" t="s">
        <v>187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6752.7</v>
      </c>
      <c r="AI6" s="66">
        <v>4.62</v>
      </c>
      <c r="AJ6" s="66">
        <v>8.1</v>
      </c>
      <c r="AK6" s="62">
        <f t="shared" si="9"/>
        <v>311.97474</v>
      </c>
      <c r="AL6" s="72">
        <f t="shared" si="10"/>
        <v>546.96870000000001</v>
      </c>
      <c r="AM6" s="73">
        <f t="shared" si="11"/>
        <v>1.9000000001142325E-2</v>
      </c>
      <c r="AN6" s="74">
        <f t="shared" si="12"/>
        <v>0.71453999999999951</v>
      </c>
      <c r="AO6" s="74">
        <f t="shared" si="12"/>
        <v>0.29158199999994849</v>
      </c>
      <c r="AP6" s="75">
        <f t="shared" si="13"/>
        <v>3.0223836666975201E-3</v>
      </c>
      <c r="AQ6" s="76">
        <f t="shared" si="14"/>
        <v>408.02686847998439</v>
      </c>
      <c r="AR6" s="90">
        <f t="shared" si="15"/>
        <v>1.9000000001142325E-2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6752.7</v>
      </c>
      <c r="E7" s="62">
        <v>4.62</v>
      </c>
      <c r="F7" s="62">
        <v>8.1</v>
      </c>
      <c r="G7" s="62">
        <f t="shared" si="0"/>
        <v>311.97474</v>
      </c>
      <c r="H7" s="63">
        <f t="shared" si="1"/>
        <v>546.96870000000001</v>
      </c>
      <c r="I7" s="203">
        <v>2645.4</v>
      </c>
      <c r="J7" s="203">
        <v>2724.7620000000002</v>
      </c>
      <c r="K7" s="203">
        <v>4.2898994480985859</v>
      </c>
      <c r="L7" s="203">
        <v>8.1086451954335814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2724.7620000000002</v>
      </c>
      <c r="S7" s="62">
        <f t="shared" si="3"/>
        <v>116.88955</v>
      </c>
      <c r="T7" s="63">
        <f t="shared" si="4"/>
        <v>220.94128299999997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>
        <v>9477.4</v>
      </c>
      <c r="AI7" s="66">
        <v>4.5199999999999996</v>
      </c>
      <c r="AJ7" s="66">
        <v>8.1</v>
      </c>
      <c r="AK7" s="62">
        <f t="shared" si="9"/>
        <v>428.37847999999997</v>
      </c>
      <c r="AL7" s="72">
        <f t="shared" si="10"/>
        <v>767.6694</v>
      </c>
      <c r="AM7" s="73">
        <f t="shared" si="11"/>
        <v>6.1999999999898137E-2</v>
      </c>
      <c r="AN7" s="74">
        <f t="shared" si="12"/>
        <v>0.48581000000001495</v>
      </c>
      <c r="AO7" s="74">
        <f t="shared" si="12"/>
        <v>0.24058300000001509</v>
      </c>
      <c r="AP7" s="75">
        <f t="shared" si="13"/>
        <v>2.1501678622685991E-3</v>
      </c>
      <c r="AQ7" s="76">
        <f t="shared" si="14"/>
        <v>290.08504345334461</v>
      </c>
      <c r="AR7" s="90">
        <f t="shared" si="15"/>
        <v>6.1999999999898137E-2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9477.4</v>
      </c>
      <c r="E8" s="62">
        <v>4.5199999999999996</v>
      </c>
      <c r="F8" s="62">
        <v>8.1</v>
      </c>
      <c r="G8" s="62">
        <f t="shared" si="0"/>
        <v>428.37847999999997</v>
      </c>
      <c r="H8" s="63">
        <f t="shared" si="1"/>
        <v>767.6694</v>
      </c>
      <c r="I8" s="203">
        <v>2771.6999999999994</v>
      </c>
      <c r="J8" s="203">
        <v>2854.8509999999992</v>
      </c>
      <c r="K8" s="203">
        <v>4.8263628819857862</v>
      </c>
      <c r="L8" s="203">
        <v>8.1715264999819617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2854.8509999999992</v>
      </c>
      <c r="S8" s="62">
        <f t="shared" si="3"/>
        <v>137.78546900000001</v>
      </c>
      <c r="T8" s="63">
        <f t="shared" si="4"/>
        <v>233.28490599999995</v>
      </c>
      <c r="U8" s="64" t="s">
        <v>232</v>
      </c>
      <c r="V8" s="65" t="s">
        <v>242</v>
      </c>
      <c r="W8" s="66" t="s">
        <v>191</v>
      </c>
      <c r="X8" s="67">
        <v>10000</v>
      </c>
      <c r="Y8" s="68">
        <v>4.5</v>
      </c>
      <c r="Z8" s="68">
        <v>8.2799999999999994</v>
      </c>
      <c r="AA8" s="62">
        <f t="shared" si="5"/>
        <v>450</v>
      </c>
      <c r="AB8" s="63">
        <f t="shared" si="6"/>
        <v>828</v>
      </c>
      <c r="AC8" s="69">
        <v>10000</v>
      </c>
      <c r="AD8" s="70">
        <v>4.4497</v>
      </c>
      <c r="AE8" s="70">
        <v>8.2350700000000003</v>
      </c>
      <c r="AF8" s="62">
        <f t="shared" si="7"/>
        <v>444.97</v>
      </c>
      <c r="AG8" s="62">
        <f t="shared" si="8"/>
        <v>823.50699999999995</v>
      </c>
      <c r="AH8" s="89">
        <v>2332.1999999999998</v>
      </c>
      <c r="AI8" s="66">
        <v>4.59</v>
      </c>
      <c r="AJ8" s="66">
        <v>8.1199999999999992</v>
      </c>
      <c r="AK8" s="62">
        <f t="shared" si="9"/>
        <v>107.04797999999998</v>
      </c>
      <c r="AL8" s="72">
        <f t="shared" si="10"/>
        <v>189.37463999999997</v>
      </c>
      <c r="AM8" s="73">
        <f t="shared" si="11"/>
        <v>5.0999999998566636E-2</v>
      </c>
      <c r="AN8" s="74">
        <f t="shared" si="12"/>
        <v>14.145968999999994</v>
      </c>
      <c r="AO8" s="74">
        <f t="shared" si="12"/>
        <v>-11.927333999999945</v>
      </c>
      <c r="AP8" s="75">
        <f t="shared" si="13"/>
        <v>5.9790140886349366E-3</v>
      </c>
      <c r="AQ8" s="76">
        <f t="shared" si="14"/>
        <v>2780.7339398300137</v>
      </c>
      <c r="AR8" s="90">
        <f t="shared" si="15"/>
        <v>5.0999999997657142E-2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>
        <v>2332.1999999999998</v>
      </c>
      <c r="E9" s="62">
        <v>4.59</v>
      </c>
      <c r="F9" s="62">
        <v>8.1199999999999992</v>
      </c>
      <c r="G9" s="62">
        <f t="shared" si="0"/>
        <v>107.04797999999998</v>
      </c>
      <c r="H9" s="63">
        <f t="shared" si="1"/>
        <v>189.37463999999997</v>
      </c>
      <c r="I9" s="203">
        <v>2345.4</v>
      </c>
      <c r="J9" s="203">
        <v>2415.7620000000002</v>
      </c>
      <c r="K9" s="203">
        <v>4.3344845228958802</v>
      </c>
      <c r="L9" s="203">
        <v>8.0979491771126426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2415.7620000000002</v>
      </c>
      <c r="S9" s="62">
        <f t="shared" si="3"/>
        <v>104.71082999999999</v>
      </c>
      <c r="T9" s="63">
        <f t="shared" si="4"/>
        <v>195.62717899999993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2">
        <f t="shared" si="8"/>
        <v>0</v>
      </c>
      <c r="AH9" s="89">
        <v>4747.8999999999996</v>
      </c>
      <c r="AI9" s="66">
        <v>4.45</v>
      </c>
      <c r="AJ9" s="66">
        <v>8.1</v>
      </c>
      <c r="AK9" s="62">
        <f t="shared" si="9"/>
        <v>211.28155000000001</v>
      </c>
      <c r="AL9" s="72">
        <f t="shared" si="10"/>
        <v>384.57990000000001</v>
      </c>
      <c r="AM9" s="73">
        <f t="shared" si="11"/>
        <v>6.1999999999898137E-2</v>
      </c>
      <c r="AN9" s="74">
        <f t="shared" si="12"/>
        <v>0.47725999999997271</v>
      </c>
      <c r="AO9" s="74">
        <f t="shared" si="12"/>
        <v>0.42191899999988891</v>
      </c>
      <c r="AP9" s="75">
        <f t="shared" si="13"/>
        <v>2.9938901273060706E-3</v>
      </c>
      <c r="AQ9" s="76">
        <f t="shared" si="14"/>
        <v>340.51589212662122</v>
      </c>
      <c r="AR9" s="90">
        <f t="shared" si="15"/>
        <v>6.1999999999898137E-2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>
        <v>4747.8999999999996</v>
      </c>
      <c r="E10" s="62">
        <v>4.45</v>
      </c>
      <c r="F10" s="62">
        <v>8.1</v>
      </c>
      <c r="G10" s="62">
        <f t="shared" si="0"/>
        <v>211.28155000000001</v>
      </c>
      <c r="H10" s="63">
        <f t="shared" si="1"/>
        <v>384.57990000000001</v>
      </c>
      <c r="I10" s="203">
        <v>2535.6999999999998</v>
      </c>
      <c r="J10" s="203">
        <v>2611.7709999999997</v>
      </c>
      <c r="K10" s="203">
        <v>4.7959892731790035</v>
      </c>
      <c r="L10" s="203">
        <v>8.2815238395709265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2611.7709999999997</v>
      </c>
      <c r="S10" s="62">
        <f t="shared" si="3"/>
        <v>125.26025699999998</v>
      </c>
      <c r="T10" s="63">
        <f t="shared" si="4"/>
        <v>216.29443799999999</v>
      </c>
      <c r="U10" s="64" t="s">
        <v>167</v>
      </c>
      <c r="V10" s="65" t="s">
        <v>167</v>
      </c>
      <c r="W10" s="66" t="s">
        <v>187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7359.6</v>
      </c>
      <c r="AI10" s="66">
        <v>4.57</v>
      </c>
      <c r="AJ10" s="66">
        <v>8.16</v>
      </c>
      <c r="AK10" s="62">
        <f t="shared" si="9"/>
        <v>336.33372000000003</v>
      </c>
      <c r="AL10" s="72">
        <f t="shared" si="10"/>
        <v>600.54336000000012</v>
      </c>
      <c r="AM10" s="73">
        <f t="shared" si="11"/>
        <v>7.0999999999003194E-2</v>
      </c>
      <c r="AN10" s="74">
        <f t="shared" si="12"/>
        <v>0.20808699999997771</v>
      </c>
      <c r="AO10" s="74">
        <f t="shared" si="12"/>
        <v>0.33097799999984545</v>
      </c>
      <c r="AP10" s="75">
        <f t="shared" si="13"/>
        <v>1.5782684527285539E-3</v>
      </c>
      <c r="AQ10" s="76">
        <f t="shared" si="14"/>
        <v>192.46522448994375</v>
      </c>
      <c r="AR10" s="90">
        <f t="shared" si="15"/>
        <v>7.0999999999003194E-2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>
        <v>7359.6</v>
      </c>
      <c r="E11" s="62">
        <v>4.57</v>
      </c>
      <c r="F11" s="62">
        <v>8.16</v>
      </c>
      <c r="G11" s="62">
        <f t="shared" si="0"/>
        <v>336.33372000000003</v>
      </c>
      <c r="H11" s="63">
        <f t="shared" si="1"/>
        <v>600.54336000000012</v>
      </c>
      <c r="I11" s="203">
        <v>2592.8999999999996</v>
      </c>
      <c r="J11" s="203">
        <v>2670.6869999999999</v>
      </c>
      <c r="K11" s="203">
        <v>4.4891858536773483</v>
      </c>
      <c r="L11" s="203">
        <v>8.1590497126769232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2670.6869999999999</v>
      </c>
      <c r="S11" s="62">
        <f t="shared" si="3"/>
        <v>119.89210299999996</v>
      </c>
      <c r="T11" s="63">
        <f t="shared" si="4"/>
        <v>217.90267999999992</v>
      </c>
      <c r="U11" s="64" t="s">
        <v>232</v>
      </c>
      <c r="V11" s="65" t="s">
        <v>243</v>
      </c>
      <c r="W11" s="66" t="s">
        <v>191</v>
      </c>
      <c r="X11" s="67">
        <v>10000</v>
      </c>
      <c r="Y11" s="68">
        <v>4.7300000000000004</v>
      </c>
      <c r="Z11" s="68">
        <v>8.26</v>
      </c>
      <c r="AA11" s="62">
        <f t="shared" si="5"/>
        <v>473</v>
      </c>
      <c r="AB11" s="63">
        <f t="shared" si="6"/>
        <v>825.99999999999989</v>
      </c>
      <c r="AC11" s="69">
        <v>9990</v>
      </c>
      <c r="AD11" s="70">
        <v>4.6500000000000004</v>
      </c>
      <c r="AE11" s="70">
        <v>8.2100000000000009</v>
      </c>
      <c r="AF11" s="62">
        <f t="shared" si="7"/>
        <v>464.53500000000008</v>
      </c>
      <c r="AG11" s="62">
        <f t="shared" si="8"/>
        <v>820.17900000000009</v>
      </c>
      <c r="AH11" s="89">
        <v>30.2</v>
      </c>
      <c r="AI11" s="66">
        <v>4.54</v>
      </c>
      <c r="AJ11" s="66">
        <v>8.16</v>
      </c>
      <c r="AK11" s="62">
        <f t="shared" si="9"/>
        <v>1.3710800000000001</v>
      </c>
      <c r="AL11" s="72">
        <f t="shared" si="10"/>
        <v>2.4643200000000003</v>
      </c>
      <c r="AM11" s="73">
        <f t="shared" si="11"/>
        <v>10.087000000000263</v>
      </c>
      <c r="AN11" s="74">
        <f t="shared" si="12"/>
        <v>-9.6802570000000898</v>
      </c>
      <c r="AO11" s="74">
        <f t="shared" si="12"/>
        <v>-4.197280000000049</v>
      </c>
      <c r="AP11" s="75">
        <f t="shared" si="13"/>
        <v>-4.1082745200360725E-2</v>
      </c>
      <c r="AQ11" s="76">
        <f t="shared" si="14"/>
        <v>-5601.6981464033888</v>
      </c>
      <c r="AR11" s="90">
        <f t="shared" si="15"/>
        <v>8.6999999999534339E-2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>
        <v>30.2</v>
      </c>
      <c r="E12" s="62">
        <v>4.54</v>
      </c>
      <c r="F12" s="62">
        <v>8.16</v>
      </c>
      <c r="G12" s="62">
        <f t="shared" ref="G12:G65" si="18">+D12*E12%</f>
        <v>1.3710800000000001</v>
      </c>
      <c r="H12" s="63">
        <f t="shared" ref="H12:H65" si="19">+D12*F12%</f>
        <v>2.4643200000000003</v>
      </c>
      <c r="I12" s="203">
        <v>2557.6</v>
      </c>
      <c r="J12" s="203">
        <v>2634.328</v>
      </c>
      <c r="K12" s="203">
        <v>4.8371481076008758</v>
      </c>
      <c r="L12" s="203">
        <v>8.1969659055364374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2634.328</v>
      </c>
      <c r="S12" s="62">
        <f t="shared" si="3"/>
        <v>127.42634699999999</v>
      </c>
      <c r="T12" s="63">
        <f t="shared" si="4"/>
        <v>215.93496799999994</v>
      </c>
      <c r="U12" s="64" t="s">
        <v>167</v>
      </c>
      <c r="V12" s="65" t="s">
        <v>187</v>
      </c>
      <c r="W12" s="66" t="s">
        <v>167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2664.5</v>
      </c>
      <c r="AI12" s="66">
        <v>4.83</v>
      </c>
      <c r="AJ12" s="66">
        <v>8.19</v>
      </c>
      <c r="AK12" s="62">
        <f t="shared" si="9"/>
        <v>128.69535000000002</v>
      </c>
      <c r="AL12" s="72">
        <f t="shared" si="10"/>
        <v>218.22255000000001</v>
      </c>
      <c r="AM12" s="73">
        <f t="shared" si="11"/>
        <v>2.7999999999792635E-2</v>
      </c>
      <c r="AN12" s="74">
        <f t="shared" si="12"/>
        <v>0.10207699999997999</v>
      </c>
      <c r="AO12" s="74">
        <f t="shared" si="12"/>
        <v>0.17673799999991502</v>
      </c>
      <c r="AP12" s="75">
        <f t="shared" si="13"/>
        <v>8.1201634493942645E-4</v>
      </c>
      <c r="AQ12" s="76">
        <f t="shared" si="14"/>
        <v>98.716356456632255</v>
      </c>
      <c r="AR12" s="90">
        <f t="shared" si="15"/>
        <v>2.7999999999792635E-2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>
        <v>2664.5</v>
      </c>
      <c r="E13" s="62">
        <v>4.83</v>
      </c>
      <c r="F13" s="62">
        <v>8.19</v>
      </c>
      <c r="G13" s="62">
        <f t="shared" si="18"/>
        <v>128.69535000000002</v>
      </c>
      <c r="H13" s="63">
        <f t="shared" si="19"/>
        <v>218.22255000000001</v>
      </c>
      <c r="I13" s="203">
        <v>2684.9999999999995</v>
      </c>
      <c r="J13" s="203">
        <v>2765.5499999999997</v>
      </c>
      <c r="K13" s="203">
        <v>4.375862197392923</v>
      </c>
      <c r="L13" s="203">
        <v>8.157836126629423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2765.5499999999997</v>
      </c>
      <c r="S13" s="62">
        <f t="shared" si="3"/>
        <v>121.01665699999998</v>
      </c>
      <c r="T13" s="63">
        <f t="shared" si="4"/>
        <v>225.60903699999997</v>
      </c>
      <c r="U13" s="64" t="s">
        <v>167</v>
      </c>
      <c r="V13" s="65" t="s">
        <v>187</v>
      </c>
      <c r="W13" s="66" t="s">
        <v>167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2">
        <f t="shared" si="8"/>
        <v>0</v>
      </c>
      <c r="AH13" s="89">
        <v>5430</v>
      </c>
      <c r="AI13" s="66">
        <v>4.5999999999999996</v>
      </c>
      <c r="AJ13" s="66">
        <v>8.17</v>
      </c>
      <c r="AK13" s="62">
        <f t="shared" si="9"/>
        <v>249.78</v>
      </c>
      <c r="AL13" s="72">
        <f t="shared" si="10"/>
        <v>443.63099999999997</v>
      </c>
      <c r="AM13" s="73">
        <f t="shared" si="11"/>
        <v>4.9999999999272404E-2</v>
      </c>
      <c r="AN13" s="74">
        <f t="shared" si="12"/>
        <v>-6.7993000000001302E-2</v>
      </c>
      <c r="AO13" s="74">
        <f t="shared" si="12"/>
        <v>0.20058700000004137</v>
      </c>
      <c r="AP13" s="75">
        <f t="shared" si="13"/>
        <v>3.8252790342784021E-4</v>
      </c>
      <c r="AQ13" s="76">
        <f t="shared" si="14"/>
        <v>29.507602483345135</v>
      </c>
      <c r="AR13" s="90">
        <f t="shared" si="15"/>
        <v>4.9999999999272404E-2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>
        <v>5430</v>
      </c>
      <c r="E14" s="62">
        <v>4.5999999999999996</v>
      </c>
      <c r="F14" s="62">
        <v>8.17</v>
      </c>
      <c r="G14" s="62">
        <f t="shared" si="18"/>
        <v>249.78</v>
      </c>
      <c r="H14" s="63">
        <f t="shared" si="19"/>
        <v>443.63099999999997</v>
      </c>
      <c r="I14" s="203">
        <v>2524.5</v>
      </c>
      <c r="J14" s="203">
        <v>2600.2350000000001</v>
      </c>
      <c r="K14" s="203">
        <v>4.7196672608437309</v>
      </c>
      <c r="L14" s="203">
        <v>8.1776430976430987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2600.2350000000001</v>
      </c>
      <c r="S14" s="62">
        <f t="shared" si="3"/>
        <v>122.72243999999999</v>
      </c>
      <c r="T14" s="63">
        <f t="shared" si="4"/>
        <v>212.63793800000005</v>
      </c>
      <c r="U14" s="64" t="s">
        <v>170</v>
      </c>
      <c r="V14" s="65" t="s">
        <v>351</v>
      </c>
      <c r="W14" s="66" t="s">
        <v>159</v>
      </c>
      <c r="X14" s="67">
        <v>5200</v>
      </c>
      <c r="Y14" s="68">
        <v>4.75</v>
      </c>
      <c r="Z14" s="68">
        <v>8.2899999999999991</v>
      </c>
      <c r="AA14" s="62">
        <f t="shared" si="5"/>
        <v>247</v>
      </c>
      <c r="AB14" s="63">
        <f t="shared" si="6"/>
        <v>431.07999999999993</v>
      </c>
      <c r="AC14" s="69">
        <v>5210</v>
      </c>
      <c r="AD14" s="70">
        <v>4.7</v>
      </c>
      <c r="AE14" s="70">
        <v>8.2200000000000006</v>
      </c>
      <c r="AF14" s="62">
        <f t="shared" si="7"/>
        <v>244.87</v>
      </c>
      <c r="AG14" s="62">
        <f t="shared" si="8"/>
        <v>428.26200000000006</v>
      </c>
      <c r="AH14" s="89">
        <v>2830.2</v>
      </c>
      <c r="AI14" s="66">
        <v>4.63</v>
      </c>
      <c r="AJ14" s="66">
        <v>8.17</v>
      </c>
      <c r="AK14" s="62">
        <f t="shared" si="9"/>
        <v>131.03826000000001</v>
      </c>
      <c r="AL14" s="72">
        <f t="shared" si="10"/>
        <v>231.22733999999997</v>
      </c>
      <c r="AM14" s="73">
        <f t="shared" si="11"/>
        <v>-9.964999999999236</v>
      </c>
      <c r="AN14" s="74">
        <f t="shared" si="12"/>
        <v>-3.405820000000034</v>
      </c>
      <c r="AO14" s="74">
        <f t="shared" si="12"/>
        <v>-3.2204019999999787</v>
      </c>
      <c r="AP14" s="75">
        <f t="shared" si="13"/>
        <v>-1.9758511841849166E-2</v>
      </c>
      <c r="AQ14" s="76">
        <f t="shared" si="14"/>
        <v>-2492.6870974133426</v>
      </c>
      <c r="AR14" s="90">
        <f t="shared" si="15"/>
        <v>3.5000000000763976E-2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>
        <v>2830.2</v>
      </c>
      <c r="E15" s="62">
        <v>4.63</v>
      </c>
      <c r="F15" s="62">
        <v>8.17</v>
      </c>
      <c r="G15" s="62">
        <f t="shared" si="18"/>
        <v>131.03826000000001</v>
      </c>
      <c r="H15" s="63">
        <f t="shared" si="19"/>
        <v>231.22733999999997</v>
      </c>
      <c r="I15" s="203">
        <v>2315</v>
      </c>
      <c r="J15" s="203">
        <v>2384.4500000000003</v>
      </c>
      <c r="K15" s="203">
        <v>4.3965874730021595</v>
      </c>
      <c r="L15" s="203">
        <v>8.1576889848812097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2384.4500000000003</v>
      </c>
      <c r="S15" s="62">
        <f t="shared" si="3"/>
        <v>104.83443</v>
      </c>
      <c r="T15" s="63">
        <f t="shared" si="4"/>
        <v>194.51601500000004</v>
      </c>
      <c r="U15" s="64" t="s">
        <v>167</v>
      </c>
      <c r="V15" s="65" t="s">
        <v>187</v>
      </c>
      <c r="W15" s="66" t="s">
        <v>167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5214.6000000000004</v>
      </c>
      <c r="AI15" s="66">
        <v>4.5199999999999996</v>
      </c>
      <c r="AJ15" s="66">
        <v>8.16</v>
      </c>
      <c r="AK15" s="62">
        <f t="shared" si="9"/>
        <v>235.69991999999999</v>
      </c>
      <c r="AL15" s="72">
        <f t="shared" si="10"/>
        <v>425.51136000000008</v>
      </c>
      <c r="AM15" s="73">
        <f t="shared" si="11"/>
        <v>4.9999999999272404E-2</v>
      </c>
      <c r="AN15" s="74">
        <f t="shared" si="12"/>
        <v>0.17277000000001408</v>
      </c>
      <c r="AO15" s="74">
        <f t="shared" si="12"/>
        <v>0.23199499999992668</v>
      </c>
      <c r="AP15" s="75">
        <f t="shared" si="13"/>
        <v>1.3521443069842128E-3</v>
      </c>
      <c r="AQ15" s="76">
        <f t="shared" si="14"/>
        <v>146.98809766665104</v>
      </c>
      <c r="AR15" s="90">
        <f t="shared" si="15"/>
        <v>4.9999999999272404E-2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>
        <v>5214.6000000000004</v>
      </c>
      <c r="E16" s="62">
        <v>4.5199999999999996</v>
      </c>
      <c r="F16" s="62">
        <v>8.16</v>
      </c>
      <c r="G16" s="62">
        <f t="shared" si="18"/>
        <v>235.69991999999999</v>
      </c>
      <c r="H16" s="63">
        <f t="shared" si="19"/>
        <v>425.51136000000008</v>
      </c>
      <c r="I16" s="203">
        <v>2481.9999999999995</v>
      </c>
      <c r="J16" s="203">
        <v>2556.4599999999996</v>
      </c>
      <c r="K16" s="203">
        <v>4.6061684125705078</v>
      </c>
      <c r="L16" s="203">
        <v>8.2537912973408556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2556.4599999999996</v>
      </c>
      <c r="S16" s="62">
        <f t="shared" si="3"/>
        <v>117.75485299999998</v>
      </c>
      <c r="T16" s="63">
        <f t="shared" si="4"/>
        <v>211.004873</v>
      </c>
      <c r="U16" s="64" t="s">
        <v>170</v>
      </c>
      <c r="V16" s="65" t="s">
        <v>352</v>
      </c>
      <c r="W16" s="66" t="s">
        <v>151</v>
      </c>
      <c r="X16" s="67">
        <v>5200</v>
      </c>
      <c r="Y16" s="68">
        <v>4.6500000000000004</v>
      </c>
      <c r="Z16" s="68">
        <v>8.27</v>
      </c>
      <c r="AA16" s="62">
        <f t="shared" si="5"/>
        <v>241.80000000000004</v>
      </c>
      <c r="AB16" s="63">
        <f t="shared" si="6"/>
        <v>430.03999999999996</v>
      </c>
      <c r="AC16" s="69">
        <v>5160</v>
      </c>
      <c r="AD16" s="70">
        <v>4.5999999999999996</v>
      </c>
      <c r="AE16" s="70">
        <v>8.1999999999999993</v>
      </c>
      <c r="AF16" s="62">
        <f t="shared" si="7"/>
        <v>237.35999999999999</v>
      </c>
      <c r="AG16" s="62">
        <f t="shared" si="8"/>
        <v>423.11999999999995</v>
      </c>
      <c r="AH16" s="89">
        <v>2571</v>
      </c>
      <c r="AI16" s="66">
        <v>4.54</v>
      </c>
      <c r="AJ16" s="66">
        <v>8.18</v>
      </c>
      <c r="AK16" s="62">
        <f t="shared" si="9"/>
        <v>116.72340000000001</v>
      </c>
      <c r="AL16" s="72">
        <f t="shared" si="10"/>
        <v>210.30779999999999</v>
      </c>
      <c r="AM16" s="73">
        <f t="shared" si="11"/>
        <v>40.059999999999491</v>
      </c>
      <c r="AN16" s="74">
        <f t="shared" si="12"/>
        <v>-0.62862700000000871</v>
      </c>
      <c r="AO16" s="74">
        <f t="shared" si="12"/>
        <v>3.0884330000001228</v>
      </c>
      <c r="AP16" s="75">
        <f t="shared" si="13"/>
        <v>7.4820782640514609E-3</v>
      </c>
      <c r="AQ16" s="76">
        <f t="shared" si="14"/>
        <v>642.08869211669958</v>
      </c>
      <c r="AR16" s="90">
        <f t="shared" si="15"/>
        <v>5.9999999999490683E-2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>
        <v>2571</v>
      </c>
      <c r="E17" s="62">
        <v>4.54</v>
      </c>
      <c r="F17" s="62">
        <v>8.18</v>
      </c>
      <c r="G17" s="62">
        <f t="shared" si="18"/>
        <v>116.72340000000001</v>
      </c>
      <c r="H17" s="63">
        <f t="shared" si="19"/>
        <v>210.30779999999999</v>
      </c>
      <c r="I17" s="203">
        <v>2622.1</v>
      </c>
      <c r="J17" s="203">
        <v>2700.7629999999999</v>
      </c>
      <c r="K17" s="203">
        <v>4.2188093512833227</v>
      </c>
      <c r="L17" s="203">
        <v>8.1451927844094421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2700.7629999999999</v>
      </c>
      <c r="S17" s="62">
        <f t="shared" si="3"/>
        <v>113.94004200000001</v>
      </c>
      <c r="T17" s="63">
        <f t="shared" si="4"/>
        <v>219.98235299999999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5271.7</v>
      </c>
      <c r="AI17" s="66">
        <v>4.37</v>
      </c>
      <c r="AJ17" s="66">
        <v>8.16</v>
      </c>
      <c r="AK17" s="62">
        <f t="shared" si="9"/>
        <v>230.37329</v>
      </c>
      <c r="AL17" s="72">
        <f t="shared" si="10"/>
        <v>430.17072000000002</v>
      </c>
      <c r="AM17" s="73">
        <f t="shared" si="11"/>
        <v>6.3000000000101863E-2</v>
      </c>
      <c r="AN17" s="74">
        <f t="shared" si="12"/>
        <v>0.2901520000000346</v>
      </c>
      <c r="AO17" s="74">
        <f t="shared" si="12"/>
        <v>0.11943299999995816</v>
      </c>
      <c r="AP17" s="75">
        <f t="shared" si="13"/>
        <v>1.226587393157601E-3</v>
      </c>
      <c r="AQ17" s="76">
        <f t="shared" si="14"/>
        <v>165.99524634000301</v>
      </c>
      <c r="AR17" s="90">
        <f t="shared" si="15"/>
        <v>6.3000000000101863E-2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>
        <v>5271.7</v>
      </c>
      <c r="E18" s="62">
        <v>4.37</v>
      </c>
      <c r="F18" s="62">
        <v>8.16</v>
      </c>
      <c r="G18" s="62">
        <f t="shared" si="18"/>
        <v>230.37329</v>
      </c>
      <c r="H18" s="63">
        <f t="shared" si="19"/>
        <v>430.17072000000002</v>
      </c>
      <c r="I18" s="203">
        <v>2205.3000000000002</v>
      </c>
      <c r="J18" s="203">
        <v>2271.4590000000003</v>
      </c>
      <c r="K18" s="203">
        <v>4.6152450913707863</v>
      </c>
      <c r="L18" s="203">
        <v>8.2373373237201282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2271.4590000000003</v>
      </c>
      <c r="S18" s="62">
        <f t="shared" si="3"/>
        <v>104.83339999999997</v>
      </c>
      <c r="T18" s="63">
        <f t="shared" si="4"/>
        <v>187.10774000000001</v>
      </c>
      <c r="U18" s="64" t="s">
        <v>170</v>
      </c>
      <c r="V18" s="65" t="s">
        <v>353</v>
      </c>
      <c r="W18" s="66" t="s">
        <v>159</v>
      </c>
      <c r="X18" s="67">
        <v>5200</v>
      </c>
      <c r="Y18" s="68">
        <v>4.6500000000000004</v>
      </c>
      <c r="Z18" s="68">
        <v>8.27</v>
      </c>
      <c r="AA18" s="62">
        <f t="shared" si="5"/>
        <v>241.80000000000004</v>
      </c>
      <c r="AB18" s="63">
        <f t="shared" si="6"/>
        <v>430.03999999999996</v>
      </c>
      <c r="AC18" s="69">
        <v>5140</v>
      </c>
      <c r="AD18" s="70">
        <v>4.5999999999999996</v>
      </c>
      <c r="AE18" s="70">
        <v>8.1999999999999993</v>
      </c>
      <c r="AF18" s="62">
        <f t="shared" si="7"/>
        <v>236.44</v>
      </c>
      <c r="AG18" s="62">
        <f t="shared" si="8"/>
        <v>421.47999999999996</v>
      </c>
      <c r="AH18" s="89">
        <v>2343.1</v>
      </c>
      <c r="AI18" s="66">
        <v>4.4400000000000004</v>
      </c>
      <c r="AJ18" s="66">
        <v>8.18</v>
      </c>
      <c r="AK18" s="62">
        <f t="shared" si="9"/>
        <v>104.03364000000001</v>
      </c>
      <c r="AL18" s="72">
        <f t="shared" si="10"/>
        <v>191.66557999999998</v>
      </c>
      <c r="AM18" s="73">
        <f t="shared" si="11"/>
        <v>60.058999999999742</v>
      </c>
      <c r="AN18" s="74">
        <f t="shared" si="12"/>
        <v>-5.2669500000000227</v>
      </c>
      <c r="AO18" s="74">
        <f t="shared" si="12"/>
        <v>4.132880000000057</v>
      </c>
      <c r="AP18" s="75">
        <f t="shared" si="13"/>
        <v>-3.884584406294933E-3</v>
      </c>
      <c r="AQ18" s="76">
        <f t="shared" si="14"/>
        <v>-1127.5257506333264</v>
      </c>
      <c r="AR18" s="90">
        <f>(D18+J18+O18)-(X18+AH18)</f>
        <v>5.8999999999286956E-2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>
        <v>2343.1</v>
      </c>
      <c r="E19" s="62">
        <v>4.4400000000000004</v>
      </c>
      <c r="F19" s="62">
        <v>8.18</v>
      </c>
      <c r="G19" s="62">
        <f t="shared" si="18"/>
        <v>104.03364000000001</v>
      </c>
      <c r="H19" s="63">
        <f t="shared" si="19"/>
        <v>191.66557999999998</v>
      </c>
      <c r="I19" s="203">
        <v>2090.5</v>
      </c>
      <c r="J19" s="203">
        <v>2153.2150000000001</v>
      </c>
      <c r="K19" s="203">
        <v>4.3178187036594133</v>
      </c>
      <c r="L19" s="203">
        <v>8.0829083951207892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2153.2150000000001</v>
      </c>
      <c r="S19" s="62">
        <f t="shared" si="3"/>
        <v>92.97192000000004</v>
      </c>
      <c r="T19" s="63">
        <f t="shared" si="4"/>
        <v>174.04239600000011</v>
      </c>
      <c r="U19" s="64" t="s">
        <v>167</v>
      </c>
      <c r="V19" s="65" t="s">
        <v>167</v>
      </c>
      <c r="W19" s="66" t="s">
        <v>187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4496.3</v>
      </c>
      <c r="AI19" s="66">
        <v>4.38</v>
      </c>
      <c r="AJ19" s="66">
        <v>8.1300000000000008</v>
      </c>
      <c r="AK19" s="62">
        <f t="shared" si="9"/>
        <v>196.93794</v>
      </c>
      <c r="AL19" s="72">
        <f t="shared" si="10"/>
        <v>365.54919000000007</v>
      </c>
      <c r="AM19" s="73">
        <f t="shared" si="11"/>
        <v>1.5000000000327418E-2</v>
      </c>
      <c r="AN19" s="74">
        <f t="shared" si="12"/>
        <v>6.7620000000061964E-2</v>
      </c>
      <c r="AO19" s="74">
        <f t="shared" si="12"/>
        <v>0.15878600000002052</v>
      </c>
      <c r="AP19" s="75">
        <f t="shared" si="13"/>
        <v>8.4791708321767429E-4</v>
      </c>
      <c r="AQ19" s="76">
        <f t="shared" si="14"/>
        <v>77.875709706700633</v>
      </c>
      <c r="AR19" s="90">
        <f>(D19+J19+O19)-(X19+AH19)</f>
        <v>1.5000000000327418E-2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>
        <v>4496.3</v>
      </c>
      <c r="E20" s="62">
        <v>4.38</v>
      </c>
      <c r="F20" s="62">
        <v>8.1300000000000008</v>
      </c>
      <c r="G20" s="62">
        <f t="shared" si="18"/>
        <v>196.93794</v>
      </c>
      <c r="H20" s="63">
        <f t="shared" si="19"/>
        <v>365.54919000000007</v>
      </c>
      <c r="I20" s="203">
        <v>2455.3000000000002</v>
      </c>
      <c r="J20" s="203">
        <v>2528.9590000000003</v>
      </c>
      <c r="K20" s="203">
        <v>4.8643383700566121</v>
      </c>
      <c r="L20" s="203">
        <v>8.2956909542622093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2528.9590000000003</v>
      </c>
      <c r="S20" s="62">
        <f t="shared" si="3"/>
        <v>123.017123</v>
      </c>
      <c r="T20" s="63">
        <f t="shared" si="4"/>
        <v>209.79462300000006</v>
      </c>
      <c r="U20" s="64" t="s">
        <v>170</v>
      </c>
      <c r="V20" s="65" t="s">
        <v>388</v>
      </c>
      <c r="W20" s="66" t="s">
        <v>151</v>
      </c>
      <c r="X20" s="67">
        <v>5200</v>
      </c>
      <c r="Y20" s="68">
        <v>4.7</v>
      </c>
      <c r="Z20" s="68">
        <v>8.35</v>
      </c>
      <c r="AA20" s="62">
        <f t="shared" si="5"/>
        <v>244.4</v>
      </c>
      <c r="AB20" s="63">
        <f t="shared" si="6"/>
        <v>434.19999999999993</v>
      </c>
      <c r="AC20" s="69">
        <v>5180</v>
      </c>
      <c r="AD20" s="70">
        <v>4.5999999999999996</v>
      </c>
      <c r="AE20" s="70">
        <v>8.1999999999999993</v>
      </c>
      <c r="AF20" s="62">
        <f t="shared" si="7"/>
        <v>238.28</v>
      </c>
      <c r="AG20" s="62">
        <f t="shared" si="8"/>
        <v>424.75999999999993</v>
      </c>
      <c r="AH20" s="89">
        <v>1825.2</v>
      </c>
      <c r="AI20" s="66">
        <v>4.55</v>
      </c>
      <c r="AJ20" s="66">
        <v>8.19</v>
      </c>
      <c r="AK20" s="62">
        <f t="shared" si="9"/>
        <v>83.046599999999998</v>
      </c>
      <c r="AL20" s="72">
        <f t="shared" si="10"/>
        <v>149.48388</v>
      </c>
      <c r="AM20" s="73">
        <f t="shared" si="11"/>
        <v>20.058999999999969</v>
      </c>
      <c r="AN20" s="74">
        <f t="shared" ref="AN20:AO65" si="20">+G20+S20-AF20-AK20</f>
        <v>-1.3715370000000036</v>
      </c>
      <c r="AO20" s="74">
        <f t="shared" si="20"/>
        <v>1.0999330000002487</v>
      </c>
      <c r="AP20" s="75">
        <f t="shared" si="13"/>
        <v>-8.1608898503166038E-4</v>
      </c>
      <c r="AQ20" s="76">
        <f t="shared" si="14"/>
        <v>-286.51605931659378</v>
      </c>
      <c r="AR20" s="90">
        <f>(D20+J20+O20)-(X20+AH20)</f>
        <v>5.9000000000196451E-2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>
        <v>1825.2</v>
      </c>
      <c r="E21" s="62">
        <v>4.55</v>
      </c>
      <c r="F21" s="62">
        <v>8.19</v>
      </c>
      <c r="G21" s="62">
        <f t="shared" si="18"/>
        <v>83.046599999999998</v>
      </c>
      <c r="H21" s="63">
        <f t="shared" si="19"/>
        <v>149.48388</v>
      </c>
      <c r="I21" s="203">
        <v>2120.2000000000003</v>
      </c>
      <c r="J21" s="203">
        <v>2183.8060000000005</v>
      </c>
      <c r="K21" s="203">
        <v>4.3893642109234996</v>
      </c>
      <c r="L21" s="203">
        <v>8.0954013772285638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2183.8060000000005</v>
      </c>
      <c r="S21" s="62">
        <f t="shared" si="3"/>
        <v>95.855199000000056</v>
      </c>
      <c r="T21" s="63">
        <f t="shared" si="4"/>
        <v>176.78786100000005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2">
        <f t="shared" si="8"/>
        <v>0</v>
      </c>
      <c r="AH21" s="89">
        <v>4009</v>
      </c>
      <c r="AI21" s="66">
        <v>4.46</v>
      </c>
      <c r="AJ21" s="66">
        <v>8.14</v>
      </c>
      <c r="AK21" s="62">
        <f t="shared" si="9"/>
        <v>178.8014</v>
      </c>
      <c r="AL21" s="72">
        <f t="shared" si="10"/>
        <v>326.33260000000001</v>
      </c>
      <c r="AM21" s="73">
        <f t="shared" si="11"/>
        <v>6.0000000003128662E-3</v>
      </c>
      <c r="AN21" s="74">
        <f t="shared" si="20"/>
        <v>0.10039900000003854</v>
      </c>
      <c r="AO21" s="74">
        <f t="shared" si="20"/>
        <v>-6.0858999999993557E-2</v>
      </c>
      <c r="AP21" s="75">
        <f t="shared" si="13"/>
        <v>1.4502478075196547E-4</v>
      </c>
      <c r="AQ21" s="76">
        <f t="shared" si="14"/>
        <v>26.856639296685895</v>
      </c>
      <c r="AR21" s="90">
        <f>(D21+J21+O21)-(X21+AH21)</f>
        <v>6.0000000003128662E-3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>
        <v>4009</v>
      </c>
      <c r="E22" s="62">
        <v>4.46</v>
      </c>
      <c r="F22" s="62">
        <v>8.14</v>
      </c>
      <c r="G22" s="62">
        <f t="shared" si="18"/>
        <v>178.8014</v>
      </c>
      <c r="H22" s="63">
        <f t="shared" si="19"/>
        <v>326.33260000000001</v>
      </c>
      <c r="I22" s="203">
        <v>2865.6</v>
      </c>
      <c r="J22" s="203">
        <v>2951.5679999999998</v>
      </c>
      <c r="K22" s="203">
        <v>4.7072131490787275</v>
      </c>
      <c r="L22" s="203">
        <v>8.2376535455053048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2951.5679999999998</v>
      </c>
      <c r="S22" s="62">
        <f t="shared" si="3"/>
        <v>138.93659700000001</v>
      </c>
      <c r="T22" s="63">
        <f t="shared" si="4"/>
        <v>243.13994600000001</v>
      </c>
      <c r="U22" s="64" t="s">
        <v>187</v>
      </c>
      <c r="V22" s="65" t="s">
        <v>167</v>
      </c>
      <c r="W22" s="66" t="s">
        <v>167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6960.5</v>
      </c>
      <c r="AI22" s="66">
        <v>4.5599999999999996</v>
      </c>
      <c r="AJ22" s="66">
        <v>8.18</v>
      </c>
      <c r="AK22" s="62">
        <f t="shared" si="9"/>
        <v>317.39879999999994</v>
      </c>
      <c r="AL22" s="72">
        <f t="shared" si="10"/>
        <v>569.36889999999994</v>
      </c>
      <c r="AM22" s="73">
        <f t="shared" si="11"/>
        <v>6.7999999999301508E-2</v>
      </c>
      <c r="AN22" s="74">
        <f t="shared" si="20"/>
        <v>0.33919700000006969</v>
      </c>
      <c r="AO22" s="74">
        <f t="shared" si="20"/>
        <v>0.10364600000002611</v>
      </c>
      <c r="AP22" s="75">
        <f t="shared" si="13"/>
        <v>1.1590426267024086E-3</v>
      </c>
      <c r="AQ22" s="76">
        <f t="shared" si="14"/>
        <v>183.28740917670578</v>
      </c>
      <c r="AR22" s="90">
        <f t="shared" si="15"/>
        <v>6.7999999999301508E-2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>
        <v>6960.5</v>
      </c>
      <c r="E23" s="62">
        <v>4.5599999999999996</v>
      </c>
      <c r="F23" s="62">
        <v>8.18</v>
      </c>
      <c r="G23" s="62">
        <f t="shared" si="18"/>
        <v>317.39879999999994</v>
      </c>
      <c r="H23" s="63">
        <f t="shared" si="19"/>
        <v>569.36889999999994</v>
      </c>
      <c r="I23" s="203">
        <v>2408.0000000000005</v>
      </c>
      <c r="J23" s="203">
        <v>2480.2400000000007</v>
      </c>
      <c r="K23" s="203">
        <v>4.3441528239202682</v>
      </c>
      <c r="L23" s="203">
        <v>8.0990656146179436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2480.2400000000007</v>
      </c>
      <c r="S23" s="62">
        <f t="shared" si="3"/>
        <v>107.74541600000011</v>
      </c>
      <c r="T23" s="63">
        <f t="shared" si="4"/>
        <v>200.87626500000013</v>
      </c>
      <c r="U23" s="64" t="s">
        <v>172</v>
      </c>
      <c r="V23" s="65" t="s">
        <v>389</v>
      </c>
      <c r="W23" s="66" t="s">
        <v>191</v>
      </c>
      <c r="X23" s="67">
        <v>6280</v>
      </c>
      <c r="Y23" s="68">
        <v>4.67</v>
      </c>
      <c r="Z23" s="68">
        <v>8.31</v>
      </c>
      <c r="AA23" s="62">
        <f t="shared" si="5"/>
        <v>293.27600000000001</v>
      </c>
      <c r="AB23" s="63">
        <f t="shared" si="6"/>
        <v>521.86800000000005</v>
      </c>
      <c r="AC23" s="69">
        <v>6310</v>
      </c>
      <c r="AD23" s="70">
        <v>4.6249603803486536</v>
      </c>
      <c r="AE23" s="70">
        <v>8.2698890649762262</v>
      </c>
      <c r="AF23" s="62">
        <f t="shared" si="7"/>
        <v>291.83500000000004</v>
      </c>
      <c r="AG23" s="62">
        <f t="shared" si="8"/>
        <v>521.82999999999993</v>
      </c>
      <c r="AH23" s="89">
        <v>3160.7</v>
      </c>
      <c r="AI23" s="66">
        <v>4.5</v>
      </c>
      <c r="AJ23" s="84">
        <v>8.15</v>
      </c>
      <c r="AK23" s="62">
        <f t="shared" si="9"/>
        <v>142.23149999999998</v>
      </c>
      <c r="AL23" s="72">
        <f t="shared" si="10"/>
        <v>257.59704999999997</v>
      </c>
      <c r="AM23" s="73">
        <f t="shared" si="11"/>
        <v>-29.959999999998217</v>
      </c>
      <c r="AN23" s="74">
        <f t="shared" si="20"/>
        <v>-8.9222839999999906</v>
      </c>
      <c r="AO23" s="74">
        <f t="shared" si="20"/>
        <v>-9.181884999999852</v>
      </c>
      <c r="AP23" s="75">
        <f t="shared" si="13"/>
        <v>-5.8661364753566446E-2</v>
      </c>
      <c r="AQ23" s="76">
        <f t="shared" si="14"/>
        <v>-6753.1958406732847</v>
      </c>
      <c r="AR23" s="90">
        <f t="shared" si="15"/>
        <v>4.0000000000873115E-2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>
        <v>3160.7</v>
      </c>
      <c r="E24" s="62">
        <v>4.5</v>
      </c>
      <c r="F24" s="62">
        <v>8.15</v>
      </c>
      <c r="G24" s="62">
        <f t="shared" si="18"/>
        <v>142.23149999999998</v>
      </c>
      <c r="H24" s="63">
        <f t="shared" si="19"/>
        <v>257.59704999999997</v>
      </c>
      <c r="I24" s="203">
        <v>2662.9000000000005</v>
      </c>
      <c r="J24" s="203">
        <v>2742.7870000000007</v>
      </c>
      <c r="K24" s="203">
        <v>4.6718727702880321</v>
      </c>
      <c r="L24" s="203">
        <v>8.1874197303691449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2742.7870000000007</v>
      </c>
      <c r="S24" s="62">
        <f t="shared" si="3"/>
        <v>128.13951900000004</v>
      </c>
      <c r="T24" s="63">
        <f t="shared" si="4"/>
        <v>224.56348399999999</v>
      </c>
      <c r="U24" s="64" t="s">
        <v>167</v>
      </c>
      <c r="V24" s="65" t="s">
        <v>187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>
        <v>5903.4</v>
      </c>
      <c r="AI24" s="66">
        <v>4.57</v>
      </c>
      <c r="AJ24" s="66">
        <v>8.16</v>
      </c>
      <c r="AK24" s="62">
        <f t="shared" si="9"/>
        <v>269.78538000000003</v>
      </c>
      <c r="AL24" s="72">
        <f t="shared" si="10"/>
        <v>481.71744000000001</v>
      </c>
      <c r="AM24" s="73">
        <f t="shared" si="11"/>
        <v>8.7000000001353328E-2</v>
      </c>
      <c r="AN24" s="74">
        <f t="shared" si="20"/>
        <v>0.58563900000001468</v>
      </c>
      <c r="AO24" s="74">
        <f t="shared" si="20"/>
        <v>0.44309399999997368</v>
      </c>
      <c r="AP24" s="75">
        <f t="shared" si="13"/>
        <v>2.9167117695337239E-3</v>
      </c>
      <c r="AQ24" s="76">
        <f t="shared" si="14"/>
        <v>395.5054218499987</v>
      </c>
      <c r="AR24" s="90">
        <f t="shared" si="15"/>
        <v>8.7000000001353328E-2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>
        <v>5903.4</v>
      </c>
      <c r="E25" s="62">
        <v>4.57</v>
      </c>
      <c r="F25" s="62">
        <v>8.16</v>
      </c>
      <c r="G25" s="62">
        <f t="shared" si="18"/>
        <v>269.78538000000003</v>
      </c>
      <c r="H25" s="63">
        <f t="shared" si="19"/>
        <v>481.71744000000001</v>
      </c>
      <c r="I25" s="203">
        <v>2713.6999999999994</v>
      </c>
      <c r="J25" s="203">
        <v>2795.1109999999994</v>
      </c>
      <c r="K25" s="203">
        <v>4.4589785164167015</v>
      </c>
      <c r="L25" s="203">
        <v>8.106540885138374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2795.1109999999994</v>
      </c>
      <c r="S25" s="62">
        <f t="shared" si="3"/>
        <v>124.633399</v>
      </c>
      <c r="T25" s="63">
        <f t="shared" si="4"/>
        <v>226.58681600000003</v>
      </c>
      <c r="U25" s="64" t="s">
        <v>167</v>
      </c>
      <c r="V25" s="65" t="s">
        <v>167</v>
      </c>
      <c r="W25" s="66" t="s">
        <v>187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>
        <v>8698.5</v>
      </c>
      <c r="AI25" s="66">
        <v>4.53</v>
      </c>
      <c r="AJ25" s="66">
        <v>8.14</v>
      </c>
      <c r="AK25" s="62">
        <f t="shared" si="9"/>
        <v>394.04205000000002</v>
      </c>
      <c r="AL25" s="72">
        <f t="shared" si="10"/>
        <v>708.05790000000002</v>
      </c>
      <c r="AM25" s="73">
        <f t="shared" si="11"/>
        <v>1.0999999998603016E-2</v>
      </c>
      <c r="AN25" s="74">
        <f t="shared" si="20"/>
        <v>0.37672900000001164</v>
      </c>
      <c r="AO25" s="74">
        <f t="shared" si="20"/>
        <v>0.24635599999999158</v>
      </c>
      <c r="AP25" s="75">
        <f t="shared" si="13"/>
        <v>1.7740579083695485E-3</v>
      </c>
      <c r="AQ25" s="76">
        <f t="shared" si="14"/>
        <v>242.84519669666938</v>
      </c>
      <c r="AR25" s="90">
        <f t="shared" si="15"/>
        <v>1.0999999998603016E-2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>
        <v>8698.5</v>
      </c>
      <c r="E26" s="62">
        <v>4.53</v>
      </c>
      <c r="F26" s="62">
        <v>8.14</v>
      </c>
      <c r="G26" s="62">
        <f t="shared" si="18"/>
        <v>394.04205000000002</v>
      </c>
      <c r="H26" s="63">
        <f t="shared" si="19"/>
        <v>708.05790000000002</v>
      </c>
      <c r="I26" s="203">
        <v>2755.0999999999995</v>
      </c>
      <c r="J26" s="203">
        <v>2837.7529999999997</v>
      </c>
      <c r="K26" s="203">
        <v>4.8105586004137768</v>
      </c>
      <c r="L26" s="203">
        <v>8.3083626728612359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2837.7529999999997</v>
      </c>
      <c r="S26" s="62">
        <f t="shared" si="3"/>
        <v>136.51177099999995</v>
      </c>
      <c r="T26" s="63">
        <f t="shared" si="4"/>
        <v>235.7708109999999</v>
      </c>
      <c r="U26" s="64" t="s">
        <v>512</v>
      </c>
      <c r="V26" s="65" t="s">
        <v>513</v>
      </c>
      <c r="W26" s="66" t="s">
        <v>191</v>
      </c>
      <c r="X26" s="67">
        <v>11280</v>
      </c>
      <c r="Y26" s="68">
        <v>4.68</v>
      </c>
      <c r="Z26" s="68">
        <v>8.27</v>
      </c>
      <c r="AA26" s="62">
        <f t="shared" si="5"/>
        <v>527.90399999999988</v>
      </c>
      <c r="AB26" s="63">
        <f t="shared" si="6"/>
        <v>932.85599999999999</v>
      </c>
      <c r="AC26" s="69">
        <v>11250</v>
      </c>
      <c r="AD26" s="70">
        <v>4.6167999999999996</v>
      </c>
      <c r="AE26" s="70">
        <v>8.1944711111111097</v>
      </c>
      <c r="AF26" s="62">
        <f t="shared" si="7"/>
        <v>519.39</v>
      </c>
      <c r="AG26" s="62">
        <f t="shared" si="8"/>
        <v>921.87799999999982</v>
      </c>
      <c r="AH26" s="89">
        <v>256.2</v>
      </c>
      <c r="AI26" s="66">
        <v>4.59</v>
      </c>
      <c r="AJ26" s="66">
        <v>8.18</v>
      </c>
      <c r="AK26" s="62">
        <f t="shared" si="9"/>
        <v>11.759579999999998</v>
      </c>
      <c r="AL26" s="72">
        <f t="shared" si="10"/>
        <v>20.957159999999998</v>
      </c>
      <c r="AM26" s="73">
        <f t="shared" si="11"/>
        <v>30.053000000000623</v>
      </c>
      <c r="AN26" s="74">
        <f t="shared" si="20"/>
        <v>-0.59575900000001347</v>
      </c>
      <c r="AO26" s="74">
        <f t="shared" si="20"/>
        <v>0.99355100000007113</v>
      </c>
      <c r="AP26" s="75">
        <f t="shared" si="13"/>
        <v>1.0685216532640731E-3</v>
      </c>
      <c r="AQ26" s="76">
        <f t="shared" si="14"/>
        <v>29.90114691668191</v>
      </c>
      <c r="AR26" s="90">
        <f t="shared" si="15"/>
        <v>5.2999999999883585E-2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>
        <v>256.2</v>
      </c>
      <c r="E27" s="62">
        <v>4.59</v>
      </c>
      <c r="F27" s="62">
        <v>8.18</v>
      </c>
      <c r="G27" s="62">
        <f t="shared" si="18"/>
        <v>11.759579999999998</v>
      </c>
      <c r="H27" s="63">
        <f t="shared" si="19"/>
        <v>20.957159999999998</v>
      </c>
      <c r="I27" s="203">
        <v>2523.6999999999998</v>
      </c>
      <c r="J27" s="203">
        <v>2599.4110000000001</v>
      </c>
      <c r="K27" s="203">
        <v>4.2860443000356607</v>
      </c>
      <c r="L27" s="203">
        <v>8.0741213297935541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2599.4110000000001</v>
      </c>
      <c r="S27" s="62">
        <f t="shared" si="3"/>
        <v>111.41190699999997</v>
      </c>
      <c r="T27" s="63">
        <f t="shared" si="4"/>
        <v>209.87959799999993</v>
      </c>
      <c r="U27" s="64" t="s">
        <v>167</v>
      </c>
      <c r="V27" s="65" t="s">
        <v>187</v>
      </c>
      <c r="W27" s="66" t="s">
        <v>167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>
        <v>2855.6</v>
      </c>
      <c r="AI27" s="66">
        <v>4.3099999999999996</v>
      </c>
      <c r="AJ27" s="66">
        <v>8.07</v>
      </c>
      <c r="AK27" s="62">
        <f t="shared" si="9"/>
        <v>123.07635999999999</v>
      </c>
      <c r="AL27" s="72">
        <f t="shared" si="10"/>
        <v>230.44692000000001</v>
      </c>
      <c r="AM27" s="73">
        <f t="shared" si="11"/>
        <v>1.0999999999967258E-2</v>
      </c>
      <c r="AN27" s="74">
        <f t="shared" si="20"/>
        <v>9.5126999999976647E-2</v>
      </c>
      <c r="AO27" s="74">
        <f t="shared" si="20"/>
        <v>0.3898379999999122</v>
      </c>
      <c r="AP27" s="75">
        <f t="shared" si="13"/>
        <v>1.5094236618546418E-3</v>
      </c>
      <c r="AQ27" s="76">
        <f t="shared" si="14"/>
        <v>159.37157928996325</v>
      </c>
      <c r="AR27" s="90">
        <f t="shared" si="15"/>
        <v>1.0999999999967258E-2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>
        <v>2855.6</v>
      </c>
      <c r="E28" s="62">
        <v>4.3099999999999996</v>
      </c>
      <c r="F28" s="62">
        <v>8.07</v>
      </c>
      <c r="G28" s="62">
        <f t="shared" si="18"/>
        <v>123.07635999999999</v>
      </c>
      <c r="H28" s="63">
        <f t="shared" si="19"/>
        <v>230.44692000000001</v>
      </c>
      <c r="I28" s="203">
        <v>2786.6</v>
      </c>
      <c r="J28" s="203">
        <v>2870.1979999999999</v>
      </c>
      <c r="K28" s="203">
        <v>4.6607263331658642</v>
      </c>
      <c r="L28" s="203">
        <v>8.2396361156965447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2870.1979999999999</v>
      </c>
      <c r="S28" s="62">
        <f t="shared" si="3"/>
        <v>133.77207399999998</v>
      </c>
      <c r="T28" s="63">
        <f t="shared" si="4"/>
        <v>236.4938709999999</v>
      </c>
      <c r="U28" s="64" t="s">
        <v>167</v>
      </c>
      <c r="V28" s="65" t="s">
        <v>167</v>
      </c>
      <c r="W28" s="66" t="s">
        <v>187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5725.7</v>
      </c>
      <c r="AI28" s="66">
        <v>4.4800000000000004</v>
      </c>
      <c r="AJ28" s="66">
        <v>8.15</v>
      </c>
      <c r="AK28" s="62">
        <f t="shared" si="9"/>
        <v>256.51136000000002</v>
      </c>
      <c r="AL28" s="72">
        <f t="shared" si="10"/>
        <v>466.64454999999998</v>
      </c>
      <c r="AM28" s="73">
        <f t="shared" si="11"/>
        <v>9.7999999999956344E-2</v>
      </c>
      <c r="AN28" s="74">
        <f t="shared" si="20"/>
        <v>0.33707399999997278</v>
      </c>
      <c r="AO28" s="74">
        <f t="shared" si="20"/>
        <v>0.29624099999989539</v>
      </c>
      <c r="AP28" s="75">
        <f t="shared" si="13"/>
        <v>1.7104327539489714E-3</v>
      </c>
      <c r="AQ28" s="76">
        <f t="shared" si="14"/>
        <v>239.97292087995649</v>
      </c>
      <c r="AR28" s="90">
        <f t="shared" si="15"/>
        <v>9.7999999999956344E-2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>
        <v>5725.7</v>
      </c>
      <c r="E29" s="62">
        <v>4.4800000000000004</v>
      </c>
      <c r="F29" s="62">
        <v>8.15</v>
      </c>
      <c r="G29" s="62">
        <f t="shared" si="18"/>
        <v>256.51136000000002</v>
      </c>
      <c r="H29" s="63">
        <f t="shared" si="19"/>
        <v>466.64454999999998</v>
      </c>
      <c r="I29" s="203">
        <v>2797.7</v>
      </c>
      <c r="J29" s="203">
        <v>2881.6309999999999</v>
      </c>
      <c r="K29" s="203">
        <v>4.2502091003324161</v>
      </c>
      <c r="L29" s="203">
        <v>8.15673231583086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2881.6309999999999</v>
      </c>
      <c r="S29" s="62">
        <f t="shared" si="3"/>
        <v>122.475343</v>
      </c>
      <c r="T29" s="63">
        <f t="shared" si="4"/>
        <v>235.04692699999995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>
        <v>8607.2999999999993</v>
      </c>
      <c r="AI29" s="66">
        <v>4.4000000000000004</v>
      </c>
      <c r="AJ29" s="66">
        <v>8.15</v>
      </c>
      <c r="AK29" s="62">
        <f t="shared" si="9"/>
        <v>378.72120000000001</v>
      </c>
      <c r="AL29" s="72">
        <f t="shared" si="10"/>
        <v>701.49495000000002</v>
      </c>
      <c r="AM29" s="73">
        <f t="shared" si="11"/>
        <v>3.1000000000858563E-2</v>
      </c>
      <c r="AN29" s="74">
        <f t="shared" si="20"/>
        <v>0.2655030000000238</v>
      </c>
      <c r="AO29" s="74">
        <f t="shared" si="20"/>
        <v>0.19652699999994638</v>
      </c>
      <c r="AP29" s="75">
        <f t="shared" si="13"/>
        <v>1.2923111055430764E-3</v>
      </c>
      <c r="AQ29" s="76">
        <f t="shared" si="14"/>
        <v>178.00224210999465</v>
      </c>
      <c r="AR29" s="90">
        <f t="shared" si="15"/>
        <v>3.1000000000858563E-2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>
        <v>8607.2999999999993</v>
      </c>
      <c r="E30" s="62">
        <v>4.4000000000000004</v>
      </c>
      <c r="F30" s="62">
        <v>8.15</v>
      </c>
      <c r="G30" s="62">
        <f t="shared" si="18"/>
        <v>378.72120000000001</v>
      </c>
      <c r="H30" s="63">
        <f t="shared" si="19"/>
        <v>701.49495000000002</v>
      </c>
      <c r="I30" s="203">
        <v>2528.4</v>
      </c>
      <c r="J30" s="203">
        <v>2604.252</v>
      </c>
      <c r="K30" s="203">
        <v>4.6799992089859206</v>
      </c>
      <c r="L30" s="203">
        <v>8.2088554026261686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2604.252</v>
      </c>
      <c r="S30" s="62">
        <f t="shared" si="3"/>
        <v>121.87897300000002</v>
      </c>
      <c r="T30" s="63">
        <f t="shared" si="4"/>
        <v>213.77928100000003</v>
      </c>
      <c r="U30" s="64" t="s">
        <v>232</v>
      </c>
      <c r="V30" s="65" t="s">
        <v>580</v>
      </c>
      <c r="W30" s="66" t="s">
        <v>191</v>
      </c>
      <c r="X30" s="67">
        <v>10000</v>
      </c>
      <c r="Y30" s="68">
        <v>4.68</v>
      </c>
      <c r="Z30" s="68">
        <v>8.35</v>
      </c>
      <c r="AA30" s="62">
        <f t="shared" si="5"/>
        <v>467.99999999999994</v>
      </c>
      <c r="AB30" s="63">
        <f t="shared" si="6"/>
        <v>834.99999999999989</v>
      </c>
      <c r="AC30" s="69">
        <v>9980</v>
      </c>
      <c r="AD30" s="70">
        <v>4.6251002004008024</v>
      </c>
      <c r="AE30" s="70">
        <v>8.3350200400801615</v>
      </c>
      <c r="AF30" s="62">
        <f t="shared" si="7"/>
        <v>461.58500000000004</v>
      </c>
      <c r="AG30" s="63">
        <f t="shared" si="8"/>
        <v>831.83500000000015</v>
      </c>
      <c r="AH30" s="89">
        <v>1211.5</v>
      </c>
      <c r="AI30" s="66">
        <v>4.46</v>
      </c>
      <c r="AJ30" s="66">
        <v>8.16</v>
      </c>
      <c r="AK30" s="62">
        <f t="shared" si="9"/>
        <v>54.032899999999998</v>
      </c>
      <c r="AL30" s="72">
        <f t="shared" si="10"/>
        <v>98.858400000000003</v>
      </c>
      <c r="AM30" s="73">
        <f t="shared" si="11"/>
        <v>20.05199999999968</v>
      </c>
      <c r="AN30" s="74">
        <f t="shared" si="20"/>
        <v>-15.017726999999994</v>
      </c>
      <c r="AO30" s="74">
        <f t="shared" si="20"/>
        <v>-15.419169000000053</v>
      </c>
      <c r="AP30" s="75">
        <f t="shared" si="13"/>
        <v>-9.0678228934599772E-2</v>
      </c>
      <c r="AQ30" s="76">
        <f t="shared" si="14"/>
        <v>-11356.153931430013</v>
      </c>
      <c r="AR30" s="90">
        <f t="shared" si="15"/>
        <v>5.1999999999679858E-2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>
        <v>1211.5</v>
      </c>
      <c r="E31" s="62">
        <v>4.46</v>
      </c>
      <c r="F31" s="62">
        <v>8.16</v>
      </c>
      <c r="G31" s="62">
        <f t="shared" si="18"/>
        <v>54.032899999999998</v>
      </c>
      <c r="H31" s="63">
        <f t="shared" si="19"/>
        <v>98.858400000000003</v>
      </c>
      <c r="I31" s="203">
        <v>2403.5000000000009</v>
      </c>
      <c r="J31" s="203">
        <v>2475.6050000000009</v>
      </c>
      <c r="K31" s="203">
        <v>4.3325483669648417</v>
      </c>
      <c r="L31" s="203">
        <v>8.1681131682962356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2475.6050000000009</v>
      </c>
      <c r="S31" s="62">
        <f t="shared" si="3"/>
        <v>107.25678400000001</v>
      </c>
      <c r="T31" s="63">
        <f t="shared" si="4"/>
        <v>202.21021800000011</v>
      </c>
      <c r="U31" s="64" t="s">
        <v>167</v>
      </c>
      <c r="V31" s="65" t="s">
        <v>187</v>
      </c>
      <c r="W31" s="66" t="s">
        <v>167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>
        <v>3687.1</v>
      </c>
      <c r="AI31" s="66">
        <v>4.37</v>
      </c>
      <c r="AJ31" s="66">
        <v>8.16</v>
      </c>
      <c r="AK31" s="62">
        <f t="shared" si="9"/>
        <v>161.12627000000001</v>
      </c>
      <c r="AL31" s="72">
        <f t="shared" si="10"/>
        <v>300.86736000000002</v>
      </c>
      <c r="AM31" s="73">
        <f t="shared" si="11"/>
        <v>5.0000000010186341E-3</v>
      </c>
      <c r="AN31" s="74">
        <f t="shared" si="20"/>
        <v>0.16341400000001727</v>
      </c>
      <c r="AO31" s="74">
        <f t="shared" si="20"/>
        <v>0.2012580000001094</v>
      </c>
      <c r="AP31" s="75">
        <f t="shared" si="13"/>
        <v>1.1783873487103693E-3</v>
      </c>
      <c r="AQ31" s="76">
        <f t="shared" si="14"/>
        <v>133.58933126004052</v>
      </c>
      <c r="AR31" s="90">
        <f t="shared" si="15"/>
        <v>5.0000000010186341E-3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>
        <v>3687.1</v>
      </c>
      <c r="E32" s="62">
        <v>4.37</v>
      </c>
      <c r="F32" s="62">
        <v>8.16</v>
      </c>
      <c r="G32" s="62">
        <f t="shared" si="18"/>
        <v>161.12627000000001</v>
      </c>
      <c r="H32" s="63">
        <f t="shared" si="19"/>
        <v>300.86736000000002</v>
      </c>
      <c r="I32" s="203">
        <v>2523.0999999999995</v>
      </c>
      <c r="J32" s="203">
        <v>2598.7929999999997</v>
      </c>
      <c r="K32" s="203">
        <v>4.7043478260869556</v>
      </c>
      <c r="L32" s="203">
        <v>8.2235345408426124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2"/>
        <v>2598.7929999999997</v>
      </c>
      <c r="S32" s="62">
        <f t="shared" si="3"/>
        <v>122.25626199999996</v>
      </c>
      <c r="T32" s="63">
        <f t="shared" si="4"/>
        <v>213.71263999999994</v>
      </c>
      <c r="U32" s="64" t="s">
        <v>167</v>
      </c>
      <c r="V32" s="65" t="s">
        <v>187</v>
      </c>
      <c r="W32" s="66" t="s">
        <v>167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>
        <v>6285.8</v>
      </c>
      <c r="AI32" s="66">
        <v>4.5</v>
      </c>
      <c r="AJ32" s="66">
        <v>8.18</v>
      </c>
      <c r="AK32" s="62">
        <f t="shared" si="9"/>
        <v>282.86099999999999</v>
      </c>
      <c r="AL32" s="72">
        <f t="shared" si="10"/>
        <v>514.17844000000002</v>
      </c>
      <c r="AM32" s="73">
        <f t="shared" si="11"/>
        <v>9.2999999999847205E-2</v>
      </c>
      <c r="AN32" s="74">
        <f t="shared" si="20"/>
        <v>0.52153199999997923</v>
      </c>
      <c r="AO32" s="74">
        <f t="shared" si="20"/>
        <v>0.40155999999990399</v>
      </c>
      <c r="AP32" s="75">
        <f t="shared" si="13"/>
        <v>2.7475519147896715E-3</v>
      </c>
      <c r="AQ32" s="76">
        <f t="shared" si="14"/>
        <v>354.2971298532953</v>
      </c>
      <c r="AR32" s="90">
        <f t="shared" si="15"/>
        <v>9.2999999999847205E-2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>
        <v>6285.8</v>
      </c>
      <c r="E33" s="62">
        <v>4.5</v>
      </c>
      <c r="F33" s="62">
        <v>8.18</v>
      </c>
      <c r="G33" s="62">
        <f t="shared" si="18"/>
        <v>282.86099999999999</v>
      </c>
      <c r="H33" s="63">
        <f t="shared" si="19"/>
        <v>514.17844000000002</v>
      </c>
      <c r="I33" s="203">
        <v>2572.1</v>
      </c>
      <c r="J33" s="203">
        <v>2649.2629999999999</v>
      </c>
      <c r="K33" s="203">
        <v>4.3860930756969019</v>
      </c>
      <c r="L33" s="203">
        <v>8.1852766222153086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2649.2629999999999</v>
      </c>
      <c r="S33" s="62">
        <f t="shared" si="3"/>
        <v>116.19914100000001</v>
      </c>
      <c r="T33" s="63">
        <f t="shared" si="4"/>
        <v>216.84950499999994</v>
      </c>
      <c r="U33" s="64" t="s">
        <v>172</v>
      </c>
      <c r="V33" s="65" t="s">
        <v>581</v>
      </c>
      <c r="W33" s="66" t="s">
        <v>191</v>
      </c>
      <c r="X33" s="67">
        <v>6280</v>
      </c>
      <c r="Y33" s="68">
        <v>4.5</v>
      </c>
      <c r="Z33" s="68">
        <v>8.24</v>
      </c>
      <c r="AA33" s="62">
        <f t="shared" si="5"/>
        <v>282.59999999999997</v>
      </c>
      <c r="AB33" s="63">
        <f t="shared" si="6"/>
        <v>517.47199999999998</v>
      </c>
      <c r="AC33" s="69">
        <v>6260</v>
      </c>
      <c r="AD33" s="70">
        <v>4.4496805111821089</v>
      </c>
      <c r="AE33" s="70">
        <v>8.1095527156549512</v>
      </c>
      <c r="AF33" s="62">
        <f t="shared" si="7"/>
        <v>278.55</v>
      </c>
      <c r="AG33" s="63">
        <f t="shared" si="8"/>
        <v>507.65799999999996</v>
      </c>
      <c r="AH33" s="89">
        <v>2655</v>
      </c>
      <c r="AI33" s="66">
        <v>4.46</v>
      </c>
      <c r="AJ33" s="66">
        <v>8.18</v>
      </c>
      <c r="AK33" s="62">
        <f t="shared" si="9"/>
        <v>118.413</v>
      </c>
      <c r="AL33" s="72">
        <f t="shared" si="10"/>
        <v>217.179</v>
      </c>
      <c r="AM33" s="73">
        <f t="shared" si="11"/>
        <v>20.063000000000102</v>
      </c>
      <c r="AN33" s="74">
        <f t="shared" si="20"/>
        <v>2.0971409999999793</v>
      </c>
      <c r="AO33" s="74">
        <f t="shared" si="20"/>
        <v>6.1909449999999708</v>
      </c>
      <c r="AP33" s="75">
        <f t="shared" si="13"/>
        <v>2.4885511769953121E-2</v>
      </c>
      <c r="AQ33" s="76">
        <f t="shared" si="14"/>
        <v>2794.2123129433157</v>
      </c>
      <c r="AR33" s="90">
        <f t="shared" si="15"/>
        <v>6.3000000000101863E-2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>
        <v>2655</v>
      </c>
      <c r="E34" s="62">
        <v>4.46</v>
      </c>
      <c r="F34" s="62">
        <v>8.18</v>
      </c>
      <c r="G34" s="62">
        <f t="shared" si="18"/>
        <v>118.413</v>
      </c>
      <c r="H34" s="63">
        <f t="shared" si="19"/>
        <v>217.179</v>
      </c>
      <c r="I34" s="203">
        <v>2799.2000000000007</v>
      </c>
      <c r="J34" s="203">
        <v>2883.1760000000008</v>
      </c>
      <c r="K34" s="203">
        <v>4.8596956273220915</v>
      </c>
      <c r="L34" s="203">
        <v>8.2669798513861075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2883.1760000000008</v>
      </c>
      <c r="S34" s="62">
        <f t="shared" si="3"/>
        <v>140.11357800000002</v>
      </c>
      <c r="T34" s="63">
        <f t="shared" si="4"/>
        <v>238.35157900000002</v>
      </c>
      <c r="U34" s="64" t="s">
        <v>577</v>
      </c>
      <c r="V34" s="65" t="s">
        <v>582</v>
      </c>
      <c r="W34" s="66" t="s">
        <v>159</v>
      </c>
      <c r="X34" s="67">
        <v>5200</v>
      </c>
      <c r="Y34" s="68">
        <v>4.8499999999999996</v>
      </c>
      <c r="Z34" s="68">
        <v>8.3800000000000008</v>
      </c>
      <c r="AA34" s="62">
        <f t="shared" si="5"/>
        <v>252.19999999999996</v>
      </c>
      <c r="AB34" s="63">
        <f t="shared" si="6"/>
        <v>435.76000000000005</v>
      </c>
      <c r="AC34" s="69">
        <v>5200</v>
      </c>
      <c r="AD34" s="70">
        <v>4.75</v>
      </c>
      <c r="AE34" s="70">
        <v>8.3000000000000007</v>
      </c>
      <c r="AF34" s="62">
        <f t="shared" si="7"/>
        <v>247</v>
      </c>
      <c r="AG34" s="63">
        <f t="shared" si="8"/>
        <v>431.6</v>
      </c>
      <c r="AH34" s="89">
        <v>338.1</v>
      </c>
      <c r="AI34" s="66">
        <v>4.66</v>
      </c>
      <c r="AJ34" s="66">
        <v>8.2200000000000006</v>
      </c>
      <c r="AK34" s="62">
        <f t="shared" si="9"/>
        <v>15.755460000000001</v>
      </c>
      <c r="AL34" s="72">
        <f t="shared" si="10"/>
        <v>27.791820000000005</v>
      </c>
      <c r="AM34" s="73">
        <f t="shared" si="11"/>
        <v>7.6000000001272383E-2</v>
      </c>
      <c r="AN34" s="74">
        <f t="shared" si="20"/>
        <v>-4.2288819999999721</v>
      </c>
      <c r="AO34" s="74">
        <f t="shared" si="20"/>
        <v>-3.8612410000000388</v>
      </c>
      <c r="AP34" s="75">
        <f t="shared" si="13"/>
        <v>-2.1376136879094555E-2</v>
      </c>
      <c r="AQ34" s="76">
        <f t="shared" si="14"/>
        <v>-3053.9538834933328</v>
      </c>
      <c r="AR34" s="90">
        <f t="shared" si="15"/>
        <v>7.6000000000931323E-2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>
        <v>338.1</v>
      </c>
      <c r="E35" s="62">
        <v>4.66</v>
      </c>
      <c r="F35" s="62">
        <v>8.2200000000000006</v>
      </c>
      <c r="G35" s="62">
        <f t="shared" si="18"/>
        <v>15.755460000000001</v>
      </c>
      <c r="H35" s="63">
        <f t="shared" si="19"/>
        <v>27.791820000000005</v>
      </c>
      <c r="I35" s="203">
        <v>2117.5</v>
      </c>
      <c r="J35" s="203">
        <v>2181.0250000000001</v>
      </c>
      <c r="K35" s="203">
        <v>4.124949232585597</v>
      </c>
      <c r="L35" s="203">
        <v>8.0247036599763906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2181.0250000000001</v>
      </c>
      <c r="S35" s="62">
        <f t="shared" si="3"/>
        <v>89.966174000000024</v>
      </c>
      <c r="T35" s="63">
        <f t="shared" si="4"/>
        <v>175.02079300000005</v>
      </c>
      <c r="U35" s="64" t="s">
        <v>167</v>
      </c>
      <c r="V35" s="65" t="s">
        <v>187</v>
      </c>
      <c r="W35" s="66" t="s">
        <v>167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>
        <v>2519.1</v>
      </c>
      <c r="AI35" s="66">
        <v>4.1900000000000004</v>
      </c>
      <c r="AJ35" s="66">
        <v>8.0399999999999991</v>
      </c>
      <c r="AK35" s="62">
        <f t="shared" si="9"/>
        <v>105.55029000000002</v>
      </c>
      <c r="AL35" s="72">
        <f t="shared" si="10"/>
        <v>202.53563999999994</v>
      </c>
      <c r="AM35" s="73">
        <f t="shared" si="11"/>
        <v>2.5000000000090949E-2</v>
      </c>
      <c r="AN35" s="74">
        <f t="shared" si="20"/>
        <v>0.17134400000000483</v>
      </c>
      <c r="AO35" s="74">
        <f t="shared" si="20"/>
        <v>0.27697300000011182</v>
      </c>
      <c r="AP35" s="75">
        <f t="shared" si="13"/>
        <v>1.6918454710269451E-3</v>
      </c>
      <c r="AQ35" s="76">
        <f t="shared" si="14"/>
        <v>159.80866799336897</v>
      </c>
      <c r="AR35" s="90">
        <f t="shared" si="15"/>
        <v>2.5000000000090949E-2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>
        <v>2519.1</v>
      </c>
      <c r="E36" s="62">
        <v>4.1900000000000004</v>
      </c>
      <c r="F36" s="62">
        <v>8.0399999999999991</v>
      </c>
      <c r="G36" s="62">
        <f t="shared" si="18"/>
        <v>105.55029000000002</v>
      </c>
      <c r="H36" s="63">
        <f t="shared" si="19"/>
        <v>202.53563999999994</v>
      </c>
      <c r="I36" s="203">
        <v>2465.2000000000003</v>
      </c>
      <c r="J36" s="203">
        <v>2539.1560000000004</v>
      </c>
      <c r="K36" s="203">
        <v>4.8714343663800088</v>
      </c>
      <c r="L36" s="203">
        <v>8.2508072367353531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2539.1560000000004</v>
      </c>
      <c r="S36" s="62">
        <f t="shared" si="3"/>
        <v>123.693318</v>
      </c>
      <c r="T36" s="63">
        <f t="shared" si="4"/>
        <v>209.50086699999994</v>
      </c>
      <c r="U36" s="64" t="s">
        <v>167</v>
      </c>
      <c r="V36" s="85" t="s">
        <v>167</v>
      </c>
      <c r="W36" s="66" t="s">
        <v>187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>
        <v>5058.2</v>
      </c>
      <c r="AI36" s="66">
        <v>4.53</v>
      </c>
      <c r="AJ36" s="66">
        <v>8.14</v>
      </c>
      <c r="AK36" s="62">
        <f t="shared" si="9"/>
        <v>229.13646</v>
      </c>
      <c r="AL36" s="72">
        <f t="shared" si="10"/>
        <v>411.73748000000001</v>
      </c>
      <c r="AM36" s="73">
        <f t="shared" si="11"/>
        <v>5.6000000000494765E-2</v>
      </c>
      <c r="AN36" s="74">
        <f t="shared" si="20"/>
        <v>0.10714800000002356</v>
      </c>
      <c r="AO36" s="74">
        <f t="shared" si="20"/>
        <v>0.29902699999991</v>
      </c>
      <c r="AP36" s="75">
        <f t="shared" si="13"/>
        <v>1.2190338795976694E-3</v>
      </c>
      <c r="AQ36" s="76">
        <f t="shared" si="14"/>
        <v>137.59061572665033</v>
      </c>
      <c r="AR36" s="90">
        <f t="shared" si="15"/>
        <v>5.6000000000494765E-2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>
        <v>5058.2</v>
      </c>
      <c r="E37" s="62">
        <v>4.53</v>
      </c>
      <c r="F37" s="62">
        <v>8.14</v>
      </c>
      <c r="G37" s="62">
        <f t="shared" si="18"/>
        <v>229.13646</v>
      </c>
      <c r="H37" s="63">
        <f t="shared" si="19"/>
        <v>411.73748000000001</v>
      </c>
      <c r="I37" s="203">
        <v>2657.1000000000013</v>
      </c>
      <c r="J37" s="203">
        <v>2736.8130000000015</v>
      </c>
      <c r="K37" s="203">
        <v>4.4103609197997811</v>
      </c>
      <c r="L37" s="203">
        <v>8.1257988032065054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2736.8130000000015</v>
      </c>
      <c r="S37" s="62">
        <f t="shared" si="3"/>
        <v>120.70333100000003</v>
      </c>
      <c r="T37" s="63">
        <f t="shared" si="4"/>
        <v>222.38791800000016</v>
      </c>
      <c r="U37" s="64" t="s">
        <v>167</v>
      </c>
      <c r="V37" s="65" t="s">
        <v>167</v>
      </c>
      <c r="W37" s="66" t="s">
        <v>167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>
        <v>7795</v>
      </c>
      <c r="AI37" s="66">
        <v>4.4800000000000004</v>
      </c>
      <c r="AJ37" s="66">
        <v>8.1300000000000008</v>
      </c>
      <c r="AK37" s="62">
        <f t="shared" si="9"/>
        <v>349.21600000000007</v>
      </c>
      <c r="AL37" s="72">
        <f t="shared" si="10"/>
        <v>633.73350000000005</v>
      </c>
      <c r="AM37" s="73">
        <f t="shared" si="11"/>
        <v>1.3000000000829459E-2</v>
      </c>
      <c r="AN37" s="74">
        <f t="shared" si="20"/>
        <v>0.62379099999998289</v>
      </c>
      <c r="AO37" s="74">
        <f t="shared" si="20"/>
        <v>0.3918980000000829</v>
      </c>
      <c r="AP37" s="75">
        <f t="shared" si="13"/>
        <v>2.9604048571931522E-3</v>
      </c>
      <c r="AQ37" s="76">
        <f t="shared" si="14"/>
        <v>397.31063859668382</v>
      </c>
      <c r="AR37" s="90">
        <f t="shared" si="15"/>
        <v>1.3000000000829459E-2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>
        <v>7795</v>
      </c>
      <c r="E38" s="62">
        <v>4.4800000000000004</v>
      </c>
      <c r="F38" s="62">
        <v>8.1300000000000008</v>
      </c>
      <c r="G38" s="62">
        <f t="shared" si="18"/>
        <v>349.21600000000007</v>
      </c>
      <c r="H38" s="63">
        <f t="shared" si="19"/>
        <v>633.73350000000005</v>
      </c>
      <c r="I38" s="203">
        <v>2663.7999999999997</v>
      </c>
      <c r="J38" s="203">
        <v>2743.7139999999999</v>
      </c>
      <c r="K38" s="203">
        <v>4.7063293040018026</v>
      </c>
      <c r="L38" s="203">
        <v>8.2074555146782799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2743.7139999999999</v>
      </c>
      <c r="S38" s="62">
        <f t="shared" si="3"/>
        <v>129.12821600000001</v>
      </c>
      <c r="T38" s="63">
        <f t="shared" si="4"/>
        <v>225.18910600000001</v>
      </c>
      <c r="U38" s="64" t="s">
        <v>232</v>
      </c>
      <c r="V38" s="65" t="s">
        <v>583</v>
      </c>
      <c r="W38" s="66" t="s">
        <v>191</v>
      </c>
      <c r="X38" s="67">
        <v>5000</v>
      </c>
      <c r="Y38" s="68">
        <v>4.7</v>
      </c>
      <c r="Z38" s="68">
        <v>8.35</v>
      </c>
      <c r="AA38" s="62">
        <f t="shared" si="5"/>
        <v>235</v>
      </c>
      <c r="AB38" s="63">
        <f t="shared" si="6"/>
        <v>417.49999999999994</v>
      </c>
      <c r="AC38" s="226">
        <v>5000</v>
      </c>
      <c r="AD38" s="227">
        <v>4.7</v>
      </c>
      <c r="AE38" s="227">
        <v>8.35</v>
      </c>
      <c r="AF38" s="62">
        <f t="shared" si="7"/>
        <v>235</v>
      </c>
      <c r="AG38" s="63">
        <f t="shared" si="8"/>
        <v>417.49999999999994</v>
      </c>
      <c r="AH38" s="89">
        <v>5538.7</v>
      </c>
      <c r="AI38" s="71">
        <v>4.53</v>
      </c>
      <c r="AJ38" s="71">
        <v>8.15</v>
      </c>
      <c r="AK38" s="62">
        <f t="shared" si="9"/>
        <v>250.90311</v>
      </c>
      <c r="AL38" s="72">
        <f t="shared" si="10"/>
        <v>451.40404999999998</v>
      </c>
      <c r="AM38" s="73">
        <f t="shared" si="11"/>
        <v>1.4000000000123691E-2</v>
      </c>
      <c r="AN38" s="74">
        <f t="shared" si="20"/>
        <v>-7.5588939999999241</v>
      </c>
      <c r="AO38" s="74">
        <f t="shared" si="20"/>
        <v>-9.9814439999998399</v>
      </c>
      <c r="AP38" s="75">
        <f t="shared" si="13"/>
        <v>-4.9504601979351616E-2</v>
      </c>
      <c r="AQ38" s="76">
        <f t="shared" si="14"/>
        <v>-6380.4431228999183</v>
      </c>
      <c r="AR38" s="90">
        <f t="shared" si="15"/>
        <v>1.3999999999214197E-2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>
        <v>5538.7</v>
      </c>
      <c r="E39" s="62">
        <v>4.53</v>
      </c>
      <c r="F39" s="62">
        <v>8.15</v>
      </c>
      <c r="G39" s="62">
        <f t="shared" si="18"/>
        <v>250.90311</v>
      </c>
      <c r="H39" s="63">
        <f t="shared" si="19"/>
        <v>451.40404999999998</v>
      </c>
      <c r="I39" s="203">
        <v>2435.8000000000002</v>
      </c>
      <c r="J39" s="203">
        <v>2508.8740000000003</v>
      </c>
      <c r="K39" s="203">
        <v>4.280540274242548</v>
      </c>
      <c r="L39" s="203">
        <v>8.1567821660234845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2508.8740000000003</v>
      </c>
      <c r="S39" s="62">
        <f t="shared" si="3"/>
        <v>107.393362</v>
      </c>
      <c r="T39" s="63">
        <f t="shared" si="4"/>
        <v>204.64338700000008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>
        <v>8047.5</v>
      </c>
      <c r="AI39" s="66">
        <v>4.45</v>
      </c>
      <c r="AJ39" s="66">
        <v>8.15</v>
      </c>
      <c r="AK39" s="62">
        <f t="shared" si="9"/>
        <v>358.11375000000004</v>
      </c>
      <c r="AL39" s="72">
        <f t="shared" si="10"/>
        <v>655.87125000000003</v>
      </c>
      <c r="AM39" s="73">
        <f t="shared" si="11"/>
        <v>7.4000000000523869E-2</v>
      </c>
      <c r="AN39" s="74">
        <f t="shared" si="20"/>
        <v>0.18272199999995564</v>
      </c>
      <c r="AO39" s="74">
        <f t="shared" si="20"/>
        <v>0.17618700000002718</v>
      </c>
      <c r="AP39" s="75">
        <f t="shared" si="13"/>
        <v>1.1502138807374343E-3</v>
      </c>
      <c r="AQ39" s="76">
        <f t="shared" si="14"/>
        <v>134.75380379998825</v>
      </c>
      <c r="AR39" s="90">
        <f t="shared" si="15"/>
        <v>7.4000000000523869E-2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/>
      <c r="E40" s="62"/>
      <c r="F40" s="62"/>
      <c r="G40" s="62">
        <f t="shared" si="18"/>
        <v>0</v>
      </c>
      <c r="H40" s="63">
        <f t="shared" si="19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20"/>
        <v>0</v>
      </c>
      <c r="AO40" s="74">
        <f t="shared" si="20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/>
      <c r="E41" s="62"/>
      <c r="F41" s="62"/>
      <c r="G41" s="62">
        <f t="shared" si="18"/>
        <v>0</v>
      </c>
      <c r="H41" s="63">
        <f t="shared" si="19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20"/>
        <v>0</v>
      </c>
      <c r="AO41" s="74">
        <f t="shared" si="20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/>
      <c r="E42" s="62"/>
      <c r="F42" s="62"/>
      <c r="G42" s="62">
        <f t="shared" si="18"/>
        <v>0</v>
      </c>
      <c r="H42" s="63">
        <f t="shared" si="19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20"/>
        <v>0</v>
      </c>
      <c r="AO42" s="74">
        <f t="shared" si="20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/>
      <c r="E43" s="62"/>
      <c r="F43" s="62"/>
      <c r="G43" s="62">
        <f t="shared" si="18"/>
        <v>0</v>
      </c>
      <c r="H43" s="63">
        <f t="shared" si="19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20"/>
        <v>0</v>
      </c>
      <c r="AO43" s="74">
        <f t="shared" si="20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/>
      <c r="E44" s="62"/>
      <c r="F44" s="62"/>
      <c r="G44" s="62">
        <f t="shared" si="18"/>
        <v>0</v>
      </c>
      <c r="H44" s="63">
        <f t="shared" si="19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20"/>
        <v>0</v>
      </c>
      <c r="AO44" s="74">
        <f t="shared" si="20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/>
      <c r="E45" s="62"/>
      <c r="F45" s="62"/>
      <c r="G45" s="62">
        <f t="shared" si="18"/>
        <v>0</v>
      </c>
      <c r="H45" s="63">
        <f t="shared" si="19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20"/>
        <v>0</v>
      </c>
      <c r="AO45" s="74">
        <f t="shared" si="20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/>
      <c r="E46" s="62"/>
      <c r="F46" s="62"/>
      <c r="G46" s="62">
        <f t="shared" si="18"/>
        <v>0</v>
      </c>
      <c r="H46" s="63">
        <f t="shared" si="19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20"/>
        <v>0</v>
      </c>
      <c r="AO46" s="74">
        <f t="shared" si="20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/>
      <c r="E47" s="62"/>
      <c r="F47" s="62"/>
      <c r="G47" s="62">
        <f t="shared" si="18"/>
        <v>0</v>
      </c>
      <c r="H47" s="63">
        <f t="shared" si="19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20"/>
        <v>0</v>
      </c>
      <c r="AO47" s="74">
        <f t="shared" si="20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/>
      <c r="E48" s="62"/>
      <c r="F48" s="62"/>
      <c r="G48" s="62">
        <f t="shared" si="18"/>
        <v>0</v>
      </c>
      <c r="H48" s="63">
        <f t="shared" si="19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20"/>
        <v>0</v>
      </c>
      <c r="AO48" s="74">
        <f t="shared" si="20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/>
      <c r="E49" s="62"/>
      <c r="F49" s="62"/>
      <c r="G49" s="62">
        <f t="shared" si="18"/>
        <v>0</v>
      </c>
      <c r="H49" s="63">
        <f t="shared" si="19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20"/>
        <v>0</v>
      </c>
      <c r="AO49" s="74">
        <f t="shared" si="20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/>
      <c r="E50" s="62"/>
      <c r="F50" s="62"/>
      <c r="G50" s="62">
        <f t="shared" si="18"/>
        <v>0</v>
      </c>
      <c r="H50" s="63">
        <f t="shared" si="19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20"/>
        <v>0</v>
      </c>
      <c r="AO50" s="74">
        <f t="shared" si="20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/>
      <c r="E51" s="62"/>
      <c r="F51" s="62"/>
      <c r="G51" s="62">
        <f t="shared" si="18"/>
        <v>0</v>
      </c>
      <c r="H51" s="63">
        <f t="shared" si="19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20"/>
        <v>0</v>
      </c>
      <c r="AO51" s="74">
        <f t="shared" si="20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/>
      <c r="E52" s="62"/>
      <c r="F52" s="62"/>
      <c r="G52" s="62">
        <f t="shared" si="18"/>
        <v>0</v>
      </c>
      <c r="H52" s="63">
        <f t="shared" si="19"/>
        <v>0</v>
      </c>
      <c r="I52" s="119"/>
      <c r="J52" s="119"/>
      <c r="K52" s="119"/>
      <c r="L52" s="119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20"/>
        <v>0</v>
      </c>
      <c r="AO52" s="74">
        <f t="shared" si="20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/>
      <c r="E53" s="62"/>
      <c r="F53" s="62"/>
      <c r="G53" s="62">
        <f t="shared" si="18"/>
        <v>0</v>
      </c>
      <c r="H53" s="63">
        <f t="shared" si="19"/>
        <v>0</v>
      </c>
      <c r="I53" s="119"/>
      <c r="J53" s="119"/>
      <c r="K53" s="119"/>
      <c r="L53" s="119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20"/>
        <v>0</v>
      </c>
      <c r="AO53" s="74">
        <f t="shared" si="20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18"/>
        <v>0</v>
      </c>
      <c r="H54" s="63">
        <f t="shared" si="19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0"/>
        <v>0</v>
      </c>
      <c r="AO54" s="74">
        <f t="shared" si="20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18"/>
        <v>0</v>
      </c>
      <c r="H55" s="63">
        <f t="shared" si="19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0"/>
        <v>0</v>
      </c>
      <c r="AO55" s="74">
        <f t="shared" si="20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18"/>
        <v>0</v>
      </c>
      <c r="H56" s="63">
        <f t="shared" si="19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0"/>
        <v>0</v>
      </c>
      <c r="AO56" s="74">
        <f t="shared" si="20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18"/>
        <v>0</v>
      </c>
      <c r="H57" s="63">
        <f t="shared" si="19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0"/>
        <v>0</v>
      </c>
      <c r="AO57" s="74">
        <f t="shared" si="20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18"/>
        <v>0</v>
      </c>
      <c r="H58" s="63">
        <f t="shared" si="19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0"/>
        <v>0</v>
      </c>
      <c r="AO58" s="74">
        <f t="shared" si="20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18"/>
        <v>0</v>
      </c>
      <c r="H59" s="63">
        <f t="shared" si="19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0"/>
        <v>0</v>
      </c>
      <c r="AO59" s="74">
        <f t="shared" si="20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18"/>
        <v>0</v>
      </c>
      <c r="H60" s="63">
        <f t="shared" si="19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0"/>
        <v>0</v>
      </c>
      <c r="AO60" s="74">
        <f t="shared" si="20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18"/>
        <v>0</v>
      </c>
      <c r="H61" s="63">
        <f t="shared" si="19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0"/>
        <v>0</v>
      </c>
      <c r="AO61" s="74">
        <f t="shared" si="20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18"/>
        <v>0</v>
      </c>
      <c r="H62" s="63">
        <f t="shared" si="19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0"/>
        <v>0</v>
      </c>
      <c r="AO62" s="74">
        <f t="shared" si="20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18"/>
        <v>0</v>
      </c>
      <c r="H63" s="63">
        <f t="shared" si="19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0"/>
        <v>0</v>
      </c>
      <c r="AO63" s="74">
        <f t="shared" si="20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18"/>
        <v>0</v>
      </c>
      <c r="H64" s="63">
        <f t="shared" si="19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0"/>
        <v>0</v>
      </c>
      <c r="AO64" s="74">
        <f t="shared" si="20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18"/>
        <v>0</v>
      </c>
      <c r="H65" s="63">
        <f t="shared" si="19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0"/>
        <v>0</v>
      </c>
      <c r="AO65" s="74">
        <f t="shared" si="20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93692.816999999995</v>
      </c>
      <c r="R66" s="83">
        <f>SUM(R4:R65)</f>
        <v>93692.816999999995</v>
      </c>
      <c r="S66" s="83">
        <f t="shared" ref="S66:T66" si="21">SUM(S4:S65)</f>
        <v>4265.3006579999992</v>
      </c>
      <c r="T66" s="83">
        <f t="shared" si="21"/>
        <v>7659.3948710000004</v>
      </c>
      <c r="AH66" s="90"/>
      <c r="AI66" s="77"/>
      <c r="AJ66" s="77"/>
      <c r="AM66" s="83">
        <f>-SUM(AM4:AM65)</f>
        <v>-191.71700000000396</v>
      </c>
      <c r="AN66" s="83">
        <f>-SUM(AN4:AN65)</f>
        <v>34.617171999999904</v>
      </c>
      <c r="AO66" s="83">
        <f>-SUM(AO4:AO65)</f>
        <v>40.780058999999696</v>
      </c>
      <c r="AQ66" s="127">
        <f>-SUM(AQ4:AQ65)</f>
        <v>27744.378872979873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4" priority="2" operator="lessThan">
      <formula>0.1</formula>
    </cfRule>
    <cfRule type="cellIs" dxfId="93" priority="3" operator="greaterThan">
      <formula>0.1</formula>
    </cfRule>
  </conditionalFormatting>
  <conditionalFormatting sqref="AP1:AQ1">
    <cfRule type="cellIs" dxfId="92" priority="1" operator="lessThan">
      <formula>1</formula>
    </cfRule>
  </conditionalFormatting>
  <conditionalFormatting sqref="AQ4:AQ65">
    <cfRule type="cellIs" dxfId="91" priority="4" operator="lessThan">
      <formula>0</formula>
    </cfRule>
    <cfRule type="cellIs" dxfId="90" priority="5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AV68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C39" sqref="AC39:AE39"/>
    </sheetView>
  </sheetViews>
  <sheetFormatPr defaultRowHeight="15" x14ac:dyDescent="0.25"/>
  <cols>
    <col min="1" max="1" width="3" customWidth="1"/>
    <col min="2" max="2" width="9.7109375" customWidth="1"/>
    <col min="3" max="3" width="5.7109375" bestFit="1" customWidth="1"/>
    <col min="4" max="4" width="7.42578125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customWidth="1"/>
    <col min="10" max="10" width="9.28515625" bestFit="1" customWidth="1"/>
    <col min="11" max="12" width="5.85546875" bestFit="1" customWidth="1"/>
    <col min="13" max="13" width="6" bestFit="1" customWidth="1"/>
    <col min="14" max="14" width="8.28515625" customWidth="1"/>
    <col min="15" max="15" width="7" bestFit="1" customWidth="1"/>
    <col min="16" max="17" width="5.85546875" bestFit="1" customWidth="1"/>
    <col min="18" max="18" width="9.28515625" bestFit="1" customWidth="1"/>
    <col min="19" max="19" width="7.28515625" bestFit="1" customWidth="1"/>
    <col min="20" max="20" width="8.140625" bestFit="1" customWidth="1"/>
    <col min="21" max="21" width="8.28515625" customWidth="1"/>
    <col min="22" max="22" width="9.28515625" customWidth="1"/>
    <col min="23" max="23" width="11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" customWidth="1"/>
    <col min="30" max="31" width="5.85546875" bestFit="1" customWidth="1"/>
    <col min="32" max="33" width="7.28515625" customWidth="1"/>
    <col min="34" max="34" width="9.28515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42578125" bestFit="1" customWidth="1"/>
    <col min="44" max="44" width="6.7109375" bestFit="1" customWidth="1"/>
    <col min="45" max="49" width="8.7109375" bestFit="1" customWidth="1"/>
  </cols>
  <sheetData>
    <row r="1" spans="1:46" ht="15.75" thickBot="1" x14ac:dyDescent="0.3">
      <c r="B1" s="43" t="s">
        <v>92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6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5">
        <v>28083</v>
      </c>
      <c r="E4" s="54">
        <v>3.8</v>
      </c>
      <c r="F4" s="55">
        <v>8.1300000000000008</v>
      </c>
      <c r="G4" s="62">
        <f t="shared" ref="G4" si="0">+D4*E4%</f>
        <v>1067.154</v>
      </c>
      <c r="H4" s="63">
        <f t="shared" ref="H4" si="1">+D4*F4%</f>
        <v>2283.1479000000004</v>
      </c>
      <c r="I4" s="203">
        <v>2711.1000000000008</v>
      </c>
      <c r="J4" s="204">
        <v>2792.4330000000009</v>
      </c>
      <c r="K4" s="121">
        <v>4.933512227509131</v>
      </c>
      <c r="L4" s="122">
        <v>8.6339419423850128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2792.4330000000009</v>
      </c>
      <c r="S4" s="62">
        <f t="shared" ref="S4" si="2">+J4*K4%+O4*P4%</f>
        <v>137.7650235000001</v>
      </c>
      <c r="T4" s="63">
        <f t="shared" ref="T4" si="3">+J4*L4%+O4*Q4%</f>
        <v>241.09704400000015</v>
      </c>
      <c r="U4" s="64" t="s">
        <v>244</v>
      </c>
      <c r="V4" s="65" t="s">
        <v>245</v>
      </c>
      <c r="W4" s="66" t="s">
        <v>189</v>
      </c>
      <c r="X4" s="67">
        <v>15480</v>
      </c>
      <c r="Y4" s="68">
        <v>4.2</v>
      </c>
      <c r="Z4" s="68">
        <v>8.3699999999999992</v>
      </c>
      <c r="AA4" s="62">
        <f t="shared" ref="AA4" si="4">X4*Y4%</f>
        <v>650.16000000000008</v>
      </c>
      <c r="AB4" s="62">
        <f t="shared" ref="AB4" si="5">X4*Z4%</f>
        <v>1295.6759999999999</v>
      </c>
      <c r="AC4" s="69">
        <v>15460</v>
      </c>
      <c r="AD4" s="70">
        <v>4.1500000000000004</v>
      </c>
      <c r="AE4" s="70">
        <v>8.17</v>
      </c>
      <c r="AF4" s="62">
        <f t="shared" ref="AF4" si="6">AC4*AD4%</f>
        <v>641.59</v>
      </c>
      <c r="AG4" s="63">
        <f t="shared" ref="AG4" si="7">AC4*AE4%</f>
        <v>1263.0819999999999</v>
      </c>
      <c r="AH4" s="66">
        <v>15394</v>
      </c>
      <c r="AI4" s="66">
        <v>3.9</v>
      </c>
      <c r="AJ4" s="66">
        <v>8.17</v>
      </c>
      <c r="AK4" s="62">
        <f t="shared" ref="AK4" si="8">AH4*AI4%</f>
        <v>600.36599999999999</v>
      </c>
      <c r="AL4" s="72">
        <f t="shared" ref="AL4" si="9">AH4*AJ4%</f>
        <v>1257.6897999999999</v>
      </c>
      <c r="AM4" s="73">
        <f t="shared" ref="AM4" si="10">+D4+R4-AC4-AH4</f>
        <v>21.433000000000902</v>
      </c>
      <c r="AN4" s="74">
        <f t="shared" ref="AN4:AO4" si="11">+G4+S4-AF4-AK4</f>
        <v>-37.036976499999923</v>
      </c>
      <c r="AO4" s="74">
        <f t="shared" si="11"/>
        <v>3.4731440000007296</v>
      </c>
      <c r="AP4" s="75">
        <f t="shared" ref="AP4" si="12">(AN4+AO4)/(S4+T4)</f>
        <v>-8.8591166493592471E-2</v>
      </c>
      <c r="AQ4" s="76">
        <f t="shared" ref="AQ4" si="13">($AP$1*AN4+$AQ$1*AO4)</f>
        <v>-15586.84973858808</v>
      </c>
      <c r="AR4" s="77">
        <f t="shared" ref="AR4:AR9" si="14">(D4+J4+O4)-(X4+AH4)</f>
        <v>1.4330000000009022</v>
      </c>
      <c r="AT4" s="78"/>
    </row>
    <row r="5" spans="1:46" x14ac:dyDescent="0.25">
      <c r="A5" t="str">
        <f t="shared" ref="A5:A65" si="15">CONCATENATE(B5,C5)</f>
        <v>46174E</v>
      </c>
      <c r="B5" s="51">
        <f>+B4</f>
        <v>46174</v>
      </c>
      <c r="C5" s="52" t="s">
        <v>88</v>
      </c>
      <c r="D5" s="91">
        <v>15394</v>
      </c>
      <c r="E5" s="62">
        <v>3.9</v>
      </c>
      <c r="F5" s="62">
        <v>8.17</v>
      </c>
      <c r="G5" s="62">
        <f t="shared" ref="G5:G65" si="16">+D5*E5%</f>
        <v>600.36599999999999</v>
      </c>
      <c r="H5" s="63">
        <f t="shared" ref="H5:H65" si="17">+D5*F5%</f>
        <v>1257.6897999999999</v>
      </c>
      <c r="I5" s="203">
        <v>4384.2999999999993</v>
      </c>
      <c r="J5" s="204">
        <v>4515.8289999999997</v>
      </c>
      <c r="K5" s="121">
        <v>4.1834967953835278</v>
      </c>
      <c r="L5" s="122">
        <v>8.4696975571927133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4515.8289999999997</v>
      </c>
      <c r="S5" s="62">
        <f t="shared" ref="S5:S65" si="19">+J5*K5%+O5*P5%</f>
        <v>188.91956149999999</v>
      </c>
      <c r="T5" s="63">
        <f t="shared" ref="T5:T65" si="20">+J5*L5%+O5*Q5%</f>
        <v>382.47705850000011</v>
      </c>
      <c r="U5" s="64" t="s">
        <v>246</v>
      </c>
      <c r="V5" s="65" t="s">
        <v>247</v>
      </c>
      <c r="W5" s="66" t="s">
        <v>189</v>
      </c>
      <c r="X5" s="67">
        <v>9030</v>
      </c>
      <c r="Y5" s="68">
        <v>4.0999999999999996</v>
      </c>
      <c r="Z5" s="68">
        <v>8.35</v>
      </c>
      <c r="AA5" s="62">
        <f t="shared" ref="AA5:AA11" si="21">X5*Y5%</f>
        <v>370.22999999999996</v>
      </c>
      <c r="AB5" s="62">
        <f t="shared" ref="AB5:AB11" si="22">X5*Z5%</f>
        <v>754.00499999999988</v>
      </c>
      <c r="AC5" s="69">
        <v>9030</v>
      </c>
      <c r="AD5" s="70">
        <v>4.0500000000000007</v>
      </c>
      <c r="AE5" s="70">
        <v>8.15</v>
      </c>
      <c r="AF5" s="62">
        <f t="shared" ref="AF5:AF36" si="23">AC5*AD5%</f>
        <v>365.71500000000009</v>
      </c>
      <c r="AG5" s="63">
        <f t="shared" ref="AG5:AG36" si="24">AC5*AE5%</f>
        <v>735.94500000000005</v>
      </c>
      <c r="AH5" s="66">
        <v>10878</v>
      </c>
      <c r="AI5" s="66">
        <v>3.95</v>
      </c>
      <c r="AJ5" s="66">
        <v>8.23</v>
      </c>
      <c r="AK5" s="62">
        <f t="shared" ref="AK5:AK65" si="25">AH5*AI5%</f>
        <v>429.68099999999998</v>
      </c>
      <c r="AL5" s="72">
        <f t="shared" ref="AL5:AL65" si="26">AH5*AJ5%</f>
        <v>895.25940000000003</v>
      </c>
      <c r="AM5" s="73">
        <f t="shared" ref="AM5:AM65" si="27">+D5+R5-AC5-AH5</f>
        <v>1.8289999999979045</v>
      </c>
      <c r="AN5" s="74">
        <f t="shared" ref="AN5:AN65" si="28">+G5+S5-AF5-AK5</f>
        <v>-6.1104385000001002</v>
      </c>
      <c r="AO5" s="74">
        <f t="shared" ref="AO5:AO65" si="29">+H5+T5-AG5-AL5</f>
        <v>8.9624584999999115</v>
      </c>
      <c r="AP5" s="75">
        <f t="shared" ref="AP5:AP65" si="30">(AN5+AO5)/(S5+T5)</f>
        <v>4.9913140893269739E-3</v>
      </c>
      <c r="AQ5" s="76">
        <f t="shared" ref="AQ5:AQ65" si="31">($AP$1*AN5+$AQ$1*AO5)</f>
        <v>-60.812116878404595</v>
      </c>
      <c r="AR5" s="77">
        <f t="shared" si="14"/>
        <v>1.8289999999979045</v>
      </c>
    </row>
    <row r="6" spans="1:46" x14ac:dyDescent="0.25">
      <c r="A6" t="str">
        <f t="shared" si="15"/>
        <v>46175M</v>
      </c>
      <c r="B6" s="51">
        <f>+B4+1</f>
        <v>46175</v>
      </c>
      <c r="C6" s="52" t="s">
        <v>87</v>
      </c>
      <c r="D6" s="91">
        <v>10878</v>
      </c>
      <c r="E6" s="62">
        <v>3.95</v>
      </c>
      <c r="F6" s="62">
        <v>8.23</v>
      </c>
      <c r="G6" s="62">
        <f t="shared" si="16"/>
        <v>429.68099999999998</v>
      </c>
      <c r="H6" s="63">
        <f t="shared" si="17"/>
        <v>895.25940000000003</v>
      </c>
      <c r="I6" s="203">
        <v>3437.6999999999994</v>
      </c>
      <c r="J6" s="204">
        <v>3540.8309999999992</v>
      </c>
      <c r="K6" s="121">
        <v>4.646262035663379</v>
      </c>
      <c r="L6" s="122">
        <v>8.4788652296593625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3540.8309999999992</v>
      </c>
      <c r="S6" s="62">
        <f t="shared" si="19"/>
        <v>164.51628649999995</v>
      </c>
      <c r="T6" s="63">
        <f t="shared" si="20"/>
        <v>300.22228849999988</v>
      </c>
      <c r="U6" s="64" t="s">
        <v>167</v>
      </c>
      <c r="V6" s="65" t="s">
        <v>187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21"/>
        <v>0</v>
      </c>
      <c r="AB6" s="62">
        <f t="shared" si="22"/>
        <v>0</v>
      </c>
      <c r="AC6" s="69"/>
      <c r="AD6" s="70"/>
      <c r="AE6" s="70"/>
      <c r="AF6" s="62">
        <f t="shared" si="23"/>
        <v>0</v>
      </c>
      <c r="AG6" s="63">
        <f t="shared" si="24"/>
        <v>0</v>
      </c>
      <c r="AH6" s="66">
        <v>14417</v>
      </c>
      <c r="AI6" s="66">
        <v>4.13</v>
      </c>
      <c r="AJ6" s="66">
        <v>8.2799999999999994</v>
      </c>
      <c r="AK6" s="62">
        <f t="shared" si="25"/>
        <v>595.4221</v>
      </c>
      <c r="AL6" s="72">
        <f t="shared" si="26"/>
        <v>1193.7275999999999</v>
      </c>
      <c r="AM6" s="73">
        <f t="shared" si="27"/>
        <v>1.830999999998312</v>
      </c>
      <c r="AN6" s="74">
        <f t="shared" si="28"/>
        <v>-1.2248135000000957</v>
      </c>
      <c r="AO6" s="74">
        <f t="shared" si="29"/>
        <v>1.7540885000000799</v>
      </c>
      <c r="AP6" s="75">
        <f t="shared" si="30"/>
        <v>1.1388660818611503E-3</v>
      </c>
      <c r="AQ6" s="76">
        <f t="shared" si="31"/>
        <v>-24.879115928352348</v>
      </c>
      <c r="AR6" s="77">
        <f t="shared" si="14"/>
        <v>1.830999999998312</v>
      </c>
    </row>
    <row r="7" spans="1:46" x14ac:dyDescent="0.25">
      <c r="A7" t="str">
        <f t="shared" si="15"/>
        <v>46175E</v>
      </c>
      <c r="B7" s="51">
        <f>+B5+1</f>
        <v>46175</v>
      </c>
      <c r="C7" s="52" t="s">
        <v>88</v>
      </c>
      <c r="D7" s="91">
        <v>14417</v>
      </c>
      <c r="E7" s="62">
        <v>4.13</v>
      </c>
      <c r="F7" s="62">
        <v>8.2799999999999994</v>
      </c>
      <c r="G7" s="62">
        <f t="shared" si="16"/>
        <v>595.4221</v>
      </c>
      <c r="H7" s="63">
        <f t="shared" si="17"/>
        <v>1193.7275999999999</v>
      </c>
      <c r="I7" s="203">
        <v>4480.1000000000004</v>
      </c>
      <c r="J7" s="204">
        <v>4614.5030000000006</v>
      </c>
      <c r="K7" s="121">
        <v>4.1005357023280737</v>
      </c>
      <c r="L7" s="122">
        <v>8.3788341778085318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4614.5030000000006</v>
      </c>
      <c r="S7" s="62">
        <f t="shared" si="19"/>
        <v>189.21934300000007</v>
      </c>
      <c r="T7" s="63">
        <f t="shared" si="20"/>
        <v>386.6415545000001</v>
      </c>
      <c r="U7" s="64" t="s">
        <v>244</v>
      </c>
      <c r="V7" s="65" t="s">
        <v>248</v>
      </c>
      <c r="W7" s="66" t="s">
        <v>225</v>
      </c>
      <c r="X7" s="67">
        <v>15220</v>
      </c>
      <c r="Y7" s="68">
        <v>4.45</v>
      </c>
      <c r="Z7" s="68">
        <v>8.42</v>
      </c>
      <c r="AA7" s="62">
        <f t="shared" si="21"/>
        <v>677.29000000000008</v>
      </c>
      <c r="AB7" s="62">
        <f t="shared" si="22"/>
        <v>1281.5239999999999</v>
      </c>
      <c r="AC7" s="69">
        <v>15160</v>
      </c>
      <c r="AD7" s="70">
        <v>4.3</v>
      </c>
      <c r="AE7" s="70">
        <v>8.14</v>
      </c>
      <c r="AF7" s="62">
        <f t="shared" si="23"/>
        <v>651.88</v>
      </c>
      <c r="AG7" s="63">
        <f t="shared" si="24"/>
        <v>1234.0240000000001</v>
      </c>
      <c r="AH7" s="66">
        <v>3809</v>
      </c>
      <c r="AI7" s="66">
        <v>4.12</v>
      </c>
      <c r="AJ7" s="66">
        <v>8.3000000000000007</v>
      </c>
      <c r="AK7" s="62">
        <f t="shared" si="25"/>
        <v>156.9308</v>
      </c>
      <c r="AL7" s="72">
        <f t="shared" si="26"/>
        <v>316.14699999999999</v>
      </c>
      <c r="AM7" s="73">
        <f t="shared" si="27"/>
        <v>62.503000000000611</v>
      </c>
      <c r="AN7" s="74">
        <f t="shared" si="28"/>
        <v>-24.169356999999906</v>
      </c>
      <c r="AO7" s="74">
        <f t="shared" si="29"/>
        <v>30.198154500000044</v>
      </c>
      <c r="AP7" s="75">
        <f t="shared" si="30"/>
        <v>1.0469190608657598E-2</v>
      </c>
      <c r="AQ7" s="76">
        <f t="shared" si="31"/>
        <v>-1812.3636931399433</v>
      </c>
      <c r="AR7" s="77">
        <f t="shared" si="14"/>
        <v>2.5030000000006112</v>
      </c>
    </row>
    <row r="8" spans="1:46" x14ac:dyDescent="0.25">
      <c r="A8" t="str">
        <f t="shared" si="15"/>
        <v>46176M</v>
      </c>
      <c r="B8" s="51">
        <f>+B6+1</f>
        <v>46176</v>
      </c>
      <c r="C8" s="52" t="s">
        <v>87</v>
      </c>
      <c r="D8" s="91">
        <v>3809</v>
      </c>
      <c r="E8" s="62">
        <v>4.12</v>
      </c>
      <c r="F8" s="62">
        <v>8.3000000000000007</v>
      </c>
      <c r="G8" s="62">
        <f t="shared" si="16"/>
        <v>156.9308</v>
      </c>
      <c r="H8" s="63">
        <f t="shared" si="17"/>
        <v>316.14699999999999</v>
      </c>
      <c r="I8" s="203">
        <v>2732.4999999999995</v>
      </c>
      <c r="J8" s="204">
        <v>2814.4749999999995</v>
      </c>
      <c r="K8" s="121">
        <v>4.6962287282708139</v>
      </c>
      <c r="L8" s="122">
        <v>8.4974784995425452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2814.4749999999995</v>
      </c>
      <c r="S8" s="62">
        <f t="shared" si="19"/>
        <v>132.17418349999997</v>
      </c>
      <c r="T8" s="63">
        <f t="shared" si="20"/>
        <v>239.15940799999998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21"/>
        <v>0</v>
      </c>
      <c r="AB8" s="62">
        <f t="shared" si="22"/>
        <v>0</v>
      </c>
      <c r="AC8" s="69"/>
      <c r="AD8" s="70"/>
      <c r="AE8" s="70"/>
      <c r="AF8" s="62">
        <f t="shared" si="23"/>
        <v>0</v>
      </c>
      <c r="AG8" s="63">
        <f t="shared" si="24"/>
        <v>0</v>
      </c>
      <c r="AH8" s="66">
        <v>6621</v>
      </c>
      <c r="AI8" s="66">
        <v>4.2300000000000004</v>
      </c>
      <c r="AJ8" s="66">
        <v>8.31</v>
      </c>
      <c r="AK8" s="62">
        <f t="shared" si="25"/>
        <v>280.06830000000002</v>
      </c>
      <c r="AL8" s="72">
        <f t="shared" si="26"/>
        <v>550.20510000000002</v>
      </c>
      <c r="AM8" s="73">
        <f t="shared" si="27"/>
        <v>2.4749999999994543</v>
      </c>
      <c r="AN8" s="74">
        <f t="shared" si="28"/>
        <v>9.036683499999981</v>
      </c>
      <c r="AO8" s="74">
        <f t="shared" si="29"/>
        <v>5.1013079999999036</v>
      </c>
      <c r="AP8" s="75">
        <f t="shared" si="30"/>
        <v>3.8073559256757643E-2</v>
      </c>
      <c r="AQ8" s="76">
        <f t="shared" si="31"/>
        <v>5583.3430395049636</v>
      </c>
      <c r="AR8" s="77">
        <f t="shared" si="14"/>
        <v>2.4749999999994543</v>
      </c>
    </row>
    <row r="9" spans="1:46" x14ac:dyDescent="0.25">
      <c r="A9" t="str">
        <f t="shared" si="15"/>
        <v>46176E</v>
      </c>
      <c r="B9" s="51">
        <f t="shared" ref="B9:B65" si="32">+B7+1</f>
        <v>46176</v>
      </c>
      <c r="C9" s="52" t="s">
        <v>88</v>
      </c>
      <c r="D9" s="91">
        <v>6621</v>
      </c>
      <c r="E9" s="62">
        <v>4.2300000000000004</v>
      </c>
      <c r="F9" s="62">
        <v>8.31</v>
      </c>
      <c r="G9" s="62">
        <f t="shared" si="16"/>
        <v>280.06830000000002</v>
      </c>
      <c r="H9" s="63">
        <f t="shared" si="17"/>
        <v>550.20510000000002</v>
      </c>
      <c r="I9" s="203">
        <v>6850.35</v>
      </c>
      <c r="J9" s="204">
        <v>7055.8605000000007</v>
      </c>
      <c r="K9" s="121">
        <v>4.0955374542906569</v>
      </c>
      <c r="L9" s="122">
        <v>8.3205171998511052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7055.8605000000007</v>
      </c>
      <c r="S9" s="62">
        <f t="shared" si="19"/>
        <v>288.97540950000007</v>
      </c>
      <c r="T9" s="63">
        <f t="shared" si="20"/>
        <v>587.08408650000024</v>
      </c>
      <c r="U9" s="64" t="s">
        <v>246</v>
      </c>
      <c r="V9" s="65" t="s">
        <v>249</v>
      </c>
      <c r="W9" s="66" t="s">
        <v>225</v>
      </c>
      <c r="X9" s="67">
        <v>9030</v>
      </c>
      <c r="Y9" s="68">
        <v>4.3499999999999996</v>
      </c>
      <c r="Z9" s="68">
        <v>8.34</v>
      </c>
      <c r="AA9" s="62">
        <f t="shared" si="21"/>
        <v>392.80499999999995</v>
      </c>
      <c r="AB9" s="62">
        <f t="shared" si="22"/>
        <v>753.10199999999998</v>
      </c>
      <c r="AC9" s="69">
        <v>9020</v>
      </c>
      <c r="AD9" s="70">
        <v>4.25</v>
      </c>
      <c r="AE9" s="70">
        <v>8.1999999999999975</v>
      </c>
      <c r="AF9" s="62">
        <f t="shared" si="23"/>
        <v>383.35</v>
      </c>
      <c r="AG9" s="63">
        <f t="shared" si="24"/>
        <v>739.63999999999976</v>
      </c>
      <c r="AH9" s="66">
        <v>4645</v>
      </c>
      <c r="AI9" s="66">
        <v>4.1500000000000004</v>
      </c>
      <c r="AJ9" s="66">
        <v>8.31</v>
      </c>
      <c r="AK9" s="62">
        <f t="shared" si="25"/>
        <v>192.76750000000001</v>
      </c>
      <c r="AL9" s="72">
        <f t="shared" si="26"/>
        <v>385.99950000000001</v>
      </c>
      <c r="AM9" s="73">
        <f t="shared" si="27"/>
        <v>11.860500000000684</v>
      </c>
      <c r="AN9" s="74">
        <f t="shared" si="28"/>
        <v>-7.0737904999999444</v>
      </c>
      <c r="AO9" s="74">
        <f t="shared" si="29"/>
        <v>11.649686500000371</v>
      </c>
      <c r="AP9" s="75">
        <f t="shared" si="30"/>
        <v>5.2232708176710692E-3</v>
      </c>
      <c r="AQ9" s="76">
        <f t="shared" si="31"/>
        <v>310.94521778846956</v>
      </c>
      <c r="AR9" s="77">
        <f t="shared" si="14"/>
        <v>1.8605000000006839</v>
      </c>
    </row>
    <row r="10" spans="1:46" x14ac:dyDescent="0.25">
      <c r="A10" t="str">
        <f t="shared" si="15"/>
        <v>46177M</v>
      </c>
      <c r="B10" s="51">
        <f t="shared" si="32"/>
        <v>46177</v>
      </c>
      <c r="C10" s="52" t="s">
        <v>87</v>
      </c>
      <c r="D10" s="91">
        <v>4645</v>
      </c>
      <c r="E10" s="62">
        <v>4.1500000000000004</v>
      </c>
      <c r="F10" s="62">
        <v>8.31</v>
      </c>
      <c r="G10" s="62">
        <f t="shared" si="16"/>
        <v>192.76750000000001</v>
      </c>
      <c r="H10" s="63">
        <f t="shared" si="17"/>
        <v>385.99950000000001</v>
      </c>
      <c r="I10" s="203">
        <v>4408.8999999999996</v>
      </c>
      <c r="J10" s="204">
        <v>4541.1669999999995</v>
      </c>
      <c r="K10" s="121">
        <v>4.5144820703576851</v>
      </c>
      <c r="L10" s="122">
        <v>8.3834108280977127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8"/>
        <v>4541.1669999999995</v>
      </c>
      <c r="S10" s="62">
        <f t="shared" si="19"/>
        <v>205.01016999999996</v>
      </c>
      <c r="T10" s="63">
        <f t="shared" si="20"/>
        <v>380.70468599999998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21"/>
        <v>0</v>
      </c>
      <c r="AB10" s="62">
        <f t="shared" si="22"/>
        <v>0</v>
      </c>
      <c r="AC10" s="69"/>
      <c r="AD10" s="70"/>
      <c r="AE10" s="70"/>
      <c r="AF10" s="62">
        <f t="shared" si="23"/>
        <v>0</v>
      </c>
      <c r="AG10" s="63">
        <f t="shared" si="24"/>
        <v>0</v>
      </c>
      <c r="AH10" s="66">
        <v>9180</v>
      </c>
      <c r="AI10" s="66">
        <v>4.32</v>
      </c>
      <c r="AJ10" s="66">
        <v>8.34</v>
      </c>
      <c r="AK10" s="62">
        <f t="shared" si="25"/>
        <v>396.57600000000002</v>
      </c>
      <c r="AL10" s="72">
        <f t="shared" si="26"/>
        <v>765.61199999999997</v>
      </c>
      <c r="AM10" s="73">
        <f t="shared" si="27"/>
        <v>6.1669999999994616</v>
      </c>
      <c r="AN10" s="74">
        <f t="shared" si="28"/>
        <v>1.2016699999999219</v>
      </c>
      <c r="AO10" s="74">
        <f t="shared" si="29"/>
        <v>1.0921859999999697</v>
      </c>
      <c r="AP10" s="75">
        <f t="shared" si="30"/>
        <v>3.9163356990212514E-3</v>
      </c>
      <c r="AQ10" s="76">
        <f t="shared" si="31"/>
        <v>866.30382453995594</v>
      </c>
      <c r="AR10" s="77">
        <f>(D10+J10+O10)-(X10+AH10)</f>
        <v>6.1669999999994616</v>
      </c>
    </row>
    <row r="11" spans="1:46" x14ac:dyDescent="0.25">
      <c r="A11" t="str">
        <f t="shared" si="15"/>
        <v>46177E</v>
      </c>
      <c r="B11" s="51">
        <f t="shared" si="32"/>
        <v>46177</v>
      </c>
      <c r="C11" s="52" t="s">
        <v>88</v>
      </c>
      <c r="D11" s="91">
        <v>9180</v>
      </c>
      <c r="E11" s="62">
        <v>4.32</v>
      </c>
      <c r="F11" s="62">
        <v>8.34</v>
      </c>
      <c r="G11" s="62">
        <f t="shared" si="16"/>
        <v>396.57600000000002</v>
      </c>
      <c r="H11" s="63">
        <f t="shared" si="17"/>
        <v>765.61199999999997</v>
      </c>
      <c r="I11" s="203">
        <v>8526.2999999999993</v>
      </c>
      <c r="J11" s="204">
        <v>8782.0889999999999</v>
      </c>
      <c r="K11" s="121">
        <v>3.9179560888075726</v>
      </c>
      <c r="L11" s="122">
        <v>8.2064656416030424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8"/>
        <v>8782.0889999999999</v>
      </c>
      <c r="S11" s="62">
        <f t="shared" si="19"/>
        <v>344.07839070000006</v>
      </c>
      <c r="T11" s="63">
        <f t="shared" si="20"/>
        <v>720.69911640000021</v>
      </c>
      <c r="U11" s="64" t="s">
        <v>244</v>
      </c>
      <c r="V11" s="65" t="s">
        <v>250</v>
      </c>
      <c r="W11" s="66" t="s">
        <v>225</v>
      </c>
      <c r="X11" s="67">
        <v>13760</v>
      </c>
      <c r="Y11" s="68">
        <v>4.0999999999999996</v>
      </c>
      <c r="Z11" s="68">
        <v>8.23</v>
      </c>
      <c r="AA11" s="62">
        <f t="shared" si="21"/>
        <v>564.16</v>
      </c>
      <c r="AB11" s="62">
        <f t="shared" si="22"/>
        <v>1132.4479999999999</v>
      </c>
      <c r="AC11" s="69">
        <v>13730</v>
      </c>
      <c r="AD11" s="70">
        <v>4</v>
      </c>
      <c r="AE11" s="70">
        <v>8.02</v>
      </c>
      <c r="AF11" s="62">
        <f t="shared" si="23"/>
        <v>549.20000000000005</v>
      </c>
      <c r="AG11" s="63">
        <f t="shared" si="24"/>
        <v>1101.146</v>
      </c>
      <c r="AH11" s="66">
        <v>4200</v>
      </c>
      <c r="AI11" s="66">
        <v>4.0999999999999996</v>
      </c>
      <c r="AJ11" s="66">
        <v>8.17</v>
      </c>
      <c r="AK11" s="62">
        <f t="shared" si="25"/>
        <v>172.2</v>
      </c>
      <c r="AL11" s="72">
        <f t="shared" si="26"/>
        <v>343.14</v>
      </c>
      <c r="AM11" s="73">
        <f t="shared" si="27"/>
        <v>32.088999999999942</v>
      </c>
      <c r="AN11" s="74">
        <f t="shared" si="28"/>
        <v>19.254390699999988</v>
      </c>
      <c r="AO11" s="74">
        <f t="shared" si="29"/>
        <v>42.025116400000229</v>
      </c>
      <c r="AP11" s="75">
        <f t="shared" si="30"/>
        <v>5.7551466565911459E-2</v>
      </c>
      <c r="AQ11" s="76">
        <f t="shared" si="31"/>
        <v>21220.485197886399</v>
      </c>
      <c r="AR11" s="77">
        <f t="shared" ref="AR11:AR65" si="33">(D11+J11+O11)-(X11+AH11)</f>
        <v>2.0889999999999418</v>
      </c>
    </row>
    <row r="12" spans="1:46" x14ac:dyDescent="0.25">
      <c r="A12" t="str">
        <f t="shared" si="15"/>
        <v>46178M</v>
      </c>
      <c r="B12" s="51">
        <f t="shared" si="32"/>
        <v>46178</v>
      </c>
      <c r="C12" s="52" t="s">
        <v>87</v>
      </c>
      <c r="D12" s="91">
        <v>4200</v>
      </c>
      <c r="E12" s="62">
        <v>4.0999999999999996</v>
      </c>
      <c r="F12" s="62">
        <v>8.17</v>
      </c>
      <c r="G12" s="62">
        <f t="shared" si="16"/>
        <v>172.2</v>
      </c>
      <c r="H12" s="63">
        <f t="shared" si="17"/>
        <v>343.14</v>
      </c>
      <c r="I12" s="203">
        <v>2022.83</v>
      </c>
      <c r="J12" s="204">
        <v>2083.5149000000001</v>
      </c>
      <c r="K12" s="121">
        <v>4.848800442943797</v>
      </c>
      <c r="L12" s="122">
        <v>8.4498153576919499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2083.5149000000001</v>
      </c>
      <c r="S12" s="62">
        <f t="shared" si="19"/>
        <v>101.02547970000002</v>
      </c>
      <c r="T12" s="63">
        <f t="shared" si="20"/>
        <v>176.0531620000001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34">X12*Y12%</f>
        <v>0</v>
      </c>
      <c r="AB12" s="62">
        <f t="shared" ref="AB12:AB65" si="35">X12*Z12%</f>
        <v>0</v>
      </c>
      <c r="AC12" s="69"/>
      <c r="AD12" s="70"/>
      <c r="AE12" s="70"/>
      <c r="AF12" s="62">
        <f t="shared" si="23"/>
        <v>0</v>
      </c>
      <c r="AG12" s="63">
        <f t="shared" si="24"/>
        <v>0</v>
      </c>
      <c r="AH12" s="66">
        <v>6282</v>
      </c>
      <c r="AI12" s="66">
        <v>4.34</v>
      </c>
      <c r="AJ12" s="66">
        <v>8.25</v>
      </c>
      <c r="AK12" s="62">
        <f t="shared" si="25"/>
        <v>272.6388</v>
      </c>
      <c r="AL12" s="72">
        <f t="shared" si="26"/>
        <v>518.26499999999999</v>
      </c>
      <c r="AM12" s="73">
        <f t="shared" si="27"/>
        <v>1.5149000000001251</v>
      </c>
      <c r="AN12" s="74">
        <f t="shared" si="28"/>
        <v>0.58667969999999059</v>
      </c>
      <c r="AO12" s="74">
        <f t="shared" si="29"/>
        <v>0.92816200000004301</v>
      </c>
      <c r="AP12" s="75">
        <f t="shared" si="30"/>
        <v>5.4671904362812275E-3</v>
      </c>
      <c r="AQ12" s="76">
        <f t="shared" si="31"/>
        <v>541.14051974034203</v>
      </c>
      <c r="AR12" s="77">
        <f t="shared" si="33"/>
        <v>1.5149000000001251</v>
      </c>
    </row>
    <row r="13" spans="1:46" x14ac:dyDescent="0.25">
      <c r="A13" t="str">
        <f t="shared" si="15"/>
        <v>46178E</v>
      </c>
      <c r="B13" s="51">
        <f t="shared" si="32"/>
        <v>46178</v>
      </c>
      <c r="C13" s="52" t="s">
        <v>88</v>
      </c>
      <c r="D13" s="91">
        <v>6282</v>
      </c>
      <c r="E13" s="62">
        <v>4.34</v>
      </c>
      <c r="F13" s="62">
        <v>8.25</v>
      </c>
      <c r="G13" s="62">
        <f t="shared" si="16"/>
        <v>272.6388</v>
      </c>
      <c r="H13" s="63">
        <f t="shared" si="17"/>
        <v>518.26499999999999</v>
      </c>
      <c r="I13" s="203">
        <v>9503.7000000000007</v>
      </c>
      <c r="J13" s="204">
        <v>9788.8110000000015</v>
      </c>
      <c r="K13" s="121">
        <v>3.8508528257415526</v>
      </c>
      <c r="L13" s="122">
        <v>8.1728589917611014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9788.8110000000015</v>
      </c>
      <c r="S13" s="62">
        <f t="shared" si="19"/>
        <v>376.95270499999998</v>
      </c>
      <c r="T13" s="63">
        <f t="shared" si="20"/>
        <v>800.02571999999998</v>
      </c>
      <c r="U13" s="64" t="s">
        <v>251</v>
      </c>
      <c r="V13" s="65" t="s">
        <v>354</v>
      </c>
      <c r="W13" s="66" t="s">
        <v>225</v>
      </c>
      <c r="X13" s="67">
        <v>9520</v>
      </c>
      <c r="Y13" s="68">
        <v>4.5</v>
      </c>
      <c r="Z13" s="68">
        <v>8.3699999999999992</v>
      </c>
      <c r="AA13" s="62">
        <f t="shared" si="34"/>
        <v>428.4</v>
      </c>
      <c r="AB13" s="62">
        <f t="shared" si="35"/>
        <v>796.82399999999996</v>
      </c>
      <c r="AC13" s="69">
        <v>9510</v>
      </c>
      <c r="AD13" s="70">
        <v>4.4500000000000011</v>
      </c>
      <c r="AE13" s="70">
        <v>8.3000000000000007</v>
      </c>
      <c r="AF13" s="62">
        <f t="shared" si="23"/>
        <v>423.19500000000011</v>
      </c>
      <c r="AG13" s="63">
        <f t="shared" si="24"/>
        <v>789.33</v>
      </c>
      <c r="AH13" s="66">
        <v>6550</v>
      </c>
      <c r="AI13" s="66">
        <v>4.03</v>
      </c>
      <c r="AJ13" s="66">
        <v>8.19</v>
      </c>
      <c r="AK13" s="62">
        <f t="shared" si="25"/>
        <v>263.96500000000003</v>
      </c>
      <c r="AL13" s="72">
        <f t="shared" si="26"/>
        <v>536.44500000000005</v>
      </c>
      <c r="AM13" s="73">
        <f t="shared" si="27"/>
        <v>10.811000000001513</v>
      </c>
      <c r="AN13" s="74">
        <f t="shared" si="28"/>
        <v>-37.568495000000155</v>
      </c>
      <c r="AO13" s="74">
        <f t="shared" si="29"/>
        <v>-7.4842800000001262</v>
      </c>
      <c r="AP13" s="75">
        <f t="shared" si="30"/>
        <v>-3.8278335475860806E-2</v>
      </c>
      <c r="AQ13" s="76">
        <f t="shared" si="31"/>
        <v>-19104.718513650107</v>
      </c>
      <c r="AR13" s="77">
        <f t="shared" si="33"/>
        <v>0.8110000000015134</v>
      </c>
    </row>
    <row r="14" spans="1:46" x14ac:dyDescent="0.25">
      <c r="A14" t="str">
        <f t="shared" si="15"/>
        <v>46179M</v>
      </c>
      <c r="B14" s="51">
        <f t="shared" si="32"/>
        <v>46179</v>
      </c>
      <c r="C14" s="52" t="s">
        <v>87</v>
      </c>
      <c r="D14" s="91">
        <v>6550</v>
      </c>
      <c r="E14" s="62">
        <v>4.03</v>
      </c>
      <c r="F14" s="62">
        <v>8.19</v>
      </c>
      <c r="G14" s="62">
        <f t="shared" si="16"/>
        <v>263.96500000000003</v>
      </c>
      <c r="H14" s="63">
        <f t="shared" si="17"/>
        <v>536.44500000000005</v>
      </c>
      <c r="I14" s="203">
        <v>7658.3</v>
      </c>
      <c r="J14" s="204">
        <v>7888.049</v>
      </c>
      <c r="K14" s="121">
        <v>4.1542523797709672</v>
      </c>
      <c r="L14" s="122">
        <v>8.1940437172740737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7888.049</v>
      </c>
      <c r="S14" s="62">
        <f t="shared" si="19"/>
        <v>327.6894633</v>
      </c>
      <c r="T14" s="63">
        <f t="shared" si="20"/>
        <v>646.35018350000041</v>
      </c>
      <c r="U14" s="64" t="s">
        <v>246</v>
      </c>
      <c r="V14" s="65" t="s">
        <v>355</v>
      </c>
      <c r="W14" s="66" t="s">
        <v>225</v>
      </c>
      <c r="X14" s="67">
        <v>9030</v>
      </c>
      <c r="Y14" s="68">
        <v>4.05</v>
      </c>
      <c r="Z14" s="68">
        <v>8.2799999999999994</v>
      </c>
      <c r="AA14" s="62">
        <f t="shared" si="34"/>
        <v>365.71500000000003</v>
      </c>
      <c r="AB14" s="62">
        <f t="shared" si="35"/>
        <v>747.68399999999997</v>
      </c>
      <c r="AC14" s="69">
        <v>9030</v>
      </c>
      <c r="AD14" s="70">
        <v>3.95</v>
      </c>
      <c r="AE14" s="70">
        <v>8.14</v>
      </c>
      <c r="AF14" s="62">
        <f t="shared" si="23"/>
        <v>356.685</v>
      </c>
      <c r="AG14" s="63">
        <f t="shared" si="24"/>
        <v>735.04200000000003</v>
      </c>
      <c r="AH14" s="66">
        <v>5405</v>
      </c>
      <c r="AI14" s="66">
        <v>4.08</v>
      </c>
      <c r="AJ14" s="66">
        <v>8.19</v>
      </c>
      <c r="AK14" s="62">
        <f t="shared" si="25"/>
        <v>220.52400000000003</v>
      </c>
      <c r="AL14" s="72">
        <f t="shared" si="26"/>
        <v>442.66950000000003</v>
      </c>
      <c r="AM14" s="73">
        <f t="shared" si="27"/>
        <v>3.0489999999990687</v>
      </c>
      <c r="AN14" s="74">
        <f t="shared" si="28"/>
        <v>14.445463300000057</v>
      </c>
      <c r="AO14" s="74">
        <f t="shared" si="29"/>
        <v>5.0836835000002907</v>
      </c>
      <c r="AP14" s="75">
        <f t="shared" si="30"/>
        <v>2.0049642603521527E-2</v>
      </c>
      <c r="AQ14" s="76">
        <f t="shared" si="31"/>
        <v>8006.123836659779</v>
      </c>
      <c r="AR14" s="77">
        <f t="shared" si="33"/>
        <v>3.0489999999990687</v>
      </c>
    </row>
    <row r="15" spans="1:46" x14ac:dyDescent="0.25">
      <c r="A15" t="str">
        <f t="shared" si="15"/>
        <v>46179E</v>
      </c>
      <c r="B15" s="51">
        <f t="shared" si="32"/>
        <v>46179</v>
      </c>
      <c r="C15" s="52" t="s">
        <v>88</v>
      </c>
      <c r="D15" s="91">
        <v>5405</v>
      </c>
      <c r="E15" s="62">
        <v>4.08</v>
      </c>
      <c r="F15" s="62">
        <v>8.19</v>
      </c>
      <c r="G15" s="62">
        <f t="shared" si="16"/>
        <v>220.52400000000003</v>
      </c>
      <c r="H15" s="63">
        <f t="shared" si="17"/>
        <v>442.66950000000003</v>
      </c>
      <c r="I15" s="203">
        <v>9210.2000000000007</v>
      </c>
      <c r="J15" s="204">
        <v>9486.5060000000012</v>
      </c>
      <c r="K15" s="121">
        <v>4.0967312327636751</v>
      </c>
      <c r="L15" s="122">
        <v>8.1884513908492735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9486.5060000000012</v>
      </c>
      <c r="S15" s="62">
        <f t="shared" si="19"/>
        <v>388.63665420000007</v>
      </c>
      <c r="T15" s="63">
        <f t="shared" si="20"/>
        <v>776.79793249999989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34"/>
        <v>0</v>
      </c>
      <c r="AB15" s="62">
        <f t="shared" si="35"/>
        <v>0</v>
      </c>
      <c r="AC15" s="69"/>
      <c r="AD15" s="70"/>
      <c r="AE15" s="70"/>
      <c r="AF15" s="62">
        <f t="shared" si="23"/>
        <v>0</v>
      </c>
      <c r="AG15" s="63">
        <f t="shared" si="24"/>
        <v>0</v>
      </c>
      <c r="AH15" s="66">
        <v>14890</v>
      </c>
      <c r="AI15" s="66">
        <v>4.08</v>
      </c>
      <c r="AJ15" s="66">
        <v>8.18</v>
      </c>
      <c r="AK15" s="62">
        <f t="shared" si="25"/>
        <v>607.51200000000006</v>
      </c>
      <c r="AL15" s="72">
        <f t="shared" si="26"/>
        <v>1218.002</v>
      </c>
      <c r="AM15" s="73">
        <f t="shared" si="27"/>
        <v>1.5060000000012224</v>
      </c>
      <c r="AN15" s="74">
        <f t="shared" si="28"/>
        <v>1.64865420000001</v>
      </c>
      <c r="AO15" s="74">
        <f t="shared" si="29"/>
        <v>1.4654324999999062</v>
      </c>
      <c r="AP15" s="75">
        <f t="shared" si="30"/>
        <v>2.6720390277910366E-3</v>
      </c>
      <c r="AQ15" s="76">
        <f t="shared" si="31"/>
        <v>1178.6622259719766</v>
      </c>
      <c r="AR15" s="77">
        <f t="shared" si="33"/>
        <v>1.5060000000012224</v>
      </c>
    </row>
    <row r="16" spans="1:46" x14ac:dyDescent="0.25">
      <c r="A16" t="str">
        <f t="shared" si="15"/>
        <v>46180M</v>
      </c>
      <c r="B16" s="51">
        <f t="shared" si="32"/>
        <v>46180</v>
      </c>
      <c r="C16" s="52" t="s">
        <v>87</v>
      </c>
      <c r="D16" s="91">
        <v>14890</v>
      </c>
      <c r="E16" s="62">
        <v>4.08</v>
      </c>
      <c r="F16" s="62">
        <v>8.18</v>
      </c>
      <c r="G16" s="62">
        <f t="shared" si="16"/>
        <v>607.51200000000006</v>
      </c>
      <c r="H16" s="63">
        <f t="shared" si="17"/>
        <v>1218.002</v>
      </c>
      <c r="I16" s="203">
        <v>2444.3999999999992</v>
      </c>
      <c r="J16" s="204">
        <v>2517.7319999999991</v>
      </c>
      <c r="K16" s="121">
        <v>4.7381066928489588</v>
      </c>
      <c r="L16" s="122">
        <v>8.5112620684012441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2517.7319999999991</v>
      </c>
      <c r="S16" s="62">
        <f t="shared" si="19"/>
        <v>119.29282839999991</v>
      </c>
      <c r="T16" s="63">
        <f t="shared" si="20"/>
        <v>214.29076869999994</v>
      </c>
      <c r="U16" s="64" t="s">
        <v>244</v>
      </c>
      <c r="V16" s="65" t="s">
        <v>356</v>
      </c>
      <c r="W16" s="66" t="s">
        <v>225</v>
      </c>
      <c r="X16" s="67">
        <v>15480</v>
      </c>
      <c r="Y16" s="68">
        <v>4</v>
      </c>
      <c r="Z16" s="68">
        <v>8.39</v>
      </c>
      <c r="AA16" s="62">
        <f t="shared" si="34"/>
        <v>619.20000000000005</v>
      </c>
      <c r="AB16" s="62">
        <f t="shared" si="35"/>
        <v>1298.7719999999999</v>
      </c>
      <c r="AC16" s="69">
        <v>15470</v>
      </c>
      <c r="AD16" s="70">
        <v>3.9000000000000004</v>
      </c>
      <c r="AE16" s="70">
        <v>8.2500000000000018</v>
      </c>
      <c r="AF16" s="62">
        <f t="shared" si="23"/>
        <v>603.33000000000015</v>
      </c>
      <c r="AG16" s="63">
        <f t="shared" si="24"/>
        <v>1276.2750000000003</v>
      </c>
      <c r="AH16" s="66">
        <v>1925</v>
      </c>
      <c r="AI16" s="66">
        <v>4.17</v>
      </c>
      <c r="AJ16" s="66">
        <v>8.2200000000000006</v>
      </c>
      <c r="AK16" s="62">
        <f t="shared" si="25"/>
        <v>80.272500000000008</v>
      </c>
      <c r="AL16" s="72">
        <f t="shared" si="26"/>
        <v>158.23500000000001</v>
      </c>
      <c r="AM16" s="73">
        <f t="shared" si="27"/>
        <v>12.731999999999971</v>
      </c>
      <c r="AN16" s="74">
        <f t="shared" si="28"/>
        <v>43.202328399999743</v>
      </c>
      <c r="AO16" s="74">
        <f t="shared" si="29"/>
        <v>-2.2172313000004351</v>
      </c>
      <c r="AP16" s="75">
        <f t="shared" si="30"/>
        <v>0.12286304679337402</v>
      </c>
      <c r="AQ16" s="76">
        <f t="shared" si="31"/>
        <v>18730.399040121756</v>
      </c>
      <c r="AR16" s="77">
        <f t="shared" si="33"/>
        <v>2.7319999999999709</v>
      </c>
    </row>
    <row r="17" spans="1:48" x14ac:dyDescent="0.25">
      <c r="A17" t="str">
        <f t="shared" si="15"/>
        <v>46180E</v>
      </c>
      <c r="B17" s="51">
        <f t="shared" si="32"/>
        <v>46180</v>
      </c>
      <c r="C17" s="52" t="s">
        <v>88</v>
      </c>
      <c r="D17" s="91">
        <v>1925</v>
      </c>
      <c r="E17" s="62">
        <v>4.17</v>
      </c>
      <c r="F17" s="62">
        <v>8.2200000000000006</v>
      </c>
      <c r="G17" s="62">
        <f t="shared" si="16"/>
        <v>80.272500000000008</v>
      </c>
      <c r="H17" s="63">
        <f t="shared" si="17"/>
        <v>158.23500000000001</v>
      </c>
      <c r="I17" s="203">
        <v>10074.359999999999</v>
      </c>
      <c r="J17" s="204">
        <v>10376.590799999998</v>
      </c>
      <c r="K17" s="121">
        <v>3.6690123243560886</v>
      </c>
      <c r="L17" s="122">
        <v>8.1562484366252548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8"/>
        <v>10376.590799999998</v>
      </c>
      <c r="S17" s="62">
        <f t="shared" si="19"/>
        <v>380.71839529999994</v>
      </c>
      <c r="T17" s="63">
        <f t="shared" si="20"/>
        <v>846.34052489999988</v>
      </c>
      <c r="U17" s="64" t="s">
        <v>251</v>
      </c>
      <c r="V17" s="65" t="s">
        <v>357</v>
      </c>
      <c r="W17" s="66" t="s">
        <v>225</v>
      </c>
      <c r="X17" s="67">
        <v>9520</v>
      </c>
      <c r="Y17" s="68">
        <v>3.9</v>
      </c>
      <c r="Z17" s="68">
        <v>8.31</v>
      </c>
      <c r="AA17" s="62">
        <f t="shared" si="34"/>
        <v>371.28</v>
      </c>
      <c r="AB17" s="62">
        <f t="shared" si="35"/>
        <v>791.11200000000008</v>
      </c>
      <c r="AC17" s="69">
        <v>9650</v>
      </c>
      <c r="AD17" s="70">
        <v>3.8499999999999996</v>
      </c>
      <c r="AE17" s="70">
        <v>8.18</v>
      </c>
      <c r="AF17" s="62">
        <f t="shared" si="23"/>
        <v>371.52499999999998</v>
      </c>
      <c r="AG17" s="63">
        <f t="shared" si="24"/>
        <v>789.37</v>
      </c>
      <c r="AH17" s="66">
        <v>2778</v>
      </c>
      <c r="AI17" s="66">
        <v>3.73</v>
      </c>
      <c r="AJ17" s="66">
        <v>8.18</v>
      </c>
      <c r="AK17" s="62">
        <f t="shared" si="25"/>
        <v>103.6194</v>
      </c>
      <c r="AL17" s="72">
        <f t="shared" si="26"/>
        <v>227.24039999999999</v>
      </c>
      <c r="AM17" s="73">
        <f t="shared" si="27"/>
        <v>-126.40920000000187</v>
      </c>
      <c r="AN17" s="74">
        <f t="shared" si="28"/>
        <v>-14.153504700000056</v>
      </c>
      <c r="AO17" s="74">
        <f t="shared" si="29"/>
        <v>-12.034875100000107</v>
      </c>
      <c r="AP17" s="75">
        <f t="shared" si="30"/>
        <v>-2.1342397963849759E-2</v>
      </c>
      <c r="AQ17" s="76">
        <f t="shared" si="31"/>
        <v>-9955.3669823043911</v>
      </c>
      <c r="AR17" s="77">
        <f t="shared" si="33"/>
        <v>3.5907999999981257</v>
      </c>
    </row>
    <row r="18" spans="1:48" x14ac:dyDescent="0.25">
      <c r="A18" t="str">
        <f t="shared" si="15"/>
        <v>46181M</v>
      </c>
      <c r="B18" s="51">
        <f t="shared" si="32"/>
        <v>46181</v>
      </c>
      <c r="C18" s="52" t="s">
        <v>87</v>
      </c>
      <c r="D18" s="91">
        <v>2778</v>
      </c>
      <c r="E18" s="62">
        <v>3.73</v>
      </c>
      <c r="F18" s="62">
        <v>8.18</v>
      </c>
      <c r="G18" s="62">
        <f t="shared" si="16"/>
        <v>103.6194</v>
      </c>
      <c r="H18" s="63">
        <f t="shared" si="17"/>
        <v>227.24039999999999</v>
      </c>
      <c r="I18" s="203">
        <v>9837.58</v>
      </c>
      <c r="J18" s="204">
        <v>10132.707399999999</v>
      </c>
      <c r="K18" s="121">
        <v>3.9378434533696307</v>
      </c>
      <c r="L18" s="122">
        <v>8.1689646234134834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10132.707399999999</v>
      </c>
      <c r="S18" s="62">
        <f t="shared" si="19"/>
        <v>399.01015500000011</v>
      </c>
      <c r="T18" s="63">
        <f t="shared" si="20"/>
        <v>827.73728290000008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34"/>
        <v>0</v>
      </c>
      <c r="AB18" s="62">
        <f t="shared" si="35"/>
        <v>0</v>
      </c>
      <c r="AC18" s="69"/>
      <c r="AD18" s="70"/>
      <c r="AE18" s="70"/>
      <c r="AF18" s="62">
        <f t="shared" si="23"/>
        <v>0</v>
      </c>
      <c r="AG18" s="63">
        <f t="shared" si="24"/>
        <v>0</v>
      </c>
      <c r="AH18" s="66">
        <v>12908</v>
      </c>
      <c r="AI18" s="66">
        <v>3.88</v>
      </c>
      <c r="AJ18" s="66">
        <v>8.17</v>
      </c>
      <c r="AK18" s="62">
        <f t="shared" si="25"/>
        <v>500.8304</v>
      </c>
      <c r="AL18" s="72">
        <f t="shared" si="26"/>
        <v>1054.5835999999999</v>
      </c>
      <c r="AM18" s="73">
        <f t="shared" si="27"/>
        <v>2.7073999999993248</v>
      </c>
      <c r="AN18" s="74">
        <f t="shared" si="28"/>
        <v>1.7991550000000984</v>
      </c>
      <c r="AO18" s="74">
        <f t="shared" si="29"/>
        <v>0.39408290000005763</v>
      </c>
      <c r="AP18" s="75">
        <f t="shared" si="30"/>
        <v>1.7878479565073609E-3</v>
      </c>
      <c r="AQ18" s="76">
        <f t="shared" si="31"/>
        <v>925.59717414272814</v>
      </c>
      <c r="AR18" s="77">
        <f t="shared" si="33"/>
        <v>2.7073999999993248</v>
      </c>
    </row>
    <row r="19" spans="1:48" x14ac:dyDescent="0.25">
      <c r="A19" t="str">
        <f t="shared" si="15"/>
        <v>46181E</v>
      </c>
      <c r="B19" s="51">
        <f t="shared" si="32"/>
        <v>46181</v>
      </c>
      <c r="C19" s="52" t="s">
        <v>88</v>
      </c>
      <c r="D19" s="91">
        <v>12908</v>
      </c>
      <c r="E19" s="62">
        <v>3.88</v>
      </c>
      <c r="F19" s="62">
        <v>8.17</v>
      </c>
      <c r="G19" s="62">
        <f t="shared" si="16"/>
        <v>500.8304</v>
      </c>
      <c r="H19" s="63">
        <f t="shared" si="17"/>
        <v>1054.5835999999999</v>
      </c>
      <c r="I19" s="203">
        <v>11906.54</v>
      </c>
      <c r="J19" s="204">
        <v>12263.736200000001</v>
      </c>
      <c r="K19" s="121">
        <v>3.5606553205213261</v>
      </c>
      <c r="L19" s="122">
        <v>8.1613109266000023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12263.736200000001</v>
      </c>
      <c r="S19" s="62">
        <f t="shared" si="19"/>
        <v>436.66937549999994</v>
      </c>
      <c r="T19" s="63">
        <f t="shared" si="20"/>
        <v>1000.8816424999999</v>
      </c>
      <c r="U19" s="64" t="s">
        <v>358</v>
      </c>
      <c r="V19" s="65" t="s">
        <v>359</v>
      </c>
      <c r="W19" s="66" t="s">
        <v>360</v>
      </c>
      <c r="X19" s="67">
        <v>23690</v>
      </c>
      <c r="Y19" s="68">
        <v>4</v>
      </c>
      <c r="Z19" s="68">
        <v>8.31</v>
      </c>
      <c r="AA19" s="62">
        <f t="shared" si="34"/>
        <v>947.6</v>
      </c>
      <c r="AB19" s="62">
        <f t="shared" si="35"/>
        <v>1968.6390000000001</v>
      </c>
      <c r="AC19" s="69">
        <v>23580</v>
      </c>
      <c r="AD19" s="70">
        <v>3.9543256997455472</v>
      </c>
      <c r="AE19" s="70">
        <v>8.1165224766751454</v>
      </c>
      <c r="AF19" s="62">
        <f t="shared" si="23"/>
        <v>932.43000000000006</v>
      </c>
      <c r="AG19" s="63">
        <f t="shared" si="24"/>
        <v>1913.8759999999991</v>
      </c>
      <c r="AH19" s="66">
        <v>1479</v>
      </c>
      <c r="AI19" s="66">
        <v>3.71</v>
      </c>
      <c r="AJ19" s="66">
        <v>8.16</v>
      </c>
      <c r="AK19" s="62">
        <f t="shared" si="25"/>
        <v>54.870899999999999</v>
      </c>
      <c r="AL19" s="72">
        <f t="shared" si="26"/>
        <v>120.68640000000001</v>
      </c>
      <c r="AM19" s="73">
        <f t="shared" si="27"/>
        <v>112.73619999999937</v>
      </c>
      <c r="AN19" s="74">
        <f t="shared" si="28"/>
        <v>-49.801124500000121</v>
      </c>
      <c r="AO19" s="74">
        <f t="shared" si="29"/>
        <v>20.902842500000858</v>
      </c>
      <c r="AP19" s="75">
        <f t="shared" si="30"/>
        <v>-2.0102439244350536E-2</v>
      </c>
      <c r="AQ19" s="76">
        <f t="shared" si="31"/>
        <v>-16100.55944817813</v>
      </c>
      <c r="AR19" s="77">
        <f t="shared" si="33"/>
        <v>2.7361999999993714</v>
      </c>
    </row>
    <row r="20" spans="1:48" x14ac:dyDescent="0.25">
      <c r="A20" t="str">
        <f t="shared" si="15"/>
        <v>46182M</v>
      </c>
      <c r="B20" s="51">
        <f t="shared" si="32"/>
        <v>46182</v>
      </c>
      <c r="C20" s="52" t="s">
        <v>87</v>
      </c>
      <c r="D20" s="91">
        <v>1479</v>
      </c>
      <c r="E20" s="62">
        <v>3.71</v>
      </c>
      <c r="F20" s="62">
        <v>8.16</v>
      </c>
      <c r="G20" s="62">
        <f t="shared" si="16"/>
        <v>54.870899999999999</v>
      </c>
      <c r="H20" s="63">
        <f t="shared" si="17"/>
        <v>120.68640000000001</v>
      </c>
      <c r="I20" s="203">
        <v>6410.9000000000005</v>
      </c>
      <c r="J20" s="204">
        <v>6603.2270000000008</v>
      </c>
      <c r="K20" s="121">
        <v>4.0810452510567936</v>
      </c>
      <c r="L20" s="122">
        <v>8.2688493035299242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6603.2270000000008</v>
      </c>
      <c r="S20" s="62">
        <f t="shared" si="19"/>
        <v>269.48068190000004</v>
      </c>
      <c r="T20" s="63">
        <f t="shared" si="20"/>
        <v>546.01088979999997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34"/>
        <v>0</v>
      </c>
      <c r="AB20" s="62">
        <f t="shared" si="35"/>
        <v>0</v>
      </c>
      <c r="AC20" s="69"/>
      <c r="AD20" s="70"/>
      <c r="AE20" s="70"/>
      <c r="AF20" s="62">
        <f t="shared" si="23"/>
        <v>0</v>
      </c>
      <c r="AG20" s="63">
        <f t="shared" si="24"/>
        <v>0</v>
      </c>
      <c r="AH20" s="66">
        <v>8079</v>
      </c>
      <c r="AI20" s="66">
        <v>3.99</v>
      </c>
      <c r="AJ20" s="66">
        <v>8.24</v>
      </c>
      <c r="AK20" s="62">
        <f t="shared" si="25"/>
        <v>322.35210000000006</v>
      </c>
      <c r="AL20" s="72">
        <f t="shared" si="26"/>
        <v>665.70960000000002</v>
      </c>
      <c r="AM20" s="73">
        <f t="shared" si="27"/>
        <v>3.2270000000007713</v>
      </c>
      <c r="AN20" s="74">
        <f t="shared" si="28"/>
        <v>1.9994818999999779</v>
      </c>
      <c r="AO20" s="74">
        <f t="shared" si="29"/>
        <v>0.98768979999999829</v>
      </c>
      <c r="AP20" s="75">
        <f t="shared" si="30"/>
        <v>3.6630319719587316E-3</v>
      </c>
      <c r="AQ20" s="76">
        <f t="shared" si="31"/>
        <v>1193.176638474323</v>
      </c>
      <c r="AR20" s="77">
        <f t="shared" si="33"/>
        <v>3.2270000000007713</v>
      </c>
    </row>
    <row r="21" spans="1:48" x14ac:dyDescent="0.25">
      <c r="A21" t="str">
        <f t="shared" si="15"/>
        <v>46182E</v>
      </c>
      <c r="B21" s="51">
        <f t="shared" si="32"/>
        <v>46182</v>
      </c>
      <c r="C21" s="52" t="s">
        <v>88</v>
      </c>
      <c r="D21" s="91">
        <v>8079</v>
      </c>
      <c r="E21" s="62">
        <v>3.99</v>
      </c>
      <c r="F21" s="62">
        <v>8.24</v>
      </c>
      <c r="G21" s="62">
        <f t="shared" si="16"/>
        <v>322.35210000000006</v>
      </c>
      <c r="H21" s="63">
        <f t="shared" si="17"/>
        <v>665.70960000000002</v>
      </c>
      <c r="I21" s="203">
        <v>5076.6200000000008</v>
      </c>
      <c r="J21" s="204">
        <v>5228.9186000000009</v>
      </c>
      <c r="K21" s="121">
        <v>4.0895316174935292</v>
      </c>
      <c r="L21" s="122">
        <v>8.2668864323112636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5228.9186000000009</v>
      </c>
      <c r="S21" s="62">
        <f t="shared" si="19"/>
        <v>213.83827940000003</v>
      </c>
      <c r="T21" s="63">
        <f t="shared" si="20"/>
        <v>432.26876230000016</v>
      </c>
      <c r="U21" s="64" t="s">
        <v>187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34"/>
        <v>0</v>
      </c>
      <c r="AB21" s="62">
        <f t="shared" si="35"/>
        <v>0</v>
      </c>
      <c r="AC21" s="69"/>
      <c r="AD21" s="70"/>
      <c r="AE21" s="70"/>
      <c r="AF21" s="62">
        <f t="shared" si="23"/>
        <v>0</v>
      </c>
      <c r="AG21" s="63">
        <f t="shared" si="24"/>
        <v>0</v>
      </c>
      <c r="AH21" s="66">
        <v>13306</v>
      </c>
      <c r="AI21" s="66">
        <v>4.03</v>
      </c>
      <c r="AJ21" s="66">
        <v>8.25</v>
      </c>
      <c r="AK21" s="62">
        <f t="shared" si="25"/>
        <v>536.23180000000002</v>
      </c>
      <c r="AL21" s="72">
        <f t="shared" si="26"/>
        <v>1097.7450000000001</v>
      </c>
      <c r="AM21" s="73">
        <f t="shared" si="27"/>
        <v>1.9186000000008789</v>
      </c>
      <c r="AN21" s="74">
        <f t="shared" si="28"/>
        <v>-4.1420599999923979E-2</v>
      </c>
      <c r="AO21" s="74">
        <f t="shared" si="29"/>
        <v>0.23336230000018077</v>
      </c>
      <c r="AP21" s="75">
        <f t="shared" si="30"/>
        <v>2.9707414965673593E-4</v>
      </c>
      <c r="AQ21" s="76">
        <f t="shared" si="31"/>
        <v>51.244991849421567</v>
      </c>
      <c r="AR21" s="77">
        <f t="shared" si="33"/>
        <v>1.9186000000008789</v>
      </c>
    </row>
    <row r="22" spans="1:48" x14ac:dyDescent="0.25">
      <c r="A22" t="str">
        <f t="shared" si="15"/>
        <v>46183M</v>
      </c>
      <c r="B22" s="51">
        <f t="shared" si="32"/>
        <v>46183</v>
      </c>
      <c r="C22" s="52" t="s">
        <v>87</v>
      </c>
      <c r="D22" s="91">
        <v>13306</v>
      </c>
      <c r="E22" s="62">
        <v>4.03</v>
      </c>
      <c r="F22" s="62">
        <v>8.25</v>
      </c>
      <c r="G22" s="62">
        <f t="shared" si="16"/>
        <v>536.23180000000002</v>
      </c>
      <c r="H22" s="63">
        <f t="shared" si="17"/>
        <v>1097.7450000000001</v>
      </c>
      <c r="I22" s="203">
        <v>2059.0200000000004</v>
      </c>
      <c r="J22" s="204">
        <v>2120.7906000000007</v>
      </c>
      <c r="K22" s="121">
        <v>4.8029727734553349</v>
      </c>
      <c r="L22" s="122">
        <v>8.4786466377208622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8"/>
        <v>2120.7906000000007</v>
      </c>
      <c r="S22" s="62">
        <f t="shared" si="19"/>
        <v>101.86099510000007</v>
      </c>
      <c r="T22" s="63">
        <f t="shared" si="20"/>
        <v>179.81434090000016</v>
      </c>
      <c r="U22" s="64" t="s">
        <v>246</v>
      </c>
      <c r="V22" s="65" t="s">
        <v>431</v>
      </c>
      <c r="W22" s="66" t="s">
        <v>225</v>
      </c>
      <c r="X22" s="67">
        <v>9030</v>
      </c>
      <c r="Y22" s="68">
        <v>4.2</v>
      </c>
      <c r="Z22" s="68">
        <v>8.31</v>
      </c>
      <c r="AA22" s="62">
        <f t="shared" si="34"/>
        <v>379.26000000000005</v>
      </c>
      <c r="AB22" s="62">
        <f t="shared" si="35"/>
        <v>750.39300000000003</v>
      </c>
      <c r="AC22" s="69">
        <v>9080</v>
      </c>
      <c r="AD22" s="70">
        <v>4.0999999999999996</v>
      </c>
      <c r="AE22" s="70">
        <v>8.23</v>
      </c>
      <c r="AF22" s="62">
        <f t="shared" si="23"/>
        <v>372.28</v>
      </c>
      <c r="AG22" s="63">
        <f t="shared" si="24"/>
        <v>747.28399999999999</v>
      </c>
      <c r="AH22" s="66">
        <v>6394</v>
      </c>
      <c r="AI22" s="66">
        <v>4.13</v>
      </c>
      <c r="AJ22" s="66">
        <v>8.2799999999999994</v>
      </c>
      <c r="AK22" s="62">
        <f t="shared" si="25"/>
        <v>264.07219999999995</v>
      </c>
      <c r="AL22" s="72">
        <f t="shared" si="26"/>
        <v>529.42319999999995</v>
      </c>
      <c r="AM22" s="73">
        <f t="shared" si="27"/>
        <v>-47.209399999999732</v>
      </c>
      <c r="AN22" s="74">
        <f t="shared" si="28"/>
        <v>1.7405951000001778</v>
      </c>
      <c r="AO22" s="74">
        <f t="shared" si="29"/>
        <v>0.85214090000033593</v>
      </c>
      <c r="AP22" s="75">
        <f t="shared" si="30"/>
        <v>9.2046965730805466E-3</v>
      </c>
      <c r="AQ22" s="76">
        <f t="shared" si="31"/>
        <v>1036.3935939538471</v>
      </c>
      <c r="AR22" s="77">
        <f t="shared" si="33"/>
        <v>2.7906000000002678</v>
      </c>
      <c r="AT22" s="83"/>
      <c r="AU22" s="83"/>
    </row>
    <row r="23" spans="1:48" x14ac:dyDescent="0.25">
      <c r="A23" t="str">
        <f t="shared" si="15"/>
        <v>46183E</v>
      </c>
      <c r="B23" s="51">
        <f t="shared" si="32"/>
        <v>46183</v>
      </c>
      <c r="C23" s="52" t="s">
        <v>88</v>
      </c>
      <c r="D23" s="91">
        <v>6394</v>
      </c>
      <c r="E23" s="62">
        <v>4.13</v>
      </c>
      <c r="F23" s="62">
        <v>8.2799999999999994</v>
      </c>
      <c r="G23" s="62">
        <f t="shared" si="16"/>
        <v>264.07219999999995</v>
      </c>
      <c r="H23" s="63">
        <f t="shared" si="17"/>
        <v>529.42319999999995</v>
      </c>
      <c r="I23" s="203">
        <v>8546.02</v>
      </c>
      <c r="J23" s="204">
        <v>8802.4006000000008</v>
      </c>
      <c r="K23" s="121">
        <v>3.703073477478406</v>
      </c>
      <c r="L23" s="122">
        <v>8.1790715444148283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8"/>
        <v>8802.4006000000008</v>
      </c>
      <c r="S23" s="62">
        <f t="shared" si="19"/>
        <v>325.95936200000011</v>
      </c>
      <c r="T23" s="63">
        <f t="shared" si="20"/>
        <v>719.95464270000025</v>
      </c>
      <c r="U23" s="64" t="s">
        <v>244</v>
      </c>
      <c r="V23" s="65" t="s">
        <v>432</v>
      </c>
      <c r="W23" s="66" t="s">
        <v>189</v>
      </c>
      <c r="X23" s="67">
        <v>15280</v>
      </c>
      <c r="Y23" s="68">
        <v>3.9</v>
      </c>
      <c r="Z23" s="68">
        <v>8.25</v>
      </c>
      <c r="AA23" s="62">
        <f t="shared" si="34"/>
        <v>595.91999999999996</v>
      </c>
      <c r="AB23" s="62">
        <f t="shared" si="35"/>
        <v>1260.6000000000001</v>
      </c>
      <c r="AC23" s="69">
        <v>15260</v>
      </c>
      <c r="AD23" s="70">
        <v>3.85</v>
      </c>
      <c r="AE23" s="70">
        <v>7.93</v>
      </c>
      <c r="AF23" s="62">
        <f t="shared" si="23"/>
        <v>587.51</v>
      </c>
      <c r="AG23" s="63">
        <f t="shared" si="24"/>
        <v>1210.1179999999999</v>
      </c>
      <c r="AH23" s="66">
        <v>0</v>
      </c>
      <c r="AI23" s="66">
        <v>0</v>
      </c>
      <c r="AJ23" s="66">
        <v>0</v>
      </c>
      <c r="AK23" s="62">
        <f t="shared" si="25"/>
        <v>0</v>
      </c>
      <c r="AL23" s="72">
        <f t="shared" si="26"/>
        <v>0</v>
      </c>
      <c r="AM23" s="73">
        <f t="shared" si="27"/>
        <v>-63.59939999999915</v>
      </c>
      <c r="AN23" s="74">
        <f t="shared" si="28"/>
        <v>2.5215620000001309</v>
      </c>
      <c r="AO23" s="74">
        <f t="shared" si="29"/>
        <v>39.259842700000263</v>
      </c>
      <c r="AP23" s="75">
        <f t="shared" si="30"/>
        <v>3.9947265752488477E-2</v>
      </c>
      <c r="AQ23" s="76">
        <f t="shared" si="31"/>
        <v>12881.378388391473</v>
      </c>
      <c r="AR23" s="77">
        <f t="shared" si="33"/>
        <v>-83.59939999999915</v>
      </c>
      <c r="AU23" s="83"/>
    </row>
    <row r="24" spans="1:48" x14ac:dyDescent="0.25">
      <c r="A24" t="str">
        <f t="shared" si="15"/>
        <v>46184M</v>
      </c>
      <c r="B24" s="51">
        <f t="shared" si="32"/>
        <v>46184</v>
      </c>
      <c r="C24" s="52" t="s">
        <v>87</v>
      </c>
      <c r="D24" s="91">
        <v>0</v>
      </c>
      <c r="E24" s="62">
        <v>0</v>
      </c>
      <c r="F24" s="62">
        <v>0</v>
      </c>
      <c r="G24" s="62">
        <f t="shared" si="16"/>
        <v>0</v>
      </c>
      <c r="H24" s="63">
        <f t="shared" si="17"/>
        <v>0</v>
      </c>
      <c r="I24" s="203">
        <v>9732.83</v>
      </c>
      <c r="J24" s="204">
        <v>10024.814899999999</v>
      </c>
      <c r="K24" s="121">
        <v>3.8801845917374496</v>
      </c>
      <c r="L24" s="122">
        <v>8.1825185480482041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8"/>
        <v>10024.814899999999</v>
      </c>
      <c r="S24" s="62">
        <f t="shared" si="19"/>
        <v>388.9813231</v>
      </c>
      <c r="T24" s="63">
        <f t="shared" si="20"/>
        <v>820.28233859999989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34"/>
        <v>0</v>
      </c>
      <c r="AB24" s="62">
        <f t="shared" si="35"/>
        <v>0</v>
      </c>
      <c r="AC24" s="69"/>
      <c r="AD24" s="70"/>
      <c r="AE24" s="70"/>
      <c r="AF24" s="62">
        <f t="shared" si="23"/>
        <v>0</v>
      </c>
      <c r="AG24" s="63">
        <f t="shared" si="24"/>
        <v>0</v>
      </c>
      <c r="AH24" s="66">
        <v>10021</v>
      </c>
      <c r="AI24" s="66">
        <v>3.89</v>
      </c>
      <c r="AJ24" s="66">
        <v>8.17</v>
      </c>
      <c r="AK24" s="62">
        <f t="shared" si="25"/>
        <v>389.81690000000003</v>
      </c>
      <c r="AL24" s="72">
        <f t="shared" si="26"/>
        <v>818.71569999999997</v>
      </c>
      <c r="AM24" s="73">
        <f t="shared" si="27"/>
        <v>3.8148999999993976</v>
      </c>
      <c r="AN24" s="74">
        <f t="shared" si="28"/>
        <v>-0.83557690000003504</v>
      </c>
      <c r="AO24" s="74">
        <f t="shared" si="29"/>
        <v>1.5666385999999193</v>
      </c>
      <c r="AP24" s="75">
        <f t="shared" si="30"/>
        <v>6.0455111912661585E-4</v>
      </c>
      <c r="AQ24" s="76">
        <f t="shared" si="31"/>
        <v>93.754329771626828</v>
      </c>
      <c r="AR24" s="77">
        <f t="shared" si="33"/>
        <v>3.8148999999993976</v>
      </c>
      <c r="AT24" s="77"/>
      <c r="AU24" s="77"/>
      <c r="AV24" s="77"/>
    </row>
    <row r="25" spans="1:48" x14ac:dyDescent="0.25">
      <c r="A25" t="str">
        <f t="shared" si="15"/>
        <v>46184E</v>
      </c>
      <c r="B25" s="51">
        <f t="shared" si="32"/>
        <v>46184</v>
      </c>
      <c r="C25" s="52" t="s">
        <v>88</v>
      </c>
      <c r="D25" s="91">
        <v>10021</v>
      </c>
      <c r="E25" s="62">
        <v>3.89</v>
      </c>
      <c r="F25" s="62">
        <v>8.17</v>
      </c>
      <c r="G25" s="62">
        <f t="shared" si="16"/>
        <v>389.81690000000003</v>
      </c>
      <c r="H25" s="63">
        <f t="shared" si="17"/>
        <v>818.71569999999997</v>
      </c>
      <c r="I25" s="203">
        <v>9322.08</v>
      </c>
      <c r="J25" s="204">
        <v>9601.742400000001</v>
      </c>
      <c r="K25" s="121">
        <v>4.2596464522939099</v>
      </c>
      <c r="L25" s="122">
        <v>8.3022296526097197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8"/>
        <v>9601.742400000001</v>
      </c>
      <c r="S25" s="62">
        <f t="shared" si="19"/>
        <v>409.0002795000002</v>
      </c>
      <c r="T25" s="63">
        <f t="shared" si="20"/>
        <v>797.15870470000027</v>
      </c>
      <c r="U25" s="64" t="s">
        <v>246</v>
      </c>
      <c r="V25" s="65" t="s">
        <v>479</v>
      </c>
      <c r="W25" s="66" t="s">
        <v>225</v>
      </c>
      <c r="X25" s="67">
        <v>9030</v>
      </c>
      <c r="Y25" s="68">
        <v>4.25</v>
      </c>
      <c r="Z25" s="68">
        <v>8.3800000000000008</v>
      </c>
      <c r="AA25" s="62">
        <f t="shared" si="34"/>
        <v>383.77500000000003</v>
      </c>
      <c r="AB25" s="62">
        <f t="shared" si="35"/>
        <v>756.71400000000017</v>
      </c>
      <c r="AC25" s="69">
        <v>9020</v>
      </c>
      <c r="AD25" s="70">
        <v>4.2</v>
      </c>
      <c r="AE25" s="70">
        <v>8</v>
      </c>
      <c r="AF25" s="62">
        <f t="shared" si="23"/>
        <v>378.84000000000003</v>
      </c>
      <c r="AG25" s="63">
        <f t="shared" si="24"/>
        <v>721.6</v>
      </c>
      <c r="AH25" s="66">
        <v>10590</v>
      </c>
      <c r="AI25" s="66">
        <v>4.05</v>
      </c>
      <c r="AJ25" s="66">
        <v>8.2200000000000006</v>
      </c>
      <c r="AK25" s="62">
        <f t="shared" si="25"/>
        <v>428.89500000000004</v>
      </c>
      <c r="AL25" s="72">
        <f t="shared" si="26"/>
        <v>870.49800000000005</v>
      </c>
      <c r="AM25" s="73">
        <f t="shared" si="27"/>
        <v>12.742400000002817</v>
      </c>
      <c r="AN25" s="74">
        <f t="shared" si="28"/>
        <v>-8.9178204999997774</v>
      </c>
      <c r="AO25" s="74">
        <f t="shared" si="29"/>
        <v>23.776404700000171</v>
      </c>
      <c r="AP25" s="75">
        <f t="shared" si="30"/>
        <v>1.2318926770549679E-2</v>
      </c>
      <c r="AQ25" s="76">
        <f t="shared" si="31"/>
        <v>3112.3450885964849</v>
      </c>
      <c r="AR25" s="77">
        <f t="shared" si="33"/>
        <v>2.7424000000028173</v>
      </c>
    </row>
    <row r="26" spans="1:48" x14ac:dyDescent="0.25">
      <c r="A26" t="str">
        <f t="shared" si="15"/>
        <v>46185M</v>
      </c>
      <c r="B26" s="51">
        <f t="shared" si="32"/>
        <v>46185</v>
      </c>
      <c r="C26" s="52" t="s">
        <v>87</v>
      </c>
      <c r="D26" s="91">
        <v>10590</v>
      </c>
      <c r="E26" s="62">
        <v>4.05</v>
      </c>
      <c r="F26" s="62">
        <v>8.2200000000000006</v>
      </c>
      <c r="G26" s="62">
        <f t="shared" si="16"/>
        <v>428.89500000000004</v>
      </c>
      <c r="H26" s="63">
        <f t="shared" si="17"/>
        <v>870.49800000000005</v>
      </c>
      <c r="I26" s="203">
        <v>2359.3200000000002</v>
      </c>
      <c r="J26" s="204">
        <v>2430.0996</v>
      </c>
      <c r="K26" s="121">
        <v>4.6729663631893921</v>
      </c>
      <c r="L26" s="122">
        <v>8.5712828272553079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8"/>
        <v>2430.0996</v>
      </c>
      <c r="S26" s="62">
        <f t="shared" si="19"/>
        <v>113.55773689999997</v>
      </c>
      <c r="T26" s="63">
        <f t="shared" si="20"/>
        <v>208.29070969999992</v>
      </c>
      <c r="U26" s="64" t="s">
        <v>167</v>
      </c>
      <c r="V26" s="65" t="s">
        <v>187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34"/>
        <v>0</v>
      </c>
      <c r="AB26" s="62">
        <f t="shared" si="35"/>
        <v>0</v>
      </c>
      <c r="AC26" s="69"/>
      <c r="AD26" s="70"/>
      <c r="AE26" s="70"/>
      <c r="AF26" s="62">
        <f t="shared" si="23"/>
        <v>0</v>
      </c>
      <c r="AG26" s="63">
        <f t="shared" si="24"/>
        <v>0</v>
      </c>
      <c r="AH26" s="66">
        <v>13017</v>
      </c>
      <c r="AI26" s="66">
        <v>4.16</v>
      </c>
      <c r="AJ26" s="66">
        <v>8.2799999999999994</v>
      </c>
      <c r="AK26" s="62">
        <f t="shared" si="25"/>
        <v>541.50720000000001</v>
      </c>
      <c r="AL26" s="72">
        <f t="shared" si="26"/>
        <v>1077.8076000000001</v>
      </c>
      <c r="AM26" s="73">
        <f t="shared" si="27"/>
        <v>3.0995999999995547</v>
      </c>
      <c r="AN26" s="74">
        <f t="shared" si="28"/>
        <v>0.94553689999997914</v>
      </c>
      <c r="AO26" s="74">
        <f t="shared" si="29"/>
        <v>0.98110969999993358</v>
      </c>
      <c r="AP26" s="75">
        <f t="shared" si="30"/>
        <v>5.9861920116532057E-3</v>
      </c>
      <c r="AQ26" s="76">
        <f t="shared" si="31"/>
        <v>718.0809400636374</v>
      </c>
      <c r="AR26" s="77">
        <f t="shared" si="33"/>
        <v>3.0995999999995547</v>
      </c>
    </row>
    <row r="27" spans="1:48" x14ac:dyDescent="0.25">
      <c r="A27" t="str">
        <f t="shared" si="15"/>
        <v>46185E</v>
      </c>
      <c r="B27" s="51">
        <f t="shared" si="32"/>
        <v>46185</v>
      </c>
      <c r="C27" s="52" t="s">
        <v>88</v>
      </c>
      <c r="D27" s="91">
        <v>13017</v>
      </c>
      <c r="E27" s="62">
        <v>4.16</v>
      </c>
      <c r="F27" s="62">
        <v>8.2799999999999994</v>
      </c>
      <c r="G27" s="62">
        <f t="shared" si="16"/>
        <v>541.50720000000001</v>
      </c>
      <c r="H27" s="63">
        <f t="shared" si="17"/>
        <v>1077.8076000000001</v>
      </c>
      <c r="I27" s="203">
        <v>8394.93</v>
      </c>
      <c r="J27" s="204">
        <v>8646.777900000001</v>
      </c>
      <c r="K27" s="121">
        <v>4.0781588411100529</v>
      </c>
      <c r="L27" s="122">
        <v>8.243875172276601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8"/>
        <v>8646.777900000001</v>
      </c>
      <c r="S27" s="62">
        <f t="shared" si="19"/>
        <v>352.62933740000022</v>
      </c>
      <c r="T27" s="63">
        <f t="shared" si="20"/>
        <v>712.82957650000014</v>
      </c>
      <c r="U27" s="64" t="s">
        <v>244</v>
      </c>
      <c r="V27" s="65" t="s">
        <v>514</v>
      </c>
      <c r="W27" s="66" t="s">
        <v>225</v>
      </c>
      <c r="X27" s="67">
        <v>15480</v>
      </c>
      <c r="Y27" s="68">
        <v>4.3</v>
      </c>
      <c r="Z27" s="68">
        <v>8.27</v>
      </c>
      <c r="AA27" s="62">
        <f t="shared" si="34"/>
        <v>665.64</v>
      </c>
      <c r="AB27" s="62">
        <f t="shared" si="35"/>
        <v>1280.1959999999999</v>
      </c>
      <c r="AC27" s="69">
        <v>15450</v>
      </c>
      <c r="AD27" s="70">
        <v>4.25</v>
      </c>
      <c r="AE27" s="70">
        <v>8.26</v>
      </c>
      <c r="AF27" s="62">
        <f t="shared" si="23"/>
        <v>656.625</v>
      </c>
      <c r="AG27" s="63">
        <f t="shared" si="24"/>
        <v>1276.1699999999998</v>
      </c>
      <c r="AH27" s="66">
        <v>6182</v>
      </c>
      <c r="AI27" s="66">
        <v>4.12</v>
      </c>
      <c r="AJ27" s="66">
        <v>8.26</v>
      </c>
      <c r="AK27" s="62">
        <f t="shared" si="25"/>
        <v>254.69839999999999</v>
      </c>
      <c r="AL27" s="72">
        <f t="shared" si="26"/>
        <v>510.63319999999993</v>
      </c>
      <c r="AM27" s="73">
        <f t="shared" si="27"/>
        <v>31.777900000000955</v>
      </c>
      <c r="AN27" s="74">
        <f t="shared" si="28"/>
        <v>-17.186862599999813</v>
      </c>
      <c r="AO27" s="74">
        <f t="shared" si="29"/>
        <v>3.8339765000005741</v>
      </c>
      <c r="AP27" s="75">
        <f t="shared" si="30"/>
        <v>-1.2532520893858217E-2</v>
      </c>
      <c r="AQ27" s="76">
        <f t="shared" si="31"/>
        <v>-6567.947562689078</v>
      </c>
      <c r="AR27" s="77">
        <f t="shared" si="33"/>
        <v>1.7779000000009546</v>
      </c>
    </row>
    <row r="28" spans="1:48" x14ac:dyDescent="0.25">
      <c r="A28" t="str">
        <f t="shared" si="15"/>
        <v>46186M</v>
      </c>
      <c r="B28" s="51">
        <f t="shared" si="32"/>
        <v>46186</v>
      </c>
      <c r="C28" s="52" t="s">
        <v>87</v>
      </c>
      <c r="D28" s="91">
        <v>6182</v>
      </c>
      <c r="E28" s="62">
        <v>4.12</v>
      </c>
      <c r="F28" s="62">
        <v>8.26</v>
      </c>
      <c r="G28" s="62">
        <f t="shared" si="16"/>
        <v>254.69839999999999</v>
      </c>
      <c r="H28" s="63">
        <f t="shared" si="17"/>
        <v>510.63319999999993</v>
      </c>
      <c r="I28" s="203">
        <v>8028.1900000000005</v>
      </c>
      <c r="J28" s="204">
        <v>8269.0357000000004</v>
      </c>
      <c r="K28" s="121">
        <v>4.0758250614397511</v>
      </c>
      <c r="L28" s="122">
        <v>8.1835404991660639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8"/>
        <v>8269.0357000000004</v>
      </c>
      <c r="S28" s="62">
        <f t="shared" si="19"/>
        <v>337.03142939999992</v>
      </c>
      <c r="T28" s="63">
        <f t="shared" si="20"/>
        <v>676.69988540000008</v>
      </c>
      <c r="U28" s="64" t="s">
        <v>251</v>
      </c>
      <c r="V28" s="65" t="s">
        <v>515</v>
      </c>
      <c r="W28" s="66" t="s">
        <v>225</v>
      </c>
      <c r="X28" s="67">
        <v>9520</v>
      </c>
      <c r="Y28" s="68">
        <v>4.2</v>
      </c>
      <c r="Z28" s="68">
        <v>8.3699999999999992</v>
      </c>
      <c r="AA28" s="62">
        <f t="shared" si="34"/>
        <v>399.84000000000003</v>
      </c>
      <c r="AB28" s="62">
        <f t="shared" si="35"/>
        <v>796.82399999999996</v>
      </c>
      <c r="AC28" s="69">
        <v>9510</v>
      </c>
      <c r="AD28" s="70">
        <v>4.1500000000000004</v>
      </c>
      <c r="AE28" s="70">
        <v>8.24</v>
      </c>
      <c r="AF28" s="62">
        <f t="shared" si="23"/>
        <v>394.66500000000002</v>
      </c>
      <c r="AG28" s="63">
        <f t="shared" si="24"/>
        <v>783.62400000000002</v>
      </c>
      <c r="AH28" s="66">
        <v>4927</v>
      </c>
      <c r="AI28" s="66">
        <v>4.09</v>
      </c>
      <c r="AJ28" s="66">
        <v>8.1999999999999993</v>
      </c>
      <c r="AK28" s="62">
        <f t="shared" si="25"/>
        <v>201.51429999999999</v>
      </c>
      <c r="AL28" s="72">
        <f t="shared" si="26"/>
        <v>404.01399999999995</v>
      </c>
      <c r="AM28" s="73">
        <f t="shared" si="27"/>
        <v>14.035700000000361</v>
      </c>
      <c r="AN28" s="74">
        <f t="shared" si="28"/>
        <v>-4.4494706000000406</v>
      </c>
      <c r="AO28" s="74">
        <f t="shared" si="29"/>
        <v>-0.30491459999990411</v>
      </c>
      <c r="AP28" s="75">
        <f t="shared" si="30"/>
        <v>-4.6899855322491855E-3</v>
      </c>
      <c r="AQ28" s="76">
        <f t="shared" si="31"/>
        <v>-2088.6646557699896</v>
      </c>
      <c r="AR28" s="77">
        <f t="shared" si="33"/>
        <v>4.0357000000003609</v>
      </c>
    </row>
    <row r="29" spans="1:48" x14ac:dyDescent="0.25">
      <c r="A29" t="str">
        <f t="shared" si="15"/>
        <v>46186E</v>
      </c>
      <c r="B29" s="51">
        <f t="shared" si="32"/>
        <v>46186</v>
      </c>
      <c r="C29" s="52" t="s">
        <v>88</v>
      </c>
      <c r="D29" s="91">
        <v>4927</v>
      </c>
      <c r="E29" s="62">
        <v>4.09</v>
      </c>
      <c r="F29" s="62">
        <v>8.1999999999999993</v>
      </c>
      <c r="G29" s="62">
        <f t="shared" si="16"/>
        <v>201.51429999999999</v>
      </c>
      <c r="H29" s="63">
        <f t="shared" si="17"/>
        <v>404.01399999999995</v>
      </c>
      <c r="I29" s="203">
        <v>8491.9700000000012</v>
      </c>
      <c r="J29" s="204">
        <v>8746.7291000000023</v>
      </c>
      <c r="K29" s="121">
        <v>3.9176101658390214</v>
      </c>
      <c r="L29" s="122">
        <v>8.2313938932897752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8"/>
        <v>8746.7291000000023</v>
      </c>
      <c r="S29" s="62">
        <f t="shared" si="19"/>
        <v>342.66274840000005</v>
      </c>
      <c r="T29" s="63">
        <f t="shared" si="20"/>
        <v>719.97772499999985</v>
      </c>
      <c r="U29" s="64" t="s">
        <v>246</v>
      </c>
      <c r="V29" s="65" t="s">
        <v>516</v>
      </c>
      <c r="W29" s="66" t="s">
        <v>189</v>
      </c>
      <c r="X29" s="67">
        <v>9030</v>
      </c>
      <c r="Y29" s="68">
        <v>4.1500000000000004</v>
      </c>
      <c r="Z29" s="68">
        <v>8.24</v>
      </c>
      <c r="AA29" s="62">
        <f t="shared" si="34"/>
        <v>374.745</v>
      </c>
      <c r="AB29" s="62">
        <f t="shared" si="35"/>
        <v>744.072</v>
      </c>
      <c r="AC29" s="69">
        <v>9040</v>
      </c>
      <c r="AD29" s="70">
        <v>4.0999999999999988</v>
      </c>
      <c r="AE29" s="70">
        <v>8.1</v>
      </c>
      <c r="AF29" s="62">
        <f t="shared" si="23"/>
        <v>370.63999999999987</v>
      </c>
      <c r="AG29" s="63">
        <f t="shared" si="24"/>
        <v>732.24</v>
      </c>
      <c r="AH29" s="66">
        <v>4641</v>
      </c>
      <c r="AI29" s="66">
        <v>3.97</v>
      </c>
      <c r="AJ29" s="66">
        <v>8.2100000000000009</v>
      </c>
      <c r="AK29" s="62">
        <f t="shared" si="25"/>
        <v>184.24770000000001</v>
      </c>
      <c r="AL29" s="72">
        <f t="shared" si="26"/>
        <v>381.02610000000004</v>
      </c>
      <c r="AM29" s="73">
        <f t="shared" si="27"/>
        <v>-7.2708999999977095</v>
      </c>
      <c r="AN29" s="74">
        <f t="shared" si="28"/>
        <v>-10.710651599999778</v>
      </c>
      <c r="AO29" s="74">
        <f t="shared" si="29"/>
        <v>10.725624999999809</v>
      </c>
      <c r="AP29" s="75">
        <f t="shared" si="30"/>
        <v>1.4090748823185922E-5</v>
      </c>
      <c r="AQ29" s="76">
        <f t="shared" si="31"/>
        <v>-1598.2250639226245</v>
      </c>
      <c r="AR29" s="77">
        <f t="shared" si="33"/>
        <v>2.7291000000022905</v>
      </c>
    </row>
    <row r="30" spans="1:48" x14ac:dyDescent="0.25">
      <c r="A30" t="str">
        <f t="shared" si="15"/>
        <v>46187M</v>
      </c>
      <c r="B30" s="51">
        <f t="shared" si="32"/>
        <v>46187</v>
      </c>
      <c r="C30" s="52" t="s">
        <v>87</v>
      </c>
      <c r="D30" s="91">
        <v>4641</v>
      </c>
      <c r="E30" s="62">
        <v>3.97</v>
      </c>
      <c r="F30" s="62">
        <v>8.2100000000000009</v>
      </c>
      <c r="G30" s="62">
        <f t="shared" si="16"/>
        <v>184.24770000000001</v>
      </c>
      <c r="H30" s="63">
        <f t="shared" si="17"/>
        <v>381.02610000000004</v>
      </c>
      <c r="I30" s="203">
        <v>2482.5200000000004</v>
      </c>
      <c r="J30" s="204">
        <v>2556.9956000000006</v>
      </c>
      <c r="K30" s="121">
        <v>4.8413857692989373</v>
      </c>
      <c r="L30" s="122">
        <v>8.5717984145142871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8"/>
        <v>2556.9956000000006</v>
      </c>
      <c r="S30" s="62">
        <f t="shared" si="19"/>
        <v>123.79402110000001</v>
      </c>
      <c r="T30" s="63">
        <f t="shared" si="20"/>
        <v>219.18050830000013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34"/>
        <v>0</v>
      </c>
      <c r="AB30" s="62">
        <f t="shared" si="35"/>
        <v>0</v>
      </c>
      <c r="AC30" s="69"/>
      <c r="AD30" s="70"/>
      <c r="AE30" s="70"/>
      <c r="AF30" s="62">
        <f t="shared" si="23"/>
        <v>0</v>
      </c>
      <c r="AG30" s="63">
        <f t="shared" si="24"/>
        <v>0</v>
      </c>
      <c r="AH30" s="66">
        <v>7195</v>
      </c>
      <c r="AI30" s="66">
        <v>4.2699999999999996</v>
      </c>
      <c r="AJ30" s="66">
        <v>8.32</v>
      </c>
      <c r="AK30" s="62">
        <f t="shared" si="25"/>
        <v>307.22649999999999</v>
      </c>
      <c r="AL30" s="72">
        <f t="shared" si="26"/>
        <v>598.62400000000002</v>
      </c>
      <c r="AM30" s="73">
        <f t="shared" si="27"/>
        <v>2.995600000000195</v>
      </c>
      <c r="AN30" s="74">
        <f t="shared" si="28"/>
        <v>0.81522110000003067</v>
      </c>
      <c r="AO30" s="74">
        <f t="shared" si="29"/>
        <v>1.5826083000001745</v>
      </c>
      <c r="AP30" s="75">
        <f t="shared" si="30"/>
        <v>6.9912754285135085E-3</v>
      </c>
      <c r="AQ30" s="76">
        <f t="shared" si="31"/>
        <v>839.59336530306609</v>
      </c>
      <c r="AR30" s="77">
        <f t="shared" si="33"/>
        <v>2.995600000000195</v>
      </c>
    </row>
    <row r="31" spans="1:48" x14ac:dyDescent="0.25">
      <c r="A31" t="str">
        <f t="shared" si="15"/>
        <v>46187E</v>
      </c>
      <c r="B31" s="51">
        <f t="shared" si="32"/>
        <v>46187</v>
      </c>
      <c r="C31" s="52" t="s">
        <v>88</v>
      </c>
      <c r="D31" s="91">
        <v>7195</v>
      </c>
      <c r="E31" s="62">
        <v>4.2699999999999996</v>
      </c>
      <c r="F31" s="62">
        <v>8.32</v>
      </c>
      <c r="G31" s="62">
        <f t="shared" si="16"/>
        <v>307.22649999999999</v>
      </c>
      <c r="H31" s="63">
        <f t="shared" si="17"/>
        <v>598.62400000000002</v>
      </c>
      <c r="I31" s="203">
        <v>10820.78</v>
      </c>
      <c r="J31" s="204">
        <v>11145.403400000001</v>
      </c>
      <c r="K31" s="121">
        <v>4.0442434833718073</v>
      </c>
      <c r="L31" s="122">
        <v>8.2619849031215864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8"/>
        <v>11145.403400000001</v>
      </c>
      <c r="S31" s="62">
        <f t="shared" si="19"/>
        <v>450.74725069999988</v>
      </c>
      <c r="T31" s="63">
        <f t="shared" si="20"/>
        <v>920.83154630000001</v>
      </c>
      <c r="U31" s="64" t="s">
        <v>244</v>
      </c>
      <c r="V31" s="85" t="s">
        <v>517</v>
      </c>
      <c r="W31" s="66" t="s">
        <v>225</v>
      </c>
      <c r="X31" s="67">
        <v>15480</v>
      </c>
      <c r="Y31" s="68">
        <v>3.95</v>
      </c>
      <c r="Z31" s="68">
        <v>8.32</v>
      </c>
      <c r="AA31" s="62">
        <f t="shared" si="34"/>
        <v>611.46</v>
      </c>
      <c r="AB31" s="62">
        <f t="shared" si="35"/>
        <v>1287.9359999999999</v>
      </c>
      <c r="AC31" s="69">
        <v>15470</v>
      </c>
      <c r="AD31" s="70">
        <v>3.9000000000000004</v>
      </c>
      <c r="AE31" s="70">
        <v>8.2500000000000018</v>
      </c>
      <c r="AF31" s="62">
        <f t="shared" si="23"/>
        <v>603.33000000000015</v>
      </c>
      <c r="AG31" s="63">
        <f t="shared" si="24"/>
        <v>1276.2750000000003</v>
      </c>
      <c r="AH31" s="66">
        <v>2858</v>
      </c>
      <c r="AI31" s="66">
        <v>4.12</v>
      </c>
      <c r="AJ31" s="66">
        <v>8.27</v>
      </c>
      <c r="AK31" s="62">
        <f t="shared" si="25"/>
        <v>117.7496</v>
      </c>
      <c r="AL31" s="72">
        <f t="shared" si="26"/>
        <v>236.35659999999999</v>
      </c>
      <c r="AM31" s="73">
        <f t="shared" si="27"/>
        <v>12.403400000002875</v>
      </c>
      <c r="AN31" s="74">
        <f t="shared" si="28"/>
        <v>36.894150699999713</v>
      </c>
      <c r="AO31" s="74">
        <f t="shared" si="29"/>
        <v>6.8239462999998466</v>
      </c>
      <c r="AP31" s="75">
        <f t="shared" si="30"/>
        <v>3.1874287569640496E-2</v>
      </c>
      <c r="AQ31" s="76">
        <f t="shared" si="31"/>
        <v>18604.378346425496</v>
      </c>
      <c r="AR31" s="77">
        <f t="shared" si="33"/>
        <v>2.4034000000028755</v>
      </c>
    </row>
    <row r="32" spans="1:48" x14ac:dyDescent="0.25">
      <c r="A32" t="str">
        <f t="shared" si="15"/>
        <v>46188M</v>
      </c>
      <c r="B32" s="51">
        <f t="shared" si="32"/>
        <v>46188</v>
      </c>
      <c r="C32" s="52" t="s">
        <v>87</v>
      </c>
      <c r="D32" s="91">
        <v>2858</v>
      </c>
      <c r="E32" s="62">
        <v>4.12</v>
      </c>
      <c r="F32" s="62">
        <v>8.27</v>
      </c>
      <c r="G32" s="62">
        <f t="shared" si="16"/>
        <v>117.7496</v>
      </c>
      <c r="H32" s="63">
        <f t="shared" si="17"/>
        <v>236.35659999999999</v>
      </c>
      <c r="I32" s="203">
        <v>7643.25</v>
      </c>
      <c r="J32" s="204">
        <v>7872.5475000000006</v>
      </c>
      <c r="K32" s="121">
        <v>4.127551630523663</v>
      </c>
      <c r="L32" s="122">
        <v>8.2657489942105791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8"/>
        <v>7872.5475000000006</v>
      </c>
      <c r="S32" s="62">
        <f t="shared" si="19"/>
        <v>324.94346269999994</v>
      </c>
      <c r="T32" s="63">
        <f t="shared" si="20"/>
        <v>650.72501580000016</v>
      </c>
      <c r="U32" s="64" t="s">
        <v>246</v>
      </c>
      <c r="V32" s="65" t="s">
        <v>584</v>
      </c>
      <c r="W32" s="66" t="s">
        <v>189</v>
      </c>
      <c r="X32" s="67">
        <v>9030</v>
      </c>
      <c r="Y32" s="68">
        <v>4.1500000000000004</v>
      </c>
      <c r="Z32" s="68">
        <v>8.36</v>
      </c>
      <c r="AA32" s="62">
        <f t="shared" si="34"/>
        <v>374.745</v>
      </c>
      <c r="AB32" s="62">
        <f t="shared" si="35"/>
        <v>754.9079999999999</v>
      </c>
      <c r="AC32" s="69">
        <v>9020</v>
      </c>
      <c r="AD32" s="70">
        <v>4.0999999999999988</v>
      </c>
      <c r="AE32" s="70">
        <v>8.1</v>
      </c>
      <c r="AF32" s="62">
        <f t="shared" si="23"/>
        <v>369.81999999999988</v>
      </c>
      <c r="AG32" s="63">
        <f t="shared" si="24"/>
        <v>730.62</v>
      </c>
      <c r="AH32" s="66">
        <v>1698</v>
      </c>
      <c r="AI32" s="66">
        <v>4.12</v>
      </c>
      <c r="AJ32" s="66">
        <v>8.26</v>
      </c>
      <c r="AK32" s="62">
        <f t="shared" si="25"/>
        <v>69.957599999999999</v>
      </c>
      <c r="AL32" s="72">
        <f t="shared" si="26"/>
        <v>140.25479999999999</v>
      </c>
      <c r="AM32" s="73">
        <f t="shared" si="27"/>
        <v>12.547500000000582</v>
      </c>
      <c r="AN32" s="74">
        <f t="shared" si="28"/>
        <v>2.9154627000000488</v>
      </c>
      <c r="AO32" s="74">
        <f t="shared" si="29"/>
        <v>16.206815800000129</v>
      </c>
      <c r="AP32" s="75">
        <f t="shared" si="30"/>
        <v>1.9599155780249157E-2</v>
      </c>
      <c r="AQ32" s="76">
        <f t="shared" si="31"/>
        <v>6159.0481478423935</v>
      </c>
      <c r="AR32" s="77">
        <f t="shared" si="33"/>
        <v>2.5475000000005821</v>
      </c>
    </row>
    <row r="33" spans="1:44" x14ac:dyDescent="0.25">
      <c r="A33" t="str">
        <f t="shared" si="15"/>
        <v>46188E</v>
      </c>
      <c r="B33" s="51">
        <f t="shared" si="32"/>
        <v>46188</v>
      </c>
      <c r="C33" s="52" t="s">
        <v>88</v>
      </c>
      <c r="D33" s="91">
        <v>1698</v>
      </c>
      <c r="E33" s="62">
        <v>4.12</v>
      </c>
      <c r="F33" s="62">
        <v>8.26</v>
      </c>
      <c r="G33" s="62">
        <f t="shared" si="16"/>
        <v>69.957599999999999</v>
      </c>
      <c r="H33" s="63">
        <f t="shared" si="17"/>
        <v>140.25479999999999</v>
      </c>
      <c r="I33" s="203">
        <v>10435.400000000001</v>
      </c>
      <c r="J33" s="204">
        <v>10748.462000000001</v>
      </c>
      <c r="K33" s="121">
        <v>3.8232808517162735</v>
      </c>
      <c r="L33" s="122">
        <v>8.2006244130555608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8"/>
        <v>10748.462000000001</v>
      </c>
      <c r="S33" s="62">
        <f t="shared" si="19"/>
        <v>410.94388950000007</v>
      </c>
      <c r="T33" s="63">
        <f t="shared" si="20"/>
        <v>881.44099880000022</v>
      </c>
      <c r="U33" s="64" t="s">
        <v>246</v>
      </c>
      <c r="V33" s="65" t="s">
        <v>585</v>
      </c>
      <c r="W33" s="66" t="s">
        <v>225</v>
      </c>
      <c r="X33" s="67">
        <v>9030</v>
      </c>
      <c r="Y33" s="68">
        <v>4.2</v>
      </c>
      <c r="Z33" s="68">
        <v>8.3699999999999992</v>
      </c>
      <c r="AA33" s="62">
        <f t="shared" si="34"/>
        <v>379.26000000000005</v>
      </c>
      <c r="AB33" s="62">
        <f t="shared" si="35"/>
        <v>755.81099999999992</v>
      </c>
      <c r="AC33" s="69">
        <v>9020</v>
      </c>
      <c r="AD33" s="70">
        <v>4.1500000000000004</v>
      </c>
      <c r="AE33" s="70">
        <v>8.3000000000000007</v>
      </c>
      <c r="AF33" s="62">
        <f t="shared" si="23"/>
        <v>374.33000000000004</v>
      </c>
      <c r="AG33" s="63">
        <f t="shared" si="24"/>
        <v>748.66000000000008</v>
      </c>
      <c r="AH33" s="66">
        <v>3414</v>
      </c>
      <c r="AI33" s="66">
        <v>4.2</v>
      </c>
      <c r="AJ33" s="66">
        <v>8.3699999999999992</v>
      </c>
      <c r="AK33" s="62">
        <f t="shared" si="25"/>
        <v>143.38800000000001</v>
      </c>
      <c r="AL33" s="72">
        <f t="shared" si="26"/>
        <v>285.7518</v>
      </c>
      <c r="AM33" s="73">
        <f t="shared" si="27"/>
        <v>12.462000000001353</v>
      </c>
      <c r="AN33" s="74">
        <f t="shared" si="28"/>
        <v>-36.816510499999964</v>
      </c>
      <c r="AO33" s="74">
        <f t="shared" si="29"/>
        <v>-12.716001199999937</v>
      </c>
      <c r="AP33" s="75">
        <f t="shared" si="30"/>
        <v>-3.8326439862009558E-2</v>
      </c>
      <c r="AQ33" s="76">
        <f t="shared" si="31"/>
        <v>-20332.859794349635</v>
      </c>
      <c r="AR33" s="77">
        <f t="shared" si="33"/>
        <v>2.4620000000013533</v>
      </c>
    </row>
    <row r="34" spans="1:44" x14ac:dyDescent="0.25">
      <c r="A34" t="str">
        <f t="shared" si="15"/>
        <v>46189M</v>
      </c>
      <c r="B34" s="51">
        <f t="shared" si="32"/>
        <v>46189</v>
      </c>
      <c r="C34" s="52" t="s">
        <v>87</v>
      </c>
      <c r="D34" s="91">
        <v>3414</v>
      </c>
      <c r="E34" s="62">
        <v>4.2</v>
      </c>
      <c r="F34" s="62">
        <v>8.3699999999999992</v>
      </c>
      <c r="G34" s="62">
        <f t="shared" si="16"/>
        <v>143.38800000000001</v>
      </c>
      <c r="H34" s="63">
        <f t="shared" si="17"/>
        <v>285.7518</v>
      </c>
      <c r="I34" s="203">
        <v>2220.66</v>
      </c>
      <c r="J34" s="204">
        <v>2287.2797999999998</v>
      </c>
      <c r="K34" s="121">
        <v>4.7715476479965417</v>
      </c>
      <c r="L34" s="122">
        <v>8.4680802103878996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8"/>
        <v>2287.2797999999998</v>
      </c>
      <c r="S34" s="62">
        <f t="shared" si="19"/>
        <v>109.13864549999998</v>
      </c>
      <c r="T34" s="63">
        <f t="shared" si="20"/>
        <v>193.68868809999992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34"/>
        <v>0</v>
      </c>
      <c r="AB34" s="62">
        <f t="shared" si="35"/>
        <v>0</v>
      </c>
      <c r="AC34" s="69"/>
      <c r="AD34" s="70"/>
      <c r="AE34" s="70"/>
      <c r="AF34" s="62">
        <f t="shared" si="23"/>
        <v>0</v>
      </c>
      <c r="AG34" s="63">
        <f t="shared" si="24"/>
        <v>0</v>
      </c>
      <c r="AH34" s="66">
        <v>5699</v>
      </c>
      <c r="AI34" s="66">
        <v>4.42</v>
      </c>
      <c r="AJ34" s="66">
        <v>8.4</v>
      </c>
      <c r="AK34" s="62">
        <f t="shared" si="25"/>
        <v>251.89579999999998</v>
      </c>
      <c r="AL34" s="72">
        <f t="shared" si="26"/>
        <v>478.71600000000001</v>
      </c>
      <c r="AM34" s="73">
        <f t="shared" si="27"/>
        <v>2.2798000000002503</v>
      </c>
      <c r="AN34" s="74">
        <f t="shared" si="28"/>
        <v>0.6308454999999924</v>
      </c>
      <c r="AO34" s="74">
        <f t="shared" si="29"/>
        <v>0.72448809999991681</v>
      </c>
      <c r="AP34" s="75">
        <f t="shared" si="30"/>
        <v>4.4755986320249054E-3</v>
      </c>
      <c r="AQ34" s="76">
        <f t="shared" si="31"/>
        <v>500.01282205230507</v>
      </c>
      <c r="AR34" s="77">
        <f t="shared" si="33"/>
        <v>2.2798000000002503</v>
      </c>
    </row>
    <row r="35" spans="1:44" x14ac:dyDescent="0.25">
      <c r="A35" t="str">
        <f t="shared" si="15"/>
        <v>46189E</v>
      </c>
      <c r="B35" s="51">
        <f t="shared" si="32"/>
        <v>46189</v>
      </c>
      <c r="C35" s="52" t="s">
        <v>88</v>
      </c>
      <c r="D35" s="91">
        <v>5699</v>
      </c>
      <c r="E35" s="62">
        <v>4.42</v>
      </c>
      <c r="F35" s="62">
        <v>8.4</v>
      </c>
      <c r="G35" s="62">
        <f t="shared" si="16"/>
        <v>251.89579999999998</v>
      </c>
      <c r="H35" s="63">
        <f t="shared" si="17"/>
        <v>478.71600000000001</v>
      </c>
      <c r="I35" s="203">
        <v>4783.7599999999993</v>
      </c>
      <c r="J35" s="204">
        <v>4927.2727999999997</v>
      </c>
      <c r="K35" s="121">
        <v>4.034983569409837</v>
      </c>
      <c r="L35" s="122">
        <v>8.2527952907336477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8"/>
        <v>4927.2727999999997</v>
      </c>
      <c r="S35" s="62">
        <f t="shared" si="19"/>
        <v>198.81464790000001</v>
      </c>
      <c r="T35" s="63">
        <f t="shared" si="20"/>
        <v>406.63773759999987</v>
      </c>
      <c r="U35" s="64" t="s">
        <v>392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4"/>
        <v>0</v>
      </c>
      <c r="AB35" s="62">
        <f t="shared" si="35"/>
        <v>0</v>
      </c>
      <c r="AC35" s="69"/>
      <c r="AD35" s="70"/>
      <c r="AE35" s="70"/>
      <c r="AF35" s="62">
        <f t="shared" si="23"/>
        <v>0</v>
      </c>
      <c r="AG35" s="63">
        <f t="shared" si="24"/>
        <v>0</v>
      </c>
      <c r="AH35" s="66">
        <v>10624</v>
      </c>
      <c r="AI35" s="66">
        <v>4.25</v>
      </c>
      <c r="AJ35" s="66">
        <v>8.33</v>
      </c>
      <c r="AK35" s="62">
        <f t="shared" si="25"/>
        <v>451.52000000000004</v>
      </c>
      <c r="AL35" s="72">
        <f t="shared" si="26"/>
        <v>884.97919999999999</v>
      </c>
      <c r="AM35" s="73">
        <f t="shared" si="27"/>
        <v>2.2727999999988242</v>
      </c>
      <c r="AN35" s="74">
        <f t="shared" si="28"/>
        <v>-0.80955210000007582</v>
      </c>
      <c r="AO35" s="74">
        <f t="shared" si="29"/>
        <v>0.37453759999993963</v>
      </c>
      <c r="AP35" s="75">
        <f t="shared" si="30"/>
        <v>-7.1849498064309187E-4</v>
      </c>
      <c r="AQ35" s="76">
        <f t="shared" si="31"/>
        <v>-251.32691720038545</v>
      </c>
      <c r="AR35" s="77">
        <f t="shared" si="33"/>
        <v>2.2727999999988242</v>
      </c>
    </row>
    <row r="36" spans="1:44" x14ac:dyDescent="0.25">
      <c r="A36" t="str">
        <f t="shared" si="15"/>
        <v>46190M</v>
      </c>
      <c r="B36" s="51">
        <f t="shared" si="32"/>
        <v>46190</v>
      </c>
      <c r="C36" s="52" t="s">
        <v>87</v>
      </c>
      <c r="D36" s="91">
        <v>10624</v>
      </c>
      <c r="E36" s="62">
        <v>4.25</v>
      </c>
      <c r="F36" s="62">
        <v>8.33</v>
      </c>
      <c r="G36" s="62">
        <f t="shared" si="16"/>
        <v>451.52000000000004</v>
      </c>
      <c r="H36" s="63">
        <f t="shared" si="17"/>
        <v>884.97919999999999</v>
      </c>
      <c r="I36" s="203">
        <v>2067.75</v>
      </c>
      <c r="J36" s="204">
        <v>2129.7825000000003</v>
      </c>
      <c r="K36" s="121">
        <v>4.8627130939426921</v>
      </c>
      <c r="L36" s="122">
        <v>8.4278205779228603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8"/>
        <v>2129.7825000000003</v>
      </c>
      <c r="S36" s="62">
        <f t="shared" si="19"/>
        <v>103.56521250000003</v>
      </c>
      <c r="T36" s="63">
        <f t="shared" si="20"/>
        <v>179.49424779999998</v>
      </c>
      <c r="U36" s="64" t="s">
        <v>246</v>
      </c>
      <c r="V36" s="85" t="s">
        <v>640</v>
      </c>
      <c r="W36" s="66" t="s">
        <v>225</v>
      </c>
      <c r="X36" s="67">
        <v>9030</v>
      </c>
      <c r="Y36" s="68">
        <v>4.1500000000000004</v>
      </c>
      <c r="Z36" s="68">
        <v>8.3000000000000007</v>
      </c>
      <c r="AA36" s="62">
        <f t="shared" si="34"/>
        <v>374.745</v>
      </c>
      <c r="AB36" s="62">
        <f t="shared" si="35"/>
        <v>749.49</v>
      </c>
      <c r="AC36" s="226">
        <v>9030</v>
      </c>
      <c r="AD36" s="227">
        <v>4.1500000000000004</v>
      </c>
      <c r="AE36" s="227">
        <v>8.3000000000000007</v>
      </c>
      <c r="AF36" s="62">
        <f t="shared" si="23"/>
        <v>374.745</v>
      </c>
      <c r="AG36" s="63">
        <f t="shared" si="24"/>
        <v>749.49</v>
      </c>
      <c r="AH36" s="66">
        <v>3721</v>
      </c>
      <c r="AI36" s="66">
        <v>4.34</v>
      </c>
      <c r="AJ36" s="66">
        <v>8.34</v>
      </c>
      <c r="AK36" s="62">
        <f t="shared" si="25"/>
        <v>161.4914</v>
      </c>
      <c r="AL36" s="72">
        <f t="shared" si="26"/>
        <v>310.33140000000003</v>
      </c>
      <c r="AM36" s="73">
        <f t="shared" si="27"/>
        <v>2.7825000000011642</v>
      </c>
      <c r="AN36" s="74">
        <f t="shared" si="28"/>
        <v>18.848812500000122</v>
      </c>
      <c r="AO36" s="74">
        <f t="shared" si="29"/>
        <v>4.6520477999999912</v>
      </c>
      <c r="AP36" s="75">
        <f t="shared" si="30"/>
        <v>8.3024465160404015E-2</v>
      </c>
      <c r="AQ36" s="76">
        <f t="shared" si="31"/>
        <v>9853.6542713070539</v>
      </c>
      <c r="AR36" s="77">
        <f t="shared" si="33"/>
        <v>2.7825000000011642</v>
      </c>
    </row>
    <row r="37" spans="1:44" x14ac:dyDescent="0.25">
      <c r="A37" t="str">
        <f t="shared" si="15"/>
        <v>46190E</v>
      </c>
      <c r="B37" s="51">
        <f t="shared" si="32"/>
        <v>46190</v>
      </c>
      <c r="C37" s="52" t="s">
        <v>88</v>
      </c>
      <c r="D37" s="91">
        <v>3721</v>
      </c>
      <c r="E37" s="62">
        <v>4.34</v>
      </c>
      <c r="F37" s="62">
        <v>8.34</v>
      </c>
      <c r="G37" s="62">
        <f t="shared" si="16"/>
        <v>161.4914</v>
      </c>
      <c r="H37" s="63">
        <f t="shared" si="17"/>
        <v>310.33140000000003</v>
      </c>
      <c r="I37" s="203">
        <v>7957.92</v>
      </c>
      <c r="J37" s="204">
        <v>8196.6576000000005</v>
      </c>
      <c r="K37" s="121">
        <v>4.0026729346361876</v>
      </c>
      <c r="L37" s="122">
        <v>8.1868424161087336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8"/>
        <v>8196.6576000000005</v>
      </c>
      <c r="S37" s="62">
        <f t="shared" si="19"/>
        <v>328.08539530000013</v>
      </c>
      <c r="T37" s="63">
        <f t="shared" si="20"/>
        <v>671.04744110000013</v>
      </c>
      <c r="U37" s="64" t="s">
        <v>244</v>
      </c>
      <c r="V37" s="65" t="s">
        <v>641</v>
      </c>
      <c r="W37" s="66" t="s">
        <v>176</v>
      </c>
      <c r="X37" s="67">
        <v>5400</v>
      </c>
      <c r="Y37" s="68">
        <v>4.2</v>
      </c>
      <c r="Z37" s="68">
        <v>8.25</v>
      </c>
      <c r="AA37" s="62">
        <f t="shared" si="34"/>
        <v>226.8</v>
      </c>
      <c r="AB37" s="62">
        <f t="shared" si="35"/>
        <v>445.5</v>
      </c>
      <c r="AC37" s="226">
        <v>5400</v>
      </c>
      <c r="AD37" s="227">
        <v>4.2</v>
      </c>
      <c r="AE37" s="227">
        <v>8.25</v>
      </c>
      <c r="AF37" s="62">
        <f t="shared" ref="AF37:AF50" si="36">AC37*AD37%</f>
        <v>226.8</v>
      </c>
      <c r="AG37" s="63">
        <f t="shared" ref="AG37:AG50" si="37">AC37*AE37%</f>
        <v>445.5</v>
      </c>
      <c r="AH37" s="66">
        <v>6514</v>
      </c>
      <c r="AI37" s="66">
        <v>4.09</v>
      </c>
      <c r="AJ37" s="66">
        <v>8.2200000000000006</v>
      </c>
      <c r="AK37" s="62">
        <f t="shared" si="25"/>
        <v>266.42259999999999</v>
      </c>
      <c r="AL37" s="72">
        <f t="shared" si="26"/>
        <v>535.45080000000007</v>
      </c>
      <c r="AM37" s="73">
        <f t="shared" si="27"/>
        <v>3.6576000000004569</v>
      </c>
      <c r="AN37" s="74">
        <f t="shared" si="28"/>
        <v>-3.6458046999998714</v>
      </c>
      <c r="AO37" s="74">
        <f t="shared" si="29"/>
        <v>0.42804110000008677</v>
      </c>
      <c r="AP37" s="75">
        <f t="shared" si="30"/>
        <v>-3.2205563492375914E-3</v>
      </c>
      <c r="AQ37" s="76">
        <f t="shared" si="31"/>
        <v>-1508.5369010762497</v>
      </c>
      <c r="AR37" s="77">
        <f t="shared" si="33"/>
        <v>3.6576000000004569</v>
      </c>
    </row>
    <row r="38" spans="1:44" x14ac:dyDescent="0.25">
      <c r="A38" t="str">
        <f t="shared" si="15"/>
        <v>46191M</v>
      </c>
      <c r="B38" s="51">
        <f t="shared" si="32"/>
        <v>46191</v>
      </c>
      <c r="C38" s="52" t="s">
        <v>87</v>
      </c>
      <c r="D38" s="91">
        <v>6514</v>
      </c>
      <c r="E38" s="62">
        <v>4.09</v>
      </c>
      <c r="F38" s="62">
        <v>8.2200000000000006</v>
      </c>
      <c r="G38" s="62">
        <f t="shared" si="16"/>
        <v>266.42259999999999</v>
      </c>
      <c r="H38" s="63">
        <f t="shared" si="17"/>
        <v>535.45080000000007</v>
      </c>
      <c r="I38" s="203">
        <v>4664.93</v>
      </c>
      <c r="J38" s="204">
        <v>4804.8779000000004</v>
      </c>
      <c r="K38" s="121">
        <v>4.5447144973236471</v>
      </c>
      <c r="L38" s="122">
        <v>8.2886178356374032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8"/>
        <v>4804.8779000000004</v>
      </c>
      <c r="S38" s="62">
        <f t="shared" si="19"/>
        <v>218.36798250000004</v>
      </c>
      <c r="T38" s="63">
        <f t="shared" si="20"/>
        <v>398.25796659999992</v>
      </c>
      <c r="U38" s="64" t="s">
        <v>167</v>
      </c>
      <c r="V38" s="65" t="s">
        <v>187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34"/>
        <v>0</v>
      </c>
      <c r="AB38" s="62">
        <f t="shared" si="35"/>
        <v>0</v>
      </c>
      <c r="AC38" s="69"/>
      <c r="AD38" s="70"/>
      <c r="AE38" s="70"/>
      <c r="AF38" s="62">
        <f t="shared" si="36"/>
        <v>0</v>
      </c>
      <c r="AG38" s="63">
        <f t="shared" si="37"/>
        <v>0</v>
      </c>
      <c r="AH38" s="66">
        <v>11318</v>
      </c>
      <c r="AI38" s="66">
        <v>4.2699999999999996</v>
      </c>
      <c r="AJ38" s="66">
        <v>8.24</v>
      </c>
      <c r="AK38" s="62">
        <f t="shared" si="25"/>
        <v>483.27859999999993</v>
      </c>
      <c r="AL38" s="72">
        <f t="shared" si="26"/>
        <v>932.60320000000002</v>
      </c>
      <c r="AM38" s="73">
        <f t="shared" si="27"/>
        <v>0.87789999999949941</v>
      </c>
      <c r="AN38" s="74">
        <f t="shared" si="28"/>
        <v>1.5119825000001015</v>
      </c>
      <c r="AO38" s="74">
        <f t="shared" si="29"/>
        <v>1.1055665999999746</v>
      </c>
      <c r="AP38" s="75">
        <f t="shared" si="30"/>
        <v>4.2449545041374518E-3</v>
      </c>
      <c r="AQ38" s="76">
        <f t="shared" si="31"/>
        <v>1009.610665679038</v>
      </c>
      <c r="AR38" s="77">
        <f t="shared" si="33"/>
        <v>0.87789999999949941</v>
      </c>
    </row>
    <row r="39" spans="1:44" x14ac:dyDescent="0.25">
      <c r="A39" t="str">
        <f t="shared" si="15"/>
        <v>46191E</v>
      </c>
      <c r="B39" s="51">
        <f t="shared" si="32"/>
        <v>46191</v>
      </c>
      <c r="C39" s="52" t="s">
        <v>88</v>
      </c>
      <c r="D39" s="91">
        <v>11318</v>
      </c>
      <c r="E39" s="62">
        <v>4.2699999999999996</v>
      </c>
      <c r="F39" s="62">
        <v>8.24</v>
      </c>
      <c r="G39" s="62">
        <f t="shared" si="16"/>
        <v>483.27859999999993</v>
      </c>
      <c r="H39" s="63">
        <f t="shared" si="17"/>
        <v>932.60320000000002</v>
      </c>
      <c r="I39" s="203">
        <v>8235.6999999999989</v>
      </c>
      <c r="J39" s="204">
        <v>8482.7709999999988</v>
      </c>
      <c r="K39" s="121">
        <v>4.192863387447332</v>
      </c>
      <c r="L39" s="122">
        <v>8.2864353971125677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8"/>
        <v>8482.7709999999988</v>
      </c>
      <c r="S39" s="62">
        <f t="shared" si="19"/>
        <v>355.67099949999988</v>
      </c>
      <c r="T39" s="63">
        <f t="shared" si="20"/>
        <v>702.91933879999965</v>
      </c>
      <c r="U39" s="64" t="s">
        <v>251</v>
      </c>
      <c r="V39" s="65" t="s">
        <v>642</v>
      </c>
      <c r="W39" s="66" t="s">
        <v>189</v>
      </c>
      <c r="X39" s="67">
        <v>9520</v>
      </c>
      <c r="Y39" s="68">
        <v>4.3</v>
      </c>
      <c r="Z39" s="68">
        <v>8.27</v>
      </c>
      <c r="AA39" s="62">
        <f t="shared" si="34"/>
        <v>409.35999999999996</v>
      </c>
      <c r="AB39" s="62">
        <f t="shared" si="35"/>
        <v>787.30399999999997</v>
      </c>
      <c r="AC39" s="226">
        <v>9520</v>
      </c>
      <c r="AD39" s="227">
        <v>4.3</v>
      </c>
      <c r="AE39" s="227">
        <v>8.27</v>
      </c>
      <c r="AF39" s="62">
        <f t="shared" si="36"/>
        <v>409.35999999999996</v>
      </c>
      <c r="AG39" s="63">
        <f t="shared" si="37"/>
        <v>787.30399999999997</v>
      </c>
      <c r="AH39" s="66">
        <v>10277</v>
      </c>
      <c r="AI39" s="66">
        <v>4.24</v>
      </c>
      <c r="AJ39" s="66">
        <v>8.2899999999999991</v>
      </c>
      <c r="AK39" s="62">
        <f t="shared" si="25"/>
        <v>435.7448</v>
      </c>
      <c r="AL39" s="72">
        <f t="shared" si="26"/>
        <v>851.96329999999989</v>
      </c>
      <c r="AM39" s="73">
        <f t="shared" si="27"/>
        <v>3.7710000000006403</v>
      </c>
      <c r="AN39" s="74">
        <f t="shared" si="28"/>
        <v>-6.1552005000002055</v>
      </c>
      <c r="AO39" s="74">
        <f t="shared" si="29"/>
        <v>-3.7447612000001982</v>
      </c>
      <c r="AP39" s="75">
        <f t="shared" si="30"/>
        <v>-9.3520234804890141E-3</v>
      </c>
      <c r="AQ39" s="76">
        <f t="shared" si="31"/>
        <v>-3883.8382233164848</v>
      </c>
      <c r="AR39" s="77">
        <f t="shared" si="33"/>
        <v>3.7710000000006403</v>
      </c>
    </row>
    <row r="40" spans="1:44" x14ac:dyDescent="0.25">
      <c r="A40" t="str">
        <f t="shared" si="15"/>
        <v>46192M</v>
      </c>
      <c r="B40" s="51">
        <f t="shared" si="32"/>
        <v>46192</v>
      </c>
      <c r="C40" s="52" t="s">
        <v>87</v>
      </c>
      <c r="D40" s="91"/>
      <c r="E40" s="62"/>
      <c r="F40" s="62"/>
      <c r="G40" s="62">
        <f t="shared" si="16"/>
        <v>0</v>
      </c>
      <c r="H40" s="63">
        <f t="shared" si="17"/>
        <v>0</v>
      </c>
      <c r="I40" s="203"/>
      <c r="J40" s="204"/>
      <c r="K40" s="121"/>
      <c r="L40" s="122"/>
      <c r="M40" s="58"/>
      <c r="N40" s="58"/>
      <c r="O40" s="59"/>
      <c r="P40" s="56"/>
      <c r="Q40" s="60"/>
      <c r="R40" s="61">
        <f t="shared" si="18"/>
        <v>0</v>
      </c>
      <c r="S40" s="62">
        <f t="shared" si="19"/>
        <v>0</v>
      </c>
      <c r="T40" s="63">
        <f t="shared" si="20"/>
        <v>0</v>
      </c>
      <c r="U40" s="64"/>
      <c r="V40" s="65"/>
      <c r="W40" s="66"/>
      <c r="X40" s="67"/>
      <c r="Y40" s="68"/>
      <c r="Z40" s="68"/>
      <c r="AA40" s="62">
        <f t="shared" si="34"/>
        <v>0</v>
      </c>
      <c r="AB40" s="62">
        <f t="shared" si="35"/>
        <v>0</v>
      </c>
      <c r="AC40" s="69"/>
      <c r="AD40" s="70"/>
      <c r="AE40" s="70"/>
      <c r="AF40" s="62">
        <f t="shared" si="36"/>
        <v>0</v>
      </c>
      <c r="AG40" s="63">
        <f t="shared" si="37"/>
        <v>0</v>
      </c>
      <c r="AH40" s="66"/>
      <c r="AI40" s="66"/>
      <c r="AJ40" s="66"/>
      <c r="AK40" s="62">
        <f t="shared" si="25"/>
        <v>0</v>
      </c>
      <c r="AL40" s="72">
        <f t="shared" si="26"/>
        <v>0</v>
      </c>
      <c r="AM40" s="73">
        <f t="shared" si="27"/>
        <v>0</v>
      </c>
      <c r="AN40" s="74">
        <f t="shared" si="28"/>
        <v>0</v>
      </c>
      <c r="AO40" s="74">
        <f t="shared" si="29"/>
        <v>0</v>
      </c>
      <c r="AP40" s="75" t="e">
        <f t="shared" si="30"/>
        <v>#DIV/0!</v>
      </c>
      <c r="AQ40" s="76">
        <f t="shared" si="31"/>
        <v>0</v>
      </c>
      <c r="AR40" s="77">
        <f t="shared" si="33"/>
        <v>0</v>
      </c>
    </row>
    <row r="41" spans="1:44" x14ac:dyDescent="0.25">
      <c r="A41" t="str">
        <f t="shared" si="15"/>
        <v>46192E</v>
      </c>
      <c r="B41" s="51">
        <f t="shared" si="32"/>
        <v>46192</v>
      </c>
      <c r="C41" s="52" t="s">
        <v>88</v>
      </c>
      <c r="D41" s="91"/>
      <c r="E41" s="62"/>
      <c r="F41" s="62"/>
      <c r="G41" s="62">
        <f t="shared" si="16"/>
        <v>0</v>
      </c>
      <c r="H41" s="63">
        <f t="shared" si="17"/>
        <v>0</v>
      </c>
      <c r="I41" s="203"/>
      <c r="J41" s="204"/>
      <c r="K41" s="121"/>
      <c r="L41" s="122"/>
      <c r="M41" s="58"/>
      <c r="N41" s="58"/>
      <c r="O41" s="59"/>
      <c r="P41" s="56"/>
      <c r="Q41" s="60"/>
      <c r="R41" s="61">
        <f t="shared" si="18"/>
        <v>0</v>
      </c>
      <c r="S41" s="62">
        <f t="shared" si="19"/>
        <v>0</v>
      </c>
      <c r="T41" s="63">
        <f t="shared" si="20"/>
        <v>0</v>
      </c>
      <c r="U41" s="64"/>
      <c r="V41" s="65"/>
      <c r="W41" s="66"/>
      <c r="X41" s="67"/>
      <c r="Y41" s="68"/>
      <c r="Z41" s="68"/>
      <c r="AA41" s="62">
        <f t="shared" si="34"/>
        <v>0</v>
      </c>
      <c r="AB41" s="62">
        <f t="shared" si="35"/>
        <v>0</v>
      </c>
      <c r="AC41" s="69"/>
      <c r="AD41" s="70"/>
      <c r="AE41" s="70"/>
      <c r="AF41" s="62">
        <f t="shared" si="36"/>
        <v>0</v>
      </c>
      <c r="AG41" s="63">
        <f t="shared" si="37"/>
        <v>0</v>
      </c>
      <c r="AH41" s="66"/>
      <c r="AI41" s="66"/>
      <c r="AJ41" s="66"/>
      <c r="AK41" s="62">
        <f t="shared" si="25"/>
        <v>0</v>
      </c>
      <c r="AL41" s="72">
        <f t="shared" si="26"/>
        <v>0</v>
      </c>
      <c r="AM41" s="73">
        <f t="shared" si="27"/>
        <v>0</v>
      </c>
      <c r="AN41" s="74">
        <f t="shared" si="28"/>
        <v>0</v>
      </c>
      <c r="AO41" s="74">
        <f t="shared" si="29"/>
        <v>0</v>
      </c>
      <c r="AP41" s="75" t="e">
        <f t="shared" si="30"/>
        <v>#DIV/0!</v>
      </c>
      <c r="AQ41" s="76">
        <f t="shared" si="31"/>
        <v>0</v>
      </c>
      <c r="AR41" s="77">
        <f t="shared" si="33"/>
        <v>0</v>
      </c>
    </row>
    <row r="42" spans="1:44" x14ac:dyDescent="0.25">
      <c r="A42" t="str">
        <f t="shared" si="15"/>
        <v>46193M</v>
      </c>
      <c r="B42" s="51">
        <f t="shared" si="32"/>
        <v>46193</v>
      </c>
      <c r="C42" s="52" t="s">
        <v>87</v>
      </c>
      <c r="D42" s="91"/>
      <c r="E42" s="62"/>
      <c r="F42" s="62"/>
      <c r="G42" s="62">
        <f t="shared" si="16"/>
        <v>0</v>
      </c>
      <c r="H42" s="63">
        <f t="shared" si="17"/>
        <v>0</v>
      </c>
      <c r="I42" s="203"/>
      <c r="J42" s="204"/>
      <c r="K42" s="121"/>
      <c r="L42" s="122"/>
      <c r="M42" s="58"/>
      <c r="N42" s="58"/>
      <c r="O42" s="59"/>
      <c r="P42" s="56"/>
      <c r="Q42" s="60"/>
      <c r="R42" s="61">
        <f t="shared" si="18"/>
        <v>0</v>
      </c>
      <c r="S42" s="62">
        <f t="shared" si="19"/>
        <v>0</v>
      </c>
      <c r="T42" s="63">
        <f t="shared" si="20"/>
        <v>0</v>
      </c>
      <c r="U42" s="64"/>
      <c r="V42" s="65"/>
      <c r="W42" s="66"/>
      <c r="X42" s="67"/>
      <c r="Y42" s="68"/>
      <c r="Z42" s="68"/>
      <c r="AA42" s="62">
        <f t="shared" si="34"/>
        <v>0</v>
      </c>
      <c r="AB42" s="62">
        <f t="shared" si="35"/>
        <v>0</v>
      </c>
      <c r="AC42" s="69"/>
      <c r="AD42" s="70"/>
      <c r="AE42" s="70"/>
      <c r="AF42" s="62">
        <f t="shared" si="36"/>
        <v>0</v>
      </c>
      <c r="AG42" s="63">
        <f>AC42*AE42%</f>
        <v>0</v>
      </c>
      <c r="AH42" s="66"/>
      <c r="AI42" s="66"/>
      <c r="AJ42" s="66"/>
      <c r="AK42" s="62">
        <f t="shared" si="25"/>
        <v>0</v>
      </c>
      <c r="AL42" s="72">
        <f t="shared" si="26"/>
        <v>0</v>
      </c>
      <c r="AM42" s="73">
        <f t="shared" si="27"/>
        <v>0</v>
      </c>
      <c r="AN42" s="74">
        <f t="shared" si="28"/>
        <v>0</v>
      </c>
      <c r="AO42" s="74">
        <f t="shared" si="29"/>
        <v>0</v>
      </c>
      <c r="AP42" s="75" t="e">
        <f t="shared" si="30"/>
        <v>#DIV/0!</v>
      </c>
      <c r="AQ42" s="76">
        <f t="shared" si="31"/>
        <v>0</v>
      </c>
      <c r="AR42" s="77">
        <f t="shared" si="33"/>
        <v>0</v>
      </c>
    </row>
    <row r="43" spans="1:44" x14ac:dyDescent="0.25">
      <c r="A43" t="str">
        <f t="shared" si="15"/>
        <v>46193E</v>
      </c>
      <c r="B43" s="51">
        <f t="shared" si="32"/>
        <v>46193</v>
      </c>
      <c r="C43" s="52" t="s">
        <v>88</v>
      </c>
      <c r="D43" s="91"/>
      <c r="E43" s="62"/>
      <c r="F43" s="62"/>
      <c r="G43" s="62">
        <f t="shared" si="16"/>
        <v>0</v>
      </c>
      <c r="H43" s="63">
        <f t="shared" si="17"/>
        <v>0</v>
      </c>
      <c r="I43" s="203"/>
      <c r="J43" s="204"/>
      <c r="K43" s="121"/>
      <c r="L43" s="122"/>
      <c r="M43" s="58"/>
      <c r="N43" s="58"/>
      <c r="O43" s="59"/>
      <c r="P43" s="56"/>
      <c r="Q43" s="60"/>
      <c r="R43" s="61">
        <f t="shared" si="18"/>
        <v>0</v>
      </c>
      <c r="S43" s="62">
        <f t="shared" si="19"/>
        <v>0</v>
      </c>
      <c r="T43" s="63">
        <f t="shared" si="20"/>
        <v>0</v>
      </c>
      <c r="U43" s="64"/>
      <c r="V43" s="65"/>
      <c r="W43" s="66"/>
      <c r="X43" s="67"/>
      <c r="Y43" s="68"/>
      <c r="Z43" s="68"/>
      <c r="AA43" s="62">
        <f t="shared" si="34"/>
        <v>0</v>
      </c>
      <c r="AB43" s="62">
        <f t="shared" si="35"/>
        <v>0</v>
      </c>
      <c r="AC43" s="69"/>
      <c r="AD43" s="70"/>
      <c r="AE43" s="70"/>
      <c r="AF43" s="62">
        <f t="shared" si="36"/>
        <v>0</v>
      </c>
      <c r="AG43" s="63">
        <f t="shared" si="37"/>
        <v>0</v>
      </c>
      <c r="AH43" s="66"/>
      <c r="AI43" s="66"/>
      <c r="AJ43" s="66"/>
      <c r="AK43" s="62">
        <f t="shared" si="25"/>
        <v>0</v>
      </c>
      <c r="AL43" s="72">
        <f t="shared" si="26"/>
        <v>0</v>
      </c>
      <c r="AM43" s="73">
        <f t="shared" si="27"/>
        <v>0</v>
      </c>
      <c r="AN43" s="74">
        <f t="shared" si="28"/>
        <v>0</v>
      </c>
      <c r="AO43" s="74">
        <f t="shared" si="29"/>
        <v>0</v>
      </c>
      <c r="AP43" s="75" t="e">
        <f t="shared" si="30"/>
        <v>#DIV/0!</v>
      </c>
      <c r="AQ43" s="76">
        <f t="shared" si="31"/>
        <v>0</v>
      </c>
      <c r="AR43" s="77">
        <f t="shared" si="33"/>
        <v>0</v>
      </c>
    </row>
    <row r="44" spans="1:44" x14ac:dyDescent="0.25">
      <c r="A44" t="str">
        <f t="shared" si="15"/>
        <v>46194M</v>
      </c>
      <c r="B44" s="51">
        <f t="shared" si="32"/>
        <v>46194</v>
      </c>
      <c r="C44" s="52" t="s">
        <v>87</v>
      </c>
      <c r="D44" s="91"/>
      <c r="E44" s="62"/>
      <c r="F44" s="62"/>
      <c r="G44" s="62">
        <f t="shared" si="16"/>
        <v>0</v>
      </c>
      <c r="H44" s="63">
        <f t="shared" si="17"/>
        <v>0</v>
      </c>
      <c r="I44" s="203"/>
      <c r="J44" s="204"/>
      <c r="K44" s="121"/>
      <c r="L44" s="122"/>
      <c r="M44" s="58"/>
      <c r="N44" s="58"/>
      <c r="O44" s="59"/>
      <c r="P44" s="56"/>
      <c r="Q44" s="60"/>
      <c r="R44" s="61">
        <f t="shared" si="18"/>
        <v>0</v>
      </c>
      <c r="S44" s="62">
        <f t="shared" si="19"/>
        <v>0</v>
      </c>
      <c r="T44" s="63">
        <f t="shared" si="20"/>
        <v>0</v>
      </c>
      <c r="U44" s="64"/>
      <c r="V44" s="65"/>
      <c r="W44" s="66"/>
      <c r="X44" s="67"/>
      <c r="Y44" s="68"/>
      <c r="Z44" s="68"/>
      <c r="AA44" s="62">
        <f t="shared" si="34"/>
        <v>0</v>
      </c>
      <c r="AB44" s="62">
        <f t="shared" si="35"/>
        <v>0</v>
      </c>
      <c r="AC44" s="69"/>
      <c r="AD44" s="70"/>
      <c r="AE44" s="70"/>
      <c r="AF44" s="62">
        <f t="shared" si="36"/>
        <v>0</v>
      </c>
      <c r="AG44" s="63">
        <f t="shared" si="37"/>
        <v>0</v>
      </c>
      <c r="AH44" s="66"/>
      <c r="AI44" s="66"/>
      <c r="AJ44" s="66"/>
      <c r="AK44" s="62">
        <f t="shared" si="25"/>
        <v>0</v>
      </c>
      <c r="AL44" s="72">
        <f t="shared" si="26"/>
        <v>0</v>
      </c>
      <c r="AM44" s="73">
        <f t="shared" si="27"/>
        <v>0</v>
      </c>
      <c r="AN44" s="74">
        <f t="shared" si="28"/>
        <v>0</v>
      </c>
      <c r="AO44" s="74">
        <f t="shared" si="29"/>
        <v>0</v>
      </c>
      <c r="AP44" s="75" t="e">
        <f t="shared" si="30"/>
        <v>#DIV/0!</v>
      </c>
      <c r="AQ44" s="76">
        <f t="shared" si="31"/>
        <v>0</v>
      </c>
      <c r="AR44" s="77">
        <f t="shared" si="33"/>
        <v>0</v>
      </c>
    </row>
    <row r="45" spans="1:44" x14ac:dyDescent="0.25">
      <c r="A45" t="str">
        <f t="shared" si="15"/>
        <v>46194E</v>
      </c>
      <c r="B45" s="51">
        <f t="shared" si="32"/>
        <v>46194</v>
      </c>
      <c r="C45" s="52" t="s">
        <v>88</v>
      </c>
      <c r="D45" s="91"/>
      <c r="E45" s="62"/>
      <c r="F45" s="62"/>
      <c r="G45" s="62">
        <f t="shared" si="16"/>
        <v>0</v>
      </c>
      <c r="H45" s="63">
        <f t="shared" si="17"/>
        <v>0</v>
      </c>
      <c r="I45" s="203"/>
      <c r="J45" s="204"/>
      <c r="K45" s="121"/>
      <c r="L45" s="122"/>
      <c r="M45" s="58"/>
      <c r="N45" s="58"/>
      <c r="O45" s="59"/>
      <c r="P45" s="56"/>
      <c r="Q45" s="60"/>
      <c r="R45" s="61">
        <f t="shared" si="18"/>
        <v>0</v>
      </c>
      <c r="S45" s="62">
        <f t="shared" si="19"/>
        <v>0</v>
      </c>
      <c r="T45" s="63">
        <f t="shared" si="20"/>
        <v>0</v>
      </c>
      <c r="U45" s="64"/>
      <c r="V45" s="65"/>
      <c r="W45" s="66"/>
      <c r="X45" s="67"/>
      <c r="Y45" s="68"/>
      <c r="Z45" s="68"/>
      <c r="AA45" s="62">
        <f t="shared" si="34"/>
        <v>0</v>
      </c>
      <c r="AB45" s="62">
        <f t="shared" si="35"/>
        <v>0</v>
      </c>
      <c r="AC45" s="69"/>
      <c r="AD45" s="70"/>
      <c r="AE45" s="70"/>
      <c r="AF45" s="62">
        <f t="shared" si="36"/>
        <v>0</v>
      </c>
      <c r="AG45" s="63">
        <f t="shared" si="37"/>
        <v>0</v>
      </c>
      <c r="AH45" s="66"/>
      <c r="AI45" s="66"/>
      <c r="AJ45" s="66"/>
      <c r="AK45" s="62">
        <f t="shared" si="25"/>
        <v>0</v>
      </c>
      <c r="AL45" s="72">
        <f t="shared" si="26"/>
        <v>0</v>
      </c>
      <c r="AM45" s="73">
        <f t="shared" si="27"/>
        <v>0</v>
      </c>
      <c r="AN45" s="74">
        <f t="shared" si="28"/>
        <v>0</v>
      </c>
      <c r="AO45" s="74">
        <f t="shared" si="29"/>
        <v>0</v>
      </c>
      <c r="AP45" s="75" t="e">
        <f t="shared" si="30"/>
        <v>#DIV/0!</v>
      </c>
      <c r="AQ45" s="76">
        <f t="shared" si="31"/>
        <v>0</v>
      </c>
      <c r="AR45" s="77">
        <f t="shared" si="33"/>
        <v>0</v>
      </c>
    </row>
    <row r="46" spans="1:44" x14ac:dyDescent="0.25">
      <c r="A46" t="str">
        <f t="shared" si="15"/>
        <v>46195M</v>
      </c>
      <c r="B46" s="51">
        <f t="shared" si="32"/>
        <v>46195</v>
      </c>
      <c r="C46" s="52" t="s">
        <v>87</v>
      </c>
      <c r="D46" s="91"/>
      <c r="E46" s="62"/>
      <c r="F46" s="62"/>
      <c r="G46" s="62">
        <f t="shared" si="16"/>
        <v>0</v>
      </c>
      <c r="H46" s="63">
        <f t="shared" si="17"/>
        <v>0</v>
      </c>
      <c r="I46" s="203"/>
      <c r="J46" s="204"/>
      <c r="K46" s="121"/>
      <c r="L46" s="122"/>
      <c r="M46" s="58"/>
      <c r="N46" s="58"/>
      <c r="O46" s="59"/>
      <c r="P46" s="56"/>
      <c r="Q46" s="60"/>
      <c r="R46" s="61">
        <f t="shared" si="18"/>
        <v>0</v>
      </c>
      <c r="S46" s="62">
        <f t="shared" si="19"/>
        <v>0</v>
      </c>
      <c r="T46" s="63">
        <f t="shared" si="20"/>
        <v>0</v>
      </c>
      <c r="U46" s="64"/>
      <c r="V46" s="65"/>
      <c r="W46" s="66"/>
      <c r="X46" s="67"/>
      <c r="Y46" s="68"/>
      <c r="Z46" s="68"/>
      <c r="AA46" s="62">
        <f t="shared" si="34"/>
        <v>0</v>
      </c>
      <c r="AB46" s="62">
        <f t="shared" si="35"/>
        <v>0</v>
      </c>
      <c r="AC46" s="69"/>
      <c r="AD46" s="70"/>
      <c r="AE46" s="70"/>
      <c r="AF46" s="62">
        <f t="shared" si="36"/>
        <v>0</v>
      </c>
      <c r="AG46" s="63">
        <f t="shared" si="37"/>
        <v>0</v>
      </c>
      <c r="AH46" s="66"/>
      <c r="AI46" s="66"/>
      <c r="AJ46" s="66"/>
      <c r="AK46" s="62">
        <f t="shared" si="25"/>
        <v>0</v>
      </c>
      <c r="AL46" s="72">
        <f t="shared" si="26"/>
        <v>0</v>
      </c>
      <c r="AM46" s="73">
        <f t="shared" si="27"/>
        <v>0</v>
      </c>
      <c r="AN46" s="74">
        <f t="shared" si="28"/>
        <v>0</v>
      </c>
      <c r="AO46" s="74">
        <f t="shared" si="29"/>
        <v>0</v>
      </c>
      <c r="AP46" s="75" t="e">
        <f t="shared" si="30"/>
        <v>#DIV/0!</v>
      </c>
      <c r="AQ46" s="76">
        <f t="shared" si="31"/>
        <v>0</v>
      </c>
      <c r="AR46" s="77">
        <f t="shared" si="33"/>
        <v>0</v>
      </c>
    </row>
    <row r="47" spans="1:44" x14ac:dyDescent="0.25">
      <c r="A47" t="str">
        <f t="shared" si="15"/>
        <v>46195E</v>
      </c>
      <c r="B47" s="51">
        <f t="shared" si="32"/>
        <v>46195</v>
      </c>
      <c r="C47" s="52" t="s">
        <v>88</v>
      </c>
      <c r="D47" s="91"/>
      <c r="E47" s="62"/>
      <c r="F47" s="62"/>
      <c r="G47" s="62">
        <f t="shared" si="16"/>
        <v>0</v>
      </c>
      <c r="H47" s="63">
        <f t="shared" si="17"/>
        <v>0</v>
      </c>
      <c r="I47" s="203"/>
      <c r="J47" s="204"/>
      <c r="K47" s="121"/>
      <c r="L47" s="122"/>
      <c r="M47" s="58"/>
      <c r="N47" s="58"/>
      <c r="O47" s="59"/>
      <c r="P47" s="56"/>
      <c r="Q47" s="60"/>
      <c r="R47" s="61">
        <f t="shared" si="18"/>
        <v>0</v>
      </c>
      <c r="S47" s="62">
        <f t="shared" si="19"/>
        <v>0</v>
      </c>
      <c r="T47" s="63">
        <f t="shared" si="20"/>
        <v>0</v>
      </c>
      <c r="U47" s="64"/>
      <c r="V47" s="65"/>
      <c r="W47" s="66"/>
      <c r="X47" s="67"/>
      <c r="Y47" s="68"/>
      <c r="Z47" s="68"/>
      <c r="AA47" s="62">
        <f t="shared" si="34"/>
        <v>0</v>
      </c>
      <c r="AB47" s="62">
        <f t="shared" si="35"/>
        <v>0</v>
      </c>
      <c r="AC47" s="69"/>
      <c r="AD47" s="70"/>
      <c r="AE47" s="70"/>
      <c r="AF47" s="62">
        <f t="shared" si="36"/>
        <v>0</v>
      </c>
      <c r="AG47" s="63">
        <f t="shared" si="37"/>
        <v>0</v>
      </c>
      <c r="AH47" s="66"/>
      <c r="AI47" s="66"/>
      <c r="AJ47" s="66"/>
      <c r="AK47" s="62">
        <f t="shared" si="25"/>
        <v>0</v>
      </c>
      <c r="AL47" s="72">
        <f t="shared" si="26"/>
        <v>0</v>
      </c>
      <c r="AM47" s="73">
        <f t="shared" si="27"/>
        <v>0</v>
      </c>
      <c r="AN47" s="74">
        <f t="shared" si="28"/>
        <v>0</v>
      </c>
      <c r="AO47" s="74">
        <f t="shared" si="29"/>
        <v>0</v>
      </c>
      <c r="AP47" s="75" t="e">
        <f t="shared" si="30"/>
        <v>#DIV/0!</v>
      </c>
      <c r="AQ47" s="76">
        <f t="shared" si="31"/>
        <v>0</v>
      </c>
      <c r="AR47" s="77">
        <f t="shared" si="33"/>
        <v>0</v>
      </c>
    </row>
    <row r="48" spans="1:44" x14ac:dyDescent="0.25">
      <c r="A48" t="str">
        <f t="shared" si="15"/>
        <v>46196M</v>
      </c>
      <c r="B48" s="51">
        <f t="shared" si="32"/>
        <v>46196</v>
      </c>
      <c r="C48" s="52" t="s">
        <v>87</v>
      </c>
      <c r="D48" s="91"/>
      <c r="E48" s="62"/>
      <c r="F48" s="62"/>
      <c r="G48" s="62">
        <f t="shared" si="16"/>
        <v>0</v>
      </c>
      <c r="H48" s="63">
        <f t="shared" si="17"/>
        <v>0</v>
      </c>
      <c r="I48" s="203"/>
      <c r="J48" s="204"/>
      <c r="K48" s="121"/>
      <c r="L48" s="122"/>
      <c r="M48" s="58"/>
      <c r="N48" s="58"/>
      <c r="O48" s="59"/>
      <c r="P48" s="56"/>
      <c r="Q48" s="60"/>
      <c r="R48" s="61">
        <f t="shared" si="18"/>
        <v>0</v>
      </c>
      <c r="S48" s="62">
        <f t="shared" si="19"/>
        <v>0</v>
      </c>
      <c r="T48" s="63">
        <f t="shared" si="20"/>
        <v>0</v>
      </c>
      <c r="U48" s="64"/>
      <c r="V48" s="65"/>
      <c r="W48" s="66"/>
      <c r="X48" s="67"/>
      <c r="Y48" s="68"/>
      <c r="Z48" s="68"/>
      <c r="AA48" s="62">
        <f t="shared" si="34"/>
        <v>0</v>
      </c>
      <c r="AB48" s="62">
        <f t="shared" si="35"/>
        <v>0</v>
      </c>
      <c r="AC48" s="69"/>
      <c r="AD48" s="70"/>
      <c r="AE48" s="70"/>
      <c r="AF48" s="62">
        <f t="shared" si="36"/>
        <v>0</v>
      </c>
      <c r="AG48" s="63">
        <f t="shared" si="37"/>
        <v>0</v>
      </c>
      <c r="AH48" s="66"/>
      <c r="AI48" s="66"/>
      <c r="AJ48" s="66"/>
      <c r="AK48" s="62">
        <f t="shared" si="25"/>
        <v>0</v>
      </c>
      <c r="AL48" s="72">
        <f t="shared" si="26"/>
        <v>0</v>
      </c>
      <c r="AM48" s="73">
        <f t="shared" si="27"/>
        <v>0</v>
      </c>
      <c r="AN48" s="74">
        <f t="shared" si="28"/>
        <v>0</v>
      </c>
      <c r="AO48" s="74">
        <f t="shared" si="29"/>
        <v>0</v>
      </c>
      <c r="AP48" s="75" t="e">
        <f t="shared" si="30"/>
        <v>#DIV/0!</v>
      </c>
      <c r="AQ48" s="76">
        <f t="shared" si="31"/>
        <v>0</v>
      </c>
      <c r="AR48" s="77">
        <f t="shared" si="33"/>
        <v>0</v>
      </c>
    </row>
    <row r="49" spans="1:44" x14ac:dyDescent="0.25">
      <c r="A49" t="str">
        <f t="shared" si="15"/>
        <v>46196E</v>
      </c>
      <c r="B49" s="51">
        <f t="shared" si="32"/>
        <v>46196</v>
      </c>
      <c r="C49" s="52" t="s">
        <v>88</v>
      </c>
      <c r="D49" s="91"/>
      <c r="E49" s="62"/>
      <c r="F49" s="62"/>
      <c r="G49" s="62">
        <f t="shared" si="16"/>
        <v>0</v>
      </c>
      <c r="H49" s="63">
        <f t="shared" si="17"/>
        <v>0</v>
      </c>
      <c r="I49" s="203"/>
      <c r="J49" s="204"/>
      <c r="K49" s="121"/>
      <c r="L49" s="122"/>
      <c r="M49" s="58"/>
      <c r="N49" s="58"/>
      <c r="O49" s="59"/>
      <c r="P49" s="56"/>
      <c r="Q49" s="60"/>
      <c r="R49" s="61">
        <f t="shared" si="18"/>
        <v>0</v>
      </c>
      <c r="S49" s="62">
        <f t="shared" si="19"/>
        <v>0</v>
      </c>
      <c r="T49" s="63">
        <f t="shared" si="20"/>
        <v>0</v>
      </c>
      <c r="U49" s="64"/>
      <c r="V49" s="65"/>
      <c r="W49" s="66"/>
      <c r="X49" s="67"/>
      <c r="Y49" s="68"/>
      <c r="Z49" s="68"/>
      <c r="AA49" s="62">
        <f t="shared" si="34"/>
        <v>0</v>
      </c>
      <c r="AB49" s="62">
        <f t="shared" si="35"/>
        <v>0</v>
      </c>
      <c r="AC49" s="69"/>
      <c r="AD49" s="70"/>
      <c r="AE49" s="70"/>
      <c r="AF49" s="62">
        <f t="shared" si="36"/>
        <v>0</v>
      </c>
      <c r="AG49" s="63">
        <f t="shared" si="37"/>
        <v>0</v>
      </c>
      <c r="AH49" s="66"/>
      <c r="AI49" s="66"/>
      <c r="AJ49" s="66"/>
      <c r="AK49" s="62">
        <f t="shared" si="25"/>
        <v>0</v>
      </c>
      <c r="AL49" s="72">
        <f t="shared" si="26"/>
        <v>0</v>
      </c>
      <c r="AM49" s="73">
        <f t="shared" si="27"/>
        <v>0</v>
      </c>
      <c r="AN49" s="74">
        <f t="shared" si="28"/>
        <v>0</v>
      </c>
      <c r="AO49" s="74">
        <f t="shared" si="29"/>
        <v>0</v>
      </c>
      <c r="AP49" s="75" t="e">
        <f t="shared" si="30"/>
        <v>#DIV/0!</v>
      </c>
      <c r="AQ49" s="76">
        <f t="shared" si="31"/>
        <v>0</v>
      </c>
      <c r="AR49" s="77">
        <f t="shared" si="33"/>
        <v>0</v>
      </c>
    </row>
    <row r="50" spans="1:44" x14ac:dyDescent="0.25">
      <c r="A50" t="str">
        <f t="shared" si="15"/>
        <v>46197M</v>
      </c>
      <c r="B50" s="51">
        <f t="shared" si="32"/>
        <v>46197</v>
      </c>
      <c r="C50" s="52" t="s">
        <v>87</v>
      </c>
      <c r="D50" s="91"/>
      <c r="E50" s="62"/>
      <c r="F50" s="62"/>
      <c r="G50" s="62">
        <f t="shared" si="16"/>
        <v>0</v>
      </c>
      <c r="H50" s="63">
        <f t="shared" si="17"/>
        <v>0</v>
      </c>
      <c r="I50" s="203"/>
      <c r="J50" s="204"/>
      <c r="K50" s="121"/>
      <c r="L50" s="122"/>
      <c r="M50" s="58"/>
      <c r="N50" s="58"/>
      <c r="O50" s="59"/>
      <c r="P50" s="56"/>
      <c r="Q50" s="60"/>
      <c r="R50" s="61">
        <f t="shared" si="18"/>
        <v>0</v>
      </c>
      <c r="S50" s="62">
        <f t="shared" si="19"/>
        <v>0</v>
      </c>
      <c r="T50" s="63">
        <f t="shared" si="20"/>
        <v>0</v>
      </c>
      <c r="U50" s="64"/>
      <c r="V50" s="65"/>
      <c r="W50" s="66"/>
      <c r="X50" s="67"/>
      <c r="Y50" s="68"/>
      <c r="Z50" s="68"/>
      <c r="AA50" s="62">
        <f t="shared" si="34"/>
        <v>0</v>
      </c>
      <c r="AB50" s="62">
        <f t="shared" si="35"/>
        <v>0</v>
      </c>
      <c r="AC50" s="69"/>
      <c r="AD50" s="70"/>
      <c r="AE50" s="70"/>
      <c r="AF50" s="62">
        <f t="shared" si="36"/>
        <v>0</v>
      </c>
      <c r="AG50" s="63">
        <f t="shared" si="37"/>
        <v>0</v>
      </c>
      <c r="AH50" s="66"/>
      <c r="AI50" s="66"/>
      <c r="AJ50" s="66"/>
      <c r="AK50" s="62">
        <f t="shared" si="25"/>
        <v>0</v>
      </c>
      <c r="AL50" s="72">
        <f t="shared" si="26"/>
        <v>0</v>
      </c>
      <c r="AM50" s="73">
        <f t="shared" si="27"/>
        <v>0</v>
      </c>
      <c r="AN50" s="74">
        <f t="shared" si="28"/>
        <v>0</v>
      </c>
      <c r="AO50" s="74">
        <f t="shared" si="29"/>
        <v>0</v>
      </c>
      <c r="AP50" s="75" t="e">
        <f t="shared" si="30"/>
        <v>#DIV/0!</v>
      </c>
      <c r="AQ50" s="76">
        <f t="shared" si="31"/>
        <v>0</v>
      </c>
      <c r="AR50" s="77">
        <f t="shared" si="33"/>
        <v>0</v>
      </c>
    </row>
    <row r="51" spans="1:44" x14ac:dyDescent="0.25">
      <c r="A51" t="str">
        <f t="shared" si="15"/>
        <v>46197E</v>
      </c>
      <c r="B51" s="51">
        <f t="shared" si="32"/>
        <v>46197</v>
      </c>
      <c r="C51" s="52" t="s">
        <v>88</v>
      </c>
      <c r="D51" s="91"/>
      <c r="E51" s="62"/>
      <c r="F51" s="62"/>
      <c r="G51" s="62">
        <f t="shared" si="16"/>
        <v>0</v>
      </c>
      <c r="H51" s="63">
        <f t="shared" si="17"/>
        <v>0</v>
      </c>
      <c r="I51" s="203"/>
      <c r="J51" s="204"/>
      <c r="K51" s="121"/>
      <c r="L51" s="122"/>
      <c r="M51" s="58"/>
      <c r="N51" s="58"/>
      <c r="O51" s="59"/>
      <c r="P51" s="56"/>
      <c r="Q51" s="60"/>
      <c r="R51" s="61">
        <f t="shared" si="18"/>
        <v>0</v>
      </c>
      <c r="S51" s="62">
        <f t="shared" si="19"/>
        <v>0</v>
      </c>
      <c r="T51" s="63">
        <f t="shared" si="20"/>
        <v>0</v>
      </c>
      <c r="U51" s="64"/>
      <c r="V51" s="85"/>
      <c r="W51" s="66"/>
      <c r="X51" s="67"/>
      <c r="Y51" s="68"/>
      <c r="Z51" s="68"/>
      <c r="AA51" s="62">
        <f t="shared" si="34"/>
        <v>0</v>
      </c>
      <c r="AB51" s="62">
        <f t="shared" si="35"/>
        <v>0</v>
      </c>
      <c r="AC51" s="69"/>
      <c r="AD51" s="70"/>
      <c r="AE51" s="70"/>
      <c r="AF51" s="62">
        <f t="shared" ref="AF51:AF63" si="38">AC51*AD51%</f>
        <v>0</v>
      </c>
      <c r="AG51" s="63">
        <f t="shared" ref="AG51:AG63" si="39">AC51*AE51%</f>
        <v>0</v>
      </c>
      <c r="AH51" s="66"/>
      <c r="AI51" s="66"/>
      <c r="AJ51" s="66"/>
      <c r="AK51" s="62">
        <f t="shared" si="25"/>
        <v>0</v>
      </c>
      <c r="AL51" s="72">
        <f t="shared" si="26"/>
        <v>0</v>
      </c>
      <c r="AM51" s="73">
        <f t="shared" si="27"/>
        <v>0</v>
      </c>
      <c r="AN51" s="74">
        <f t="shared" si="28"/>
        <v>0</v>
      </c>
      <c r="AO51" s="74">
        <f t="shared" si="29"/>
        <v>0</v>
      </c>
      <c r="AP51" s="75" t="e">
        <f t="shared" si="30"/>
        <v>#DIV/0!</v>
      </c>
      <c r="AQ51" s="76">
        <f t="shared" si="31"/>
        <v>0</v>
      </c>
      <c r="AR51" s="77">
        <f t="shared" si="33"/>
        <v>0</v>
      </c>
    </row>
    <row r="52" spans="1:44" x14ac:dyDescent="0.25">
      <c r="A52" t="str">
        <f t="shared" si="15"/>
        <v>46198M</v>
      </c>
      <c r="B52" s="51">
        <f t="shared" si="32"/>
        <v>46198</v>
      </c>
      <c r="C52" s="52" t="s">
        <v>87</v>
      </c>
      <c r="D52" s="91"/>
      <c r="E52" s="62"/>
      <c r="F52" s="62"/>
      <c r="G52" s="62">
        <f t="shared" si="16"/>
        <v>0</v>
      </c>
      <c r="H52" s="63">
        <f t="shared" si="17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8"/>
        <v>0</v>
      </c>
      <c r="S52" s="62">
        <f t="shared" si="19"/>
        <v>0</v>
      </c>
      <c r="T52" s="63">
        <f t="shared" si="20"/>
        <v>0</v>
      </c>
      <c r="U52" s="64"/>
      <c r="V52" s="65"/>
      <c r="W52" s="66"/>
      <c r="X52" s="67"/>
      <c r="Y52" s="68"/>
      <c r="Z52" s="68"/>
      <c r="AA52" s="62">
        <f t="shared" si="34"/>
        <v>0</v>
      </c>
      <c r="AB52" s="62">
        <f t="shared" si="35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66"/>
      <c r="AI52" s="66"/>
      <c r="AJ52" s="66"/>
      <c r="AK52" s="62">
        <f t="shared" si="25"/>
        <v>0</v>
      </c>
      <c r="AL52" s="72">
        <f t="shared" si="26"/>
        <v>0</v>
      </c>
      <c r="AM52" s="73">
        <f t="shared" si="27"/>
        <v>0</v>
      </c>
      <c r="AN52" s="74">
        <f t="shared" si="28"/>
        <v>0</v>
      </c>
      <c r="AO52" s="74">
        <f t="shared" si="29"/>
        <v>0</v>
      </c>
      <c r="AP52" s="75" t="e">
        <f t="shared" si="30"/>
        <v>#DIV/0!</v>
      </c>
      <c r="AQ52" s="76">
        <f t="shared" si="31"/>
        <v>0</v>
      </c>
      <c r="AR52" s="77">
        <f t="shared" si="33"/>
        <v>0</v>
      </c>
    </row>
    <row r="53" spans="1:44" x14ac:dyDescent="0.25">
      <c r="A53" t="str">
        <f t="shared" si="15"/>
        <v>46198E</v>
      </c>
      <c r="B53" s="51">
        <f t="shared" si="32"/>
        <v>46198</v>
      </c>
      <c r="C53" s="52" t="s">
        <v>88</v>
      </c>
      <c r="D53" s="91"/>
      <c r="E53" s="62"/>
      <c r="F53" s="62"/>
      <c r="G53" s="62">
        <f t="shared" si="16"/>
        <v>0</v>
      </c>
      <c r="H53" s="63">
        <f t="shared" si="17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8"/>
        <v>0</v>
      </c>
      <c r="S53" s="62">
        <f t="shared" si="19"/>
        <v>0</v>
      </c>
      <c r="T53" s="63">
        <f t="shared" si="20"/>
        <v>0</v>
      </c>
      <c r="U53" s="64"/>
      <c r="V53" s="65"/>
      <c r="W53" s="66"/>
      <c r="X53" s="67"/>
      <c r="Y53" s="68"/>
      <c r="Z53" s="68"/>
      <c r="AA53" s="62">
        <f t="shared" si="34"/>
        <v>0</v>
      </c>
      <c r="AB53" s="62">
        <f t="shared" si="35"/>
        <v>0</v>
      </c>
      <c r="AC53" s="69"/>
      <c r="AD53" s="70"/>
      <c r="AE53" s="70"/>
      <c r="AF53" s="62">
        <f t="shared" si="38"/>
        <v>0</v>
      </c>
      <c r="AG53" s="63">
        <f t="shared" si="39"/>
        <v>0</v>
      </c>
      <c r="AH53" s="66"/>
      <c r="AI53" s="66"/>
      <c r="AJ53" s="66"/>
      <c r="AK53" s="62">
        <f t="shared" si="25"/>
        <v>0</v>
      </c>
      <c r="AL53" s="72">
        <f t="shared" si="26"/>
        <v>0</v>
      </c>
      <c r="AM53" s="73">
        <f t="shared" si="27"/>
        <v>0</v>
      </c>
      <c r="AN53" s="74">
        <f t="shared" si="28"/>
        <v>0</v>
      </c>
      <c r="AO53" s="74">
        <f t="shared" si="29"/>
        <v>0</v>
      </c>
      <c r="AP53" s="75" t="e">
        <f t="shared" si="30"/>
        <v>#DIV/0!</v>
      </c>
      <c r="AQ53" s="76">
        <f t="shared" si="31"/>
        <v>0</v>
      </c>
      <c r="AR53" s="77">
        <f t="shared" si="33"/>
        <v>0</v>
      </c>
    </row>
    <row r="54" spans="1:44" x14ac:dyDescent="0.25">
      <c r="A54" t="str">
        <f t="shared" si="15"/>
        <v>46199M</v>
      </c>
      <c r="B54" s="51">
        <f t="shared" si="32"/>
        <v>46199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34"/>
        <v>0</v>
      </c>
      <c r="AB54" s="62">
        <f t="shared" si="35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66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77">
        <f t="shared" si="33"/>
        <v>0</v>
      </c>
    </row>
    <row r="55" spans="1:44" x14ac:dyDescent="0.25">
      <c r="A55" t="str">
        <f t="shared" si="15"/>
        <v>46199E</v>
      </c>
      <c r="B55" s="51">
        <f t="shared" si="32"/>
        <v>46199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34"/>
        <v>0</v>
      </c>
      <c r="AB55" s="62">
        <f t="shared" si="35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66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77">
        <f t="shared" si="33"/>
        <v>0</v>
      </c>
    </row>
    <row r="56" spans="1:44" x14ac:dyDescent="0.25">
      <c r="A56" t="str">
        <f t="shared" si="15"/>
        <v>46200M</v>
      </c>
      <c r="B56" s="51">
        <f t="shared" si="32"/>
        <v>46200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34"/>
        <v>0</v>
      </c>
      <c r="AB56" s="62">
        <f t="shared" si="35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66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77">
        <f t="shared" si="33"/>
        <v>0</v>
      </c>
    </row>
    <row r="57" spans="1:44" x14ac:dyDescent="0.25">
      <c r="A57" t="str">
        <f t="shared" si="15"/>
        <v>46200E</v>
      </c>
      <c r="B57" s="51">
        <f t="shared" si="32"/>
        <v>46200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34"/>
        <v>0</v>
      </c>
      <c r="AB57" s="62">
        <f t="shared" si="35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66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77">
        <f t="shared" si="33"/>
        <v>0</v>
      </c>
    </row>
    <row r="58" spans="1:44" x14ac:dyDescent="0.25">
      <c r="A58" t="str">
        <f t="shared" si="15"/>
        <v>46201M</v>
      </c>
      <c r="B58" s="51">
        <f t="shared" si="32"/>
        <v>46201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34"/>
        <v>0</v>
      </c>
      <c r="AB58" s="62">
        <f t="shared" si="35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66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77">
        <f t="shared" si="33"/>
        <v>0</v>
      </c>
    </row>
    <row r="59" spans="1:44" x14ac:dyDescent="0.25">
      <c r="A59" t="str">
        <f t="shared" si="15"/>
        <v>46201E</v>
      </c>
      <c r="B59" s="51">
        <f t="shared" si="32"/>
        <v>46201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34"/>
        <v>0</v>
      </c>
      <c r="AB59" s="62">
        <f t="shared" si="35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66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77">
        <f t="shared" si="33"/>
        <v>0</v>
      </c>
    </row>
    <row r="60" spans="1:44" x14ac:dyDescent="0.25">
      <c r="A60" t="str">
        <f t="shared" si="15"/>
        <v>46202M</v>
      </c>
      <c r="B60" s="51">
        <f t="shared" si="32"/>
        <v>46202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34"/>
        <v>0</v>
      </c>
      <c r="AB60" s="62">
        <f t="shared" si="35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66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77">
        <f t="shared" si="33"/>
        <v>0</v>
      </c>
    </row>
    <row r="61" spans="1:44" x14ac:dyDescent="0.25">
      <c r="A61" t="str">
        <f t="shared" si="15"/>
        <v>46202E</v>
      </c>
      <c r="B61" s="51">
        <f t="shared" si="32"/>
        <v>46202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34"/>
        <v>0</v>
      </c>
      <c r="AB61" s="62">
        <f t="shared" si="35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66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77">
        <f t="shared" si="33"/>
        <v>0</v>
      </c>
    </row>
    <row r="62" spans="1:44" x14ac:dyDescent="0.25">
      <c r="A62" t="str">
        <f t="shared" si="15"/>
        <v>46203M</v>
      </c>
      <c r="B62" s="51">
        <f t="shared" si="32"/>
        <v>46203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34"/>
        <v>0</v>
      </c>
      <c r="AB62" s="62">
        <f t="shared" si="35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66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77">
        <f t="shared" si="33"/>
        <v>0</v>
      </c>
    </row>
    <row r="63" spans="1:44" x14ac:dyDescent="0.25">
      <c r="A63" t="str">
        <f t="shared" si="15"/>
        <v>46203E</v>
      </c>
      <c r="B63" s="51">
        <f t="shared" si="32"/>
        <v>46203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34"/>
        <v>0</v>
      </c>
      <c r="AB63" s="62">
        <f t="shared" si="35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66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77">
        <f t="shared" si="33"/>
        <v>0</v>
      </c>
    </row>
    <row r="64" spans="1:44" x14ac:dyDescent="0.25">
      <c r="A64" t="str">
        <f t="shared" si="15"/>
        <v>46204M</v>
      </c>
      <c r="B64" s="51">
        <f t="shared" si="32"/>
        <v>46204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34"/>
        <v>0</v>
      </c>
      <c r="AB64" s="62">
        <f t="shared" si="35"/>
        <v>0</v>
      </c>
      <c r="AC64" s="69"/>
      <c r="AD64" s="70"/>
      <c r="AE64" s="70"/>
      <c r="AF64" s="62">
        <f t="shared" ref="AF64:AF65" si="40">AC64*AD64%</f>
        <v>0</v>
      </c>
      <c r="AG64" s="63">
        <f t="shared" ref="AG64:AG65" si="41">AC64*AE64%</f>
        <v>0</v>
      </c>
      <c r="AH64" s="66"/>
      <c r="AI64" s="66"/>
      <c r="AJ64" s="66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77">
        <f t="shared" si="33"/>
        <v>0</v>
      </c>
    </row>
    <row r="65" spans="1:44" ht="15.75" thickBot="1" x14ac:dyDescent="0.3">
      <c r="A65" t="str">
        <f t="shared" si="15"/>
        <v>46204E</v>
      </c>
      <c r="B65" s="51">
        <f t="shared" si="32"/>
        <v>46204</v>
      </c>
      <c r="C65" s="93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34"/>
        <v>0</v>
      </c>
      <c r="AB65" s="62">
        <f t="shared" si="35"/>
        <v>0</v>
      </c>
      <c r="AC65" s="69"/>
      <c r="AD65" s="70"/>
      <c r="AE65" s="70"/>
      <c r="AF65" s="62">
        <f t="shared" si="40"/>
        <v>0</v>
      </c>
      <c r="AG65" s="63">
        <f t="shared" si="41"/>
        <v>0</v>
      </c>
      <c r="AH65" s="66"/>
      <c r="AI65" s="66"/>
      <c r="AJ65" s="66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77">
        <f t="shared" si="33"/>
        <v>0</v>
      </c>
    </row>
    <row r="66" spans="1:44" ht="15.75" thickBot="1" x14ac:dyDescent="0.3">
      <c r="J66" s="83">
        <f>SUM(J4:J65)</f>
        <v>236821.42130000002</v>
      </c>
      <c r="R66" s="83">
        <f>+J66+O66</f>
        <v>236821.42130000002</v>
      </c>
      <c r="S66">
        <f>+J66*K66%+O66*P66%</f>
        <v>0</v>
      </c>
      <c r="T66">
        <f>+J66*L66%+O66*Q66%</f>
        <v>0</v>
      </c>
      <c r="X66" s="77"/>
      <c r="Y66" s="77"/>
      <c r="Z66" s="77"/>
      <c r="AA66" s="77">
        <f t="shared" ref="AA66:AG66" si="42">AA64-AA65</f>
        <v>0</v>
      </c>
      <c r="AB66" s="77">
        <f t="shared" si="42"/>
        <v>0</v>
      </c>
      <c r="AC66" s="77">
        <f t="shared" si="42"/>
        <v>0</v>
      </c>
      <c r="AD66" s="77">
        <f t="shared" si="42"/>
        <v>0</v>
      </c>
      <c r="AE66" s="77">
        <f t="shared" si="42"/>
        <v>0</v>
      </c>
      <c r="AF66" s="77">
        <f t="shared" si="42"/>
        <v>0</v>
      </c>
      <c r="AG66" s="77">
        <f t="shared" si="42"/>
        <v>0</v>
      </c>
      <c r="AJ66" t="s">
        <v>91</v>
      </c>
      <c r="AM66" s="94">
        <f>-SUM(AM4:AM65)</f>
        <v>-167.42130000000998</v>
      </c>
      <c r="AN66" s="94">
        <f>-SUM(AN4:AN65)</f>
        <v>106.70869509999972</v>
      </c>
      <c r="AO66" s="94">
        <f>-SUM(AO4:AO65)</f>
        <v>-208.64312420000292</v>
      </c>
      <c r="AP66" s="95"/>
      <c r="AQ66" s="128">
        <f>-SUM(AQ4:AQ65)</f>
        <v>-14538.722939074676</v>
      </c>
    </row>
    <row r="67" spans="1:44" x14ac:dyDescent="0.25">
      <c r="AH67" s="77"/>
      <c r="AI67" s="77"/>
      <c r="AJ67" s="77"/>
    </row>
    <row r="68" spans="1:44" x14ac:dyDescent="0.25">
      <c r="AH68" s="77"/>
      <c r="AI68" s="77"/>
      <c r="AJ68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9" priority="2" operator="lessThan">
      <formula>0.1</formula>
    </cfRule>
    <cfRule type="cellIs" dxfId="88" priority="3" operator="greaterThan">
      <formula>0.1</formula>
    </cfRule>
  </conditionalFormatting>
  <conditionalFormatting sqref="AP1:AQ1">
    <cfRule type="cellIs" dxfId="87" priority="1" operator="lessThan">
      <formula>1</formula>
    </cfRule>
  </conditionalFormatting>
  <conditionalFormatting sqref="AQ4:AQ65">
    <cfRule type="cellIs" dxfId="86" priority="16" operator="lessThan">
      <formula>0</formula>
    </cfRule>
    <cfRule type="cellIs" dxfId="85" priority="17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AW66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C36" sqref="AC36:AE36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90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6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3061</v>
      </c>
      <c r="E4" s="54">
        <v>3.44</v>
      </c>
      <c r="F4" s="55">
        <v>7.83</v>
      </c>
      <c r="G4" s="62">
        <f t="shared" ref="G4:G15" si="0">+D4*E4%</f>
        <v>105.2984</v>
      </c>
      <c r="H4" s="63">
        <f t="shared" ref="H4:H15" si="1">+D4*F4%</f>
        <v>239.6763</v>
      </c>
      <c r="I4" s="119">
        <v>3230</v>
      </c>
      <c r="J4" s="120">
        <v>3326.9</v>
      </c>
      <c r="K4" s="121">
        <v>4.3036687306501547</v>
      </c>
      <c r="L4" s="122">
        <v>7.8436099071207428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3326.9</v>
      </c>
      <c r="S4" s="62">
        <f t="shared" ref="S4" si="3">+J4*K4%+O4*P4%</f>
        <v>143.178755</v>
      </c>
      <c r="T4" s="63">
        <f t="shared" ref="T4" si="4">+J4*L4%+O4*Q4%</f>
        <v>260.94905799999998</v>
      </c>
      <c r="U4" s="64" t="s">
        <v>251</v>
      </c>
      <c r="V4" s="65" t="s">
        <v>252</v>
      </c>
      <c r="W4" s="66" t="s">
        <v>253</v>
      </c>
      <c r="X4" s="67">
        <v>6320</v>
      </c>
      <c r="Y4" s="68">
        <v>4.05</v>
      </c>
      <c r="Z4" s="68">
        <v>8.09</v>
      </c>
      <c r="AA4" s="62">
        <f>X4*Y4%</f>
        <v>255.96</v>
      </c>
      <c r="AB4" s="63">
        <f>X4*Z4%</f>
        <v>511.28800000000001</v>
      </c>
      <c r="AC4" s="69">
        <v>6300</v>
      </c>
      <c r="AD4" s="70">
        <v>4</v>
      </c>
      <c r="AE4" s="70">
        <v>7.96</v>
      </c>
      <c r="AF4" s="62">
        <f t="shared" ref="AF4" si="5">AC4*AD4%</f>
        <v>252</v>
      </c>
      <c r="AG4" s="63">
        <f t="shared" ref="AG4" si="6">AC4*AE4%</f>
        <v>501.48</v>
      </c>
      <c r="AH4" s="71">
        <v>67</v>
      </c>
      <c r="AI4" s="66">
        <v>3.88</v>
      </c>
      <c r="AJ4" s="66">
        <v>7.83</v>
      </c>
      <c r="AK4" s="62">
        <f t="shared" ref="AK4" si="7">AH4*AI4%</f>
        <v>2.5996000000000001</v>
      </c>
      <c r="AL4" s="72">
        <f t="shared" ref="AL4" si="8">AH4*AJ4%</f>
        <v>5.2460999999999993</v>
      </c>
      <c r="AM4" s="73">
        <f>+D4+R4-AC4-AH4</f>
        <v>20.899999999999636</v>
      </c>
      <c r="AN4" s="74">
        <f t="shared" ref="AN4:AO4" si="9">+G4+S4-AF4-AK4</f>
        <v>-6.1224450000000186</v>
      </c>
      <c r="AO4" s="74">
        <f t="shared" si="9"/>
        <v>-6.1007420000000119</v>
      </c>
      <c r="AP4" s="75">
        <f>(AN4+AO4)/(S4+T4)</f>
        <v>-3.0245844524440176E-2</v>
      </c>
      <c r="AQ4" s="76">
        <f t="shared" ref="AQ4" si="10">($AP$1*AN4+$AQ$1*AO4)</f>
        <v>-4574.2161790966784</v>
      </c>
      <c r="AR4" s="77">
        <f t="shared" ref="AR4" si="11">(D4+J4+O4)-(X4+AH4)</f>
        <v>0.8999999999996362</v>
      </c>
      <c r="AT4" s="78"/>
    </row>
    <row r="5" spans="1:46" x14ac:dyDescent="0.25">
      <c r="A5" t="str">
        <f t="shared" ref="A5:A65" si="12">CONCATENATE(B5,C5)</f>
        <v>46174E</v>
      </c>
      <c r="B5" s="51">
        <f>+B4</f>
        <v>46174</v>
      </c>
      <c r="C5" s="52" t="s">
        <v>88</v>
      </c>
      <c r="D5" s="91">
        <v>67</v>
      </c>
      <c r="E5" s="62">
        <v>3.88</v>
      </c>
      <c r="F5" s="62">
        <v>7.83</v>
      </c>
      <c r="G5" s="62">
        <f t="shared" si="0"/>
        <v>2.5996000000000001</v>
      </c>
      <c r="H5" s="63">
        <f t="shared" si="1"/>
        <v>5.2460999999999993</v>
      </c>
      <c r="I5" s="119">
        <v>1970.4</v>
      </c>
      <c r="J5" s="120">
        <v>2029.5120000000002</v>
      </c>
      <c r="K5" s="121">
        <v>3.5231526593585056</v>
      </c>
      <c r="L5" s="122">
        <v>7.9783800243605372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2029.5120000000002</v>
      </c>
      <c r="S5" s="62">
        <f t="shared" ref="S5:S65" si="14">+J5*K5%+O5*P5%</f>
        <v>71.502805999999993</v>
      </c>
      <c r="T5" s="63">
        <f t="shared" ref="T5:T65" si="15">+J5*L5%+O5*Q5%</f>
        <v>161.92218000000005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71">
        <v>2095</v>
      </c>
      <c r="AI5" s="66">
        <v>3.52</v>
      </c>
      <c r="AJ5" s="66">
        <v>7.93</v>
      </c>
      <c r="AK5" s="62">
        <f t="shared" ref="AK5:AK65" si="20">AH5*AI5%</f>
        <v>73.744</v>
      </c>
      <c r="AL5" s="72">
        <f t="shared" ref="AL5:AL65" si="21">AH5*AJ5%</f>
        <v>166.1335</v>
      </c>
      <c r="AM5" s="73">
        <f t="shared" ref="AM5:AM65" si="22">+D5+R5-AC5-AH5</f>
        <v>1.512000000000171</v>
      </c>
      <c r="AN5" s="74">
        <f t="shared" ref="AN5:AN65" si="23">+G5+S5-AF5-AK5</f>
        <v>0.35840599999998801</v>
      </c>
      <c r="AO5" s="74">
        <f t="shared" ref="AO5:AO65" si="24">+H5+T5-AG5-AL5</f>
        <v>1.0347800000000689</v>
      </c>
      <c r="AP5" s="75">
        <f t="shared" ref="AP5:AP65" si="25">(AN5+AO5)/(S5+T5)</f>
        <v>5.968452751669252E-3</v>
      </c>
      <c r="AQ5" s="76">
        <f t="shared" ref="AQ5:AQ65" si="26">($AP$1*AN5+$AQ$1*AO5)</f>
        <v>470.57409732668197</v>
      </c>
      <c r="AR5" s="77">
        <f>(D5+J5+O5)-(X5+AH5)</f>
        <v>1.512000000000171</v>
      </c>
    </row>
    <row r="6" spans="1:46" x14ac:dyDescent="0.25">
      <c r="A6" t="str">
        <f t="shared" si="12"/>
        <v>46175M</v>
      </c>
      <c r="B6" s="51">
        <f>+B4+1</f>
        <v>46175</v>
      </c>
      <c r="C6" s="52" t="s">
        <v>87</v>
      </c>
      <c r="D6" s="91">
        <v>2095</v>
      </c>
      <c r="E6" s="62">
        <v>3.52</v>
      </c>
      <c r="F6" s="62">
        <v>7.93</v>
      </c>
      <c r="G6" s="62">
        <f t="shared" si="0"/>
        <v>73.744</v>
      </c>
      <c r="H6" s="63">
        <f t="shared" si="1"/>
        <v>166.1335</v>
      </c>
      <c r="I6" s="119">
        <v>1418.9</v>
      </c>
      <c r="J6" s="120">
        <v>1461.4670000000001</v>
      </c>
      <c r="K6" s="121">
        <v>4.4180632884628945</v>
      </c>
      <c r="L6" s="122">
        <v>8.1483120727324021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1461.4670000000001</v>
      </c>
      <c r="S6" s="62">
        <f t="shared" si="14"/>
        <v>64.568537000000006</v>
      </c>
      <c r="T6" s="63">
        <f t="shared" si="15"/>
        <v>119.08489200000007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71">
        <v>3556</v>
      </c>
      <c r="AI6" s="66">
        <v>3.86</v>
      </c>
      <c r="AJ6" s="66">
        <v>8</v>
      </c>
      <c r="AK6" s="62">
        <f t="shared" si="20"/>
        <v>137.26159999999999</v>
      </c>
      <c r="AL6" s="72">
        <f t="shared" si="21"/>
        <v>284.48</v>
      </c>
      <c r="AM6" s="73">
        <f t="shared" si="22"/>
        <v>0.46700000000009823</v>
      </c>
      <c r="AN6" s="74">
        <f t="shared" si="23"/>
        <v>1.0509370000000331</v>
      </c>
      <c r="AO6" s="74">
        <f t="shared" si="24"/>
        <v>0.73839200000003302</v>
      </c>
      <c r="AP6" s="75">
        <f t="shared" si="25"/>
        <v>9.7429653763778379E-3</v>
      </c>
      <c r="AQ6" s="76">
        <f t="shared" si="26"/>
        <v>692.75716381669145</v>
      </c>
      <c r="AR6" s="77">
        <f t="shared" ref="AR6:AR65" si="27">(D6+J6+O6)-(X6+AH6)</f>
        <v>0.46700000000009823</v>
      </c>
    </row>
    <row r="7" spans="1:46" x14ac:dyDescent="0.25">
      <c r="A7" t="str">
        <f t="shared" si="12"/>
        <v>46175E</v>
      </c>
      <c r="B7" s="51">
        <f>+B5+1</f>
        <v>46175</v>
      </c>
      <c r="C7" s="52" t="s">
        <v>88</v>
      </c>
      <c r="D7" s="91">
        <v>3556</v>
      </c>
      <c r="E7" s="62">
        <v>3.86</v>
      </c>
      <c r="F7" s="62">
        <v>8</v>
      </c>
      <c r="G7" s="62">
        <f t="shared" si="0"/>
        <v>137.26159999999999</v>
      </c>
      <c r="H7" s="63">
        <f t="shared" si="1"/>
        <v>284.48</v>
      </c>
      <c r="I7" s="119">
        <v>2916.0000000000005</v>
      </c>
      <c r="J7" s="120">
        <v>3003.4800000000005</v>
      </c>
      <c r="K7" s="121">
        <v>3.757956104252401</v>
      </c>
      <c r="L7" s="122">
        <v>7.9430006858710573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3003.4800000000005</v>
      </c>
      <c r="S7" s="62">
        <f t="shared" si="14"/>
        <v>112.86946000000003</v>
      </c>
      <c r="T7" s="63">
        <f t="shared" si="15"/>
        <v>238.56643700000006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71">
        <v>6559</v>
      </c>
      <c r="AI7" s="66">
        <v>3.8</v>
      </c>
      <c r="AJ7" s="66">
        <v>7.96</v>
      </c>
      <c r="AK7" s="62">
        <f t="shared" si="20"/>
        <v>249.24199999999999</v>
      </c>
      <c r="AL7" s="72">
        <f t="shared" si="21"/>
        <v>522.09640000000002</v>
      </c>
      <c r="AM7" s="73">
        <f t="shared" si="22"/>
        <v>0.48000000000047294</v>
      </c>
      <c r="AN7" s="74">
        <f t="shared" si="23"/>
        <v>0.88906000000002905</v>
      </c>
      <c r="AO7" s="74">
        <f t="shared" si="24"/>
        <v>0.95003700000006575</v>
      </c>
      <c r="AP7" s="75">
        <f t="shared" si="25"/>
        <v>5.2330937610510931E-3</v>
      </c>
      <c r="AQ7" s="76">
        <f t="shared" si="26"/>
        <v>683.42866438003284</v>
      </c>
      <c r="AR7" s="77">
        <f t="shared" si="27"/>
        <v>0.48000000000047294</v>
      </c>
    </row>
    <row r="8" spans="1:46" x14ac:dyDescent="0.25">
      <c r="A8" t="str">
        <f t="shared" si="12"/>
        <v>46176M</v>
      </c>
      <c r="B8" s="51">
        <f>+B6+1</f>
        <v>46176</v>
      </c>
      <c r="C8" s="52" t="s">
        <v>87</v>
      </c>
      <c r="D8" s="91">
        <v>6559</v>
      </c>
      <c r="E8" s="62">
        <v>3.8</v>
      </c>
      <c r="F8" s="62">
        <v>7.96</v>
      </c>
      <c r="G8" s="62">
        <f t="shared" si="0"/>
        <v>249.24199999999999</v>
      </c>
      <c r="H8" s="63">
        <f t="shared" si="1"/>
        <v>522.09640000000002</v>
      </c>
      <c r="I8" s="119">
        <v>1420.8999999999999</v>
      </c>
      <c r="J8" s="120">
        <v>1463.5269999999998</v>
      </c>
      <c r="K8" s="121">
        <v>4.6198536139066793</v>
      </c>
      <c r="L8" s="122">
        <v>8.0725033429516504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1463.5269999999998</v>
      </c>
      <c r="S8" s="62">
        <f t="shared" si="14"/>
        <v>67.612804999999994</v>
      </c>
      <c r="T8" s="63">
        <f t="shared" si="15"/>
        <v>118.143266</v>
      </c>
      <c r="U8" s="64" t="s">
        <v>251</v>
      </c>
      <c r="V8" s="65" t="s">
        <v>254</v>
      </c>
      <c r="W8" s="66" t="s">
        <v>189</v>
      </c>
      <c r="X8" s="67">
        <v>8045</v>
      </c>
      <c r="Y8" s="68">
        <v>4.1500000000000004</v>
      </c>
      <c r="Z8" s="68">
        <v>8.0500000000000007</v>
      </c>
      <c r="AA8" s="62">
        <f t="shared" si="16"/>
        <v>333.86750000000001</v>
      </c>
      <c r="AB8" s="63">
        <f t="shared" si="17"/>
        <v>647.62250000000006</v>
      </c>
      <c r="AC8" s="69">
        <v>8060</v>
      </c>
      <c r="AD8" s="70">
        <v>4.0999999999999996</v>
      </c>
      <c r="AE8" s="70">
        <v>7.910000000000001</v>
      </c>
      <c r="AF8" s="62">
        <f t="shared" si="18"/>
        <v>330.46</v>
      </c>
      <c r="AG8" s="63">
        <f t="shared" si="19"/>
        <v>637.54600000000005</v>
      </c>
      <c r="AH8" s="71">
        <v>0</v>
      </c>
      <c r="AI8" s="66">
        <v>0</v>
      </c>
      <c r="AJ8" s="66">
        <v>0</v>
      </c>
      <c r="AK8" s="62">
        <f t="shared" si="20"/>
        <v>0</v>
      </c>
      <c r="AL8" s="72">
        <f t="shared" si="21"/>
        <v>0</v>
      </c>
      <c r="AM8" s="73">
        <f t="shared" si="22"/>
        <v>-37.472999999999956</v>
      </c>
      <c r="AN8" s="74">
        <f t="shared" si="23"/>
        <v>-13.605194999999981</v>
      </c>
      <c r="AO8" s="74">
        <f t="shared" si="24"/>
        <v>2.6936660000000074</v>
      </c>
      <c r="AP8" s="75">
        <f t="shared" si="25"/>
        <v>-5.8741170295316884E-2</v>
      </c>
      <c r="AQ8" s="76">
        <f t="shared" si="26"/>
        <v>-5301.3656847433231</v>
      </c>
      <c r="AR8" s="77">
        <f t="shared" si="27"/>
        <v>-22.472999999999956</v>
      </c>
    </row>
    <row r="9" spans="1:46" x14ac:dyDescent="0.25">
      <c r="A9" t="str">
        <f t="shared" si="12"/>
        <v>46176E</v>
      </c>
      <c r="B9" s="51">
        <f t="shared" ref="B9:B65" si="28">+B7+1</f>
        <v>46176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119">
        <v>4067.2999999999997</v>
      </c>
      <c r="J9" s="120">
        <v>4189.3189999999995</v>
      </c>
      <c r="K9" s="121">
        <v>3.6689056622329312</v>
      </c>
      <c r="L9" s="122">
        <v>7.9532515427925192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4189.3189999999995</v>
      </c>
      <c r="S9" s="62">
        <f t="shared" si="14"/>
        <v>153.70216199999999</v>
      </c>
      <c r="T9" s="63">
        <f t="shared" si="15"/>
        <v>333.1870780000001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82">
        <v>4189</v>
      </c>
      <c r="AI9" s="66">
        <v>3.65</v>
      </c>
      <c r="AJ9" s="66">
        <v>7.91</v>
      </c>
      <c r="AK9" s="62">
        <f t="shared" si="20"/>
        <v>152.89849999999998</v>
      </c>
      <c r="AL9" s="72">
        <f t="shared" si="21"/>
        <v>331.34989999999999</v>
      </c>
      <c r="AM9" s="73">
        <f t="shared" si="22"/>
        <v>0.31899999999950523</v>
      </c>
      <c r="AN9" s="74">
        <f t="shared" si="23"/>
        <v>0.80366200000000276</v>
      </c>
      <c r="AO9" s="74">
        <f t="shared" si="24"/>
        <v>1.8371780000001081</v>
      </c>
      <c r="AP9" s="75">
        <f t="shared" si="25"/>
        <v>5.4239029804809616E-3</v>
      </c>
      <c r="AQ9" s="76">
        <f t="shared" si="26"/>
        <v>910.59029240670043</v>
      </c>
      <c r="AR9" s="77">
        <f t="shared" si="27"/>
        <v>0.31899999999950523</v>
      </c>
    </row>
    <row r="10" spans="1:46" x14ac:dyDescent="0.25">
      <c r="A10" t="str">
        <f t="shared" si="12"/>
        <v>46177M</v>
      </c>
      <c r="B10" s="51">
        <f t="shared" si="28"/>
        <v>46177</v>
      </c>
      <c r="C10" s="52" t="s">
        <v>87</v>
      </c>
      <c r="D10" s="91">
        <v>4189</v>
      </c>
      <c r="E10" s="62">
        <v>3.65</v>
      </c>
      <c r="F10" s="62">
        <v>7.91</v>
      </c>
      <c r="G10" s="62">
        <f t="shared" si="0"/>
        <v>152.89849999999998</v>
      </c>
      <c r="H10" s="63">
        <f t="shared" si="1"/>
        <v>331.34989999999999</v>
      </c>
      <c r="I10" s="119">
        <v>2356.6</v>
      </c>
      <c r="J10" s="120">
        <v>2427.2979999999998</v>
      </c>
      <c r="K10" s="121">
        <v>4.4134558261902734</v>
      </c>
      <c r="L10" s="122">
        <v>8.0783331918866157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2427.2979999999998</v>
      </c>
      <c r="S10" s="62">
        <f t="shared" si="14"/>
        <v>107.12772499999997</v>
      </c>
      <c r="T10" s="63">
        <f t="shared" si="15"/>
        <v>196.08521999999999</v>
      </c>
      <c r="U10" s="64" t="s">
        <v>251</v>
      </c>
      <c r="V10" s="65" t="s">
        <v>255</v>
      </c>
      <c r="W10" s="66" t="s">
        <v>253</v>
      </c>
      <c r="X10" s="67">
        <v>6600</v>
      </c>
      <c r="Y10" s="68">
        <v>4.0999999999999996</v>
      </c>
      <c r="Z10" s="68">
        <v>8.1</v>
      </c>
      <c r="AA10" s="62">
        <f t="shared" si="16"/>
        <v>270.59999999999997</v>
      </c>
      <c r="AB10" s="63">
        <f t="shared" si="17"/>
        <v>534.6</v>
      </c>
      <c r="AC10" s="69">
        <v>6590</v>
      </c>
      <c r="AD10" s="70">
        <v>4</v>
      </c>
      <c r="AE10" s="70">
        <v>8.02</v>
      </c>
      <c r="AF10" s="62">
        <f t="shared" si="18"/>
        <v>263.60000000000002</v>
      </c>
      <c r="AG10" s="63">
        <f t="shared" si="19"/>
        <v>528.51799999999992</v>
      </c>
      <c r="AH10" s="71">
        <v>0</v>
      </c>
      <c r="AI10" s="66">
        <v>0</v>
      </c>
      <c r="AJ10" s="66">
        <v>0</v>
      </c>
      <c r="AK10" s="62">
        <f t="shared" si="20"/>
        <v>0</v>
      </c>
      <c r="AL10" s="72">
        <f t="shared" si="21"/>
        <v>0</v>
      </c>
      <c r="AM10" s="73">
        <f t="shared" si="22"/>
        <v>26.297999999999774</v>
      </c>
      <c r="AN10" s="74">
        <f t="shared" si="23"/>
        <v>-3.5737750000000688</v>
      </c>
      <c r="AO10" s="74">
        <f t="shared" si="24"/>
        <v>-1.0828799999999319</v>
      </c>
      <c r="AP10" s="75">
        <f t="shared" si="25"/>
        <v>-1.5357705127002413E-2</v>
      </c>
      <c r="AQ10" s="76">
        <f t="shared" si="26"/>
        <v>-1928.3804424500108</v>
      </c>
      <c r="AR10" s="77">
        <f t="shared" si="27"/>
        <v>16.297999999999774</v>
      </c>
    </row>
    <row r="11" spans="1:46" x14ac:dyDescent="0.25">
      <c r="A11" t="str">
        <f t="shared" si="12"/>
        <v>46177E</v>
      </c>
      <c r="B11" s="51">
        <f t="shared" si="28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119">
        <v>1926.7000000000003</v>
      </c>
      <c r="J11" s="120">
        <v>1984.5010000000004</v>
      </c>
      <c r="K11" s="121">
        <v>3.7731925053199755</v>
      </c>
      <c r="L11" s="122">
        <v>7.9750402242175706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1984.5010000000004</v>
      </c>
      <c r="S11" s="62">
        <f t="shared" si="14"/>
        <v>74.879042999999982</v>
      </c>
      <c r="T11" s="63">
        <f t="shared" si="15"/>
        <v>158.26475299999996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71">
        <v>1983</v>
      </c>
      <c r="AI11" s="66">
        <v>3.76</v>
      </c>
      <c r="AJ11" s="66">
        <v>7.98</v>
      </c>
      <c r="AK11" s="62">
        <f t="shared" si="20"/>
        <v>74.560799999999986</v>
      </c>
      <c r="AL11" s="72">
        <f t="shared" si="21"/>
        <v>158.24340000000001</v>
      </c>
      <c r="AM11" s="73">
        <f t="shared" si="22"/>
        <v>1.5010000000004311</v>
      </c>
      <c r="AN11" s="74">
        <f t="shared" si="23"/>
        <v>0.31824299999999539</v>
      </c>
      <c r="AO11" s="74">
        <f t="shared" si="24"/>
        <v>2.1352999999947997E-2</v>
      </c>
      <c r="AP11" s="75">
        <f t="shared" si="25"/>
        <v>1.4565946245464043E-3</v>
      </c>
      <c r="AQ11" s="76">
        <f t="shared" si="26"/>
        <v>149.25284861664903</v>
      </c>
      <c r="AR11" s="77">
        <f t="shared" si="27"/>
        <v>1.5010000000004311</v>
      </c>
    </row>
    <row r="12" spans="1:46" x14ac:dyDescent="0.25">
      <c r="A12" t="str">
        <f t="shared" si="12"/>
        <v>46178M</v>
      </c>
      <c r="B12" s="51">
        <f t="shared" si="28"/>
        <v>46178</v>
      </c>
      <c r="C12" s="52" t="s">
        <v>87</v>
      </c>
      <c r="D12" s="91">
        <v>1983</v>
      </c>
      <c r="E12" s="62">
        <v>3.76</v>
      </c>
      <c r="F12" s="62">
        <v>7.98</v>
      </c>
      <c r="G12" s="62">
        <f t="shared" si="0"/>
        <v>74.560799999999986</v>
      </c>
      <c r="H12" s="63">
        <f t="shared" si="1"/>
        <v>158.24340000000001</v>
      </c>
      <c r="I12" s="119">
        <v>3588.6000000000004</v>
      </c>
      <c r="J12" s="120">
        <v>3696.2580000000003</v>
      </c>
      <c r="K12" s="121">
        <v>4.1138772780471493</v>
      </c>
      <c r="L12" s="122">
        <v>7.8789249289416494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3696.2580000000003</v>
      </c>
      <c r="S12" s="62">
        <f t="shared" si="14"/>
        <v>152.059518</v>
      </c>
      <c r="T12" s="63">
        <f t="shared" si="15"/>
        <v>291.22539300000005</v>
      </c>
      <c r="U12" s="64" t="s">
        <v>246</v>
      </c>
      <c r="V12" s="65" t="s">
        <v>361</v>
      </c>
      <c r="W12" s="66" t="s">
        <v>253</v>
      </c>
      <c r="X12" s="67">
        <v>5575</v>
      </c>
      <c r="Y12" s="68">
        <v>4.05</v>
      </c>
      <c r="Z12" s="68">
        <v>8.0299999999999994</v>
      </c>
      <c r="AA12" s="62">
        <f t="shared" si="16"/>
        <v>225.78749999999999</v>
      </c>
      <c r="AB12" s="63">
        <f t="shared" si="17"/>
        <v>447.67249999999996</v>
      </c>
      <c r="AC12" s="69">
        <v>5560</v>
      </c>
      <c r="AD12" s="70">
        <v>3.95</v>
      </c>
      <c r="AE12" s="70">
        <v>7.88</v>
      </c>
      <c r="AF12" s="62">
        <f t="shared" si="18"/>
        <v>219.62</v>
      </c>
      <c r="AG12" s="63">
        <f t="shared" si="19"/>
        <v>438.12799999999999</v>
      </c>
      <c r="AH12" s="71">
        <v>15</v>
      </c>
      <c r="AI12" s="66">
        <v>3.93</v>
      </c>
      <c r="AJ12" s="66">
        <v>7.91</v>
      </c>
      <c r="AK12" s="62">
        <f t="shared" si="20"/>
        <v>0.58950000000000002</v>
      </c>
      <c r="AL12" s="72">
        <f t="shared" si="21"/>
        <v>1.1865000000000001</v>
      </c>
      <c r="AM12" s="73">
        <f t="shared" si="22"/>
        <v>104.25799999999981</v>
      </c>
      <c r="AN12" s="74">
        <f t="shared" si="23"/>
        <v>6.4108179999999928</v>
      </c>
      <c r="AO12" s="74">
        <f t="shared" si="24"/>
        <v>10.154293000000076</v>
      </c>
      <c r="AP12" s="75">
        <f t="shared" si="25"/>
        <v>3.7368993595182552E-2</v>
      </c>
      <c r="AQ12" s="76">
        <f t="shared" si="26"/>
        <v>5916.7894221333536</v>
      </c>
      <c r="AR12" s="77">
        <f t="shared" si="27"/>
        <v>89.257999999999811</v>
      </c>
    </row>
    <row r="13" spans="1:46" x14ac:dyDescent="0.25">
      <c r="A13" t="str">
        <f t="shared" si="12"/>
        <v>46178E</v>
      </c>
      <c r="B13" s="51">
        <f t="shared" si="28"/>
        <v>46178</v>
      </c>
      <c r="C13" s="52" t="s">
        <v>88</v>
      </c>
      <c r="D13" s="91">
        <v>15</v>
      </c>
      <c r="E13" s="62">
        <v>3.93</v>
      </c>
      <c r="F13" s="62">
        <v>7.91</v>
      </c>
      <c r="G13" s="62">
        <f t="shared" si="0"/>
        <v>0.58950000000000002</v>
      </c>
      <c r="H13" s="63">
        <f t="shared" si="1"/>
        <v>1.1865000000000001</v>
      </c>
      <c r="I13" s="119">
        <v>1853.5000000000002</v>
      </c>
      <c r="J13" s="120">
        <v>1909.1050000000002</v>
      </c>
      <c r="K13" s="121">
        <v>3.7783436741300234</v>
      </c>
      <c r="L13" s="122">
        <v>7.9513245211761507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1909.1050000000002</v>
      </c>
      <c r="S13" s="62">
        <f t="shared" si="14"/>
        <v>72.132547999999986</v>
      </c>
      <c r="T13" s="63">
        <f t="shared" si="15"/>
        <v>151.79913399999998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71">
        <v>1899</v>
      </c>
      <c r="AI13" s="66">
        <v>3.79</v>
      </c>
      <c r="AJ13" s="66">
        <v>7.94</v>
      </c>
      <c r="AK13" s="62">
        <f t="shared" si="20"/>
        <v>71.972100000000012</v>
      </c>
      <c r="AL13" s="72">
        <f t="shared" si="21"/>
        <v>150.78059999999999</v>
      </c>
      <c r="AM13" s="73">
        <f t="shared" si="22"/>
        <v>25.105000000000246</v>
      </c>
      <c r="AN13" s="74">
        <f t="shared" si="23"/>
        <v>0.74994799999997497</v>
      </c>
      <c r="AO13" s="74">
        <f t="shared" si="24"/>
        <v>2.2050339999999835</v>
      </c>
      <c r="AP13" s="75">
        <f t="shared" si="25"/>
        <v>1.3195908562862306E-2</v>
      </c>
      <c r="AQ13" s="76">
        <f t="shared" si="26"/>
        <v>996.56703197331728</v>
      </c>
      <c r="AR13" s="77">
        <f t="shared" si="27"/>
        <v>25.105000000000246</v>
      </c>
    </row>
    <row r="14" spans="1:46" x14ac:dyDescent="0.25">
      <c r="A14" t="str">
        <f t="shared" si="12"/>
        <v>46179M</v>
      </c>
      <c r="B14" s="51">
        <f t="shared" si="28"/>
        <v>46179</v>
      </c>
      <c r="C14" s="52" t="s">
        <v>87</v>
      </c>
      <c r="D14" s="91">
        <v>1899</v>
      </c>
      <c r="E14" s="62">
        <v>3.79</v>
      </c>
      <c r="F14" s="62">
        <v>7.94</v>
      </c>
      <c r="G14" s="62">
        <f t="shared" si="0"/>
        <v>71.972100000000012</v>
      </c>
      <c r="H14" s="63">
        <f t="shared" si="1"/>
        <v>150.78059999999999</v>
      </c>
      <c r="I14" s="119">
        <v>2530.1</v>
      </c>
      <c r="J14" s="120">
        <v>2606.0030000000002</v>
      </c>
      <c r="K14" s="121">
        <v>4.2175131417730531</v>
      </c>
      <c r="L14" s="122">
        <v>7.9963005414805748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2606.0030000000002</v>
      </c>
      <c r="S14" s="62">
        <f t="shared" si="14"/>
        <v>109.90851900000001</v>
      </c>
      <c r="T14" s="63">
        <f t="shared" si="15"/>
        <v>208.38383200000004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71">
        <v>4507</v>
      </c>
      <c r="AI14" s="66">
        <v>3.98</v>
      </c>
      <c r="AJ14" s="66">
        <v>7.96</v>
      </c>
      <c r="AK14" s="62">
        <f t="shared" si="20"/>
        <v>179.37860000000001</v>
      </c>
      <c r="AL14" s="72">
        <f t="shared" si="21"/>
        <v>358.75720000000001</v>
      </c>
      <c r="AM14" s="73">
        <f t="shared" si="22"/>
        <v>-1.9969999999993888</v>
      </c>
      <c r="AN14" s="74">
        <f t="shared" si="23"/>
        <v>2.5020190000000184</v>
      </c>
      <c r="AO14" s="74">
        <f t="shared" si="24"/>
        <v>0.4072320000000218</v>
      </c>
      <c r="AP14" s="75">
        <f t="shared" si="25"/>
        <v>9.1401850872628726E-3</v>
      </c>
      <c r="AQ14" s="76">
        <f t="shared" si="26"/>
        <v>1245.0550273700148</v>
      </c>
      <c r="AR14" s="77">
        <f t="shared" si="27"/>
        <v>-1.9969999999993888</v>
      </c>
    </row>
    <row r="15" spans="1:46" x14ac:dyDescent="0.25">
      <c r="A15" t="str">
        <f t="shared" si="12"/>
        <v>46179E</v>
      </c>
      <c r="B15" s="51">
        <f t="shared" si="28"/>
        <v>46179</v>
      </c>
      <c r="C15" s="52" t="s">
        <v>88</v>
      </c>
      <c r="D15" s="91">
        <v>4507</v>
      </c>
      <c r="E15" s="62">
        <v>3.98</v>
      </c>
      <c r="F15" s="62">
        <v>7.96</v>
      </c>
      <c r="G15" s="62">
        <f t="shared" si="0"/>
        <v>179.37860000000001</v>
      </c>
      <c r="H15" s="63">
        <f t="shared" si="1"/>
        <v>358.75720000000001</v>
      </c>
      <c r="I15" s="119">
        <v>2845.3999999999996</v>
      </c>
      <c r="J15" s="120">
        <v>2930.7619999999997</v>
      </c>
      <c r="K15" s="121">
        <v>3.4222007450622058</v>
      </c>
      <c r="L15" s="122">
        <v>7.8863217825261858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2930.7619999999997</v>
      </c>
      <c r="S15" s="62">
        <f t="shared" si="14"/>
        <v>100.296559</v>
      </c>
      <c r="T15" s="63">
        <f t="shared" si="15"/>
        <v>231.12932200000006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71">
        <v>7437</v>
      </c>
      <c r="AI15" s="66">
        <v>3.75</v>
      </c>
      <c r="AJ15" s="66">
        <v>7.92</v>
      </c>
      <c r="AK15" s="62">
        <f t="shared" si="20"/>
        <v>278.88749999999999</v>
      </c>
      <c r="AL15" s="72">
        <f t="shared" si="21"/>
        <v>589.01039999999989</v>
      </c>
      <c r="AM15" s="73">
        <f t="shared" si="22"/>
        <v>0.76199999999971624</v>
      </c>
      <c r="AN15" s="74">
        <f t="shared" si="23"/>
        <v>0.7876590000000192</v>
      </c>
      <c r="AO15" s="74">
        <f t="shared" si="24"/>
        <v>0.87612200000012308</v>
      </c>
      <c r="AP15" s="75">
        <f t="shared" si="25"/>
        <v>5.0200696305915289E-3</v>
      </c>
      <c r="AQ15" s="76">
        <f t="shared" si="26"/>
        <v>615.78795303671222</v>
      </c>
      <c r="AR15" s="77">
        <f t="shared" si="27"/>
        <v>0.76199999999971624</v>
      </c>
    </row>
    <row r="16" spans="1:46" x14ac:dyDescent="0.25">
      <c r="A16" t="str">
        <f t="shared" si="12"/>
        <v>46180M</v>
      </c>
      <c r="B16" s="51">
        <f t="shared" si="28"/>
        <v>46180</v>
      </c>
      <c r="C16" s="52" t="s">
        <v>87</v>
      </c>
      <c r="D16" s="91">
        <v>7437</v>
      </c>
      <c r="E16" s="62">
        <v>3.75</v>
      </c>
      <c r="F16" s="62">
        <v>7.92</v>
      </c>
      <c r="G16" s="62">
        <f t="shared" ref="G16:G53" si="29">+D16*E16%</f>
        <v>278.88749999999999</v>
      </c>
      <c r="H16" s="63">
        <f t="shared" ref="H16:H53" si="30">+D16*F16%</f>
        <v>589.01039999999989</v>
      </c>
      <c r="I16" s="119">
        <v>1357.7</v>
      </c>
      <c r="J16" s="120">
        <v>1398.431</v>
      </c>
      <c r="K16" s="121">
        <v>4.3055461442144809</v>
      </c>
      <c r="L16" s="122">
        <v>8.0917507549532264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1398.431</v>
      </c>
      <c r="S16" s="62">
        <f t="shared" si="14"/>
        <v>60.21009200000001</v>
      </c>
      <c r="T16" s="63">
        <f t="shared" si="15"/>
        <v>113.15755099999996</v>
      </c>
      <c r="U16" s="64" t="s">
        <v>251</v>
      </c>
      <c r="V16" s="65" t="s">
        <v>390</v>
      </c>
      <c r="W16" s="66" t="s">
        <v>189</v>
      </c>
      <c r="X16" s="67">
        <v>8910</v>
      </c>
      <c r="Y16" s="68">
        <v>4.05</v>
      </c>
      <c r="Z16" s="68">
        <v>8.0299999999999994</v>
      </c>
      <c r="AA16" s="62">
        <f t="shared" si="16"/>
        <v>360.85500000000002</v>
      </c>
      <c r="AB16" s="63">
        <f t="shared" si="17"/>
        <v>715.47299999999996</v>
      </c>
      <c r="AC16" s="69">
        <v>8920</v>
      </c>
      <c r="AD16" s="70">
        <v>4</v>
      </c>
      <c r="AE16" s="70">
        <v>7.96</v>
      </c>
      <c r="AF16" s="62">
        <f t="shared" si="18"/>
        <v>356.8</v>
      </c>
      <c r="AG16" s="63">
        <f t="shared" si="19"/>
        <v>710.03200000000004</v>
      </c>
      <c r="AH16" s="118">
        <v>0</v>
      </c>
      <c r="AI16" s="118">
        <v>0</v>
      </c>
      <c r="AJ16" s="118">
        <v>0</v>
      </c>
      <c r="AK16" s="62">
        <f t="shared" si="20"/>
        <v>0</v>
      </c>
      <c r="AL16" s="72">
        <f t="shared" si="21"/>
        <v>0</v>
      </c>
      <c r="AM16" s="73">
        <f t="shared" si="22"/>
        <v>-84.568999999999505</v>
      </c>
      <c r="AN16" s="74">
        <f t="shared" si="23"/>
        <v>-17.702407999999991</v>
      </c>
      <c r="AO16" s="74">
        <f t="shared" si="24"/>
        <v>-7.8640490000001364</v>
      </c>
      <c r="AP16" s="75">
        <f t="shared" si="25"/>
        <v>-0.14746960019523445</v>
      </c>
      <c r="AQ16" s="76">
        <f t="shared" si="26"/>
        <v>-10300.288133006703</v>
      </c>
      <c r="AR16" s="77">
        <f t="shared" si="27"/>
        <v>-74.568999999999505</v>
      </c>
    </row>
    <row r="17" spans="1:49" x14ac:dyDescent="0.25">
      <c r="A17" t="str">
        <f t="shared" si="12"/>
        <v>46180E</v>
      </c>
      <c r="B17" s="51">
        <f t="shared" si="28"/>
        <v>46180</v>
      </c>
      <c r="C17" s="52" t="s">
        <v>88</v>
      </c>
      <c r="D17" s="91">
        <v>0</v>
      </c>
      <c r="E17" s="62">
        <v>0</v>
      </c>
      <c r="F17" s="62">
        <v>0</v>
      </c>
      <c r="G17" s="62">
        <f t="shared" si="29"/>
        <v>0</v>
      </c>
      <c r="H17" s="63">
        <f t="shared" si="30"/>
        <v>0</v>
      </c>
      <c r="I17" s="119">
        <v>2728.1000000000004</v>
      </c>
      <c r="J17" s="120">
        <v>2809.9430000000007</v>
      </c>
      <c r="K17" s="121">
        <v>3.8344012316264053</v>
      </c>
      <c r="L17" s="122">
        <v>8.0225761519005889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2809.9430000000007</v>
      </c>
      <c r="S17" s="62">
        <f t="shared" si="14"/>
        <v>107.74448899999999</v>
      </c>
      <c r="T17" s="63">
        <f t="shared" si="15"/>
        <v>225.42981700000001</v>
      </c>
      <c r="U17" s="64" t="s">
        <v>167</v>
      </c>
      <c r="V17" s="65" t="s">
        <v>187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89">
        <v>2809</v>
      </c>
      <c r="AI17" s="66">
        <v>3.92</v>
      </c>
      <c r="AJ17" s="66">
        <v>8.01</v>
      </c>
      <c r="AK17" s="62">
        <f t="shared" si="20"/>
        <v>110.11279999999999</v>
      </c>
      <c r="AL17" s="72">
        <f t="shared" si="21"/>
        <v>225.0009</v>
      </c>
      <c r="AM17" s="73">
        <f t="shared" si="22"/>
        <v>0.94300000000066575</v>
      </c>
      <c r="AN17" s="74">
        <f t="shared" si="23"/>
        <v>-2.3683110000000056</v>
      </c>
      <c r="AO17" s="74">
        <f t="shared" si="24"/>
        <v>0.42891700000001265</v>
      </c>
      <c r="AP17" s="75">
        <f t="shared" si="25"/>
        <v>-5.8209590747973017E-3</v>
      </c>
      <c r="AQ17" s="76">
        <f t="shared" si="26"/>
        <v>-934.79507069666533</v>
      </c>
      <c r="AR17" s="77">
        <f t="shared" si="27"/>
        <v>0.94300000000066575</v>
      </c>
    </row>
    <row r="18" spans="1:49" x14ac:dyDescent="0.25">
      <c r="A18" t="str">
        <f t="shared" si="12"/>
        <v>46181M</v>
      </c>
      <c r="B18" s="51">
        <f t="shared" si="28"/>
        <v>46181</v>
      </c>
      <c r="C18" s="52" t="s">
        <v>87</v>
      </c>
      <c r="D18" s="91">
        <v>2809</v>
      </c>
      <c r="E18" s="62">
        <v>3.92</v>
      </c>
      <c r="F18" s="62">
        <v>8.01</v>
      </c>
      <c r="G18" s="62">
        <f t="shared" si="29"/>
        <v>110.11279999999999</v>
      </c>
      <c r="H18" s="63">
        <f t="shared" si="30"/>
        <v>225.0009</v>
      </c>
      <c r="I18" s="119">
        <v>1347.7</v>
      </c>
      <c r="J18" s="120">
        <v>1388.1310000000001</v>
      </c>
      <c r="K18" s="121">
        <v>4.70507531349707</v>
      </c>
      <c r="L18" s="122">
        <v>8.1851228018104916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1388.1310000000001</v>
      </c>
      <c r="S18" s="62">
        <f t="shared" si="14"/>
        <v>65.312609000000023</v>
      </c>
      <c r="T18" s="63">
        <f t="shared" si="15"/>
        <v>113.620227</v>
      </c>
      <c r="U18" s="64" t="s">
        <v>256</v>
      </c>
      <c r="V18" s="65" t="s">
        <v>391</v>
      </c>
      <c r="W18" s="66" t="s">
        <v>262</v>
      </c>
      <c r="X18" s="67">
        <v>4170</v>
      </c>
      <c r="Y18" s="68">
        <v>4.45</v>
      </c>
      <c r="Z18" s="68">
        <v>8.23</v>
      </c>
      <c r="AA18" s="62">
        <f t="shared" si="16"/>
        <v>185.56500000000003</v>
      </c>
      <c r="AB18" s="63">
        <f t="shared" si="17"/>
        <v>343.19099999999997</v>
      </c>
      <c r="AC18" s="69">
        <v>4170</v>
      </c>
      <c r="AD18" s="70">
        <v>4.05</v>
      </c>
      <c r="AE18" s="70">
        <v>8.0299999999999994</v>
      </c>
      <c r="AF18" s="62">
        <f t="shared" si="18"/>
        <v>168.88500000000002</v>
      </c>
      <c r="AG18" s="63">
        <f t="shared" si="19"/>
        <v>334.851</v>
      </c>
      <c r="AH18" s="89">
        <v>26</v>
      </c>
      <c r="AI18" s="66">
        <v>4.17</v>
      </c>
      <c r="AJ18" s="66">
        <v>8.02</v>
      </c>
      <c r="AK18" s="62">
        <f t="shared" si="20"/>
        <v>1.0842000000000001</v>
      </c>
      <c r="AL18" s="72">
        <f t="shared" si="21"/>
        <v>2.0851999999999999</v>
      </c>
      <c r="AM18" s="73">
        <f t="shared" si="22"/>
        <v>1.1310000000003129</v>
      </c>
      <c r="AN18" s="74">
        <f t="shared" si="23"/>
        <v>5.4562089999999825</v>
      </c>
      <c r="AO18" s="74">
        <f t="shared" si="24"/>
        <v>1.6849270000000023</v>
      </c>
      <c r="AP18" s="75">
        <f t="shared" si="25"/>
        <v>3.9909589316518654E-2</v>
      </c>
      <c r="AQ18" s="76">
        <f t="shared" si="26"/>
        <v>2953.6005019033264</v>
      </c>
      <c r="AR18" s="77">
        <f t="shared" si="27"/>
        <v>1.1310000000003129</v>
      </c>
    </row>
    <row r="19" spans="1:49" x14ac:dyDescent="0.25">
      <c r="A19" t="str">
        <f t="shared" si="12"/>
        <v>46181E</v>
      </c>
      <c r="B19" s="51">
        <f t="shared" si="28"/>
        <v>46181</v>
      </c>
      <c r="C19" s="52" t="s">
        <v>88</v>
      </c>
      <c r="D19" s="91">
        <v>26</v>
      </c>
      <c r="E19" s="62">
        <v>4.17</v>
      </c>
      <c r="F19" s="62">
        <v>8.02</v>
      </c>
      <c r="G19" s="62">
        <f t="shared" si="29"/>
        <v>1.0842000000000001</v>
      </c>
      <c r="H19" s="63">
        <f t="shared" si="30"/>
        <v>2.0851999999999999</v>
      </c>
      <c r="I19" s="119">
        <v>2037.6000000000001</v>
      </c>
      <c r="J19" s="120">
        <v>2098.7280000000001</v>
      </c>
      <c r="K19" s="121">
        <v>3.5191156262269341</v>
      </c>
      <c r="L19" s="122">
        <v>7.8399342363564966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2098.7280000000001</v>
      </c>
      <c r="S19" s="62">
        <f t="shared" si="14"/>
        <v>73.856665000000007</v>
      </c>
      <c r="T19" s="63">
        <f t="shared" si="15"/>
        <v>164.53889499999997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89">
        <v>2125</v>
      </c>
      <c r="AI19" s="66">
        <v>3.51</v>
      </c>
      <c r="AJ19" s="66">
        <v>7.81</v>
      </c>
      <c r="AK19" s="62">
        <f t="shared" si="20"/>
        <v>74.587499999999991</v>
      </c>
      <c r="AL19" s="72">
        <f t="shared" si="21"/>
        <v>165.96250000000001</v>
      </c>
      <c r="AM19" s="73">
        <f t="shared" si="22"/>
        <v>-0.27199999999993452</v>
      </c>
      <c r="AN19" s="74">
        <f t="shared" si="23"/>
        <v>0.35336500000001081</v>
      </c>
      <c r="AO19" s="74">
        <f t="shared" si="24"/>
        <v>0.66159499999994864</v>
      </c>
      <c r="AP19" s="75">
        <f t="shared" si="25"/>
        <v>4.2574618419905117E-3</v>
      </c>
      <c r="AQ19" s="76">
        <f t="shared" si="26"/>
        <v>356.62682311665617</v>
      </c>
      <c r="AR19" s="77">
        <f t="shared" si="27"/>
        <v>-0.27199999999993452</v>
      </c>
    </row>
    <row r="20" spans="1:49" x14ac:dyDescent="0.25">
      <c r="A20" t="str">
        <f t="shared" si="12"/>
        <v>46182M</v>
      </c>
      <c r="B20" s="51">
        <f t="shared" si="28"/>
        <v>46182</v>
      </c>
      <c r="C20" s="52" t="s">
        <v>87</v>
      </c>
      <c r="D20" s="91">
        <v>2125</v>
      </c>
      <c r="E20" s="62">
        <v>3.51</v>
      </c>
      <c r="F20" s="62">
        <v>7.81</v>
      </c>
      <c r="G20" s="62">
        <f t="shared" si="29"/>
        <v>74.587499999999991</v>
      </c>
      <c r="H20" s="63">
        <f t="shared" si="30"/>
        <v>165.96250000000001</v>
      </c>
      <c r="I20" s="119">
        <v>1358.1999999999998</v>
      </c>
      <c r="J20" s="120">
        <v>1398.9459999999999</v>
      </c>
      <c r="K20" s="121">
        <v>4.6972684435281993</v>
      </c>
      <c r="L20" s="122">
        <v>8.144367545280522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1398.9459999999999</v>
      </c>
      <c r="S20" s="62">
        <f t="shared" si="14"/>
        <v>65.712249</v>
      </c>
      <c r="T20" s="63">
        <f t="shared" si="15"/>
        <v>113.93530400000004</v>
      </c>
      <c r="U20" s="64" t="s">
        <v>167</v>
      </c>
      <c r="V20" s="65" t="s">
        <v>392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6"/>
        <v>0</v>
      </c>
      <c r="AB20" s="63">
        <f t="shared" si="17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89">
        <v>3524</v>
      </c>
      <c r="AI20" s="66">
        <v>3.95</v>
      </c>
      <c r="AJ20" s="66">
        <v>7.92</v>
      </c>
      <c r="AK20" s="62">
        <f t="shared" si="20"/>
        <v>139.19800000000001</v>
      </c>
      <c r="AL20" s="72">
        <f t="shared" si="21"/>
        <v>279.10079999999999</v>
      </c>
      <c r="AM20" s="73">
        <f t="shared" si="22"/>
        <v>-5.4000000000087311E-2</v>
      </c>
      <c r="AN20" s="74">
        <f t="shared" si="23"/>
        <v>1.1017489999999839</v>
      </c>
      <c r="AO20" s="74">
        <f t="shared" si="24"/>
        <v>0.79700400000007221</v>
      </c>
      <c r="AP20" s="75">
        <f t="shared" si="25"/>
        <v>1.0569322923090723E-2</v>
      </c>
      <c r="AQ20" s="76">
        <f t="shared" si="26"/>
        <v>733.10818735001442</v>
      </c>
      <c r="AR20" s="77">
        <f t="shared" si="27"/>
        <v>-5.4000000000087311E-2</v>
      </c>
    </row>
    <row r="21" spans="1:49" x14ac:dyDescent="0.25">
      <c r="A21" t="str">
        <f t="shared" si="12"/>
        <v>46182E</v>
      </c>
      <c r="B21" s="51">
        <f t="shared" si="28"/>
        <v>46182</v>
      </c>
      <c r="C21" s="52" t="s">
        <v>88</v>
      </c>
      <c r="D21" s="91">
        <v>3524</v>
      </c>
      <c r="E21" s="62">
        <v>3.95</v>
      </c>
      <c r="F21" s="62">
        <v>7.92</v>
      </c>
      <c r="G21" s="62">
        <f t="shared" si="29"/>
        <v>139.19800000000001</v>
      </c>
      <c r="H21" s="63">
        <f t="shared" si="30"/>
        <v>279.10079999999999</v>
      </c>
      <c r="I21" s="119">
        <v>2584.6999999999994</v>
      </c>
      <c r="J21" s="120">
        <v>2662.2409999999995</v>
      </c>
      <c r="K21" s="121">
        <v>3.472225016442914</v>
      </c>
      <c r="L21" s="122">
        <v>7.9009672302394849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2662.2409999999995</v>
      </c>
      <c r="S21" s="62">
        <f t="shared" si="14"/>
        <v>92.438997999999984</v>
      </c>
      <c r="T21" s="63">
        <f t="shared" si="15"/>
        <v>210.34278899999993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89">
        <v>6186</v>
      </c>
      <c r="AI21" s="66">
        <v>3.73</v>
      </c>
      <c r="AJ21" s="66">
        <v>7.9</v>
      </c>
      <c r="AK21" s="62">
        <f t="shared" si="20"/>
        <v>230.73779999999999</v>
      </c>
      <c r="AL21" s="72">
        <f t="shared" si="21"/>
        <v>488.69400000000002</v>
      </c>
      <c r="AM21" s="73">
        <f t="shared" si="22"/>
        <v>0.24099999999998545</v>
      </c>
      <c r="AN21" s="74">
        <f t="shared" si="23"/>
        <v>0.8991980000000126</v>
      </c>
      <c r="AO21" s="74">
        <f t="shared" si="24"/>
        <v>0.74958899999990081</v>
      </c>
      <c r="AP21" s="75">
        <f t="shared" si="25"/>
        <v>5.4454629399486101E-3</v>
      </c>
      <c r="AQ21" s="76">
        <f t="shared" si="26"/>
        <v>627.99097283997594</v>
      </c>
      <c r="AR21" s="77">
        <f t="shared" si="27"/>
        <v>0.24099999999998545</v>
      </c>
    </row>
    <row r="22" spans="1:49" x14ac:dyDescent="0.25">
      <c r="A22" t="str">
        <f t="shared" si="12"/>
        <v>46183M</v>
      </c>
      <c r="B22" s="51">
        <f t="shared" si="28"/>
        <v>46183</v>
      </c>
      <c r="C22" s="52" t="s">
        <v>87</v>
      </c>
      <c r="D22" s="91">
        <v>6186</v>
      </c>
      <c r="E22" s="62">
        <v>3.73</v>
      </c>
      <c r="F22" s="62">
        <v>7.9</v>
      </c>
      <c r="G22" s="62">
        <f t="shared" si="29"/>
        <v>230.73779999999999</v>
      </c>
      <c r="H22" s="63">
        <f t="shared" si="30"/>
        <v>488.69400000000002</v>
      </c>
      <c r="I22" s="119">
        <v>1389.0000000000002</v>
      </c>
      <c r="J22" s="120">
        <v>1430.6700000000003</v>
      </c>
      <c r="K22" s="121">
        <v>4.3715334773218144</v>
      </c>
      <c r="L22" s="122">
        <v>8.0769690424766019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1430.6700000000003</v>
      </c>
      <c r="S22" s="62">
        <f t="shared" si="14"/>
        <v>62.542218000000013</v>
      </c>
      <c r="T22" s="63">
        <f t="shared" si="15"/>
        <v>115.55477300000003</v>
      </c>
      <c r="U22" s="64" t="s">
        <v>251</v>
      </c>
      <c r="V22" s="65" t="s">
        <v>393</v>
      </c>
      <c r="W22" s="66" t="s">
        <v>189</v>
      </c>
      <c r="X22" s="67">
        <v>7630</v>
      </c>
      <c r="Y22" s="68">
        <v>4.05</v>
      </c>
      <c r="Z22" s="68">
        <v>8.09</v>
      </c>
      <c r="AA22" s="62">
        <f t="shared" si="16"/>
        <v>309.01499999999999</v>
      </c>
      <c r="AB22" s="63">
        <f t="shared" si="17"/>
        <v>617.26700000000005</v>
      </c>
      <c r="AC22" s="69">
        <v>7640</v>
      </c>
      <c r="AD22" s="70">
        <v>4</v>
      </c>
      <c r="AE22" s="70">
        <v>8.02</v>
      </c>
      <c r="AF22" s="62">
        <f t="shared" si="18"/>
        <v>305.60000000000002</v>
      </c>
      <c r="AG22" s="63">
        <f t="shared" si="19"/>
        <v>612.72799999999995</v>
      </c>
      <c r="AH22" s="89">
        <v>0</v>
      </c>
      <c r="AI22" s="66">
        <v>0</v>
      </c>
      <c r="AJ22" s="66">
        <v>0</v>
      </c>
      <c r="AK22" s="62">
        <f t="shared" si="20"/>
        <v>0</v>
      </c>
      <c r="AL22" s="72">
        <f t="shared" si="21"/>
        <v>0</v>
      </c>
      <c r="AM22" s="73">
        <f t="shared" si="22"/>
        <v>-23.329999999999927</v>
      </c>
      <c r="AN22" s="74">
        <f t="shared" si="23"/>
        <v>-12.319982000000039</v>
      </c>
      <c r="AO22" s="74">
        <f t="shared" si="24"/>
        <v>-8.4792269999999235</v>
      </c>
      <c r="AP22" s="75">
        <f t="shared" si="25"/>
        <v>-0.11678585294009801</v>
      </c>
      <c r="AQ22" s="76">
        <f t="shared" si="26"/>
        <v>-8068.1696479999955</v>
      </c>
      <c r="AR22" s="77">
        <f t="shared" si="27"/>
        <v>-13.329999999999927</v>
      </c>
      <c r="AT22" s="83"/>
      <c r="AU22" s="83"/>
      <c r="AW22">
        <f>AS22*AU22%</f>
        <v>0</v>
      </c>
    </row>
    <row r="23" spans="1:49" x14ac:dyDescent="0.25">
      <c r="A23" t="str">
        <f t="shared" si="12"/>
        <v>46183E</v>
      </c>
      <c r="B23" s="51">
        <f t="shared" si="28"/>
        <v>46183</v>
      </c>
      <c r="C23" s="52" t="s">
        <v>88</v>
      </c>
      <c r="D23" s="91">
        <v>0</v>
      </c>
      <c r="E23" s="62">
        <v>0</v>
      </c>
      <c r="F23" s="62">
        <v>0</v>
      </c>
      <c r="G23" s="62">
        <f t="shared" si="29"/>
        <v>0</v>
      </c>
      <c r="H23" s="63">
        <f t="shared" si="30"/>
        <v>0</v>
      </c>
      <c r="I23" s="119">
        <v>1888.9000000000005</v>
      </c>
      <c r="J23" s="120">
        <v>1945.5670000000007</v>
      </c>
      <c r="K23" s="121">
        <v>3.7314045211498752</v>
      </c>
      <c r="L23" s="122">
        <v>8.0893482979511919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1945.5670000000007</v>
      </c>
      <c r="S23" s="62">
        <f t="shared" si="14"/>
        <v>72.596975000000015</v>
      </c>
      <c r="T23" s="63">
        <f t="shared" si="15"/>
        <v>157.38369100000011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89">
        <v>1945</v>
      </c>
      <c r="AI23" s="66">
        <v>3.74</v>
      </c>
      <c r="AJ23" s="84">
        <v>8.06</v>
      </c>
      <c r="AK23" s="62">
        <f t="shared" si="20"/>
        <v>72.743000000000009</v>
      </c>
      <c r="AL23" s="72">
        <f t="shared" si="21"/>
        <v>156.767</v>
      </c>
      <c r="AM23" s="73">
        <f t="shared" si="22"/>
        <v>0.5670000000006894</v>
      </c>
      <c r="AN23" s="74">
        <f t="shared" si="23"/>
        <v>-0.14602499999999452</v>
      </c>
      <c r="AO23" s="74">
        <f t="shared" si="24"/>
        <v>0.61669100000011667</v>
      </c>
      <c r="AP23" s="75">
        <f t="shared" si="25"/>
        <v>2.0465459474759582E-3</v>
      </c>
      <c r="AQ23" s="76">
        <f t="shared" si="26"/>
        <v>119.00708845670405</v>
      </c>
      <c r="AR23" s="77">
        <f t="shared" si="27"/>
        <v>0.5670000000006894</v>
      </c>
      <c r="AU23" s="83"/>
      <c r="AW23">
        <f>AS23*AU23%</f>
        <v>0</v>
      </c>
    </row>
    <row r="24" spans="1:49" x14ac:dyDescent="0.25">
      <c r="A24" t="str">
        <f t="shared" si="12"/>
        <v>46184M</v>
      </c>
      <c r="B24" s="51">
        <f t="shared" si="28"/>
        <v>46184</v>
      </c>
      <c r="C24" s="52" t="s">
        <v>87</v>
      </c>
      <c r="D24" s="91">
        <v>1945</v>
      </c>
      <c r="E24" s="62">
        <v>3.74</v>
      </c>
      <c r="F24" s="62">
        <v>8.06</v>
      </c>
      <c r="G24" s="62">
        <f t="shared" si="29"/>
        <v>72.743000000000009</v>
      </c>
      <c r="H24" s="63">
        <f t="shared" si="30"/>
        <v>156.767</v>
      </c>
      <c r="I24" s="119">
        <v>1575.6</v>
      </c>
      <c r="J24" s="120">
        <v>1622.8679999999999</v>
      </c>
      <c r="K24" s="121">
        <v>4.1108783955318611</v>
      </c>
      <c r="L24" s="122">
        <v>8.0554582381315054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1622.8679999999999</v>
      </c>
      <c r="S24" s="62">
        <f t="shared" si="14"/>
        <v>66.714129999999997</v>
      </c>
      <c r="T24" s="63">
        <f t="shared" si="15"/>
        <v>130.72945399999998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89">
        <v>3567</v>
      </c>
      <c r="AI24" s="66">
        <v>3.9</v>
      </c>
      <c r="AJ24" s="66">
        <v>8.01</v>
      </c>
      <c r="AK24" s="62">
        <f t="shared" si="20"/>
        <v>139.113</v>
      </c>
      <c r="AL24" s="72">
        <f t="shared" si="21"/>
        <v>285.7167</v>
      </c>
      <c r="AM24" s="73">
        <f t="shared" si="22"/>
        <v>0.86799999999993815</v>
      </c>
      <c r="AN24" s="74">
        <f t="shared" si="23"/>
        <v>0.34413000000000693</v>
      </c>
      <c r="AO24" s="74">
        <f t="shared" si="24"/>
        <v>1.7797539999999685</v>
      </c>
      <c r="AP24" s="75">
        <f t="shared" si="25"/>
        <v>1.0756915757768942E-2</v>
      </c>
      <c r="AQ24" s="76">
        <f t="shared" si="26"/>
        <v>687.11631039332713</v>
      </c>
      <c r="AR24" s="77">
        <f t="shared" si="27"/>
        <v>0.86799999999993815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2"/>
        <v>46184E</v>
      </c>
      <c r="B25" s="51">
        <f t="shared" si="28"/>
        <v>46184</v>
      </c>
      <c r="C25" s="52" t="s">
        <v>88</v>
      </c>
      <c r="D25" s="91">
        <v>3567</v>
      </c>
      <c r="E25" s="62">
        <v>3.9</v>
      </c>
      <c r="F25" s="62">
        <v>8.01</v>
      </c>
      <c r="G25" s="62">
        <f t="shared" si="29"/>
        <v>139.113</v>
      </c>
      <c r="H25" s="63">
        <f t="shared" si="30"/>
        <v>285.7167</v>
      </c>
      <c r="I25" s="119">
        <v>2502.6000000000004</v>
      </c>
      <c r="J25" s="120">
        <v>2577.6780000000003</v>
      </c>
      <c r="K25" s="121">
        <v>3.3706944777431476</v>
      </c>
      <c r="L25" s="122">
        <v>7.946092064253178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2577.6780000000003</v>
      </c>
      <c r="S25" s="62">
        <f t="shared" si="14"/>
        <v>86.885650000000027</v>
      </c>
      <c r="T25" s="63">
        <f t="shared" si="15"/>
        <v>204.82466700000006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89">
        <v>6145</v>
      </c>
      <c r="AI25" s="66">
        <v>3.66</v>
      </c>
      <c r="AJ25" s="66">
        <v>7.97</v>
      </c>
      <c r="AK25" s="62">
        <f t="shared" si="20"/>
        <v>224.90700000000001</v>
      </c>
      <c r="AL25" s="72">
        <f t="shared" si="21"/>
        <v>489.75649999999996</v>
      </c>
      <c r="AM25" s="73">
        <f t="shared" si="22"/>
        <v>-0.32200000000011642</v>
      </c>
      <c r="AN25" s="74">
        <f t="shared" si="23"/>
        <v>1.0916500000000156</v>
      </c>
      <c r="AO25" s="74">
        <f t="shared" si="24"/>
        <v>0.78486700000007659</v>
      </c>
      <c r="AP25" s="75">
        <f t="shared" si="25"/>
        <v>6.4328098481346878E-3</v>
      </c>
      <c r="AQ25" s="76">
        <f t="shared" si="26"/>
        <v>724.94236481336327</v>
      </c>
      <c r="AR25" s="77">
        <f t="shared" si="27"/>
        <v>-0.32200000000011642</v>
      </c>
    </row>
    <row r="26" spans="1:49" x14ac:dyDescent="0.25">
      <c r="A26" t="str">
        <f t="shared" si="12"/>
        <v>46185M</v>
      </c>
      <c r="B26" s="51">
        <f t="shared" si="28"/>
        <v>46185</v>
      </c>
      <c r="C26" s="52" t="s">
        <v>87</v>
      </c>
      <c r="D26" s="91">
        <v>6145</v>
      </c>
      <c r="E26" s="62">
        <v>3.66</v>
      </c>
      <c r="F26" s="62">
        <v>7.97</v>
      </c>
      <c r="G26" s="62">
        <f t="shared" si="29"/>
        <v>224.90700000000001</v>
      </c>
      <c r="H26" s="63">
        <f t="shared" si="30"/>
        <v>489.75649999999996</v>
      </c>
      <c r="I26" s="119">
        <v>2235.7000000000003</v>
      </c>
      <c r="J26" s="120">
        <v>2302.7710000000002</v>
      </c>
      <c r="K26" s="121">
        <v>4.2328040434763183</v>
      </c>
      <c r="L26" s="122">
        <v>8.0544527441069942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2302.7710000000002</v>
      </c>
      <c r="S26" s="62">
        <f t="shared" si="14"/>
        <v>97.471784000000056</v>
      </c>
      <c r="T26" s="63">
        <f t="shared" si="15"/>
        <v>185.47560200000007</v>
      </c>
      <c r="U26" s="64" t="s">
        <v>251</v>
      </c>
      <c r="V26" s="65" t="s">
        <v>518</v>
      </c>
      <c r="W26" s="66" t="s">
        <v>189</v>
      </c>
      <c r="X26" s="67">
        <v>8520</v>
      </c>
      <c r="Y26" s="68">
        <v>3.95</v>
      </c>
      <c r="Z26" s="68">
        <v>8.07</v>
      </c>
      <c r="AA26" s="62">
        <f t="shared" si="16"/>
        <v>336.54</v>
      </c>
      <c r="AB26" s="63">
        <f t="shared" si="17"/>
        <v>687.56400000000008</v>
      </c>
      <c r="AC26" s="69">
        <v>8520</v>
      </c>
      <c r="AD26" s="70">
        <v>3.8999999999999995</v>
      </c>
      <c r="AE26" s="70">
        <v>7.8100000000000005</v>
      </c>
      <c r="AF26" s="62">
        <f t="shared" si="18"/>
        <v>332.27999999999992</v>
      </c>
      <c r="AG26" s="63">
        <f t="shared" si="19"/>
        <v>665.41200000000003</v>
      </c>
      <c r="AH26" s="89">
        <v>0</v>
      </c>
      <c r="AI26" s="66">
        <v>0</v>
      </c>
      <c r="AJ26" s="66">
        <v>0</v>
      </c>
      <c r="AK26" s="62">
        <f t="shared" si="20"/>
        <v>0</v>
      </c>
      <c r="AL26" s="72">
        <f t="shared" si="21"/>
        <v>0</v>
      </c>
      <c r="AM26" s="73">
        <f t="shared" si="22"/>
        <v>-72.22899999999936</v>
      </c>
      <c r="AN26" s="74">
        <f t="shared" si="23"/>
        <v>-9.901215999999863</v>
      </c>
      <c r="AO26" s="74">
        <f t="shared" si="24"/>
        <v>9.8201020000000199</v>
      </c>
      <c r="AP26" s="75">
        <f t="shared" si="25"/>
        <v>-2.8667520540318092E-4</v>
      </c>
      <c r="AQ26" s="76">
        <f t="shared" si="26"/>
        <v>-1505.860215346599</v>
      </c>
      <c r="AR26" s="77">
        <f t="shared" si="27"/>
        <v>-72.22899999999936</v>
      </c>
    </row>
    <row r="27" spans="1:49" x14ac:dyDescent="0.25">
      <c r="A27" t="str">
        <f t="shared" si="12"/>
        <v>46185E</v>
      </c>
      <c r="B27" s="51">
        <f t="shared" si="28"/>
        <v>46185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29"/>
        <v>0</v>
      </c>
      <c r="H27" s="63">
        <f t="shared" si="30"/>
        <v>0</v>
      </c>
      <c r="I27" s="119">
        <v>1834.9000000000003</v>
      </c>
      <c r="J27" s="120">
        <v>1889.9470000000003</v>
      </c>
      <c r="K27" s="121">
        <v>3.9394735407924126</v>
      </c>
      <c r="L27" s="122">
        <v>7.9868821189165624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1889.9470000000003</v>
      </c>
      <c r="S27" s="62">
        <f t="shared" si="14"/>
        <v>74.45396199999999</v>
      </c>
      <c r="T27" s="63">
        <f t="shared" si="15"/>
        <v>150.94783900000002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89">
        <v>1890</v>
      </c>
      <c r="AI27" s="66">
        <v>3.9</v>
      </c>
      <c r="AJ27" s="66">
        <v>7.96</v>
      </c>
      <c r="AK27" s="62">
        <f t="shared" si="20"/>
        <v>73.709999999999994</v>
      </c>
      <c r="AL27" s="72">
        <f t="shared" si="21"/>
        <v>150.44400000000002</v>
      </c>
      <c r="AM27" s="73">
        <f t="shared" si="22"/>
        <v>-5.2999999999656211E-2</v>
      </c>
      <c r="AN27" s="74">
        <f t="shared" si="23"/>
        <v>0.74396199999999624</v>
      </c>
      <c r="AO27" s="74">
        <f t="shared" si="24"/>
        <v>0.50383899999999926</v>
      </c>
      <c r="AP27" s="75">
        <f t="shared" si="25"/>
        <v>5.5358963169952462E-3</v>
      </c>
      <c r="AQ27" s="76">
        <f t="shared" si="26"/>
        <v>484.75755841333148</v>
      </c>
      <c r="AR27" s="77">
        <f t="shared" si="27"/>
        <v>-5.2999999999656211E-2</v>
      </c>
    </row>
    <row r="28" spans="1:49" x14ac:dyDescent="0.25">
      <c r="A28" t="str">
        <f t="shared" si="12"/>
        <v>46186M</v>
      </c>
      <c r="B28" s="51">
        <f t="shared" si="28"/>
        <v>46186</v>
      </c>
      <c r="C28" s="52" t="s">
        <v>87</v>
      </c>
      <c r="D28" s="91">
        <v>1890</v>
      </c>
      <c r="E28" s="62">
        <v>3.9</v>
      </c>
      <c r="F28" s="62">
        <v>7.96</v>
      </c>
      <c r="G28" s="62">
        <f t="shared" si="29"/>
        <v>73.709999999999994</v>
      </c>
      <c r="H28" s="63">
        <f t="shared" si="30"/>
        <v>150.44400000000002</v>
      </c>
      <c r="I28" s="119">
        <v>1663.3000000000002</v>
      </c>
      <c r="J28" s="120">
        <v>1713.1990000000003</v>
      </c>
      <c r="K28" s="121">
        <v>4.3764444177238024</v>
      </c>
      <c r="L28" s="122">
        <v>7.9928395358624424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1713.1990000000003</v>
      </c>
      <c r="S28" s="62">
        <f t="shared" si="14"/>
        <v>74.97720200000002</v>
      </c>
      <c r="T28" s="63">
        <f t="shared" si="15"/>
        <v>136.93324700000002</v>
      </c>
      <c r="U28" s="64" t="s">
        <v>246</v>
      </c>
      <c r="V28" s="65" t="s">
        <v>519</v>
      </c>
      <c r="W28" s="66" t="s">
        <v>253</v>
      </c>
      <c r="X28" s="67">
        <v>3580</v>
      </c>
      <c r="Y28" s="68">
        <v>4.05</v>
      </c>
      <c r="Z28" s="68">
        <v>8.09</v>
      </c>
      <c r="AA28" s="62">
        <f t="shared" si="16"/>
        <v>144.99</v>
      </c>
      <c r="AB28" s="63">
        <f t="shared" si="17"/>
        <v>289.62200000000001</v>
      </c>
      <c r="AC28" s="69">
        <v>3570</v>
      </c>
      <c r="AD28" s="70">
        <v>4</v>
      </c>
      <c r="AE28" s="70">
        <v>7.89</v>
      </c>
      <c r="AF28" s="62">
        <f t="shared" si="18"/>
        <v>142.80000000000001</v>
      </c>
      <c r="AG28" s="63">
        <f t="shared" si="19"/>
        <v>281.673</v>
      </c>
      <c r="AH28" s="89">
        <v>23</v>
      </c>
      <c r="AI28" s="66">
        <v>4.0999999999999996</v>
      </c>
      <c r="AJ28" s="66">
        <v>7.97</v>
      </c>
      <c r="AK28" s="62">
        <f t="shared" si="20"/>
        <v>0.94299999999999984</v>
      </c>
      <c r="AL28" s="72">
        <f t="shared" si="21"/>
        <v>1.8331</v>
      </c>
      <c r="AM28" s="73">
        <f t="shared" si="22"/>
        <v>10.199000000000524</v>
      </c>
      <c r="AN28" s="74">
        <f t="shared" si="23"/>
        <v>4.9442020000000024</v>
      </c>
      <c r="AO28" s="74">
        <f t="shared" si="24"/>
        <v>3.8711470000000094</v>
      </c>
      <c r="AP28" s="75">
        <f t="shared" si="25"/>
        <v>4.1599406926838285E-2</v>
      </c>
      <c r="AQ28" s="76">
        <f t="shared" si="26"/>
        <v>3378.0327863333378</v>
      </c>
      <c r="AR28" s="77">
        <f t="shared" si="27"/>
        <v>0.19900000000052387</v>
      </c>
    </row>
    <row r="29" spans="1:49" x14ac:dyDescent="0.25">
      <c r="A29" t="str">
        <f t="shared" si="12"/>
        <v>46186E</v>
      </c>
      <c r="B29" s="51">
        <f t="shared" si="28"/>
        <v>46186</v>
      </c>
      <c r="C29" s="52" t="s">
        <v>88</v>
      </c>
      <c r="D29" s="91">
        <v>23</v>
      </c>
      <c r="E29" s="62">
        <v>4.0999999999999996</v>
      </c>
      <c r="F29" s="62">
        <v>7.97</v>
      </c>
      <c r="G29" s="62">
        <f t="shared" si="29"/>
        <v>0.94299999999999984</v>
      </c>
      <c r="H29" s="63">
        <f t="shared" si="30"/>
        <v>1.8331</v>
      </c>
      <c r="I29" s="119">
        <v>1883.8999999999994</v>
      </c>
      <c r="J29" s="120">
        <v>1940.4169999999995</v>
      </c>
      <c r="K29" s="121">
        <v>3.8362492701311113</v>
      </c>
      <c r="L29" s="122">
        <v>7.9896597483942884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1940.4169999999995</v>
      </c>
      <c r="S29" s="62">
        <f t="shared" si="14"/>
        <v>74.439232999999987</v>
      </c>
      <c r="T29" s="63">
        <f t="shared" si="15"/>
        <v>155.03271599999997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89">
        <v>1963</v>
      </c>
      <c r="AI29" s="66">
        <v>3.87</v>
      </c>
      <c r="AJ29" s="66">
        <v>7.97</v>
      </c>
      <c r="AK29" s="62">
        <f t="shared" si="20"/>
        <v>75.968099999999993</v>
      </c>
      <c r="AL29" s="72">
        <f t="shared" si="21"/>
        <v>156.4511</v>
      </c>
      <c r="AM29" s="73">
        <f t="shared" si="22"/>
        <v>0.41699999999946158</v>
      </c>
      <c r="AN29" s="74">
        <f t="shared" si="23"/>
        <v>-0.58586700000000747</v>
      </c>
      <c r="AO29" s="74">
        <f t="shared" si="24"/>
        <v>0.41471599999997011</v>
      </c>
      <c r="AP29" s="75">
        <f t="shared" si="25"/>
        <v>-7.458471536319997E-4</v>
      </c>
      <c r="AQ29" s="76">
        <f t="shared" si="26"/>
        <v>-138.88811526334564</v>
      </c>
      <c r="AR29" s="77">
        <f t="shared" si="27"/>
        <v>0.41699999999946158</v>
      </c>
    </row>
    <row r="30" spans="1:49" x14ac:dyDescent="0.25">
      <c r="A30" t="str">
        <f t="shared" si="12"/>
        <v>46187M</v>
      </c>
      <c r="B30" s="51">
        <f t="shared" si="28"/>
        <v>46187</v>
      </c>
      <c r="C30" s="52" t="s">
        <v>87</v>
      </c>
      <c r="D30" s="91">
        <v>1963</v>
      </c>
      <c r="E30" s="62">
        <v>3.87</v>
      </c>
      <c r="F30" s="62">
        <v>7.97</v>
      </c>
      <c r="G30" s="62">
        <f t="shared" si="29"/>
        <v>75.968099999999993</v>
      </c>
      <c r="H30" s="63">
        <f t="shared" si="30"/>
        <v>156.4511</v>
      </c>
      <c r="I30" s="119">
        <v>2239.1</v>
      </c>
      <c r="J30" s="120">
        <v>2306.2730000000001</v>
      </c>
      <c r="K30" s="121">
        <v>4.2405073467018006</v>
      </c>
      <c r="L30" s="122">
        <v>7.974136930016523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2306.2730000000001</v>
      </c>
      <c r="S30" s="62">
        <f t="shared" si="14"/>
        <v>97.797676000000024</v>
      </c>
      <c r="T30" s="63">
        <f t="shared" si="15"/>
        <v>183.90536699999998</v>
      </c>
      <c r="U30" s="64" t="s">
        <v>187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89">
        <v>4243</v>
      </c>
      <c r="AI30" s="66">
        <v>4.0599999999999996</v>
      </c>
      <c r="AJ30" s="66">
        <v>7.96</v>
      </c>
      <c r="AK30" s="62">
        <f t="shared" si="20"/>
        <v>172.26579999999998</v>
      </c>
      <c r="AL30" s="72">
        <f t="shared" si="21"/>
        <v>337.74280000000005</v>
      </c>
      <c r="AM30" s="73">
        <f t="shared" si="22"/>
        <v>26.273000000000138</v>
      </c>
      <c r="AN30" s="74">
        <f t="shared" si="23"/>
        <v>1.4999760000000322</v>
      </c>
      <c r="AO30" s="74">
        <f t="shared" si="24"/>
        <v>2.6136669999999071</v>
      </c>
      <c r="AP30" s="75">
        <f t="shared" si="25"/>
        <v>1.4602763804720205E-2</v>
      </c>
      <c r="AQ30" s="76">
        <f t="shared" si="26"/>
        <v>1455.5550614733202</v>
      </c>
      <c r="AR30" s="77">
        <f t="shared" si="27"/>
        <v>26.273000000000138</v>
      </c>
    </row>
    <row r="31" spans="1:49" x14ac:dyDescent="0.25">
      <c r="A31" t="str">
        <f t="shared" si="12"/>
        <v>46187E</v>
      </c>
      <c r="B31" s="51">
        <f t="shared" si="28"/>
        <v>46187</v>
      </c>
      <c r="C31" s="52" t="s">
        <v>88</v>
      </c>
      <c r="D31" s="91">
        <v>4243</v>
      </c>
      <c r="E31" s="62">
        <v>4.0599999999999996</v>
      </c>
      <c r="F31" s="62">
        <v>7.96</v>
      </c>
      <c r="G31" s="62">
        <f t="shared" si="29"/>
        <v>172.26579999999998</v>
      </c>
      <c r="H31" s="63">
        <f t="shared" si="30"/>
        <v>337.74280000000005</v>
      </c>
      <c r="I31" s="119">
        <v>1916.4999999999998</v>
      </c>
      <c r="J31" s="120">
        <v>1973.9949999999999</v>
      </c>
      <c r="K31" s="121">
        <v>3.8903365510044363</v>
      </c>
      <c r="L31" s="122">
        <v>8.0275815288285948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1973.9949999999999</v>
      </c>
      <c r="S31" s="62">
        <f t="shared" si="14"/>
        <v>76.79504900000002</v>
      </c>
      <c r="T31" s="63">
        <f t="shared" si="15"/>
        <v>158.46405800000002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89">
        <v>6244</v>
      </c>
      <c r="AI31" s="66">
        <v>3.96</v>
      </c>
      <c r="AJ31" s="66">
        <v>7.97</v>
      </c>
      <c r="AK31" s="62">
        <f t="shared" si="20"/>
        <v>247.26239999999999</v>
      </c>
      <c r="AL31" s="72">
        <f t="shared" si="21"/>
        <v>497.64679999999998</v>
      </c>
      <c r="AM31" s="73">
        <f t="shared" si="22"/>
        <v>-27.005000000000109</v>
      </c>
      <c r="AN31" s="74">
        <f t="shared" si="23"/>
        <v>1.7984490000000335</v>
      </c>
      <c r="AO31" s="74">
        <f t="shared" si="24"/>
        <v>-1.4399419999999168</v>
      </c>
      <c r="AP31" s="75">
        <f t="shared" si="25"/>
        <v>1.5238814963287124E-3</v>
      </c>
      <c r="AQ31" s="76">
        <f t="shared" si="26"/>
        <v>376.40549844337329</v>
      </c>
      <c r="AR31" s="77">
        <f t="shared" si="27"/>
        <v>-27.005000000000109</v>
      </c>
    </row>
    <row r="32" spans="1:49" x14ac:dyDescent="0.25">
      <c r="A32" t="str">
        <f t="shared" si="12"/>
        <v>46188M</v>
      </c>
      <c r="B32" s="51">
        <f t="shared" si="28"/>
        <v>46188</v>
      </c>
      <c r="C32" s="52" t="s">
        <v>87</v>
      </c>
      <c r="D32" s="91">
        <v>6244</v>
      </c>
      <c r="E32" s="62">
        <v>3.96</v>
      </c>
      <c r="F32" s="62">
        <v>7.97</v>
      </c>
      <c r="G32" s="62">
        <f t="shared" si="29"/>
        <v>247.26239999999999</v>
      </c>
      <c r="H32" s="63">
        <f t="shared" si="30"/>
        <v>497.64679999999998</v>
      </c>
      <c r="I32" s="119">
        <v>1136.2999999999997</v>
      </c>
      <c r="J32" s="120">
        <v>1170.3889999999997</v>
      </c>
      <c r="K32" s="121">
        <v>4.6857872040834279</v>
      </c>
      <c r="L32" s="122">
        <v>8.0997711871864819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1170.3889999999997</v>
      </c>
      <c r="S32" s="62">
        <f t="shared" si="14"/>
        <v>54.841937999999971</v>
      </c>
      <c r="T32" s="63">
        <f t="shared" si="15"/>
        <v>94.798830999999964</v>
      </c>
      <c r="U32" s="64" t="s">
        <v>251</v>
      </c>
      <c r="V32" s="65" t="s">
        <v>586</v>
      </c>
      <c r="W32" s="66" t="s">
        <v>189</v>
      </c>
      <c r="X32" s="67">
        <v>7340</v>
      </c>
      <c r="Y32" s="68">
        <v>4.0999999999999996</v>
      </c>
      <c r="Z32" s="68">
        <v>8.0399999999999991</v>
      </c>
      <c r="AA32" s="62">
        <f t="shared" si="16"/>
        <v>300.93999999999994</v>
      </c>
      <c r="AB32" s="63">
        <f t="shared" si="17"/>
        <v>590.13599999999985</v>
      </c>
      <c r="AC32" s="69">
        <v>7330</v>
      </c>
      <c r="AD32" s="70">
        <v>4.0500000000000007</v>
      </c>
      <c r="AE32" s="70">
        <v>7.8400000000000007</v>
      </c>
      <c r="AF32" s="62">
        <f t="shared" si="18"/>
        <v>296.86500000000007</v>
      </c>
      <c r="AG32" s="63">
        <f t="shared" si="19"/>
        <v>574.67200000000014</v>
      </c>
      <c r="AH32" s="89">
        <v>41</v>
      </c>
      <c r="AI32" s="66">
        <v>4</v>
      </c>
      <c r="AJ32" s="66">
        <v>8</v>
      </c>
      <c r="AK32" s="62">
        <f t="shared" si="20"/>
        <v>1.6400000000000001</v>
      </c>
      <c r="AL32" s="72">
        <f t="shared" si="21"/>
        <v>3.2800000000000002</v>
      </c>
      <c r="AM32" s="73">
        <f t="shared" si="22"/>
        <v>43.388999999999214</v>
      </c>
      <c r="AN32" s="74">
        <f t="shared" si="23"/>
        <v>3.5993379999999182</v>
      </c>
      <c r="AO32" s="74">
        <f t="shared" si="24"/>
        <v>14.493630999999795</v>
      </c>
      <c r="AP32" s="75">
        <f t="shared" si="25"/>
        <v>0.12090935592558819</v>
      </c>
      <c r="AQ32" s="76">
        <f t="shared" si="26"/>
        <v>5953.3360830532365</v>
      </c>
      <c r="AR32" s="77">
        <f t="shared" si="27"/>
        <v>33.388999999999214</v>
      </c>
    </row>
    <row r="33" spans="1:44" x14ac:dyDescent="0.25">
      <c r="A33" t="str">
        <f t="shared" si="12"/>
        <v>46188E</v>
      </c>
      <c r="B33" s="51">
        <f t="shared" si="28"/>
        <v>46188</v>
      </c>
      <c r="C33" s="52" t="s">
        <v>88</v>
      </c>
      <c r="D33" s="91">
        <v>41</v>
      </c>
      <c r="E33" s="62">
        <v>4</v>
      </c>
      <c r="F33" s="62">
        <v>8</v>
      </c>
      <c r="G33" s="62">
        <f t="shared" si="29"/>
        <v>1.6400000000000001</v>
      </c>
      <c r="H33" s="63">
        <f t="shared" si="30"/>
        <v>3.2800000000000002</v>
      </c>
      <c r="I33" s="119">
        <v>1711</v>
      </c>
      <c r="J33" s="120">
        <v>1762.3300000000002</v>
      </c>
      <c r="K33" s="121">
        <v>3.7178492109877275</v>
      </c>
      <c r="L33" s="122">
        <v>7.9615721800116903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1762.3300000000002</v>
      </c>
      <c r="S33" s="62">
        <f t="shared" si="14"/>
        <v>65.520772000000022</v>
      </c>
      <c r="T33" s="63">
        <f t="shared" si="15"/>
        <v>140.30917500000004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89">
        <v>1802</v>
      </c>
      <c r="AI33" s="66">
        <v>3.7</v>
      </c>
      <c r="AJ33" s="66">
        <v>7.95</v>
      </c>
      <c r="AK33" s="62">
        <f t="shared" si="20"/>
        <v>66.674000000000007</v>
      </c>
      <c r="AL33" s="72">
        <f t="shared" si="21"/>
        <v>143.25900000000001</v>
      </c>
      <c r="AM33" s="73">
        <f t="shared" si="22"/>
        <v>1.3300000000001546</v>
      </c>
      <c r="AN33" s="74">
        <f t="shared" si="23"/>
        <v>0.48677200000001619</v>
      </c>
      <c r="AO33" s="74">
        <f t="shared" si="24"/>
        <v>0.33017500000002542</v>
      </c>
      <c r="AP33" s="75">
        <f t="shared" si="25"/>
        <v>3.9690385772680661E-3</v>
      </c>
      <c r="AQ33" s="76">
        <f t="shared" si="26"/>
        <v>317.32939135334823</v>
      </c>
      <c r="AR33" s="77">
        <f t="shared" si="27"/>
        <v>1.3300000000001546</v>
      </c>
    </row>
    <row r="34" spans="1:44" x14ac:dyDescent="0.25">
      <c r="A34" t="str">
        <f t="shared" si="12"/>
        <v>46189M</v>
      </c>
      <c r="B34" s="51">
        <f t="shared" si="28"/>
        <v>46189</v>
      </c>
      <c r="C34" s="52" t="s">
        <v>87</v>
      </c>
      <c r="D34" s="91">
        <v>1802</v>
      </c>
      <c r="E34" s="62">
        <v>3.7</v>
      </c>
      <c r="F34" s="62">
        <v>7.95</v>
      </c>
      <c r="G34" s="62">
        <f t="shared" si="29"/>
        <v>66.674000000000007</v>
      </c>
      <c r="H34" s="63">
        <f t="shared" si="30"/>
        <v>143.25900000000001</v>
      </c>
      <c r="I34" s="119">
        <v>1149.6999999999998</v>
      </c>
      <c r="J34" s="120">
        <v>1184.1909999999998</v>
      </c>
      <c r="K34" s="121">
        <v>4.3799164999565123</v>
      </c>
      <c r="L34" s="122">
        <v>7.9153779246760054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1184.1909999999998</v>
      </c>
      <c r="S34" s="62">
        <f t="shared" si="14"/>
        <v>51.866577000000021</v>
      </c>
      <c r="T34" s="63">
        <f t="shared" si="15"/>
        <v>93.733193000000014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89">
        <v>2984</v>
      </c>
      <c r="AI34" s="66">
        <v>3.94</v>
      </c>
      <c r="AJ34" s="66">
        <v>7.93</v>
      </c>
      <c r="AK34" s="62">
        <f t="shared" si="20"/>
        <v>117.56959999999999</v>
      </c>
      <c r="AL34" s="72">
        <f t="shared" si="21"/>
        <v>236.63119999999998</v>
      </c>
      <c r="AM34" s="73">
        <f t="shared" si="22"/>
        <v>2.1909999999998035</v>
      </c>
      <c r="AN34" s="74">
        <f t="shared" si="23"/>
        <v>0.97097700000003329</v>
      </c>
      <c r="AO34" s="74">
        <f t="shared" si="24"/>
        <v>0.36099300000006451</v>
      </c>
      <c r="AP34" s="75">
        <f t="shared" si="25"/>
        <v>9.1481600554732846E-3</v>
      </c>
      <c r="AQ34" s="76">
        <f t="shared" si="26"/>
        <v>543.9168634900343</v>
      </c>
      <c r="AR34" s="77">
        <f t="shared" si="27"/>
        <v>2.1909999999998035</v>
      </c>
    </row>
    <row r="35" spans="1:44" x14ac:dyDescent="0.25">
      <c r="A35" t="str">
        <f t="shared" si="12"/>
        <v>46189E</v>
      </c>
      <c r="B35" s="51">
        <f t="shared" si="28"/>
        <v>46189</v>
      </c>
      <c r="C35" s="52" t="s">
        <v>88</v>
      </c>
      <c r="D35" s="91">
        <v>2984</v>
      </c>
      <c r="E35" s="62">
        <v>3.94</v>
      </c>
      <c r="F35" s="62">
        <v>7.93</v>
      </c>
      <c r="G35" s="62">
        <f t="shared" si="29"/>
        <v>117.56959999999999</v>
      </c>
      <c r="H35" s="63">
        <f t="shared" si="30"/>
        <v>236.63119999999998</v>
      </c>
      <c r="I35" s="119">
        <v>2886.6000000000004</v>
      </c>
      <c r="J35" s="120">
        <v>2973.1980000000003</v>
      </c>
      <c r="K35" s="121">
        <v>3.7534816046559962</v>
      </c>
      <c r="L35" s="122">
        <v>7.9912041848541531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2973.1980000000003</v>
      </c>
      <c r="S35" s="62">
        <f t="shared" si="14"/>
        <v>111.59844</v>
      </c>
      <c r="T35" s="63">
        <f t="shared" si="15"/>
        <v>237.594323</v>
      </c>
      <c r="U35" s="64" t="s">
        <v>167</v>
      </c>
      <c r="V35" s="65" t="s">
        <v>187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89">
        <v>5956</v>
      </c>
      <c r="AI35" s="66">
        <v>3.82</v>
      </c>
      <c r="AJ35" s="66">
        <v>7.93</v>
      </c>
      <c r="AK35" s="62">
        <f t="shared" si="20"/>
        <v>227.51919999999998</v>
      </c>
      <c r="AL35" s="72">
        <f t="shared" si="21"/>
        <v>472.31079999999997</v>
      </c>
      <c r="AM35" s="73">
        <f t="shared" si="22"/>
        <v>1.1980000000003201</v>
      </c>
      <c r="AN35" s="74">
        <f t="shared" si="23"/>
        <v>1.648840000000007</v>
      </c>
      <c r="AO35" s="74">
        <f t="shared" si="24"/>
        <v>1.9147229999999809</v>
      </c>
      <c r="AP35" s="75">
        <f t="shared" si="25"/>
        <v>1.0205145631841137E-2</v>
      </c>
      <c r="AQ35" s="76">
        <f t="shared" si="26"/>
        <v>1313.2062990199975</v>
      </c>
      <c r="AR35" s="77">
        <f t="shared" si="27"/>
        <v>1.1980000000003201</v>
      </c>
    </row>
    <row r="36" spans="1:44" x14ac:dyDescent="0.25">
      <c r="A36" t="str">
        <f t="shared" si="12"/>
        <v>46190M</v>
      </c>
      <c r="B36" s="51">
        <f t="shared" si="28"/>
        <v>46190</v>
      </c>
      <c r="C36" s="52" t="s">
        <v>87</v>
      </c>
      <c r="D36" s="91">
        <v>5956</v>
      </c>
      <c r="E36" s="62">
        <v>3.82</v>
      </c>
      <c r="F36" s="62">
        <v>7.93</v>
      </c>
      <c r="G36" s="62">
        <f t="shared" si="29"/>
        <v>227.51919999999998</v>
      </c>
      <c r="H36" s="63">
        <f t="shared" si="30"/>
        <v>472.31079999999997</v>
      </c>
      <c r="I36" s="119">
        <v>1787.2</v>
      </c>
      <c r="J36" s="120">
        <v>1840.816</v>
      </c>
      <c r="K36" s="121">
        <v>4.0448690689346467</v>
      </c>
      <c r="L36" s="122">
        <v>7.9473198299015264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1840.816</v>
      </c>
      <c r="S36" s="62">
        <f t="shared" si="14"/>
        <v>74.458596999999997</v>
      </c>
      <c r="T36" s="63">
        <f t="shared" si="15"/>
        <v>146.29553500000009</v>
      </c>
      <c r="U36" s="64" t="s">
        <v>251</v>
      </c>
      <c r="V36" s="85" t="s">
        <v>643</v>
      </c>
      <c r="W36" s="66" t="s">
        <v>189</v>
      </c>
      <c r="X36" s="67">
        <v>7790</v>
      </c>
      <c r="Y36" s="68">
        <v>4.0999999999999996</v>
      </c>
      <c r="Z36" s="68">
        <v>8.1</v>
      </c>
      <c r="AA36" s="62">
        <f t="shared" si="16"/>
        <v>319.39</v>
      </c>
      <c r="AB36" s="63">
        <f t="shared" si="17"/>
        <v>630.99</v>
      </c>
      <c r="AC36" s="226">
        <v>7790</v>
      </c>
      <c r="AD36" s="227">
        <v>4.0999999999999996</v>
      </c>
      <c r="AE36" s="227">
        <v>8.1</v>
      </c>
      <c r="AF36" s="62">
        <f t="shared" si="18"/>
        <v>319.39</v>
      </c>
      <c r="AG36" s="63">
        <f t="shared" si="19"/>
        <v>630.99</v>
      </c>
      <c r="AH36" s="89">
        <v>10</v>
      </c>
      <c r="AI36" s="66">
        <v>3.86</v>
      </c>
      <c r="AJ36" s="66">
        <v>7.93</v>
      </c>
      <c r="AK36" s="62">
        <f t="shared" si="20"/>
        <v>0.38599999999999995</v>
      </c>
      <c r="AL36" s="72">
        <f t="shared" si="21"/>
        <v>0.79299999999999993</v>
      </c>
      <c r="AM36" s="73">
        <f t="shared" si="22"/>
        <v>-3.1840000000001965</v>
      </c>
      <c r="AN36" s="74">
        <f t="shared" si="23"/>
        <v>-17.798202999999976</v>
      </c>
      <c r="AO36" s="74">
        <f t="shared" si="24"/>
        <v>-13.17666499999995</v>
      </c>
      <c r="AP36" s="75">
        <f t="shared" si="25"/>
        <v>-0.14031387643516413</v>
      </c>
      <c r="AQ36" s="76">
        <f t="shared" si="26"/>
        <v>-11933.215765496641</v>
      </c>
      <c r="AR36" s="77">
        <f t="shared" si="27"/>
        <v>-3.1840000000001965</v>
      </c>
    </row>
    <row r="37" spans="1:44" x14ac:dyDescent="0.25">
      <c r="A37" t="str">
        <f t="shared" si="12"/>
        <v>46190E</v>
      </c>
      <c r="B37" s="51">
        <f t="shared" si="28"/>
        <v>46190</v>
      </c>
      <c r="C37" s="52" t="s">
        <v>88</v>
      </c>
      <c r="D37" s="91">
        <v>10</v>
      </c>
      <c r="E37" s="62">
        <v>3.86</v>
      </c>
      <c r="F37" s="62">
        <v>7.93</v>
      </c>
      <c r="G37" s="62">
        <f t="shared" si="29"/>
        <v>0.38599999999999995</v>
      </c>
      <c r="H37" s="63">
        <f t="shared" si="30"/>
        <v>0.79299999999999993</v>
      </c>
      <c r="I37" s="119">
        <v>1543.8000000000002</v>
      </c>
      <c r="J37" s="120">
        <v>1590.1140000000003</v>
      </c>
      <c r="K37" s="121">
        <v>3.7788832750356263</v>
      </c>
      <c r="L37" s="122">
        <v>7.9567107138230337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1590.1140000000003</v>
      </c>
      <c r="S37" s="62">
        <f t="shared" si="14"/>
        <v>60.088552000000014</v>
      </c>
      <c r="T37" s="63">
        <f t="shared" si="15"/>
        <v>126.52077100000002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89">
        <v>1603</v>
      </c>
      <c r="AI37" s="66">
        <v>3.73</v>
      </c>
      <c r="AJ37" s="66">
        <v>7.9</v>
      </c>
      <c r="AK37" s="62">
        <f t="shared" si="20"/>
        <v>59.791899999999998</v>
      </c>
      <c r="AL37" s="72">
        <f t="shared" si="21"/>
        <v>126.637</v>
      </c>
      <c r="AM37" s="73">
        <f t="shared" si="22"/>
        <v>-2.8859999999997399</v>
      </c>
      <c r="AN37" s="74">
        <f t="shared" si="23"/>
        <v>0.68265200000001869</v>
      </c>
      <c r="AO37" s="74">
        <f t="shared" si="24"/>
        <v>0.67677100000003065</v>
      </c>
      <c r="AP37" s="75">
        <f t="shared" si="25"/>
        <v>7.2848611106104758E-3</v>
      </c>
      <c r="AQ37" s="76">
        <f t="shared" si="26"/>
        <v>508.98882239335092</v>
      </c>
      <c r="AR37" s="77">
        <f t="shared" si="27"/>
        <v>-2.8859999999997399</v>
      </c>
    </row>
    <row r="38" spans="1:44" x14ac:dyDescent="0.25">
      <c r="A38" t="str">
        <f t="shared" si="12"/>
        <v>46191M</v>
      </c>
      <c r="B38" s="51">
        <f t="shared" si="28"/>
        <v>46191</v>
      </c>
      <c r="C38" s="52" t="s">
        <v>87</v>
      </c>
      <c r="D38" s="91">
        <v>1603</v>
      </c>
      <c r="E38" s="62">
        <v>3.73</v>
      </c>
      <c r="F38" s="62">
        <v>7.9</v>
      </c>
      <c r="G38" s="62">
        <f t="shared" si="29"/>
        <v>59.791899999999998</v>
      </c>
      <c r="H38" s="63">
        <f t="shared" si="30"/>
        <v>126.637</v>
      </c>
      <c r="I38" s="119">
        <v>1037</v>
      </c>
      <c r="J38" s="120">
        <v>1068.1100000000001</v>
      </c>
      <c r="K38" s="121">
        <v>4.2821311475409827</v>
      </c>
      <c r="L38" s="122">
        <v>8.0972806171648983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3"/>
        <v>1068.1100000000001</v>
      </c>
      <c r="S38" s="62">
        <f t="shared" si="14"/>
        <v>45.737870999999991</v>
      </c>
      <c r="T38" s="63">
        <f t="shared" si="15"/>
        <v>86.487864000000002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89">
        <v>2671</v>
      </c>
      <c r="AI38" s="66">
        <v>3.94</v>
      </c>
      <c r="AJ38" s="66">
        <v>7.97</v>
      </c>
      <c r="AK38" s="62">
        <f t="shared" si="20"/>
        <v>105.23739999999999</v>
      </c>
      <c r="AL38" s="72">
        <f t="shared" si="21"/>
        <v>212.87869999999998</v>
      </c>
      <c r="AM38" s="73">
        <f t="shared" si="22"/>
        <v>0.11000000000012733</v>
      </c>
      <c r="AN38" s="74">
        <f t="shared" si="23"/>
        <v>0.29237099999998861</v>
      </c>
      <c r="AO38" s="74">
        <f t="shared" si="24"/>
        <v>0.24616400000002159</v>
      </c>
      <c r="AP38" s="75">
        <f t="shared" si="25"/>
        <v>4.0728455773001394E-3</v>
      </c>
      <c r="AQ38" s="76">
        <f t="shared" si="26"/>
        <v>204.91858643666802</v>
      </c>
      <c r="AR38" s="77">
        <f t="shared" si="27"/>
        <v>0.11000000000012733</v>
      </c>
    </row>
    <row r="39" spans="1:44" x14ac:dyDescent="0.25">
      <c r="A39" t="str">
        <f t="shared" si="12"/>
        <v>46191E</v>
      </c>
      <c r="B39" s="51">
        <f t="shared" si="28"/>
        <v>46191</v>
      </c>
      <c r="C39" s="52" t="s">
        <v>88</v>
      </c>
      <c r="D39" s="91">
        <v>2671</v>
      </c>
      <c r="E39" s="62">
        <v>3.94</v>
      </c>
      <c r="F39" s="62">
        <v>7.97</v>
      </c>
      <c r="G39" s="62">
        <f t="shared" si="29"/>
        <v>105.23739999999999</v>
      </c>
      <c r="H39" s="63">
        <f t="shared" si="30"/>
        <v>212.87869999999998</v>
      </c>
      <c r="I39" s="119">
        <v>2688.4999999999995</v>
      </c>
      <c r="J39" s="120">
        <v>2769.1549999999997</v>
      </c>
      <c r="K39" s="121">
        <v>3.7153617258694442</v>
      </c>
      <c r="L39" s="122">
        <v>8.0020271526873668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3"/>
        <v>2769.1549999999997</v>
      </c>
      <c r="S39" s="62">
        <f t="shared" si="14"/>
        <v>102.884125</v>
      </c>
      <c r="T39" s="63">
        <f t="shared" si="15"/>
        <v>221.58853499999984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89">
        <v>5442</v>
      </c>
      <c r="AI39" s="66">
        <v>3.82</v>
      </c>
      <c r="AJ39" s="66">
        <v>7.96</v>
      </c>
      <c r="AK39" s="62">
        <f t="shared" si="20"/>
        <v>207.8844</v>
      </c>
      <c r="AL39" s="72">
        <f t="shared" si="21"/>
        <v>433.1832</v>
      </c>
      <c r="AM39" s="73">
        <f t="shared" si="22"/>
        <v>-1.8450000000002547</v>
      </c>
      <c r="AN39" s="74">
        <f t="shared" si="23"/>
        <v>0.23712499999999181</v>
      </c>
      <c r="AO39" s="74">
        <f t="shared" si="24"/>
        <v>1.2840349999998466</v>
      </c>
      <c r="AP39" s="75">
        <f t="shared" si="25"/>
        <v>4.6880991452402775E-3</v>
      </c>
      <c r="AQ39" s="76">
        <f t="shared" si="26"/>
        <v>490.72521831661714</v>
      </c>
      <c r="AR39" s="77">
        <f t="shared" si="27"/>
        <v>-1.8450000000002547</v>
      </c>
    </row>
    <row r="40" spans="1:44" x14ac:dyDescent="0.25">
      <c r="A40" t="str">
        <f t="shared" si="12"/>
        <v>46192M</v>
      </c>
      <c r="B40" s="51">
        <f t="shared" si="28"/>
        <v>46192</v>
      </c>
      <c r="C40" s="52" t="s">
        <v>87</v>
      </c>
      <c r="D40" s="91"/>
      <c r="E40" s="62"/>
      <c r="F40" s="62"/>
      <c r="G40" s="62">
        <f t="shared" si="29"/>
        <v>0</v>
      </c>
      <c r="H40" s="63">
        <f t="shared" si="30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89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26"/>
        <v>0</v>
      </c>
      <c r="AR40" s="77">
        <f t="shared" si="27"/>
        <v>0</v>
      </c>
    </row>
    <row r="41" spans="1:44" x14ac:dyDescent="0.25">
      <c r="A41" t="str">
        <f t="shared" si="12"/>
        <v>46192E</v>
      </c>
      <c r="B41" s="51">
        <f t="shared" si="28"/>
        <v>46192</v>
      </c>
      <c r="C41" s="52" t="s">
        <v>88</v>
      </c>
      <c r="D41" s="91"/>
      <c r="E41" s="62"/>
      <c r="F41" s="62"/>
      <c r="G41" s="62">
        <f t="shared" si="29"/>
        <v>0</v>
      </c>
      <c r="H41" s="63">
        <f t="shared" si="30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89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26"/>
        <v>0</v>
      </c>
      <c r="AR41" s="77">
        <f t="shared" si="27"/>
        <v>0</v>
      </c>
    </row>
    <row r="42" spans="1:44" x14ac:dyDescent="0.25">
      <c r="A42" t="str">
        <f t="shared" si="12"/>
        <v>46193M</v>
      </c>
      <c r="B42" s="51">
        <f t="shared" si="28"/>
        <v>46193</v>
      </c>
      <c r="C42" s="52" t="s">
        <v>87</v>
      </c>
      <c r="D42" s="91"/>
      <c r="E42" s="62"/>
      <c r="F42" s="62"/>
      <c r="G42" s="62">
        <f t="shared" si="29"/>
        <v>0</v>
      </c>
      <c r="H42" s="63">
        <f t="shared" si="30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89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26"/>
        <v>0</v>
      </c>
      <c r="AR42" s="77">
        <f t="shared" si="27"/>
        <v>0</v>
      </c>
    </row>
    <row r="43" spans="1:44" x14ac:dyDescent="0.25">
      <c r="A43" t="str">
        <f t="shared" si="12"/>
        <v>46193E</v>
      </c>
      <c r="B43" s="51">
        <f t="shared" si="28"/>
        <v>46193</v>
      </c>
      <c r="C43" s="52" t="s">
        <v>88</v>
      </c>
      <c r="D43" s="91"/>
      <c r="E43" s="62"/>
      <c r="F43" s="62"/>
      <c r="G43" s="62">
        <f t="shared" si="29"/>
        <v>0</v>
      </c>
      <c r="H43" s="63">
        <f t="shared" si="30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89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26"/>
        <v>0</v>
      </c>
      <c r="AR43" s="77">
        <f t="shared" si="27"/>
        <v>0</v>
      </c>
    </row>
    <row r="44" spans="1:44" x14ac:dyDescent="0.25">
      <c r="A44" t="str">
        <f t="shared" si="12"/>
        <v>46194M</v>
      </c>
      <c r="B44" s="51">
        <f t="shared" si="28"/>
        <v>46194</v>
      </c>
      <c r="C44" s="52" t="s">
        <v>87</v>
      </c>
      <c r="D44" s="91"/>
      <c r="E44" s="62"/>
      <c r="F44" s="62"/>
      <c r="G44" s="62">
        <f t="shared" si="29"/>
        <v>0</v>
      </c>
      <c r="H44" s="63">
        <f t="shared" si="30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89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26"/>
        <v>0</v>
      </c>
      <c r="AR44" s="77">
        <f t="shared" si="27"/>
        <v>0</v>
      </c>
    </row>
    <row r="45" spans="1:44" x14ac:dyDescent="0.25">
      <c r="A45" t="str">
        <f t="shared" si="12"/>
        <v>46194E</v>
      </c>
      <c r="B45" s="51">
        <f t="shared" si="28"/>
        <v>46194</v>
      </c>
      <c r="C45" s="52" t="s">
        <v>88</v>
      </c>
      <c r="D45" s="91"/>
      <c r="E45" s="62"/>
      <c r="F45" s="62"/>
      <c r="G45" s="62">
        <f t="shared" si="29"/>
        <v>0</v>
      </c>
      <c r="H45" s="63">
        <f t="shared" si="30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89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26"/>
        <v>0</v>
      </c>
      <c r="AR45" s="77">
        <f t="shared" si="27"/>
        <v>0</v>
      </c>
    </row>
    <row r="46" spans="1:44" x14ac:dyDescent="0.25">
      <c r="A46" t="str">
        <f t="shared" si="12"/>
        <v>46195M</v>
      </c>
      <c r="B46" s="51">
        <f t="shared" si="28"/>
        <v>46195</v>
      </c>
      <c r="C46" s="52" t="s">
        <v>87</v>
      </c>
      <c r="D46" s="91"/>
      <c r="E46" s="62"/>
      <c r="F46" s="62"/>
      <c r="G46" s="62">
        <f t="shared" si="29"/>
        <v>0</v>
      </c>
      <c r="H46" s="63">
        <f t="shared" si="30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89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26"/>
        <v>0</v>
      </c>
      <c r="AR46" s="77">
        <f t="shared" si="27"/>
        <v>0</v>
      </c>
    </row>
    <row r="47" spans="1:44" x14ac:dyDescent="0.25">
      <c r="A47" t="str">
        <f t="shared" si="12"/>
        <v>46195E</v>
      </c>
      <c r="B47" s="51">
        <f t="shared" si="28"/>
        <v>46195</v>
      </c>
      <c r="C47" s="52" t="s">
        <v>88</v>
      </c>
      <c r="D47" s="91"/>
      <c r="E47" s="62"/>
      <c r="F47" s="62"/>
      <c r="G47" s="62">
        <f t="shared" si="29"/>
        <v>0</v>
      </c>
      <c r="H47" s="63">
        <f t="shared" si="30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89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26"/>
        <v>0</v>
      </c>
      <c r="AR47" s="77">
        <f t="shared" si="27"/>
        <v>0</v>
      </c>
    </row>
    <row r="48" spans="1:44" x14ac:dyDescent="0.25">
      <c r="A48" t="str">
        <f t="shared" si="12"/>
        <v>46196M</v>
      </c>
      <c r="B48" s="51">
        <f t="shared" si="28"/>
        <v>46196</v>
      </c>
      <c r="C48" s="52" t="s">
        <v>87</v>
      </c>
      <c r="D48" s="91"/>
      <c r="E48" s="62"/>
      <c r="F48" s="62"/>
      <c r="G48" s="62">
        <f t="shared" si="29"/>
        <v>0</v>
      </c>
      <c r="H48" s="63">
        <f t="shared" si="30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89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26"/>
        <v>0</v>
      </c>
      <c r="AR48" s="77">
        <f t="shared" si="27"/>
        <v>0</v>
      </c>
    </row>
    <row r="49" spans="1:44" x14ac:dyDescent="0.25">
      <c r="A49" t="str">
        <f t="shared" si="12"/>
        <v>46196E</v>
      </c>
      <c r="B49" s="51">
        <f t="shared" si="28"/>
        <v>46196</v>
      </c>
      <c r="C49" s="52" t="s">
        <v>88</v>
      </c>
      <c r="D49" s="91"/>
      <c r="E49" s="62"/>
      <c r="F49" s="62"/>
      <c r="G49" s="62">
        <f t="shared" si="29"/>
        <v>0</v>
      </c>
      <c r="H49" s="63">
        <f t="shared" si="30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89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26"/>
        <v>0</v>
      </c>
      <c r="AR49" s="77">
        <f t="shared" si="27"/>
        <v>0</v>
      </c>
    </row>
    <row r="50" spans="1:44" x14ac:dyDescent="0.25">
      <c r="A50" t="str">
        <f t="shared" si="12"/>
        <v>46197M</v>
      </c>
      <c r="B50" s="51">
        <f t="shared" si="28"/>
        <v>46197</v>
      </c>
      <c r="C50" s="52" t="s">
        <v>87</v>
      </c>
      <c r="D50" s="91"/>
      <c r="E50" s="62"/>
      <c r="F50" s="62"/>
      <c r="G50" s="62">
        <f t="shared" si="29"/>
        <v>0</v>
      </c>
      <c r="H50" s="63">
        <f t="shared" si="30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89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26"/>
        <v>0</v>
      </c>
      <c r="AR50" s="77">
        <f t="shared" si="27"/>
        <v>0</v>
      </c>
    </row>
    <row r="51" spans="1:44" x14ac:dyDescent="0.25">
      <c r="A51" t="str">
        <f t="shared" si="12"/>
        <v>46197E</v>
      </c>
      <c r="B51" s="51">
        <f t="shared" si="28"/>
        <v>46197</v>
      </c>
      <c r="C51" s="52" t="s">
        <v>88</v>
      </c>
      <c r="D51" s="91"/>
      <c r="E51" s="62"/>
      <c r="F51" s="62"/>
      <c r="G51" s="62">
        <f t="shared" si="29"/>
        <v>0</v>
      </c>
      <c r="H51" s="63">
        <f t="shared" si="30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8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89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26"/>
        <v>0</v>
      </c>
      <c r="AR51" s="77">
        <f t="shared" si="27"/>
        <v>0</v>
      </c>
    </row>
    <row r="52" spans="1:44" x14ac:dyDescent="0.25">
      <c r="A52" t="str">
        <f t="shared" si="12"/>
        <v>46198M</v>
      </c>
      <c r="B52" s="51">
        <f t="shared" si="28"/>
        <v>46198</v>
      </c>
      <c r="C52" s="52" t="s">
        <v>87</v>
      </c>
      <c r="D52" s="91"/>
      <c r="E52" s="62"/>
      <c r="F52" s="62"/>
      <c r="G52" s="62">
        <f t="shared" si="29"/>
        <v>0</v>
      </c>
      <c r="H52" s="63">
        <f t="shared" si="30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89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26"/>
        <v>0</v>
      </c>
      <c r="AR52" s="77">
        <f t="shared" si="27"/>
        <v>0</v>
      </c>
    </row>
    <row r="53" spans="1:44" x14ac:dyDescent="0.25">
      <c r="A53" t="str">
        <f t="shared" si="12"/>
        <v>46198E</v>
      </c>
      <c r="B53" s="51">
        <f t="shared" si="28"/>
        <v>46198</v>
      </c>
      <c r="C53" s="52" t="s">
        <v>88</v>
      </c>
      <c r="D53" s="91"/>
      <c r="E53" s="62"/>
      <c r="F53" s="62"/>
      <c r="G53" s="62">
        <f t="shared" si="29"/>
        <v>0</v>
      </c>
      <c r="H53" s="63">
        <f t="shared" si="30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6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89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26"/>
        <v>0</v>
      </c>
      <c r="AR53" s="77">
        <f t="shared" si="27"/>
        <v>0</v>
      </c>
    </row>
    <row r="54" spans="1:44" x14ac:dyDescent="0.25">
      <c r="A54" t="str">
        <f t="shared" si="12"/>
        <v>46199M</v>
      </c>
      <c r="B54" s="51">
        <f t="shared" si="28"/>
        <v>46199</v>
      </c>
      <c r="C54" s="52" t="s">
        <v>87</v>
      </c>
      <c r="D54" s="91"/>
      <c r="E54" s="62"/>
      <c r="F54" s="62"/>
      <c r="G54" s="62">
        <f t="shared" ref="G54:G65" si="31">+D54*E54%</f>
        <v>0</v>
      </c>
      <c r="H54" s="63">
        <f t="shared" ref="H54:H65" si="32">+D54*F54%</f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89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77">
        <f t="shared" si="27"/>
        <v>0</v>
      </c>
    </row>
    <row r="55" spans="1:44" x14ac:dyDescent="0.25">
      <c r="A55" t="str">
        <f t="shared" si="12"/>
        <v>46199E</v>
      </c>
      <c r="B55" s="51">
        <f t="shared" si="28"/>
        <v>46199</v>
      </c>
      <c r="C55" s="52" t="s">
        <v>88</v>
      </c>
      <c r="D55" s="91"/>
      <c r="E55" s="62"/>
      <c r="F55" s="62"/>
      <c r="G55" s="62">
        <f t="shared" si="31"/>
        <v>0</v>
      </c>
      <c r="H55" s="63">
        <f t="shared" si="32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89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77">
        <f t="shared" si="27"/>
        <v>0</v>
      </c>
    </row>
    <row r="56" spans="1:44" x14ac:dyDescent="0.25">
      <c r="A56" t="str">
        <f t="shared" si="12"/>
        <v>46200M</v>
      </c>
      <c r="B56" s="51">
        <f t="shared" si="28"/>
        <v>46200</v>
      </c>
      <c r="C56" s="52" t="s">
        <v>87</v>
      </c>
      <c r="D56" s="91"/>
      <c r="E56" s="62"/>
      <c r="F56" s="62"/>
      <c r="G56" s="62">
        <f t="shared" si="31"/>
        <v>0</v>
      </c>
      <c r="H56" s="63">
        <f t="shared" si="32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89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77">
        <f t="shared" si="27"/>
        <v>0</v>
      </c>
    </row>
    <row r="57" spans="1:44" x14ac:dyDescent="0.25">
      <c r="A57" t="str">
        <f t="shared" si="12"/>
        <v>46200E</v>
      </c>
      <c r="B57" s="51">
        <f t="shared" si="28"/>
        <v>46200</v>
      </c>
      <c r="C57" s="52" t="s">
        <v>88</v>
      </c>
      <c r="D57" s="91"/>
      <c r="E57" s="62"/>
      <c r="F57" s="62"/>
      <c r="G57" s="62">
        <f t="shared" si="31"/>
        <v>0</v>
      </c>
      <c r="H57" s="63">
        <f t="shared" si="32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89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77">
        <f t="shared" si="27"/>
        <v>0</v>
      </c>
    </row>
    <row r="58" spans="1:44" x14ac:dyDescent="0.25">
      <c r="A58" t="str">
        <f t="shared" si="12"/>
        <v>46201M</v>
      </c>
      <c r="B58" s="51">
        <f t="shared" si="28"/>
        <v>46201</v>
      </c>
      <c r="C58" s="52" t="s">
        <v>87</v>
      </c>
      <c r="D58" s="91"/>
      <c r="E58" s="62"/>
      <c r="F58" s="62"/>
      <c r="G58" s="62">
        <f t="shared" si="31"/>
        <v>0</v>
      </c>
      <c r="H58" s="63">
        <f t="shared" si="32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89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77">
        <f t="shared" si="27"/>
        <v>0</v>
      </c>
    </row>
    <row r="59" spans="1:44" x14ac:dyDescent="0.25">
      <c r="A59" t="str">
        <f t="shared" si="12"/>
        <v>46201E</v>
      </c>
      <c r="B59" s="51">
        <f t="shared" si="28"/>
        <v>46201</v>
      </c>
      <c r="C59" s="52" t="s">
        <v>88</v>
      </c>
      <c r="D59" s="91"/>
      <c r="E59" s="62"/>
      <c r="F59" s="62"/>
      <c r="G59" s="62">
        <f t="shared" si="31"/>
        <v>0</v>
      </c>
      <c r="H59" s="63">
        <f t="shared" si="32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89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77">
        <f t="shared" si="27"/>
        <v>0</v>
      </c>
    </row>
    <row r="60" spans="1:44" x14ac:dyDescent="0.25">
      <c r="A60" t="str">
        <f t="shared" si="12"/>
        <v>46202M</v>
      </c>
      <c r="B60" s="51">
        <f t="shared" si="28"/>
        <v>46202</v>
      </c>
      <c r="C60" s="52" t="s">
        <v>87</v>
      </c>
      <c r="D60" s="91"/>
      <c r="E60" s="62"/>
      <c r="F60" s="62"/>
      <c r="G60" s="62">
        <f t="shared" si="31"/>
        <v>0</v>
      </c>
      <c r="H60" s="63">
        <f t="shared" si="32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89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77">
        <f t="shared" si="27"/>
        <v>0</v>
      </c>
    </row>
    <row r="61" spans="1:44" x14ac:dyDescent="0.25">
      <c r="A61" t="str">
        <f t="shared" si="12"/>
        <v>46202E</v>
      </c>
      <c r="B61" s="51">
        <f t="shared" si="28"/>
        <v>46202</v>
      </c>
      <c r="C61" s="52" t="s">
        <v>88</v>
      </c>
      <c r="D61" s="91"/>
      <c r="E61" s="62"/>
      <c r="F61" s="62"/>
      <c r="G61" s="62">
        <f t="shared" si="31"/>
        <v>0</v>
      </c>
      <c r="H61" s="63">
        <f t="shared" si="32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89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77">
        <f t="shared" si="27"/>
        <v>0</v>
      </c>
    </row>
    <row r="62" spans="1:44" x14ac:dyDescent="0.25">
      <c r="A62" t="str">
        <f t="shared" si="12"/>
        <v>46203M</v>
      </c>
      <c r="B62" s="51">
        <f t="shared" si="28"/>
        <v>46203</v>
      </c>
      <c r="C62" s="52" t="s">
        <v>87</v>
      </c>
      <c r="D62" s="91"/>
      <c r="E62" s="62"/>
      <c r="F62" s="62"/>
      <c r="G62" s="62">
        <f t="shared" si="31"/>
        <v>0</v>
      </c>
      <c r="H62" s="63">
        <f t="shared" si="32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89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77">
        <f t="shared" si="27"/>
        <v>0</v>
      </c>
    </row>
    <row r="63" spans="1:44" x14ac:dyDescent="0.25">
      <c r="A63" t="str">
        <f t="shared" si="12"/>
        <v>46203E</v>
      </c>
      <c r="B63" s="51">
        <f t="shared" si="28"/>
        <v>46203</v>
      </c>
      <c r="C63" s="52" t="s">
        <v>88</v>
      </c>
      <c r="D63" s="91"/>
      <c r="E63" s="62"/>
      <c r="F63" s="62"/>
      <c r="G63" s="62">
        <f t="shared" si="31"/>
        <v>0</v>
      </c>
      <c r="H63" s="63">
        <f t="shared" si="32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89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77">
        <f t="shared" si="27"/>
        <v>0</v>
      </c>
    </row>
    <row r="64" spans="1:44" x14ac:dyDescent="0.25">
      <c r="A64" t="str">
        <f t="shared" si="12"/>
        <v>46204M</v>
      </c>
      <c r="B64" s="51">
        <f t="shared" si="28"/>
        <v>46204</v>
      </c>
      <c r="C64" s="52" t="s">
        <v>87</v>
      </c>
      <c r="D64" s="91"/>
      <c r="E64" s="62"/>
      <c r="F64" s="62"/>
      <c r="G64" s="62">
        <f t="shared" si="31"/>
        <v>0</v>
      </c>
      <c r="H64" s="63">
        <f t="shared" si="32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89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77">
        <f t="shared" si="27"/>
        <v>0</v>
      </c>
    </row>
    <row r="65" spans="1:44" ht="15.75" thickBot="1" x14ac:dyDescent="0.3">
      <c r="A65" t="str">
        <f t="shared" si="12"/>
        <v>46204E</v>
      </c>
      <c r="B65" s="51">
        <f t="shared" si="28"/>
        <v>46204</v>
      </c>
      <c r="C65" s="93" t="s">
        <v>88</v>
      </c>
      <c r="D65" s="91"/>
      <c r="E65" s="62"/>
      <c r="F65" s="62"/>
      <c r="G65" s="62">
        <f t="shared" si="31"/>
        <v>0</v>
      </c>
      <c r="H65" s="63">
        <f t="shared" si="32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71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77">
        <f t="shared" si="27"/>
        <v>0</v>
      </c>
    </row>
    <row r="66" spans="1:44" ht="15.75" thickBot="1" x14ac:dyDescent="0.3">
      <c r="J66" s="83">
        <f>SUM(J4:J65)</f>
        <v>76846.240000000034</v>
      </c>
      <c r="R66">
        <f>+J66+O66</f>
        <v>76846.240000000034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4">
        <f>-SUM(AM4:AM65)</f>
        <v>-15.240000000002965</v>
      </c>
      <c r="AN66" s="94">
        <f>-SUM(AN4:AN65)</f>
        <v>44.101709999999841</v>
      </c>
      <c r="AO66" s="94">
        <f>-SUM(AO4:AO65)</f>
        <v>-26.80788900000033</v>
      </c>
      <c r="AP66" s="95"/>
      <c r="AQ66" s="96">
        <f>-SUM(AQ4:AQ65)</f>
        <v>11774.812335439827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4" priority="2" operator="lessThan">
      <formula>0.1</formula>
    </cfRule>
    <cfRule type="cellIs" dxfId="83" priority="3" operator="greaterThan">
      <formula>0.1</formula>
    </cfRule>
  </conditionalFormatting>
  <conditionalFormatting sqref="AP1:AQ1">
    <cfRule type="cellIs" dxfId="82" priority="1" operator="lessThan">
      <formula>1</formula>
    </cfRule>
  </conditionalFormatting>
  <conditionalFormatting sqref="AQ4:AQ65">
    <cfRule type="cellIs" dxfId="81" priority="16" operator="lessThan">
      <formula>0</formula>
    </cfRule>
    <cfRule type="cellIs" dxfId="80" priority="17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66"/>
  <sheetViews>
    <sheetView topLeftCell="A7" zoomScale="80" zoomScaleNormal="80" workbookViewId="0">
      <selection activeCell="AC38" sqref="AC38:AE38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163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6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3287.7</v>
      </c>
      <c r="E4" s="54">
        <v>4.43</v>
      </c>
      <c r="F4" s="55">
        <v>8.33</v>
      </c>
      <c r="G4" s="62">
        <f t="shared" ref="G4:G65" si="0">+D4*E4%</f>
        <v>145.64510999999999</v>
      </c>
      <c r="H4" s="63">
        <f t="shared" ref="H4:H65" si="1">+D4*F4%</f>
        <v>273.86541</v>
      </c>
      <c r="I4" s="119">
        <v>823.8</v>
      </c>
      <c r="J4" s="120">
        <v>848.51400000000001</v>
      </c>
      <c r="K4" s="121">
        <v>4.8833090555960181</v>
      </c>
      <c r="L4" s="122">
        <v>8.4013716921582926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848.51400000000001</v>
      </c>
      <c r="S4" s="62">
        <f t="shared" ref="S4:S65" si="3">+J4*K4%+O4*P4%</f>
        <v>41.435561</v>
      </c>
      <c r="T4" s="63">
        <f t="shared" ref="T4:T65" si="4">+J4*L4%+O4*Q4%</f>
        <v>71.286815000000018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3" si="5">X4*Y4%</f>
        <v>0</v>
      </c>
      <c r="AB4" s="63">
        <f t="shared" ref="AB4:AB33" si="6">X4*Z4%</f>
        <v>0</v>
      </c>
      <c r="AC4" s="69"/>
      <c r="AD4" s="70"/>
      <c r="AE4" s="70"/>
      <c r="AF4" s="62">
        <f t="shared" ref="AF4:AF65" si="7">AC4*AD4%</f>
        <v>0</v>
      </c>
      <c r="AG4" s="63">
        <f t="shared" ref="AG4:AG65" si="8">AC4*AE4%</f>
        <v>0</v>
      </c>
      <c r="AH4" s="71">
        <v>4136.2</v>
      </c>
      <c r="AI4" s="66">
        <v>4.5199999999999996</v>
      </c>
      <c r="AJ4" s="66">
        <v>8.34</v>
      </c>
      <c r="AK4" s="62">
        <f t="shared" ref="AK4:AK65" si="9">AH4*AI4%</f>
        <v>186.95623999999998</v>
      </c>
      <c r="AL4" s="72">
        <f t="shared" ref="AL4:AL65" si="10">AH4*AJ4%</f>
        <v>344.95907999999997</v>
      </c>
      <c r="AM4" s="73">
        <f>+D4+R4-AC4-AH4</f>
        <v>1.4000000000123691E-2</v>
      </c>
      <c r="AN4" s="74">
        <f t="shared" ref="AN4:AO19" si="11">+G4+S4-AF4-AK4</f>
        <v>0.1244310000000155</v>
      </c>
      <c r="AO4" s="74">
        <f t="shared" si="11"/>
        <v>0.19314500000007229</v>
      </c>
      <c r="AP4" s="75">
        <f>(AN4+AO4)/(S4+T4)</f>
        <v>2.8173288327429128E-3</v>
      </c>
      <c r="AQ4" s="76">
        <f t="shared" ref="AQ4:AQ65" si="12">($AP$1*AN4+$AQ$1*AO4)</f>
        <v>113.66146817669527</v>
      </c>
      <c r="AR4" s="77">
        <f t="shared" ref="AR4" si="13">(D4+J4+O4)-(X4+AH4)</f>
        <v>1.4000000000123691E-2</v>
      </c>
      <c r="AT4" s="78"/>
    </row>
    <row r="5" spans="1:46" x14ac:dyDescent="0.25">
      <c r="A5" t="str">
        <f t="shared" ref="A5:A65" si="14">CONCATENATE(B5,C5)</f>
        <v>46174E</v>
      </c>
      <c r="B5" s="51">
        <f>+B4</f>
        <v>46174</v>
      </c>
      <c r="C5" s="52" t="s">
        <v>88</v>
      </c>
      <c r="D5" s="91">
        <v>4136.2</v>
      </c>
      <c r="E5" s="62">
        <v>4.5199999999999996</v>
      </c>
      <c r="F5" s="62">
        <v>8.34</v>
      </c>
      <c r="G5" s="62">
        <f t="shared" si="0"/>
        <v>186.95623999999998</v>
      </c>
      <c r="H5" s="63">
        <f t="shared" si="1"/>
        <v>344.95907999999997</v>
      </c>
      <c r="I5" s="119">
        <v>942.7</v>
      </c>
      <c r="J5" s="120">
        <v>970.98100000000011</v>
      </c>
      <c r="K5" s="121">
        <v>4.3276970404158277</v>
      </c>
      <c r="L5" s="122">
        <v>8.2786252254163557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970.98100000000011</v>
      </c>
      <c r="S5" s="62">
        <f t="shared" si="3"/>
        <v>42.021116000000013</v>
      </c>
      <c r="T5" s="63">
        <f t="shared" si="4"/>
        <v>80.383877999999996</v>
      </c>
      <c r="U5" s="64" t="s">
        <v>256</v>
      </c>
      <c r="V5" s="65" t="s">
        <v>257</v>
      </c>
      <c r="W5" s="66" t="s">
        <v>253</v>
      </c>
      <c r="X5" s="67">
        <v>5360</v>
      </c>
      <c r="Y5" s="68">
        <v>4.5</v>
      </c>
      <c r="Z5" s="68">
        <v>8.31</v>
      </c>
      <c r="AA5" s="62">
        <f t="shared" si="5"/>
        <v>241.2</v>
      </c>
      <c r="AB5" s="63">
        <f t="shared" si="6"/>
        <v>445.41600000000005</v>
      </c>
      <c r="AC5" s="69">
        <v>5340</v>
      </c>
      <c r="AD5" s="70">
        <v>4.45</v>
      </c>
      <c r="AE5" s="70">
        <v>8.0500000000000007</v>
      </c>
      <c r="AF5" s="62">
        <f t="shared" si="7"/>
        <v>237.63000000000002</v>
      </c>
      <c r="AG5" s="63">
        <f t="shared" si="8"/>
        <v>429.87</v>
      </c>
      <c r="AH5" s="71">
        <v>0</v>
      </c>
      <c r="AI5" s="66">
        <v>0</v>
      </c>
      <c r="AJ5" s="66">
        <v>0</v>
      </c>
      <c r="AK5" s="62">
        <f t="shared" si="9"/>
        <v>0</v>
      </c>
      <c r="AL5" s="72">
        <f t="shared" si="10"/>
        <v>0</v>
      </c>
      <c r="AM5" s="73">
        <f t="shared" ref="AM5:AM65" si="15">+D5+R5-AC5-AH5</f>
        <v>-232.81900000000041</v>
      </c>
      <c r="AN5" s="74">
        <f t="shared" si="11"/>
        <v>-8.6526440000000377</v>
      </c>
      <c r="AO5" s="74">
        <f t="shared" si="11"/>
        <v>-4.5270420000000513</v>
      </c>
      <c r="AP5" s="75">
        <f t="shared" ref="AP5:AP65" si="16">(AN5+AO5)/(S5+T5)</f>
        <v>-0.10767278008281335</v>
      </c>
      <c r="AQ5" s="76">
        <f t="shared" si="12"/>
        <v>-5239.0813675200325</v>
      </c>
      <c r="AR5" s="77">
        <f>(D5+J5+O5)-(X5+AH5)</f>
        <v>-252.81900000000041</v>
      </c>
    </row>
    <row r="6" spans="1:46" x14ac:dyDescent="0.25">
      <c r="A6" t="str">
        <f t="shared" si="14"/>
        <v>46175M</v>
      </c>
      <c r="B6" s="51">
        <f>+B4+1</f>
        <v>46175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0"/>
        <v>0</v>
      </c>
      <c r="H6" s="63">
        <f t="shared" si="1"/>
        <v>0</v>
      </c>
      <c r="I6" s="119">
        <v>954.9000000000002</v>
      </c>
      <c r="J6" s="120">
        <v>983.54700000000025</v>
      </c>
      <c r="K6" s="121">
        <v>4.7686249869096242</v>
      </c>
      <c r="L6" s="122">
        <v>8.3407372499738184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983.54700000000025</v>
      </c>
      <c r="S6" s="62">
        <f t="shared" si="3"/>
        <v>46.901668000000008</v>
      </c>
      <c r="T6" s="63">
        <f t="shared" si="4"/>
        <v>82.035071000000016</v>
      </c>
      <c r="U6" s="64" t="s">
        <v>167</v>
      </c>
      <c r="V6" s="65" t="s">
        <v>187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71">
        <v>983.5</v>
      </c>
      <c r="AI6" s="66">
        <v>4.76</v>
      </c>
      <c r="AJ6" s="66">
        <v>8.34</v>
      </c>
      <c r="AK6" s="62">
        <f t="shared" si="9"/>
        <v>46.814599999999999</v>
      </c>
      <c r="AL6" s="72">
        <f t="shared" si="10"/>
        <v>82.023899999999998</v>
      </c>
      <c r="AM6" s="73">
        <f t="shared" si="15"/>
        <v>4.700000000025284E-2</v>
      </c>
      <c r="AN6" s="74">
        <f t="shared" si="11"/>
        <v>8.7068000000009249E-2</v>
      </c>
      <c r="AO6" s="74">
        <f t="shared" si="11"/>
        <v>1.1171000000018694E-2</v>
      </c>
      <c r="AP6" s="75">
        <f t="shared" si="16"/>
        <v>7.6191627585701493E-4</v>
      </c>
      <c r="AQ6" s="76">
        <f t="shared" si="12"/>
        <v>42.428878286676415</v>
      </c>
      <c r="AR6" s="77">
        <f t="shared" ref="AR6:AR65" si="17">(D6+J6+O6)-(X6+AH6)</f>
        <v>4.700000000025284E-2</v>
      </c>
    </row>
    <row r="7" spans="1:46" x14ac:dyDescent="0.25">
      <c r="A7" t="str">
        <f t="shared" si="14"/>
        <v>46175E</v>
      </c>
      <c r="B7" s="51">
        <f>+B5+1</f>
        <v>46175</v>
      </c>
      <c r="C7" s="52" t="s">
        <v>88</v>
      </c>
      <c r="D7" s="91">
        <v>983.5</v>
      </c>
      <c r="E7" s="62">
        <v>4.76</v>
      </c>
      <c r="F7" s="62">
        <v>8.34</v>
      </c>
      <c r="G7" s="62">
        <f t="shared" si="0"/>
        <v>46.814599999999999</v>
      </c>
      <c r="H7" s="63">
        <f t="shared" si="1"/>
        <v>82.023899999999998</v>
      </c>
      <c r="I7" s="119">
        <v>1041.8999999999999</v>
      </c>
      <c r="J7" s="120">
        <v>1073.1569999999999</v>
      </c>
      <c r="K7" s="121">
        <v>4.3837316441117187</v>
      </c>
      <c r="L7" s="122">
        <v>8.2140224589691897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1073.1569999999999</v>
      </c>
      <c r="S7" s="62">
        <f t="shared" si="3"/>
        <v>47.044322999999991</v>
      </c>
      <c r="T7" s="63">
        <f t="shared" si="4"/>
        <v>88.149356999999981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71">
        <v>2056.6</v>
      </c>
      <c r="AI7" s="66">
        <v>4.5599999999999996</v>
      </c>
      <c r="AJ7" s="66">
        <v>8.2799999999999994</v>
      </c>
      <c r="AK7" s="62">
        <f t="shared" si="9"/>
        <v>93.780959999999979</v>
      </c>
      <c r="AL7" s="72">
        <f t="shared" si="10"/>
        <v>170.28647999999998</v>
      </c>
      <c r="AM7" s="73">
        <f t="shared" si="15"/>
        <v>5.7000000000243745E-2</v>
      </c>
      <c r="AN7" s="74">
        <f t="shared" si="11"/>
        <v>7.7963000000011107E-2</v>
      </c>
      <c r="AO7" s="74">
        <f t="shared" si="11"/>
        <v>-0.11322300000000496</v>
      </c>
      <c r="AP7" s="75">
        <f t="shared" si="16"/>
        <v>-2.6081100832519579E-4</v>
      </c>
      <c r="AQ7" s="76">
        <f t="shared" si="12"/>
        <v>1.1137457100034993</v>
      </c>
      <c r="AR7" s="77">
        <f t="shared" si="17"/>
        <v>5.7000000000243745E-2</v>
      </c>
    </row>
    <row r="8" spans="1:46" x14ac:dyDescent="0.25">
      <c r="A8" t="str">
        <f t="shared" si="14"/>
        <v>46176M</v>
      </c>
      <c r="B8" s="51">
        <f>+B6+1</f>
        <v>46176</v>
      </c>
      <c r="C8" s="52" t="s">
        <v>87</v>
      </c>
      <c r="D8" s="91">
        <v>2056.6</v>
      </c>
      <c r="E8" s="62">
        <v>4.5599999999999996</v>
      </c>
      <c r="F8" s="62">
        <v>8.2799999999999994</v>
      </c>
      <c r="G8" s="62">
        <f t="shared" si="0"/>
        <v>93.780959999999979</v>
      </c>
      <c r="H8" s="63">
        <f t="shared" si="1"/>
        <v>170.28647999999998</v>
      </c>
      <c r="I8" s="119">
        <v>854.50000000000011</v>
      </c>
      <c r="J8" s="120">
        <v>880.1350000000001</v>
      </c>
      <c r="K8" s="121">
        <v>4.9168285547103574</v>
      </c>
      <c r="L8" s="122">
        <v>8.3502399063780022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880.1350000000001</v>
      </c>
      <c r="S8" s="62">
        <f t="shared" si="3"/>
        <v>43.274729000000015</v>
      </c>
      <c r="T8" s="63">
        <f t="shared" si="4"/>
        <v>73.493384000000049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3">
        <f t="shared" si="8"/>
        <v>0</v>
      </c>
      <c r="AH8" s="71">
        <v>2936.7</v>
      </c>
      <c r="AI8" s="66">
        <v>4.66</v>
      </c>
      <c r="AJ8" s="66">
        <v>8.2899999999999991</v>
      </c>
      <c r="AK8" s="62">
        <f t="shared" si="9"/>
        <v>136.85022000000001</v>
      </c>
      <c r="AL8" s="72">
        <f t="shared" si="10"/>
        <v>243.45242999999994</v>
      </c>
      <c r="AM8" s="73">
        <f t="shared" si="15"/>
        <v>3.5000000000309228E-2</v>
      </c>
      <c r="AN8" s="74">
        <f t="shared" si="11"/>
        <v>0.20546899999999368</v>
      </c>
      <c r="AO8" s="74">
        <f t="shared" si="11"/>
        <v>0.32743400000009615</v>
      </c>
      <c r="AP8" s="75">
        <f t="shared" si="16"/>
        <v>4.5637716180280275E-3</v>
      </c>
      <c r="AQ8" s="76">
        <f t="shared" si="12"/>
        <v>190.22935341669262</v>
      </c>
      <c r="AR8" s="77">
        <f t="shared" si="17"/>
        <v>3.5000000000309228E-2</v>
      </c>
    </row>
    <row r="9" spans="1:46" x14ac:dyDescent="0.25">
      <c r="A9" t="str">
        <f t="shared" si="14"/>
        <v>46176E</v>
      </c>
      <c r="B9" s="51">
        <f t="shared" ref="B9:B65" si="18">+B7+1</f>
        <v>46176</v>
      </c>
      <c r="C9" s="52" t="s">
        <v>88</v>
      </c>
      <c r="D9" s="91">
        <v>2936.7</v>
      </c>
      <c r="E9" s="62">
        <v>4.66</v>
      </c>
      <c r="F9" s="62">
        <v>8.2899999999999991</v>
      </c>
      <c r="G9" s="62">
        <f t="shared" si="0"/>
        <v>136.85022000000001</v>
      </c>
      <c r="H9" s="63">
        <f t="shared" si="1"/>
        <v>243.45242999999994</v>
      </c>
      <c r="I9" s="119">
        <v>1034.7000000000003</v>
      </c>
      <c r="J9" s="120">
        <v>1065.7410000000002</v>
      </c>
      <c r="K9" s="121">
        <v>4.2144293031796671</v>
      </c>
      <c r="L9" s="122">
        <v>8.1826229825070076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1065.7410000000002</v>
      </c>
      <c r="S9" s="62">
        <f t="shared" si="3"/>
        <v>44.914901000000022</v>
      </c>
      <c r="T9" s="63">
        <f t="shared" si="4"/>
        <v>87.205568000000028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82">
        <v>4002.8</v>
      </c>
      <c r="AI9" s="66">
        <v>4.54</v>
      </c>
      <c r="AJ9" s="66">
        <v>8.26</v>
      </c>
      <c r="AK9" s="62">
        <f t="shared" si="9"/>
        <v>181.72712000000001</v>
      </c>
      <c r="AL9" s="72">
        <f t="shared" si="10"/>
        <v>330.63128</v>
      </c>
      <c r="AM9" s="73">
        <f t="shared" si="15"/>
        <v>-0.35900000000037835</v>
      </c>
      <c r="AN9" s="74">
        <f t="shared" si="11"/>
        <v>3.8001000000008389E-2</v>
      </c>
      <c r="AO9" s="74">
        <f t="shared" si="11"/>
        <v>2.6717999999959829E-2</v>
      </c>
      <c r="AP9" s="75">
        <f t="shared" si="16"/>
        <v>4.8984839737412826E-4</v>
      </c>
      <c r="AQ9" s="76">
        <f t="shared" si="12"/>
        <v>25.055013829991747</v>
      </c>
      <c r="AR9" s="77">
        <f t="shared" si="17"/>
        <v>-0.35900000000037835</v>
      </c>
    </row>
    <row r="10" spans="1:46" x14ac:dyDescent="0.25">
      <c r="A10" t="str">
        <f t="shared" si="14"/>
        <v>46177M</v>
      </c>
      <c r="B10" s="51">
        <f t="shared" si="18"/>
        <v>46177</v>
      </c>
      <c r="C10" s="52" t="s">
        <v>87</v>
      </c>
      <c r="D10" s="91">
        <v>4002.8</v>
      </c>
      <c r="E10" s="62">
        <v>4.54</v>
      </c>
      <c r="F10" s="62">
        <v>8.26</v>
      </c>
      <c r="G10" s="62">
        <f t="shared" si="0"/>
        <v>181.72712000000001</v>
      </c>
      <c r="H10" s="63">
        <f t="shared" si="1"/>
        <v>330.63128</v>
      </c>
      <c r="I10" s="119">
        <v>953.6</v>
      </c>
      <c r="J10" s="120">
        <v>982.20800000000008</v>
      </c>
      <c r="K10" s="121">
        <v>4.7649538590604044</v>
      </c>
      <c r="L10" s="122">
        <v>8.2274853187919472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982.20800000000008</v>
      </c>
      <c r="S10" s="62">
        <f t="shared" si="3"/>
        <v>46.801758000000021</v>
      </c>
      <c r="T10" s="63">
        <f t="shared" si="4"/>
        <v>80.811019000000016</v>
      </c>
      <c r="U10" s="64" t="s">
        <v>256</v>
      </c>
      <c r="V10" s="65" t="s">
        <v>258</v>
      </c>
      <c r="W10" s="66" t="s">
        <v>189</v>
      </c>
      <c r="X10" s="67">
        <v>4400</v>
      </c>
      <c r="Y10" s="68">
        <v>4.57</v>
      </c>
      <c r="Z10" s="68">
        <v>8.24</v>
      </c>
      <c r="AA10" s="62">
        <f t="shared" si="5"/>
        <v>201.08</v>
      </c>
      <c r="AB10" s="63">
        <f t="shared" si="6"/>
        <v>362.56</v>
      </c>
      <c r="AC10" s="69">
        <v>4410</v>
      </c>
      <c r="AD10" s="70">
        <v>4.774263038548753</v>
      </c>
      <c r="AE10" s="70">
        <v>8.2526757369614501</v>
      </c>
      <c r="AF10" s="62">
        <f t="shared" si="7"/>
        <v>210.54500000000002</v>
      </c>
      <c r="AG10" s="63">
        <f t="shared" si="8"/>
        <v>363.94299999999993</v>
      </c>
      <c r="AH10" s="71">
        <v>585</v>
      </c>
      <c r="AI10" s="66">
        <v>4.58</v>
      </c>
      <c r="AJ10" s="66">
        <v>8.24</v>
      </c>
      <c r="AK10" s="62">
        <f t="shared" si="9"/>
        <v>26.792999999999999</v>
      </c>
      <c r="AL10" s="72">
        <f t="shared" si="10"/>
        <v>48.204000000000001</v>
      </c>
      <c r="AM10" s="73">
        <f t="shared" si="15"/>
        <v>-9.9920000000001892</v>
      </c>
      <c r="AN10" s="74">
        <f t="shared" si="11"/>
        <v>-8.809121999999995</v>
      </c>
      <c r="AO10" s="74">
        <f t="shared" si="11"/>
        <v>-0.70470099999987923</v>
      </c>
      <c r="AP10" s="75">
        <f t="shared" si="16"/>
        <v>-7.4552276219174138E-2</v>
      </c>
      <c r="AQ10" s="76">
        <f t="shared" si="12"/>
        <v>-4165.4011742932953</v>
      </c>
      <c r="AR10" s="77">
        <f t="shared" si="17"/>
        <v>7.9999999998108251E-3</v>
      </c>
    </row>
    <row r="11" spans="1:46" x14ac:dyDescent="0.25">
      <c r="A11" t="str">
        <f t="shared" si="14"/>
        <v>46177E</v>
      </c>
      <c r="B11" s="51">
        <f t="shared" si="18"/>
        <v>46177</v>
      </c>
      <c r="C11" s="52" t="s">
        <v>88</v>
      </c>
      <c r="D11" s="91">
        <v>585</v>
      </c>
      <c r="E11" s="62">
        <v>4.58</v>
      </c>
      <c r="F11" s="62">
        <v>8.24</v>
      </c>
      <c r="G11" s="62">
        <f t="shared" si="0"/>
        <v>26.792999999999999</v>
      </c>
      <c r="H11" s="63">
        <f t="shared" si="1"/>
        <v>48.204000000000001</v>
      </c>
      <c r="I11" s="119">
        <v>956.5</v>
      </c>
      <c r="J11" s="120">
        <v>985.19500000000005</v>
      </c>
      <c r="K11" s="121">
        <v>4.5306220595922637</v>
      </c>
      <c r="L11" s="122">
        <v>8.2027496079456341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985.19500000000005</v>
      </c>
      <c r="S11" s="62">
        <f t="shared" si="3"/>
        <v>44.635462000000004</v>
      </c>
      <c r="T11" s="63">
        <f t="shared" si="4"/>
        <v>80.813078999999988</v>
      </c>
      <c r="U11" s="64" t="s">
        <v>167</v>
      </c>
      <c r="V11" s="65" t="s">
        <v>187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71">
        <v>1570.1</v>
      </c>
      <c r="AI11" s="66">
        <v>4.54</v>
      </c>
      <c r="AJ11" s="66">
        <v>8.2100000000000009</v>
      </c>
      <c r="AK11" s="62">
        <f t="shared" si="9"/>
        <v>71.282539999999997</v>
      </c>
      <c r="AL11" s="72">
        <f t="shared" si="10"/>
        <v>128.90521000000001</v>
      </c>
      <c r="AM11" s="73">
        <f t="shared" si="15"/>
        <v>9.5000000000254659E-2</v>
      </c>
      <c r="AN11" s="74">
        <f t="shared" si="11"/>
        <v>0.14592199999999877</v>
      </c>
      <c r="AO11" s="74">
        <f t="shared" si="11"/>
        <v>0.11186899999998445</v>
      </c>
      <c r="AP11" s="75">
        <f t="shared" si="16"/>
        <v>2.0549541504829719E-3</v>
      </c>
      <c r="AQ11" s="76">
        <f t="shared" si="12"/>
        <v>98.985253546661482</v>
      </c>
      <c r="AR11" s="77">
        <f t="shared" si="17"/>
        <v>9.5000000000254659E-2</v>
      </c>
    </row>
    <row r="12" spans="1:46" x14ac:dyDescent="0.25">
      <c r="A12" t="str">
        <f t="shared" si="14"/>
        <v>46178M</v>
      </c>
      <c r="B12" s="51">
        <f t="shared" si="18"/>
        <v>46178</v>
      </c>
      <c r="C12" s="52" t="s">
        <v>87</v>
      </c>
      <c r="D12" s="91">
        <v>1570.1</v>
      </c>
      <c r="E12" s="62">
        <v>4.54</v>
      </c>
      <c r="F12" s="62">
        <v>8.2100000000000009</v>
      </c>
      <c r="G12" s="62">
        <f t="shared" si="0"/>
        <v>71.282539999999997</v>
      </c>
      <c r="H12" s="63">
        <f t="shared" si="1"/>
        <v>128.90521000000001</v>
      </c>
      <c r="I12" s="119">
        <v>913.59999999999991</v>
      </c>
      <c r="J12" s="120">
        <v>941.00799999999992</v>
      </c>
      <c r="K12" s="121">
        <v>4.774365148861647</v>
      </c>
      <c r="L12" s="122">
        <v>8.2287215411558652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941.00799999999992</v>
      </c>
      <c r="S12" s="62">
        <f t="shared" si="3"/>
        <v>44.927158000000006</v>
      </c>
      <c r="T12" s="63">
        <f t="shared" si="4"/>
        <v>77.432927999999976</v>
      </c>
      <c r="U12" s="64" t="s">
        <v>167</v>
      </c>
      <c r="V12" s="65" t="s">
        <v>187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71">
        <v>2511.1</v>
      </c>
      <c r="AI12" s="66">
        <v>4.62</v>
      </c>
      <c r="AJ12" s="66">
        <v>8.2100000000000009</v>
      </c>
      <c r="AK12" s="62">
        <f t="shared" si="9"/>
        <v>116.01281999999999</v>
      </c>
      <c r="AL12" s="72">
        <f t="shared" si="10"/>
        <v>206.16131000000001</v>
      </c>
      <c r="AM12" s="73">
        <f t="shared" si="15"/>
        <v>7.9999999998108251E-3</v>
      </c>
      <c r="AN12" s="74">
        <f t="shared" si="11"/>
        <v>0.19687800000001232</v>
      </c>
      <c r="AO12" s="74">
        <f t="shared" si="11"/>
        <v>0.17682799999997201</v>
      </c>
      <c r="AP12" s="75">
        <f t="shared" si="16"/>
        <v>3.0541495369657092E-3</v>
      </c>
      <c r="AQ12" s="76">
        <f t="shared" si="12"/>
        <v>141.30040796666384</v>
      </c>
      <c r="AR12" s="77">
        <f t="shared" si="17"/>
        <v>7.9999999998108251E-3</v>
      </c>
    </row>
    <row r="13" spans="1:46" x14ac:dyDescent="0.25">
      <c r="A13" t="str">
        <f t="shared" si="14"/>
        <v>46178E</v>
      </c>
      <c r="B13" s="51">
        <f t="shared" si="18"/>
        <v>46178</v>
      </c>
      <c r="C13" s="52" t="s">
        <v>88</v>
      </c>
      <c r="D13" s="91">
        <v>2511.1</v>
      </c>
      <c r="E13" s="62">
        <v>4.62</v>
      </c>
      <c r="F13" s="62">
        <v>8.2100000000000009</v>
      </c>
      <c r="G13" s="62">
        <f t="shared" si="0"/>
        <v>116.01281999999999</v>
      </c>
      <c r="H13" s="63">
        <f t="shared" si="1"/>
        <v>206.16131000000001</v>
      </c>
      <c r="I13" s="119">
        <v>1047.2</v>
      </c>
      <c r="J13" s="120">
        <v>1078.616</v>
      </c>
      <c r="K13" s="121">
        <v>4.2821428571428557</v>
      </c>
      <c r="L13" s="122">
        <v>8.1147918258212357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1078.616</v>
      </c>
      <c r="S13" s="62">
        <f t="shared" si="3"/>
        <v>46.187877999999984</v>
      </c>
      <c r="T13" s="63">
        <f t="shared" si="4"/>
        <v>87.527442999999977</v>
      </c>
      <c r="U13" s="64" t="s">
        <v>187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71">
        <v>3606</v>
      </c>
      <c r="AI13" s="66">
        <v>4.5</v>
      </c>
      <c r="AJ13" s="66">
        <v>8.18</v>
      </c>
      <c r="AK13" s="62">
        <f t="shared" si="9"/>
        <v>162.26999999999998</v>
      </c>
      <c r="AL13" s="72">
        <f t="shared" si="10"/>
        <v>294.9708</v>
      </c>
      <c r="AM13" s="73">
        <f t="shared" si="15"/>
        <v>-16.284000000000106</v>
      </c>
      <c r="AN13" s="74">
        <f t="shared" si="11"/>
        <v>-6.9301999999993313E-2</v>
      </c>
      <c r="AO13" s="74">
        <f t="shared" si="11"/>
        <v>-1.2820469999999773</v>
      </c>
      <c r="AP13" s="75">
        <f t="shared" si="16"/>
        <v>-1.0106164274174469E-2</v>
      </c>
      <c r="AQ13" s="76">
        <f t="shared" si="12"/>
        <v>-414.79283999999029</v>
      </c>
      <c r="AR13" s="77">
        <f t="shared" si="17"/>
        <v>-16.284000000000106</v>
      </c>
    </row>
    <row r="14" spans="1:46" x14ac:dyDescent="0.25">
      <c r="A14" t="str">
        <f t="shared" si="14"/>
        <v>46179M</v>
      </c>
      <c r="B14" s="51">
        <f t="shared" si="18"/>
        <v>46179</v>
      </c>
      <c r="C14" s="52" t="s">
        <v>87</v>
      </c>
      <c r="D14" s="91">
        <v>3606</v>
      </c>
      <c r="E14" s="62">
        <v>4.5</v>
      </c>
      <c r="F14" s="62">
        <v>8.18</v>
      </c>
      <c r="G14" s="62">
        <f t="shared" si="0"/>
        <v>162.26999999999998</v>
      </c>
      <c r="H14" s="63">
        <f t="shared" si="1"/>
        <v>294.9708</v>
      </c>
      <c r="I14" s="119">
        <v>944.6999999999997</v>
      </c>
      <c r="J14" s="120">
        <v>973.04099999999971</v>
      </c>
      <c r="K14" s="121">
        <v>4.790494336826506</v>
      </c>
      <c r="L14" s="122">
        <v>8.157669101302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973.04099999999971</v>
      </c>
      <c r="S14" s="62">
        <f t="shared" si="3"/>
        <v>46.613473999999989</v>
      </c>
      <c r="T14" s="63">
        <f t="shared" si="4"/>
        <v>79.377464999999958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3">
        <f t="shared" si="8"/>
        <v>0</v>
      </c>
      <c r="AH14" s="71">
        <v>4579</v>
      </c>
      <c r="AI14" s="66">
        <v>4.5599999999999996</v>
      </c>
      <c r="AJ14" s="66">
        <v>8.17</v>
      </c>
      <c r="AK14" s="62">
        <f t="shared" si="9"/>
        <v>208.80239999999998</v>
      </c>
      <c r="AL14" s="72">
        <f t="shared" si="10"/>
        <v>374.10429999999997</v>
      </c>
      <c r="AM14" s="73">
        <f t="shared" si="15"/>
        <v>4.0999999999257852E-2</v>
      </c>
      <c r="AN14" s="74">
        <f t="shared" si="11"/>
        <v>8.1074000000000979E-2</v>
      </c>
      <c r="AO14" s="74">
        <f t="shared" si="11"/>
        <v>0.24396500000000287</v>
      </c>
      <c r="AP14" s="75">
        <f t="shared" si="16"/>
        <v>2.579860127877958E-3</v>
      </c>
      <c r="AQ14" s="76">
        <f t="shared" si="12"/>
        <v>109.40714810666796</v>
      </c>
      <c r="AR14" s="77">
        <f t="shared" si="17"/>
        <v>4.0999999999257852E-2</v>
      </c>
    </row>
    <row r="15" spans="1:46" x14ac:dyDescent="0.25">
      <c r="A15" t="str">
        <f t="shared" si="14"/>
        <v>46179E</v>
      </c>
      <c r="B15" s="51">
        <f t="shared" si="18"/>
        <v>46179</v>
      </c>
      <c r="C15" s="52" t="s">
        <v>88</v>
      </c>
      <c r="D15" s="91">
        <v>4579</v>
      </c>
      <c r="E15" s="62">
        <v>4.5599999999999996</v>
      </c>
      <c r="F15" s="62">
        <v>8.17</v>
      </c>
      <c r="G15" s="62">
        <f t="shared" si="0"/>
        <v>208.80239999999998</v>
      </c>
      <c r="H15" s="63">
        <f t="shared" si="1"/>
        <v>374.10429999999997</v>
      </c>
      <c r="I15" s="119">
        <v>1027.4999999999998</v>
      </c>
      <c r="J15" s="120">
        <v>1058.3249999999998</v>
      </c>
      <c r="K15" s="121">
        <v>4.4389002433090026</v>
      </c>
      <c r="L15" s="122">
        <v>8.2228613138686146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1058.3249999999998</v>
      </c>
      <c r="S15" s="62">
        <f t="shared" si="3"/>
        <v>46.977990999999996</v>
      </c>
      <c r="T15" s="63">
        <f t="shared" si="4"/>
        <v>87.024597</v>
      </c>
      <c r="U15" s="64" t="s">
        <v>256</v>
      </c>
      <c r="V15" s="65" t="s">
        <v>433</v>
      </c>
      <c r="W15" s="66" t="s">
        <v>189</v>
      </c>
      <c r="X15" s="67">
        <v>5820</v>
      </c>
      <c r="Y15" s="68">
        <v>4.53</v>
      </c>
      <c r="Z15" s="68">
        <v>8.17</v>
      </c>
      <c r="AA15" s="62">
        <f t="shared" si="5"/>
        <v>263.64600000000002</v>
      </c>
      <c r="AB15" s="63">
        <f t="shared" si="6"/>
        <v>475.49399999999997</v>
      </c>
      <c r="AC15" s="69">
        <v>5855</v>
      </c>
      <c r="AD15" s="70">
        <v>4.5332621690862505</v>
      </c>
      <c r="AE15" s="70">
        <v>8.1266524338172488</v>
      </c>
      <c r="AF15" s="62">
        <f t="shared" si="7"/>
        <v>265.42249999999996</v>
      </c>
      <c r="AG15" s="63">
        <f t="shared" si="8"/>
        <v>475.81549999999987</v>
      </c>
      <c r="AH15" s="71">
        <v>0</v>
      </c>
      <c r="AI15" s="66">
        <v>0</v>
      </c>
      <c r="AJ15" s="66">
        <v>0</v>
      </c>
      <c r="AK15" s="62">
        <f t="shared" si="9"/>
        <v>0</v>
      </c>
      <c r="AL15" s="72">
        <f t="shared" si="10"/>
        <v>0</v>
      </c>
      <c r="AM15" s="73">
        <f t="shared" si="15"/>
        <v>-217.67500000000018</v>
      </c>
      <c r="AN15" s="74">
        <f t="shared" si="11"/>
        <v>-9.6421089999999765</v>
      </c>
      <c r="AO15" s="74">
        <f t="shared" si="11"/>
        <v>-14.686602999999934</v>
      </c>
      <c r="AP15" s="75">
        <f t="shared" si="16"/>
        <v>-0.18155404580693554</v>
      </c>
      <c r="AQ15" s="76">
        <f t="shared" si="12"/>
        <v>-8723.7477863433032</v>
      </c>
      <c r="AR15" s="77">
        <f t="shared" si="17"/>
        <v>-182.67500000000018</v>
      </c>
    </row>
    <row r="16" spans="1:46" x14ac:dyDescent="0.25">
      <c r="A16" t="str">
        <f t="shared" si="14"/>
        <v>46180M</v>
      </c>
      <c r="B16" s="51">
        <f t="shared" si="18"/>
        <v>46180</v>
      </c>
      <c r="C16" s="52" t="s">
        <v>87</v>
      </c>
      <c r="D16" s="91">
        <v>0</v>
      </c>
      <c r="E16" s="62">
        <v>0</v>
      </c>
      <c r="F16" s="62">
        <v>0</v>
      </c>
      <c r="G16" s="62">
        <f t="shared" si="0"/>
        <v>0</v>
      </c>
      <c r="H16" s="63">
        <f t="shared" si="1"/>
        <v>0</v>
      </c>
      <c r="I16" s="119">
        <v>966.50000000000011</v>
      </c>
      <c r="J16" s="120">
        <v>995.49500000000012</v>
      </c>
      <c r="K16" s="121">
        <v>4.5460113812726339</v>
      </c>
      <c r="L16" s="122">
        <v>8.2363269529229193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995.49500000000012</v>
      </c>
      <c r="S16" s="62">
        <f t="shared" si="3"/>
        <v>45.255316000000015</v>
      </c>
      <c r="T16" s="63">
        <f t="shared" si="4"/>
        <v>81.992223000000024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3">
        <f t="shared" si="8"/>
        <v>0</v>
      </c>
      <c r="AH16" s="118">
        <v>995.4</v>
      </c>
      <c r="AI16" s="118">
        <v>4.55</v>
      </c>
      <c r="AJ16" s="118">
        <v>8.24</v>
      </c>
      <c r="AK16" s="62">
        <f t="shared" si="9"/>
        <v>45.290700000000001</v>
      </c>
      <c r="AL16" s="72">
        <f t="shared" si="10"/>
        <v>82.020960000000002</v>
      </c>
      <c r="AM16" s="73">
        <f t="shared" si="15"/>
        <v>9.5000000000140972E-2</v>
      </c>
      <c r="AN16" s="74">
        <f t="shared" si="11"/>
        <v>-3.5383999999986315E-2</v>
      </c>
      <c r="AO16" s="74">
        <f t="shared" si="11"/>
        <v>-2.8736999999978252E-2</v>
      </c>
      <c r="AP16" s="75">
        <f t="shared" si="16"/>
        <v>-5.039075844128077E-4</v>
      </c>
      <c r="AQ16" s="76">
        <f t="shared" si="12"/>
        <v>-24.484449219987351</v>
      </c>
      <c r="AR16" s="77">
        <f t="shared" si="17"/>
        <v>9.5000000000140972E-2</v>
      </c>
    </row>
    <row r="17" spans="1:49" x14ac:dyDescent="0.25">
      <c r="A17" t="str">
        <f t="shared" si="14"/>
        <v>46180E</v>
      </c>
      <c r="B17" s="51">
        <f t="shared" si="18"/>
        <v>46180</v>
      </c>
      <c r="C17" s="52" t="s">
        <v>88</v>
      </c>
      <c r="D17" s="91">
        <v>995.4</v>
      </c>
      <c r="E17" s="62">
        <v>4.55</v>
      </c>
      <c r="F17" s="62">
        <v>8.24</v>
      </c>
      <c r="G17" s="62">
        <f t="shared" si="0"/>
        <v>45.290700000000001</v>
      </c>
      <c r="H17" s="63">
        <f t="shared" si="1"/>
        <v>82.020960000000002</v>
      </c>
      <c r="I17" s="119">
        <v>986.5</v>
      </c>
      <c r="J17" s="120">
        <v>1016.095</v>
      </c>
      <c r="K17" s="121">
        <v>4.2350126710593017</v>
      </c>
      <c r="L17" s="122">
        <v>8.2240952863659427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1016.095</v>
      </c>
      <c r="S17" s="62">
        <f t="shared" si="3"/>
        <v>43.031752000000012</v>
      </c>
      <c r="T17" s="63">
        <f t="shared" si="4"/>
        <v>83.564621000000031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89">
        <v>2011.5</v>
      </c>
      <c r="AI17" s="66">
        <v>4.3899999999999997</v>
      </c>
      <c r="AJ17" s="66">
        <v>8.23</v>
      </c>
      <c r="AK17" s="62">
        <f t="shared" si="9"/>
        <v>88.304849999999988</v>
      </c>
      <c r="AL17" s="72">
        <f t="shared" si="10"/>
        <v>165.54644999999999</v>
      </c>
      <c r="AM17" s="73">
        <f t="shared" si="15"/>
        <v>-5.0000000001091394E-3</v>
      </c>
      <c r="AN17" s="74">
        <f t="shared" si="11"/>
        <v>1.7602000000024987E-2</v>
      </c>
      <c r="AO17" s="74">
        <f t="shared" si="11"/>
        <v>3.9131000000054428E-2</v>
      </c>
      <c r="AP17" s="75">
        <f t="shared" si="16"/>
        <v>4.4814080100130036E-4</v>
      </c>
      <c r="AQ17" s="76">
        <f t="shared" si="12"/>
        <v>19.612578626694173</v>
      </c>
      <c r="AR17" s="77">
        <f t="shared" si="17"/>
        <v>-5.0000000001091394E-3</v>
      </c>
    </row>
    <row r="18" spans="1:49" x14ac:dyDescent="0.25">
      <c r="A18" t="str">
        <f t="shared" si="14"/>
        <v>46181M</v>
      </c>
      <c r="B18" s="51">
        <f t="shared" si="18"/>
        <v>46181</v>
      </c>
      <c r="C18" s="52" t="s">
        <v>87</v>
      </c>
      <c r="D18" s="91">
        <v>2011.5</v>
      </c>
      <c r="E18" s="62">
        <v>4.3899999999999997</v>
      </c>
      <c r="F18" s="62">
        <v>8.23</v>
      </c>
      <c r="G18" s="62">
        <f t="shared" si="0"/>
        <v>88.304849999999988</v>
      </c>
      <c r="H18" s="63">
        <f t="shared" si="1"/>
        <v>165.54644999999999</v>
      </c>
      <c r="I18" s="119">
        <v>1019.9999999999999</v>
      </c>
      <c r="J18" s="120">
        <v>1050.5999999999999</v>
      </c>
      <c r="K18" s="121">
        <v>4.7834411764705909</v>
      </c>
      <c r="L18" s="122">
        <v>8.3562745098039208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1050.5999999999999</v>
      </c>
      <c r="S18" s="62">
        <f t="shared" si="3"/>
        <v>50.254833000000026</v>
      </c>
      <c r="T18" s="63">
        <f t="shared" si="4"/>
        <v>87.791019999999989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89">
        <v>3062.1</v>
      </c>
      <c r="AI18" s="66">
        <v>4.53</v>
      </c>
      <c r="AJ18" s="66">
        <v>8.27</v>
      </c>
      <c r="AK18" s="62">
        <f t="shared" si="9"/>
        <v>138.71313000000001</v>
      </c>
      <c r="AL18" s="72">
        <f t="shared" si="10"/>
        <v>253.23566999999997</v>
      </c>
      <c r="AM18" s="73">
        <f t="shared" si="15"/>
        <v>0</v>
      </c>
      <c r="AN18" s="74">
        <f t="shared" si="11"/>
        <v>-0.15344699999999989</v>
      </c>
      <c r="AO18" s="74">
        <f t="shared" si="11"/>
        <v>0.10180000000002565</v>
      </c>
      <c r="AP18" s="75">
        <f t="shared" si="16"/>
        <v>-3.7412931194661991E-4</v>
      </c>
      <c r="AQ18" s="76">
        <f t="shared" si="12"/>
        <v>-38.417867436658952</v>
      </c>
      <c r="AR18" s="77">
        <f t="shared" si="17"/>
        <v>0</v>
      </c>
    </row>
    <row r="19" spans="1:49" x14ac:dyDescent="0.25">
      <c r="A19" t="str">
        <f t="shared" si="14"/>
        <v>46181E</v>
      </c>
      <c r="B19" s="51">
        <f t="shared" si="18"/>
        <v>46181</v>
      </c>
      <c r="C19" s="52" t="s">
        <v>88</v>
      </c>
      <c r="D19" s="91">
        <v>3062.1</v>
      </c>
      <c r="E19" s="62">
        <v>4.53</v>
      </c>
      <c r="F19" s="62">
        <v>8.27</v>
      </c>
      <c r="G19" s="62">
        <f t="shared" si="0"/>
        <v>138.71313000000001</v>
      </c>
      <c r="H19" s="63">
        <f t="shared" si="1"/>
        <v>253.23566999999997</v>
      </c>
      <c r="I19" s="119">
        <v>930.69999999999993</v>
      </c>
      <c r="J19" s="120">
        <v>958.62099999999998</v>
      </c>
      <c r="K19" s="121">
        <v>4.4687547007628687</v>
      </c>
      <c r="L19" s="122">
        <v>8.321650370688733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958.62099999999998</v>
      </c>
      <c r="S19" s="62">
        <f t="shared" si="3"/>
        <v>42.838421000000025</v>
      </c>
      <c r="T19" s="63">
        <f t="shared" si="4"/>
        <v>79.77308800000003</v>
      </c>
      <c r="U19" s="64" t="s">
        <v>256</v>
      </c>
      <c r="V19" s="65" t="s">
        <v>434</v>
      </c>
      <c r="W19" s="66" t="s">
        <v>225</v>
      </c>
      <c r="X19" s="67">
        <v>4325</v>
      </c>
      <c r="Y19" s="68">
        <v>4.51</v>
      </c>
      <c r="Z19" s="68">
        <v>8.2899999999999991</v>
      </c>
      <c r="AA19" s="62">
        <f t="shared" si="5"/>
        <v>195.0575</v>
      </c>
      <c r="AB19" s="63">
        <f t="shared" si="6"/>
        <v>358.54249999999996</v>
      </c>
      <c r="AC19" s="69">
        <v>4340</v>
      </c>
      <c r="AD19" s="70">
        <v>4.2460829493087555</v>
      </c>
      <c r="AE19" s="70">
        <v>7.8143087557603668</v>
      </c>
      <c r="AF19" s="62">
        <f t="shared" si="7"/>
        <v>184.28</v>
      </c>
      <c r="AG19" s="63">
        <f t="shared" si="8"/>
        <v>339.14099999999996</v>
      </c>
      <c r="AH19" s="89">
        <v>0</v>
      </c>
      <c r="AI19" s="66">
        <v>0</v>
      </c>
      <c r="AJ19" s="66">
        <v>0</v>
      </c>
      <c r="AK19" s="62">
        <f t="shared" si="9"/>
        <v>0</v>
      </c>
      <c r="AL19" s="72">
        <f t="shared" si="10"/>
        <v>0</v>
      </c>
      <c r="AM19" s="73">
        <f t="shared" si="15"/>
        <v>-319.279</v>
      </c>
      <c r="AN19" s="74">
        <f t="shared" si="11"/>
        <v>-2.7284489999999835</v>
      </c>
      <c r="AO19" s="74">
        <f t="shared" si="11"/>
        <v>-6.1322419999999624</v>
      </c>
      <c r="AP19" s="75">
        <f t="shared" si="16"/>
        <v>-7.2266388957010083E-2</v>
      </c>
      <c r="AQ19" s="76">
        <f t="shared" si="12"/>
        <v>-3060.0445447366483</v>
      </c>
      <c r="AR19" s="77">
        <f t="shared" si="17"/>
        <v>-304.279</v>
      </c>
    </row>
    <row r="20" spans="1:49" x14ac:dyDescent="0.25">
      <c r="A20" t="str">
        <f t="shared" si="14"/>
        <v>46182M</v>
      </c>
      <c r="B20" s="51">
        <f t="shared" si="18"/>
        <v>46182</v>
      </c>
      <c r="C20" s="52" t="s">
        <v>87</v>
      </c>
      <c r="D20" s="91">
        <v>0</v>
      </c>
      <c r="E20" s="62">
        <v>0</v>
      </c>
      <c r="F20" s="62">
        <v>0</v>
      </c>
      <c r="G20" s="62">
        <f t="shared" si="0"/>
        <v>0</v>
      </c>
      <c r="H20" s="63">
        <f t="shared" si="1"/>
        <v>0</v>
      </c>
      <c r="I20" s="119">
        <v>920.5</v>
      </c>
      <c r="J20" s="120">
        <v>948.11500000000001</v>
      </c>
      <c r="K20" s="121">
        <v>4.7888647474198791</v>
      </c>
      <c r="L20" s="122">
        <v>8.2742639869636019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948.11500000000001</v>
      </c>
      <c r="S20" s="62">
        <f t="shared" si="3"/>
        <v>45.403944999999986</v>
      </c>
      <c r="T20" s="63">
        <f t="shared" si="4"/>
        <v>78.449537999999961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89">
        <v>948.1</v>
      </c>
      <c r="AI20" s="66">
        <v>4.79</v>
      </c>
      <c r="AJ20" s="66">
        <v>8.27</v>
      </c>
      <c r="AK20" s="62">
        <f t="shared" si="9"/>
        <v>45.413989999999998</v>
      </c>
      <c r="AL20" s="72">
        <f t="shared" si="10"/>
        <v>78.407870000000003</v>
      </c>
      <c r="AM20" s="73">
        <f t="shared" si="15"/>
        <v>1.4999999999986358E-2</v>
      </c>
      <c r="AN20" s="74">
        <f t="shared" ref="AN20:AO65" si="19">+G20+S20-AF20-AK20</f>
        <v>-1.0045000000012294E-2</v>
      </c>
      <c r="AO20" s="74">
        <f t="shared" si="19"/>
        <v>4.1667999999958738E-2</v>
      </c>
      <c r="AP20" s="75">
        <f t="shared" si="16"/>
        <v>2.5532588372945841E-4</v>
      </c>
      <c r="AQ20" s="76">
        <f t="shared" si="12"/>
        <v>7.960820303315467</v>
      </c>
      <c r="AR20" s="77">
        <f t="shared" si="17"/>
        <v>1.4999999999986358E-2</v>
      </c>
    </row>
    <row r="21" spans="1:49" x14ac:dyDescent="0.25">
      <c r="A21" t="str">
        <f t="shared" si="14"/>
        <v>46182E</v>
      </c>
      <c r="B21" s="51">
        <f t="shared" si="18"/>
        <v>46182</v>
      </c>
      <c r="C21" s="52" t="s">
        <v>88</v>
      </c>
      <c r="D21" s="91">
        <v>948.1</v>
      </c>
      <c r="E21" s="62">
        <v>4.79</v>
      </c>
      <c r="F21" s="62">
        <v>8.27</v>
      </c>
      <c r="G21" s="62">
        <f t="shared" si="0"/>
        <v>45.413989999999998</v>
      </c>
      <c r="H21" s="63">
        <f t="shared" si="1"/>
        <v>78.407870000000003</v>
      </c>
      <c r="I21" s="119">
        <v>1018.1999999999999</v>
      </c>
      <c r="J21" s="120">
        <v>1048.7459999999999</v>
      </c>
      <c r="K21" s="121">
        <v>4.3010803378511104</v>
      </c>
      <c r="L21" s="122">
        <v>8.2086034177961125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1048.7459999999999</v>
      </c>
      <c r="S21" s="62">
        <f t="shared" si="3"/>
        <v>45.107408</v>
      </c>
      <c r="T21" s="63">
        <f t="shared" si="4"/>
        <v>86.087400000000002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3">
        <f t="shared" si="8"/>
        <v>0</v>
      </c>
      <c r="AH21" s="89">
        <v>1996.8</v>
      </c>
      <c r="AI21" s="66">
        <v>4.53</v>
      </c>
      <c r="AJ21" s="66">
        <v>8.24</v>
      </c>
      <c r="AK21" s="62">
        <f t="shared" si="9"/>
        <v>90.455039999999997</v>
      </c>
      <c r="AL21" s="72">
        <f t="shared" si="10"/>
        <v>164.53631999999999</v>
      </c>
      <c r="AM21" s="73">
        <f t="shared" si="15"/>
        <v>4.6000000000049113E-2</v>
      </c>
      <c r="AN21" s="74">
        <f t="shared" si="19"/>
        <v>6.6358000000008133E-2</v>
      </c>
      <c r="AO21" s="74">
        <f t="shared" si="19"/>
        <v>-4.1049999999984266E-2</v>
      </c>
      <c r="AP21" s="75">
        <f t="shared" si="16"/>
        <v>1.9290397528554535E-4</v>
      </c>
      <c r="AQ21" s="76">
        <f t="shared" si="12"/>
        <v>17.503599446675025</v>
      </c>
      <c r="AR21" s="77">
        <f t="shared" si="17"/>
        <v>4.6000000000049113E-2</v>
      </c>
    </row>
    <row r="22" spans="1:49" x14ac:dyDescent="0.25">
      <c r="A22" t="str">
        <f t="shared" si="14"/>
        <v>46183M</v>
      </c>
      <c r="B22" s="51">
        <f t="shared" si="18"/>
        <v>46183</v>
      </c>
      <c r="C22" s="52" t="s">
        <v>87</v>
      </c>
      <c r="D22" s="91">
        <v>1996.8</v>
      </c>
      <c r="E22" s="62">
        <v>4.53</v>
      </c>
      <c r="F22" s="62">
        <v>8.24</v>
      </c>
      <c r="G22" s="62">
        <f t="shared" si="0"/>
        <v>90.455039999999997</v>
      </c>
      <c r="H22" s="63">
        <f t="shared" si="1"/>
        <v>164.53631999999999</v>
      </c>
      <c r="I22" s="119">
        <v>1002.6999999999999</v>
      </c>
      <c r="J22" s="120">
        <v>1032.7809999999999</v>
      </c>
      <c r="K22" s="121">
        <v>4.7955919018649649</v>
      </c>
      <c r="L22" s="122">
        <v>8.3402612945048382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1032.7809999999999</v>
      </c>
      <c r="S22" s="62">
        <f t="shared" si="3"/>
        <v>49.527962000000002</v>
      </c>
      <c r="T22" s="63">
        <f t="shared" si="4"/>
        <v>86.136634000000015</v>
      </c>
      <c r="U22" s="64" t="s">
        <v>167</v>
      </c>
      <c r="V22" s="65" t="s">
        <v>187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89">
        <v>3029.6</v>
      </c>
      <c r="AI22" s="66">
        <v>4.62</v>
      </c>
      <c r="AJ22" s="66">
        <v>8.27</v>
      </c>
      <c r="AK22" s="62">
        <f t="shared" si="9"/>
        <v>139.96751999999998</v>
      </c>
      <c r="AL22" s="72">
        <f t="shared" si="10"/>
        <v>250.54791999999998</v>
      </c>
      <c r="AM22" s="73">
        <f t="shared" si="15"/>
        <v>-1.8999999999778083E-2</v>
      </c>
      <c r="AN22" s="74">
        <f t="shared" si="19"/>
        <v>1.548200000001998E-2</v>
      </c>
      <c r="AO22" s="74">
        <f t="shared" si="19"/>
        <v>0.12503400000002785</v>
      </c>
      <c r="AP22" s="75">
        <f t="shared" si="16"/>
        <v>1.0357602804496452E-3</v>
      </c>
      <c r="AQ22" s="76">
        <f t="shared" si="12"/>
        <v>44.369366580017306</v>
      </c>
      <c r="AR22" s="77">
        <f t="shared" si="17"/>
        <v>-1.8999999999778083E-2</v>
      </c>
      <c r="AT22" s="83"/>
      <c r="AU22" s="83"/>
      <c r="AW22">
        <f>AS22*AU22%</f>
        <v>0</v>
      </c>
    </row>
    <row r="23" spans="1:49" x14ac:dyDescent="0.25">
      <c r="A23" t="str">
        <f t="shared" si="14"/>
        <v>46183E</v>
      </c>
      <c r="B23" s="51">
        <f t="shared" si="18"/>
        <v>46183</v>
      </c>
      <c r="C23" s="52" t="s">
        <v>88</v>
      </c>
      <c r="D23" s="91">
        <v>3029.6</v>
      </c>
      <c r="E23" s="62">
        <v>4.62</v>
      </c>
      <c r="F23" s="62">
        <v>8.27</v>
      </c>
      <c r="G23" s="62">
        <f t="shared" si="0"/>
        <v>139.96751999999998</v>
      </c>
      <c r="H23" s="63">
        <f t="shared" si="1"/>
        <v>250.54791999999998</v>
      </c>
      <c r="I23" s="119">
        <v>1078.3000000000002</v>
      </c>
      <c r="J23" s="120">
        <v>1110.6490000000001</v>
      </c>
      <c r="K23" s="121">
        <v>4.3533061300194733</v>
      </c>
      <c r="L23" s="122">
        <v>8.2851154595196146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1110.6490000000001</v>
      </c>
      <c r="S23" s="62">
        <f t="shared" si="3"/>
        <v>48.34995099999999</v>
      </c>
      <c r="T23" s="63">
        <f t="shared" si="4"/>
        <v>92.018552000000028</v>
      </c>
      <c r="U23" s="64" t="s">
        <v>256</v>
      </c>
      <c r="V23" s="65" t="s">
        <v>435</v>
      </c>
      <c r="W23" s="66" t="s">
        <v>189</v>
      </c>
      <c r="X23" s="67">
        <v>2840</v>
      </c>
      <c r="Y23" s="68">
        <v>4.55</v>
      </c>
      <c r="Z23" s="68">
        <v>8.2799999999999994</v>
      </c>
      <c r="AA23" s="62">
        <f t="shared" si="5"/>
        <v>129.22</v>
      </c>
      <c r="AB23" s="63">
        <f t="shared" si="6"/>
        <v>235.15199999999999</v>
      </c>
      <c r="AC23" s="226">
        <v>2840</v>
      </c>
      <c r="AD23" s="227">
        <v>4.55</v>
      </c>
      <c r="AE23" s="227">
        <v>8.2799999999999994</v>
      </c>
      <c r="AF23" s="62">
        <f t="shared" si="7"/>
        <v>129.22</v>
      </c>
      <c r="AG23" s="63">
        <f t="shared" si="8"/>
        <v>235.15199999999999</v>
      </c>
      <c r="AH23" s="89">
        <v>1300.2</v>
      </c>
      <c r="AI23" s="66">
        <v>4.55</v>
      </c>
      <c r="AJ23" s="84">
        <v>8.2799999999999994</v>
      </c>
      <c r="AK23" s="62">
        <f t="shared" si="9"/>
        <v>59.159100000000002</v>
      </c>
      <c r="AL23" s="72">
        <f t="shared" si="10"/>
        <v>107.65656</v>
      </c>
      <c r="AM23" s="73">
        <f t="shared" si="15"/>
        <v>4.8999999999750798E-2</v>
      </c>
      <c r="AN23" s="74">
        <f t="shared" si="19"/>
        <v>-6.1629000000046119E-2</v>
      </c>
      <c r="AO23" s="74">
        <f t="shared" si="19"/>
        <v>-0.24208800000000963</v>
      </c>
      <c r="AP23" s="75">
        <f t="shared" si="16"/>
        <v>-2.1637118976759028E-3</v>
      </c>
      <c r="AQ23" s="76">
        <f t="shared" si="12"/>
        <v>-100.1163571100236</v>
      </c>
      <c r="AR23" s="77">
        <f t="shared" si="17"/>
        <v>4.8999999999978172E-2</v>
      </c>
      <c r="AU23" s="83"/>
      <c r="AW23">
        <f>AS23*AU23%</f>
        <v>0</v>
      </c>
    </row>
    <row r="24" spans="1:49" x14ac:dyDescent="0.25">
      <c r="A24" t="str">
        <f t="shared" si="14"/>
        <v>46184M</v>
      </c>
      <c r="B24" s="51">
        <f t="shared" si="18"/>
        <v>46184</v>
      </c>
      <c r="C24" s="52" t="s">
        <v>87</v>
      </c>
      <c r="D24" s="91">
        <v>1300.2</v>
      </c>
      <c r="E24" s="62">
        <v>4.55</v>
      </c>
      <c r="F24" s="62">
        <v>8.2799999999999994</v>
      </c>
      <c r="G24" s="62">
        <f t="shared" si="0"/>
        <v>59.159100000000002</v>
      </c>
      <c r="H24" s="63">
        <f t="shared" si="1"/>
        <v>107.65656</v>
      </c>
      <c r="I24" s="119">
        <v>1027.5</v>
      </c>
      <c r="J24" s="120">
        <v>1058.325</v>
      </c>
      <c r="K24" s="121">
        <v>4.7654793187347932</v>
      </c>
      <c r="L24" s="122">
        <v>8.4348223844282231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1058.325</v>
      </c>
      <c r="S24" s="62">
        <f t="shared" si="3"/>
        <v>50.434258999999997</v>
      </c>
      <c r="T24" s="63">
        <f t="shared" si="4"/>
        <v>89.267833999999993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89">
        <v>2358.5</v>
      </c>
      <c r="AI24" s="66">
        <v>4.6399999999999997</v>
      </c>
      <c r="AJ24" s="66">
        <v>8.35</v>
      </c>
      <c r="AK24" s="62">
        <f t="shared" si="9"/>
        <v>109.4344</v>
      </c>
      <c r="AL24" s="72">
        <f t="shared" si="10"/>
        <v>196.93474999999998</v>
      </c>
      <c r="AM24" s="73">
        <f t="shared" si="15"/>
        <v>2.5000000000090949E-2</v>
      </c>
      <c r="AN24" s="74">
        <f t="shared" si="19"/>
        <v>0.15895899999999585</v>
      </c>
      <c r="AO24" s="74">
        <f t="shared" si="19"/>
        <v>-1.0355999999973164E-2</v>
      </c>
      <c r="AP24" s="75">
        <f t="shared" si="16"/>
        <v>1.0637134835196971E-3</v>
      </c>
      <c r="AQ24" s="76">
        <f t="shared" si="12"/>
        <v>68.259010050006168</v>
      </c>
      <c r="AR24" s="77">
        <f t="shared" si="17"/>
        <v>2.5000000000090949E-2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4"/>
        <v>46184E</v>
      </c>
      <c r="B25" s="51">
        <f t="shared" si="18"/>
        <v>46184</v>
      </c>
      <c r="C25" s="52" t="s">
        <v>88</v>
      </c>
      <c r="D25" s="91">
        <v>2358.5</v>
      </c>
      <c r="E25" s="62">
        <v>4.6399999999999997</v>
      </c>
      <c r="F25" s="62">
        <v>8.35</v>
      </c>
      <c r="G25" s="62">
        <f t="shared" si="0"/>
        <v>109.4344</v>
      </c>
      <c r="H25" s="63">
        <f t="shared" si="1"/>
        <v>196.93474999999998</v>
      </c>
      <c r="I25" s="119">
        <v>1062.5999999999999</v>
      </c>
      <c r="J25" s="120">
        <v>1094.4779999999998</v>
      </c>
      <c r="K25" s="121">
        <v>4.5174383587427061</v>
      </c>
      <c r="L25" s="122">
        <v>8.3717579521927341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1094.4779999999998</v>
      </c>
      <c r="S25" s="62">
        <f t="shared" si="3"/>
        <v>49.442368999999992</v>
      </c>
      <c r="T25" s="63">
        <f t="shared" si="4"/>
        <v>91.627048999999971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89">
        <v>3452.9</v>
      </c>
      <c r="AI25" s="66">
        <v>4.59</v>
      </c>
      <c r="AJ25" s="66">
        <v>8.35</v>
      </c>
      <c r="AK25" s="62">
        <f t="shared" si="9"/>
        <v>158.48810999999998</v>
      </c>
      <c r="AL25" s="72">
        <f t="shared" si="10"/>
        <v>288.31714999999997</v>
      </c>
      <c r="AM25" s="73">
        <f t="shared" si="15"/>
        <v>7.7999999999974534E-2</v>
      </c>
      <c r="AN25" s="74">
        <f t="shared" si="19"/>
        <v>0.3886590000000183</v>
      </c>
      <c r="AO25" s="74">
        <f t="shared" si="19"/>
        <v>0.24464899999998124</v>
      </c>
      <c r="AP25" s="75">
        <f t="shared" si="16"/>
        <v>4.4893358814310823E-3</v>
      </c>
      <c r="AQ25" s="76">
        <f t="shared" si="12"/>
        <v>247.68983341666927</v>
      </c>
      <c r="AR25" s="77">
        <f t="shared" si="17"/>
        <v>7.7999999999974534E-2</v>
      </c>
    </row>
    <row r="26" spans="1:49" x14ac:dyDescent="0.25">
      <c r="A26" t="str">
        <f t="shared" si="14"/>
        <v>46185M</v>
      </c>
      <c r="B26" s="51">
        <f t="shared" si="18"/>
        <v>46185</v>
      </c>
      <c r="C26" s="52" t="s">
        <v>87</v>
      </c>
      <c r="D26" s="91">
        <v>3452.9</v>
      </c>
      <c r="E26" s="62">
        <v>4.59</v>
      </c>
      <c r="F26" s="62">
        <v>8.35</v>
      </c>
      <c r="G26" s="62">
        <f t="shared" si="0"/>
        <v>158.48810999999998</v>
      </c>
      <c r="H26" s="63">
        <f t="shared" si="1"/>
        <v>288.31714999999997</v>
      </c>
      <c r="I26" s="119">
        <v>1128.5999999999999</v>
      </c>
      <c r="J26" s="120">
        <v>1162.4579999999999</v>
      </c>
      <c r="K26" s="121">
        <v>4.5311093390040771</v>
      </c>
      <c r="L26" s="122">
        <v>8.4045188729399314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1162.4579999999999</v>
      </c>
      <c r="S26" s="62">
        <f t="shared" si="3"/>
        <v>52.672243000000009</v>
      </c>
      <c r="T26" s="63">
        <f t="shared" si="4"/>
        <v>97.69900200000005</v>
      </c>
      <c r="U26" s="64" t="s">
        <v>167</v>
      </c>
      <c r="V26" s="65" t="s">
        <v>187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89">
        <v>4615.3</v>
      </c>
      <c r="AI26" s="66">
        <v>4.57</v>
      </c>
      <c r="AJ26" s="66">
        <v>8.36</v>
      </c>
      <c r="AK26" s="62">
        <f t="shared" si="9"/>
        <v>210.91921000000002</v>
      </c>
      <c r="AL26" s="72">
        <f t="shared" si="10"/>
        <v>385.83907999999997</v>
      </c>
      <c r="AM26" s="73">
        <f t="shared" si="15"/>
        <v>5.7999999999992724E-2</v>
      </c>
      <c r="AN26" s="74">
        <f t="shared" si="19"/>
        <v>0.24114299999996547</v>
      </c>
      <c r="AO26" s="74">
        <f t="shared" si="19"/>
        <v>0.17707200000006651</v>
      </c>
      <c r="AP26" s="75">
        <f t="shared" si="16"/>
        <v>2.7812165816678037E-3</v>
      </c>
      <c r="AQ26" s="76">
        <f t="shared" si="12"/>
        <v>161.24443181000441</v>
      </c>
      <c r="AR26" s="77">
        <f t="shared" si="17"/>
        <v>5.7999999999992724E-2</v>
      </c>
    </row>
    <row r="27" spans="1:49" x14ac:dyDescent="0.25">
      <c r="A27" t="str">
        <f t="shared" si="14"/>
        <v>46185E</v>
      </c>
      <c r="B27" s="51">
        <f t="shared" si="18"/>
        <v>46185</v>
      </c>
      <c r="C27" s="52" t="s">
        <v>88</v>
      </c>
      <c r="D27" s="91">
        <v>4615.3</v>
      </c>
      <c r="E27" s="62">
        <v>4.57</v>
      </c>
      <c r="F27" s="62">
        <v>8.36</v>
      </c>
      <c r="G27" s="62">
        <f t="shared" si="0"/>
        <v>210.91921000000002</v>
      </c>
      <c r="H27" s="63">
        <f t="shared" si="1"/>
        <v>385.83907999999997</v>
      </c>
      <c r="I27" s="119">
        <v>1213.2000000000003</v>
      </c>
      <c r="J27" s="120">
        <v>1249.5960000000002</v>
      </c>
      <c r="K27" s="121">
        <v>4.2857814045499509</v>
      </c>
      <c r="L27" s="122">
        <v>8.3108968018463578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1249.5960000000002</v>
      </c>
      <c r="S27" s="62">
        <f t="shared" si="3"/>
        <v>53.554953000000012</v>
      </c>
      <c r="T27" s="63">
        <f t="shared" si="4"/>
        <v>103.85263400000004</v>
      </c>
      <c r="U27" s="64" t="s">
        <v>256</v>
      </c>
      <c r="V27" s="65" t="s">
        <v>520</v>
      </c>
      <c r="W27" s="66" t="s">
        <v>189</v>
      </c>
      <c r="X27" s="67">
        <v>2770</v>
      </c>
      <c r="Y27" s="68">
        <v>4.51</v>
      </c>
      <c r="Z27" s="68">
        <v>8.34</v>
      </c>
      <c r="AA27" s="62">
        <f t="shared" si="5"/>
        <v>124.92700000000001</v>
      </c>
      <c r="AB27" s="63">
        <f t="shared" si="6"/>
        <v>231.018</v>
      </c>
      <c r="AC27" s="69">
        <v>2780</v>
      </c>
      <c r="AD27" s="70">
        <v>4.9287769784172673</v>
      </c>
      <c r="AE27" s="70">
        <v>8.1457553956834481</v>
      </c>
      <c r="AF27" s="62">
        <f t="shared" si="7"/>
        <v>137.02000000000004</v>
      </c>
      <c r="AG27" s="63">
        <f t="shared" si="8"/>
        <v>226.45199999999983</v>
      </c>
      <c r="AH27" s="89">
        <v>3094.8</v>
      </c>
      <c r="AI27" s="66">
        <v>4.51</v>
      </c>
      <c r="AJ27" s="66">
        <v>8.34</v>
      </c>
      <c r="AK27" s="62">
        <f t="shared" si="9"/>
        <v>139.57548</v>
      </c>
      <c r="AL27" s="72">
        <f t="shared" si="10"/>
        <v>258.10632000000004</v>
      </c>
      <c r="AM27" s="73">
        <f t="shared" si="15"/>
        <v>-9.9039999999995416</v>
      </c>
      <c r="AN27" s="74">
        <f t="shared" si="19"/>
        <v>-12.121317000000005</v>
      </c>
      <c r="AO27" s="74">
        <f t="shared" si="19"/>
        <v>5.1333940000001235</v>
      </c>
      <c r="AP27" s="75">
        <f t="shared" si="16"/>
        <v>-4.4393813113975757E-2</v>
      </c>
      <c r="AQ27" s="76">
        <f t="shared" si="12"/>
        <v>-3905.0924807766323</v>
      </c>
      <c r="AR27" s="77">
        <f t="shared" si="17"/>
        <v>9.6000000000458385E-2</v>
      </c>
    </row>
    <row r="28" spans="1:49" x14ac:dyDescent="0.25">
      <c r="A28" t="str">
        <f t="shared" si="14"/>
        <v>46186M</v>
      </c>
      <c r="B28" s="51">
        <f t="shared" si="18"/>
        <v>46186</v>
      </c>
      <c r="C28" s="52" t="s">
        <v>87</v>
      </c>
      <c r="D28" s="91">
        <v>3094.8</v>
      </c>
      <c r="E28" s="62">
        <v>4.51</v>
      </c>
      <c r="F28" s="62">
        <v>8.34</v>
      </c>
      <c r="G28" s="62">
        <f t="shared" si="0"/>
        <v>139.57548</v>
      </c>
      <c r="H28" s="63">
        <f t="shared" si="1"/>
        <v>258.10632000000004</v>
      </c>
      <c r="I28" s="119">
        <v>1143.3999999999999</v>
      </c>
      <c r="J28" s="120">
        <v>1177.702</v>
      </c>
      <c r="K28" s="121">
        <v>4.5805142557285281</v>
      </c>
      <c r="L28" s="122">
        <v>8.3584222494315181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1177.702</v>
      </c>
      <c r="S28" s="62">
        <f t="shared" si="3"/>
        <v>53.944807999999988</v>
      </c>
      <c r="T28" s="63">
        <f t="shared" si="4"/>
        <v>98.437305999999978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4272.8999999999996</v>
      </c>
      <c r="AI28" s="66">
        <v>4.5199999999999996</v>
      </c>
      <c r="AJ28" s="66">
        <v>8.34</v>
      </c>
      <c r="AK28" s="62">
        <f t="shared" si="9"/>
        <v>193.13507999999996</v>
      </c>
      <c r="AL28" s="72">
        <f t="shared" si="10"/>
        <v>356.35985999999997</v>
      </c>
      <c r="AM28" s="73">
        <f t="shared" si="15"/>
        <v>-0.39799999999922875</v>
      </c>
      <c r="AN28" s="74">
        <f t="shared" si="19"/>
        <v>0.38520800000003419</v>
      </c>
      <c r="AO28" s="74">
        <f t="shared" si="19"/>
        <v>0.18376600000004828</v>
      </c>
      <c r="AP28" s="75">
        <f t="shared" si="16"/>
        <v>3.7338634112930248E-3</v>
      </c>
      <c r="AQ28" s="76">
        <f t="shared" si="12"/>
        <v>227.91998665336314</v>
      </c>
      <c r="AR28" s="77">
        <f t="shared" si="17"/>
        <v>-0.39799999999922875</v>
      </c>
    </row>
    <row r="29" spans="1:49" x14ac:dyDescent="0.25">
      <c r="A29" t="str">
        <f t="shared" si="14"/>
        <v>46186E</v>
      </c>
      <c r="B29" s="51">
        <f t="shared" si="18"/>
        <v>46186</v>
      </c>
      <c r="C29" s="52" t="s">
        <v>88</v>
      </c>
      <c r="D29" s="91">
        <v>4272.8999999999996</v>
      </c>
      <c r="E29" s="62">
        <v>4.5199999999999996</v>
      </c>
      <c r="F29" s="62">
        <v>8.34</v>
      </c>
      <c r="G29" s="62">
        <f t="shared" si="0"/>
        <v>193.13507999999996</v>
      </c>
      <c r="H29" s="63">
        <f t="shared" si="1"/>
        <v>356.35985999999997</v>
      </c>
      <c r="I29" s="119">
        <v>1158.9000000000001</v>
      </c>
      <c r="J29" s="120">
        <v>1193.6670000000001</v>
      </c>
      <c r="K29" s="121">
        <v>4.2251272758650433</v>
      </c>
      <c r="L29" s="122">
        <v>8.316774527569244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1193.6670000000001</v>
      </c>
      <c r="S29" s="62">
        <f t="shared" si="3"/>
        <v>50.433949999999996</v>
      </c>
      <c r="T29" s="63">
        <f t="shared" si="4"/>
        <v>99.274592999999982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>
        <v>5466.5</v>
      </c>
      <c r="AI29" s="66">
        <v>4.45</v>
      </c>
      <c r="AJ29" s="66">
        <v>8.33</v>
      </c>
      <c r="AK29" s="62">
        <f t="shared" si="9"/>
        <v>243.25925000000004</v>
      </c>
      <c r="AL29" s="72">
        <f t="shared" si="10"/>
        <v>455.35944999999998</v>
      </c>
      <c r="AM29" s="73">
        <f t="shared" si="15"/>
        <v>6.7000000000007276E-2</v>
      </c>
      <c r="AN29" s="74">
        <f t="shared" si="19"/>
        <v>0.30977999999990402</v>
      </c>
      <c r="AO29" s="74">
        <f t="shared" si="19"/>
        <v>0.27500299999996969</v>
      </c>
      <c r="AP29" s="75">
        <f t="shared" si="16"/>
        <v>3.9061431517630483E-3</v>
      </c>
      <c r="AQ29" s="76">
        <f t="shared" si="12"/>
        <v>221.36440428661456</v>
      </c>
      <c r="AR29" s="77">
        <f t="shared" si="17"/>
        <v>6.7000000000007276E-2</v>
      </c>
    </row>
    <row r="30" spans="1:49" x14ac:dyDescent="0.25">
      <c r="A30" t="str">
        <f t="shared" si="14"/>
        <v>46187M</v>
      </c>
      <c r="B30" s="51">
        <f t="shared" si="18"/>
        <v>46187</v>
      </c>
      <c r="C30" s="52" t="s">
        <v>87</v>
      </c>
      <c r="D30" s="91">
        <v>5466.5</v>
      </c>
      <c r="E30" s="62">
        <v>4.45</v>
      </c>
      <c r="F30" s="62">
        <v>8.33</v>
      </c>
      <c r="G30" s="62">
        <f t="shared" si="0"/>
        <v>243.25925000000004</v>
      </c>
      <c r="H30" s="63">
        <f t="shared" si="1"/>
        <v>455.35944999999998</v>
      </c>
      <c r="I30" s="119">
        <v>1161.8999999999996</v>
      </c>
      <c r="J30" s="120">
        <v>1196.7569999999996</v>
      </c>
      <c r="K30" s="121">
        <v>4.7201050004303307</v>
      </c>
      <c r="L30" s="122">
        <v>8.4038643600998384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1196.7569999999996</v>
      </c>
      <c r="S30" s="62">
        <f t="shared" si="3"/>
        <v>56.488186999999996</v>
      </c>
      <c r="T30" s="63">
        <f t="shared" si="4"/>
        <v>100.57383499999999</v>
      </c>
      <c r="U30" s="64" t="s">
        <v>256</v>
      </c>
      <c r="V30" s="65" t="s">
        <v>521</v>
      </c>
      <c r="W30" s="66" t="s">
        <v>253</v>
      </c>
      <c r="X30" s="67">
        <v>7170</v>
      </c>
      <c r="Y30" s="68">
        <v>4.4000000000000004</v>
      </c>
      <c r="Z30" s="68">
        <v>8.1</v>
      </c>
      <c r="AA30" s="62">
        <f t="shared" si="5"/>
        <v>315.48</v>
      </c>
      <c r="AB30" s="63">
        <f t="shared" si="6"/>
        <v>580.77</v>
      </c>
      <c r="AC30" s="69">
        <v>7150</v>
      </c>
      <c r="AD30" s="70">
        <v>4.3</v>
      </c>
      <c r="AE30" s="70">
        <v>7.95</v>
      </c>
      <c r="AF30" s="62">
        <f t="shared" si="7"/>
        <v>307.45</v>
      </c>
      <c r="AG30" s="63">
        <f t="shared" si="8"/>
        <v>568.42499999999995</v>
      </c>
      <c r="AH30" s="89">
        <v>0</v>
      </c>
      <c r="AI30" s="66">
        <v>0</v>
      </c>
      <c r="AJ30" s="66">
        <v>0</v>
      </c>
      <c r="AK30" s="62">
        <f t="shared" si="9"/>
        <v>0</v>
      </c>
      <c r="AL30" s="72">
        <f t="shared" si="10"/>
        <v>0</v>
      </c>
      <c r="AM30" s="73">
        <f t="shared" si="15"/>
        <v>-486.74300000000039</v>
      </c>
      <c r="AN30" s="74">
        <f t="shared" si="19"/>
        <v>-7.702562999999941</v>
      </c>
      <c r="AO30" s="74">
        <f t="shared" si="19"/>
        <v>-12.491714999999999</v>
      </c>
      <c r="AP30" s="75">
        <f t="shared" si="16"/>
        <v>-0.12857518159291201</v>
      </c>
      <c r="AQ30" s="76">
        <f t="shared" si="12"/>
        <v>-7196.1947434299746</v>
      </c>
      <c r="AR30" s="77">
        <f t="shared" si="17"/>
        <v>-506.74300000000039</v>
      </c>
    </row>
    <row r="31" spans="1:49" x14ac:dyDescent="0.25">
      <c r="A31" t="str">
        <f t="shared" si="14"/>
        <v>46187E</v>
      </c>
      <c r="B31" s="51">
        <f t="shared" si="18"/>
        <v>46187</v>
      </c>
      <c r="C31" s="52" t="s">
        <v>88</v>
      </c>
      <c r="D31" s="91">
        <v>0</v>
      </c>
      <c r="E31" s="62">
        <v>0</v>
      </c>
      <c r="F31" s="62">
        <v>0</v>
      </c>
      <c r="G31" s="62">
        <f t="shared" si="0"/>
        <v>0</v>
      </c>
      <c r="H31" s="63">
        <f t="shared" si="1"/>
        <v>0</v>
      </c>
      <c r="I31" s="119">
        <v>1116.9000000000001</v>
      </c>
      <c r="J31" s="120">
        <v>1150.4070000000002</v>
      </c>
      <c r="K31" s="121">
        <v>4.4038230817441137</v>
      </c>
      <c r="L31" s="122">
        <v>8.3802936699794071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1150.4070000000002</v>
      </c>
      <c r="S31" s="62">
        <f t="shared" si="3"/>
        <v>50.661889000000016</v>
      </c>
      <c r="T31" s="63">
        <f t="shared" si="4"/>
        <v>96.407485000000008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>
        <v>1150.4000000000001</v>
      </c>
      <c r="AI31" s="66">
        <v>4.4000000000000004</v>
      </c>
      <c r="AJ31" s="66">
        <v>8.3800000000000008</v>
      </c>
      <c r="AK31" s="62">
        <f t="shared" si="9"/>
        <v>50.61760000000001</v>
      </c>
      <c r="AL31" s="72">
        <f t="shared" si="10"/>
        <v>96.403520000000029</v>
      </c>
      <c r="AM31" s="73">
        <f t="shared" si="15"/>
        <v>7.0000000000618456E-3</v>
      </c>
      <c r="AN31" s="74">
        <f t="shared" si="19"/>
        <v>4.428900000000624E-2</v>
      </c>
      <c r="AO31" s="74">
        <f t="shared" si="19"/>
        <v>3.9649999999795682E-3</v>
      </c>
      <c r="AP31" s="75">
        <f t="shared" si="16"/>
        <v>3.2810366079334636E-4</v>
      </c>
      <c r="AQ31" s="76">
        <f t="shared" si="12"/>
        <v>21.068393756663355</v>
      </c>
      <c r="AR31" s="77">
        <f t="shared" si="17"/>
        <v>7.0000000000618456E-3</v>
      </c>
    </row>
    <row r="32" spans="1:49" x14ac:dyDescent="0.25">
      <c r="A32" t="str">
        <f t="shared" si="14"/>
        <v>46188M</v>
      </c>
      <c r="B32" s="51">
        <f t="shared" si="18"/>
        <v>46188</v>
      </c>
      <c r="C32" s="52" t="s">
        <v>87</v>
      </c>
      <c r="D32" s="91">
        <v>1150.4000000000001</v>
      </c>
      <c r="E32" s="62">
        <v>4.4000000000000004</v>
      </c>
      <c r="F32" s="62">
        <v>8.3800000000000008</v>
      </c>
      <c r="G32" s="62">
        <f t="shared" si="0"/>
        <v>50.61760000000001</v>
      </c>
      <c r="H32" s="63">
        <f t="shared" si="1"/>
        <v>96.403520000000029</v>
      </c>
      <c r="I32" s="119">
        <v>1177.4999999999995</v>
      </c>
      <c r="J32" s="120">
        <v>1212.8249999999996</v>
      </c>
      <c r="K32" s="121">
        <v>4.5749044585987262</v>
      </c>
      <c r="L32" s="122">
        <v>8.2738004246284493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2"/>
        <v>1212.8249999999996</v>
      </c>
      <c r="S32" s="62">
        <f t="shared" si="3"/>
        <v>55.485584999999979</v>
      </c>
      <c r="T32" s="63">
        <f t="shared" si="4"/>
        <v>100.34671999999996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>
        <v>2363.1999999999998</v>
      </c>
      <c r="AI32" s="66">
        <v>4.49</v>
      </c>
      <c r="AJ32" s="66">
        <v>8.32</v>
      </c>
      <c r="AK32" s="62">
        <f t="shared" si="9"/>
        <v>106.10768</v>
      </c>
      <c r="AL32" s="72">
        <f t="shared" si="10"/>
        <v>196.61823999999999</v>
      </c>
      <c r="AM32" s="73">
        <f t="shared" si="15"/>
        <v>2.4999999999636202E-2</v>
      </c>
      <c r="AN32" s="74">
        <f t="shared" si="19"/>
        <v>-4.4950000000056889E-3</v>
      </c>
      <c r="AO32" s="74">
        <f t="shared" si="19"/>
        <v>0.132000000000005</v>
      </c>
      <c r="AP32" s="75">
        <f t="shared" si="16"/>
        <v>8.1821930311561119E-4</v>
      </c>
      <c r="AQ32" s="76">
        <f t="shared" si="12"/>
        <v>37.486229549998946</v>
      </c>
      <c r="AR32" s="77">
        <f t="shared" si="17"/>
        <v>2.4999999999636202E-2</v>
      </c>
    </row>
    <row r="33" spans="1:44" x14ac:dyDescent="0.25">
      <c r="A33" t="str">
        <f t="shared" si="14"/>
        <v>46188E</v>
      </c>
      <c r="B33" s="51">
        <f t="shared" si="18"/>
        <v>46188</v>
      </c>
      <c r="C33" s="52" t="s">
        <v>88</v>
      </c>
      <c r="D33" s="91">
        <v>2363.1999999999998</v>
      </c>
      <c r="E33" s="62">
        <v>4.49</v>
      </c>
      <c r="F33" s="62">
        <v>8.32</v>
      </c>
      <c r="G33" s="62">
        <f t="shared" si="0"/>
        <v>106.10768</v>
      </c>
      <c r="H33" s="63">
        <f t="shared" si="1"/>
        <v>196.61823999999999</v>
      </c>
      <c r="I33" s="119">
        <v>1127.6999999999998</v>
      </c>
      <c r="J33" s="120">
        <v>1161.5309999999999</v>
      </c>
      <c r="K33" s="121">
        <v>4.2164848807306932</v>
      </c>
      <c r="L33" s="122">
        <v>8.2843043362596465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1161.5309999999999</v>
      </c>
      <c r="S33" s="62">
        <f t="shared" si="3"/>
        <v>48.975779000000031</v>
      </c>
      <c r="T33" s="63">
        <f t="shared" si="4"/>
        <v>96.224763000000024</v>
      </c>
      <c r="U33" s="64" t="s">
        <v>167</v>
      </c>
      <c r="V33" s="65" t="s">
        <v>187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>
        <v>3524.7</v>
      </c>
      <c r="AI33" s="66">
        <v>4.4000000000000004</v>
      </c>
      <c r="AJ33" s="66">
        <v>8.32</v>
      </c>
      <c r="AK33" s="62">
        <f t="shared" si="9"/>
        <v>155.08680000000001</v>
      </c>
      <c r="AL33" s="72">
        <f t="shared" si="10"/>
        <v>293.25503999999995</v>
      </c>
      <c r="AM33" s="73">
        <f t="shared" si="15"/>
        <v>3.0999999999949068E-2</v>
      </c>
      <c r="AN33" s="74">
        <f t="shared" si="19"/>
        <v>-3.3409999999776119E-3</v>
      </c>
      <c r="AO33" s="74">
        <f t="shared" si="19"/>
        <v>-0.41203699999994114</v>
      </c>
      <c r="AP33" s="75">
        <f t="shared" si="16"/>
        <v>-2.8607193491048998E-3</v>
      </c>
      <c r="AQ33" s="76">
        <f t="shared" si="12"/>
        <v>-124.81149475663901</v>
      </c>
      <c r="AR33" s="77">
        <f t="shared" si="17"/>
        <v>3.0999999999949068E-2</v>
      </c>
    </row>
    <row r="34" spans="1:44" x14ac:dyDescent="0.25">
      <c r="A34" t="str">
        <f t="shared" si="14"/>
        <v>46189M</v>
      </c>
      <c r="B34" s="51">
        <f t="shared" si="18"/>
        <v>46189</v>
      </c>
      <c r="C34" s="52" t="s">
        <v>87</v>
      </c>
      <c r="D34" s="91">
        <v>3524.7</v>
      </c>
      <c r="E34" s="62">
        <v>4.4000000000000004</v>
      </c>
      <c r="F34" s="62">
        <v>8.32</v>
      </c>
      <c r="G34" s="62">
        <f t="shared" si="0"/>
        <v>155.08680000000001</v>
      </c>
      <c r="H34" s="63">
        <f t="shared" si="1"/>
        <v>293.25503999999995</v>
      </c>
      <c r="I34" s="119">
        <v>1113.5</v>
      </c>
      <c r="J34" s="120">
        <v>1146.905</v>
      </c>
      <c r="K34" s="121">
        <v>4.5870678042209256</v>
      </c>
      <c r="L34" s="122">
        <v>8.4085406376290983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1146.905</v>
      </c>
      <c r="S34" s="62">
        <f t="shared" si="3"/>
        <v>52.609310000000008</v>
      </c>
      <c r="T34" s="63">
        <f t="shared" si="4"/>
        <v>96.437973000000014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ref="AA34:AA65" si="20">X34*Y34%</f>
        <v>0</v>
      </c>
      <c r="AB34" s="63">
        <f t="shared" ref="AB34:AB65" si="21">X34*Z34%</f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>
        <v>4671.6000000000004</v>
      </c>
      <c r="AI34" s="66">
        <v>4.46</v>
      </c>
      <c r="AJ34" s="66">
        <v>8.33</v>
      </c>
      <c r="AK34" s="62">
        <f t="shared" si="9"/>
        <v>208.35336000000001</v>
      </c>
      <c r="AL34" s="72">
        <f t="shared" si="10"/>
        <v>389.14428000000004</v>
      </c>
      <c r="AM34" s="73">
        <f t="shared" si="15"/>
        <v>4.9999999991996447E-3</v>
      </c>
      <c r="AN34" s="74">
        <f t="shared" si="19"/>
        <v>-0.65724999999997635</v>
      </c>
      <c r="AO34" s="74">
        <f t="shared" si="19"/>
        <v>0.54873299999991332</v>
      </c>
      <c r="AP34" s="75">
        <f t="shared" si="16"/>
        <v>-7.2807097060644183E-4</v>
      </c>
      <c r="AQ34" s="76">
        <f t="shared" si="12"/>
        <v>-130.82494348001532</v>
      </c>
      <c r="AR34" s="77">
        <f t="shared" si="17"/>
        <v>4.9999999991996447E-3</v>
      </c>
    </row>
    <row r="35" spans="1:44" x14ac:dyDescent="0.25">
      <c r="A35" t="str">
        <f t="shared" si="14"/>
        <v>46189E</v>
      </c>
      <c r="B35" s="51">
        <f t="shared" si="18"/>
        <v>46189</v>
      </c>
      <c r="C35" s="52" t="s">
        <v>88</v>
      </c>
      <c r="D35" s="91">
        <v>4671.6000000000004</v>
      </c>
      <c r="E35" s="62">
        <v>4.46</v>
      </c>
      <c r="F35" s="62">
        <v>8.33</v>
      </c>
      <c r="G35" s="62">
        <f t="shared" si="0"/>
        <v>208.35336000000001</v>
      </c>
      <c r="H35" s="63">
        <f t="shared" si="1"/>
        <v>389.14428000000004</v>
      </c>
      <c r="I35" s="119">
        <v>1352.9999999999998</v>
      </c>
      <c r="J35" s="120">
        <v>1393.5899999999997</v>
      </c>
      <c r="K35" s="121">
        <v>4.1906504065040657</v>
      </c>
      <c r="L35" s="122">
        <v>8.2520325203252014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1393.5899999999997</v>
      </c>
      <c r="S35" s="62">
        <f t="shared" si="3"/>
        <v>58.400484999999996</v>
      </c>
      <c r="T35" s="63">
        <f t="shared" si="4"/>
        <v>114.99949999999995</v>
      </c>
      <c r="U35" s="64" t="s">
        <v>256</v>
      </c>
      <c r="V35" s="65" t="s">
        <v>644</v>
      </c>
      <c r="W35" s="66" t="s">
        <v>253</v>
      </c>
      <c r="X35" s="67">
        <v>4590</v>
      </c>
      <c r="Y35" s="68">
        <v>4.45</v>
      </c>
      <c r="Z35" s="68">
        <v>8.3000000000000007</v>
      </c>
      <c r="AA35" s="62">
        <f t="shared" si="20"/>
        <v>204.25500000000002</v>
      </c>
      <c r="AB35" s="63">
        <f t="shared" si="21"/>
        <v>380.97</v>
      </c>
      <c r="AC35" s="226">
        <v>4590</v>
      </c>
      <c r="AD35" s="227">
        <v>4.45</v>
      </c>
      <c r="AE35" s="227">
        <v>8.3000000000000007</v>
      </c>
      <c r="AF35" s="62">
        <f t="shared" si="7"/>
        <v>204.25500000000002</v>
      </c>
      <c r="AG35" s="63">
        <f t="shared" si="8"/>
        <v>380.97</v>
      </c>
      <c r="AH35" s="89">
        <v>1550.1</v>
      </c>
      <c r="AI35" s="66">
        <v>4.37</v>
      </c>
      <c r="AJ35" s="66">
        <v>8.31</v>
      </c>
      <c r="AK35" s="62">
        <f t="shared" si="9"/>
        <v>67.739369999999994</v>
      </c>
      <c r="AL35" s="72">
        <f t="shared" si="10"/>
        <v>128.81331</v>
      </c>
      <c r="AM35" s="73">
        <f t="shared" si="15"/>
        <v>-74.9099999999994</v>
      </c>
      <c r="AN35" s="74">
        <f t="shared" si="19"/>
        <v>-5.2405250000000052</v>
      </c>
      <c r="AO35" s="74">
        <f t="shared" si="19"/>
        <v>-5.6395300000000361</v>
      </c>
      <c r="AP35" s="75">
        <f t="shared" si="16"/>
        <v>-6.2745420652718306E-2</v>
      </c>
      <c r="AQ35" s="76">
        <f t="shared" si="12"/>
        <v>-4040.2850192833466</v>
      </c>
      <c r="AR35" s="77">
        <f t="shared" si="17"/>
        <v>-74.909999999999854</v>
      </c>
    </row>
    <row r="36" spans="1:44" x14ac:dyDescent="0.25">
      <c r="A36" t="str">
        <f t="shared" si="14"/>
        <v>46190M</v>
      </c>
      <c r="B36" s="51">
        <f t="shared" si="18"/>
        <v>46190</v>
      </c>
      <c r="C36" s="52" t="s">
        <v>87</v>
      </c>
      <c r="D36" s="91">
        <v>1550.1</v>
      </c>
      <c r="E36" s="62">
        <v>4.37</v>
      </c>
      <c r="F36" s="62">
        <v>8.31</v>
      </c>
      <c r="G36" s="62">
        <f t="shared" si="0"/>
        <v>67.739369999999994</v>
      </c>
      <c r="H36" s="63">
        <f t="shared" si="1"/>
        <v>128.81331</v>
      </c>
      <c r="I36" s="119">
        <v>1102.6999999999996</v>
      </c>
      <c r="J36" s="120">
        <v>1135.7809999999995</v>
      </c>
      <c r="K36" s="121">
        <v>4.7410991203409818</v>
      </c>
      <c r="L36" s="122">
        <v>8.4426861340346413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1135.7809999999995</v>
      </c>
      <c r="S36" s="62">
        <f t="shared" si="3"/>
        <v>53.84850299999998</v>
      </c>
      <c r="T36" s="63">
        <f t="shared" si="4"/>
        <v>95.890424999999937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20"/>
        <v>0</v>
      </c>
      <c r="AB36" s="63">
        <f t="shared" si="21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>
        <v>2685.7</v>
      </c>
      <c r="AI36" s="66">
        <v>4.59</v>
      </c>
      <c r="AJ36" s="66">
        <v>8.34</v>
      </c>
      <c r="AK36" s="62">
        <f t="shared" si="9"/>
        <v>123.27362999999998</v>
      </c>
      <c r="AL36" s="72">
        <f t="shared" si="10"/>
        <v>223.98738</v>
      </c>
      <c r="AM36" s="73">
        <f t="shared" si="15"/>
        <v>0.18099999999958527</v>
      </c>
      <c r="AN36" s="74">
        <f t="shared" si="19"/>
        <v>-1.6857570000000095</v>
      </c>
      <c r="AO36" s="74">
        <f t="shared" si="19"/>
        <v>0.71635499999993613</v>
      </c>
      <c r="AP36" s="75">
        <f t="shared" si="16"/>
        <v>-6.4739477766267558E-3</v>
      </c>
      <c r="AQ36" s="76">
        <f t="shared" si="12"/>
        <v>-542.3672261700234</v>
      </c>
      <c r="AR36" s="77">
        <f t="shared" si="17"/>
        <v>0.18099999999958527</v>
      </c>
    </row>
    <row r="37" spans="1:44" x14ac:dyDescent="0.25">
      <c r="A37" t="str">
        <f t="shared" si="14"/>
        <v>46190E</v>
      </c>
      <c r="B37" s="51">
        <f t="shared" si="18"/>
        <v>46190</v>
      </c>
      <c r="C37" s="52" t="s">
        <v>88</v>
      </c>
      <c r="D37" s="91">
        <v>2685.7</v>
      </c>
      <c r="E37" s="62">
        <v>4.59</v>
      </c>
      <c r="F37" s="62">
        <v>8.34</v>
      </c>
      <c r="G37" s="62">
        <f t="shared" si="0"/>
        <v>123.27362999999998</v>
      </c>
      <c r="H37" s="63">
        <f t="shared" si="1"/>
        <v>223.98738</v>
      </c>
      <c r="I37" s="119">
        <v>1225.4000000000001</v>
      </c>
      <c r="J37" s="120">
        <v>1262.162</v>
      </c>
      <c r="K37" s="121">
        <v>4.3891382405745061</v>
      </c>
      <c r="L37" s="122">
        <v>8.2777950057124183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1262.162</v>
      </c>
      <c r="S37" s="62">
        <f t="shared" si="3"/>
        <v>55.398035</v>
      </c>
      <c r="T37" s="63">
        <f t="shared" si="4"/>
        <v>104.47918299999998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20"/>
        <v>0</v>
      </c>
      <c r="AB37" s="63">
        <f t="shared" si="21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>
        <v>3947.8</v>
      </c>
      <c r="AI37" s="66">
        <v>4.47</v>
      </c>
      <c r="AJ37" s="66">
        <v>8.32</v>
      </c>
      <c r="AK37" s="62">
        <f t="shared" si="9"/>
        <v>176.46665999999999</v>
      </c>
      <c r="AL37" s="72">
        <f t="shared" si="10"/>
        <v>328.45695999999998</v>
      </c>
      <c r="AM37" s="73">
        <f t="shared" si="15"/>
        <v>6.1999999999898137E-2</v>
      </c>
      <c r="AN37" s="74">
        <f t="shared" si="19"/>
        <v>2.2050049999999999</v>
      </c>
      <c r="AO37" s="74">
        <f t="shared" si="19"/>
        <v>9.6029999999700522E-3</v>
      </c>
      <c r="AP37" s="75">
        <f t="shared" si="16"/>
        <v>1.3851929797777506E-2</v>
      </c>
      <c r="AQ37" s="76">
        <f t="shared" si="12"/>
        <v>992.72271636999096</v>
      </c>
      <c r="AR37" s="77">
        <f t="shared" si="17"/>
        <v>6.1999999999898137E-2</v>
      </c>
    </row>
    <row r="38" spans="1:44" x14ac:dyDescent="0.25">
      <c r="A38" t="str">
        <f t="shared" si="14"/>
        <v>46191M</v>
      </c>
      <c r="B38" s="51">
        <f t="shared" si="18"/>
        <v>46191</v>
      </c>
      <c r="C38" s="52" t="s">
        <v>87</v>
      </c>
      <c r="D38" s="91">
        <v>3947.8</v>
      </c>
      <c r="E38" s="62">
        <v>4.47</v>
      </c>
      <c r="F38" s="62">
        <v>8.32</v>
      </c>
      <c r="G38" s="62">
        <f t="shared" si="0"/>
        <v>176.46665999999999</v>
      </c>
      <c r="H38" s="63">
        <f t="shared" si="1"/>
        <v>328.45695999999998</v>
      </c>
      <c r="I38" s="119">
        <v>1162.7999999999997</v>
      </c>
      <c r="J38" s="120">
        <v>1197.6839999999997</v>
      </c>
      <c r="K38" s="121">
        <v>4.5969470244238044</v>
      </c>
      <c r="L38" s="122">
        <v>8.3952356381148938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1197.6839999999997</v>
      </c>
      <c r="S38" s="62">
        <f t="shared" si="3"/>
        <v>55.056898999999987</v>
      </c>
      <c r="T38" s="63">
        <f t="shared" si="4"/>
        <v>100.54839399999996</v>
      </c>
      <c r="U38" s="64" t="s">
        <v>256</v>
      </c>
      <c r="V38" s="65" t="s">
        <v>645</v>
      </c>
      <c r="W38" s="66" t="s">
        <v>253</v>
      </c>
      <c r="X38" s="67">
        <v>5125</v>
      </c>
      <c r="Y38" s="68">
        <v>4.45</v>
      </c>
      <c r="Z38" s="68">
        <v>8.3000000000000007</v>
      </c>
      <c r="AA38" s="62">
        <f t="shared" si="20"/>
        <v>228.06250000000003</v>
      </c>
      <c r="AB38" s="63">
        <f t="shared" si="21"/>
        <v>425.375</v>
      </c>
      <c r="AC38" s="226">
        <v>5125</v>
      </c>
      <c r="AD38" s="227">
        <v>4.45</v>
      </c>
      <c r="AE38" s="227">
        <v>8.3000000000000007</v>
      </c>
      <c r="AF38" s="62">
        <f t="shared" si="7"/>
        <v>228.06250000000003</v>
      </c>
      <c r="AG38" s="63">
        <f t="shared" si="8"/>
        <v>425.375</v>
      </c>
      <c r="AH38" s="89">
        <v>40</v>
      </c>
      <c r="AI38" s="66">
        <v>4.5</v>
      </c>
      <c r="AJ38" s="66">
        <v>8.33</v>
      </c>
      <c r="AK38" s="62">
        <f t="shared" si="9"/>
        <v>1.7999999999999998</v>
      </c>
      <c r="AL38" s="72">
        <f t="shared" si="10"/>
        <v>3.3319999999999999</v>
      </c>
      <c r="AM38" s="73">
        <f t="shared" si="15"/>
        <v>-19.515999999999622</v>
      </c>
      <c r="AN38" s="74">
        <f t="shared" si="19"/>
        <v>1.6610589999999492</v>
      </c>
      <c r="AO38" s="74">
        <f t="shared" si="19"/>
        <v>0.29835399999995449</v>
      </c>
      <c r="AP38" s="75">
        <f t="shared" si="16"/>
        <v>1.2592200189487797E-2</v>
      </c>
      <c r="AQ38" s="76">
        <f t="shared" si="12"/>
        <v>834.95539178329693</v>
      </c>
      <c r="AR38" s="77">
        <f t="shared" si="17"/>
        <v>-19.515999999999622</v>
      </c>
    </row>
    <row r="39" spans="1:44" x14ac:dyDescent="0.25">
      <c r="A39" t="str">
        <f t="shared" si="14"/>
        <v>46191E</v>
      </c>
      <c r="B39" s="51">
        <f t="shared" si="18"/>
        <v>46191</v>
      </c>
      <c r="C39" s="52" t="s">
        <v>88</v>
      </c>
      <c r="D39" s="91">
        <v>40</v>
      </c>
      <c r="E39" s="62">
        <v>4.5</v>
      </c>
      <c r="F39" s="62">
        <v>8.33</v>
      </c>
      <c r="G39" s="62">
        <f t="shared" si="0"/>
        <v>1.7999999999999998</v>
      </c>
      <c r="H39" s="63">
        <f t="shared" si="1"/>
        <v>3.3319999999999999</v>
      </c>
      <c r="I39" s="119">
        <v>1296.8</v>
      </c>
      <c r="J39" s="120">
        <v>1335.704</v>
      </c>
      <c r="K39" s="121">
        <v>4.1156539173349778</v>
      </c>
      <c r="L39" s="122">
        <v>8.219016039481799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1335.704</v>
      </c>
      <c r="S39" s="62">
        <f t="shared" si="3"/>
        <v>54.972953999999987</v>
      </c>
      <c r="T39" s="63">
        <f t="shared" si="4"/>
        <v>109.78172599999998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0"/>
        <v>0</v>
      </c>
      <c r="AB39" s="63">
        <f t="shared" si="21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>
        <v>1375.7</v>
      </c>
      <c r="AI39" s="66">
        <v>4.1100000000000003</v>
      </c>
      <c r="AJ39" s="66">
        <v>8.1999999999999993</v>
      </c>
      <c r="AK39" s="62">
        <f t="shared" si="9"/>
        <v>56.541270000000011</v>
      </c>
      <c r="AL39" s="72">
        <f t="shared" si="10"/>
        <v>112.80739999999999</v>
      </c>
      <c r="AM39" s="73">
        <f t="shared" si="15"/>
        <v>3.9999999999054126E-3</v>
      </c>
      <c r="AN39" s="74">
        <f t="shared" si="19"/>
        <v>0.23168399999997291</v>
      </c>
      <c r="AO39" s="74">
        <f t="shared" si="19"/>
        <v>0.30632599999998433</v>
      </c>
      <c r="AP39" s="75">
        <f t="shared" si="16"/>
        <v>3.2655218049038571E-3</v>
      </c>
      <c r="AQ39" s="76">
        <f t="shared" si="12"/>
        <v>195.68046754664982</v>
      </c>
      <c r="AR39" s="77">
        <f t="shared" si="17"/>
        <v>3.9999999999054126E-3</v>
      </c>
    </row>
    <row r="40" spans="1:44" x14ac:dyDescent="0.25">
      <c r="A40" t="str">
        <f t="shared" si="14"/>
        <v>46192M</v>
      </c>
      <c r="B40" s="51">
        <f t="shared" si="18"/>
        <v>46192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20"/>
        <v>0</v>
      </c>
      <c r="AB40" s="63">
        <f t="shared" si="21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5"/>
        <v>0</v>
      </c>
      <c r="AN40" s="74">
        <f t="shared" si="19"/>
        <v>0</v>
      </c>
      <c r="AO40" s="74">
        <f t="shared" si="19"/>
        <v>0</v>
      </c>
      <c r="AP40" s="75" t="e">
        <f t="shared" si="16"/>
        <v>#DIV/0!</v>
      </c>
      <c r="AQ40" s="76">
        <f t="shared" si="12"/>
        <v>0</v>
      </c>
      <c r="AR40" s="77">
        <f t="shared" si="17"/>
        <v>0</v>
      </c>
    </row>
    <row r="41" spans="1:44" x14ac:dyDescent="0.25">
      <c r="A41" t="str">
        <f t="shared" si="14"/>
        <v>46192E</v>
      </c>
      <c r="B41" s="51">
        <f t="shared" si="18"/>
        <v>46192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20"/>
        <v>0</v>
      </c>
      <c r="AB41" s="63">
        <f t="shared" si="21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66"/>
      <c r="AJ41" s="66"/>
      <c r="AK41" s="62">
        <f t="shared" si="9"/>
        <v>0</v>
      </c>
      <c r="AL41" s="72">
        <f t="shared" si="10"/>
        <v>0</v>
      </c>
      <c r="AM41" s="73">
        <f t="shared" si="15"/>
        <v>0</v>
      </c>
      <c r="AN41" s="74">
        <f t="shared" si="19"/>
        <v>0</v>
      </c>
      <c r="AO41" s="74">
        <f t="shared" si="19"/>
        <v>0</v>
      </c>
      <c r="AP41" s="75" t="e">
        <f t="shared" si="16"/>
        <v>#DIV/0!</v>
      </c>
      <c r="AQ41" s="76">
        <f t="shared" si="12"/>
        <v>0</v>
      </c>
      <c r="AR41" s="77">
        <f t="shared" si="17"/>
        <v>0</v>
      </c>
    </row>
    <row r="42" spans="1:44" x14ac:dyDescent="0.25">
      <c r="A42" t="str">
        <f t="shared" si="14"/>
        <v>46193M</v>
      </c>
      <c r="B42" s="51">
        <f t="shared" si="18"/>
        <v>46193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20"/>
        <v>0</v>
      </c>
      <c r="AB42" s="63">
        <f t="shared" si="21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5"/>
        <v>0</v>
      </c>
      <c r="AN42" s="74">
        <f t="shared" si="19"/>
        <v>0</v>
      </c>
      <c r="AO42" s="74">
        <f t="shared" si="19"/>
        <v>0</v>
      </c>
      <c r="AP42" s="75" t="e">
        <f t="shared" si="16"/>
        <v>#DIV/0!</v>
      </c>
      <c r="AQ42" s="76">
        <f t="shared" si="12"/>
        <v>0</v>
      </c>
      <c r="AR42" s="77">
        <f t="shared" si="17"/>
        <v>0</v>
      </c>
    </row>
    <row r="43" spans="1:44" x14ac:dyDescent="0.25">
      <c r="A43" t="str">
        <f t="shared" si="14"/>
        <v>46193E</v>
      </c>
      <c r="B43" s="51">
        <f t="shared" si="18"/>
        <v>46193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20"/>
        <v>0</v>
      </c>
      <c r="AB43" s="63">
        <f t="shared" si="21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66"/>
      <c r="AJ43" s="66"/>
      <c r="AK43" s="62">
        <f t="shared" si="9"/>
        <v>0</v>
      </c>
      <c r="AL43" s="72">
        <f t="shared" si="10"/>
        <v>0</v>
      </c>
      <c r="AM43" s="73">
        <f t="shared" si="15"/>
        <v>0</v>
      </c>
      <c r="AN43" s="74">
        <f t="shared" si="19"/>
        <v>0</v>
      </c>
      <c r="AO43" s="74">
        <f t="shared" si="19"/>
        <v>0</v>
      </c>
      <c r="AP43" s="75" t="e">
        <f t="shared" si="16"/>
        <v>#DIV/0!</v>
      </c>
      <c r="AQ43" s="76">
        <f t="shared" si="12"/>
        <v>0</v>
      </c>
      <c r="AR43" s="77">
        <f t="shared" si="17"/>
        <v>0</v>
      </c>
    </row>
    <row r="44" spans="1:44" x14ac:dyDescent="0.25">
      <c r="A44" t="str">
        <f t="shared" si="14"/>
        <v>46194M</v>
      </c>
      <c r="B44" s="51">
        <f t="shared" si="18"/>
        <v>46194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20"/>
        <v>0</v>
      </c>
      <c r="AB44" s="63">
        <f t="shared" si="21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5"/>
        <v>0</v>
      </c>
      <c r="AN44" s="74">
        <f t="shared" si="19"/>
        <v>0</v>
      </c>
      <c r="AO44" s="74">
        <f t="shared" si="19"/>
        <v>0</v>
      </c>
      <c r="AP44" s="75" t="e">
        <f t="shared" si="16"/>
        <v>#DIV/0!</v>
      </c>
      <c r="AQ44" s="76">
        <f t="shared" si="12"/>
        <v>0</v>
      </c>
      <c r="AR44" s="77">
        <f t="shared" si="17"/>
        <v>0</v>
      </c>
    </row>
    <row r="45" spans="1:44" x14ac:dyDescent="0.25">
      <c r="A45" t="str">
        <f t="shared" si="14"/>
        <v>46194E</v>
      </c>
      <c r="B45" s="51">
        <f t="shared" si="18"/>
        <v>46194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20"/>
        <v>0</v>
      </c>
      <c r="AB45" s="63">
        <f t="shared" si="21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66"/>
      <c r="AJ45" s="66"/>
      <c r="AK45" s="62">
        <f t="shared" si="9"/>
        <v>0</v>
      </c>
      <c r="AL45" s="72">
        <f t="shared" si="10"/>
        <v>0</v>
      </c>
      <c r="AM45" s="73">
        <f t="shared" si="15"/>
        <v>0</v>
      </c>
      <c r="AN45" s="74">
        <f t="shared" si="19"/>
        <v>0</v>
      </c>
      <c r="AO45" s="74">
        <f t="shared" si="19"/>
        <v>0</v>
      </c>
      <c r="AP45" s="75" t="e">
        <f t="shared" si="16"/>
        <v>#DIV/0!</v>
      </c>
      <c r="AQ45" s="76">
        <f t="shared" si="12"/>
        <v>0</v>
      </c>
      <c r="AR45" s="77">
        <f t="shared" si="17"/>
        <v>0</v>
      </c>
    </row>
    <row r="46" spans="1:44" x14ac:dyDescent="0.25">
      <c r="A46" t="str">
        <f t="shared" si="14"/>
        <v>46195M</v>
      </c>
      <c r="B46" s="51">
        <f t="shared" si="18"/>
        <v>46195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20"/>
        <v>0</v>
      </c>
      <c r="AB46" s="63">
        <f t="shared" si="21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5"/>
        <v>0</v>
      </c>
      <c r="AN46" s="74">
        <f t="shared" si="19"/>
        <v>0</v>
      </c>
      <c r="AO46" s="74">
        <f t="shared" si="19"/>
        <v>0</v>
      </c>
      <c r="AP46" s="75" t="e">
        <f t="shared" si="16"/>
        <v>#DIV/0!</v>
      </c>
      <c r="AQ46" s="76">
        <f t="shared" si="12"/>
        <v>0</v>
      </c>
      <c r="AR46" s="77">
        <f t="shared" si="17"/>
        <v>0</v>
      </c>
    </row>
    <row r="47" spans="1:44" x14ac:dyDescent="0.25">
      <c r="A47" t="str">
        <f t="shared" si="14"/>
        <v>46195E</v>
      </c>
      <c r="B47" s="51">
        <f t="shared" si="18"/>
        <v>46195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20"/>
        <v>0</v>
      </c>
      <c r="AB47" s="63">
        <f t="shared" si="21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5"/>
        <v>0</v>
      </c>
      <c r="AN47" s="74">
        <f t="shared" si="19"/>
        <v>0</v>
      </c>
      <c r="AO47" s="74">
        <f t="shared" si="19"/>
        <v>0</v>
      </c>
      <c r="AP47" s="75" t="e">
        <f t="shared" si="16"/>
        <v>#DIV/0!</v>
      </c>
      <c r="AQ47" s="76">
        <f t="shared" si="12"/>
        <v>0</v>
      </c>
      <c r="AR47" s="77">
        <f t="shared" si="17"/>
        <v>0</v>
      </c>
    </row>
    <row r="48" spans="1:44" x14ac:dyDescent="0.25">
      <c r="A48" t="str">
        <f t="shared" si="14"/>
        <v>46196M</v>
      </c>
      <c r="B48" s="51">
        <f t="shared" si="18"/>
        <v>46196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20"/>
        <v>0</v>
      </c>
      <c r="AB48" s="63">
        <f t="shared" si="21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66"/>
      <c r="AJ48" s="66"/>
      <c r="AK48" s="62">
        <f t="shared" si="9"/>
        <v>0</v>
      </c>
      <c r="AL48" s="72">
        <f t="shared" si="10"/>
        <v>0</v>
      </c>
      <c r="AM48" s="73">
        <f t="shared" si="15"/>
        <v>0</v>
      </c>
      <c r="AN48" s="74">
        <f t="shared" si="19"/>
        <v>0</v>
      </c>
      <c r="AO48" s="74">
        <f t="shared" si="19"/>
        <v>0</v>
      </c>
      <c r="AP48" s="75" t="e">
        <f t="shared" si="16"/>
        <v>#DIV/0!</v>
      </c>
      <c r="AQ48" s="76">
        <f t="shared" si="12"/>
        <v>0</v>
      </c>
      <c r="AR48" s="77">
        <f t="shared" si="17"/>
        <v>0</v>
      </c>
    </row>
    <row r="49" spans="1:44" x14ac:dyDescent="0.25">
      <c r="A49" t="str">
        <f t="shared" si="14"/>
        <v>46196E</v>
      </c>
      <c r="B49" s="51">
        <f t="shared" si="18"/>
        <v>46196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20"/>
        <v>0</v>
      </c>
      <c r="AB49" s="63">
        <f t="shared" si="21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5"/>
        <v>0</v>
      </c>
      <c r="AN49" s="74">
        <f t="shared" si="19"/>
        <v>0</v>
      </c>
      <c r="AO49" s="74">
        <f t="shared" si="19"/>
        <v>0</v>
      </c>
      <c r="AP49" s="75" t="e">
        <f t="shared" si="16"/>
        <v>#DIV/0!</v>
      </c>
      <c r="AQ49" s="76">
        <f t="shared" si="12"/>
        <v>0</v>
      </c>
      <c r="AR49" s="77">
        <f t="shared" si="17"/>
        <v>0</v>
      </c>
    </row>
    <row r="50" spans="1:44" x14ac:dyDescent="0.25">
      <c r="A50" t="str">
        <f t="shared" si="14"/>
        <v>46197M</v>
      </c>
      <c r="B50" s="51">
        <f t="shared" si="18"/>
        <v>46197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20"/>
        <v>0</v>
      </c>
      <c r="AB50" s="63">
        <f t="shared" si="21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66"/>
      <c r="AJ50" s="66"/>
      <c r="AK50" s="62">
        <f t="shared" si="9"/>
        <v>0</v>
      </c>
      <c r="AL50" s="72">
        <f t="shared" si="10"/>
        <v>0</v>
      </c>
      <c r="AM50" s="73">
        <f t="shared" si="15"/>
        <v>0</v>
      </c>
      <c r="AN50" s="74">
        <f t="shared" si="19"/>
        <v>0</v>
      </c>
      <c r="AO50" s="74">
        <f t="shared" si="19"/>
        <v>0</v>
      </c>
      <c r="AP50" s="75" t="e">
        <f t="shared" si="16"/>
        <v>#DIV/0!</v>
      </c>
      <c r="AQ50" s="76">
        <f t="shared" si="12"/>
        <v>0</v>
      </c>
      <c r="AR50" s="77">
        <f t="shared" si="17"/>
        <v>0</v>
      </c>
    </row>
    <row r="51" spans="1:44" x14ac:dyDescent="0.25">
      <c r="A51" t="str">
        <f t="shared" si="14"/>
        <v>46197E</v>
      </c>
      <c r="B51" s="51">
        <f t="shared" si="18"/>
        <v>46197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20"/>
        <v>0</v>
      </c>
      <c r="AB51" s="63">
        <f t="shared" si="21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5"/>
        <v>0</v>
      </c>
      <c r="AN51" s="74">
        <f t="shared" si="19"/>
        <v>0</v>
      </c>
      <c r="AO51" s="74">
        <f t="shared" si="19"/>
        <v>0</v>
      </c>
      <c r="AP51" s="75" t="e">
        <f t="shared" si="16"/>
        <v>#DIV/0!</v>
      </c>
      <c r="AQ51" s="76">
        <f t="shared" si="12"/>
        <v>0</v>
      </c>
      <c r="AR51" s="77">
        <f t="shared" si="17"/>
        <v>0</v>
      </c>
    </row>
    <row r="52" spans="1:44" x14ac:dyDescent="0.25">
      <c r="A52" t="str">
        <f t="shared" si="14"/>
        <v>46198M</v>
      </c>
      <c r="B52" s="51">
        <f t="shared" si="18"/>
        <v>46198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20"/>
        <v>0</v>
      </c>
      <c r="AB52" s="63">
        <f t="shared" si="21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5"/>
        <v>0</v>
      </c>
      <c r="AN52" s="74">
        <f t="shared" si="19"/>
        <v>0</v>
      </c>
      <c r="AO52" s="74">
        <f t="shared" si="19"/>
        <v>0</v>
      </c>
      <c r="AP52" s="75" t="e">
        <f t="shared" si="16"/>
        <v>#DIV/0!</v>
      </c>
      <c r="AQ52" s="76">
        <f t="shared" si="12"/>
        <v>0</v>
      </c>
      <c r="AR52" s="77">
        <f t="shared" si="17"/>
        <v>0</v>
      </c>
    </row>
    <row r="53" spans="1:44" x14ac:dyDescent="0.25">
      <c r="A53" t="str">
        <f t="shared" si="14"/>
        <v>46198E</v>
      </c>
      <c r="B53" s="51">
        <f t="shared" si="18"/>
        <v>46198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20"/>
        <v>0</v>
      </c>
      <c r="AB53" s="63">
        <f t="shared" si="21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5"/>
        <v>0</v>
      </c>
      <c r="AN53" s="74">
        <f t="shared" si="19"/>
        <v>0</v>
      </c>
      <c r="AO53" s="74">
        <f t="shared" si="19"/>
        <v>0</v>
      </c>
      <c r="AP53" s="75" t="e">
        <f t="shared" si="16"/>
        <v>#DIV/0!</v>
      </c>
      <c r="AQ53" s="76">
        <f t="shared" si="12"/>
        <v>0</v>
      </c>
      <c r="AR53" s="77">
        <f t="shared" si="17"/>
        <v>0</v>
      </c>
    </row>
    <row r="54" spans="1:44" x14ac:dyDescent="0.25">
      <c r="A54" t="str">
        <f t="shared" si="14"/>
        <v>46199M</v>
      </c>
      <c r="B54" s="51">
        <f t="shared" si="18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20"/>
        <v>0</v>
      </c>
      <c r="AB54" s="63">
        <f t="shared" si="21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5"/>
        <v>0</v>
      </c>
      <c r="AN54" s="74">
        <f t="shared" si="19"/>
        <v>0</v>
      </c>
      <c r="AO54" s="74">
        <f t="shared" si="19"/>
        <v>0</v>
      </c>
      <c r="AP54" s="75" t="e">
        <f t="shared" si="16"/>
        <v>#DIV/0!</v>
      </c>
      <c r="AQ54" s="76">
        <f t="shared" si="12"/>
        <v>0</v>
      </c>
      <c r="AR54" s="77">
        <f t="shared" si="17"/>
        <v>0</v>
      </c>
    </row>
    <row r="55" spans="1:44" x14ac:dyDescent="0.25">
      <c r="A55" t="str">
        <f t="shared" si="14"/>
        <v>46199E</v>
      </c>
      <c r="B55" s="51">
        <f t="shared" si="18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20"/>
        <v>0</v>
      </c>
      <c r="AB55" s="63">
        <f t="shared" si="21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5"/>
        <v>0</v>
      </c>
      <c r="AN55" s="74">
        <f t="shared" si="19"/>
        <v>0</v>
      </c>
      <c r="AO55" s="74">
        <f t="shared" si="19"/>
        <v>0</v>
      </c>
      <c r="AP55" s="75" t="e">
        <f t="shared" si="16"/>
        <v>#DIV/0!</v>
      </c>
      <c r="AQ55" s="76">
        <f t="shared" si="12"/>
        <v>0</v>
      </c>
      <c r="AR55" s="77">
        <f t="shared" si="17"/>
        <v>0</v>
      </c>
    </row>
    <row r="56" spans="1:44" x14ac:dyDescent="0.25">
      <c r="A56" t="str">
        <f t="shared" si="14"/>
        <v>46200M</v>
      </c>
      <c r="B56" s="51">
        <f t="shared" si="18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20"/>
        <v>0</v>
      </c>
      <c r="AB56" s="63">
        <f t="shared" si="21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5"/>
        <v>0</v>
      </c>
      <c r="AN56" s="74">
        <f t="shared" si="19"/>
        <v>0</v>
      </c>
      <c r="AO56" s="74">
        <f t="shared" si="19"/>
        <v>0</v>
      </c>
      <c r="AP56" s="75" t="e">
        <f t="shared" si="16"/>
        <v>#DIV/0!</v>
      </c>
      <c r="AQ56" s="76">
        <f t="shared" si="12"/>
        <v>0</v>
      </c>
      <c r="AR56" s="77">
        <f t="shared" si="17"/>
        <v>0</v>
      </c>
    </row>
    <row r="57" spans="1:44" x14ac:dyDescent="0.25">
      <c r="A57" t="str">
        <f t="shared" si="14"/>
        <v>46200E</v>
      </c>
      <c r="B57" s="51">
        <f t="shared" si="18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20"/>
        <v>0</v>
      </c>
      <c r="AB57" s="63">
        <f t="shared" si="21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5"/>
        <v>0</v>
      </c>
      <c r="AN57" s="74">
        <f t="shared" si="19"/>
        <v>0</v>
      </c>
      <c r="AO57" s="74">
        <f t="shared" si="19"/>
        <v>0</v>
      </c>
      <c r="AP57" s="75" t="e">
        <f t="shared" si="16"/>
        <v>#DIV/0!</v>
      </c>
      <c r="AQ57" s="76">
        <f t="shared" si="12"/>
        <v>0</v>
      </c>
      <c r="AR57" s="77">
        <f t="shared" si="17"/>
        <v>0</v>
      </c>
    </row>
    <row r="58" spans="1:44" x14ac:dyDescent="0.25">
      <c r="A58" t="str">
        <f t="shared" si="14"/>
        <v>46201M</v>
      </c>
      <c r="B58" s="51">
        <f t="shared" si="18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20"/>
        <v>0</v>
      </c>
      <c r="AB58" s="63">
        <f t="shared" si="21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5"/>
        <v>0</v>
      </c>
      <c r="AN58" s="74">
        <f t="shared" si="19"/>
        <v>0</v>
      </c>
      <c r="AO58" s="74">
        <f t="shared" si="19"/>
        <v>0</v>
      </c>
      <c r="AP58" s="75" t="e">
        <f t="shared" si="16"/>
        <v>#DIV/0!</v>
      </c>
      <c r="AQ58" s="76">
        <f t="shared" si="12"/>
        <v>0</v>
      </c>
      <c r="AR58" s="77">
        <f t="shared" si="17"/>
        <v>0</v>
      </c>
    </row>
    <row r="59" spans="1:44" x14ac:dyDescent="0.25">
      <c r="A59" t="str">
        <f t="shared" si="14"/>
        <v>46201E</v>
      </c>
      <c r="B59" s="51">
        <f t="shared" si="18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20"/>
        <v>0</v>
      </c>
      <c r="AB59" s="63">
        <f t="shared" si="21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5"/>
        <v>0</v>
      </c>
      <c r="AN59" s="74">
        <f t="shared" si="19"/>
        <v>0</v>
      </c>
      <c r="AO59" s="74">
        <f t="shared" si="19"/>
        <v>0</v>
      </c>
      <c r="AP59" s="75" t="e">
        <f t="shared" si="16"/>
        <v>#DIV/0!</v>
      </c>
      <c r="AQ59" s="76">
        <f t="shared" si="12"/>
        <v>0</v>
      </c>
      <c r="AR59" s="77">
        <f t="shared" si="17"/>
        <v>0</v>
      </c>
    </row>
    <row r="60" spans="1:44" x14ac:dyDescent="0.25">
      <c r="A60" t="str">
        <f t="shared" si="14"/>
        <v>46202M</v>
      </c>
      <c r="B60" s="51">
        <f t="shared" si="18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20"/>
        <v>0</v>
      </c>
      <c r="AB60" s="63">
        <f t="shared" si="21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5"/>
        <v>0</v>
      </c>
      <c r="AN60" s="74">
        <f t="shared" si="19"/>
        <v>0</v>
      </c>
      <c r="AO60" s="74">
        <f t="shared" si="19"/>
        <v>0</v>
      </c>
      <c r="AP60" s="75" t="e">
        <f t="shared" si="16"/>
        <v>#DIV/0!</v>
      </c>
      <c r="AQ60" s="76">
        <f t="shared" si="12"/>
        <v>0</v>
      </c>
      <c r="AR60" s="77">
        <f t="shared" si="17"/>
        <v>0</v>
      </c>
    </row>
    <row r="61" spans="1:44" x14ac:dyDescent="0.25">
      <c r="A61" t="str">
        <f t="shared" si="14"/>
        <v>46202E</v>
      </c>
      <c r="B61" s="51">
        <f t="shared" si="18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20"/>
        <v>0</v>
      </c>
      <c r="AB61" s="63">
        <f t="shared" si="21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5"/>
        <v>0</v>
      </c>
      <c r="AN61" s="74">
        <f t="shared" si="19"/>
        <v>0</v>
      </c>
      <c r="AO61" s="74">
        <f t="shared" si="19"/>
        <v>0</v>
      </c>
      <c r="AP61" s="75" t="e">
        <f t="shared" si="16"/>
        <v>#DIV/0!</v>
      </c>
      <c r="AQ61" s="76">
        <f t="shared" si="12"/>
        <v>0</v>
      </c>
      <c r="AR61" s="77">
        <f t="shared" si="17"/>
        <v>0</v>
      </c>
    </row>
    <row r="62" spans="1:44" x14ac:dyDescent="0.25">
      <c r="A62" t="str">
        <f t="shared" si="14"/>
        <v>46203M</v>
      </c>
      <c r="B62" s="51">
        <f t="shared" si="18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20"/>
        <v>0</v>
      </c>
      <c r="AB62" s="63">
        <f t="shared" si="21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5"/>
        <v>0</v>
      </c>
      <c r="AN62" s="74">
        <f t="shared" si="19"/>
        <v>0</v>
      </c>
      <c r="AO62" s="74">
        <f t="shared" si="19"/>
        <v>0</v>
      </c>
      <c r="AP62" s="75" t="e">
        <f t="shared" si="16"/>
        <v>#DIV/0!</v>
      </c>
      <c r="AQ62" s="76">
        <f t="shared" si="12"/>
        <v>0</v>
      </c>
      <c r="AR62" s="77">
        <f t="shared" si="17"/>
        <v>0</v>
      </c>
    </row>
    <row r="63" spans="1:44" x14ac:dyDescent="0.25">
      <c r="A63" t="str">
        <f t="shared" si="14"/>
        <v>46203E</v>
      </c>
      <c r="B63" s="51">
        <f t="shared" si="18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20"/>
        <v>0</v>
      </c>
      <c r="AB63" s="63">
        <f t="shared" si="21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5"/>
        <v>0</v>
      </c>
      <c r="AN63" s="74">
        <f t="shared" si="19"/>
        <v>0</v>
      </c>
      <c r="AO63" s="74">
        <f t="shared" si="19"/>
        <v>0</v>
      </c>
      <c r="AP63" s="75" t="e">
        <f t="shared" si="16"/>
        <v>#DIV/0!</v>
      </c>
      <c r="AQ63" s="76">
        <f t="shared" si="12"/>
        <v>0</v>
      </c>
      <c r="AR63" s="77">
        <f t="shared" si="17"/>
        <v>0</v>
      </c>
    </row>
    <row r="64" spans="1:44" x14ac:dyDescent="0.25">
      <c r="A64" t="str">
        <f t="shared" si="14"/>
        <v>46204M</v>
      </c>
      <c r="B64" s="51">
        <f t="shared" si="18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20"/>
        <v>0</v>
      </c>
      <c r="AB64" s="63">
        <f t="shared" si="21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66"/>
      <c r="AJ64" s="66"/>
      <c r="AK64" s="62">
        <f t="shared" si="9"/>
        <v>0</v>
      </c>
      <c r="AL64" s="72">
        <f t="shared" si="10"/>
        <v>0</v>
      </c>
      <c r="AM64" s="73">
        <f t="shared" si="15"/>
        <v>0</v>
      </c>
      <c r="AN64" s="74">
        <f t="shared" si="19"/>
        <v>0</v>
      </c>
      <c r="AO64" s="74">
        <f t="shared" si="19"/>
        <v>0</v>
      </c>
      <c r="AP64" s="75" t="e">
        <f t="shared" si="16"/>
        <v>#DIV/0!</v>
      </c>
      <c r="AQ64" s="76">
        <f t="shared" si="12"/>
        <v>0</v>
      </c>
      <c r="AR64" s="77">
        <f t="shared" si="17"/>
        <v>0</v>
      </c>
    </row>
    <row r="65" spans="1:44" ht="15.75" thickBot="1" x14ac:dyDescent="0.3">
      <c r="A65" t="str">
        <f t="shared" si="14"/>
        <v>46204E</v>
      </c>
      <c r="B65" s="51">
        <f t="shared" si="18"/>
        <v>46204</v>
      </c>
      <c r="C65" s="93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20"/>
        <v>0</v>
      </c>
      <c r="AB65" s="63">
        <f t="shared" si="21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66"/>
      <c r="AJ65" s="66"/>
      <c r="AK65" s="62">
        <f t="shared" si="9"/>
        <v>0</v>
      </c>
      <c r="AL65" s="72">
        <f t="shared" si="10"/>
        <v>0</v>
      </c>
      <c r="AM65" s="73">
        <f t="shared" si="15"/>
        <v>0</v>
      </c>
      <c r="AN65" s="74">
        <f t="shared" si="19"/>
        <v>0</v>
      </c>
      <c r="AO65" s="74">
        <f t="shared" si="19"/>
        <v>0</v>
      </c>
      <c r="AP65" s="75" t="e">
        <f t="shared" si="16"/>
        <v>#DIV/0!</v>
      </c>
      <c r="AQ65" s="76">
        <f t="shared" si="12"/>
        <v>0</v>
      </c>
      <c r="AR65" s="77">
        <f t="shared" si="17"/>
        <v>0</v>
      </c>
    </row>
    <row r="66" spans="1:44" ht="15.75" thickBot="1" x14ac:dyDescent="0.3">
      <c r="J66" s="83">
        <f>SUM(J4:J65)</f>
        <v>39131.141999999993</v>
      </c>
      <c r="R66">
        <f>+J66+O66</f>
        <v>39131.141999999993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4">
        <f>-SUM(AM4:AM65)</f>
        <v>1386.8580000000009</v>
      </c>
      <c r="AN66" s="94">
        <f>-SUM(AN4:AN65)</f>
        <v>50.895344999999999</v>
      </c>
      <c r="AO66" s="94">
        <f>-SUM(AO4:AO65)</f>
        <v>36.883387999999627</v>
      </c>
      <c r="AP66" s="95"/>
      <c r="AQ66" s="96">
        <f>-SUM(AQ4:AQ65)</f>
        <v>33885.64379533656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9" priority="2" operator="lessThan">
      <formula>0.1</formula>
    </cfRule>
    <cfRule type="cellIs" dxfId="78" priority="3" operator="greaterThan">
      <formula>0.1</formula>
    </cfRule>
  </conditionalFormatting>
  <conditionalFormatting sqref="AP1:AQ1">
    <cfRule type="cellIs" dxfId="77" priority="1" operator="lessThan">
      <formula>1</formula>
    </cfRule>
  </conditionalFormatting>
  <conditionalFormatting sqref="AQ4:AQ65">
    <cfRule type="cellIs" dxfId="76" priority="4" operator="lessThan">
      <formula>0</formula>
    </cfRule>
    <cfRule type="cellIs" dxfId="75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71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C38" sqref="AC38:AE38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8.8554687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147</v>
      </c>
      <c r="C1" s="44"/>
      <c r="G1" s="209"/>
      <c r="H1" s="209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2110.1</v>
      </c>
      <c r="E4" s="88">
        <v>3.79</v>
      </c>
      <c r="F4" s="88">
        <v>8.1199999999999992</v>
      </c>
      <c r="G4" s="62">
        <f t="shared" ref="G4:G65" si="0">+D4*E4%</f>
        <v>79.972790000000003</v>
      </c>
      <c r="H4" s="63">
        <f t="shared" ref="H4:H65" si="1">+D4*F4%</f>
        <v>171.34011999999998</v>
      </c>
      <c r="I4" s="203">
        <v>1313.1000000000001</v>
      </c>
      <c r="J4" s="203">
        <v>1352.4930000000002</v>
      </c>
      <c r="K4" s="203">
        <v>4.9466529586474737</v>
      </c>
      <c r="L4" s="203">
        <v>8.3066179270428719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1352.4930000000002</v>
      </c>
      <c r="S4" s="62">
        <f t="shared" ref="S4:S65" si="3">+J4*K4%+O4*P4%</f>
        <v>66.903134999999992</v>
      </c>
      <c r="T4" s="63">
        <f t="shared" ref="T4:T65" si="4">+J4*L4%+O4*Q4%</f>
        <v>112.34642599999997</v>
      </c>
      <c r="U4" s="64" t="s">
        <v>251</v>
      </c>
      <c r="V4" s="65" t="s">
        <v>259</v>
      </c>
      <c r="W4" s="66" t="s">
        <v>189</v>
      </c>
      <c r="X4" s="67">
        <v>3220</v>
      </c>
      <c r="Y4" s="68">
        <v>4.25</v>
      </c>
      <c r="Z4" s="68">
        <v>8.14</v>
      </c>
      <c r="AA4" s="62">
        <f t="shared" ref="AA4:AA65" si="5">X4*Y4%</f>
        <v>136.85000000000002</v>
      </c>
      <c r="AB4" s="63">
        <f t="shared" ref="AB4:AB65" si="6">X4*Z4%</f>
        <v>262.108</v>
      </c>
      <c r="AC4" s="69">
        <v>3210</v>
      </c>
      <c r="AD4" s="70">
        <v>4.5925233644859818</v>
      </c>
      <c r="AE4" s="70">
        <v>8.2562616822429913</v>
      </c>
      <c r="AF4" s="62">
        <f t="shared" ref="AF4:AF65" si="7">AC4*AD4%</f>
        <v>147.42000000000002</v>
      </c>
      <c r="AG4" s="62">
        <f t="shared" ref="AG4:AG65" si="8">AC4*AE4%</f>
        <v>265.02600000000001</v>
      </c>
      <c r="AH4" s="89">
        <v>242.5</v>
      </c>
      <c r="AI4" s="66">
        <v>4.24</v>
      </c>
      <c r="AJ4" s="66">
        <v>8.1999999999999993</v>
      </c>
      <c r="AK4" s="62">
        <f t="shared" ref="AK4:AK65" si="9">AH4*AI4%</f>
        <v>10.282</v>
      </c>
      <c r="AL4" s="72">
        <f t="shared" ref="AL4:AL65" si="10">AH4*AJ4%</f>
        <v>19.884999999999998</v>
      </c>
      <c r="AM4" s="73">
        <f t="shared" ref="AM4:AM65" si="11">+D4+R4-AC4-AH4</f>
        <v>10.092999999999847</v>
      </c>
      <c r="AN4" s="74">
        <f t="shared" ref="AN4:AO19" si="12">+G4+S4-AF4-AK4</f>
        <v>-10.826075000000021</v>
      </c>
      <c r="AO4" s="74">
        <f t="shared" si="12"/>
        <v>-1.2244540000000441</v>
      </c>
      <c r="AP4" s="75">
        <f t="shared" ref="AP4:AP65" si="13">(AN4+AO4)/(S4+T4)</f>
        <v>-6.7227662554777842E-2</v>
      </c>
      <c r="AQ4" s="76">
        <f t="shared" ref="AQ4:AQ65" si="14">($AP$1*AN4+$AQ$1*AO4)</f>
        <v>-5226.3797583433561</v>
      </c>
      <c r="AR4" s="90">
        <f t="shared" ref="AR4:AR65" si="15">(D4+J4+O4)-(X4+AH4)</f>
        <v>9.2999999999847205E-2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242.5</v>
      </c>
      <c r="E5" s="62">
        <v>4.24</v>
      </c>
      <c r="F5" s="62">
        <v>8.1999999999999993</v>
      </c>
      <c r="G5" s="62">
        <f t="shared" si="0"/>
        <v>10.282</v>
      </c>
      <c r="H5" s="63">
        <f t="shared" si="1"/>
        <v>19.884999999999998</v>
      </c>
      <c r="I5" s="203">
        <v>2085.1000000000004</v>
      </c>
      <c r="J5" s="203">
        <v>2147.6530000000002</v>
      </c>
      <c r="K5" s="203">
        <v>3.9627787636084584</v>
      </c>
      <c r="L5" s="203">
        <v>8.1538343484724933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2147.6530000000002</v>
      </c>
      <c r="S5" s="62">
        <f t="shared" si="3"/>
        <v>85.106736999999981</v>
      </c>
      <c r="T5" s="63">
        <f t="shared" si="4"/>
        <v>175.11606799999998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2390.1</v>
      </c>
      <c r="AI5" s="66">
        <v>3.98</v>
      </c>
      <c r="AJ5" s="66">
        <v>8.15</v>
      </c>
      <c r="AK5" s="62">
        <f t="shared" si="9"/>
        <v>95.125979999999998</v>
      </c>
      <c r="AL5" s="72">
        <f t="shared" si="10"/>
        <v>194.79315</v>
      </c>
      <c r="AM5" s="73">
        <f t="shared" si="11"/>
        <v>5.3000000000338332E-2</v>
      </c>
      <c r="AN5" s="74">
        <f t="shared" si="12"/>
        <v>0.26275699999997926</v>
      </c>
      <c r="AO5" s="74">
        <f t="shared" si="12"/>
        <v>0.20791799999997806</v>
      </c>
      <c r="AP5" s="75">
        <f t="shared" si="13"/>
        <v>1.8087384770137933E-3</v>
      </c>
      <c r="AQ5" s="76">
        <f t="shared" si="14"/>
        <v>180.17855778998413</v>
      </c>
      <c r="AR5" s="90">
        <f t="shared" si="15"/>
        <v>5.3000000000338332E-2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2390.1</v>
      </c>
      <c r="E6" s="62">
        <v>3.98</v>
      </c>
      <c r="F6" s="62">
        <v>8.15</v>
      </c>
      <c r="G6" s="62">
        <f t="shared" ref="G6:G39" si="17">+D6*E6%</f>
        <v>95.125979999999998</v>
      </c>
      <c r="H6" s="63">
        <f t="shared" ref="H6:H39" si="18">+D6*F6%</f>
        <v>194.79315</v>
      </c>
      <c r="I6" s="203">
        <v>1507.4</v>
      </c>
      <c r="J6" s="203">
        <v>1552.6220000000001</v>
      </c>
      <c r="K6" s="203">
        <v>4.661264428817832</v>
      </c>
      <c r="L6" s="203">
        <v>8.2499336606076685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ref="R6:R40" si="19">+J6+O6</f>
        <v>1552.6220000000001</v>
      </c>
      <c r="S6" s="62">
        <f t="shared" ref="S6:S40" si="20">+J6*K6%+O6*P6%</f>
        <v>72.371817000000007</v>
      </c>
      <c r="T6" s="63">
        <f t="shared" ref="T6:T40" si="21">+J6*L6%+O6*Q6%</f>
        <v>128.09028499999999</v>
      </c>
      <c r="U6" s="64" t="s">
        <v>256</v>
      </c>
      <c r="V6" s="65" t="s">
        <v>260</v>
      </c>
      <c r="W6" s="66" t="s">
        <v>225</v>
      </c>
      <c r="X6" s="67">
        <v>3950</v>
      </c>
      <c r="Y6" s="68">
        <v>4.45</v>
      </c>
      <c r="Z6" s="68">
        <v>8.17</v>
      </c>
      <c r="AA6" s="62">
        <f t="shared" ref="AA6:AA40" si="22">X6*Y6%</f>
        <v>175.77500000000001</v>
      </c>
      <c r="AB6" s="63">
        <f t="shared" ref="AB6:AB40" si="23">X6*Z6%</f>
        <v>322.71499999999997</v>
      </c>
      <c r="AC6" s="69">
        <v>3950</v>
      </c>
      <c r="AD6" s="70">
        <v>4.3324050632911399</v>
      </c>
      <c r="AE6" s="70">
        <v>8.1675949367088627</v>
      </c>
      <c r="AF6" s="62">
        <f t="shared" ref="AF6:AF40" si="24">AC6*AD6%</f>
        <v>171.13000000000002</v>
      </c>
      <c r="AG6" s="62">
        <f t="shared" ref="AG6:AG40" si="25">AC6*AE6%</f>
        <v>322.62000000000006</v>
      </c>
      <c r="AH6" s="89">
        <v>0</v>
      </c>
      <c r="AI6" s="66">
        <v>0</v>
      </c>
      <c r="AJ6" s="66">
        <v>0</v>
      </c>
      <c r="AK6" s="62">
        <f t="shared" ref="AK6:AK40" si="26">AH6*AI6%</f>
        <v>0</v>
      </c>
      <c r="AL6" s="72">
        <f t="shared" ref="AL6:AL40" si="27">AH6*AJ6%</f>
        <v>0</v>
      </c>
      <c r="AM6" s="73">
        <f t="shared" si="11"/>
        <v>-7.2780000000002474</v>
      </c>
      <c r="AN6" s="74">
        <f t="shared" si="12"/>
        <v>-3.6322030000000325</v>
      </c>
      <c r="AO6" s="74">
        <f t="shared" si="12"/>
        <v>0.26343499999990172</v>
      </c>
      <c r="AP6" s="75">
        <f t="shared" si="13"/>
        <v>-1.6805011852066336E-2</v>
      </c>
      <c r="AQ6" s="76">
        <f t="shared" si="14"/>
        <v>-1551.6931781633775</v>
      </c>
      <c r="AR6" s="90">
        <f t="shared" si="15"/>
        <v>-7.2780000000002474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0</v>
      </c>
      <c r="E7" s="62">
        <v>0</v>
      </c>
      <c r="F7" s="62">
        <v>0</v>
      </c>
      <c r="G7" s="62">
        <f t="shared" si="17"/>
        <v>0</v>
      </c>
      <c r="H7" s="63">
        <f t="shared" si="18"/>
        <v>0</v>
      </c>
      <c r="I7" s="203">
        <v>1968.8</v>
      </c>
      <c r="J7" s="203">
        <v>2027.864</v>
      </c>
      <c r="K7" s="203">
        <v>3.9305566842746846</v>
      </c>
      <c r="L7" s="203">
        <v>8.1457182039821223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9"/>
        <v>2027.864</v>
      </c>
      <c r="S7" s="62">
        <f t="shared" si="20"/>
        <v>79.706343999999987</v>
      </c>
      <c r="T7" s="63">
        <f t="shared" si="21"/>
        <v>165.18408700000001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22"/>
        <v>0</v>
      </c>
      <c r="AB7" s="63">
        <f t="shared" si="23"/>
        <v>0</v>
      </c>
      <c r="AC7" s="69"/>
      <c r="AD7" s="70"/>
      <c r="AE7" s="70"/>
      <c r="AF7" s="62">
        <f t="shared" si="24"/>
        <v>0</v>
      </c>
      <c r="AG7" s="62">
        <f t="shared" si="25"/>
        <v>0</v>
      </c>
      <c r="AH7" s="89">
        <v>2027.8</v>
      </c>
      <c r="AI7" s="66">
        <v>3.93</v>
      </c>
      <c r="AJ7" s="66">
        <v>8.15</v>
      </c>
      <c r="AK7" s="62">
        <f t="shared" si="26"/>
        <v>79.692540000000008</v>
      </c>
      <c r="AL7" s="72">
        <f t="shared" si="27"/>
        <v>165.26570000000001</v>
      </c>
      <c r="AM7" s="73">
        <f t="shared" si="11"/>
        <v>6.4000000000078217E-2</v>
      </c>
      <c r="AN7" s="74">
        <f t="shared" si="12"/>
        <v>1.3803999999979055E-2</v>
      </c>
      <c r="AO7" s="74">
        <f t="shared" si="12"/>
        <v>-8.1613000000004376E-2</v>
      </c>
      <c r="AP7" s="75">
        <f t="shared" si="13"/>
        <v>-2.7689526178352523E-4</v>
      </c>
      <c r="AQ7" s="76">
        <f t="shared" si="14"/>
        <v>-18.227840913344046</v>
      </c>
      <c r="AR7" s="90">
        <f t="shared" si="15"/>
        <v>6.4000000000078217E-2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2027.8</v>
      </c>
      <c r="E8" s="62">
        <v>3.93</v>
      </c>
      <c r="F8" s="62">
        <v>8.15</v>
      </c>
      <c r="G8" s="62">
        <f t="shared" si="17"/>
        <v>79.692540000000008</v>
      </c>
      <c r="H8" s="63">
        <f t="shared" si="18"/>
        <v>165.26570000000001</v>
      </c>
      <c r="I8" s="203">
        <v>1472.5</v>
      </c>
      <c r="J8" s="203">
        <v>1516.675</v>
      </c>
      <c r="K8" s="203">
        <v>4.8936842105263167</v>
      </c>
      <c r="L8" s="203">
        <v>8.2630831918505923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9"/>
        <v>1516.675</v>
      </c>
      <c r="S8" s="62">
        <f t="shared" si="20"/>
        <v>74.221285000000009</v>
      </c>
      <c r="T8" s="63">
        <f t="shared" si="21"/>
        <v>125.32411699999997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22"/>
        <v>0</v>
      </c>
      <c r="AB8" s="63">
        <f t="shared" si="23"/>
        <v>0</v>
      </c>
      <c r="AC8" s="69"/>
      <c r="AD8" s="70"/>
      <c r="AE8" s="70"/>
      <c r="AF8" s="62">
        <f t="shared" si="24"/>
        <v>0</v>
      </c>
      <c r="AG8" s="62">
        <f t="shared" si="25"/>
        <v>0</v>
      </c>
      <c r="AH8" s="89">
        <v>3544.4</v>
      </c>
      <c r="AI8" s="66">
        <v>4.34</v>
      </c>
      <c r="AJ8" s="66">
        <v>8.19</v>
      </c>
      <c r="AK8" s="62">
        <f t="shared" si="26"/>
        <v>153.82696000000001</v>
      </c>
      <c r="AL8" s="72">
        <f t="shared" si="27"/>
        <v>290.28636</v>
      </c>
      <c r="AM8" s="73">
        <f t="shared" si="11"/>
        <v>7.4999999999818101E-2</v>
      </c>
      <c r="AN8" s="74">
        <f t="shared" si="12"/>
        <v>8.6865000000017289E-2</v>
      </c>
      <c r="AO8" s="74">
        <f t="shared" si="12"/>
        <v>0.30345699999998033</v>
      </c>
      <c r="AP8" s="75">
        <f t="shared" si="13"/>
        <v>1.9560560959455114E-3</v>
      </c>
      <c r="AQ8" s="76">
        <f t="shared" si="14"/>
        <v>129.81115506333521</v>
      </c>
      <c r="AR8" s="90">
        <f t="shared" si="15"/>
        <v>7.4999999999818101E-2</v>
      </c>
    </row>
    <row r="9" spans="1:44" x14ac:dyDescent="0.25">
      <c r="A9" t="str">
        <f t="shared" si="16"/>
        <v>46176E</v>
      </c>
      <c r="B9" s="51">
        <f t="shared" ref="B9:B65" si="28">+B7+1</f>
        <v>46176</v>
      </c>
      <c r="C9" s="52" t="s">
        <v>88</v>
      </c>
      <c r="D9" s="91">
        <v>3544.4</v>
      </c>
      <c r="E9" s="62">
        <v>4.34</v>
      </c>
      <c r="F9" s="62">
        <v>8.19</v>
      </c>
      <c r="G9" s="62">
        <f t="shared" si="17"/>
        <v>153.82696000000001</v>
      </c>
      <c r="H9" s="63">
        <f t="shared" si="18"/>
        <v>290.28636</v>
      </c>
      <c r="I9" s="203">
        <v>2141</v>
      </c>
      <c r="J9" s="203">
        <v>2205.23</v>
      </c>
      <c r="K9" s="203">
        <v>3.9287202241943007</v>
      </c>
      <c r="L9" s="203">
        <v>8.1325361980383004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9"/>
        <v>2205.23</v>
      </c>
      <c r="S9" s="62">
        <f t="shared" si="20"/>
        <v>86.637316999999982</v>
      </c>
      <c r="T9" s="63">
        <f t="shared" si="21"/>
        <v>179.34112800000003</v>
      </c>
      <c r="U9" s="64" t="s">
        <v>256</v>
      </c>
      <c r="V9" s="65" t="s">
        <v>261</v>
      </c>
      <c r="W9" s="66" t="s">
        <v>262</v>
      </c>
      <c r="X9" s="67">
        <v>5765</v>
      </c>
      <c r="Y9" s="68">
        <v>4.25</v>
      </c>
      <c r="Z9" s="68">
        <v>8.19</v>
      </c>
      <c r="AA9" s="62">
        <f t="shared" si="22"/>
        <v>245.01250000000002</v>
      </c>
      <c r="AB9" s="63">
        <f t="shared" si="23"/>
        <v>472.15350000000001</v>
      </c>
      <c r="AC9" s="69">
        <v>5720</v>
      </c>
      <c r="AD9" s="70">
        <v>4.2</v>
      </c>
      <c r="AE9" s="70">
        <v>8</v>
      </c>
      <c r="AF9" s="62">
        <f t="shared" si="24"/>
        <v>240.24</v>
      </c>
      <c r="AG9" s="62">
        <f t="shared" si="25"/>
        <v>457.6</v>
      </c>
      <c r="AH9" s="89">
        <v>0</v>
      </c>
      <c r="AI9" s="66">
        <v>0</v>
      </c>
      <c r="AJ9" s="66">
        <v>0</v>
      </c>
      <c r="AK9" s="62">
        <f t="shared" si="26"/>
        <v>0</v>
      </c>
      <c r="AL9" s="72">
        <f t="shared" si="27"/>
        <v>0</v>
      </c>
      <c r="AM9" s="73">
        <f t="shared" si="11"/>
        <v>29.630000000000109</v>
      </c>
      <c r="AN9" s="74">
        <f t="shared" si="12"/>
        <v>0.2242769999999723</v>
      </c>
      <c r="AO9" s="74">
        <f t="shared" si="12"/>
        <v>12.027488000000005</v>
      </c>
      <c r="AP9" s="75">
        <f t="shared" si="13"/>
        <v>4.6062999578781572E-2</v>
      </c>
      <c r="AQ9" s="76">
        <f t="shared" si="14"/>
        <v>3700.1866134566562</v>
      </c>
      <c r="AR9" s="90">
        <f t="shared" si="15"/>
        <v>-15.369999999999891</v>
      </c>
    </row>
    <row r="10" spans="1:44" x14ac:dyDescent="0.25">
      <c r="A10" t="str">
        <f t="shared" si="16"/>
        <v>46177M</v>
      </c>
      <c r="B10" s="51">
        <f t="shared" si="28"/>
        <v>46177</v>
      </c>
      <c r="C10" s="52" t="s">
        <v>87</v>
      </c>
      <c r="D10" s="91">
        <v>0</v>
      </c>
      <c r="E10" s="62">
        <v>0</v>
      </c>
      <c r="F10" s="62">
        <v>0</v>
      </c>
      <c r="G10" s="62">
        <f t="shared" si="17"/>
        <v>0</v>
      </c>
      <c r="H10" s="63">
        <f t="shared" si="18"/>
        <v>0</v>
      </c>
      <c r="I10" s="203">
        <v>1474.6000000000001</v>
      </c>
      <c r="J10" s="203">
        <v>1518.8380000000002</v>
      </c>
      <c r="K10" s="203">
        <v>4.7368642343686425</v>
      </c>
      <c r="L10" s="203">
        <v>8.2157330801573316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9"/>
        <v>1518.8380000000002</v>
      </c>
      <c r="S10" s="62">
        <f t="shared" si="20"/>
        <v>71.945294000000004</v>
      </c>
      <c r="T10" s="63">
        <f t="shared" si="21"/>
        <v>124.78367600000004</v>
      </c>
      <c r="U10" s="64" t="s">
        <v>251</v>
      </c>
      <c r="V10" s="65" t="s">
        <v>263</v>
      </c>
      <c r="W10" s="66" t="s">
        <v>189</v>
      </c>
      <c r="X10" s="67">
        <v>1545</v>
      </c>
      <c r="Y10" s="68">
        <v>4.25</v>
      </c>
      <c r="Z10" s="68">
        <v>8.1300000000000008</v>
      </c>
      <c r="AA10" s="62">
        <f t="shared" si="22"/>
        <v>65.662500000000009</v>
      </c>
      <c r="AB10" s="63">
        <f t="shared" si="23"/>
        <v>125.60850000000002</v>
      </c>
      <c r="AC10" s="69">
        <v>1550</v>
      </c>
      <c r="AD10" s="70">
        <v>5.0503225806451582</v>
      </c>
      <c r="AE10" s="70">
        <v>8.2300645161290404</v>
      </c>
      <c r="AF10" s="62">
        <f t="shared" si="24"/>
        <v>78.279999999999959</v>
      </c>
      <c r="AG10" s="62">
        <f t="shared" si="25"/>
        <v>127.56600000000013</v>
      </c>
      <c r="AH10" s="89">
        <v>0</v>
      </c>
      <c r="AI10" s="66">
        <v>0</v>
      </c>
      <c r="AJ10" s="66">
        <v>0</v>
      </c>
      <c r="AK10" s="62">
        <f t="shared" si="26"/>
        <v>0</v>
      </c>
      <c r="AL10" s="72">
        <f t="shared" si="27"/>
        <v>0</v>
      </c>
      <c r="AM10" s="73">
        <f t="shared" si="11"/>
        <v>-31.161999999999807</v>
      </c>
      <c r="AN10" s="74">
        <f t="shared" si="12"/>
        <v>-6.3347059999999544</v>
      </c>
      <c r="AO10" s="74">
        <f t="shared" si="12"/>
        <v>-2.7823240000000879</v>
      </c>
      <c r="AP10" s="75">
        <f t="shared" si="13"/>
        <v>-4.6343098324563174E-2</v>
      </c>
      <c r="AQ10" s="76">
        <f t="shared" si="14"/>
        <v>-3676.3882483533393</v>
      </c>
      <c r="AR10" s="90">
        <f t="shared" si="15"/>
        <v>-26.161999999999807</v>
      </c>
    </row>
    <row r="11" spans="1:44" x14ac:dyDescent="0.25">
      <c r="A11" t="str">
        <f t="shared" si="16"/>
        <v>46177E</v>
      </c>
      <c r="B11" s="51">
        <f t="shared" si="28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17"/>
        <v>0</v>
      </c>
      <c r="H11" s="63">
        <f t="shared" si="18"/>
        <v>0</v>
      </c>
      <c r="I11" s="203">
        <v>2147.6999999999998</v>
      </c>
      <c r="J11" s="203">
        <v>2212.1309999999999</v>
      </c>
      <c r="K11" s="203">
        <v>3.9283745402058026</v>
      </c>
      <c r="L11" s="203">
        <v>8.1144340457233337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9"/>
        <v>2212.1309999999999</v>
      </c>
      <c r="S11" s="62">
        <f t="shared" si="20"/>
        <v>86.900791000000027</v>
      </c>
      <c r="T11" s="63">
        <f t="shared" si="21"/>
        <v>179.50191100000004</v>
      </c>
      <c r="U11" s="64" t="s">
        <v>187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2"/>
        <v>0</v>
      </c>
      <c r="AB11" s="63">
        <f t="shared" si="23"/>
        <v>0</v>
      </c>
      <c r="AC11" s="69"/>
      <c r="AD11" s="70"/>
      <c r="AE11" s="70"/>
      <c r="AF11" s="62">
        <f t="shared" si="24"/>
        <v>0</v>
      </c>
      <c r="AG11" s="62">
        <f t="shared" si="25"/>
        <v>0</v>
      </c>
      <c r="AH11" s="89">
        <v>2212.1</v>
      </c>
      <c r="AI11" s="66">
        <v>3.93</v>
      </c>
      <c r="AJ11" s="66">
        <v>8.1199999999999992</v>
      </c>
      <c r="AK11" s="62">
        <f t="shared" si="26"/>
        <v>86.93553</v>
      </c>
      <c r="AL11" s="72">
        <f t="shared" si="27"/>
        <v>179.62251999999998</v>
      </c>
      <c r="AM11" s="73">
        <f t="shared" si="11"/>
        <v>3.0999999999949068E-2</v>
      </c>
      <c r="AN11" s="74">
        <f t="shared" si="12"/>
        <v>-3.473899999997343E-2</v>
      </c>
      <c r="AO11" s="74">
        <f t="shared" si="12"/>
        <v>-0.1206089999999449</v>
      </c>
      <c r="AP11" s="75">
        <f t="shared" si="13"/>
        <v>-5.8313222363607362E-4</v>
      </c>
      <c r="AQ11" s="76">
        <f t="shared" si="14"/>
        <v>-51.689741949971591</v>
      </c>
      <c r="AR11" s="90">
        <f t="shared" si="15"/>
        <v>3.0999999999949068E-2</v>
      </c>
    </row>
    <row r="12" spans="1:44" x14ac:dyDescent="0.25">
      <c r="A12" t="str">
        <f t="shared" si="16"/>
        <v>46178M</v>
      </c>
      <c r="B12" s="51">
        <f t="shared" si="28"/>
        <v>46178</v>
      </c>
      <c r="C12" s="52" t="s">
        <v>87</v>
      </c>
      <c r="D12" s="91">
        <v>2212.1</v>
      </c>
      <c r="E12" s="62">
        <v>3.93</v>
      </c>
      <c r="F12" s="62">
        <v>8.1199999999999992</v>
      </c>
      <c r="G12" s="62">
        <f t="shared" si="17"/>
        <v>86.93553</v>
      </c>
      <c r="H12" s="63">
        <f t="shared" si="18"/>
        <v>179.62251999999998</v>
      </c>
      <c r="I12" s="203">
        <v>1468.7999999999997</v>
      </c>
      <c r="J12" s="203">
        <v>1512.8639999999998</v>
      </c>
      <c r="K12" s="203">
        <v>4.9125680827886722</v>
      </c>
      <c r="L12" s="203">
        <v>8.256134259259257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9"/>
        <v>1512.8639999999998</v>
      </c>
      <c r="S12" s="62">
        <f t="shared" si="20"/>
        <v>74.320474000000004</v>
      </c>
      <c r="T12" s="63">
        <f t="shared" si="21"/>
        <v>124.90408299999994</v>
      </c>
      <c r="U12" s="64" t="s">
        <v>246</v>
      </c>
      <c r="V12" s="65" t="s">
        <v>362</v>
      </c>
      <c r="W12" s="66" t="s">
        <v>189</v>
      </c>
      <c r="X12" s="67">
        <v>3480</v>
      </c>
      <c r="Y12" s="68">
        <v>4.2</v>
      </c>
      <c r="Z12" s="68">
        <v>8.1199999999999992</v>
      </c>
      <c r="AA12" s="62">
        <f t="shared" si="22"/>
        <v>146.16</v>
      </c>
      <c r="AB12" s="63">
        <f t="shared" si="23"/>
        <v>282.57599999999996</v>
      </c>
      <c r="AC12" s="69">
        <v>3460</v>
      </c>
      <c r="AD12" s="70">
        <v>4.6017341040462432</v>
      </c>
      <c r="AE12" s="70">
        <v>8.010346820809243</v>
      </c>
      <c r="AF12" s="62">
        <f t="shared" si="24"/>
        <v>159.22</v>
      </c>
      <c r="AG12" s="62">
        <f t="shared" si="25"/>
        <v>277.15799999999979</v>
      </c>
      <c r="AH12" s="89">
        <v>244.9</v>
      </c>
      <c r="AI12" s="66">
        <v>4.32</v>
      </c>
      <c r="AJ12" s="66">
        <v>8.17</v>
      </c>
      <c r="AK12" s="62">
        <f t="shared" si="26"/>
        <v>10.579680000000002</v>
      </c>
      <c r="AL12" s="72">
        <f t="shared" si="27"/>
        <v>20.008330000000001</v>
      </c>
      <c r="AM12" s="73">
        <f t="shared" si="11"/>
        <v>20.063999999999936</v>
      </c>
      <c r="AN12" s="74">
        <f t="shared" si="12"/>
        <v>-8.5436759999999818</v>
      </c>
      <c r="AO12" s="74">
        <f t="shared" si="12"/>
        <v>7.3602730000001202</v>
      </c>
      <c r="AP12" s="75">
        <f t="shared" si="13"/>
        <v>-5.9400458348107255E-3</v>
      </c>
      <c r="AQ12" s="76">
        <f t="shared" si="14"/>
        <v>-1632.6081582066226</v>
      </c>
      <c r="AR12" s="90">
        <f t="shared" si="15"/>
        <v>6.3999999999850843E-2</v>
      </c>
    </row>
    <row r="13" spans="1:44" x14ac:dyDescent="0.25">
      <c r="A13" t="str">
        <f t="shared" si="16"/>
        <v>46178E</v>
      </c>
      <c r="B13" s="51">
        <f t="shared" si="28"/>
        <v>46178</v>
      </c>
      <c r="C13" s="52" t="s">
        <v>88</v>
      </c>
      <c r="D13" s="91">
        <v>244.9</v>
      </c>
      <c r="E13" s="62">
        <v>4.32</v>
      </c>
      <c r="F13" s="62">
        <v>8.17</v>
      </c>
      <c r="G13" s="62">
        <f t="shared" si="17"/>
        <v>10.579680000000002</v>
      </c>
      <c r="H13" s="63">
        <f t="shared" si="18"/>
        <v>20.008330000000001</v>
      </c>
      <c r="I13" s="203">
        <v>2096.6000000000008</v>
      </c>
      <c r="J13" s="203">
        <v>2159.498000000001</v>
      </c>
      <c r="K13" s="203">
        <v>3.8470857578937321</v>
      </c>
      <c r="L13" s="203">
        <v>8.0909806353143168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9"/>
        <v>2159.498000000001</v>
      </c>
      <c r="S13" s="62">
        <f t="shared" si="20"/>
        <v>83.07774000000002</v>
      </c>
      <c r="T13" s="63">
        <f t="shared" si="21"/>
        <v>174.72456500000004</v>
      </c>
      <c r="U13" s="64" t="s">
        <v>167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2"/>
        <v>0</v>
      </c>
      <c r="AB13" s="63">
        <f t="shared" si="23"/>
        <v>0</v>
      </c>
      <c r="AC13" s="69"/>
      <c r="AD13" s="70"/>
      <c r="AE13" s="70"/>
      <c r="AF13" s="62">
        <f t="shared" si="24"/>
        <v>0</v>
      </c>
      <c r="AG13" s="62">
        <f t="shared" si="25"/>
        <v>0</v>
      </c>
      <c r="AH13" s="89">
        <v>2404.3000000000002</v>
      </c>
      <c r="AI13" s="66">
        <v>3.89</v>
      </c>
      <c r="AJ13" s="66">
        <v>8.09</v>
      </c>
      <c r="AK13" s="62">
        <f t="shared" si="26"/>
        <v>93.527270000000016</v>
      </c>
      <c r="AL13" s="72">
        <f t="shared" si="27"/>
        <v>194.50787000000003</v>
      </c>
      <c r="AM13" s="73">
        <f t="shared" si="11"/>
        <v>9.8000000000865839E-2</v>
      </c>
      <c r="AN13" s="74">
        <f t="shared" si="12"/>
        <v>0.13015000000000043</v>
      </c>
      <c r="AO13" s="74">
        <f t="shared" si="12"/>
        <v>0.22502500000001646</v>
      </c>
      <c r="AP13" s="75">
        <f t="shared" si="13"/>
        <v>1.3777029650685895E-3</v>
      </c>
      <c r="AQ13" s="76">
        <f t="shared" si="14"/>
        <v>125.76961833333846</v>
      </c>
      <c r="AR13" s="90">
        <f t="shared" si="15"/>
        <v>9.8000000000865839E-2</v>
      </c>
    </row>
    <row r="14" spans="1:44" x14ac:dyDescent="0.25">
      <c r="A14" t="str">
        <f t="shared" si="16"/>
        <v>46179M</v>
      </c>
      <c r="B14" s="51">
        <f t="shared" si="28"/>
        <v>46179</v>
      </c>
      <c r="C14" s="52" t="s">
        <v>87</v>
      </c>
      <c r="D14" s="91">
        <v>2404.3000000000002</v>
      </c>
      <c r="E14" s="62">
        <v>3.89</v>
      </c>
      <c r="F14" s="62">
        <v>8.09</v>
      </c>
      <c r="G14" s="62">
        <f t="shared" si="17"/>
        <v>93.527270000000016</v>
      </c>
      <c r="H14" s="63">
        <f t="shared" si="18"/>
        <v>194.50787000000003</v>
      </c>
      <c r="I14" s="203">
        <v>1510.0999999999997</v>
      </c>
      <c r="J14" s="203">
        <v>1555.4029999999998</v>
      </c>
      <c r="K14" s="203">
        <v>4.8491159525859207</v>
      </c>
      <c r="L14" s="203">
        <v>8.245447321369447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9"/>
        <v>1555.4029999999998</v>
      </c>
      <c r="S14" s="62">
        <f t="shared" si="20"/>
        <v>75.423294999999982</v>
      </c>
      <c r="T14" s="63">
        <f t="shared" si="21"/>
        <v>128.24993499999999</v>
      </c>
      <c r="U14" s="64" t="s">
        <v>256</v>
      </c>
      <c r="V14" s="65" t="s">
        <v>363</v>
      </c>
      <c r="W14" s="66" t="s">
        <v>262</v>
      </c>
      <c r="X14" s="67">
        <v>3935</v>
      </c>
      <c r="Y14" s="68">
        <v>4.5</v>
      </c>
      <c r="Z14" s="68">
        <v>8.24</v>
      </c>
      <c r="AA14" s="62">
        <f t="shared" si="22"/>
        <v>177.07499999999999</v>
      </c>
      <c r="AB14" s="63">
        <f t="shared" si="23"/>
        <v>324.24400000000003</v>
      </c>
      <c r="AC14" s="69">
        <v>3895</v>
      </c>
      <c r="AD14" s="70">
        <v>4.45</v>
      </c>
      <c r="AE14" s="70">
        <v>8.11</v>
      </c>
      <c r="AF14" s="62">
        <f t="shared" si="24"/>
        <v>173.32750000000001</v>
      </c>
      <c r="AG14" s="62">
        <f t="shared" si="25"/>
        <v>315.88449999999995</v>
      </c>
      <c r="AH14" s="89">
        <v>24</v>
      </c>
      <c r="AI14" s="66">
        <v>4.26</v>
      </c>
      <c r="AJ14" s="66">
        <v>8.24</v>
      </c>
      <c r="AK14" s="62">
        <f t="shared" si="26"/>
        <v>1.0224</v>
      </c>
      <c r="AL14" s="72">
        <f t="shared" si="27"/>
        <v>1.9776</v>
      </c>
      <c r="AM14" s="73">
        <f t="shared" si="11"/>
        <v>40.702999999999975</v>
      </c>
      <c r="AN14" s="74">
        <f t="shared" si="12"/>
        <v>-5.3993350000000317</v>
      </c>
      <c r="AO14" s="74">
        <f t="shared" si="12"/>
        <v>4.8957050000000732</v>
      </c>
      <c r="AP14" s="75">
        <f t="shared" si="13"/>
        <v>-2.4727353712609089E-3</v>
      </c>
      <c r="AQ14" s="76">
        <f t="shared" si="14"/>
        <v>-958.66152048332538</v>
      </c>
      <c r="AR14" s="90">
        <f t="shared" si="15"/>
        <v>0.70299999999997453</v>
      </c>
    </row>
    <row r="15" spans="1:44" x14ac:dyDescent="0.25">
      <c r="A15" t="str">
        <f t="shared" si="16"/>
        <v>46179E</v>
      </c>
      <c r="B15" s="51">
        <f t="shared" si="28"/>
        <v>46179</v>
      </c>
      <c r="C15" s="52" t="s">
        <v>88</v>
      </c>
      <c r="D15" s="91">
        <v>24</v>
      </c>
      <c r="E15" s="62">
        <v>4.26</v>
      </c>
      <c r="F15" s="62">
        <v>8.24</v>
      </c>
      <c r="G15" s="62">
        <f t="shared" si="17"/>
        <v>1.0224</v>
      </c>
      <c r="H15" s="63">
        <f t="shared" si="18"/>
        <v>1.9776</v>
      </c>
      <c r="I15" s="203">
        <v>2018.5999999999992</v>
      </c>
      <c r="J15" s="203">
        <v>2079.1579999999994</v>
      </c>
      <c r="K15" s="203">
        <v>3.9913157634003764</v>
      </c>
      <c r="L15" s="203">
        <v>8.1445060933320157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9"/>
        <v>2079.1579999999994</v>
      </c>
      <c r="S15" s="62">
        <f t="shared" si="20"/>
        <v>82.985760999999982</v>
      </c>
      <c r="T15" s="63">
        <f t="shared" si="21"/>
        <v>169.33715000000004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2"/>
        <v>0</v>
      </c>
      <c r="AB15" s="63">
        <f t="shared" si="23"/>
        <v>0</v>
      </c>
      <c r="AC15" s="69"/>
      <c r="AD15" s="70"/>
      <c r="AE15" s="70"/>
      <c r="AF15" s="62">
        <f t="shared" si="24"/>
        <v>0</v>
      </c>
      <c r="AG15" s="62">
        <f t="shared" si="25"/>
        <v>0</v>
      </c>
      <c r="AH15" s="89">
        <v>2103</v>
      </c>
      <c r="AI15" s="66">
        <v>3.99</v>
      </c>
      <c r="AJ15" s="66">
        <v>8.14</v>
      </c>
      <c r="AK15" s="62">
        <f t="shared" si="26"/>
        <v>83.909700000000015</v>
      </c>
      <c r="AL15" s="72">
        <f t="shared" si="27"/>
        <v>171.1842</v>
      </c>
      <c r="AM15" s="73">
        <f t="shared" si="11"/>
        <v>0.15799999999944703</v>
      </c>
      <c r="AN15" s="74">
        <f t="shared" si="12"/>
        <v>9.8460999999971932E-2</v>
      </c>
      <c r="AO15" s="74">
        <f t="shared" si="12"/>
        <v>0.13055000000002792</v>
      </c>
      <c r="AP15" s="75">
        <f t="shared" si="13"/>
        <v>9.0761080352310861E-4</v>
      </c>
      <c r="AQ15" s="76">
        <f t="shared" si="14"/>
        <v>83.27026117666243</v>
      </c>
      <c r="AR15" s="90">
        <f t="shared" si="15"/>
        <v>0.15799999999944703</v>
      </c>
    </row>
    <row r="16" spans="1:44" x14ac:dyDescent="0.25">
      <c r="A16" t="str">
        <f t="shared" si="16"/>
        <v>46180M</v>
      </c>
      <c r="B16" s="51">
        <f t="shared" si="28"/>
        <v>46180</v>
      </c>
      <c r="C16" s="52" t="s">
        <v>87</v>
      </c>
      <c r="D16" s="91">
        <v>2103</v>
      </c>
      <c r="E16" s="62">
        <v>3.99</v>
      </c>
      <c r="F16" s="62">
        <v>8.14</v>
      </c>
      <c r="G16" s="62">
        <f t="shared" si="17"/>
        <v>83.909700000000015</v>
      </c>
      <c r="H16" s="63">
        <f t="shared" si="18"/>
        <v>171.1842</v>
      </c>
      <c r="I16" s="203">
        <v>1525.3999999999999</v>
      </c>
      <c r="J16" s="203">
        <v>1571.1619999999998</v>
      </c>
      <c r="K16" s="203">
        <v>4.5867510161269154</v>
      </c>
      <c r="L16" s="203">
        <v>8.1876950308115877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9"/>
        <v>1571.1619999999998</v>
      </c>
      <c r="S16" s="62">
        <f t="shared" si="20"/>
        <v>72.06528899999995</v>
      </c>
      <c r="T16" s="63">
        <f t="shared" si="21"/>
        <v>128.64195299999994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22"/>
        <v>0</v>
      </c>
      <c r="AB16" s="63">
        <f t="shared" si="23"/>
        <v>0</v>
      </c>
      <c r="AC16" s="69"/>
      <c r="AD16" s="70"/>
      <c r="AE16" s="70"/>
      <c r="AF16" s="62">
        <f t="shared" si="24"/>
        <v>0</v>
      </c>
      <c r="AG16" s="62">
        <f t="shared" si="25"/>
        <v>0</v>
      </c>
      <c r="AH16" s="89">
        <v>3674</v>
      </c>
      <c r="AI16" s="66">
        <v>4.24</v>
      </c>
      <c r="AJ16" s="66">
        <v>8.16</v>
      </c>
      <c r="AK16" s="62">
        <f t="shared" si="26"/>
        <v>155.77760000000001</v>
      </c>
      <c r="AL16" s="72">
        <f t="shared" si="27"/>
        <v>299.79840000000002</v>
      </c>
      <c r="AM16" s="73">
        <f t="shared" si="11"/>
        <v>0.16199999999980719</v>
      </c>
      <c r="AN16" s="74">
        <f t="shared" si="12"/>
        <v>0.19738899999995851</v>
      </c>
      <c r="AO16" s="74">
        <f t="shared" si="12"/>
        <v>2.7752999999961503E-2</v>
      </c>
      <c r="AP16" s="75">
        <f t="shared" si="13"/>
        <v>1.1217432801947432E-3</v>
      </c>
      <c r="AQ16" s="76">
        <f t="shared" si="14"/>
        <v>96.91562880996986</v>
      </c>
      <c r="AR16" s="90">
        <f t="shared" si="15"/>
        <v>0.16199999999980719</v>
      </c>
    </row>
    <row r="17" spans="1:48" x14ac:dyDescent="0.25">
      <c r="A17" t="str">
        <f t="shared" si="16"/>
        <v>46180E</v>
      </c>
      <c r="B17" s="51">
        <f t="shared" si="28"/>
        <v>46180</v>
      </c>
      <c r="C17" s="52" t="s">
        <v>88</v>
      </c>
      <c r="D17" s="91">
        <v>3674</v>
      </c>
      <c r="E17" s="62">
        <v>4.24</v>
      </c>
      <c r="F17" s="62">
        <v>8.16</v>
      </c>
      <c r="G17" s="62">
        <f t="shared" si="17"/>
        <v>155.77760000000001</v>
      </c>
      <c r="H17" s="63">
        <f t="shared" si="18"/>
        <v>299.79840000000002</v>
      </c>
      <c r="I17" s="203">
        <v>1951.2000000000003</v>
      </c>
      <c r="J17" s="203">
        <v>2009.7360000000003</v>
      </c>
      <c r="K17" s="203">
        <v>3.8976681016810164</v>
      </c>
      <c r="L17" s="203">
        <v>8.1311500615006143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9"/>
        <v>2009.7360000000003</v>
      </c>
      <c r="S17" s="62">
        <f t="shared" si="20"/>
        <v>78.332839000000007</v>
      </c>
      <c r="T17" s="63">
        <f t="shared" si="21"/>
        <v>163.41464999999999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22"/>
        <v>0</v>
      </c>
      <c r="AB17" s="63">
        <f t="shared" si="23"/>
        <v>0</v>
      </c>
      <c r="AC17" s="69"/>
      <c r="AD17" s="70"/>
      <c r="AE17" s="70"/>
      <c r="AF17" s="62">
        <f t="shared" si="24"/>
        <v>0</v>
      </c>
      <c r="AG17" s="62">
        <f t="shared" si="25"/>
        <v>0</v>
      </c>
      <c r="AH17" s="89">
        <v>5683.7</v>
      </c>
      <c r="AI17" s="66">
        <v>4.1100000000000003</v>
      </c>
      <c r="AJ17" s="66">
        <v>8.14</v>
      </c>
      <c r="AK17" s="62">
        <f t="shared" si="26"/>
        <v>233.60007000000002</v>
      </c>
      <c r="AL17" s="72">
        <f t="shared" si="27"/>
        <v>462.65317999999996</v>
      </c>
      <c r="AM17" s="73">
        <f t="shared" si="11"/>
        <v>3.6000000000967702E-2</v>
      </c>
      <c r="AN17" s="74">
        <f t="shared" si="12"/>
        <v>0.51036899999999719</v>
      </c>
      <c r="AO17" s="74">
        <f t="shared" si="12"/>
        <v>0.55987000000004628</v>
      </c>
      <c r="AP17" s="75">
        <f t="shared" si="13"/>
        <v>4.4270945871129333E-3</v>
      </c>
      <c r="AQ17" s="76">
        <f t="shared" si="14"/>
        <v>396.66390892334596</v>
      </c>
      <c r="AR17" s="90">
        <f t="shared" si="15"/>
        <v>3.6000000000967702E-2</v>
      </c>
    </row>
    <row r="18" spans="1:48" x14ac:dyDescent="0.25">
      <c r="A18" t="str">
        <f t="shared" si="16"/>
        <v>46181M</v>
      </c>
      <c r="B18" s="51">
        <f t="shared" si="28"/>
        <v>46181</v>
      </c>
      <c r="C18" s="52" t="s">
        <v>87</v>
      </c>
      <c r="D18" s="91">
        <v>5683.7</v>
      </c>
      <c r="E18" s="62">
        <v>4.1100000000000003</v>
      </c>
      <c r="F18" s="62">
        <v>8.14</v>
      </c>
      <c r="G18" s="62">
        <f t="shared" si="17"/>
        <v>233.60007000000002</v>
      </c>
      <c r="H18" s="63">
        <f t="shared" si="18"/>
        <v>462.65317999999996</v>
      </c>
      <c r="I18" s="203">
        <v>1508.2</v>
      </c>
      <c r="J18" s="203">
        <v>1553.4460000000001</v>
      </c>
      <c r="K18" s="203">
        <v>4.7690359368783994</v>
      </c>
      <c r="L18" s="203">
        <v>8.2766277682005054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9"/>
        <v>1553.4460000000001</v>
      </c>
      <c r="S18" s="62">
        <f t="shared" si="20"/>
        <v>74.084398000000022</v>
      </c>
      <c r="T18" s="63">
        <f t="shared" si="21"/>
        <v>128.57294300000004</v>
      </c>
      <c r="U18" s="64" t="s">
        <v>246</v>
      </c>
      <c r="V18" s="65" t="s">
        <v>394</v>
      </c>
      <c r="W18" s="66" t="s">
        <v>189</v>
      </c>
      <c r="X18" s="67">
        <v>7400</v>
      </c>
      <c r="Y18" s="68">
        <v>4.3</v>
      </c>
      <c r="Z18" s="68">
        <v>8.1999999999999993</v>
      </c>
      <c r="AA18" s="62">
        <f t="shared" si="22"/>
        <v>318.2</v>
      </c>
      <c r="AB18" s="63">
        <f t="shared" si="23"/>
        <v>606.79999999999995</v>
      </c>
      <c r="AC18" s="69">
        <v>7390</v>
      </c>
      <c r="AD18" s="70">
        <v>4.25</v>
      </c>
      <c r="AE18" s="70">
        <v>8.07</v>
      </c>
      <c r="AF18" s="62">
        <f t="shared" si="24"/>
        <v>314.07500000000005</v>
      </c>
      <c r="AG18" s="62">
        <f t="shared" si="25"/>
        <v>596.37300000000005</v>
      </c>
      <c r="AH18" s="89">
        <v>0</v>
      </c>
      <c r="AI18" s="66">
        <v>0</v>
      </c>
      <c r="AJ18" s="66">
        <v>0</v>
      </c>
      <c r="AK18" s="62">
        <f t="shared" si="26"/>
        <v>0</v>
      </c>
      <c r="AL18" s="72">
        <f t="shared" si="27"/>
        <v>0</v>
      </c>
      <c r="AM18" s="73">
        <f t="shared" si="11"/>
        <v>-152.85400000000027</v>
      </c>
      <c r="AN18" s="74">
        <f t="shared" si="12"/>
        <v>-6.3905320000000074</v>
      </c>
      <c r="AO18" s="74">
        <f t="shared" si="12"/>
        <v>-5.1468770000000177</v>
      </c>
      <c r="AP18" s="75">
        <f t="shared" si="13"/>
        <v>-5.6930624585664634E-2</v>
      </c>
      <c r="AQ18" s="76">
        <f t="shared" si="14"/>
        <v>-4409.0967561666757</v>
      </c>
      <c r="AR18" s="90">
        <f>(D18+J18+O18)-(X18+AH18)</f>
        <v>-162.85400000000027</v>
      </c>
    </row>
    <row r="19" spans="1:48" x14ac:dyDescent="0.25">
      <c r="A19" t="str">
        <f t="shared" si="16"/>
        <v>46181E</v>
      </c>
      <c r="B19" s="51">
        <f t="shared" si="28"/>
        <v>46181</v>
      </c>
      <c r="C19" s="52" t="s">
        <v>88</v>
      </c>
      <c r="D19" s="91">
        <v>0</v>
      </c>
      <c r="E19" s="62">
        <v>0</v>
      </c>
      <c r="F19" s="62">
        <v>0</v>
      </c>
      <c r="G19" s="62">
        <f t="shared" si="17"/>
        <v>0</v>
      </c>
      <c r="H19" s="63">
        <f t="shared" si="18"/>
        <v>0</v>
      </c>
      <c r="I19" s="203">
        <v>2042.5</v>
      </c>
      <c r="J19" s="203">
        <v>2103.7750000000001</v>
      </c>
      <c r="K19" s="203">
        <v>3.9790746634026939</v>
      </c>
      <c r="L19" s="203">
        <v>8.1398531211750313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9"/>
        <v>2103.7750000000001</v>
      </c>
      <c r="S19" s="62">
        <f t="shared" si="20"/>
        <v>83.710778000000019</v>
      </c>
      <c r="T19" s="63">
        <f t="shared" si="21"/>
        <v>171.24419500000002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2"/>
        <v>0</v>
      </c>
      <c r="AB19" s="63">
        <f t="shared" si="23"/>
        <v>0</v>
      </c>
      <c r="AC19" s="69"/>
      <c r="AD19" s="70"/>
      <c r="AE19" s="70"/>
      <c r="AF19" s="62">
        <f t="shared" si="24"/>
        <v>0</v>
      </c>
      <c r="AG19" s="62">
        <f t="shared" si="25"/>
        <v>0</v>
      </c>
      <c r="AH19" s="89">
        <v>2103.6999999999998</v>
      </c>
      <c r="AI19" s="66">
        <v>3.98</v>
      </c>
      <c r="AJ19" s="66">
        <v>8.14</v>
      </c>
      <c r="AK19" s="62">
        <f t="shared" si="26"/>
        <v>83.727260000000001</v>
      </c>
      <c r="AL19" s="72">
        <f t="shared" si="27"/>
        <v>171.24117999999999</v>
      </c>
      <c r="AM19" s="73">
        <f t="shared" si="11"/>
        <v>7.5000000000272848E-2</v>
      </c>
      <c r="AN19" s="74">
        <f t="shared" si="12"/>
        <v>-1.6481999999982122E-2</v>
      </c>
      <c r="AO19" s="74">
        <f t="shared" si="12"/>
        <v>3.0150000000332966E-3</v>
      </c>
      <c r="AP19" s="75">
        <f t="shared" si="13"/>
        <v>-5.2821091667620944E-5</v>
      </c>
      <c r="AQ19" s="76">
        <f t="shared" si="14"/>
        <v>-6.4966255199820102</v>
      </c>
      <c r="AR19" s="90">
        <f>(D19+J19+O19)-(X19+AH19)</f>
        <v>7.5000000000272848E-2</v>
      </c>
    </row>
    <row r="20" spans="1:48" x14ac:dyDescent="0.25">
      <c r="A20" t="str">
        <f t="shared" si="16"/>
        <v>46182M</v>
      </c>
      <c r="B20" s="51">
        <f t="shared" si="28"/>
        <v>46182</v>
      </c>
      <c r="C20" s="52" t="s">
        <v>87</v>
      </c>
      <c r="D20" s="91">
        <v>2103.6999999999998</v>
      </c>
      <c r="E20" s="62">
        <v>3.98</v>
      </c>
      <c r="F20" s="62">
        <v>8.14</v>
      </c>
      <c r="G20" s="62">
        <f t="shared" si="17"/>
        <v>83.727260000000001</v>
      </c>
      <c r="H20" s="63">
        <f t="shared" si="18"/>
        <v>171.24117999999999</v>
      </c>
      <c r="I20" s="203">
        <v>1419</v>
      </c>
      <c r="J20" s="203">
        <v>1461.57</v>
      </c>
      <c r="K20" s="203">
        <v>4.6488301620859751</v>
      </c>
      <c r="L20" s="203">
        <v>8.2376814658210016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9"/>
        <v>1461.57</v>
      </c>
      <c r="S20" s="62">
        <f t="shared" si="20"/>
        <v>67.945906999999977</v>
      </c>
      <c r="T20" s="63">
        <f t="shared" si="21"/>
        <v>120.39948100000001</v>
      </c>
      <c r="U20" s="64" t="s">
        <v>187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2"/>
        <v>0</v>
      </c>
      <c r="AB20" s="63">
        <f t="shared" si="23"/>
        <v>0</v>
      </c>
      <c r="AC20" s="69"/>
      <c r="AD20" s="70"/>
      <c r="AE20" s="70"/>
      <c r="AF20" s="62">
        <f t="shared" si="24"/>
        <v>0</v>
      </c>
      <c r="AG20" s="62">
        <f t="shared" si="25"/>
        <v>0</v>
      </c>
      <c r="AH20" s="89">
        <v>3565.2</v>
      </c>
      <c r="AI20" s="66">
        <v>4.25</v>
      </c>
      <c r="AJ20" s="66">
        <v>8.18</v>
      </c>
      <c r="AK20" s="62">
        <f t="shared" si="26"/>
        <v>151.52100000000002</v>
      </c>
      <c r="AL20" s="72">
        <f t="shared" si="27"/>
        <v>291.63335999999998</v>
      </c>
      <c r="AM20" s="73">
        <f t="shared" si="11"/>
        <v>6.9999999999708962E-2</v>
      </c>
      <c r="AN20" s="74">
        <f t="shared" ref="AN20:AO65" si="29">+G20+S20-AF20-AK20</f>
        <v>0.15216699999996308</v>
      </c>
      <c r="AO20" s="74">
        <f t="shared" si="29"/>
        <v>7.3010000000408581E-3</v>
      </c>
      <c r="AP20" s="75">
        <f t="shared" si="13"/>
        <v>8.4667854994147215E-4</v>
      </c>
      <c r="AQ20" s="76">
        <f t="shared" si="14"/>
        <v>70.494282576662329</v>
      </c>
      <c r="AR20" s="90">
        <f>(D20+J20+O20)-(X20+AH20)</f>
        <v>6.9999999999708962E-2</v>
      </c>
    </row>
    <row r="21" spans="1:48" x14ac:dyDescent="0.25">
      <c r="A21" t="str">
        <f t="shared" si="16"/>
        <v>46182E</v>
      </c>
      <c r="B21" s="51">
        <f t="shared" si="28"/>
        <v>46182</v>
      </c>
      <c r="C21" s="52" t="s">
        <v>88</v>
      </c>
      <c r="D21" s="91">
        <v>3565.2</v>
      </c>
      <c r="E21" s="62">
        <v>4.25</v>
      </c>
      <c r="F21" s="62">
        <v>8.18</v>
      </c>
      <c r="G21" s="62">
        <f t="shared" si="17"/>
        <v>151.52100000000002</v>
      </c>
      <c r="H21" s="63">
        <f t="shared" si="18"/>
        <v>291.63335999999998</v>
      </c>
      <c r="I21" s="203">
        <v>2106.4999999999995</v>
      </c>
      <c r="J21" s="203">
        <v>2169.6949999999997</v>
      </c>
      <c r="K21" s="203">
        <v>3.9115594588179432</v>
      </c>
      <c r="L21" s="203">
        <v>8.1508093994778061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9"/>
        <v>2169.6949999999997</v>
      </c>
      <c r="S21" s="62">
        <f t="shared" si="20"/>
        <v>84.868909999999957</v>
      </c>
      <c r="T21" s="63">
        <f t="shared" si="21"/>
        <v>176.84770399999994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2"/>
        <v>0</v>
      </c>
      <c r="AB21" s="63">
        <f t="shared" si="23"/>
        <v>0</v>
      </c>
      <c r="AC21" s="69"/>
      <c r="AD21" s="70"/>
      <c r="AE21" s="70"/>
      <c r="AF21" s="62">
        <f t="shared" si="24"/>
        <v>0</v>
      </c>
      <c r="AG21" s="62">
        <f t="shared" si="25"/>
        <v>0</v>
      </c>
      <c r="AH21" s="89">
        <v>5734.8</v>
      </c>
      <c r="AI21" s="66">
        <v>4.12</v>
      </c>
      <c r="AJ21" s="66">
        <v>8.16</v>
      </c>
      <c r="AK21" s="62">
        <f t="shared" si="26"/>
        <v>236.27376000000001</v>
      </c>
      <c r="AL21" s="72">
        <f t="shared" si="27"/>
        <v>467.95968000000005</v>
      </c>
      <c r="AM21" s="73">
        <f t="shared" si="11"/>
        <v>9.4999999999345164E-2</v>
      </c>
      <c r="AN21" s="74">
        <f t="shared" si="29"/>
        <v>0.11614999999997622</v>
      </c>
      <c r="AO21" s="74">
        <f t="shared" si="29"/>
        <v>0.52138399999989815</v>
      </c>
      <c r="AP21" s="75">
        <f t="shared" si="13"/>
        <v>2.435970686980822E-3</v>
      </c>
      <c r="AQ21" s="76">
        <f t="shared" si="14"/>
        <v>208.1772241266255</v>
      </c>
      <c r="AR21" s="90">
        <f>(D21+J21+O21)-(X21+AH21)</f>
        <v>9.4999999999345164E-2</v>
      </c>
    </row>
    <row r="22" spans="1:48" x14ac:dyDescent="0.25">
      <c r="A22" t="str">
        <f t="shared" si="16"/>
        <v>46183M</v>
      </c>
      <c r="B22" s="51">
        <f t="shared" si="28"/>
        <v>46183</v>
      </c>
      <c r="C22" s="52" t="s">
        <v>87</v>
      </c>
      <c r="D22" s="91">
        <v>5734.8</v>
      </c>
      <c r="E22" s="62">
        <v>4.12</v>
      </c>
      <c r="F22" s="62">
        <v>8.16</v>
      </c>
      <c r="G22" s="62">
        <f t="shared" si="17"/>
        <v>236.27376000000001</v>
      </c>
      <c r="H22" s="63">
        <f t="shared" si="18"/>
        <v>467.95968000000005</v>
      </c>
      <c r="I22" s="203">
        <v>1397.3</v>
      </c>
      <c r="J22" s="203">
        <v>1439.2190000000001</v>
      </c>
      <c r="K22" s="203">
        <v>4.8060760037214632</v>
      </c>
      <c r="L22" s="203">
        <v>8.2810921062048219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9"/>
        <v>1439.2190000000001</v>
      </c>
      <c r="S22" s="62">
        <f t="shared" si="20"/>
        <v>69.169959000000006</v>
      </c>
      <c r="T22" s="63">
        <f t="shared" si="21"/>
        <v>119.18305099999999</v>
      </c>
      <c r="U22" s="64" t="s">
        <v>256</v>
      </c>
      <c r="V22" s="65" t="s">
        <v>480</v>
      </c>
      <c r="W22" s="66" t="s">
        <v>262</v>
      </c>
      <c r="X22" s="67">
        <v>7320</v>
      </c>
      <c r="Y22" s="68">
        <v>4.4000000000000004</v>
      </c>
      <c r="Z22" s="68">
        <v>8.2899999999999991</v>
      </c>
      <c r="AA22" s="62">
        <f t="shared" si="22"/>
        <v>322.08000000000004</v>
      </c>
      <c r="AB22" s="63">
        <f t="shared" si="23"/>
        <v>606.82799999999986</v>
      </c>
      <c r="AC22" s="69">
        <v>7280</v>
      </c>
      <c r="AD22" s="70">
        <v>4.3</v>
      </c>
      <c r="AE22" s="70">
        <v>8</v>
      </c>
      <c r="AF22" s="62">
        <f t="shared" si="24"/>
        <v>313.03999999999996</v>
      </c>
      <c r="AG22" s="62">
        <f t="shared" si="25"/>
        <v>582.4</v>
      </c>
      <c r="AH22" s="89">
        <v>0</v>
      </c>
      <c r="AI22" s="66">
        <v>0</v>
      </c>
      <c r="AJ22" s="66">
        <v>0</v>
      </c>
      <c r="AK22" s="62">
        <f t="shared" si="26"/>
        <v>0</v>
      </c>
      <c r="AL22" s="72">
        <f t="shared" si="27"/>
        <v>0</v>
      </c>
      <c r="AM22" s="73">
        <f t="shared" si="11"/>
        <v>-105.98099999999977</v>
      </c>
      <c r="AN22" s="74">
        <f t="shared" si="29"/>
        <v>-7.5962809999999763</v>
      </c>
      <c r="AO22" s="74">
        <f t="shared" si="29"/>
        <v>4.7427310000000489</v>
      </c>
      <c r="AP22" s="75">
        <f t="shared" si="13"/>
        <v>-1.5150010079477506E-2</v>
      </c>
      <c r="AQ22" s="76">
        <f t="shared" si="14"/>
        <v>-1990.6735882366413</v>
      </c>
      <c r="AR22" s="90">
        <f t="shared" si="15"/>
        <v>-145.98099999999977</v>
      </c>
      <c r="AT22" s="83"/>
      <c r="AU22" s="83"/>
    </row>
    <row r="23" spans="1:48" x14ac:dyDescent="0.25">
      <c r="A23" t="str">
        <f t="shared" si="16"/>
        <v>46183E</v>
      </c>
      <c r="B23" s="51">
        <f t="shared" si="28"/>
        <v>46183</v>
      </c>
      <c r="C23" s="52" t="s">
        <v>88</v>
      </c>
      <c r="D23" s="91">
        <v>0</v>
      </c>
      <c r="E23" s="62">
        <v>0</v>
      </c>
      <c r="F23" s="62">
        <v>0</v>
      </c>
      <c r="G23" s="62">
        <f t="shared" si="17"/>
        <v>0</v>
      </c>
      <c r="H23" s="63">
        <f t="shared" si="18"/>
        <v>0</v>
      </c>
      <c r="I23" s="203">
        <v>2158.4</v>
      </c>
      <c r="J23" s="203">
        <v>2223.152</v>
      </c>
      <c r="K23" s="203">
        <v>3.8544987027427715</v>
      </c>
      <c r="L23" s="203">
        <v>8.2739390289103021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9"/>
        <v>2223.152</v>
      </c>
      <c r="S23" s="62">
        <f t="shared" si="20"/>
        <v>85.691364999999976</v>
      </c>
      <c r="T23" s="63">
        <f t="shared" si="21"/>
        <v>183.94224099999994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22"/>
        <v>0</v>
      </c>
      <c r="AB23" s="63">
        <f t="shared" si="23"/>
        <v>0</v>
      </c>
      <c r="AC23" s="69"/>
      <c r="AD23" s="70"/>
      <c r="AE23" s="70"/>
      <c r="AF23" s="62">
        <f t="shared" si="24"/>
        <v>0</v>
      </c>
      <c r="AG23" s="62">
        <f t="shared" si="25"/>
        <v>0</v>
      </c>
      <c r="AH23" s="89">
        <v>2223.1</v>
      </c>
      <c r="AI23" s="66">
        <v>3.85</v>
      </c>
      <c r="AJ23" s="66">
        <v>8.27</v>
      </c>
      <c r="AK23" s="62">
        <f t="shared" si="26"/>
        <v>85.589349999999996</v>
      </c>
      <c r="AL23" s="72">
        <f t="shared" si="27"/>
        <v>183.85036999999997</v>
      </c>
      <c r="AM23" s="73">
        <f t="shared" si="11"/>
        <v>5.2000000000134605E-2</v>
      </c>
      <c r="AN23" s="74">
        <f t="shared" si="29"/>
        <v>0.1020149999999802</v>
      </c>
      <c r="AO23" s="74">
        <f t="shared" si="29"/>
        <v>9.1870999999969172E-2</v>
      </c>
      <c r="AP23" s="75">
        <f t="shared" si="13"/>
        <v>7.1907208777213555E-4</v>
      </c>
      <c r="AQ23" s="76">
        <f t="shared" si="14"/>
        <v>73.290094056648556</v>
      </c>
      <c r="AR23" s="90">
        <f t="shared" si="15"/>
        <v>5.2000000000134605E-2</v>
      </c>
      <c r="AU23" s="83"/>
    </row>
    <row r="24" spans="1:48" x14ac:dyDescent="0.25">
      <c r="A24" t="str">
        <f t="shared" si="16"/>
        <v>46184M</v>
      </c>
      <c r="B24" s="51">
        <f t="shared" si="28"/>
        <v>46184</v>
      </c>
      <c r="C24" s="52" t="s">
        <v>87</v>
      </c>
      <c r="D24" s="91">
        <v>2223.1</v>
      </c>
      <c r="E24" s="62">
        <v>3.85</v>
      </c>
      <c r="F24" s="62">
        <v>8.27</v>
      </c>
      <c r="G24" s="62">
        <f t="shared" si="17"/>
        <v>85.589349999999996</v>
      </c>
      <c r="H24" s="63">
        <f t="shared" si="18"/>
        <v>183.85036999999997</v>
      </c>
      <c r="I24" s="203">
        <v>1425.4</v>
      </c>
      <c r="J24" s="203">
        <v>1468.162</v>
      </c>
      <c r="K24" s="203">
        <v>4.5986109162340414</v>
      </c>
      <c r="L24" s="203">
        <v>8.456257892521398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9"/>
        <v>1468.162</v>
      </c>
      <c r="S24" s="62">
        <f t="shared" si="20"/>
        <v>67.515058000000025</v>
      </c>
      <c r="T24" s="63">
        <f t="shared" si="21"/>
        <v>124.15156500000001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22"/>
        <v>0</v>
      </c>
      <c r="AB24" s="63">
        <f t="shared" si="23"/>
        <v>0</v>
      </c>
      <c r="AC24" s="69"/>
      <c r="AD24" s="70"/>
      <c r="AE24" s="70"/>
      <c r="AF24" s="62">
        <f t="shared" si="24"/>
        <v>0</v>
      </c>
      <c r="AG24" s="62">
        <f t="shared" si="25"/>
        <v>0</v>
      </c>
      <c r="AH24" s="89">
        <v>3691.2</v>
      </c>
      <c r="AI24" s="66">
        <v>4.1399999999999997</v>
      </c>
      <c r="AJ24" s="66">
        <v>8.34</v>
      </c>
      <c r="AK24" s="62">
        <f t="shared" si="26"/>
        <v>152.81567999999999</v>
      </c>
      <c r="AL24" s="72">
        <f t="shared" si="27"/>
        <v>307.84607999999997</v>
      </c>
      <c r="AM24" s="73">
        <f t="shared" si="11"/>
        <v>6.1999999999898137E-2</v>
      </c>
      <c r="AN24" s="74">
        <f t="shared" si="29"/>
        <v>0.28872800000004872</v>
      </c>
      <c r="AO24" s="74">
        <f t="shared" si="29"/>
        <v>0.15585500000003094</v>
      </c>
      <c r="AP24" s="75">
        <f t="shared" si="13"/>
        <v>2.3195640067184761E-3</v>
      </c>
      <c r="AQ24" s="76">
        <f t="shared" si="14"/>
        <v>176.2561318466978</v>
      </c>
      <c r="AR24" s="90">
        <f t="shared" si="15"/>
        <v>6.1999999999898137E-2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28"/>
        <v>46184</v>
      </c>
      <c r="C25" s="52" t="s">
        <v>88</v>
      </c>
      <c r="D25" s="91">
        <v>3691.2</v>
      </c>
      <c r="E25" s="62">
        <v>4.1399999999999997</v>
      </c>
      <c r="F25" s="62">
        <v>8.34</v>
      </c>
      <c r="G25" s="62">
        <f t="shared" si="17"/>
        <v>152.81567999999999</v>
      </c>
      <c r="H25" s="63">
        <f t="shared" si="18"/>
        <v>307.84607999999997</v>
      </c>
      <c r="I25" s="203">
        <v>2027.6</v>
      </c>
      <c r="J25" s="203">
        <v>2088.4279999999999</v>
      </c>
      <c r="K25" s="203">
        <v>3.9187660288025254</v>
      </c>
      <c r="L25" s="203">
        <v>8.354808640757545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9"/>
        <v>2088.4279999999999</v>
      </c>
      <c r="S25" s="62">
        <f t="shared" si="20"/>
        <v>81.840607000000006</v>
      </c>
      <c r="T25" s="63">
        <f t="shared" si="21"/>
        <v>174.48416299999997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2"/>
        <v>0</v>
      </c>
      <c r="AB25" s="63">
        <f t="shared" si="23"/>
        <v>0</v>
      </c>
      <c r="AC25" s="69"/>
      <c r="AD25" s="70"/>
      <c r="AE25" s="70"/>
      <c r="AF25" s="62">
        <f t="shared" si="24"/>
        <v>0</v>
      </c>
      <c r="AG25" s="62">
        <f t="shared" si="25"/>
        <v>0</v>
      </c>
      <c r="AH25" s="89">
        <v>5779.6</v>
      </c>
      <c r="AI25" s="66">
        <v>4.0599999999999996</v>
      </c>
      <c r="AJ25" s="66">
        <v>8.34</v>
      </c>
      <c r="AK25" s="62">
        <f t="shared" si="26"/>
        <v>234.65176</v>
      </c>
      <c r="AL25" s="72">
        <f t="shared" si="27"/>
        <v>482.01864000000006</v>
      </c>
      <c r="AM25" s="73">
        <f t="shared" si="11"/>
        <v>2.7999999999337888E-2</v>
      </c>
      <c r="AN25" s="74">
        <f t="shared" si="29"/>
        <v>4.5269999999959509E-3</v>
      </c>
      <c r="AO25" s="74">
        <f t="shared" si="29"/>
        <v>0.31160299999987728</v>
      </c>
      <c r="AP25" s="75">
        <f t="shared" si="13"/>
        <v>1.233318184582291E-3</v>
      </c>
      <c r="AQ25" s="76">
        <f t="shared" si="14"/>
        <v>95.286684056628133</v>
      </c>
      <c r="AR25" s="90">
        <f t="shared" si="15"/>
        <v>2.7999999999337888E-2</v>
      </c>
    </row>
    <row r="26" spans="1:48" x14ac:dyDescent="0.25">
      <c r="A26" t="str">
        <f t="shared" si="16"/>
        <v>46185M</v>
      </c>
      <c r="B26" s="51">
        <f t="shared" si="28"/>
        <v>46185</v>
      </c>
      <c r="C26" s="52" t="s">
        <v>87</v>
      </c>
      <c r="D26" s="91">
        <v>5779.6</v>
      </c>
      <c r="E26" s="62">
        <v>4.0599999999999996</v>
      </c>
      <c r="F26" s="62">
        <v>8.34</v>
      </c>
      <c r="G26" s="62">
        <f t="shared" si="17"/>
        <v>234.65176</v>
      </c>
      <c r="H26" s="63">
        <f t="shared" si="18"/>
        <v>482.01864000000006</v>
      </c>
      <c r="I26" s="203">
        <v>1459.9999999999995</v>
      </c>
      <c r="J26" s="203">
        <v>1503.7999999999995</v>
      </c>
      <c r="K26" s="203">
        <v>4.498609589041096</v>
      </c>
      <c r="L26" s="203">
        <v>8.4291917808219186</v>
      </c>
      <c r="M26" s="57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9"/>
        <v>1503.7999999999995</v>
      </c>
      <c r="S26" s="62">
        <f t="shared" si="20"/>
        <v>67.650090999999975</v>
      </c>
      <c r="T26" s="63">
        <f t="shared" si="21"/>
        <v>126.75818599999997</v>
      </c>
      <c r="U26" s="64" t="s">
        <v>256</v>
      </c>
      <c r="V26" s="65" t="s">
        <v>522</v>
      </c>
      <c r="W26" s="66" t="s">
        <v>262</v>
      </c>
      <c r="X26" s="67">
        <v>7370</v>
      </c>
      <c r="Y26" s="68">
        <v>4.25</v>
      </c>
      <c r="Z26" s="68">
        <v>8.26</v>
      </c>
      <c r="AA26" s="62">
        <f t="shared" si="22"/>
        <v>313.22500000000002</v>
      </c>
      <c r="AB26" s="63">
        <f t="shared" si="23"/>
        <v>608.76199999999994</v>
      </c>
      <c r="AC26" s="69">
        <v>7350</v>
      </c>
      <c r="AD26" s="70">
        <v>4.2</v>
      </c>
      <c r="AE26" s="70">
        <v>8</v>
      </c>
      <c r="AF26" s="62">
        <f t="shared" si="24"/>
        <v>308.70000000000005</v>
      </c>
      <c r="AG26" s="62">
        <f t="shared" si="25"/>
        <v>588</v>
      </c>
      <c r="AH26" s="89">
        <v>0</v>
      </c>
      <c r="AI26" s="66">
        <v>0</v>
      </c>
      <c r="AJ26" s="66">
        <v>0</v>
      </c>
      <c r="AK26" s="62">
        <f t="shared" si="26"/>
        <v>0</v>
      </c>
      <c r="AL26" s="72">
        <f t="shared" si="27"/>
        <v>0</v>
      </c>
      <c r="AM26" s="73">
        <f t="shared" si="11"/>
        <v>-66.600000000000364</v>
      </c>
      <c r="AN26" s="74">
        <f t="shared" si="29"/>
        <v>-6.3981490000001031</v>
      </c>
      <c r="AO26" s="74">
        <f t="shared" si="29"/>
        <v>20.776826000000028</v>
      </c>
      <c r="AP26" s="75">
        <f t="shared" si="13"/>
        <v>7.396123880054721E-2</v>
      </c>
      <c r="AQ26" s="76">
        <f t="shared" si="14"/>
        <v>3345.7569055166296</v>
      </c>
      <c r="AR26" s="90">
        <f t="shared" si="15"/>
        <v>-86.600000000000364</v>
      </c>
    </row>
    <row r="27" spans="1:48" x14ac:dyDescent="0.25">
      <c r="A27" t="str">
        <f t="shared" si="16"/>
        <v>46185E</v>
      </c>
      <c r="B27" s="51">
        <f t="shared" si="28"/>
        <v>46185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17"/>
        <v>0</v>
      </c>
      <c r="H27" s="63">
        <f t="shared" si="18"/>
        <v>0</v>
      </c>
      <c r="I27" s="203">
        <v>2301.5</v>
      </c>
      <c r="J27" s="203">
        <v>2370.5450000000001</v>
      </c>
      <c r="K27" s="203">
        <v>3.8283814903323923</v>
      </c>
      <c r="L27" s="203">
        <v>8.3199044101672825</v>
      </c>
      <c r="M27" s="57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9"/>
        <v>2370.5450000000001</v>
      </c>
      <c r="S27" s="62">
        <f t="shared" si="20"/>
        <v>90.753506000000016</v>
      </c>
      <c r="T27" s="63">
        <f t="shared" si="21"/>
        <v>197.22707800000001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22"/>
        <v>0</v>
      </c>
      <c r="AB27" s="63">
        <f t="shared" si="23"/>
        <v>0</v>
      </c>
      <c r="AC27" s="69"/>
      <c r="AD27" s="70"/>
      <c r="AE27" s="70"/>
      <c r="AF27" s="62">
        <f t="shared" si="24"/>
        <v>0</v>
      </c>
      <c r="AG27" s="62">
        <f t="shared" si="25"/>
        <v>0</v>
      </c>
      <c r="AH27" s="89">
        <v>2370.5</v>
      </c>
      <c r="AI27" s="66">
        <v>3.83</v>
      </c>
      <c r="AJ27" s="66">
        <v>8.32</v>
      </c>
      <c r="AK27" s="62">
        <f t="shared" si="26"/>
        <v>90.790149999999997</v>
      </c>
      <c r="AL27" s="72">
        <f t="shared" si="27"/>
        <v>197.22559999999999</v>
      </c>
      <c r="AM27" s="73">
        <f t="shared" si="11"/>
        <v>4.500000000007276E-2</v>
      </c>
      <c r="AN27" s="74">
        <f t="shared" si="29"/>
        <v>-3.6643999999981247E-2</v>
      </c>
      <c r="AO27" s="74">
        <f t="shared" si="29"/>
        <v>1.4780000000200744E-3</v>
      </c>
      <c r="AP27" s="75">
        <f t="shared" si="13"/>
        <v>-1.2211239907743631E-4</v>
      </c>
      <c r="AQ27" s="76">
        <f t="shared" si="14"/>
        <v>-16.007532053318908</v>
      </c>
      <c r="AR27" s="90">
        <f t="shared" si="15"/>
        <v>4.500000000007276E-2</v>
      </c>
    </row>
    <row r="28" spans="1:48" x14ac:dyDescent="0.25">
      <c r="A28" t="str">
        <f t="shared" si="16"/>
        <v>46186M</v>
      </c>
      <c r="B28" s="51">
        <f t="shared" si="28"/>
        <v>46186</v>
      </c>
      <c r="C28" s="52" t="s">
        <v>87</v>
      </c>
      <c r="D28" s="91">
        <v>2370.5</v>
      </c>
      <c r="E28" s="62">
        <v>3.83</v>
      </c>
      <c r="F28" s="62">
        <v>8.32</v>
      </c>
      <c r="G28" s="62">
        <f t="shared" si="17"/>
        <v>90.790149999999997</v>
      </c>
      <c r="H28" s="63">
        <f t="shared" si="18"/>
        <v>197.22559999999999</v>
      </c>
      <c r="I28" s="203">
        <v>1692.2999999999997</v>
      </c>
      <c r="J28" s="203">
        <v>1743.0689999999997</v>
      </c>
      <c r="K28" s="203">
        <v>4.5259173905335945</v>
      </c>
      <c r="L28" s="203">
        <v>8.4089464043018403</v>
      </c>
      <c r="M28" s="57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9"/>
        <v>1743.0689999999997</v>
      </c>
      <c r="S28" s="62">
        <f t="shared" si="20"/>
        <v>78.889863000000005</v>
      </c>
      <c r="T28" s="63">
        <f t="shared" si="21"/>
        <v>146.57373800000002</v>
      </c>
      <c r="U28" s="64" t="s">
        <v>246</v>
      </c>
      <c r="V28" s="65" t="s">
        <v>523</v>
      </c>
      <c r="W28" s="66" t="s">
        <v>189</v>
      </c>
      <c r="X28" s="67">
        <v>4160</v>
      </c>
      <c r="Y28" s="68">
        <v>4.3</v>
      </c>
      <c r="Z28" s="68">
        <v>8.1999999999999993</v>
      </c>
      <c r="AA28" s="62">
        <f t="shared" si="22"/>
        <v>178.88</v>
      </c>
      <c r="AB28" s="63">
        <f t="shared" si="23"/>
        <v>341.11999999999995</v>
      </c>
      <c r="AC28" s="69">
        <v>4150</v>
      </c>
      <c r="AD28" s="70">
        <v>4.4650602409638562</v>
      </c>
      <c r="AE28" s="70">
        <v>8.1132289156626527</v>
      </c>
      <c r="AF28" s="62">
        <f t="shared" si="24"/>
        <v>185.30000000000004</v>
      </c>
      <c r="AG28" s="62">
        <f t="shared" si="25"/>
        <v>336.69900000000007</v>
      </c>
      <c r="AH28" s="89">
        <v>0</v>
      </c>
      <c r="AI28" s="66">
        <v>0</v>
      </c>
      <c r="AJ28" s="66">
        <v>0</v>
      </c>
      <c r="AK28" s="62">
        <f t="shared" si="26"/>
        <v>0</v>
      </c>
      <c r="AL28" s="72">
        <f t="shared" si="27"/>
        <v>0</v>
      </c>
      <c r="AM28" s="73">
        <f t="shared" si="11"/>
        <v>-36.431000000000495</v>
      </c>
      <c r="AN28" s="74">
        <f t="shared" si="29"/>
        <v>-15.619987000000037</v>
      </c>
      <c r="AO28" s="74">
        <f t="shared" si="29"/>
        <v>7.1003379999999652</v>
      </c>
      <c r="AP28" s="75">
        <f t="shared" si="13"/>
        <v>-3.7787247973565675E-2</v>
      </c>
      <c r="AQ28" s="76">
        <f t="shared" si="14"/>
        <v>-4887.0265431166945</v>
      </c>
      <c r="AR28" s="90">
        <f t="shared" si="15"/>
        <v>-46.431000000000495</v>
      </c>
    </row>
    <row r="29" spans="1:48" x14ac:dyDescent="0.25">
      <c r="A29" t="str">
        <f t="shared" si="16"/>
        <v>46186E</v>
      </c>
      <c r="B29" s="51">
        <f t="shared" si="28"/>
        <v>46186</v>
      </c>
      <c r="C29" s="52" t="s">
        <v>88</v>
      </c>
      <c r="D29" s="91">
        <v>0</v>
      </c>
      <c r="E29" s="62">
        <v>0</v>
      </c>
      <c r="F29" s="62">
        <v>0</v>
      </c>
      <c r="G29" s="62">
        <f t="shared" si="17"/>
        <v>0</v>
      </c>
      <c r="H29" s="63">
        <f t="shared" si="18"/>
        <v>0</v>
      </c>
      <c r="I29" s="203">
        <v>2219.3000000000006</v>
      </c>
      <c r="J29" s="203">
        <v>2285.8790000000008</v>
      </c>
      <c r="K29" s="203">
        <v>3.745284549182176</v>
      </c>
      <c r="L29" s="203">
        <v>8.2714369395755405</v>
      </c>
      <c r="M29" s="57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9"/>
        <v>2285.8790000000008</v>
      </c>
      <c r="S29" s="62">
        <f t="shared" si="20"/>
        <v>85.612673000000072</v>
      </c>
      <c r="T29" s="63">
        <f t="shared" si="21"/>
        <v>189.07504000000006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22"/>
        <v>0</v>
      </c>
      <c r="AB29" s="63">
        <f t="shared" si="23"/>
        <v>0</v>
      </c>
      <c r="AC29" s="69"/>
      <c r="AD29" s="70"/>
      <c r="AE29" s="70"/>
      <c r="AF29" s="62">
        <f t="shared" si="24"/>
        <v>0</v>
      </c>
      <c r="AG29" s="62">
        <f t="shared" si="25"/>
        <v>0</v>
      </c>
      <c r="AH29" s="89">
        <v>2285.8000000000002</v>
      </c>
      <c r="AI29" s="66">
        <v>3.75</v>
      </c>
      <c r="AJ29" s="66">
        <v>8.24</v>
      </c>
      <c r="AK29" s="62">
        <f t="shared" si="26"/>
        <v>85.717500000000001</v>
      </c>
      <c r="AL29" s="72">
        <f t="shared" si="27"/>
        <v>188.34992000000003</v>
      </c>
      <c r="AM29" s="73">
        <f t="shared" si="11"/>
        <v>7.9000000000633008E-2</v>
      </c>
      <c r="AN29" s="74">
        <f t="shared" si="29"/>
        <v>-0.10482699999992917</v>
      </c>
      <c r="AO29" s="74">
        <f t="shared" si="29"/>
        <v>0.72512000000003241</v>
      </c>
      <c r="AP29" s="75">
        <f t="shared" si="13"/>
        <v>2.2581752682913157E-3</v>
      </c>
      <c r="AQ29" s="76">
        <f t="shared" si="14"/>
        <v>169.95119089670817</v>
      </c>
      <c r="AR29" s="90">
        <f t="shared" si="15"/>
        <v>7.9000000000633008E-2</v>
      </c>
    </row>
    <row r="30" spans="1:48" x14ac:dyDescent="0.25">
      <c r="A30" t="str">
        <f t="shared" si="16"/>
        <v>46187M</v>
      </c>
      <c r="B30" s="51">
        <f t="shared" si="28"/>
        <v>46187</v>
      </c>
      <c r="C30" s="52" t="s">
        <v>87</v>
      </c>
      <c r="D30" s="91">
        <v>2285.8000000000002</v>
      </c>
      <c r="E30" s="62">
        <v>3.75</v>
      </c>
      <c r="F30" s="62">
        <v>8.24</v>
      </c>
      <c r="G30" s="62">
        <f t="shared" si="17"/>
        <v>85.717500000000001</v>
      </c>
      <c r="H30" s="63">
        <f t="shared" si="18"/>
        <v>188.34992000000003</v>
      </c>
      <c r="I30" s="203">
        <v>1343.7000000000003</v>
      </c>
      <c r="J30" s="203">
        <v>1384.0110000000004</v>
      </c>
      <c r="K30" s="203">
        <v>4.670477041006178</v>
      </c>
      <c r="L30" s="203">
        <v>8.4514102850338606</v>
      </c>
      <c r="M30" s="57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9"/>
        <v>1384.0110000000004</v>
      </c>
      <c r="S30" s="62">
        <f t="shared" si="20"/>
        <v>64.639916000000042</v>
      </c>
      <c r="T30" s="63">
        <f t="shared" si="21"/>
        <v>116.96844800000002</v>
      </c>
      <c r="U30" s="64" t="s">
        <v>256</v>
      </c>
      <c r="V30" s="65" t="s">
        <v>524</v>
      </c>
      <c r="W30" s="66" t="s">
        <v>225</v>
      </c>
      <c r="X30" s="67">
        <v>2950</v>
      </c>
      <c r="Y30" s="68">
        <v>4.25</v>
      </c>
      <c r="Z30" s="68">
        <v>8.14</v>
      </c>
      <c r="AA30" s="62">
        <f t="shared" si="22"/>
        <v>125.37500000000001</v>
      </c>
      <c r="AB30" s="63">
        <f t="shared" si="23"/>
        <v>240.13</v>
      </c>
      <c r="AC30" s="69">
        <v>2950</v>
      </c>
      <c r="AD30" s="70">
        <v>3.9576271186440701</v>
      </c>
      <c r="AE30" s="70">
        <v>8.1211864406779668</v>
      </c>
      <c r="AF30" s="62">
        <f t="shared" si="24"/>
        <v>116.75000000000006</v>
      </c>
      <c r="AG30" s="62">
        <f t="shared" si="25"/>
        <v>239.57500000000005</v>
      </c>
      <c r="AH30" s="89">
        <v>719.8</v>
      </c>
      <c r="AI30" s="66">
        <v>4.09</v>
      </c>
      <c r="AJ30" s="66">
        <v>8.31</v>
      </c>
      <c r="AK30" s="62">
        <f t="shared" si="26"/>
        <v>29.439819999999997</v>
      </c>
      <c r="AL30" s="72">
        <f t="shared" si="27"/>
        <v>59.815380000000005</v>
      </c>
      <c r="AM30" s="73">
        <f t="shared" si="11"/>
        <v>1.1000000000649379E-2</v>
      </c>
      <c r="AN30" s="74">
        <f t="shared" si="29"/>
        <v>4.1675960000000032</v>
      </c>
      <c r="AO30" s="74">
        <f t="shared" si="29"/>
        <v>5.9279880000000276</v>
      </c>
      <c r="AP30" s="75">
        <f t="shared" si="13"/>
        <v>5.5589862590249575E-2</v>
      </c>
      <c r="AQ30" s="76">
        <f t="shared" si="14"/>
        <v>3644.9642490800097</v>
      </c>
      <c r="AR30" s="90">
        <f t="shared" si="15"/>
        <v>1.1000000000422006E-2</v>
      </c>
    </row>
    <row r="31" spans="1:48" x14ac:dyDescent="0.25">
      <c r="A31" t="str">
        <f t="shared" si="16"/>
        <v>46187E</v>
      </c>
      <c r="B31" s="51">
        <f t="shared" si="28"/>
        <v>46187</v>
      </c>
      <c r="C31" s="52" t="s">
        <v>88</v>
      </c>
      <c r="D31" s="91">
        <v>719.8</v>
      </c>
      <c r="E31" s="62">
        <v>4.09</v>
      </c>
      <c r="F31" s="62">
        <v>8.31</v>
      </c>
      <c r="G31" s="62">
        <f t="shared" si="17"/>
        <v>29.439819999999997</v>
      </c>
      <c r="H31" s="63">
        <f t="shared" si="18"/>
        <v>59.815380000000005</v>
      </c>
      <c r="I31" s="203">
        <v>2225.0000000000005</v>
      </c>
      <c r="J31" s="203">
        <v>2291.7500000000005</v>
      </c>
      <c r="K31" s="203">
        <v>3.8624674157303382</v>
      </c>
      <c r="L31" s="203">
        <v>8.244624719101127</v>
      </c>
      <c r="M31" s="57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9"/>
        <v>2291.7500000000005</v>
      </c>
      <c r="S31" s="62">
        <f t="shared" si="20"/>
        <v>88.51809700000004</v>
      </c>
      <c r="T31" s="63">
        <f t="shared" si="21"/>
        <v>188.94618700000012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22"/>
        <v>0</v>
      </c>
      <c r="AB31" s="63">
        <f t="shared" si="23"/>
        <v>0</v>
      </c>
      <c r="AC31" s="69"/>
      <c r="AD31" s="70"/>
      <c r="AE31" s="70"/>
      <c r="AF31" s="62">
        <f t="shared" si="24"/>
        <v>0</v>
      </c>
      <c r="AG31" s="62">
        <f t="shared" si="25"/>
        <v>0</v>
      </c>
      <c r="AH31" s="89">
        <v>3115</v>
      </c>
      <c r="AI31" s="66">
        <v>3.91</v>
      </c>
      <c r="AJ31" s="66">
        <v>8.25</v>
      </c>
      <c r="AK31" s="62">
        <f t="shared" si="26"/>
        <v>121.79650000000001</v>
      </c>
      <c r="AL31" s="72">
        <f t="shared" si="27"/>
        <v>256.98750000000001</v>
      </c>
      <c r="AM31" s="73">
        <f t="shared" si="11"/>
        <v>-103.44999999999982</v>
      </c>
      <c r="AN31" s="74">
        <f t="shared" si="29"/>
        <v>-3.8385829999999714</v>
      </c>
      <c r="AO31" s="74">
        <f t="shared" si="29"/>
        <v>-8.225932999999884</v>
      </c>
      <c r="AP31" s="75">
        <f t="shared" si="13"/>
        <v>-4.3481329654665932E-2</v>
      </c>
      <c r="AQ31" s="76">
        <f t="shared" si="14"/>
        <v>-4184.9806832166196</v>
      </c>
      <c r="AR31" s="90">
        <f t="shared" si="15"/>
        <v>-103.44999999999982</v>
      </c>
    </row>
    <row r="32" spans="1:48" x14ac:dyDescent="0.25">
      <c r="A32" t="str">
        <f t="shared" si="16"/>
        <v>46188M</v>
      </c>
      <c r="B32" s="51">
        <f t="shared" si="28"/>
        <v>46188</v>
      </c>
      <c r="C32" s="52" t="s">
        <v>87</v>
      </c>
      <c r="D32" s="91">
        <v>3115</v>
      </c>
      <c r="E32" s="62">
        <v>3.91</v>
      </c>
      <c r="F32" s="62">
        <v>8.25</v>
      </c>
      <c r="G32" s="62">
        <f t="shared" si="17"/>
        <v>121.79650000000001</v>
      </c>
      <c r="H32" s="63">
        <f t="shared" si="18"/>
        <v>256.98750000000001</v>
      </c>
      <c r="I32" s="203">
        <v>1350.5000000000002</v>
      </c>
      <c r="J32" s="203">
        <v>1391.0150000000003</v>
      </c>
      <c r="K32" s="203">
        <v>4.7521214365049982</v>
      </c>
      <c r="L32" s="203">
        <v>8.4750240651610529</v>
      </c>
      <c r="M32" s="57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9"/>
        <v>1391.0150000000003</v>
      </c>
      <c r="S32" s="62">
        <f t="shared" si="20"/>
        <v>66.102722000000014</v>
      </c>
      <c r="T32" s="63">
        <f t="shared" si="21"/>
        <v>117.88885600000006</v>
      </c>
      <c r="U32" s="64" t="s">
        <v>256</v>
      </c>
      <c r="V32" s="65" t="s">
        <v>587</v>
      </c>
      <c r="W32" s="66" t="s">
        <v>225</v>
      </c>
      <c r="X32" s="67">
        <v>4555</v>
      </c>
      <c r="Y32" s="68">
        <v>4.3499999999999996</v>
      </c>
      <c r="Z32" s="68">
        <v>8.2100000000000009</v>
      </c>
      <c r="AA32" s="62">
        <f t="shared" si="22"/>
        <v>198.14249999999998</v>
      </c>
      <c r="AB32" s="63">
        <f t="shared" si="23"/>
        <v>373.96550000000002</v>
      </c>
      <c r="AC32" s="69">
        <v>4530</v>
      </c>
      <c r="AD32" s="70">
        <v>4.2533112582781456</v>
      </c>
      <c r="AE32" s="70">
        <v>8.0092715231788087</v>
      </c>
      <c r="AF32" s="62">
        <f t="shared" si="24"/>
        <v>192.67499999999998</v>
      </c>
      <c r="AG32" s="62">
        <f t="shared" si="25"/>
        <v>362.82</v>
      </c>
      <c r="AH32" s="89">
        <v>0</v>
      </c>
      <c r="AI32" s="66">
        <v>0</v>
      </c>
      <c r="AJ32" s="66">
        <v>0</v>
      </c>
      <c r="AK32" s="62">
        <f t="shared" si="26"/>
        <v>0</v>
      </c>
      <c r="AL32" s="72">
        <f t="shared" si="27"/>
        <v>0</v>
      </c>
      <c r="AM32" s="73">
        <f t="shared" si="11"/>
        <v>-23.984999999999673</v>
      </c>
      <c r="AN32" s="74">
        <f t="shared" si="29"/>
        <v>-4.7757779999999741</v>
      </c>
      <c r="AO32" s="74">
        <f t="shared" si="29"/>
        <v>12.056356000000108</v>
      </c>
      <c r="AP32" s="75">
        <f t="shared" si="13"/>
        <v>3.9570169891146492E-2</v>
      </c>
      <c r="AQ32" s="76">
        <f t="shared" si="14"/>
        <v>1464.2513459933775</v>
      </c>
      <c r="AR32" s="90">
        <f t="shared" si="15"/>
        <v>-48.984999999999673</v>
      </c>
    </row>
    <row r="33" spans="1:44" x14ac:dyDescent="0.25">
      <c r="A33" t="str">
        <f t="shared" si="16"/>
        <v>46188E</v>
      </c>
      <c r="B33" s="51">
        <f t="shared" si="28"/>
        <v>46188</v>
      </c>
      <c r="C33" s="52" t="s">
        <v>88</v>
      </c>
      <c r="D33" s="91">
        <v>0</v>
      </c>
      <c r="E33" s="62">
        <v>0</v>
      </c>
      <c r="F33" s="62">
        <v>0</v>
      </c>
      <c r="G33" s="62">
        <f t="shared" si="17"/>
        <v>0</v>
      </c>
      <c r="H33" s="63">
        <f t="shared" si="18"/>
        <v>0</v>
      </c>
      <c r="I33" s="203">
        <v>2112.2999999999988</v>
      </c>
      <c r="J33" s="203">
        <v>2175.668999999999</v>
      </c>
      <c r="K33" s="203">
        <v>3.7394924963310143</v>
      </c>
      <c r="L33" s="203">
        <v>8.2045826823841299</v>
      </c>
      <c r="M33" s="57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9"/>
        <v>2175.668999999999</v>
      </c>
      <c r="S33" s="62">
        <f t="shared" si="20"/>
        <v>81.358978999999977</v>
      </c>
      <c r="T33" s="63">
        <f t="shared" si="21"/>
        <v>178.50456199999991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22"/>
        <v>0</v>
      </c>
      <c r="AB33" s="63">
        <f t="shared" si="23"/>
        <v>0</v>
      </c>
      <c r="AC33" s="69"/>
      <c r="AD33" s="70"/>
      <c r="AE33" s="70"/>
      <c r="AF33" s="62">
        <f t="shared" si="24"/>
        <v>0</v>
      </c>
      <c r="AG33" s="62">
        <f t="shared" si="25"/>
        <v>0</v>
      </c>
      <c r="AH33" s="89">
        <v>2175.6</v>
      </c>
      <c r="AI33" s="66">
        <v>3.74</v>
      </c>
      <c r="AJ33" s="66">
        <v>8.2100000000000009</v>
      </c>
      <c r="AK33" s="62">
        <f t="shared" si="26"/>
        <v>81.367440000000002</v>
      </c>
      <c r="AL33" s="72">
        <f t="shared" si="27"/>
        <v>178.61676</v>
      </c>
      <c r="AM33" s="73">
        <f t="shared" si="11"/>
        <v>6.8999999999050488E-2</v>
      </c>
      <c r="AN33" s="74">
        <f t="shared" si="29"/>
        <v>-8.4610000000253649E-3</v>
      </c>
      <c r="AO33" s="74">
        <f t="shared" si="29"/>
        <v>-0.11219800000009172</v>
      </c>
      <c r="AP33" s="75">
        <f t="shared" si="13"/>
        <v>-4.6431677000859903E-4</v>
      </c>
      <c r="AQ33" s="76">
        <f t="shared" si="14"/>
        <v>-37.376096963372177</v>
      </c>
      <c r="AR33" s="90">
        <f t="shared" si="15"/>
        <v>6.8999999999050488E-2</v>
      </c>
    </row>
    <row r="34" spans="1:44" x14ac:dyDescent="0.25">
      <c r="A34" t="str">
        <f t="shared" si="16"/>
        <v>46189M</v>
      </c>
      <c r="B34" s="51">
        <f t="shared" si="28"/>
        <v>46189</v>
      </c>
      <c r="C34" s="52" t="s">
        <v>87</v>
      </c>
      <c r="D34" s="91">
        <v>2175.6</v>
      </c>
      <c r="E34" s="62">
        <v>3.74</v>
      </c>
      <c r="F34" s="62">
        <v>8.2100000000000009</v>
      </c>
      <c r="G34" s="62">
        <f t="shared" si="17"/>
        <v>81.367440000000002</v>
      </c>
      <c r="H34" s="63">
        <f t="shared" si="18"/>
        <v>178.61676</v>
      </c>
      <c r="I34" s="203">
        <v>1319.3999999999999</v>
      </c>
      <c r="J34" s="203">
        <v>1358.982</v>
      </c>
      <c r="K34" s="203">
        <v>4.673647112323783</v>
      </c>
      <c r="L34" s="203">
        <v>8.3875246324086685</v>
      </c>
      <c r="M34" s="57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9"/>
        <v>1358.982</v>
      </c>
      <c r="S34" s="62">
        <f t="shared" si="20"/>
        <v>63.514022999999995</v>
      </c>
      <c r="T34" s="63">
        <f t="shared" si="21"/>
        <v>113.98494999999997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2"/>
        <v>0</v>
      </c>
      <c r="AB34" s="63">
        <f t="shared" si="23"/>
        <v>0</v>
      </c>
      <c r="AC34" s="69"/>
      <c r="AD34" s="70"/>
      <c r="AE34" s="70"/>
      <c r="AF34" s="62">
        <f t="shared" si="24"/>
        <v>0</v>
      </c>
      <c r="AG34" s="62">
        <f t="shared" si="25"/>
        <v>0</v>
      </c>
      <c r="AH34" s="89">
        <v>3534.5</v>
      </c>
      <c r="AI34" s="66">
        <v>4.09</v>
      </c>
      <c r="AJ34" s="66">
        <v>8.27</v>
      </c>
      <c r="AK34" s="62">
        <f t="shared" si="26"/>
        <v>144.56104999999999</v>
      </c>
      <c r="AL34" s="72">
        <f t="shared" si="27"/>
        <v>292.30314999999996</v>
      </c>
      <c r="AM34" s="73">
        <f t="shared" si="11"/>
        <v>8.1999999999879947E-2</v>
      </c>
      <c r="AN34" s="74">
        <f t="shared" si="29"/>
        <v>0.32041300000000206</v>
      </c>
      <c r="AO34" s="74">
        <f t="shared" si="29"/>
        <v>0.29856000000000904</v>
      </c>
      <c r="AP34" s="75">
        <f t="shared" si="13"/>
        <v>3.4871920075842419E-3</v>
      </c>
      <c r="AQ34" s="76">
        <f t="shared" si="14"/>
        <v>233.18764623000362</v>
      </c>
      <c r="AR34" s="90">
        <f t="shared" si="15"/>
        <v>8.1999999999879947E-2</v>
      </c>
    </row>
    <row r="35" spans="1:44" x14ac:dyDescent="0.25">
      <c r="A35" t="str">
        <f t="shared" si="16"/>
        <v>46189E</v>
      </c>
      <c r="B35" s="51">
        <f t="shared" si="28"/>
        <v>46189</v>
      </c>
      <c r="C35" s="52" t="s">
        <v>88</v>
      </c>
      <c r="D35" s="91">
        <v>3534.5</v>
      </c>
      <c r="E35" s="62">
        <v>4.09</v>
      </c>
      <c r="F35" s="62">
        <v>8.27</v>
      </c>
      <c r="G35" s="62">
        <f t="shared" si="17"/>
        <v>144.56104999999999</v>
      </c>
      <c r="H35" s="63">
        <f t="shared" si="18"/>
        <v>292.30314999999996</v>
      </c>
      <c r="I35" s="203">
        <v>2173.2000000000007</v>
      </c>
      <c r="J35" s="203">
        <v>2238.3960000000006</v>
      </c>
      <c r="K35" s="203">
        <v>3.7760997607215159</v>
      </c>
      <c r="L35" s="203">
        <v>8.2473357261181661</v>
      </c>
      <c r="M35" s="57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9"/>
        <v>2238.3960000000006</v>
      </c>
      <c r="S35" s="62">
        <f t="shared" si="20"/>
        <v>84.524066000000005</v>
      </c>
      <c r="T35" s="63">
        <f t="shared" si="21"/>
        <v>184.60803300000003</v>
      </c>
      <c r="U35" s="64" t="s">
        <v>256</v>
      </c>
      <c r="V35" s="65" t="s">
        <v>588</v>
      </c>
      <c r="W35" s="66" t="s">
        <v>189</v>
      </c>
      <c r="X35" s="67">
        <v>5520</v>
      </c>
      <c r="Y35" s="68">
        <v>4.25</v>
      </c>
      <c r="Z35" s="68">
        <v>8.1999999999999993</v>
      </c>
      <c r="AA35" s="62">
        <f t="shared" si="22"/>
        <v>234.60000000000002</v>
      </c>
      <c r="AB35" s="63">
        <f t="shared" si="23"/>
        <v>452.63999999999993</v>
      </c>
      <c r="AC35" s="69">
        <v>5520</v>
      </c>
      <c r="AD35" s="70">
        <v>4.1670289855072484</v>
      </c>
      <c r="AE35" s="70">
        <v>8.1134057971014517</v>
      </c>
      <c r="AF35" s="62">
        <f t="shared" si="24"/>
        <v>230.02000000000012</v>
      </c>
      <c r="AG35" s="62">
        <f t="shared" si="25"/>
        <v>447.86000000000013</v>
      </c>
      <c r="AH35" s="89">
        <v>252.8</v>
      </c>
      <c r="AI35" s="66">
        <v>3.96</v>
      </c>
      <c r="AJ35" s="66">
        <v>8.26</v>
      </c>
      <c r="AK35" s="62">
        <f t="shared" si="26"/>
        <v>10.01088</v>
      </c>
      <c r="AL35" s="72">
        <f t="shared" si="27"/>
        <v>20.88128</v>
      </c>
      <c r="AM35" s="73">
        <f t="shared" si="11"/>
        <v>9.6000000000628916E-2</v>
      </c>
      <c r="AN35" s="74">
        <f t="shared" si="29"/>
        <v>-10.945764000000125</v>
      </c>
      <c r="AO35" s="74">
        <f t="shared" si="29"/>
        <v>8.1699029999998665</v>
      </c>
      <c r="AP35" s="75">
        <f t="shared" si="13"/>
        <v>-1.0314120873408928E-2</v>
      </c>
      <c r="AQ35" s="76">
        <f t="shared" si="14"/>
        <v>-2468.6288134200959</v>
      </c>
      <c r="AR35" s="90">
        <f t="shared" si="15"/>
        <v>9.6000000000458385E-2</v>
      </c>
    </row>
    <row r="36" spans="1:44" x14ac:dyDescent="0.25">
      <c r="A36" t="str">
        <f t="shared" si="16"/>
        <v>46190M</v>
      </c>
      <c r="B36" s="51">
        <f t="shared" si="28"/>
        <v>46190</v>
      </c>
      <c r="C36" s="52" t="s">
        <v>87</v>
      </c>
      <c r="D36" s="91">
        <v>252.8</v>
      </c>
      <c r="E36" s="62">
        <v>3.96</v>
      </c>
      <c r="F36" s="62">
        <v>8.26</v>
      </c>
      <c r="G36" s="62">
        <f t="shared" si="17"/>
        <v>10.01088</v>
      </c>
      <c r="H36" s="63">
        <f t="shared" si="18"/>
        <v>20.88128</v>
      </c>
      <c r="I36" s="203">
        <v>1053.3999999999999</v>
      </c>
      <c r="J36" s="203">
        <v>1085.002</v>
      </c>
      <c r="K36" s="203">
        <v>4.6125688247579255</v>
      </c>
      <c r="L36" s="203">
        <v>8.1029808239984789</v>
      </c>
      <c r="M36" s="57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9"/>
        <v>1085.002</v>
      </c>
      <c r="S36" s="62">
        <f t="shared" si="20"/>
        <v>50.046463999999986</v>
      </c>
      <c r="T36" s="63">
        <f t="shared" si="21"/>
        <v>87.91750399999998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22"/>
        <v>0</v>
      </c>
      <c r="AB36" s="63">
        <f t="shared" si="23"/>
        <v>0</v>
      </c>
      <c r="AC36" s="69"/>
      <c r="AD36" s="70"/>
      <c r="AE36" s="70"/>
      <c r="AF36" s="62">
        <f t="shared" si="24"/>
        <v>0</v>
      </c>
      <c r="AG36" s="62">
        <f t="shared" si="25"/>
        <v>0</v>
      </c>
      <c r="AH36" s="89">
        <v>1337.8</v>
      </c>
      <c r="AI36" s="66">
        <v>4.4800000000000004</v>
      </c>
      <c r="AJ36" s="66">
        <v>8.1300000000000008</v>
      </c>
      <c r="AK36" s="62">
        <f t="shared" si="26"/>
        <v>59.933440000000004</v>
      </c>
      <c r="AL36" s="72">
        <f t="shared" si="27"/>
        <v>108.76314000000001</v>
      </c>
      <c r="AM36" s="73">
        <f t="shared" si="11"/>
        <v>1.9999999999527063E-3</v>
      </c>
      <c r="AN36" s="74">
        <f t="shared" si="29"/>
        <v>0.12390399999998181</v>
      </c>
      <c r="AO36" s="74">
        <f t="shared" si="29"/>
        <v>3.5643999999976472E-2</v>
      </c>
      <c r="AP36" s="75">
        <f t="shared" si="13"/>
        <v>1.1564468774916529E-3</v>
      </c>
      <c r="AQ36" s="76">
        <f t="shared" si="14"/>
        <v>66.289043333318133</v>
      </c>
      <c r="AR36" s="90">
        <f t="shared" si="15"/>
        <v>1.9999999999527063E-3</v>
      </c>
    </row>
    <row r="37" spans="1:44" x14ac:dyDescent="0.25">
      <c r="A37" t="str">
        <f t="shared" si="16"/>
        <v>46190E</v>
      </c>
      <c r="B37" s="51">
        <f t="shared" si="28"/>
        <v>46190</v>
      </c>
      <c r="C37" s="52" t="s">
        <v>88</v>
      </c>
      <c r="D37" s="91">
        <v>1337.8</v>
      </c>
      <c r="E37" s="62">
        <v>4.4800000000000004</v>
      </c>
      <c r="F37" s="62">
        <v>8.1300000000000008</v>
      </c>
      <c r="G37" s="62">
        <f t="shared" si="17"/>
        <v>59.933440000000004</v>
      </c>
      <c r="H37" s="63">
        <f t="shared" si="18"/>
        <v>108.76314000000001</v>
      </c>
      <c r="I37" s="203">
        <v>1724.9999999999995</v>
      </c>
      <c r="J37" s="203">
        <v>1776.7499999999995</v>
      </c>
      <c r="K37" s="203">
        <v>4.1092289855072464</v>
      </c>
      <c r="L37" s="203">
        <v>8.0543768115942012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9"/>
        <v>1776.7499999999995</v>
      </c>
      <c r="S37" s="62">
        <f t="shared" si="20"/>
        <v>73.010725999999977</v>
      </c>
      <c r="T37" s="63">
        <f t="shared" si="21"/>
        <v>143.10613999999993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22"/>
        <v>0</v>
      </c>
      <c r="AB37" s="63">
        <f t="shared" si="23"/>
        <v>0</v>
      </c>
      <c r="AC37" s="69"/>
      <c r="AD37" s="70"/>
      <c r="AE37" s="70"/>
      <c r="AF37" s="62">
        <f t="shared" si="24"/>
        <v>0</v>
      </c>
      <c r="AG37" s="62">
        <f t="shared" si="25"/>
        <v>0</v>
      </c>
      <c r="AH37" s="89">
        <v>3114.5</v>
      </c>
      <c r="AI37" s="66">
        <v>4.26</v>
      </c>
      <c r="AJ37" s="66">
        <v>8.08</v>
      </c>
      <c r="AK37" s="62">
        <f t="shared" si="26"/>
        <v>132.67769999999999</v>
      </c>
      <c r="AL37" s="72">
        <f t="shared" si="27"/>
        <v>251.6516</v>
      </c>
      <c r="AM37" s="73">
        <f t="shared" si="11"/>
        <v>4.9999999999272404E-2</v>
      </c>
      <c r="AN37" s="74">
        <f t="shared" si="29"/>
        <v>0.26646600000000831</v>
      </c>
      <c r="AO37" s="74">
        <f t="shared" si="29"/>
        <v>0.21767999999994458</v>
      </c>
      <c r="AP37" s="75">
        <f t="shared" si="13"/>
        <v>2.2402046122580416E-3</v>
      </c>
      <c r="AQ37" s="76">
        <f t="shared" si="14"/>
        <v>184.76507125998717</v>
      </c>
      <c r="AR37" s="90">
        <f t="shared" si="15"/>
        <v>4.9999999999272404E-2</v>
      </c>
    </row>
    <row r="38" spans="1:44" x14ac:dyDescent="0.25">
      <c r="A38" t="str">
        <f t="shared" si="16"/>
        <v>46191M</v>
      </c>
      <c r="B38" s="51">
        <f t="shared" si="28"/>
        <v>46191</v>
      </c>
      <c r="C38" s="52" t="s">
        <v>87</v>
      </c>
      <c r="D38" s="91">
        <v>3114.5</v>
      </c>
      <c r="E38" s="62">
        <v>4.26</v>
      </c>
      <c r="F38" s="62">
        <v>8.08</v>
      </c>
      <c r="G38" s="62">
        <f t="shared" si="17"/>
        <v>132.67769999999999</v>
      </c>
      <c r="H38" s="63">
        <f t="shared" si="18"/>
        <v>251.6516</v>
      </c>
      <c r="I38" s="203">
        <v>1077.8999999999999</v>
      </c>
      <c r="J38" s="203">
        <v>1110.2369999999999</v>
      </c>
      <c r="K38" s="203">
        <v>4.6316726969106581</v>
      </c>
      <c r="L38" s="203">
        <v>8.1963261898135222</v>
      </c>
      <c r="M38" s="57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9"/>
        <v>1110.2369999999999</v>
      </c>
      <c r="S38" s="62">
        <f t="shared" si="20"/>
        <v>51.422543999999981</v>
      </c>
      <c r="T38" s="63">
        <f t="shared" si="21"/>
        <v>90.998645999999951</v>
      </c>
      <c r="U38" s="64" t="s">
        <v>256</v>
      </c>
      <c r="V38" s="65" t="s">
        <v>646</v>
      </c>
      <c r="W38" s="66" t="s">
        <v>189</v>
      </c>
      <c r="X38" s="67">
        <v>4320</v>
      </c>
      <c r="Y38" s="68">
        <v>4.4000000000000004</v>
      </c>
      <c r="Z38" s="68">
        <v>8.1</v>
      </c>
      <c r="AA38" s="62">
        <f t="shared" si="22"/>
        <v>190.08</v>
      </c>
      <c r="AB38" s="63">
        <f t="shared" si="23"/>
        <v>349.92</v>
      </c>
      <c r="AC38" s="226">
        <v>4320</v>
      </c>
      <c r="AD38" s="227">
        <v>4.4000000000000004</v>
      </c>
      <c r="AE38" s="227">
        <v>8.1</v>
      </c>
      <c r="AF38" s="62">
        <f t="shared" si="24"/>
        <v>190.08</v>
      </c>
      <c r="AG38" s="62">
        <f t="shared" si="25"/>
        <v>349.92</v>
      </c>
      <c r="AH38" s="89">
        <v>0</v>
      </c>
      <c r="AI38" s="66">
        <v>0</v>
      </c>
      <c r="AJ38" s="66">
        <v>0</v>
      </c>
      <c r="AK38" s="62">
        <f t="shared" si="26"/>
        <v>0</v>
      </c>
      <c r="AL38" s="72">
        <f t="shared" si="27"/>
        <v>0</v>
      </c>
      <c r="AM38" s="73">
        <f t="shared" si="11"/>
        <v>-95.26299999999992</v>
      </c>
      <c r="AN38" s="74">
        <f t="shared" si="29"/>
        <v>-5.9797560000000374</v>
      </c>
      <c r="AO38" s="74">
        <f t="shared" si="29"/>
        <v>-7.2697540000000913</v>
      </c>
      <c r="AP38" s="75">
        <f t="shared" si="13"/>
        <v>-9.3030468289164933E-2</v>
      </c>
      <c r="AQ38" s="76">
        <f t="shared" si="14"/>
        <v>-4860.0157780533782</v>
      </c>
      <c r="AR38" s="90">
        <f t="shared" si="15"/>
        <v>-95.26299999999992</v>
      </c>
    </row>
    <row r="39" spans="1:44" x14ac:dyDescent="0.25">
      <c r="A39" t="str">
        <f t="shared" si="16"/>
        <v>46191E</v>
      </c>
      <c r="B39" s="51">
        <f t="shared" si="28"/>
        <v>46191</v>
      </c>
      <c r="C39" s="52" t="s">
        <v>88</v>
      </c>
      <c r="D39" s="91">
        <v>0</v>
      </c>
      <c r="E39" s="62">
        <v>0</v>
      </c>
      <c r="F39" s="62">
        <v>0</v>
      </c>
      <c r="G39" s="62">
        <f t="shared" si="17"/>
        <v>0</v>
      </c>
      <c r="H39" s="63">
        <f t="shared" si="18"/>
        <v>0</v>
      </c>
      <c r="I39" s="203">
        <v>1657.4999999999998</v>
      </c>
      <c r="J39" s="203">
        <v>1707.2249999999999</v>
      </c>
      <c r="K39" s="203">
        <v>4.0089170437405741</v>
      </c>
      <c r="L39" s="203">
        <v>8.1213815987933611</v>
      </c>
      <c r="M39" s="57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9"/>
        <v>1707.2249999999999</v>
      </c>
      <c r="S39" s="62">
        <f t="shared" si="20"/>
        <v>68.441234000000023</v>
      </c>
      <c r="T39" s="63">
        <f t="shared" si="21"/>
        <v>138.65025699999995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2"/>
        <v>0</v>
      </c>
      <c r="AB39" s="63">
        <f t="shared" si="23"/>
        <v>0</v>
      </c>
      <c r="AC39" s="69"/>
      <c r="AD39" s="70"/>
      <c r="AE39" s="70"/>
      <c r="AF39" s="62">
        <f t="shared" si="24"/>
        <v>0</v>
      </c>
      <c r="AG39" s="62">
        <f t="shared" si="25"/>
        <v>0</v>
      </c>
      <c r="AH39" s="89">
        <v>1707.4</v>
      </c>
      <c r="AI39" s="66">
        <v>3.99</v>
      </c>
      <c r="AJ39" s="66">
        <v>8.11</v>
      </c>
      <c r="AK39" s="62">
        <f t="shared" si="26"/>
        <v>68.125260000000011</v>
      </c>
      <c r="AL39" s="72">
        <f t="shared" si="27"/>
        <v>138.47013999999999</v>
      </c>
      <c r="AM39" s="73">
        <f t="shared" si="11"/>
        <v>-0.1750000000001819</v>
      </c>
      <c r="AN39" s="74">
        <f t="shared" si="29"/>
        <v>0.3159740000000113</v>
      </c>
      <c r="AO39" s="74">
        <f t="shared" si="29"/>
        <v>0.18011699999996722</v>
      </c>
      <c r="AP39" s="75">
        <f t="shared" si="13"/>
        <v>2.3955160958302173E-3</v>
      </c>
      <c r="AQ39" s="76">
        <f t="shared" si="14"/>
        <v>195.74810331999529</v>
      </c>
      <c r="AR39" s="90">
        <f t="shared" si="15"/>
        <v>-0.1750000000001819</v>
      </c>
    </row>
    <row r="40" spans="1:44" x14ac:dyDescent="0.25">
      <c r="A40" t="str">
        <f t="shared" si="16"/>
        <v>46192M</v>
      </c>
      <c r="B40" s="51">
        <f t="shared" si="28"/>
        <v>46192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7"/>
      <c r="N40" s="58"/>
      <c r="O40" s="59"/>
      <c r="P40" s="56"/>
      <c r="Q40" s="60"/>
      <c r="R40" s="61">
        <f t="shared" si="19"/>
        <v>0</v>
      </c>
      <c r="S40" s="62">
        <f t="shared" si="20"/>
        <v>0</v>
      </c>
      <c r="T40" s="63">
        <f t="shared" si="21"/>
        <v>0</v>
      </c>
      <c r="U40" s="64"/>
      <c r="V40" s="65"/>
      <c r="W40" s="66"/>
      <c r="X40" s="67"/>
      <c r="Y40" s="68"/>
      <c r="Z40" s="68"/>
      <c r="AA40" s="62">
        <f t="shared" si="22"/>
        <v>0</v>
      </c>
      <c r="AB40" s="63">
        <f t="shared" si="23"/>
        <v>0</v>
      </c>
      <c r="AC40" s="69"/>
      <c r="AD40" s="70"/>
      <c r="AE40" s="70"/>
      <c r="AF40" s="62">
        <f t="shared" si="24"/>
        <v>0</v>
      </c>
      <c r="AG40" s="62">
        <f t="shared" si="25"/>
        <v>0</v>
      </c>
      <c r="AH40" s="89"/>
      <c r="AI40" s="66"/>
      <c r="AJ40" s="66"/>
      <c r="AK40" s="62">
        <f t="shared" si="26"/>
        <v>0</v>
      </c>
      <c r="AL40" s="72">
        <f t="shared" si="27"/>
        <v>0</v>
      </c>
      <c r="AM40" s="73">
        <f t="shared" si="11"/>
        <v>0</v>
      </c>
      <c r="AN40" s="74">
        <f t="shared" si="29"/>
        <v>0</v>
      </c>
      <c r="AO40" s="74">
        <f t="shared" si="29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46192E</v>
      </c>
      <c r="B41" s="51">
        <f t="shared" si="28"/>
        <v>46192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29"/>
        <v>0</v>
      </c>
      <c r="AO41" s="74">
        <f t="shared" si="29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46193M</v>
      </c>
      <c r="B42" s="51">
        <f t="shared" si="28"/>
        <v>46193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29"/>
        <v>0</v>
      </c>
      <c r="AO42" s="74">
        <f t="shared" si="29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46193E</v>
      </c>
      <c r="B43" s="51">
        <f t="shared" si="28"/>
        <v>46193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29"/>
        <v>0</v>
      </c>
      <c r="AO43" s="74">
        <f t="shared" si="29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46194M</v>
      </c>
      <c r="B44" s="51">
        <f t="shared" si="28"/>
        <v>46194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29"/>
        <v>0</v>
      </c>
      <c r="AO44" s="74">
        <f t="shared" si="29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28"/>
        <v>46194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29"/>
        <v>0</v>
      </c>
      <c r="AO45" s="74">
        <f t="shared" si="29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46195M</v>
      </c>
      <c r="B46" s="51">
        <f t="shared" si="28"/>
        <v>46195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29"/>
        <v>0</v>
      </c>
      <c r="AO46" s="74">
        <f t="shared" si="29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46195E</v>
      </c>
      <c r="B47" s="51">
        <f t="shared" si="28"/>
        <v>46195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29"/>
        <v>0</v>
      </c>
      <c r="AO47" s="74">
        <f t="shared" si="29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46196M</v>
      </c>
      <c r="B48" s="51">
        <f t="shared" si="28"/>
        <v>46196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29"/>
        <v>0</v>
      </c>
      <c r="AO48" s="74">
        <f t="shared" si="29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46196E</v>
      </c>
      <c r="B49" s="51">
        <f t="shared" si="28"/>
        <v>46196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29"/>
        <v>0</v>
      </c>
      <c r="AO49" s="74">
        <f t="shared" si="29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46197M</v>
      </c>
      <c r="B50" s="51">
        <f t="shared" si="28"/>
        <v>46197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29"/>
        <v>0</v>
      </c>
      <c r="AO50" s="74">
        <f t="shared" si="29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46197E</v>
      </c>
      <c r="B51" s="51">
        <f t="shared" si="28"/>
        <v>46197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29"/>
        <v>0</v>
      </c>
      <c r="AO51" s="74">
        <f t="shared" si="29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46198M</v>
      </c>
      <c r="B52" s="51">
        <f t="shared" si="28"/>
        <v>46198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9"/>
      <c r="J52" s="119"/>
      <c r="K52" s="119"/>
      <c r="L52" s="119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29"/>
        <v>0</v>
      </c>
      <c r="AO52" s="74">
        <f t="shared" si="29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46198E</v>
      </c>
      <c r="B53" s="51">
        <f t="shared" si="28"/>
        <v>46198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9"/>
      <c r="J53" s="119"/>
      <c r="K53" s="119"/>
      <c r="L53" s="119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29"/>
        <v>0</v>
      </c>
      <c r="AO53" s="74">
        <f t="shared" si="29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46199M</v>
      </c>
      <c r="B54" s="51">
        <f t="shared" si="28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9"/>
        <v>0</v>
      </c>
      <c r="AO54" s="74">
        <f t="shared" si="29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28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9"/>
        <v>0</v>
      </c>
      <c r="AO55" s="74">
        <f t="shared" si="29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28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9"/>
        <v>0</v>
      </c>
      <c r="AO56" s="74">
        <f t="shared" si="29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28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9"/>
        <v>0</v>
      </c>
      <c r="AO57" s="74">
        <f t="shared" si="29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28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9"/>
        <v>0</v>
      </c>
      <c r="AO58" s="74">
        <f t="shared" si="29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28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9"/>
        <v>0</v>
      </c>
      <c r="AO59" s="74">
        <f t="shared" si="29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28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9"/>
        <v>0</v>
      </c>
      <c r="AO60" s="74">
        <f t="shared" si="29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28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9"/>
        <v>0</v>
      </c>
      <c r="AO61" s="74">
        <f t="shared" si="29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28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9"/>
        <v>0</v>
      </c>
      <c r="AO62" s="74">
        <f t="shared" si="29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28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9"/>
        <v>0</v>
      </c>
      <c r="AO63" s="74">
        <f t="shared" si="29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28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9"/>
        <v>0</v>
      </c>
      <c r="AO64" s="74">
        <f t="shared" si="29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28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9"/>
        <v>0</v>
      </c>
      <c r="AO65" s="74">
        <f t="shared" si="29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64351.104000000007</v>
      </c>
      <c r="R66" s="83">
        <f>SUM(R4:R65)</f>
        <v>64351.104000000007</v>
      </c>
      <c r="S66" s="83">
        <f t="shared" ref="S66:T66" si="30">SUM(S4:S65)</f>
        <v>2719.3100040000004</v>
      </c>
      <c r="T66" s="83">
        <f t="shared" si="30"/>
        <v>5298.993002000002</v>
      </c>
      <c r="AH66" s="90"/>
      <c r="AI66" s="77"/>
      <c r="AJ66" s="77"/>
      <c r="AM66" s="83">
        <f>-SUM(AM4:AM65)</f>
        <v>521.19600000000059</v>
      </c>
      <c r="AN66" s="83">
        <f>-SUM(AN4:AN65)</f>
        <v>89.099966000000293</v>
      </c>
      <c r="AO66" s="83">
        <f>-SUM(AO4:AO65)</f>
        <v>-62.361481999999782</v>
      </c>
      <c r="AQ66" s="127">
        <f>-SUM(AQ4:AQ65)</f>
        <v>21334.737147313528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4" priority="2" operator="lessThan">
      <formula>0.1</formula>
    </cfRule>
    <cfRule type="cellIs" dxfId="73" priority="3" operator="greaterThan">
      <formula>0.1</formula>
    </cfRule>
  </conditionalFormatting>
  <conditionalFormatting sqref="AP1:AQ1">
    <cfRule type="cellIs" dxfId="72" priority="1" operator="lessThan">
      <formula>1</formula>
    </cfRule>
  </conditionalFormatting>
  <conditionalFormatting sqref="AQ4:AQ65">
    <cfRule type="cellIs" dxfId="71" priority="4" operator="lessThan">
      <formula>0</formula>
    </cfRule>
    <cfRule type="cellIs" dxfId="70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593-6DC2-4384-B2C9-936E05F26BC3}">
  <dimension ref="A1:AV71"/>
  <sheetViews>
    <sheetView topLeftCell="A10" zoomScale="80" zoomScaleNormal="80" workbookViewId="0">
      <selection activeCell="AH36" sqref="AH36:AJ39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637</v>
      </c>
      <c r="C1" s="44"/>
      <c r="G1" s="209"/>
      <c r="H1" s="209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/>
      <c r="E4" s="88"/>
      <c r="F4" s="88"/>
      <c r="G4" s="62">
        <f t="shared" ref="G4:G65" si="0">+D4*E4%</f>
        <v>0</v>
      </c>
      <c r="H4" s="63">
        <f t="shared" ref="H4:H65" si="1">+D4*F4%</f>
        <v>0</v>
      </c>
      <c r="I4" s="203"/>
      <c r="J4" s="203"/>
      <c r="K4" s="203"/>
      <c r="L4" s="203"/>
      <c r="M4" s="57"/>
      <c r="N4" s="58"/>
      <c r="O4" s="59"/>
      <c r="P4" s="56"/>
      <c r="Q4" s="60"/>
      <c r="R4" s="61">
        <f t="shared" ref="R4:R65" si="2">+J4+O4</f>
        <v>0</v>
      </c>
      <c r="S4" s="62">
        <f t="shared" ref="S4:S65" si="3">+J4*K4%+O4*P4%</f>
        <v>0</v>
      </c>
      <c r="T4" s="63">
        <f t="shared" ref="T4:T65" si="4">+J4*L4%+O4*Q4%</f>
        <v>0</v>
      </c>
      <c r="U4" s="64"/>
      <c r="V4" s="65"/>
      <c r="W4" s="66"/>
      <c r="X4" s="67"/>
      <c r="Y4" s="68"/>
      <c r="Z4" s="68"/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/>
      <c r="AI4" s="66"/>
      <c r="AJ4" s="66"/>
      <c r="AK4" s="62">
        <f t="shared" ref="AK4:AK65" si="9">AH4*AI4%</f>
        <v>0</v>
      </c>
      <c r="AL4" s="72">
        <f t="shared" ref="AL4:AL65" si="10">AH4*AJ4%</f>
        <v>0</v>
      </c>
      <c r="AM4" s="73">
        <f t="shared" ref="AM4:AM65" si="11">+D4+R4-AC4-AH4</f>
        <v>0</v>
      </c>
      <c r="AN4" s="74">
        <f t="shared" ref="AN4:AO19" si="12">+G4+S4-AF4-AK4</f>
        <v>0</v>
      </c>
      <c r="AO4" s="74">
        <f t="shared" si="12"/>
        <v>0</v>
      </c>
      <c r="AP4" s="75" t="e">
        <f t="shared" ref="AP4:AP65" si="13">(AN4+AO4)/(S4+T4)</f>
        <v>#DIV/0!</v>
      </c>
      <c r="AQ4" s="76">
        <f t="shared" ref="AQ4:AQ65" si="14">($AP$1*AN4+$AQ$1*AO4)</f>
        <v>0</v>
      </c>
      <c r="AR4" s="90">
        <f t="shared" ref="AR4:AR65" si="15">(D4+J4+O4)-(X4+AH4)</f>
        <v>0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/>
      <c r="E5" s="62"/>
      <c r="F5" s="62"/>
      <c r="G5" s="62">
        <f t="shared" si="0"/>
        <v>0</v>
      </c>
      <c r="H5" s="63">
        <f t="shared" si="1"/>
        <v>0</v>
      </c>
      <c r="I5" s="203"/>
      <c r="J5" s="203"/>
      <c r="K5" s="203"/>
      <c r="L5" s="203"/>
      <c r="M5" s="57"/>
      <c r="N5" s="58"/>
      <c r="O5" s="59"/>
      <c r="P5" s="56"/>
      <c r="Q5" s="60"/>
      <c r="R5" s="61">
        <f t="shared" si="2"/>
        <v>0</v>
      </c>
      <c r="S5" s="62">
        <f t="shared" si="3"/>
        <v>0</v>
      </c>
      <c r="T5" s="63">
        <f t="shared" si="4"/>
        <v>0</v>
      </c>
      <c r="U5" s="64"/>
      <c r="V5" s="65"/>
      <c r="W5" s="66"/>
      <c r="X5" s="67"/>
      <c r="Y5" s="68"/>
      <c r="Z5" s="68"/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/>
      <c r="AI5" s="66"/>
      <c r="AJ5" s="66"/>
      <c r="AK5" s="62">
        <f t="shared" si="9"/>
        <v>0</v>
      </c>
      <c r="AL5" s="72">
        <f t="shared" si="10"/>
        <v>0</v>
      </c>
      <c r="AM5" s="73">
        <f t="shared" si="11"/>
        <v>0</v>
      </c>
      <c r="AN5" s="74">
        <f t="shared" si="12"/>
        <v>0</v>
      </c>
      <c r="AO5" s="74">
        <f t="shared" si="12"/>
        <v>0</v>
      </c>
      <c r="AP5" s="75" t="e">
        <f t="shared" si="13"/>
        <v>#DIV/0!</v>
      </c>
      <c r="AQ5" s="76">
        <f t="shared" si="14"/>
        <v>0</v>
      </c>
      <c r="AR5" s="90">
        <f t="shared" si="15"/>
        <v>0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/>
      <c r="E6" s="62"/>
      <c r="F6" s="62"/>
      <c r="G6" s="62">
        <f t="shared" si="0"/>
        <v>0</v>
      </c>
      <c r="H6" s="63">
        <f t="shared" si="1"/>
        <v>0</v>
      </c>
      <c r="I6" s="203"/>
      <c r="J6" s="203"/>
      <c r="K6" s="203"/>
      <c r="L6" s="203"/>
      <c r="M6" s="57"/>
      <c r="N6" s="58"/>
      <c r="O6" s="59"/>
      <c r="P6" s="56"/>
      <c r="Q6" s="60"/>
      <c r="R6" s="61">
        <f t="shared" si="2"/>
        <v>0</v>
      </c>
      <c r="S6" s="62">
        <f t="shared" si="3"/>
        <v>0</v>
      </c>
      <c r="T6" s="63">
        <f t="shared" si="4"/>
        <v>0</v>
      </c>
      <c r="U6" s="64"/>
      <c r="V6" s="65"/>
      <c r="W6" s="66"/>
      <c r="X6" s="67"/>
      <c r="Y6" s="68"/>
      <c r="Z6" s="68"/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/>
      <c r="AI6" s="66"/>
      <c r="AJ6" s="66"/>
      <c r="AK6" s="62">
        <f t="shared" si="9"/>
        <v>0</v>
      </c>
      <c r="AL6" s="72">
        <f t="shared" si="10"/>
        <v>0</v>
      </c>
      <c r="AM6" s="73">
        <f t="shared" si="11"/>
        <v>0</v>
      </c>
      <c r="AN6" s="74">
        <f t="shared" si="12"/>
        <v>0</v>
      </c>
      <c r="AO6" s="74">
        <f t="shared" si="12"/>
        <v>0</v>
      </c>
      <c r="AP6" s="75" t="e">
        <f t="shared" si="13"/>
        <v>#DIV/0!</v>
      </c>
      <c r="AQ6" s="76">
        <f t="shared" si="14"/>
        <v>0</v>
      </c>
      <c r="AR6" s="90">
        <f t="shared" si="15"/>
        <v>0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/>
      <c r="E7" s="62"/>
      <c r="F7" s="62"/>
      <c r="G7" s="62">
        <f t="shared" si="0"/>
        <v>0</v>
      </c>
      <c r="H7" s="63">
        <f t="shared" si="1"/>
        <v>0</v>
      </c>
      <c r="I7" s="203"/>
      <c r="J7" s="203"/>
      <c r="K7" s="203"/>
      <c r="L7" s="203"/>
      <c r="M7" s="57"/>
      <c r="N7" s="58"/>
      <c r="O7" s="59"/>
      <c r="P7" s="56"/>
      <c r="Q7" s="60"/>
      <c r="R7" s="61">
        <f t="shared" si="2"/>
        <v>0</v>
      </c>
      <c r="S7" s="62">
        <f t="shared" si="3"/>
        <v>0</v>
      </c>
      <c r="T7" s="63">
        <f t="shared" si="4"/>
        <v>0</v>
      </c>
      <c r="U7" s="64"/>
      <c r="V7" s="65"/>
      <c r="W7" s="66"/>
      <c r="X7" s="67"/>
      <c r="Y7" s="68"/>
      <c r="Z7" s="68"/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/>
      <c r="AI7" s="66"/>
      <c r="AJ7" s="66"/>
      <c r="AK7" s="62">
        <f t="shared" si="9"/>
        <v>0</v>
      </c>
      <c r="AL7" s="72">
        <f t="shared" si="10"/>
        <v>0</v>
      </c>
      <c r="AM7" s="73">
        <f t="shared" si="11"/>
        <v>0</v>
      </c>
      <c r="AN7" s="74">
        <f t="shared" si="12"/>
        <v>0</v>
      </c>
      <c r="AO7" s="74">
        <f t="shared" si="12"/>
        <v>0</v>
      </c>
      <c r="AP7" s="75" t="e">
        <f t="shared" si="13"/>
        <v>#DIV/0!</v>
      </c>
      <c r="AQ7" s="76">
        <f t="shared" si="14"/>
        <v>0</v>
      </c>
      <c r="AR7" s="90">
        <f t="shared" si="15"/>
        <v>0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/>
      <c r="E8" s="62"/>
      <c r="F8" s="62"/>
      <c r="G8" s="62">
        <f t="shared" si="0"/>
        <v>0</v>
      </c>
      <c r="H8" s="63">
        <f t="shared" si="1"/>
        <v>0</v>
      </c>
      <c r="I8" s="203"/>
      <c r="J8" s="203"/>
      <c r="K8" s="203"/>
      <c r="L8" s="203"/>
      <c r="M8" s="57"/>
      <c r="N8" s="58"/>
      <c r="O8" s="59"/>
      <c r="P8" s="56"/>
      <c r="Q8" s="60"/>
      <c r="R8" s="61">
        <f t="shared" si="2"/>
        <v>0</v>
      </c>
      <c r="S8" s="62">
        <f t="shared" si="3"/>
        <v>0</v>
      </c>
      <c r="T8" s="63">
        <f t="shared" si="4"/>
        <v>0</v>
      </c>
      <c r="U8" s="64"/>
      <c r="V8" s="65"/>
      <c r="W8" s="66"/>
      <c r="X8" s="67"/>
      <c r="Y8" s="68"/>
      <c r="Z8" s="68"/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2">
        <f t="shared" si="8"/>
        <v>0</v>
      </c>
      <c r="AH8" s="89"/>
      <c r="AI8" s="66"/>
      <c r="AJ8" s="66"/>
      <c r="AK8" s="62">
        <f t="shared" si="9"/>
        <v>0</v>
      </c>
      <c r="AL8" s="72">
        <f t="shared" si="10"/>
        <v>0</v>
      </c>
      <c r="AM8" s="73">
        <f t="shared" si="11"/>
        <v>0</v>
      </c>
      <c r="AN8" s="74">
        <f t="shared" si="12"/>
        <v>0</v>
      </c>
      <c r="AO8" s="74">
        <f t="shared" si="12"/>
        <v>0</v>
      </c>
      <c r="AP8" s="75" t="e">
        <f t="shared" si="13"/>
        <v>#DIV/0!</v>
      </c>
      <c r="AQ8" s="76">
        <f t="shared" si="14"/>
        <v>0</v>
      </c>
      <c r="AR8" s="90">
        <f t="shared" si="15"/>
        <v>0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/>
      <c r="E9" s="62"/>
      <c r="F9" s="62"/>
      <c r="G9" s="62">
        <f t="shared" si="0"/>
        <v>0</v>
      </c>
      <c r="H9" s="63">
        <f t="shared" si="1"/>
        <v>0</v>
      </c>
      <c r="I9" s="203"/>
      <c r="J9" s="203"/>
      <c r="K9" s="203"/>
      <c r="L9" s="203"/>
      <c r="M9" s="57"/>
      <c r="N9" s="58"/>
      <c r="O9" s="59"/>
      <c r="P9" s="56"/>
      <c r="Q9" s="60"/>
      <c r="R9" s="61">
        <f t="shared" si="2"/>
        <v>0</v>
      </c>
      <c r="S9" s="62">
        <f t="shared" si="3"/>
        <v>0</v>
      </c>
      <c r="T9" s="63">
        <f t="shared" si="4"/>
        <v>0</v>
      </c>
      <c r="U9" s="64"/>
      <c r="V9" s="65"/>
      <c r="W9" s="66"/>
      <c r="X9" s="67"/>
      <c r="Y9" s="68"/>
      <c r="Z9" s="68"/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2">
        <f t="shared" si="8"/>
        <v>0</v>
      </c>
      <c r="AH9" s="89"/>
      <c r="AI9" s="66"/>
      <c r="AJ9" s="66"/>
      <c r="AK9" s="62">
        <f t="shared" si="9"/>
        <v>0</v>
      </c>
      <c r="AL9" s="72">
        <f t="shared" si="10"/>
        <v>0</v>
      </c>
      <c r="AM9" s="73">
        <f t="shared" si="11"/>
        <v>0</v>
      </c>
      <c r="AN9" s="74">
        <f t="shared" si="12"/>
        <v>0</v>
      </c>
      <c r="AO9" s="74">
        <f t="shared" si="12"/>
        <v>0</v>
      </c>
      <c r="AP9" s="75" t="e">
        <f t="shared" si="13"/>
        <v>#DIV/0!</v>
      </c>
      <c r="AQ9" s="76">
        <f t="shared" si="14"/>
        <v>0</v>
      </c>
      <c r="AR9" s="90">
        <f t="shared" si="15"/>
        <v>0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/>
      <c r="E10" s="62"/>
      <c r="F10" s="62"/>
      <c r="G10" s="62">
        <f t="shared" si="0"/>
        <v>0</v>
      </c>
      <c r="H10" s="63">
        <f t="shared" si="1"/>
        <v>0</v>
      </c>
      <c r="I10" s="203"/>
      <c r="J10" s="203"/>
      <c r="K10" s="203"/>
      <c r="L10" s="203"/>
      <c r="M10" s="57"/>
      <c r="N10" s="58"/>
      <c r="O10" s="59"/>
      <c r="P10" s="56"/>
      <c r="Q10" s="60"/>
      <c r="R10" s="61">
        <f t="shared" si="2"/>
        <v>0</v>
      </c>
      <c r="S10" s="62">
        <f t="shared" si="3"/>
        <v>0</v>
      </c>
      <c r="T10" s="63">
        <f t="shared" si="4"/>
        <v>0</v>
      </c>
      <c r="U10" s="64"/>
      <c r="V10" s="65"/>
      <c r="W10" s="66"/>
      <c r="X10" s="67"/>
      <c r="Y10" s="68"/>
      <c r="Z10" s="68"/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/>
      <c r="AI10" s="66"/>
      <c r="AJ10" s="66"/>
      <c r="AK10" s="62">
        <f t="shared" si="9"/>
        <v>0</v>
      </c>
      <c r="AL10" s="72">
        <f t="shared" si="10"/>
        <v>0</v>
      </c>
      <c r="AM10" s="73">
        <f t="shared" si="11"/>
        <v>0</v>
      </c>
      <c r="AN10" s="74">
        <f t="shared" si="12"/>
        <v>0</v>
      </c>
      <c r="AO10" s="74">
        <f t="shared" si="12"/>
        <v>0</v>
      </c>
      <c r="AP10" s="75" t="e">
        <f t="shared" si="13"/>
        <v>#DIV/0!</v>
      </c>
      <c r="AQ10" s="76">
        <f t="shared" si="14"/>
        <v>0</v>
      </c>
      <c r="AR10" s="90">
        <f t="shared" si="15"/>
        <v>0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/>
      <c r="E11" s="62"/>
      <c r="F11" s="62"/>
      <c r="G11" s="62">
        <f t="shared" si="0"/>
        <v>0</v>
      </c>
      <c r="H11" s="63">
        <f t="shared" si="1"/>
        <v>0</v>
      </c>
      <c r="I11" s="203"/>
      <c r="J11" s="203"/>
      <c r="K11" s="203"/>
      <c r="L11" s="203"/>
      <c r="M11" s="57"/>
      <c r="N11" s="58"/>
      <c r="O11" s="59"/>
      <c r="P11" s="56"/>
      <c r="Q11" s="60"/>
      <c r="R11" s="61">
        <f t="shared" si="2"/>
        <v>0</v>
      </c>
      <c r="S11" s="62">
        <f t="shared" si="3"/>
        <v>0</v>
      </c>
      <c r="T11" s="63">
        <f t="shared" si="4"/>
        <v>0</v>
      </c>
      <c r="U11" s="64"/>
      <c r="V11" s="65"/>
      <c r="W11" s="66"/>
      <c r="X11" s="67"/>
      <c r="Y11" s="68"/>
      <c r="Z11" s="68"/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/>
      <c r="AI11" s="66"/>
      <c r="AJ11" s="66"/>
      <c r="AK11" s="62">
        <f t="shared" si="9"/>
        <v>0</v>
      </c>
      <c r="AL11" s="72">
        <f t="shared" si="10"/>
        <v>0</v>
      </c>
      <c r="AM11" s="73">
        <f t="shared" si="11"/>
        <v>0</v>
      </c>
      <c r="AN11" s="74">
        <f t="shared" si="12"/>
        <v>0</v>
      </c>
      <c r="AO11" s="74">
        <f t="shared" si="12"/>
        <v>0</v>
      </c>
      <c r="AP11" s="75" t="e">
        <f t="shared" si="13"/>
        <v>#DIV/0!</v>
      </c>
      <c r="AQ11" s="76">
        <f t="shared" si="14"/>
        <v>0</v>
      </c>
      <c r="AR11" s="90">
        <f t="shared" si="15"/>
        <v>0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/>
      <c r="E12" s="62"/>
      <c r="F12" s="62"/>
      <c r="G12" s="62">
        <f t="shared" si="0"/>
        <v>0</v>
      </c>
      <c r="H12" s="63">
        <f t="shared" si="1"/>
        <v>0</v>
      </c>
      <c r="I12" s="203"/>
      <c r="J12" s="203"/>
      <c r="K12" s="203"/>
      <c r="L12" s="203"/>
      <c r="M12" s="57"/>
      <c r="N12" s="58"/>
      <c r="O12" s="59"/>
      <c r="P12" s="56"/>
      <c r="Q12" s="60"/>
      <c r="R12" s="61">
        <f t="shared" si="2"/>
        <v>0</v>
      </c>
      <c r="S12" s="62">
        <f t="shared" si="3"/>
        <v>0</v>
      </c>
      <c r="T12" s="63">
        <f t="shared" si="4"/>
        <v>0</v>
      </c>
      <c r="U12" s="64"/>
      <c r="V12" s="65"/>
      <c r="W12" s="66"/>
      <c r="X12" s="67"/>
      <c r="Y12" s="68"/>
      <c r="Z12" s="68"/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/>
      <c r="AI12" s="66"/>
      <c r="AJ12" s="66"/>
      <c r="AK12" s="62">
        <f t="shared" si="9"/>
        <v>0</v>
      </c>
      <c r="AL12" s="72">
        <f t="shared" si="10"/>
        <v>0</v>
      </c>
      <c r="AM12" s="73">
        <f t="shared" si="11"/>
        <v>0</v>
      </c>
      <c r="AN12" s="74">
        <f t="shared" si="12"/>
        <v>0</v>
      </c>
      <c r="AO12" s="74">
        <f t="shared" si="12"/>
        <v>0</v>
      </c>
      <c r="AP12" s="75" t="e">
        <f t="shared" si="13"/>
        <v>#DIV/0!</v>
      </c>
      <c r="AQ12" s="76">
        <f t="shared" si="14"/>
        <v>0</v>
      </c>
      <c r="AR12" s="90">
        <f t="shared" si="15"/>
        <v>0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/>
      <c r="E13" s="62"/>
      <c r="F13" s="62"/>
      <c r="G13" s="62">
        <f t="shared" si="0"/>
        <v>0</v>
      </c>
      <c r="H13" s="63">
        <f t="shared" si="1"/>
        <v>0</v>
      </c>
      <c r="I13" s="203"/>
      <c r="J13" s="203"/>
      <c r="K13" s="203"/>
      <c r="L13" s="203"/>
      <c r="M13" s="57"/>
      <c r="N13" s="58"/>
      <c r="O13" s="59"/>
      <c r="P13" s="56"/>
      <c r="Q13" s="60"/>
      <c r="R13" s="61">
        <f t="shared" si="2"/>
        <v>0</v>
      </c>
      <c r="S13" s="62">
        <f t="shared" si="3"/>
        <v>0</v>
      </c>
      <c r="T13" s="63">
        <f t="shared" si="4"/>
        <v>0</v>
      </c>
      <c r="U13" s="64"/>
      <c r="V13" s="65"/>
      <c r="W13" s="66"/>
      <c r="X13" s="67"/>
      <c r="Y13" s="68"/>
      <c r="Z13" s="68"/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2">
        <f t="shared" si="8"/>
        <v>0</v>
      </c>
      <c r="AH13" s="89"/>
      <c r="AI13" s="66"/>
      <c r="AJ13" s="66"/>
      <c r="AK13" s="62">
        <f t="shared" si="9"/>
        <v>0</v>
      </c>
      <c r="AL13" s="72">
        <f t="shared" si="10"/>
        <v>0</v>
      </c>
      <c r="AM13" s="73">
        <f t="shared" si="11"/>
        <v>0</v>
      </c>
      <c r="AN13" s="74">
        <f t="shared" si="12"/>
        <v>0</v>
      </c>
      <c r="AO13" s="74">
        <f t="shared" si="12"/>
        <v>0</v>
      </c>
      <c r="AP13" s="75" t="e">
        <f t="shared" si="13"/>
        <v>#DIV/0!</v>
      </c>
      <c r="AQ13" s="76">
        <f t="shared" si="14"/>
        <v>0</v>
      </c>
      <c r="AR13" s="90">
        <f t="shared" si="15"/>
        <v>0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/>
      <c r="E14" s="62"/>
      <c r="F14" s="62"/>
      <c r="G14" s="62">
        <f t="shared" si="0"/>
        <v>0</v>
      </c>
      <c r="H14" s="63">
        <f t="shared" si="1"/>
        <v>0</v>
      </c>
      <c r="I14" s="203"/>
      <c r="J14" s="203"/>
      <c r="K14" s="203"/>
      <c r="L14" s="203"/>
      <c r="M14" s="57"/>
      <c r="N14" s="58"/>
      <c r="O14" s="59"/>
      <c r="P14" s="56"/>
      <c r="Q14" s="60"/>
      <c r="R14" s="61">
        <f t="shared" si="2"/>
        <v>0</v>
      </c>
      <c r="S14" s="62">
        <f t="shared" si="3"/>
        <v>0</v>
      </c>
      <c r="T14" s="63">
        <f t="shared" si="4"/>
        <v>0</v>
      </c>
      <c r="U14" s="64"/>
      <c r="V14" s="65"/>
      <c r="W14" s="66"/>
      <c r="X14" s="67"/>
      <c r="Y14" s="68"/>
      <c r="Z14" s="68"/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/>
      <c r="AI14" s="66"/>
      <c r="AJ14" s="66"/>
      <c r="AK14" s="62">
        <f t="shared" si="9"/>
        <v>0</v>
      </c>
      <c r="AL14" s="72">
        <f t="shared" si="10"/>
        <v>0</v>
      </c>
      <c r="AM14" s="73">
        <f t="shared" si="11"/>
        <v>0</v>
      </c>
      <c r="AN14" s="74">
        <f t="shared" si="12"/>
        <v>0</v>
      </c>
      <c r="AO14" s="74">
        <f t="shared" si="12"/>
        <v>0</v>
      </c>
      <c r="AP14" s="75" t="e">
        <f t="shared" si="13"/>
        <v>#DIV/0!</v>
      </c>
      <c r="AQ14" s="76">
        <f t="shared" si="14"/>
        <v>0</v>
      </c>
      <c r="AR14" s="90">
        <f t="shared" si="15"/>
        <v>0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/>
      <c r="E15" s="62"/>
      <c r="F15" s="62"/>
      <c r="G15" s="62">
        <f t="shared" si="0"/>
        <v>0</v>
      </c>
      <c r="H15" s="63">
        <f t="shared" si="1"/>
        <v>0</v>
      </c>
      <c r="I15" s="203"/>
      <c r="J15" s="203"/>
      <c r="K15" s="203"/>
      <c r="L15" s="203"/>
      <c r="M15" s="57"/>
      <c r="N15" s="58"/>
      <c r="O15" s="59"/>
      <c r="P15" s="56"/>
      <c r="Q15" s="60"/>
      <c r="R15" s="61">
        <f t="shared" si="2"/>
        <v>0</v>
      </c>
      <c r="S15" s="62">
        <f t="shared" si="3"/>
        <v>0</v>
      </c>
      <c r="T15" s="63">
        <f t="shared" si="4"/>
        <v>0</v>
      </c>
      <c r="U15" s="64"/>
      <c r="V15" s="65"/>
      <c r="W15" s="66"/>
      <c r="X15" s="67"/>
      <c r="Y15" s="68"/>
      <c r="Z15" s="68"/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/>
      <c r="AI15" s="66"/>
      <c r="AJ15" s="66"/>
      <c r="AK15" s="62">
        <f t="shared" si="9"/>
        <v>0</v>
      </c>
      <c r="AL15" s="72">
        <f t="shared" si="10"/>
        <v>0</v>
      </c>
      <c r="AM15" s="73">
        <f t="shared" si="11"/>
        <v>0</v>
      </c>
      <c r="AN15" s="74">
        <f t="shared" si="12"/>
        <v>0</v>
      </c>
      <c r="AO15" s="74">
        <f t="shared" si="12"/>
        <v>0</v>
      </c>
      <c r="AP15" s="75" t="e">
        <f t="shared" si="13"/>
        <v>#DIV/0!</v>
      </c>
      <c r="AQ15" s="76">
        <f t="shared" si="14"/>
        <v>0</v>
      </c>
      <c r="AR15" s="90">
        <f t="shared" si="15"/>
        <v>0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/>
      <c r="E16" s="62"/>
      <c r="F16" s="62"/>
      <c r="G16" s="62">
        <f t="shared" si="0"/>
        <v>0</v>
      </c>
      <c r="H16" s="63">
        <f t="shared" si="1"/>
        <v>0</v>
      </c>
      <c r="I16" s="203"/>
      <c r="J16" s="203"/>
      <c r="K16" s="203"/>
      <c r="L16" s="203"/>
      <c r="M16" s="57"/>
      <c r="N16" s="58"/>
      <c r="O16" s="59"/>
      <c r="P16" s="56"/>
      <c r="Q16" s="60"/>
      <c r="R16" s="61">
        <f t="shared" si="2"/>
        <v>0</v>
      </c>
      <c r="S16" s="62">
        <f t="shared" si="3"/>
        <v>0</v>
      </c>
      <c r="T16" s="63">
        <f t="shared" si="4"/>
        <v>0</v>
      </c>
      <c r="U16" s="64"/>
      <c r="V16" s="65"/>
      <c r="W16" s="66"/>
      <c r="X16" s="67"/>
      <c r="Y16" s="68"/>
      <c r="Z16" s="68"/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2">
        <f t="shared" si="8"/>
        <v>0</v>
      </c>
      <c r="AH16" s="89"/>
      <c r="AI16" s="66"/>
      <c r="AJ16" s="66"/>
      <c r="AK16" s="62">
        <f t="shared" si="9"/>
        <v>0</v>
      </c>
      <c r="AL16" s="72">
        <f t="shared" si="10"/>
        <v>0</v>
      </c>
      <c r="AM16" s="73">
        <f t="shared" si="11"/>
        <v>0</v>
      </c>
      <c r="AN16" s="74">
        <f t="shared" si="12"/>
        <v>0</v>
      </c>
      <c r="AO16" s="74">
        <f t="shared" si="12"/>
        <v>0</v>
      </c>
      <c r="AP16" s="75" t="e">
        <f t="shared" si="13"/>
        <v>#DIV/0!</v>
      </c>
      <c r="AQ16" s="76">
        <f t="shared" si="14"/>
        <v>0</v>
      </c>
      <c r="AR16" s="90">
        <f t="shared" si="15"/>
        <v>0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/>
      <c r="E17" s="62"/>
      <c r="F17" s="62"/>
      <c r="G17" s="62">
        <f t="shared" si="0"/>
        <v>0</v>
      </c>
      <c r="H17" s="63">
        <f t="shared" si="1"/>
        <v>0</v>
      </c>
      <c r="I17" s="203"/>
      <c r="J17" s="203"/>
      <c r="K17" s="203"/>
      <c r="L17" s="203"/>
      <c r="M17" s="57"/>
      <c r="N17" s="58"/>
      <c r="O17" s="59"/>
      <c r="P17" s="56"/>
      <c r="Q17" s="60"/>
      <c r="R17" s="61">
        <f t="shared" si="2"/>
        <v>0</v>
      </c>
      <c r="S17" s="62">
        <f t="shared" si="3"/>
        <v>0</v>
      </c>
      <c r="T17" s="63">
        <f t="shared" si="4"/>
        <v>0</v>
      </c>
      <c r="U17" s="64"/>
      <c r="V17" s="65"/>
      <c r="W17" s="66"/>
      <c r="X17" s="67"/>
      <c r="Y17" s="68"/>
      <c r="Z17" s="68"/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/>
      <c r="AI17" s="66"/>
      <c r="AJ17" s="66"/>
      <c r="AK17" s="62">
        <f t="shared" si="9"/>
        <v>0</v>
      </c>
      <c r="AL17" s="72">
        <f t="shared" si="10"/>
        <v>0</v>
      </c>
      <c r="AM17" s="73">
        <f t="shared" si="11"/>
        <v>0</v>
      </c>
      <c r="AN17" s="74">
        <f t="shared" si="12"/>
        <v>0</v>
      </c>
      <c r="AO17" s="74">
        <f t="shared" si="12"/>
        <v>0</v>
      </c>
      <c r="AP17" s="75" t="e">
        <f t="shared" si="13"/>
        <v>#DIV/0!</v>
      </c>
      <c r="AQ17" s="76">
        <f t="shared" si="14"/>
        <v>0</v>
      </c>
      <c r="AR17" s="90">
        <f t="shared" si="15"/>
        <v>0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/>
      <c r="E18" s="62"/>
      <c r="F18" s="62"/>
      <c r="G18" s="62">
        <f t="shared" si="0"/>
        <v>0</v>
      </c>
      <c r="H18" s="63">
        <f t="shared" si="1"/>
        <v>0</v>
      </c>
      <c r="I18" s="203"/>
      <c r="J18" s="203"/>
      <c r="K18" s="203"/>
      <c r="L18" s="203"/>
      <c r="M18" s="57"/>
      <c r="N18" s="58"/>
      <c r="O18" s="59"/>
      <c r="P18" s="56"/>
      <c r="Q18" s="60"/>
      <c r="R18" s="61">
        <f t="shared" si="2"/>
        <v>0</v>
      </c>
      <c r="S18" s="62">
        <f t="shared" si="3"/>
        <v>0</v>
      </c>
      <c r="T18" s="63">
        <f t="shared" si="4"/>
        <v>0</v>
      </c>
      <c r="U18" s="64"/>
      <c r="V18" s="65"/>
      <c r="W18" s="66"/>
      <c r="X18" s="67"/>
      <c r="Y18" s="68"/>
      <c r="Z18" s="68"/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/>
      <c r="AI18" s="66"/>
      <c r="AJ18" s="66"/>
      <c r="AK18" s="62">
        <f t="shared" si="9"/>
        <v>0</v>
      </c>
      <c r="AL18" s="72">
        <f t="shared" si="10"/>
        <v>0</v>
      </c>
      <c r="AM18" s="73">
        <f t="shared" si="11"/>
        <v>0</v>
      </c>
      <c r="AN18" s="74">
        <f t="shared" si="12"/>
        <v>0</v>
      </c>
      <c r="AO18" s="74">
        <f t="shared" si="12"/>
        <v>0</v>
      </c>
      <c r="AP18" s="75" t="e">
        <f t="shared" si="13"/>
        <v>#DIV/0!</v>
      </c>
      <c r="AQ18" s="76">
        <f t="shared" si="14"/>
        <v>0</v>
      </c>
      <c r="AR18" s="90">
        <f>(D18+J18+O18)-(X18+AH18)</f>
        <v>0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/>
      <c r="E19" s="62"/>
      <c r="F19" s="62"/>
      <c r="G19" s="62">
        <f t="shared" si="0"/>
        <v>0</v>
      </c>
      <c r="H19" s="63">
        <f t="shared" si="1"/>
        <v>0</v>
      </c>
      <c r="I19" s="203"/>
      <c r="J19" s="203"/>
      <c r="K19" s="203"/>
      <c r="L19" s="203"/>
      <c r="M19" s="57"/>
      <c r="N19" s="58"/>
      <c r="O19" s="59"/>
      <c r="P19" s="56"/>
      <c r="Q19" s="60"/>
      <c r="R19" s="61">
        <f t="shared" si="2"/>
        <v>0</v>
      </c>
      <c r="S19" s="62">
        <f t="shared" si="3"/>
        <v>0</v>
      </c>
      <c r="T19" s="63">
        <f t="shared" si="4"/>
        <v>0</v>
      </c>
      <c r="U19" s="64"/>
      <c r="V19" s="65"/>
      <c r="W19" s="66"/>
      <c r="X19" s="67"/>
      <c r="Y19" s="68"/>
      <c r="Z19" s="68"/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/>
      <c r="AI19" s="66"/>
      <c r="AJ19" s="66"/>
      <c r="AK19" s="62">
        <f t="shared" si="9"/>
        <v>0</v>
      </c>
      <c r="AL19" s="72">
        <f t="shared" si="10"/>
        <v>0</v>
      </c>
      <c r="AM19" s="73">
        <f t="shared" si="11"/>
        <v>0</v>
      </c>
      <c r="AN19" s="74">
        <f t="shared" si="12"/>
        <v>0</v>
      </c>
      <c r="AO19" s="74">
        <f t="shared" si="12"/>
        <v>0</v>
      </c>
      <c r="AP19" s="75" t="e">
        <f t="shared" si="13"/>
        <v>#DIV/0!</v>
      </c>
      <c r="AQ19" s="76">
        <f t="shared" si="14"/>
        <v>0</v>
      </c>
      <c r="AR19" s="90">
        <f>(D19+J19+O19)-(X19+AH19)</f>
        <v>0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/>
      <c r="E20" s="62"/>
      <c r="F20" s="62"/>
      <c r="G20" s="62">
        <f t="shared" si="0"/>
        <v>0</v>
      </c>
      <c r="H20" s="63">
        <f t="shared" si="1"/>
        <v>0</v>
      </c>
      <c r="I20" s="203"/>
      <c r="J20" s="203"/>
      <c r="K20" s="203"/>
      <c r="L20" s="203"/>
      <c r="M20" s="57"/>
      <c r="N20" s="58"/>
      <c r="O20" s="59"/>
      <c r="P20" s="56"/>
      <c r="Q20" s="60"/>
      <c r="R20" s="61">
        <f t="shared" si="2"/>
        <v>0</v>
      </c>
      <c r="S20" s="62">
        <f t="shared" si="3"/>
        <v>0</v>
      </c>
      <c r="T20" s="63">
        <f t="shared" si="4"/>
        <v>0</v>
      </c>
      <c r="U20" s="64"/>
      <c r="V20" s="65"/>
      <c r="W20" s="66"/>
      <c r="X20" s="67"/>
      <c r="Y20" s="68"/>
      <c r="Z20" s="68"/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/>
      <c r="AI20" s="66"/>
      <c r="AJ20" s="66"/>
      <c r="AK20" s="62">
        <f t="shared" si="9"/>
        <v>0</v>
      </c>
      <c r="AL20" s="72">
        <f t="shared" si="10"/>
        <v>0</v>
      </c>
      <c r="AM20" s="73">
        <f t="shared" si="11"/>
        <v>0</v>
      </c>
      <c r="AN20" s="74">
        <f t="shared" ref="AN20:AO65" si="18">+G20+S20-AF20-AK20</f>
        <v>0</v>
      </c>
      <c r="AO20" s="74">
        <f t="shared" si="18"/>
        <v>0</v>
      </c>
      <c r="AP20" s="75" t="e">
        <f t="shared" si="13"/>
        <v>#DIV/0!</v>
      </c>
      <c r="AQ20" s="76">
        <f t="shared" si="14"/>
        <v>0</v>
      </c>
      <c r="AR20" s="90">
        <f>(D20+J20+O20)-(X20+AH20)</f>
        <v>0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/>
      <c r="E21" s="62"/>
      <c r="F21" s="62"/>
      <c r="G21" s="62">
        <f t="shared" si="0"/>
        <v>0</v>
      </c>
      <c r="H21" s="63">
        <f t="shared" si="1"/>
        <v>0</v>
      </c>
      <c r="I21" s="203"/>
      <c r="J21" s="203"/>
      <c r="K21" s="203"/>
      <c r="L21" s="203"/>
      <c r="M21" s="57"/>
      <c r="N21" s="58"/>
      <c r="O21" s="59"/>
      <c r="P21" s="56"/>
      <c r="Q21" s="60"/>
      <c r="R21" s="61">
        <f t="shared" si="2"/>
        <v>0</v>
      </c>
      <c r="S21" s="62">
        <f t="shared" si="3"/>
        <v>0</v>
      </c>
      <c r="T21" s="63">
        <f t="shared" si="4"/>
        <v>0</v>
      </c>
      <c r="U21" s="64"/>
      <c r="V21" s="65"/>
      <c r="W21" s="66"/>
      <c r="X21" s="67"/>
      <c r="Y21" s="68"/>
      <c r="Z21" s="68"/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2">
        <f t="shared" si="8"/>
        <v>0</v>
      </c>
      <c r="AH21" s="89"/>
      <c r="AI21" s="66"/>
      <c r="AJ21" s="66"/>
      <c r="AK21" s="62">
        <f t="shared" si="9"/>
        <v>0</v>
      </c>
      <c r="AL21" s="72">
        <f t="shared" si="10"/>
        <v>0</v>
      </c>
      <c r="AM21" s="73">
        <f t="shared" si="11"/>
        <v>0</v>
      </c>
      <c r="AN21" s="74">
        <f t="shared" si="18"/>
        <v>0</v>
      </c>
      <c r="AO21" s="74">
        <f t="shared" si="18"/>
        <v>0</v>
      </c>
      <c r="AP21" s="75" t="e">
        <f t="shared" si="13"/>
        <v>#DIV/0!</v>
      </c>
      <c r="AQ21" s="76">
        <f t="shared" si="14"/>
        <v>0</v>
      </c>
      <c r="AR21" s="90">
        <f>(D21+J21+O21)-(X21+AH21)</f>
        <v>0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/>
      <c r="E22" s="62"/>
      <c r="F22" s="62"/>
      <c r="G22" s="62">
        <f t="shared" si="0"/>
        <v>0</v>
      </c>
      <c r="H22" s="63">
        <f t="shared" si="1"/>
        <v>0</v>
      </c>
      <c r="I22" s="203"/>
      <c r="J22" s="203"/>
      <c r="K22" s="203"/>
      <c r="L22" s="203"/>
      <c r="M22" s="57"/>
      <c r="N22" s="58"/>
      <c r="O22" s="59"/>
      <c r="P22" s="56"/>
      <c r="Q22" s="60"/>
      <c r="R22" s="61">
        <f t="shared" si="2"/>
        <v>0</v>
      </c>
      <c r="S22" s="62">
        <f t="shared" si="3"/>
        <v>0</v>
      </c>
      <c r="T22" s="63">
        <f t="shared" si="4"/>
        <v>0</v>
      </c>
      <c r="U22" s="64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/>
      <c r="AI22" s="66"/>
      <c r="AJ22" s="66"/>
      <c r="AK22" s="62">
        <f t="shared" si="9"/>
        <v>0</v>
      </c>
      <c r="AL22" s="72">
        <f t="shared" si="10"/>
        <v>0</v>
      </c>
      <c r="AM22" s="73">
        <f t="shared" si="11"/>
        <v>0</v>
      </c>
      <c r="AN22" s="74">
        <f t="shared" si="18"/>
        <v>0</v>
      </c>
      <c r="AO22" s="74">
        <f t="shared" si="18"/>
        <v>0</v>
      </c>
      <c r="AP22" s="75" t="e">
        <f t="shared" si="13"/>
        <v>#DIV/0!</v>
      </c>
      <c r="AQ22" s="76">
        <f t="shared" si="14"/>
        <v>0</v>
      </c>
      <c r="AR22" s="90">
        <f t="shared" si="15"/>
        <v>0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/>
      <c r="E23" s="62"/>
      <c r="F23" s="62"/>
      <c r="G23" s="62">
        <f t="shared" si="0"/>
        <v>0</v>
      </c>
      <c r="H23" s="63">
        <f t="shared" si="1"/>
        <v>0</v>
      </c>
      <c r="I23" s="203"/>
      <c r="J23" s="203"/>
      <c r="K23" s="203"/>
      <c r="L23" s="203"/>
      <c r="M23" s="57"/>
      <c r="N23" s="58"/>
      <c r="O23" s="59"/>
      <c r="P23" s="56"/>
      <c r="Q23" s="60"/>
      <c r="R23" s="61">
        <f t="shared" si="2"/>
        <v>0</v>
      </c>
      <c r="S23" s="62">
        <f t="shared" si="3"/>
        <v>0</v>
      </c>
      <c r="T23" s="63">
        <f t="shared" si="4"/>
        <v>0</v>
      </c>
      <c r="U23" s="64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2">
        <f t="shared" si="8"/>
        <v>0</v>
      </c>
      <c r="AH23" s="89"/>
      <c r="AI23" s="66"/>
      <c r="AJ23" s="66"/>
      <c r="AK23" s="62">
        <f t="shared" si="9"/>
        <v>0</v>
      </c>
      <c r="AL23" s="72">
        <f t="shared" si="10"/>
        <v>0</v>
      </c>
      <c r="AM23" s="73">
        <f t="shared" si="11"/>
        <v>0</v>
      </c>
      <c r="AN23" s="74">
        <f t="shared" si="18"/>
        <v>0</v>
      </c>
      <c r="AO23" s="74">
        <f t="shared" si="18"/>
        <v>0</v>
      </c>
      <c r="AP23" s="75" t="e">
        <f t="shared" si="13"/>
        <v>#DIV/0!</v>
      </c>
      <c r="AQ23" s="76">
        <f t="shared" si="14"/>
        <v>0</v>
      </c>
      <c r="AR23" s="90">
        <f t="shared" si="15"/>
        <v>0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/>
      <c r="E24" s="62"/>
      <c r="F24" s="62"/>
      <c r="G24" s="62">
        <f t="shared" si="0"/>
        <v>0</v>
      </c>
      <c r="H24" s="63">
        <f t="shared" si="1"/>
        <v>0</v>
      </c>
      <c r="I24" s="203"/>
      <c r="J24" s="203"/>
      <c r="K24" s="203"/>
      <c r="L24" s="203"/>
      <c r="M24" s="57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/>
      <c r="AI24" s="66"/>
      <c r="AJ24" s="66"/>
      <c r="AK24" s="62">
        <f t="shared" si="9"/>
        <v>0</v>
      </c>
      <c r="AL24" s="72">
        <f t="shared" si="10"/>
        <v>0</v>
      </c>
      <c r="AM24" s="73">
        <f t="shared" si="11"/>
        <v>0</v>
      </c>
      <c r="AN24" s="74">
        <f t="shared" si="18"/>
        <v>0</v>
      </c>
      <c r="AO24" s="74">
        <f t="shared" si="18"/>
        <v>0</v>
      </c>
      <c r="AP24" s="75" t="e">
        <f t="shared" si="13"/>
        <v>#DIV/0!</v>
      </c>
      <c r="AQ24" s="76">
        <f t="shared" si="14"/>
        <v>0</v>
      </c>
      <c r="AR24" s="90">
        <f t="shared" si="15"/>
        <v>0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/>
      <c r="E25" s="62"/>
      <c r="F25" s="62"/>
      <c r="G25" s="62">
        <f t="shared" si="0"/>
        <v>0</v>
      </c>
      <c r="H25" s="63">
        <f t="shared" si="1"/>
        <v>0</v>
      </c>
      <c r="I25" s="203"/>
      <c r="J25" s="203"/>
      <c r="K25" s="203"/>
      <c r="L25" s="203"/>
      <c r="M25" s="57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/>
      <c r="AI25" s="66"/>
      <c r="AJ25" s="66"/>
      <c r="AK25" s="62">
        <f t="shared" si="9"/>
        <v>0</v>
      </c>
      <c r="AL25" s="72">
        <f t="shared" si="10"/>
        <v>0</v>
      </c>
      <c r="AM25" s="73">
        <f t="shared" si="11"/>
        <v>0</v>
      </c>
      <c r="AN25" s="74">
        <f t="shared" si="18"/>
        <v>0</v>
      </c>
      <c r="AO25" s="74">
        <f t="shared" si="18"/>
        <v>0</v>
      </c>
      <c r="AP25" s="75" t="e">
        <f t="shared" si="13"/>
        <v>#DIV/0!</v>
      </c>
      <c r="AQ25" s="76">
        <f t="shared" si="14"/>
        <v>0</v>
      </c>
      <c r="AR25" s="90">
        <f t="shared" si="15"/>
        <v>0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/>
      <c r="E26" s="62"/>
      <c r="F26" s="62"/>
      <c r="G26" s="62">
        <f t="shared" si="0"/>
        <v>0</v>
      </c>
      <c r="H26" s="63">
        <f t="shared" si="1"/>
        <v>0</v>
      </c>
      <c r="I26" s="203"/>
      <c r="J26" s="203"/>
      <c r="K26" s="203"/>
      <c r="L26" s="203"/>
      <c r="M26" s="57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1"/>
        <v>0</v>
      </c>
      <c r="AN26" s="74">
        <f t="shared" si="18"/>
        <v>0</v>
      </c>
      <c r="AO26" s="74">
        <f t="shared" si="18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/>
      <c r="E27" s="62"/>
      <c r="F27" s="62"/>
      <c r="G27" s="62">
        <f t="shared" si="0"/>
        <v>0</v>
      </c>
      <c r="H27" s="63">
        <f t="shared" si="1"/>
        <v>0</v>
      </c>
      <c r="I27" s="203"/>
      <c r="J27" s="203"/>
      <c r="K27" s="203"/>
      <c r="L27" s="203"/>
      <c r="M27" s="57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1"/>
        <v>0</v>
      </c>
      <c r="AN27" s="74">
        <f t="shared" si="18"/>
        <v>0</v>
      </c>
      <c r="AO27" s="74">
        <f t="shared" si="18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/>
      <c r="E28" s="62"/>
      <c r="F28" s="62"/>
      <c r="G28" s="62">
        <f t="shared" si="0"/>
        <v>0</v>
      </c>
      <c r="H28" s="63">
        <f t="shared" si="1"/>
        <v>0</v>
      </c>
      <c r="I28" s="203"/>
      <c r="J28" s="203"/>
      <c r="K28" s="203"/>
      <c r="L28" s="203"/>
      <c r="M28" s="57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2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1"/>
        <v>0</v>
      </c>
      <c r="AN28" s="74">
        <f t="shared" si="18"/>
        <v>0</v>
      </c>
      <c r="AO28" s="74">
        <f t="shared" si="18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/>
      <c r="E29" s="62"/>
      <c r="F29" s="62"/>
      <c r="G29" s="62">
        <f t="shared" si="0"/>
        <v>0</v>
      </c>
      <c r="H29" s="63">
        <f t="shared" si="1"/>
        <v>0</v>
      </c>
      <c r="I29" s="203"/>
      <c r="J29" s="203"/>
      <c r="K29" s="203"/>
      <c r="L29" s="203"/>
      <c r="M29" s="57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2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1"/>
        <v>0</v>
      </c>
      <c r="AN29" s="74">
        <f t="shared" si="18"/>
        <v>0</v>
      </c>
      <c r="AO29" s="74">
        <f t="shared" si="18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/>
      <c r="E30" s="62"/>
      <c r="F30" s="62"/>
      <c r="G30" s="62">
        <f t="shared" si="0"/>
        <v>0</v>
      </c>
      <c r="H30" s="63">
        <f t="shared" si="1"/>
        <v>0</v>
      </c>
      <c r="I30" s="203"/>
      <c r="J30" s="203"/>
      <c r="K30" s="203"/>
      <c r="L30" s="203"/>
      <c r="M30" s="57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2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1"/>
        <v>0</v>
      </c>
      <c r="AN30" s="74">
        <f t="shared" si="18"/>
        <v>0</v>
      </c>
      <c r="AO30" s="74">
        <f t="shared" si="18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/>
      <c r="E31" s="62"/>
      <c r="F31" s="62"/>
      <c r="G31" s="62">
        <f t="shared" si="0"/>
        <v>0</v>
      </c>
      <c r="H31" s="63">
        <f t="shared" si="1"/>
        <v>0</v>
      </c>
      <c r="I31" s="203"/>
      <c r="J31" s="203"/>
      <c r="K31" s="203"/>
      <c r="L31" s="203"/>
      <c r="M31" s="57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2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1"/>
        <v>0</v>
      </c>
      <c r="AN31" s="74">
        <f t="shared" si="18"/>
        <v>0</v>
      </c>
      <c r="AO31" s="74">
        <f t="shared" si="18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/>
      <c r="E32" s="62"/>
      <c r="F32" s="62"/>
      <c r="G32" s="62">
        <f t="shared" si="0"/>
        <v>0</v>
      </c>
      <c r="H32" s="63">
        <f t="shared" si="1"/>
        <v>0</v>
      </c>
      <c r="I32" s="203"/>
      <c r="J32" s="203"/>
      <c r="K32" s="203"/>
      <c r="L32" s="203"/>
      <c r="M32" s="57"/>
      <c r="N32" s="58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2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1"/>
        <v>0</v>
      </c>
      <c r="AN32" s="74">
        <f t="shared" si="18"/>
        <v>0</v>
      </c>
      <c r="AO32" s="74">
        <f t="shared" si="18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/>
      <c r="E33" s="62"/>
      <c r="F33" s="62"/>
      <c r="G33" s="62">
        <f t="shared" si="0"/>
        <v>0</v>
      </c>
      <c r="H33" s="63">
        <f t="shared" si="1"/>
        <v>0</v>
      </c>
      <c r="I33" s="203"/>
      <c r="J33" s="203"/>
      <c r="K33" s="203"/>
      <c r="L33" s="203"/>
      <c r="M33" s="57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2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1"/>
        <v>0</v>
      </c>
      <c r="AN33" s="74">
        <f t="shared" si="18"/>
        <v>0</v>
      </c>
      <c r="AO33" s="74">
        <f t="shared" si="18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/>
      <c r="E34" s="62"/>
      <c r="F34" s="62"/>
      <c r="G34" s="62">
        <f t="shared" si="0"/>
        <v>0</v>
      </c>
      <c r="H34" s="63">
        <f t="shared" si="1"/>
        <v>0</v>
      </c>
      <c r="I34" s="203"/>
      <c r="J34" s="203"/>
      <c r="K34" s="203"/>
      <c r="L34" s="203"/>
      <c r="M34" s="57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2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1"/>
        <v>0</v>
      </c>
      <c r="AN34" s="74">
        <f t="shared" si="18"/>
        <v>0</v>
      </c>
      <c r="AO34" s="74">
        <f t="shared" si="18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/>
      <c r="E35" s="62"/>
      <c r="F35" s="62"/>
      <c r="G35" s="62">
        <f t="shared" si="0"/>
        <v>0</v>
      </c>
      <c r="H35" s="63">
        <f t="shared" si="1"/>
        <v>0</v>
      </c>
      <c r="I35" s="203"/>
      <c r="J35" s="203"/>
      <c r="K35" s="203"/>
      <c r="L35" s="203"/>
      <c r="M35" s="57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2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1"/>
        <v>0</v>
      </c>
      <c r="AN35" s="74">
        <f t="shared" si="18"/>
        <v>0</v>
      </c>
      <c r="AO35" s="74">
        <f t="shared" si="18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>
        <v>0</v>
      </c>
      <c r="E36" s="62">
        <v>0</v>
      </c>
      <c r="F36" s="62">
        <v>0</v>
      </c>
      <c r="G36" s="62">
        <f t="shared" si="0"/>
        <v>0</v>
      </c>
      <c r="H36" s="63">
        <f t="shared" si="1"/>
        <v>0</v>
      </c>
      <c r="I36" s="203">
        <v>786.5</v>
      </c>
      <c r="J36" s="203">
        <v>810.09500000000003</v>
      </c>
      <c r="K36" s="203">
        <v>4.1627717736808654</v>
      </c>
      <c r="L36" s="203">
        <v>8.1379148124602665</v>
      </c>
      <c r="M36" s="57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810.09500000000003</v>
      </c>
      <c r="S36" s="62">
        <f t="shared" si="3"/>
        <v>33.722406000000007</v>
      </c>
      <c r="T36" s="63">
        <f t="shared" si="4"/>
        <v>65.924841000000001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2">
        <f t="shared" si="8"/>
        <v>0</v>
      </c>
      <c r="AH36" s="89">
        <v>810</v>
      </c>
      <c r="AI36" s="66">
        <v>4</v>
      </c>
      <c r="AJ36" s="66">
        <v>8.1</v>
      </c>
      <c r="AK36" s="62">
        <f t="shared" si="9"/>
        <v>32.4</v>
      </c>
      <c r="AL36" s="72">
        <f t="shared" si="10"/>
        <v>65.61</v>
      </c>
      <c r="AM36" s="73">
        <f t="shared" si="11"/>
        <v>9.5000000000027285E-2</v>
      </c>
      <c r="AN36" s="74">
        <f t="shared" si="18"/>
        <v>1.322406000000008</v>
      </c>
      <c r="AO36" s="74">
        <f t="shared" si="18"/>
        <v>0.31484100000000126</v>
      </c>
      <c r="AP36" s="75">
        <f t="shared" si="13"/>
        <v>1.6430428830612943E-2</v>
      </c>
      <c r="AQ36" s="76">
        <f t="shared" si="14"/>
        <v>687.86479300000406</v>
      </c>
      <c r="AR36" s="90">
        <f t="shared" si="15"/>
        <v>9.5000000000027285E-2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>
        <v>810</v>
      </c>
      <c r="E37" s="62">
        <v>4</v>
      </c>
      <c r="F37" s="62">
        <v>8.1</v>
      </c>
      <c r="G37" s="62">
        <f t="shared" si="0"/>
        <v>32.4</v>
      </c>
      <c r="H37" s="63">
        <f t="shared" si="1"/>
        <v>65.61</v>
      </c>
      <c r="I37" s="203">
        <v>650.49999999999989</v>
      </c>
      <c r="J37" s="203">
        <v>670.01499999999987</v>
      </c>
      <c r="K37" s="203">
        <v>3.9941890853189861</v>
      </c>
      <c r="L37" s="203">
        <v>8.2764027671022298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670.01499999999987</v>
      </c>
      <c r="S37" s="62">
        <f t="shared" si="3"/>
        <v>26.761665999999998</v>
      </c>
      <c r="T37" s="63">
        <f t="shared" si="4"/>
        <v>55.453139999999991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2">
        <f t="shared" si="8"/>
        <v>0</v>
      </c>
      <c r="AH37" s="89">
        <v>1480</v>
      </c>
      <c r="AI37" s="66">
        <v>3.95</v>
      </c>
      <c r="AJ37" s="66">
        <v>8.17</v>
      </c>
      <c r="AK37" s="62">
        <f t="shared" si="9"/>
        <v>58.46</v>
      </c>
      <c r="AL37" s="72">
        <f t="shared" si="10"/>
        <v>120.916</v>
      </c>
      <c r="AM37" s="73">
        <f t="shared" si="11"/>
        <v>1.4999999999872671E-2</v>
      </c>
      <c r="AN37" s="74">
        <f t="shared" si="18"/>
        <v>0.7016659999999959</v>
      </c>
      <c r="AO37" s="74">
        <f t="shared" si="18"/>
        <v>0.14713999999999317</v>
      </c>
      <c r="AP37" s="75">
        <f t="shared" si="13"/>
        <v>1.0324247435431391E-2</v>
      </c>
      <c r="AQ37" s="76">
        <f t="shared" si="14"/>
        <v>359.01996232666284</v>
      </c>
      <c r="AR37" s="90">
        <f t="shared" si="15"/>
        <v>1.4999999999872671E-2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>
        <v>1480</v>
      </c>
      <c r="E38" s="62">
        <v>3.95</v>
      </c>
      <c r="F38" s="62">
        <v>8.17</v>
      </c>
      <c r="G38" s="62">
        <f t="shared" si="0"/>
        <v>58.46</v>
      </c>
      <c r="H38" s="63">
        <f t="shared" si="1"/>
        <v>120.916</v>
      </c>
      <c r="I38" s="203">
        <v>267.5</v>
      </c>
      <c r="J38" s="203">
        <v>275.52500000000003</v>
      </c>
      <c r="K38" s="203">
        <v>4.1240747663551387</v>
      </c>
      <c r="L38" s="203">
        <v>8.2886355140186918</v>
      </c>
      <c r="M38" s="57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275.52500000000003</v>
      </c>
      <c r="S38" s="62">
        <f t="shared" si="3"/>
        <v>11.362856999999998</v>
      </c>
      <c r="T38" s="63">
        <f t="shared" si="4"/>
        <v>22.837263000000004</v>
      </c>
      <c r="U38" s="64" t="s">
        <v>167</v>
      </c>
      <c r="V38" s="65" t="s">
        <v>187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2">
        <f t="shared" si="8"/>
        <v>0</v>
      </c>
      <c r="AH38" s="89">
        <v>1755</v>
      </c>
      <c r="AI38" s="66">
        <v>3.97</v>
      </c>
      <c r="AJ38" s="66">
        <v>8.18</v>
      </c>
      <c r="AK38" s="62">
        <f t="shared" si="9"/>
        <v>69.673500000000004</v>
      </c>
      <c r="AL38" s="72">
        <f t="shared" si="10"/>
        <v>143.559</v>
      </c>
      <c r="AM38" s="73">
        <f t="shared" si="11"/>
        <v>0.52500000000009095</v>
      </c>
      <c r="AN38" s="74">
        <f t="shared" si="18"/>
        <v>0.14935699999999485</v>
      </c>
      <c r="AO38" s="74">
        <f t="shared" si="18"/>
        <v>0.19426300000000651</v>
      </c>
      <c r="AP38" s="75">
        <f t="shared" si="13"/>
        <v>1.0047333167252086E-2</v>
      </c>
      <c r="AQ38" s="76">
        <f t="shared" si="14"/>
        <v>125.18558642333298</v>
      </c>
      <c r="AR38" s="90">
        <f t="shared" si="15"/>
        <v>0.52500000000009095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>
        <v>1755</v>
      </c>
      <c r="E39" s="62">
        <v>3.97</v>
      </c>
      <c r="F39" s="62">
        <v>8.18</v>
      </c>
      <c r="G39" s="62">
        <f t="shared" si="0"/>
        <v>69.673500000000004</v>
      </c>
      <c r="H39" s="63">
        <f t="shared" si="1"/>
        <v>143.559</v>
      </c>
      <c r="I39" s="203">
        <v>712.5</v>
      </c>
      <c r="J39" s="203">
        <v>733.875</v>
      </c>
      <c r="K39" s="203">
        <v>3.5054736842105272</v>
      </c>
      <c r="L39" s="203">
        <v>8.14565614035088</v>
      </c>
      <c r="M39" s="57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733.875</v>
      </c>
      <c r="S39" s="62">
        <f t="shared" si="3"/>
        <v>25.725795000000005</v>
      </c>
      <c r="T39" s="63">
        <f t="shared" si="4"/>
        <v>59.778934000000028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2">
        <f t="shared" si="8"/>
        <v>0</v>
      </c>
      <c r="AH39" s="89">
        <v>2488</v>
      </c>
      <c r="AI39" s="66">
        <v>3.8</v>
      </c>
      <c r="AJ39" s="66">
        <v>8.16</v>
      </c>
      <c r="AK39" s="62">
        <f t="shared" si="9"/>
        <v>94.543999999999997</v>
      </c>
      <c r="AL39" s="72">
        <f t="shared" si="10"/>
        <v>203.02080000000001</v>
      </c>
      <c r="AM39" s="73">
        <f t="shared" si="11"/>
        <v>0.875</v>
      </c>
      <c r="AN39" s="74">
        <f t="shared" si="18"/>
        <v>0.85529500000001235</v>
      </c>
      <c r="AO39" s="74">
        <f t="shared" si="18"/>
        <v>0.31713400000001002</v>
      </c>
      <c r="AP39" s="75">
        <f t="shared" si="13"/>
        <v>1.3711861480784553E-2</v>
      </c>
      <c r="AQ39" s="76">
        <f t="shared" si="14"/>
        <v>478.86022774334191</v>
      </c>
      <c r="AR39" s="90">
        <f t="shared" si="15"/>
        <v>0.875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7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2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18"/>
        <v>0</v>
      </c>
      <c r="AO40" s="74">
        <f t="shared" si="18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18"/>
        <v>0</v>
      </c>
      <c r="AO41" s="74">
        <f t="shared" si="18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18"/>
        <v>0</v>
      </c>
      <c r="AO42" s="74">
        <f t="shared" si="18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18"/>
        <v>0</v>
      </c>
      <c r="AO43" s="74">
        <f t="shared" si="18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18"/>
        <v>0</v>
      </c>
      <c r="AO44" s="74">
        <f t="shared" si="18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18"/>
        <v>0</v>
      </c>
      <c r="AO45" s="74">
        <f t="shared" si="18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18"/>
        <v>0</v>
      </c>
      <c r="AO46" s="74">
        <f t="shared" si="18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18"/>
        <v>0</v>
      </c>
      <c r="AO47" s="74">
        <f t="shared" si="18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18"/>
        <v>0</v>
      </c>
      <c r="AO48" s="74">
        <f t="shared" si="18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18"/>
        <v>0</v>
      </c>
      <c r="AO49" s="74">
        <f t="shared" si="18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18"/>
        <v>0</v>
      </c>
      <c r="AO50" s="74">
        <f t="shared" si="18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18"/>
        <v>0</v>
      </c>
      <c r="AO51" s="74">
        <f t="shared" si="18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9"/>
      <c r="J52" s="119"/>
      <c r="K52" s="119"/>
      <c r="L52" s="119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18"/>
        <v>0</v>
      </c>
      <c r="AO52" s="74">
        <f t="shared" si="18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9"/>
      <c r="J53" s="119"/>
      <c r="K53" s="119"/>
      <c r="L53" s="119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18"/>
        <v>0</v>
      </c>
      <c r="AO53" s="74">
        <f t="shared" si="18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18"/>
        <v>0</v>
      </c>
      <c r="AO54" s="74">
        <f t="shared" si="18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18"/>
        <v>0</v>
      </c>
      <c r="AO55" s="74">
        <f t="shared" si="18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18"/>
        <v>0</v>
      </c>
      <c r="AO56" s="74">
        <f t="shared" si="18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18"/>
        <v>0</v>
      </c>
      <c r="AO57" s="74">
        <f t="shared" si="18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18"/>
        <v>0</v>
      </c>
      <c r="AO58" s="74">
        <f t="shared" si="18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18"/>
        <v>0</v>
      </c>
      <c r="AO59" s="74">
        <f t="shared" si="18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18"/>
        <v>0</v>
      </c>
      <c r="AO60" s="74">
        <f t="shared" si="18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18"/>
        <v>0</v>
      </c>
      <c r="AO61" s="74">
        <f t="shared" si="18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18"/>
        <v>0</v>
      </c>
      <c r="AO62" s="74">
        <f t="shared" si="18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18"/>
        <v>0</v>
      </c>
      <c r="AO63" s="74">
        <f t="shared" si="18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2489.5100000000002</v>
      </c>
      <c r="R66" s="83">
        <f>SUM(R4:R65)</f>
        <v>2489.5100000000002</v>
      </c>
      <c r="S66" s="83">
        <f t="shared" ref="S66:T66" si="19">SUM(S4:S65)</f>
        <v>97.572724000000008</v>
      </c>
      <c r="T66" s="83">
        <f t="shared" si="19"/>
        <v>203.99417800000001</v>
      </c>
      <c r="AH66" s="90"/>
      <c r="AI66" s="77"/>
      <c r="AJ66" s="77"/>
      <c r="AM66" s="83">
        <f>-SUM(AM4:AM65)</f>
        <v>-1.5099999999999909</v>
      </c>
      <c r="AN66" s="83">
        <f>-SUM(AN4:AN65)</f>
        <v>-3.0287240000000111</v>
      </c>
      <c r="AO66" s="83">
        <f>-SUM(AO4:AO65)</f>
        <v>-0.97337800000001096</v>
      </c>
      <c r="AQ66" s="127">
        <f>-SUM(AQ4:AQ65)</f>
        <v>-1650.9305694933419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9" priority="2" operator="lessThan">
      <formula>0.1</formula>
    </cfRule>
    <cfRule type="cellIs" dxfId="68" priority="3" operator="greaterThan">
      <formula>0.1</formula>
    </cfRule>
  </conditionalFormatting>
  <conditionalFormatting sqref="AP1:AQ1">
    <cfRule type="cellIs" dxfId="67" priority="1" operator="lessThan">
      <formula>1</formula>
    </cfRule>
  </conditionalFormatting>
  <conditionalFormatting sqref="AQ4:AQ65">
    <cfRule type="cellIs" dxfId="66" priority="4" operator="lessThan">
      <formula>0</formula>
    </cfRule>
    <cfRule type="cellIs" dxfId="65" priority="5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66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C37" sqref="AC37:AE37"/>
    </sheetView>
  </sheetViews>
  <sheetFormatPr defaultColWidth="8.85546875" defaultRowHeight="12.75" x14ac:dyDescent="0.2"/>
  <cols>
    <col min="1" max="1" width="4.42578125" style="149" customWidth="1"/>
    <col min="2" max="2" width="9.7109375" style="190" customWidth="1"/>
    <col min="3" max="3" width="5" style="149" bestFit="1" customWidth="1"/>
    <col min="4" max="4" width="8.140625" style="149" bestFit="1" customWidth="1"/>
    <col min="5" max="5" width="5.28515625" style="149" bestFit="1" customWidth="1"/>
    <col min="6" max="6" width="5.140625" style="149" bestFit="1" customWidth="1"/>
    <col min="7" max="7" width="7.140625" style="149" bestFit="1" customWidth="1"/>
    <col min="8" max="8" width="8.140625" style="149" bestFit="1" customWidth="1"/>
    <col min="9" max="9" width="7.140625" style="149" bestFit="1" customWidth="1"/>
    <col min="10" max="10" width="9.28515625" style="149" bestFit="1" customWidth="1"/>
    <col min="11" max="11" width="5.28515625" style="149" bestFit="1" customWidth="1"/>
    <col min="12" max="12" width="5.140625" style="149" bestFit="1" customWidth="1"/>
    <col min="13" max="13" width="5.5703125" style="149" bestFit="1" customWidth="1"/>
    <col min="14" max="14" width="9.5703125" style="149" bestFit="1" customWidth="1"/>
    <col min="15" max="15" width="6.42578125" style="149" bestFit="1" customWidth="1"/>
    <col min="16" max="16" width="5.28515625" style="149" bestFit="1" customWidth="1"/>
    <col min="17" max="17" width="5.140625" style="149" bestFit="1" customWidth="1"/>
    <col min="18" max="20" width="7.140625" style="149" bestFit="1" customWidth="1"/>
    <col min="21" max="21" width="7" style="149" bestFit="1" customWidth="1"/>
    <col min="22" max="22" width="7.7109375" style="149" bestFit="1" customWidth="1"/>
    <col min="23" max="23" width="11.42578125" style="149" bestFit="1" customWidth="1"/>
    <col min="24" max="24" width="6.7109375" style="149" bestFit="1" customWidth="1"/>
    <col min="25" max="25" width="5.28515625" style="149" bestFit="1" customWidth="1"/>
    <col min="26" max="26" width="5.140625" style="149" bestFit="1" customWidth="1"/>
    <col min="27" max="28" width="8.140625" style="149" bestFit="1" customWidth="1"/>
    <col min="29" max="29" width="9.28515625" style="149" bestFit="1" customWidth="1"/>
    <col min="30" max="30" width="5.28515625" style="149" bestFit="1" customWidth="1"/>
    <col min="31" max="31" width="5.140625" style="149" bestFit="1" customWidth="1"/>
    <col min="32" max="33" width="8.140625" style="149" bestFit="1" customWidth="1"/>
    <col min="34" max="34" width="9.28515625" style="149" bestFit="1" customWidth="1"/>
    <col min="35" max="35" width="5.28515625" style="149" bestFit="1" customWidth="1"/>
    <col min="36" max="36" width="5.140625" style="149" bestFit="1" customWidth="1"/>
    <col min="37" max="37" width="7.140625" style="149" bestFit="1" customWidth="1"/>
    <col min="38" max="38" width="8.140625" style="149" bestFit="1" customWidth="1"/>
    <col min="39" max="39" width="6.7109375" style="149" bestFit="1" customWidth="1"/>
    <col min="40" max="40" width="6.42578125" style="149" bestFit="1" customWidth="1"/>
    <col min="41" max="41" width="6.5703125" style="149" bestFit="1" customWidth="1"/>
    <col min="42" max="42" width="8.5703125" style="149" bestFit="1" customWidth="1"/>
    <col min="43" max="43" width="12" style="149" bestFit="1" customWidth="1"/>
    <col min="44" max="44" width="5" style="149" bestFit="1" customWidth="1"/>
    <col min="45" max="45" width="8.7109375" style="149" bestFit="1" customWidth="1"/>
    <col min="46" max="16384" width="8.85546875" style="149"/>
  </cols>
  <sheetData>
    <row r="1" spans="1:44" ht="13.5" thickBot="1" x14ac:dyDescent="0.25">
      <c r="B1" s="150" t="s">
        <v>108</v>
      </c>
      <c r="C1" s="151"/>
      <c r="AP1" s="212">
        <f>Sumarry!K17</f>
        <v>448.91</v>
      </c>
      <c r="AQ1" s="212">
        <f>Sumarry!L17</f>
        <v>299.27333333333337</v>
      </c>
    </row>
    <row r="2" spans="1:44" x14ac:dyDescent="0.2">
      <c r="B2" s="275" t="s">
        <v>64</v>
      </c>
      <c r="C2" s="277" t="s">
        <v>65</v>
      </c>
      <c r="D2" s="279" t="s">
        <v>66</v>
      </c>
      <c r="E2" s="279"/>
      <c r="F2" s="279"/>
      <c r="G2" s="279"/>
      <c r="H2" s="280"/>
      <c r="I2" s="281" t="s">
        <v>67</v>
      </c>
      <c r="J2" s="281"/>
      <c r="K2" s="272"/>
      <c r="L2" s="272"/>
      <c r="M2" s="281" t="s">
        <v>68</v>
      </c>
      <c r="N2" s="281"/>
      <c r="O2" s="272"/>
      <c r="P2" s="272"/>
      <c r="Q2" s="273"/>
      <c r="R2" s="281" t="s">
        <v>69</v>
      </c>
      <c r="S2" s="272"/>
      <c r="T2" s="273"/>
      <c r="U2" s="268" t="s">
        <v>70</v>
      </c>
      <c r="V2" s="269"/>
      <c r="W2" s="269"/>
      <c r="X2" s="269"/>
      <c r="Y2" s="269"/>
      <c r="Z2" s="269"/>
      <c r="AA2" s="269"/>
      <c r="AB2" s="270"/>
      <c r="AC2" s="271" t="s">
        <v>71</v>
      </c>
      <c r="AD2" s="272"/>
      <c r="AE2" s="272"/>
      <c r="AF2" s="272"/>
      <c r="AG2" s="273"/>
      <c r="AH2" s="271" t="s">
        <v>72</v>
      </c>
      <c r="AI2" s="272"/>
      <c r="AJ2" s="272"/>
      <c r="AK2" s="272"/>
      <c r="AL2" s="274"/>
      <c r="AM2" s="268" t="s">
        <v>73</v>
      </c>
      <c r="AN2" s="269"/>
      <c r="AO2" s="269"/>
      <c r="AP2" s="269"/>
      <c r="AQ2" s="270"/>
    </row>
    <row r="3" spans="1:44" ht="15.6" customHeight="1" x14ac:dyDescent="0.2">
      <c r="B3" s="276"/>
      <c r="C3" s="278"/>
      <c r="D3" s="152" t="s">
        <v>74</v>
      </c>
      <c r="E3" s="152" t="s">
        <v>75</v>
      </c>
      <c r="F3" s="152" t="s">
        <v>76</v>
      </c>
      <c r="G3" s="152" t="s">
        <v>77</v>
      </c>
      <c r="H3" s="153" t="s">
        <v>8</v>
      </c>
      <c r="I3" s="153" t="s">
        <v>78</v>
      </c>
      <c r="J3" s="153" t="s">
        <v>79</v>
      </c>
      <c r="K3" s="153" t="s">
        <v>75</v>
      </c>
      <c r="L3" s="153" t="s">
        <v>76</v>
      </c>
      <c r="M3" s="154" t="s">
        <v>80</v>
      </c>
      <c r="N3" s="154" t="s">
        <v>81</v>
      </c>
      <c r="O3" s="152" t="s">
        <v>79</v>
      </c>
      <c r="P3" s="152" t="s">
        <v>75</v>
      </c>
      <c r="Q3" s="153" t="s">
        <v>76</v>
      </c>
      <c r="R3" s="154" t="s">
        <v>79</v>
      </c>
      <c r="S3" s="152" t="s">
        <v>77</v>
      </c>
      <c r="T3" s="153" t="s">
        <v>8</v>
      </c>
      <c r="U3" s="155" t="s">
        <v>82</v>
      </c>
      <c r="V3" s="152" t="s">
        <v>83</v>
      </c>
      <c r="W3" s="152" t="s">
        <v>84</v>
      </c>
      <c r="X3" s="152" t="s">
        <v>85</v>
      </c>
      <c r="Y3" s="152" t="s">
        <v>75</v>
      </c>
      <c r="Z3" s="152" t="s">
        <v>76</v>
      </c>
      <c r="AA3" s="152" t="s">
        <v>77</v>
      </c>
      <c r="AB3" s="153" t="s">
        <v>8</v>
      </c>
      <c r="AC3" s="155" t="s">
        <v>85</v>
      </c>
      <c r="AD3" s="152" t="s">
        <v>75</v>
      </c>
      <c r="AE3" s="152" t="s">
        <v>76</v>
      </c>
      <c r="AF3" s="152" t="s">
        <v>77</v>
      </c>
      <c r="AG3" s="153" t="s">
        <v>8</v>
      </c>
      <c r="AH3" s="155" t="s">
        <v>85</v>
      </c>
      <c r="AI3" s="152" t="s">
        <v>75</v>
      </c>
      <c r="AJ3" s="152" t="s">
        <v>76</v>
      </c>
      <c r="AK3" s="152" t="s">
        <v>77</v>
      </c>
      <c r="AL3" s="156" t="s">
        <v>8</v>
      </c>
      <c r="AM3" s="155" t="s">
        <v>85</v>
      </c>
      <c r="AN3" s="152" t="s">
        <v>77</v>
      </c>
      <c r="AO3" s="152" t="s">
        <v>8</v>
      </c>
      <c r="AP3" s="152" t="s">
        <v>86</v>
      </c>
      <c r="AQ3" s="157" t="s">
        <v>11</v>
      </c>
    </row>
    <row r="4" spans="1:44" ht="15" x14ac:dyDescent="0.25">
      <c r="A4" s="149" t="str">
        <f>CONCATENATE(B4,C4)</f>
        <v>46174M</v>
      </c>
      <c r="B4" s="51">
        <v>46174</v>
      </c>
      <c r="C4" s="158" t="s">
        <v>87</v>
      </c>
      <c r="D4" s="196">
        <v>0</v>
      </c>
      <c r="E4" s="88">
        <v>0</v>
      </c>
      <c r="F4" s="88">
        <v>0</v>
      </c>
      <c r="G4" s="170">
        <f t="shared" ref="G4" si="0">+D4*E4%</f>
        <v>0</v>
      </c>
      <c r="H4" s="171">
        <f t="shared" ref="H4" si="1">+D4*F4%</f>
        <v>0</v>
      </c>
      <c r="I4" s="161">
        <v>4011.7499999999991</v>
      </c>
      <c r="J4" s="162">
        <v>4132.1024999999991</v>
      </c>
      <c r="K4" s="163">
        <v>5.2974649467190122</v>
      </c>
      <c r="L4" s="164">
        <v>8.5201570386988159</v>
      </c>
      <c r="M4" s="165">
        <v>0</v>
      </c>
      <c r="N4" s="165">
        <v>0</v>
      </c>
      <c r="O4" s="166">
        <v>0</v>
      </c>
      <c r="P4" s="167">
        <v>0</v>
      </c>
      <c r="Q4" s="168">
        <v>0</v>
      </c>
      <c r="R4" s="169">
        <f>+J4+O4</f>
        <v>4132.1024999999991</v>
      </c>
      <c r="S4" s="170">
        <f t="shared" ref="S4" si="2">+J4*K4%+O4*P4%</f>
        <v>218.89668149999994</v>
      </c>
      <c r="T4" s="171">
        <f t="shared" ref="T4" si="3">+J4*L4%+O4*Q4%</f>
        <v>352.06162199999966</v>
      </c>
      <c r="U4" s="172" t="s">
        <v>167</v>
      </c>
      <c r="V4" s="173" t="s">
        <v>167</v>
      </c>
      <c r="W4" s="160">
        <v>0</v>
      </c>
      <c r="X4" s="174">
        <v>0</v>
      </c>
      <c r="Y4" s="175">
        <v>0</v>
      </c>
      <c r="Z4" s="175">
        <v>0</v>
      </c>
      <c r="AA4" s="62">
        <f>X4*Y4%</f>
        <v>0</v>
      </c>
      <c r="AB4" s="63">
        <f t="shared" ref="AB4" si="4">X4*Z4%</f>
        <v>0</v>
      </c>
      <c r="AC4" s="176"/>
      <c r="AD4" s="177"/>
      <c r="AE4" s="177"/>
      <c r="AF4" s="170">
        <f t="shared" ref="AF4" si="5">AC4*AD4%</f>
        <v>0</v>
      </c>
      <c r="AG4" s="171">
        <f t="shared" ref="AG4" si="6">AC4*AE4%</f>
        <v>0</v>
      </c>
      <c r="AH4" s="178">
        <v>4142.1000000000004</v>
      </c>
      <c r="AI4" s="160">
        <v>5.3</v>
      </c>
      <c r="AJ4" s="160">
        <v>8.51</v>
      </c>
      <c r="AK4" s="170">
        <f t="shared" ref="AK4:AK5" si="7">AH4*AI4%</f>
        <v>219.53130000000002</v>
      </c>
      <c r="AL4" s="179">
        <f t="shared" ref="AL4:AL5" si="8">AH4*AJ4%</f>
        <v>352.49270999999999</v>
      </c>
      <c r="AM4" s="180">
        <f t="shared" ref="AM4" si="9">+D4+R4-AC4-AH4</f>
        <v>-9.9975000000013097</v>
      </c>
      <c r="AN4" s="181">
        <f t="shared" ref="AN4" si="10">+G4+S4-AF4-AK4</f>
        <v>-0.63461850000007303</v>
      </c>
      <c r="AO4" s="181">
        <f t="shared" ref="AO4" si="11">+H4+T4-AG4-AL4</f>
        <v>-0.43108800000032943</v>
      </c>
      <c r="AP4" s="182">
        <f t="shared" ref="AP4" si="12">(AN4+AO4)/(S4+T4)</f>
        <v>-1.8665224648938014E-3</v>
      </c>
      <c r="AQ4" s="76">
        <f t="shared" ref="AQ4:AQ65" si="13">($AP$1*AN4+$AQ$1*AO4)</f>
        <v>-413.89973355513143</v>
      </c>
      <c r="AR4" s="183">
        <f t="shared" ref="AR4" si="14">(D4+J4+O4)-(X4+AH4)</f>
        <v>-9.9975000000013097</v>
      </c>
    </row>
    <row r="5" spans="1:44" ht="15" x14ac:dyDescent="0.25">
      <c r="A5" s="149" t="str">
        <f t="shared" ref="A5:A65" si="15">CONCATENATE(B5,C5)</f>
        <v>46174E</v>
      </c>
      <c r="B5" s="51">
        <f>+B4</f>
        <v>46174</v>
      </c>
      <c r="C5" s="158" t="s">
        <v>88</v>
      </c>
      <c r="D5" s="11">
        <v>4142.1000000000004</v>
      </c>
      <c r="E5" s="170">
        <v>5.3</v>
      </c>
      <c r="F5" s="170">
        <v>8.51</v>
      </c>
      <c r="G5" s="170">
        <f t="shared" ref="G5:G65" si="16">+D5*E5%</f>
        <v>219.53130000000002</v>
      </c>
      <c r="H5" s="171">
        <f t="shared" ref="H5:H65" si="17">+D5*F5%</f>
        <v>352.49270999999999</v>
      </c>
      <c r="I5" s="161">
        <v>7169.1500000000033</v>
      </c>
      <c r="J5" s="162">
        <v>7384.2245000000039</v>
      </c>
      <c r="K5" s="163">
        <v>4.2735142938842117</v>
      </c>
      <c r="L5" s="164">
        <v>8.4022806050926508</v>
      </c>
      <c r="M5" s="165">
        <v>0</v>
      </c>
      <c r="N5" s="165">
        <v>0</v>
      </c>
      <c r="O5" s="166">
        <v>0</v>
      </c>
      <c r="P5" s="167">
        <v>0</v>
      </c>
      <c r="Q5" s="168">
        <v>0</v>
      </c>
      <c r="R5" s="169">
        <f t="shared" ref="R5:R65" si="18">+J5+O5</f>
        <v>7384.2245000000039</v>
      </c>
      <c r="S5" s="170">
        <f t="shared" ref="S5:S65" si="19">+J5*K5%+O5*P5%</f>
        <v>315.56588950000014</v>
      </c>
      <c r="T5" s="171">
        <f t="shared" ref="T5:T65" si="20">+J5*L5%+O5*Q5%</f>
        <v>620.44326300000012</v>
      </c>
      <c r="U5" s="172" t="s">
        <v>167</v>
      </c>
      <c r="V5" s="173" t="s">
        <v>167</v>
      </c>
      <c r="W5" s="160">
        <v>0</v>
      </c>
      <c r="X5" s="174">
        <v>0</v>
      </c>
      <c r="Y5" s="175">
        <v>0</v>
      </c>
      <c r="Z5" s="175">
        <v>0</v>
      </c>
      <c r="AA5" s="62">
        <f t="shared" ref="AA5:AA11" si="21">X5*Y5%</f>
        <v>0</v>
      </c>
      <c r="AB5" s="63">
        <f t="shared" ref="AB5:AB11" si="22">X5*Z5%</f>
        <v>0</v>
      </c>
      <c r="AC5" s="176"/>
      <c r="AD5" s="177"/>
      <c r="AE5" s="177"/>
      <c r="AF5" s="170">
        <f t="shared" ref="AF5:AF65" si="23">AC5*AD5%</f>
        <v>0</v>
      </c>
      <c r="AG5" s="171">
        <f t="shared" ref="AG5:AG65" si="24">AC5*AE5%</f>
        <v>0</v>
      </c>
      <c r="AH5" s="184">
        <v>11526.2</v>
      </c>
      <c r="AI5" s="160">
        <v>4.6399999999999997</v>
      </c>
      <c r="AJ5" s="160">
        <v>8.43</v>
      </c>
      <c r="AK5" s="170">
        <f t="shared" si="7"/>
        <v>534.81568000000004</v>
      </c>
      <c r="AL5" s="179">
        <f t="shared" si="8"/>
        <v>971.65866000000005</v>
      </c>
      <c r="AM5" s="180">
        <f t="shared" ref="AM5" si="25">+D5+R5-AC5-AH5</f>
        <v>0.12450000000353612</v>
      </c>
      <c r="AN5" s="181">
        <f t="shared" ref="AN5" si="26">+G5+S5-AF5-AK5</f>
        <v>0.28150950000008379</v>
      </c>
      <c r="AO5" s="181">
        <f t="shared" ref="AO5" si="27">+H5+T5-AG5-AL5</f>
        <v>1.2773130000000492</v>
      </c>
      <c r="AP5" s="182">
        <f t="shared" ref="AP5:AP61" si="28">(AN5+AO5)/(S5+T5)</f>
        <v>1.6653923691201647E-3</v>
      </c>
      <c r="AQ5" s="76">
        <f t="shared" si="13"/>
        <v>508.63814886505241</v>
      </c>
      <c r="AR5" s="183">
        <f t="shared" ref="AR5:AR65" si="29">(D5+J5+O5)-(X5+AH5)</f>
        <v>0.12450000000353612</v>
      </c>
    </row>
    <row r="6" spans="1:44" ht="15" x14ac:dyDescent="0.25">
      <c r="A6" s="149" t="str">
        <f t="shared" si="15"/>
        <v>46175M</v>
      </c>
      <c r="B6" s="51">
        <f>+B4+1</f>
        <v>46175</v>
      </c>
      <c r="C6" s="158" t="s">
        <v>87</v>
      </c>
      <c r="D6" s="185">
        <v>11526.2</v>
      </c>
      <c r="E6" s="170">
        <v>4.6399999999999997</v>
      </c>
      <c r="F6" s="170">
        <v>8.43</v>
      </c>
      <c r="G6" s="170">
        <f t="shared" si="16"/>
        <v>534.81568000000004</v>
      </c>
      <c r="H6" s="171">
        <f t="shared" si="17"/>
        <v>971.65866000000005</v>
      </c>
      <c r="I6" s="161">
        <v>3742.4500000000021</v>
      </c>
      <c r="J6" s="162">
        <v>3854.7235000000023</v>
      </c>
      <c r="K6" s="163">
        <v>5.2615091717992204</v>
      </c>
      <c r="L6" s="164">
        <v>8.4852770244091449</v>
      </c>
      <c r="M6" s="165">
        <v>0</v>
      </c>
      <c r="N6" s="165">
        <v>0</v>
      </c>
      <c r="O6" s="166">
        <v>0</v>
      </c>
      <c r="P6" s="167">
        <v>0</v>
      </c>
      <c r="Q6" s="168">
        <v>0</v>
      </c>
      <c r="R6" s="169">
        <f t="shared" si="18"/>
        <v>3854.7235000000023</v>
      </c>
      <c r="S6" s="170">
        <f t="shared" si="19"/>
        <v>202.81663050000003</v>
      </c>
      <c r="T6" s="171">
        <f t="shared" si="20"/>
        <v>327.08396750000026</v>
      </c>
      <c r="U6" s="172" t="s">
        <v>266</v>
      </c>
      <c r="V6" s="173" t="s">
        <v>267</v>
      </c>
      <c r="W6" s="160" t="s">
        <v>225</v>
      </c>
      <c r="X6" s="174">
        <v>15570</v>
      </c>
      <c r="Y6" s="175">
        <v>4.9000000000000004</v>
      </c>
      <c r="Z6" s="175">
        <v>8.51</v>
      </c>
      <c r="AA6" s="62">
        <f t="shared" si="21"/>
        <v>762.93000000000006</v>
      </c>
      <c r="AB6" s="63">
        <f t="shared" si="22"/>
        <v>1325.0069999999998</v>
      </c>
      <c r="AC6" s="176">
        <v>15560</v>
      </c>
      <c r="AD6" s="177">
        <v>4.8499999999999996</v>
      </c>
      <c r="AE6" s="177">
        <v>8.44</v>
      </c>
      <c r="AF6" s="170">
        <f t="shared" si="23"/>
        <v>754.66</v>
      </c>
      <c r="AG6" s="171">
        <f t="shared" si="24"/>
        <v>1313.2639999999999</v>
      </c>
      <c r="AH6" s="184">
        <v>0</v>
      </c>
      <c r="AI6" s="160">
        <v>0</v>
      </c>
      <c r="AJ6" s="160">
        <v>0</v>
      </c>
      <c r="AK6" s="170">
        <f t="shared" ref="AK6:AK65" si="30">AH6*AI6%</f>
        <v>0</v>
      </c>
      <c r="AL6" s="179">
        <f t="shared" ref="AL6:AL65" si="31">AH6*AJ6%</f>
        <v>0</v>
      </c>
      <c r="AM6" s="180">
        <f t="shared" ref="AM6:AM65" si="32">+D6+R6-AC6-AH6</f>
        <v>-179.0764999999974</v>
      </c>
      <c r="AN6" s="181">
        <f t="shared" ref="AN6:AN65" si="33">+G6+S6-AF6-AK6</f>
        <v>-17.027689499999838</v>
      </c>
      <c r="AO6" s="181">
        <f t="shared" ref="AO6:AO65" si="34">+H6+T6-AG6-AL6</f>
        <v>-14.521372499999643</v>
      </c>
      <c r="AP6" s="182">
        <f t="shared" si="28"/>
        <v>-5.9537698426978307E-2</v>
      </c>
      <c r="AQ6" s="76">
        <f t="shared" si="13"/>
        <v>-11989.759646094823</v>
      </c>
      <c r="AR6" s="183">
        <f t="shared" si="29"/>
        <v>-189.0764999999974</v>
      </c>
    </row>
    <row r="7" spans="1:44" ht="15" x14ac:dyDescent="0.25">
      <c r="A7" s="149" t="str">
        <f t="shared" si="15"/>
        <v>46175E</v>
      </c>
      <c r="B7" s="51">
        <f>+B5+1</f>
        <v>46175</v>
      </c>
      <c r="C7" s="158" t="s">
        <v>88</v>
      </c>
      <c r="D7" s="185">
        <v>0</v>
      </c>
      <c r="E7" s="170">
        <v>0</v>
      </c>
      <c r="F7" s="170">
        <v>0</v>
      </c>
      <c r="G7" s="170">
        <f t="shared" si="16"/>
        <v>0</v>
      </c>
      <c r="H7" s="171">
        <f t="shared" si="17"/>
        <v>0</v>
      </c>
      <c r="I7" s="161">
        <v>7038.3</v>
      </c>
      <c r="J7" s="162">
        <v>7249.4490000000005</v>
      </c>
      <c r="K7" s="163">
        <v>4.1960054274469671</v>
      </c>
      <c r="L7" s="164">
        <v>8.3681236946421755</v>
      </c>
      <c r="M7" s="165">
        <v>0</v>
      </c>
      <c r="N7" s="165">
        <v>0</v>
      </c>
      <c r="O7" s="166">
        <v>0</v>
      </c>
      <c r="P7" s="167">
        <v>0</v>
      </c>
      <c r="Q7" s="168">
        <v>0</v>
      </c>
      <c r="R7" s="169">
        <f t="shared" si="18"/>
        <v>7249.4490000000005</v>
      </c>
      <c r="S7" s="170">
        <f t="shared" si="19"/>
        <v>304.18727349999989</v>
      </c>
      <c r="T7" s="171">
        <f t="shared" si="20"/>
        <v>606.64285950000033</v>
      </c>
      <c r="U7" s="172" t="s">
        <v>167</v>
      </c>
      <c r="V7" s="173" t="s">
        <v>167</v>
      </c>
      <c r="W7" s="160">
        <v>0</v>
      </c>
      <c r="X7" s="174">
        <v>0</v>
      </c>
      <c r="Y7" s="175">
        <v>0</v>
      </c>
      <c r="Z7" s="175">
        <v>0</v>
      </c>
      <c r="AA7" s="62">
        <f t="shared" si="21"/>
        <v>0</v>
      </c>
      <c r="AB7" s="63">
        <f t="shared" si="22"/>
        <v>0</v>
      </c>
      <c r="AC7" s="176"/>
      <c r="AD7" s="177"/>
      <c r="AE7" s="177"/>
      <c r="AF7" s="170">
        <f t="shared" si="23"/>
        <v>0</v>
      </c>
      <c r="AG7" s="171">
        <f t="shared" si="24"/>
        <v>0</v>
      </c>
      <c r="AH7" s="184">
        <v>7249.4</v>
      </c>
      <c r="AI7" s="160">
        <v>4.2</v>
      </c>
      <c r="AJ7" s="160">
        <v>8.3699999999999992</v>
      </c>
      <c r="AK7" s="170">
        <f t="shared" si="30"/>
        <v>304.47480000000002</v>
      </c>
      <c r="AL7" s="179">
        <f t="shared" si="31"/>
        <v>606.77477999999996</v>
      </c>
      <c r="AM7" s="180">
        <f t="shared" si="32"/>
        <v>4.9000000000887667E-2</v>
      </c>
      <c r="AN7" s="181">
        <f t="shared" si="33"/>
        <v>-0.28752650000012636</v>
      </c>
      <c r="AO7" s="181">
        <f t="shared" si="34"/>
        <v>-0.13192049999963729</v>
      </c>
      <c r="AP7" s="182">
        <f t="shared" si="28"/>
        <v>-4.6051067570440554E-4</v>
      </c>
      <c r="AQ7" s="76">
        <f t="shared" si="13"/>
        <v>-168.55380888494818</v>
      </c>
      <c r="AR7" s="183">
        <f t="shared" si="29"/>
        <v>4.9000000000887667E-2</v>
      </c>
    </row>
    <row r="8" spans="1:44" ht="15" x14ac:dyDescent="0.25">
      <c r="A8" s="149" t="str">
        <f t="shared" si="15"/>
        <v>46176M</v>
      </c>
      <c r="B8" s="51">
        <f>+B6+1</f>
        <v>46176</v>
      </c>
      <c r="C8" s="158" t="s">
        <v>87</v>
      </c>
      <c r="D8" s="185">
        <v>7249.4</v>
      </c>
      <c r="E8" s="170">
        <v>4.2</v>
      </c>
      <c r="F8" s="170">
        <v>8.3699999999999992</v>
      </c>
      <c r="G8" s="170">
        <f t="shared" si="16"/>
        <v>304.47480000000002</v>
      </c>
      <c r="H8" s="171">
        <f t="shared" si="17"/>
        <v>606.77477999999996</v>
      </c>
      <c r="I8" s="161">
        <v>5338.2500000000009</v>
      </c>
      <c r="J8" s="162">
        <v>5498.3975000000009</v>
      </c>
      <c r="K8" s="163">
        <v>4.9714812906851504</v>
      </c>
      <c r="L8" s="164">
        <v>8.3810864983843025</v>
      </c>
      <c r="M8" s="165">
        <v>0</v>
      </c>
      <c r="N8" s="165">
        <v>0</v>
      </c>
      <c r="O8" s="166">
        <v>0</v>
      </c>
      <c r="P8" s="167">
        <v>0</v>
      </c>
      <c r="Q8" s="168">
        <v>0</v>
      </c>
      <c r="R8" s="169">
        <f t="shared" si="18"/>
        <v>5498.3975000000009</v>
      </c>
      <c r="S8" s="170">
        <f t="shared" si="19"/>
        <v>273.35180300000013</v>
      </c>
      <c r="T8" s="171">
        <f t="shared" si="20"/>
        <v>460.8254505000001</v>
      </c>
      <c r="U8" s="172" t="s">
        <v>266</v>
      </c>
      <c r="V8" s="173" t="s">
        <v>268</v>
      </c>
      <c r="W8" s="160" t="s">
        <v>225</v>
      </c>
      <c r="X8" s="174">
        <v>12550</v>
      </c>
      <c r="Y8" s="175">
        <v>4.58</v>
      </c>
      <c r="Z8" s="175">
        <v>8.4700000000000006</v>
      </c>
      <c r="AA8" s="62">
        <f t="shared" si="21"/>
        <v>574.79</v>
      </c>
      <c r="AB8" s="63">
        <f t="shared" si="22"/>
        <v>1062.9850000000001</v>
      </c>
      <c r="AC8" s="176">
        <v>12530</v>
      </c>
      <c r="AD8" s="177">
        <v>4.5803272146847576</v>
      </c>
      <c r="AE8" s="177">
        <v>8.4743176376695928</v>
      </c>
      <c r="AF8" s="170">
        <f t="shared" si="23"/>
        <v>573.91500000000008</v>
      </c>
      <c r="AG8" s="171">
        <f t="shared" si="24"/>
        <v>1061.8319999999999</v>
      </c>
      <c r="AH8" s="186">
        <v>197.8</v>
      </c>
      <c r="AI8" s="160">
        <v>4.5</v>
      </c>
      <c r="AJ8" s="160">
        <v>8.35</v>
      </c>
      <c r="AK8" s="170">
        <f t="shared" si="30"/>
        <v>8.9009999999999998</v>
      </c>
      <c r="AL8" s="179">
        <f t="shared" si="31"/>
        <v>16.516299999999998</v>
      </c>
      <c r="AM8" s="180">
        <f t="shared" si="32"/>
        <v>19.997500000000571</v>
      </c>
      <c r="AN8" s="181">
        <f t="shared" si="33"/>
        <v>-4.9893969999998724</v>
      </c>
      <c r="AO8" s="181">
        <f t="shared" si="34"/>
        <v>-10.748069499999698</v>
      </c>
      <c r="AP8" s="182">
        <f t="shared" si="28"/>
        <v>-2.1435513596989374E-2</v>
      </c>
      <c r="AQ8" s="76">
        <f t="shared" si="13"/>
        <v>-5456.4007934331858</v>
      </c>
      <c r="AR8" s="183">
        <f t="shared" si="29"/>
        <v>-2.4999999986903276E-3</v>
      </c>
    </row>
    <row r="9" spans="1:44" ht="15" x14ac:dyDescent="0.25">
      <c r="A9" s="149" t="str">
        <f t="shared" si="15"/>
        <v>46176E</v>
      </c>
      <c r="B9" s="51">
        <f t="shared" ref="B9:B65" si="35">+B7+1</f>
        <v>46176</v>
      </c>
      <c r="C9" s="158" t="s">
        <v>88</v>
      </c>
      <c r="D9" s="185">
        <v>197.8</v>
      </c>
      <c r="E9" s="170">
        <v>4.5</v>
      </c>
      <c r="F9" s="170">
        <v>8.35</v>
      </c>
      <c r="G9" s="170">
        <f t="shared" si="16"/>
        <v>8.9009999999999998</v>
      </c>
      <c r="H9" s="171">
        <f t="shared" si="17"/>
        <v>16.516299999999998</v>
      </c>
      <c r="I9" s="161">
        <v>7701.5999999999976</v>
      </c>
      <c r="J9" s="162">
        <v>7932.6479999999974</v>
      </c>
      <c r="K9" s="163">
        <v>4.2696855198919748</v>
      </c>
      <c r="L9" s="164">
        <v>8.2356270125688269</v>
      </c>
      <c r="M9" s="165" t="s">
        <v>264</v>
      </c>
      <c r="N9" s="165" t="s">
        <v>265</v>
      </c>
      <c r="O9" s="166">
        <v>6280</v>
      </c>
      <c r="P9" s="167">
        <v>4.05</v>
      </c>
      <c r="Q9" s="168">
        <v>8.15</v>
      </c>
      <c r="R9" s="169">
        <f t="shared" si="18"/>
        <v>14212.647999999997</v>
      </c>
      <c r="S9" s="170">
        <f t="shared" si="19"/>
        <v>593.03912300000025</v>
      </c>
      <c r="T9" s="171">
        <f t="shared" si="20"/>
        <v>1165.1233015000007</v>
      </c>
      <c r="U9" s="172" t="s">
        <v>167</v>
      </c>
      <c r="V9" s="173" t="s">
        <v>187</v>
      </c>
      <c r="W9" s="160">
        <v>0</v>
      </c>
      <c r="X9" s="174">
        <v>0</v>
      </c>
      <c r="Y9" s="175">
        <v>0</v>
      </c>
      <c r="Z9" s="175">
        <v>0</v>
      </c>
      <c r="AA9" s="62">
        <f t="shared" si="21"/>
        <v>0</v>
      </c>
      <c r="AB9" s="63">
        <f t="shared" si="22"/>
        <v>0</v>
      </c>
      <c r="AC9" s="176"/>
      <c r="AD9" s="177"/>
      <c r="AE9" s="177"/>
      <c r="AF9" s="170">
        <f t="shared" si="23"/>
        <v>0</v>
      </c>
      <c r="AG9" s="171">
        <f t="shared" si="24"/>
        <v>0</v>
      </c>
      <c r="AH9" s="184">
        <v>14410.4</v>
      </c>
      <c r="AI9" s="160">
        <v>4.17</v>
      </c>
      <c r="AJ9" s="160">
        <v>8.1999999999999993</v>
      </c>
      <c r="AK9" s="170">
        <f t="shared" si="30"/>
        <v>600.91368</v>
      </c>
      <c r="AL9" s="179">
        <f t="shared" si="31"/>
        <v>1181.6527999999998</v>
      </c>
      <c r="AM9" s="180">
        <f t="shared" si="32"/>
        <v>4.7999999997045961E-2</v>
      </c>
      <c r="AN9" s="181">
        <f t="shared" si="33"/>
        <v>1.0264430000001994</v>
      </c>
      <c r="AO9" s="181">
        <f t="shared" si="34"/>
        <v>-1.3198499999134583E-2</v>
      </c>
      <c r="AP9" s="182">
        <f t="shared" si="28"/>
        <v>5.7630881304337892E-4</v>
      </c>
      <c r="AQ9" s="76">
        <f t="shared" si="13"/>
        <v>456.83056804034851</v>
      </c>
      <c r="AR9" s="183">
        <f t="shared" si="29"/>
        <v>4.7999999997045961E-2</v>
      </c>
    </row>
    <row r="10" spans="1:44" ht="15" x14ac:dyDescent="0.25">
      <c r="A10" s="149" t="str">
        <f t="shared" si="15"/>
        <v>46177M</v>
      </c>
      <c r="B10" s="51">
        <f t="shared" si="35"/>
        <v>46177</v>
      </c>
      <c r="C10" s="158" t="s">
        <v>87</v>
      </c>
      <c r="D10" s="185">
        <v>14410.3</v>
      </c>
      <c r="E10" s="170">
        <v>4.0999999999999996</v>
      </c>
      <c r="F10" s="170">
        <v>8.16</v>
      </c>
      <c r="G10" s="170">
        <f t="shared" si="16"/>
        <v>590.82229999999993</v>
      </c>
      <c r="H10" s="171">
        <f t="shared" si="17"/>
        <v>1175.88048</v>
      </c>
      <c r="I10" s="161">
        <v>3831.0000000000009</v>
      </c>
      <c r="J10" s="162">
        <v>3945.9300000000012</v>
      </c>
      <c r="K10" s="163">
        <v>5.3614199947794283</v>
      </c>
      <c r="L10" s="164">
        <v>8.4584273035760891</v>
      </c>
      <c r="M10" s="165">
        <v>0</v>
      </c>
      <c r="N10" s="165">
        <v>0</v>
      </c>
      <c r="O10" s="166">
        <v>0</v>
      </c>
      <c r="P10" s="167">
        <v>0</v>
      </c>
      <c r="Q10" s="168">
        <v>0</v>
      </c>
      <c r="R10" s="169">
        <f t="shared" si="18"/>
        <v>3945.9300000000012</v>
      </c>
      <c r="S10" s="170">
        <f t="shared" si="19"/>
        <v>211.55787999999995</v>
      </c>
      <c r="T10" s="171">
        <f t="shared" si="20"/>
        <v>333.76362050000012</v>
      </c>
      <c r="U10" s="172" t="s">
        <v>266</v>
      </c>
      <c r="V10" s="173" t="s">
        <v>269</v>
      </c>
      <c r="W10" s="160" t="s">
        <v>225</v>
      </c>
      <c r="X10" s="174">
        <v>18430</v>
      </c>
      <c r="Y10" s="175">
        <v>4.5999999999999996</v>
      </c>
      <c r="Z10" s="175">
        <v>8.39</v>
      </c>
      <c r="AA10" s="62">
        <f t="shared" si="21"/>
        <v>847.78</v>
      </c>
      <c r="AB10" s="63">
        <f t="shared" si="22"/>
        <v>1546.277</v>
      </c>
      <c r="AC10" s="176">
        <v>18430</v>
      </c>
      <c r="AD10" s="177">
        <v>4.5</v>
      </c>
      <c r="AE10" s="177">
        <v>8.31</v>
      </c>
      <c r="AF10" s="170">
        <f t="shared" si="23"/>
        <v>829.35</v>
      </c>
      <c r="AG10" s="171">
        <f t="shared" si="24"/>
        <v>1531.5330000000001</v>
      </c>
      <c r="AH10" s="184">
        <v>0</v>
      </c>
      <c r="AI10" s="160">
        <v>0</v>
      </c>
      <c r="AJ10" s="160">
        <v>0</v>
      </c>
      <c r="AK10" s="170">
        <f t="shared" si="30"/>
        <v>0</v>
      </c>
      <c r="AL10" s="179">
        <f t="shared" si="31"/>
        <v>0</v>
      </c>
      <c r="AM10" s="180">
        <f t="shared" si="32"/>
        <v>-73.770000000000437</v>
      </c>
      <c r="AN10" s="181">
        <f t="shared" si="33"/>
        <v>-26.969820000000141</v>
      </c>
      <c r="AO10" s="181">
        <f t="shared" si="34"/>
        <v>-21.88889949999998</v>
      </c>
      <c r="AP10" s="182">
        <f t="shared" si="28"/>
        <v>-8.959617300106823E-2</v>
      </c>
      <c r="AQ10" s="76">
        <f t="shared" si="13"/>
        <v>-18657.78581256339</v>
      </c>
      <c r="AR10" s="183">
        <f t="shared" si="29"/>
        <v>-73.770000000000437</v>
      </c>
    </row>
    <row r="11" spans="1:44" ht="15" x14ac:dyDescent="0.25">
      <c r="A11" s="149" t="str">
        <f t="shared" si="15"/>
        <v>46177E</v>
      </c>
      <c r="B11" s="51">
        <f t="shared" si="35"/>
        <v>46177</v>
      </c>
      <c r="C11" s="158" t="s">
        <v>88</v>
      </c>
      <c r="D11" s="185">
        <v>0</v>
      </c>
      <c r="E11" s="170">
        <v>0</v>
      </c>
      <c r="F11" s="170">
        <v>0</v>
      </c>
      <c r="G11" s="170">
        <f t="shared" si="16"/>
        <v>0</v>
      </c>
      <c r="H11" s="171">
        <f t="shared" si="17"/>
        <v>0</v>
      </c>
      <c r="I11" s="161">
        <v>7111.0000000000018</v>
      </c>
      <c r="J11" s="162">
        <v>7324.3300000000017</v>
      </c>
      <c r="K11" s="163">
        <v>4.1726459007171961</v>
      </c>
      <c r="L11" s="164">
        <v>8.2858261847841366</v>
      </c>
      <c r="M11" s="165">
        <v>0</v>
      </c>
      <c r="N11" s="165">
        <v>0</v>
      </c>
      <c r="O11" s="166">
        <v>0</v>
      </c>
      <c r="P11" s="167">
        <v>0</v>
      </c>
      <c r="Q11" s="168">
        <v>0</v>
      </c>
      <c r="R11" s="169">
        <f t="shared" si="18"/>
        <v>7324.3300000000017</v>
      </c>
      <c r="S11" s="170">
        <f t="shared" si="19"/>
        <v>305.61835549999984</v>
      </c>
      <c r="T11" s="171">
        <f t="shared" si="20"/>
        <v>606.88125300000013</v>
      </c>
      <c r="U11" s="172" t="s">
        <v>167</v>
      </c>
      <c r="V11" s="173" t="s">
        <v>167</v>
      </c>
      <c r="W11" s="160">
        <v>0</v>
      </c>
      <c r="X11" s="174">
        <v>0</v>
      </c>
      <c r="Y11" s="175">
        <v>0</v>
      </c>
      <c r="Z11" s="175">
        <v>0</v>
      </c>
      <c r="AA11" s="62">
        <f t="shared" si="21"/>
        <v>0</v>
      </c>
      <c r="AB11" s="63">
        <f t="shared" si="22"/>
        <v>0</v>
      </c>
      <c r="AC11" s="176"/>
      <c r="AD11" s="177"/>
      <c r="AE11" s="177"/>
      <c r="AF11" s="170">
        <f t="shared" si="23"/>
        <v>0</v>
      </c>
      <c r="AG11" s="171">
        <f t="shared" si="24"/>
        <v>0</v>
      </c>
      <c r="AH11" s="184">
        <v>7324.3</v>
      </c>
      <c r="AI11" s="160">
        <v>4.17</v>
      </c>
      <c r="AJ11" s="160">
        <v>8.2899999999999991</v>
      </c>
      <c r="AK11" s="170">
        <f t="shared" si="30"/>
        <v>305.42331000000001</v>
      </c>
      <c r="AL11" s="179">
        <f t="shared" si="31"/>
        <v>607.18446999999992</v>
      </c>
      <c r="AM11" s="180">
        <f t="shared" si="32"/>
        <v>3.0000000001564331E-2</v>
      </c>
      <c r="AN11" s="181">
        <f t="shared" si="33"/>
        <v>0.19504549999982146</v>
      </c>
      <c r="AO11" s="181">
        <f t="shared" si="34"/>
        <v>-0.30321699999979046</v>
      </c>
      <c r="AP11" s="182">
        <f t="shared" si="28"/>
        <v>-1.1854416044932364E-4</v>
      </c>
      <c r="AQ11" s="76">
        <f t="shared" si="13"/>
        <v>-3.186886908350786</v>
      </c>
      <c r="AR11" s="183">
        <f t="shared" si="29"/>
        <v>3.0000000001564331E-2</v>
      </c>
    </row>
    <row r="12" spans="1:44" ht="15" x14ac:dyDescent="0.25">
      <c r="A12" s="149" t="str">
        <f t="shared" si="15"/>
        <v>46178M</v>
      </c>
      <c r="B12" s="51">
        <f t="shared" si="35"/>
        <v>46178</v>
      </c>
      <c r="C12" s="158" t="s">
        <v>87</v>
      </c>
      <c r="D12" s="185">
        <v>7324.3</v>
      </c>
      <c r="E12" s="170">
        <v>4.17</v>
      </c>
      <c r="F12" s="170">
        <v>8.2899999999999991</v>
      </c>
      <c r="G12" s="170">
        <f t="shared" si="16"/>
        <v>305.42331000000001</v>
      </c>
      <c r="H12" s="171">
        <f t="shared" si="17"/>
        <v>607.18446999999992</v>
      </c>
      <c r="I12" s="161">
        <v>3667.7000000000007</v>
      </c>
      <c r="J12" s="162">
        <v>3777.7310000000007</v>
      </c>
      <c r="K12" s="163">
        <v>5.2760926466177729</v>
      </c>
      <c r="L12" s="164">
        <v>8.4365487907953263</v>
      </c>
      <c r="M12" s="165">
        <v>0</v>
      </c>
      <c r="N12" s="165">
        <v>0</v>
      </c>
      <c r="O12" s="166">
        <v>0</v>
      </c>
      <c r="P12" s="167">
        <v>0</v>
      </c>
      <c r="Q12" s="168">
        <v>0</v>
      </c>
      <c r="R12" s="169">
        <f t="shared" si="18"/>
        <v>3777.7310000000007</v>
      </c>
      <c r="S12" s="170">
        <f t="shared" si="19"/>
        <v>199.31658750000008</v>
      </c>
      <c r="T12" s="171">
        <f t="shared" si="20"/>
        <v>318.71011900000025</v>
      </c>
      <c r="U12" s="172" t="s">
        <v>266</v>
      </c>
      <c r="V12" s="173" t="s">
        <v>364</v>
      </c>
      <c r="W12" s="160" t="s">
        <v>225</v>
      </c>
      <c r="X12" s="174">
        <v>11200</v>
      </c>
      <c r="Y12" s="175">
        <v>4.67</v>
      </c>
      <c r="Z12" s="175">
        <v>8.34</v>
      </c>
      <c r="AA12" s="62">
        <f t="shared" ref="AA12:AA55" si="36">X12*Y12%</f>
        <v>523.04</v>
      </c>
      <c r="AB12" s="63">
        <f t="shared" ref="AB12:AB64" si="37">X12*Z12%</f>
        <v>934.08</v>
      </c>
      <c r="AC12" s="176">
        <v>11180</v>
      </c>
      <c r="AD12" s="177">
        <v>4.6797853309481212</v>
      </c>
      <c r="AE12" s="177">
        <v>8.345957066189623</v>
      </c>
      <c r="AF12" s="170">
        <f t="shared" si="23"/>
        <v>523.19999999999993</v>
      </c>
      <c r="AG12" s="171">
        <f t="shared" si="24"/>
        <v>933.07799999999986</v>
      </c>
      <c r="AH12" s="184">
        <v>0</v>
      </c>
      <c r="AI12" s="160">
        <v>0</v>
      </c>
      <c r="AJ12" s="160">
        <v>0</v>
      </c>
      <c r="AK12" s="170">
        <f t="shared" si="30"/>
        <v>0</v>
      </c>
      <c r="AL12" s="179">
        <f t="shared" si="31"/>
        <v>0</v>
      </c>
      <c r="AM12" s="180">
        <f t="shared" si="32"/>
        <v>-77.968999999999141</v>
      </c>
      <c r="AN12" s="181">
        <f t="shared" si="33"/>
        <v>-18.460102499999834</v>
      </c>
      <c r="AO12" s="181">
        <f t="shared" si="34"/>
        <v>-7.1834109999996372</v>
      </c>
      <c r="AP12" s="182">
        <f t="shared" si="28"/>
        <v>-4.9502300128998193E-2</v>
      </c>
      <c r="AQ12" s="76">
        <f t="shared" si="13"/>
        <v>-10436.727967948151</v>
      </c>
      <c r="AR12" s="183">
        <f t="shared" si="29"/>
        <v>-97.968999999999141</v>
      </c>
    </row>
    <row r="13" spans="1:44" ht="15" x14ac:dyDescent="0.25">
      <c r="A13" s="149" t="str">
        <f t="shared" si="15"/>
        <v>46178E</v>
      </c>
      <c r="B13" s="51">
        <f t="shared" si="35"/>
        <v>46178</v>
      </c>
      <c r="C13" s="158" t="s">
        <v>88</v>
      </c>
      <c r="D13" s="185">
        <v>0</v>
      </c>
      <c r="E13" s="170">
        <v>0</v>
      </c>
      <c r="F13" s="170">
        <v>0</v>
      </c>
      <c r="G13" s="170">
        <f t="shared" si="16"/>
        <v>0</v>
      </c>
      <c r="H13" s="171">
        <f t="shared" si="17"/>
        <v>0</v>
      </c>
      <c r="I13" s="161">
        <v>8934.75</v>
      </c>
      <c r="J13" s="162">
        <v>9202.7924999999996</v>
      </c>
      <c r="K13" s="163">
        <v>4.218518145443352</v>
      </c>
      <c r="L13" s="164">
        <v>8.2155376479476185</v>
      </c>
      <c r="M13" s="165">
        <v>0</v>
      </c>
      <c r="N13" s="165">
        <v>0</v>
      </c>
      <c r="O13" s="166">
        <v>0</v>
      </c>
      <c r="P13" s="167">
        <v>0</v>
      </c>
      <c r="Q13" s="168">
        <v>0</v>
      </c>
      <c r="R13" s="169">
        <f t="shared" si="18"/>
        <v>9202.7924999999996</v>
      </c>
      <c r="S13" s="170">
        <f t="shared" si="19"/>
        <v>388.22147149999989</v>
      </c>
      <c r="T13" s="171">
        <f t="shared" si="20"/>
        <v>756.05888249999975</v>
      </c>
      <c r="U13" s="172" t="s">
        <v>167</v>
      </c>
      <c r="V13" s="173" t="s">
        <v>167</v>
      </c>
      <c r="W13" s="160">
        <v>0</v>
      </c>
      <c r="X13" s="174">
        <v>0</v>
      </c>
      <c r="Y13" s="175">
        <v>0</v>
      </c>
      <c r="Z13" s="175">
        <v>0</v>
      </c>
      <c r="AA13" s="62">
        <f t="shared" si="36"/>
        <v>0</v>
      </c>
      <c r="AB13" s="63">
        <f t="shared" si="37"/>
        <v>0</v>
      </c>
      <c r="AC13" s="176"/>
      <c r="AD13" s="177"/>
      <c r="AE13" s="177"/>
      <c r="AF13" s="170">
        <f t="shared" si="23"/>
        <v>0</v>
      </c>
      <c r="AG13" s="171">
        <f t="shared" si="24"/>
        <v>0</v>
      </c>
      <c r="AH13" s="184">
        <v>9202.7000000000007</v>
      </c>
      <c r="AI13" s="160">
        <v>4.22</v>
      </c>
      <c r="AJ13" s="160">
        <v>8.2200000000000006</v>
      </c>
      <c r="AK13" s="170">
        <f t="shared" si="30"/>
        <v>388.35393999999997</v>
      </c>
      <c r="AL13" s="179">
        <f t="shared" si="31"/>
        <v>756.46194000000014</v>
      </c>
      <c r="AM13" s="180">
        <f t="shared" si="32"/>
        <v>9.2499999998835847E-2</v>
      </c>
      <c r="AN13" s="181">
        <f t="shared" si="33"/>
        <v>-0.13246850000007271</v>
      </c>
      <c r="AO13" s="181">
        <f t="shared" si="34"/>
        <v>-0.40305750000038643</v>
      </c>
      <c r="AP13" s="182">
        <f t="shared" si="28"/>
        <v>-4.6800244199636005E-4</v>
      </c>
      <c r="AQ13" s="76">
        <f t="shared" si="13"/>
        <v>-180.09079588514831</v>
      </c>
      <c r="AR13" s="183">
        <f t="shared" si="29"/>
        <v>9.2499999998835847E-2</v>
      </c>
    </row>
    <row r="14" spans="1:44" ht="15" x14ac:dyDescent="0.25">
      <c r="A14" s="149" t="str">
        <f t="shared" si="15"/>
        <v>46179M</v>
      </c>
      <c r="B14" s="51">
        <f t="shared" si="35"/>
        <v>46179</v>
      </c>
      <c r="C14" s="158" t="s">
        <v>87</v>
      </c>
      <c r="D14" s="185">
        <v>9202.7000000000007</v>
      </c>
      <c r="E14" s="170">
        <v>4.22</v>
      </c>
      <c r="F14" s="170">
        <v>8.2200000000000006</v>
      </c>
      <c r="G14" s="170">
        <f t="shared" si="16"/>
        <v>388.35393999999997</v>
      </c>
      <c r="H14" s="171">
        <f t="shared" si="17"/>
        <v>756.46194000000014</v>
      </c>
      <c r="I14" s="161">
        <v>4623.0000000000018</v>
      </c>
      <c r="J14" s="162">
        <v>4761.6900000000023</v>
      </c>
      <c r="K14" s="163">
        <v>5.1565952844473282</v>
      </c>
      <c r="L14" s="164">
        <v>8.4283062946138863</v>
      </c>
      <c r="M14" s="165">
        <v>0</v>
      </c>
      <c r="N14" s="165">
        <v>0</v>
      </c>
      <c r="O14" s="166">
        <v>0</v>
      </c>
      <c r="P14" s="167">
        <v>0</v>
      </c>
      <c r="Q14" s="168">
        <v>0</v>
      </c>
      <c r="R14" s="169">
        <f t="shared" si="18"/>
        <v>4761.6900000000023</v>
      </c>
      <c r="S14" s="170">
        <f t="shared" si="19"/>
        <v>245.5410820000001</v>
      </c>
      <c r="T14" s="171">
        <f t="shared" si="20"/>
        <v>401.32981800000016</v>
      </c>
      <c r="U14" s="172" t="s">
        <v>266</v>
      </c>
      <c r="V14" s="173" t="s">
        <v>365</v>
      </c>
      <c r="W14" s="160" t="s">
        <v>225</v>
      </c>
      <c r="X14" s="174">
        <v>14075</v>
      </c>
      <c r="Y14" s="175">
        <v>4.62</v>
      </c>
      <c r="Z14" s="175">
        <v>8.27</v>
      </c>
      <c r="AA14" s="62">
        <f t="shared" si="36"/>
        <v>650.26499999999999</v>
      </c>
      <c r="AB14" s="63">
        <f t="shared" si="37"/>
        <v>1164.0024999999998</v>
      </c>
      <c r="AC14" s="176">
        <v>14095</v>
      </c>
      <c r="AD14" s="177">
        <v>4.562610854913089</v>
      </c>
      <c r="AE14" s="177">
        <v>8.2756083717630364</v>
      </c>
      <c r="AF14" s="170">
        <f t="shared" si="23"/>
        <v>643.09999999999991</v>
      </c>
      <c r="AG14" s="171">
        <f t="shared" si="24"/>
        <v>1166.4470000000001</v>
      </c>
      <c r="AH14" s="178">
        <v>0</v>
      </c>
      <c r="AI14" s="160">
        <v>0</v>
      </c>
      <c r="AJ14" s="160">
        <v>0</v>
      </c>
      <c r="AK14" s="170">
        <f t="shared" si="30"/>
        <v>0</v>
      </c>
      <c r="AL14" s="179">
        <f t="shared" si="31"/>
        <v>0</v>
      </c>
      <c r="AM14" s="180">
        <f t="shared" si="32"/>
        <v>-130.60999999999694</v>
      </c>
      <c r="AN14" s="181">
        <f t="shared" si="33"/>
        <v>-9.2049779999998691</v>
      </c>
      <c r="AO14" s="181">
        <f t="shared" si="34"/>
        <v>-8.6552419999998165</v>
      </c>
      <c r="AP14" s="182">
        <f t="shared" si="28"/>
        <v>-2.7610176930203043E-2</v>
      </c>
      <c r="AQ14" s="76">
        <f t="shared" si="13"/>
        <v>-6722.4897981265531</v>
      </c>
      <c r="AR14" s="183">
        <f t="shared" si="29"/>
        <v>-110.60999999999694</v>
      </c>
    </row>
    <row r="15" spans="1:44" ht="15" x14ac:dyDescent="0.25">
      <c r="A15" s="149" t="str">
        <f t="shared" si="15"/>
        <v>46179E</v>
      </c>
      <c r="B15" s="51">
        <f t="shared" si="35"/>
        <v>46179</v>
      </c>
      <c r="C15" s="158" t="s">
        <v>88</v>
      </c>
      <c r="D15" s="185">
        <v>0</v>
      </c>
      <c r="E15" s="170">
        <v>0</v>
      </c>
      <c r="F15" s="170">
        <v>0</v>
      </c>
      <c r="G15" s="170">
        <f t="shared" si="16"/>
        <v>0</v>
      </c>
      <c r="H15" s="171">
        <f t="shared" si="17"/>
        <v>0</v>
      </c>
      <c r="I15" s="161">
        <v>5398.6500000000005</v>
      </c>
      <c r="J15" s="162">
        <v>5560.6095000000005</v>
      </c>
      <c r="K15" s="163">
        <v>4.3273661007844542</v>
      </c>
      <c r="L15" s="164">
        <v>8.3371500282478035</v>
      </c>
      <c r="M15" s="165">
        <v>0</v>
      </c>
      <c r="N15" s="165">
        <v>0</v>
      </c>
      <c r="O15" s="166">
        <v>0</v>
      </c>
      <c r="P15" s="167">
        <v>0</v>
      </c>
      <c r="Q15" s="168">
        <v>0</v>
      </c>
      <c r="R15" s="169">
        <f t="shared" si="18"/>
        <v>5560.6095000000005</v>
      </c>
      <c r="S15" s="170">
        <f t="shared" si="19"/>
        <v>240.62793049999996</v>
      </c>
      <c r="T15" s="171">
        <f t="shared" si="20"/>
        <v>463.59635650000007</v>
      </c>
      <c r="U15" s="172" t="s">
        <v>167</v>
      </c>
      <c r="V15" s="173" t="s">
        <v>167</v>
      </c>
      <c r="W15" s="160">
        <v>0</v>
      </c>
      <c r="X15" s="174">
        <v>0</v>
      </c>
      <c r="Y15" s="175">
        <v>0</v>
      </c>
      <c r="Z15" s="175">
        <v>0</v>
      </c>
      <c r="AA15" s="62">
        <f t="shared" si="36"/>
        <v>0</v>
      </c>
      <c r="AB15" s="63">
        <f t="shared" si="37"/>
        <v>0</v>
      </c>
      <c r="AC15" s="176"/>
      <c r="AD15" s="177"/>
      <c r="AE15" s="177"/>
      <c r="AF15" s="170">
        <f t="shared" si="23"/>
        <v>0</v>
      </c>
      <c r="AG15" s="171">
        <f t="shared" si="24"/>
        <v>0</v>
      </c>
      <c r="AH15" s="184">
        <v>5560.5</v>
      </c>
      <c r="AI15" s="160">
        <v>4.33</v>
      </c>
      <c r="AJ15" s="160">
        <v>8.34</v>
      </c>
      <c r="AK15" s="170">
        <f t="shared" si="30"/>
        <v>240.76964999999998</v>
      </c>
      <c r="AL15" s="179">
        <f t="shared" si="31"/>
        <v>463.7457</v>
      </c>
      <c r="AM15" s="180">
        <f t="shared" si="32"/>
        <v>0.10950000000048021</v>
      </c>
      <c r="AN15" s="181">
        <f t="shared" si="33"/>
        <v>-0.14171950000002198</v>
      </c>
      <c r="AO15" s="181">
        <f t="shared" si="34"/>
        <v>-0.14934349999992946</v>
      </c>
      <c r="AP15" s="182">
        <f t="shared" si="28"/>
        <v>-4.1331008511490239E-4</v>
      </c>
      <c r="AQ15" s="76">
        <f t="shared" si="13"/>
        <v>-108.31382780165544</v>
      </c>
      <c r="AR15" s="183">
        <f t="shared" si="29"/>
        <v>0.10950000000048021</v>
      </c>
    </row>
    <row r="16" spans="1:44" ht="15" x14ac:dyDescent="0.25">
      <c r="A16" s="149" t="str">
        <f t="shared" si="15"/>
        <v>46180M</v>
      </c>
      <c r="B16" s="51">
        <f t="shared" si="35"/>
        <v>46180</v>
      </c>
      <c r="C16" s="158" t="s">
        <v>87</v>
      </c>
      <c r="D16" s="185">
        <v>5560.5</v>
      </c>
      <c r="E16" s="170">
        <v>4.33</v>
      </c>
      <c r="F16" s="170">
        <v>8.34</v>
      </c>
      <c r="G16" s="170">
        <f t="shared" si="16"/>
        <v>240.76964999999998</v>
      </c>
      <c r="H16" s="171">
        <f t="shared" si="17"/>
        <v>463.7457</v>
      </c>
      <c r="I16" s="161">
        <v>3598.3500000000013</v>
      </c>
      <c r="J16" s="162">
        <v>3706.3005000000012</v>
      </c>
      <c r="K16" s="163">
        <v>5.1787333083218732</v>
      </c>
      <c r="L16" s="164">
        <v>8.4153153528700688</v>
      </c>
      <c r="M16" s="165">
        <v>0</v>
      </c>
      <c r="N16" s="165">
        <v>0</v>
      </c>
      <c r="O16" s="166">
        <v>0</v>
      </c>
      <c r="P16" s="167">
        <v>0</v>
      </c>
      <c r="Q16" s="168">
        <v>0</v>
      </c>
      <c r="R16" s="169">
        <f t="shared" si="18"/>
        <v>3706.3005000000012</v>
      </c>
      <c r="S16" s="170">
        <f t="shared" si="19"/>
        <v>191.93941850000019</v>
      </c>
      <c r="T16" s="171">
        <f t="shared" si="20"/>
        <v>311.89687500000025</v>
      </c>
      <c r="U16" s="172" t="s">
        <v>167</v>
      </c>
      <c r="V16" s="173" t="s">
        <v>167</v>
      </c>
      <c r="W16" s="160">
        <v>0</v>
      </c>
      <c r="X16" s="174">
        <v>0</v>
      </c>
      <c r="Y16" s="175">
        <v>0</v>
      </c>
      <c r="Z16" s="175">
        <v>0</v>
      </c>
      <c r="AA16" s="62">
        <f t="shared" si="36"/>
        <v>0</v>
      </c>
      <c r="AB16" s="63">
        <f t="shared" si="37"/>
        <v>0</v>
      </c>
      <c r="AC16" s="176"/>
      <c r="AD16" s="177"/>
      <c r="AE16" s="177"/>
      <c r="AF16" s="170">
        <f t="shared" si="23"/>
        <v>0</v>
      </c>
      <c r="AG16" s="171">
        <f t="shared" si="24"/>
        <v>0</v>
      </c>
      <c r="AH16" s="184">
        <v>9266.7000000000007</v>
      </c>
      <c r="AI16" s="187">
        <v>4.66</v>
      </c>
      <c r="AJ16" s="187">
        <v>8.3699999999999992</v>
      </c>
      <c r="AK16" s="170">
        <f t="shared" si="30"/>
        <v>431.82822000000004</v>
      </c>
      <c r="AL16" s="179">
        <f t="shared" si="31"/>
        <v>775.62279000000001</v>
      </c>
      <c r="AM16" s="180">
        <f t="shared" si="32"/>
        <v>0.10050000000046566</v>
      </c>
      <c r="AN16" s="181">
        <f t="shared" si="33"/>
        <v>0.88084850000012693</v>
      </c>
      <c r="AO16" s="181">
        <f t="shared" si="34"/>
        <v>1.9785000000297259E-2</v>
      </c>
      <c r="AP16" s="182">
        <f t="shared" si="28"/>
        <v>1.7875518528925177E-3</v>
      </c>
      <c r="AQ16" s="76">
        <f t="shared" si="13"/>
        <v>401.34282303514595</v>
      </c>
      <c r="AR16" s="183">
        <f t="shared" si="29"/>
        <v>0.10050000000046566</v>
      </c>
    </row>
    <row r="17" spans="1:45" ht="15" x14ac:dyDescent="0.25">
      <c r="A17" s="149" t="str">
        <f t="shared" si="15"/>
        <v>46180E</v>
      </c>
      <c r="B17" s="51">
        <f t="shared" si="35"/>
        <v>46180</v>
      </c>
      <c r="C17" s="158" t="s">
        <v>88</v>
      </c>
      <c r="D17" s="185">
        <v>9266.7000000000007</v>
      </c>
      <c r="E17" s="170">
        <v>4.66</v>
      </c>
      <c r="F17" s="170">
        <v>8.3699999999999992</v>
      </c>
      <c r="G17" s="170">
        <f t="shared" si="16"/>
        <v>431.82822000000004</v>
      </c>
      <c r="H17" s="171">
        <f t="shared" si="17"/>
        <v>775.62279000000001</v>
      </c>
      <c r="I17" s="161">
        <v>7252.5000000000009</v>
      </c>
      <c r="J17" s="162">
        <v>7470.0750000000007</v>
      </c>
      <c r="K17" s="163">
        <v>4.2584722509479489</v>
      </c>
      <c r="L17" s="164">
        <v>8.3856463288521184</v>
      </c>
      <c r="M17" s="165">
        <v>0</v>
      </c>
      <c r="N17" s="165">
        <v>0</v>
      </c>
      <c r="O17" s="166">
        <v>0</v>
      </c>
      <c r="P17" s="167">
        <v>0</v>
      </c>
      <c r="Q17" s="168">
        <v>0</v>
      </c>
      <c r="R17" s="169">
        <f t="shared" si="18"/>
        <v>7470.0750000000007</v>
      </c>
      <c r="S17" s="170">
        <f t="shared" si="19"/>
        <v>318.11107100000004</v>
      </c>
      <c r="T17" s="171">
        <f t="shared" si="20"/>
        <v>626.41406999999992</v>
      </c>
      <c r="U17" s="172" t="s">
        <v>167</v>
      </c>
      <c r="V17" s="173" t="s">
        <v>167</v>
      </c>
      <c r="W17" s="160">
        <v>0</v>
      </c>
      <c r="X17" s="174">
        <v>0</v>
      </c>
      <c r="Y17" s="175">
        <v>0</v>
      </c>
      <c r="Z17" s="175">
        <v>0</v>
      </c>
      <c r="AA17" s="62">
        <f t="shared" si="36"/>
        <v>0</v>
      </c>
      <c r="AB17" s="63">
        <f t="shared" si="37"/>
        <v>0</v>
      </c>
      <c r="AC17" s="176"/>
      <c r="AD17" s="177"/>
      <c r="AE17" s="177"/>
      <c r="AF17" s="170">
        <f t="shared" si="23"/>
        <v>0</v>
      </c>
      <c r="AG17" s="171">
        <f t="shared" si="24"/>
        <v>0</v>
      </c>
      <c r="AH17" s="184">
        <v>16736.7</v>
      </c>
      <c r="AI17" s="160">
        <v>4.4800000000000004</v>
      </c>
      <c r="AJ17" s="160">
        <v>8.3699999999999992</v>
      </c>
      <c r="AK17" s="170">
        <f t="shared" si="30"/>
        <v>749.80416000000014</v>
      </c>
      <c r="AL17" s="179">
        <f t="shared" si="31"/>
        <v>1400.8617899999999</v>
      </c>
      <c r="AM17" s="180">
        <f t="shared" si="32"/>
        <v>7.5000000000727596E-2</v>
      </c>
      <c r="AN17" s="181">
        <f t="shared" si="33"/>
        <v>0.13513100000000122</v>
      </c>
      <c r="AO17" s="181">
        <f t="shared" si="34"/>
        <v>1.1750700000000052</v>
      </c>
      <c r="AP17" s="182">
        <f t="shared" si="28"/>
        <v>1.3871531239632788E-3</v>
      </c>
      <c r="AQ17" s="76">
        <f t="shared" si="13"/>
        <v>412.32877301000212</v>
      </c>
      <c r="AR17" s="183">
        <f t="shared" si="29"/>
        <v>7.5000000000727596E-2</v>
      </c>
    </row>
    <row r="18" spans="1:45" ht="15" x14ac:dyDescent="0.25">
      <c r="A18" s="149" t="str">
        <f t="shared" si="15"/>
        <v>46181M</v>
      </c>
      <c r="B18" s="51">
        <f t="shared" si="35"/>
        <v>46181</v>
      </c>
      <c r="C18" s="158" t="s">
        <v>87</v>
      </c>
      <c r="D18" s="185">
        <v>16736.7</v>
      </c>
      <c r="E18" s="170">
        <v>4.4800000000000004</v>
      </c>
      <c r="F18" s="170">
        <v>8.3699999999999992</v>
      </c>
      <c r="G18" s="170">
        <f t="shared" si="16"/>
        <v>749.80416000000014</v>
      </c>
      <c r="H18" s="171">
        <f t="shared" si="17"/>
        <v>1400.8617899999999</v>
      </c>
      <c r="I18" s="161">
        <v>3898.2</v>
      </c>
      <c r="J18" s="162">
        <v>4015.1459999999997</v>
      </c>
      <c r="K18" s="163">
        <v>5.3742663280488427</v>
      </c>
      <c r="L18" s="164">
        <v>8.4754207069929652</v>
      </c>
      <c r="M18" s="165">
        <v>0</v>
      </c>
      <c r="N18" s="165">
        <v>0</v>
      </c>
      <c r="O18" s="166">
        <v>0</v>
      </c>
      <c r="P18" s="167">
        <v>0</v>
      </c>
      <c r="Q18" s="168">
        <v>0</v>
      </c>
      <c r="R18" s="169">
        <f t="shared" si="18"/>
        <v>4015.1459999999997</v>
      </c>
      <c r="S18" s="170">
        <f t="shared" si="19"/>
        <v>215.78463949999997</v>
      </c>
      <c r="T18" s="171">
        <f t="shared" si="20"/>
        <v>340.30051549999973</v>
      </c>
      <c r="U18" s="172" t="s">
        <v>266</v>
      </c>
      <c r="V18" s="173" t="s">
        <v>366</v>
      </c>
      <c r="W18" s="160" t="s">
        <v>225</v>
      </c>
      <c r="X18" s="174">
        <v>18450</v>
      </c>
      <c r="Y18" s="175">
        <v>4.8</v>
      </c>
      <c r="Z18" s="175">
        <v>8.49</v>
      </c>
      <c r="AA18" s="62">
        <f t="shared" si="36"/>
        <v>885.6</v>
      </c>
      <c r="AB18" s="63">
        <f t="shared" si="37"/>
        <v>1566.405</v>
      </c>
      <c r="AC18" s="176">
        <v>18440</v>
      </c>
      <c r="AD18" s="177">
        <v>4.6999999999999993</v>
      </c>
      <c r="AE18" s="177">
        <v>8.3499999999999979</v>
      </c>
      <c r="AF18" s="170">
        <f t="shared" si="23"/>
        <v>866.67999999999984</v>
      </c>
      <c r="AG18" s="171">
        <f t="shared" si="24"/>
        <v>1539.7399999999996</v>
      </c>
      <c r="AH18" s="184">
        <v>2301.8000000000002</v>
      </c>
      <c r="AI18" s="160">
        <v>4.6500000000000004</v>
      </c>
      <c r="AJ18" s="160">
        <v>8.39</v>
      </c>
      <c r="AK18" s="170">
        <f t="shared" si="30"/>
        <v>107.03370000000002</v>
      </c>
      <c r="AL18" s="179">
        <f t="shared" si="31"/>
        <v>193.12102000000002</v>
      </c>
      <c r="AM18" s="180">
        <f t="shared" si="32"/>
        <v>10.046000000001186</v>
      </c>
      <c r="AN18" s="181">
        <f t="shared" si="33"/>
        <v>-8.1249004999998107</v>
      </c>
      <c r="AO18" s="181">
        <f t="shared" si="34"/>
        <v>8.3012854999999774</v>
      </c>
      <c r="AP18" s="182">
        <f t="shared" si="28"/>
        <v>3.171906288348353E-4</v>
      </c>
      <c r="AQ18" s="76">
        <f t="shared" si="13"/>
        <v>-1162.9957009182549</v>
      </c>
      <c r="AR18" s="183">
        <f t="shared" si="29"/>
        <v>4.6000000002095476E-2</v>
      </c>
    </row>
    <row r="19" spans="1:45" ht="15" x14ac:dyDescent="0.25">
      <c r="A19" s="149" t="str">
        <f t="shared" si="15"/>
        <v>46181E</v>
      </c>
      <c r="B19" s="51">
        <f t="shared" si="35"/>
        <v>46181</v>
      </c>
      <c r="C19" s="158" t="s">
        <v>88</v>
      </c>
      <c r="D19" s="185">
        <v>2301.8000000000002</v>
      </c>
      <c r="E19" s="170">
        <v>4.6500000000000004</v>
      </c>
      <c r="F19" s="170">
        <v>8.39</v>
      </c>
      <c r="G19" s="170">
        <f t="shared" si="16"/>
        <v>107.03370000000002</v>
      </c>
      <c r="H19" s="171">
        <f t="shared" si="17"/>
        <v>193.12102000000002</v>
      </c>
      <c r="I19" s="161">
        <v>7058.5500000000011</v>
      </c>
      <c r="J19" s="162">
        <v>7270.3065000000015</v>
      </c>
      <c r="K19" s="163">
        <v>4.349714176424337</v>
      </c>
      <c r="L19" s="164">
        <v>8.4304680139688752</v>
      </c>
      <c r="M19" s="165">
        <v>0</v>
      </c>
      <c r="N19" s="165">
        <v>0</v>
      </c>
      <c r="O19" s="166">
        <v>0</v>
      </c>
      <c r="P19" s="167">
        <v>0</v>
      </c>
      <c r="Q19" s="168">
        <v>0</v>
      </c>
      <c r="R19" s="169">
        <f t="shared" si="18"/>
        <v>7270.3065000000015</v>
      </c>
      <c r="S19" s="170">
        <f t="shared" si="19"/>
        <v>316.23755250000011</v>
      </c>
      <c r="T19" s="171">
        <f t="shared" si="20"/>
        <v>612.92086400000017</v>
      </c>
      <c r="U19" s="172" t="s">
        <v>167</v>
      </c>
      <c r="V19" s="173" t="s">
        <v>167</v>
      </c>
      <c r="W19" s="160">
        <v>0</v>
      </c>
      <c r="X19" s="174">
        <v>0</v>
      </c>
      <c r="Y19" s="175">
        <v>0</v>
      </c>
      <c r="Z19" s="175">
        <v>0</v>
      </c>
      <c r="AA19" s="62">
        <f t="shared" si="36"/>
        <v>0</v>
      </c>
      <c r="AB19" s="63">
        <f t="shared" si="37"/>
        <v>0</v>
      </c>
      <c r="AC19" s="176"/>
      <c r="AD19" s="177"/>
      <c r="AE19" s="177"/>
      <c r="AF19" s="170">
        <f t="shared" si="23"/>
        <v>0</v>
      </c>
      <c r="AG19" s="171">
        <f t="shared" si="24"/>
        <v>0</v>
      </c>
      <c r="AH19" s="184">
        <v>9572</v>
      </c>
      <c r="AI19" s="160">
        <v>4.42</v>
      </c>
      <c r="AJ19" s="160">
        <v>8.42</v>
      </c>
      <c r="AK19" s="170">
        <f t="shared" si="30"/>
        <v>423.08239999999995</v>
      </c>
      <c r="AL19" s="179">
        <f t="shared" si="31"/>
        <v>805.9624</v>
      </c>
      <c r="AM19" s="180">
        <f t="shared" si="32"/>
        <v>0.10650000000168802</v>
      </c>
      <c r="AN19" s="181">
        <f t="shared" si="33"/>
        <v>0.1888525000001664</v>
      </c>
      <c r="AO19" s="181">
        <f t="shared" si="34"/>
        <v>7.9484000000206834E-2</v>
      </c>
      <c r="AP19" s="182">
        <f t="shared" si="28"/>
        <v>2.887952099827674E-4</v>
      </c>
      <c r="AQ19" s="76">
        <f t="shared" si="13"/>
        <v>108.56521740180327</v>
      </c>
      <c r="AR19" s="183">
        <f t="shared" si="29"/>
        <v>0.10650000000168802</v>
      </c>
    </row>
    <row r="20" spans="1:45" ht="15" x14ac:dyDescent="0.25">
      <c r="A20" s="149" t="str">
        <f t="shared" si="15"/>
        <v>46182M</v>
      </c>
      <c r="B20" s="51">
        <f t="shared" si="35"/>
        <v>46182</v>
      </c>
      <c r="C20" s="158" t="s">
        <v>87</v>
      </c>
      <c r="D20" s="185">
        <v>9572</v>
      </c>
      <c r="E20" s="170">
        <v>4.42</v>
      </c>
      <c r="F20" s="170">
        <v>8.42</v>
      </c>
      <c r="G20" s="170">
        <f t="shared" si="16"/>
        <v>423.08239999999995</v>
      </c>
      <c r="H20" s="171">
        <f t="shared" si="17"/>
        <v>805.9624</v>
      </c>
      <c r="I20" s="161">
        <v>5627.4499999999989</v>
      </c>
      <c r="J20" s="162">
        <v>5796.2734999999993</v>
      </c>
      <c r="K20" s="163">
        <v>5.087777767905532</v>
      </c>
      <c r="L20" s="164">
        <v>8.3578441389972369</v>
      </c>
      <c r="M20" s="165">
        <v>0</v>
      </c>
      <c r="N20" s="165">
        <v>0</v>
      </c>
      <c r="O20" s="166">
        <v>0</v>
      </c>
      <c r="P20" s="167">
        <v>0</v>
      </c>
      <c r="Q20" s="168">
        <v>0</v>
      </c>
      <c r="R20" s="169">
        <f t="shared" si="18"/>
        <v>5796.2734999999993</v>
      </c>
      <c r="S20" s="170">
        <f t="shared" si="19"/>
        <v>294.90151449999979</v>
      </c>
      <c r="T20" s="171">
        <f t="shared" si="20"/>
        <v>484.4435049999999</v>
      </c>
      <c r="U20" s="172" t="s">
        <v>266</v>
      </c>
      <c r="V20" s="173" t="s">
        <v>367</v>
      </c>
      <c r="W20" s="160" t="s">
        <v>225</v>
      </c>
      <c r="X20" s="174">
        <v>12300</v>
      </c>
      <c r="Y20" s="175">
        <v>4.62</v>
      </c>
      <c r="Z20" s="175">
        <v>8.4499999999999993</v>
      </c>
      <c r="AA20" s="62">
        <f t="shared" si="36"/>
        <v>568.26</v>
      </c>
      <c r="AB20" s="63">
        <f t="shared" si="37"/>
        <v>1039.3499999999999</v>
      </c>
      <c r="AC20" s="176">
        <v>12320</v>
      </c>
      <c r="AD20" s="177">
        <v>4.6242694805194802</v>
      </c>
      <c r="AE20" s="177">
        <v>8.4592207792207823</v>
      </c>
      <c r="AF20" s="170">
        <f t="shared" si="23"/>
        <v>569.70999999999992</v>
      </c>
      <c r="AG20" s="171">
        <f t="shared" si="24"/>
        <v>1042.1760000000004</v>
      </c>
      <c r="AH20" s="184">
        <v>3068.2</v>
      </c>
      <c r="AI20" s="160">
        <v>4.67</v>
      </c>
      <c r="AJ20" s="160">
        <v>8.39</v>
      </c>
      <c r="AK20" s="170">
        <f t="shared" si="30"/>
        <v>143.28493999999998</v>
      </c>
      <c r="AL20" s="179">
        <f t="shared" si="31"/>
        <v>257.42198000000002</v>
      </c>
      <c r="AM20" s="180">
        <f t="shared" si="32"/>
        <v>-19.926500000000487</v>
      </c>
      <c r="AN20" s="181">
        <f t="shared" si="33"/>
        <v>4.9889744999998413</v>
      </c>
      <c r="AO20" s="181">
        <f t="shared" si="34"/>
        <v>-9.1920750000005569</v>
      </c>
      <c r="AP20" s="182">
        <f t="shared" si="28"/>
        <v>-5.3931190869703338E-3</v>
      </c>
      <c r="AQ20" s="76">
        <f t="shared" si="13"/>
        <v>-511.34238270523792</v>
      </c>
      <c r="AR20" s="183">
        <f t="shared" si="29"/>
        <v>7.3499999998603016E-2</v>
      </c>
    </row>
    <row r="21" spans="1:45" ht="15" x14ac:dyDescent="0.25">
      <c r="A21" s="149" t="str">
        <f t="shared" si="15"/>
        <v>46182E</v>
      </c>
      <c r="B21" s="51">
        <f t="shared" si="35"/>
        <v>46182</v>
      </c>
      <c r="C21" s="158" t="s">
        <v>88</v>
      </c>
      <c r="D21" s="185">
        <v>3068.2</v>
      </c>
      <c r="E21" s="170">
        <v>4.67</v>
      </c>
      <c r="F21" s="170">
        <v>8.39</v>
      </c>
      <c r="G21" s="170">
        <f t="shared" si="16"/>
        <v>143.28493999999998</v>
      </c>
      <c r="H21" s="171">
        <f t="shared" si="17"/>
        <v>257.42198000000002</v>
      </c>
      <c r="I21" s="161">
        <v>7392.1000000000013</v>
      </c>
      <c r="J21" s="162">
        <v>7613.8630000000012</v>
      </c>
      <c r="K21" s="163">
        <v>4.2026981507284829</v>
      </c>
      <c r="L21" s="164">
        <v>8.339547625167409</v>
      </c>
      <c r="M21" s="165">
        <v>0</v>
      </c>
      <c r="N21" s="165">
        <v>0</v>
      </c>
      <c r="O21" s="166">
        <v>0</v>
      </c>
      <c r="P21" s="167">
        <v>0</v>
      </c>
      <c r="Q21" s="168">
        <v>0</v>
      </c>
      <c r="R21" s="169">
        <f t="shared" si="18"/>
        <v>7613.8630000000012</v>
      </c>
      <c r="S21" s="170">
        <f t="shared" si="19"/>
        <v>319.98767950000024</v>
      </c>
      <c r="T21" s="171">
        <f t="shared" si="20"/>
        <v>634.96173100000021</v>
      </c>
      <c r="U21" s="172" t="s">
        <v>167</v>
      </c>
      <c r="V21" s="173" t="s">
        <v>167</v>
      </c>
      <c r="W21" s="160">
        <v>0</v>
      </c>
      <c r="X21" s="174">
        <v>0</v>
      </c>
      <c r="Y21" s="175">
        <v>0</v>
      </c>
      <c r="Z21" s="175">
        <v>0</v>
      </c>
      <c r="AA21" s="62">
        <f t="shared" si="36"/>
        <v>0</v>
      </c>
      <c r="AB21" s="63">
        <f t="shared" si="37"/>
        <v>0</v>
      </c>
      <c r="AC21" s="176"/>
      <c r="AD21" s="177"/>
      <c r="AE21" s="177"/>
      <c r="AF21" s="170">
        <f t="shared" si="23"/>
        <v>0</v>
      </c>
      <c r="AG21" s="171">
        <f t="shared" si="24"/>
        <v>0</v>
      </c>
      <c r="AH21" s="184">
        <v>10682</v>
      </c>
      <c r="AI21" s="160">
        <v>4.33</v>
      </c>
      <c r="AJ21" s="160">
        <v>8.35</v>
      </c>
      <c r="AK21" s="170">
        <f t="shared" si="30"/>
        <v>462.53059999999999</v>
      </c>
      <c r="AL21" s="179">
        <f t="shared" si="31"/>
        <v>891.94699999999989</v>
      </c>
      <c r="AM21" s="180">
        <f t="shared" si="32"/>
        <v>6.3000000001920853E-2</v>
      </c>
      <c r="AN21" s="181">
        <f t="shared" si="33"/>
        <v>0.74201950000025363</v>
      </c>
      <c r="AO21" s="181">
        <f t="shared" si="34"/>
        <v>0.43671100000028673</v>
      </c>
      <c r="AP21" s="182">
        <f t="shared" si="28"/>
        <v>1.2343381618334847E-3</v>
      </c>
      <c r="AQ21" s="76">
        <f t="shared" si="13"/>
        <v>463.79593041853298</v>
      </c>
      <c r="AR21" s="183">
        <f t="shared" si="29"/>
        <v>6.3000000001920853E-2</v>
      </c>
    </row>
    <row r="22" spans="1:45" ht="15" x14ac:dyDescent="0.25">
      <c r="A22" s="149" t="str">
        <f t="shared" si="15"/>
        <v>46183M</v>
      </c>
      <c r="B22" s="51">
        <f t="shared" si="35"/>
        <v>46183</v>
      </c>
      <c r="C22" s="158" t="s">
        <v>87</v>
      </c>
      <c r="D22" s="185">
        <v>10682</v>
      </c>
      <c r="E22" s="170">
        <v>4.33</v>
      </c>
      <c r="F22" s="170">
        <v>8.35</v>
      </c>
      <c r="G22" s="170">
        <f t="shared" si="16"/>
        <v>462.53059999999999</v>
      </c>
      <c r="H22" s="171">
        <f t="shared" si="17"/>
        <v>891.94699999999989</v>
      </c>
      <c r="I22" s="161">
        <v>3791.9499999999994</v>
      </c>
      <c r="J22" s="162">
        <v>3905.7084999999993</v>
      </c>
      <c r="K22" s="163">
        <v>5.5844961035878624</v>
      </c>
      <c r="L22" s="164">
        <v>8.5292382547238255</v>
      </c>
      <c r="M22" s="165">
        <v>0</v>
      </c>
      <c r="N22" s="165">
        <v>0</v>
      </c>
      <c r="O22" s="166">
        <v>0</v>
      </c>
      <c r="P22" s="167">
        <v>0</v>
      </c>
      <c r="Q22" s="168">
        <v>0</v>
      </c>
      <c r="R22" s="169">
        <f t="shared" si="18"/>
        <v>3905.7084999999993</v>
      </c>
      <c r="S22" s="170">
        <f t="shared" si="19"/>
        <v>218.11413899999991</v>
      </c>
      <c r="T22" s="171">
        <f t="shared" si="20"/>
        <v>333.12718350000006</v>
      </c>
      <c r="U22" s="172" t="s">
        <v>167</v>
      </c>
      <c r="V22" s="173" t="s">
        <v>167</v>
      </c>
      <c r="W22" s="160">
        <v>0</v>
      </c>
      <c r="X22" s="174">
        <v>0</v>
      </c>
      <c r="Y22" s="175">
        <v>0</v>
      </c>
      <c r="Z22" s="175">
        <v>0</v>
      </c>
      <c r="AA22" s="62">
        <f t="shared" si="36"/>
        <v>0</v>
      </c>
      <c r="AB22" s="63">
        <f t="shared" si="37"/>
        <v>0</v>
      </c>
      <c r="AC22" s="176"/>
      <c r="AD22" s="177"/>
      <c r="AE22" s="177"/>
      <c r="AF22" s="170">
        <f t="shared" si="23"/>
        <v>0</v>
      </c>
      <c r="AG22" s="171">
        <f t="shared" si="24"/>
        <v>0</v>
      </c>
      <c r="AH22" s="184">
        <v>14587.6</v>
      </c>
      <c r="AI22" s="160">
        <v>4.66</v>
      </c>
      <c r="AJ22" s="160">
        <v>8.39</v>
      </c>
      <c r="AK22" s="170">
        <f t="shared" si="30"/>
        <v>679.78216000000009</v>
      </c>
      <c r="AL22" s="179">
        <f t="shared" si="31"/>
        <v>1223.8996400000001</v>
      </c>
      <c r="AM22" s="180">
        <f t="shared" si="32"/>
        <v>0.1084999999984575</v>
      </c>
      <c r="AN22" s="181">
        <f t="shared" si="33"/>
        <v>0.86257899999975507</v>
      </c>
      <c r="AO22" s="181">
        <f t="shared" si="34"/>
        <v>1.1745434999997997</v>
      </c>
      <c r="AP22" s="182">
        <f t="shared" si="28"/>
        <v>3.6955184904512574E-3</v>
      </c>
      <c r="AQ22" s="76">
        <f t="shared" si="13"/>
        <v>738.72988727983011</v>
      </c>
      <c r="AR22" s="183">
        <f t="shared" si="29"/>
        <v>0.1084999999984575</v>
      </c>
    </row>
    <row r="23" spans="1:45" ht="15" x14ac:dyDescent="0.25">
      <c r="A23" s="149" t="str">
        <f t="shared" si="15"/>
        <v>46183E</v>
      </c>
      <c r="B23" s="51">
        <f t="shared" si="35"/>
        <v>46183</v>
      </c>
      <c r="C23" s="158" t="s">
        <v>88</v>
      </c>
      <c r="D23" s="185">
        <v>14587.6</v>
      </c>
      <c r="E23" s="170">
        <v>4.66</v>
      </c>
      <c r="F23" s="170">
        <v>8.39</v>
      </c>
      <c r="G23" s="170">
        <f t="shared" si="16"/>
        <v>679.78216000000009</v>
      </c>
      <c r="H23" s="171">
        <f t="shared" si="17"/>
        <v>1223.8996400000001</v>
      </c>
      <c r="I23" s="161">
        <v>6407.3</v>
      </c>
      <c r="J23" s="162">
        <v>6599.5190000000002</v>
      </c>
      <c r="K23" s="163">
        <v>4.3494584302280215</v>
      </c>
      <c r="L23" s="164">
        <v>8.4200505673216473</v>
      </c>
      <c r="M23" s="165">
        <v>0</v>
      </c>
      <c r="N23" s="165">
        <v>0</v>
      </c>
      <c r="O23" s="166">
        <v>0</v>
      </c>
      <c r="P23" s="167">
        <v>0</v>
      </c>
      <c r="Q23" s="168">
        <v>0</v>
      </c>
      <c r="R23" s="169">
        <f t="shared" si="18"/>
        <v>6599.5190000000002</v>
      </c>
      <c r="S23" s="170">
        <f t="shared" si="19"/>
        <v>287.04333550000007</v>
      </c>
      <c r="T23" s="171">
        <f t="shared" si="20"/>
        <v>555.68283699999995</v>
      </c>
      <c r="U23" s="172" t="s">
        <v>266</v>
      </c>
      <c r="V23" s="173" t="s">
        <v>436</v>
      </c>
      <c r="W23" s="160" t="s">
        <v>225</v>
      </c>
      <c r="X23" s="174">
        <v>18470</v>
      </c>
      <c r="Y23" s="175">
        <v>4.75</v>
      </c>
      <c r="Z23" s="175">
        <v>8.49</v>
      </c>
      <c r="AA23" s="62">
        <f t="shared" si="36"/>
        <v>877.32500000000005</v>
      </c>
      <c r="AB23" s="63">
        <f t="shared" si="37"/>
        <v>1568.1030000000001</v>
      </c>
      <c r="AC23" s="176">
        <v>18480</v>
      </c>
      <c r="AD23" s="177">
        <v>4.6500000000000004</v>
      </c>
      <c r="AE23" s="177">
        <v>8.34</v>
      </c>
      <c r="AF23" s="170">
        <f t="shared" si="23"/>
        <v>859.32000000000016</v>
      </c>
      <c r="AG23" s="171">
        <f t="shared" si="24"/>
        <v>1541.232</v>
      </c>
      <c r="AH23" s="184">
        <v>2717.1</v>
      </c>
      <c r="AI23" s="160">
        <v>4.5599999999999996</v>
      </c>
      <c r="AJ23" s="188">
        <v>8.39</v>
      </c>
      <c r="AK23" s="170">
        <f t="shared" si="30"/>
        <v>123.89975999999999</v>
      </c>
      <c r="AL23" s="179">
        <f t="shared" si="31"/>
        <v>227.96468999999999</v>
      </c>
      <c r="AM23" s="180">
        <f t="shared" si="32"/>
        <v>-9.9810000000011314</v>
      </c>
      <c r="AN23" s="181">
        <f t="shared" si="33"/>
        <v>-16.394264499999935</v>
      </c>
      <c r="AO23" s="181">
        <f t="shared" si="34"/>
        <v>10.385786999999965</v>
      </c>
      <c r="AP23" s="182">
        <f t="shared" si="28"/>
        <v>-7.1298100095496548E-3</v>
      </c>
      <c r="AQ23" s="76">
        <f t="shared" si="13"/>
        <v>-4251.3601819149808</v>
      </c>
      <c r="AR23" s="183">
        <f t="shared" si="29"/>
        <v>1.9000000000232831E-2</v>
      </c>
    </row>
    <row r="24" spans="1:45" ht="15" x14ac:dyDescent="0.25">
      <c r="A24" s="149" t="str">
        <f t="shared" si="15"/>
        <v>46184M</v>
      </c>
      <c r="B24" s="51">
        <f t="shared" si="35"/>
        <v>46184</v>
      </c>
      <c r="C24" s="158" t="s">
        <v>87</v>
      </c>
      <c r="D24" s="185">
        <v>2717.1</v>
      </c>
      <c r="E24" s="170">
        <v>4.5599999999999996</v>
      </c>
      <c r="F24" s="170">
        <v>8.39</v>
      </c>
      <c r="G24" s="170">
        <f t="shared" si="16"/>
        <v>123.89975999999999</v>
      </c>
      <c r="H24" s="171">
        <f t="shared" si="17"/>
        <v>227.96468999999999</v>
      </c>
      <c r="I24" s="161">
        <v>4034.7</v>
      </c>
      <c r="J24" s="162">
        <v>4155.741</v>
      </c>
      <c r="K24" s="163">
        <v>5.3720797085285144</v>
      </c>
      <c r="L24" s="164">
        <v>8.5532679009591828</v>
      </c>
      <c r="M24" s="165">
        <v>0</v>
      </c>
      <c r="N24" s="165">
        <v>0</v>
      </c>
      <c r="O24" s="166">
        <v>0</v>
      </c>
      <c r="P24" s="167">
        <v>0</v>
      </c>
      <c r="Q24" s="168">
        <v>0</v>
      </c>
      <c r="R24" s="169">
        <f t="shared" si="18"/>
        <v>4155.741</v>
      </c>
      <c r="S24" s="170">
        <f t="shared" si="19"/>
        <v>223.24971899999994</v>
      </c>
      <c r="T24" s="171">
        <f t="shared" si="20"/>
        <v>355.45166100000017</v>
      </c>
      <c r="U24" s="172" t="s">
        <v>167</v>
      </c>
      <c r="V24" s="173" t="s">
        <v>167</v>
      </c>
      <c r="W24" s="160">
        <v>0</v>
      </c>
      <c r="X24" s="174">
        <v>0</v>
      </c>
      <c r="Y24" s="175">
        <v>0</v>
      </c>
      <c r="Z24" s="175">
        <v>0</v>
      </c>
      <c r="AA24" s="62">
        <f t="shared" si="36"/>
        <v>0</v>
      </c>
      <c r="AB24" s="63">
        <f t="shared" si="37"/>
        <v>0</v>
      </c>
      <c r="AC24" s="176"/>
      <c r="AD24" s="177"/>
      <c r="AE24" s="177"/>
      <c r="AF24" s="170">
        <f t="shared" si="23"/>
        <v>0</v>
      </c>
      <c r="AG24" s="171">
        <f t="shared" si="24"/>
        <v>0</v>
      </c>
      <c r="AH24" s="184">
        <v>6872.8</v>
      </c>
      <c r="AI24" s="160">
        <v>5.04</v>
      </c>
      <c r="AJ24" s="160">
        <v>8.48</v>
      </c>
      <c r="AK24" s="170">
        <f t="shared" si="30"/>
        <v>346.38911999999999</v>
      </c>
      <c r="AL24" s="179">
        <f t="shared" si="31"/>
        <v>582.81344000000001</v>
      </c>
      <c r="AM24" s="180">
        <f t="shared" si="32"/>
        <v>4.1000000000167347E-2</v>
      </c>
      <c r="AN24" s="181">
        <f t="shared" si="33"/>
        <v>0.76035899999993717</v>
      </c>
      <c r="AO24" s="181">
        <f t="shared" si="34"/>
        <v>0.6029110000001765</v>
      </c>
      <c r="AP24" s="182">
        <f t="shared" si="28"/>
        <v>2.3557400191444393E-3</v>
      </c>
      <c r="AQ24" s="76">
        <f t="shared" si="13"/>
        <v>521.76794336335797</v>
      </c>
      <c r="AR24" s="183">
        <f t="shared" si="29"/>
        <v>4.1000000000167347E-2</v>
      </c>
      <c r="AS24" s="189"/>
    </row>
    <row r="25" spans="1:45" ht="15" x14ac:dyDescent="0.25">
      <c r="A25" s="149" t="str">
        <f t="shared" si="15"/>
        <v>46184E</v>
      </c>
      <c r="B25" s="51">
        <f t="shared" si="35"/>
        <v>46184</v>
      </c>
      <c r="C25" s="158" t="s">
        <v>88</v>
      </c>
      <c r="D25" s="185">
        <v>6872.8</v>
      </c>
      <c r="E25" s="170">
        <v>5.04</v>
      </c>
      <c r="F25" s="170">
        <v>8.48</v>
      </c>
      <c r="G25" s="170">
        <f t="shared" si="16"/>
        <v>346.38911999999999</v>
      </c>
      <c r="H25" s="171">
        <f t="shared" si="17"/>
        <v>582.81344000000001</v>
      </c>
      <c r="I25" s="161">
        <v>8877.1500000000015</v>
      </c>
      <c r="J25" s="162">
        <v>9143.4645000000019</v>
      </c>
      <c r="K25" s="163">
        <v>4.458516528390307</v>
      </c>
      <c r="L25" s="164">
        <v>8.3767200058577362</v>
      </c>
      <c r="M25" s="165">
        <v>0</v>
      </c>
      <c r="N25" s="165">
        <v>0</v>
      </c>
      <c r="O25" s="166">
        <v>0</v>
      </c>
      <c r="P25" s="167">
        <v>0</v>
      </c>
      <c r="Q25" s="168">
        <v>0</v>
      </c>
      <c r="R25" s="169">
        <f t="shared" si="18"/>
        <v>9143.4645000000019</v>
      </c>
      <c r="S25" s="170">
        <f t="shared" si="19"/>
        <v>407.66287600000021</v>
      </c>
      <c r="T25" s="171">
        <f t="shared" si="20"/>
        <v>765.92242000000022</v>
      </c>
      <c r="U25" s="172" t="s">
        <v>168</v>
      </c>
      <c r="V25" s="173" t="s">
        <v>437</v>
      </c>
      <c r="W25" s="160" t="s">
        <v>225</v>
      </c>
      <c r="X25" s="174">
        <v>5055</v>
      </c>
      <c r="Y25" s="175">
        <v>4.45</v>
      </c>
      <c r="Z25" s="175">
        <v>8.5</v>
      </c>
      <c r="AA25" s="62">
        <f t="shared" si="36"/>
        <v>224.94750000000002</v>
      </c>
      <c r="AB25" s="63">
        <f t="shared" si="37"/>
        <v>429.67500000000001</v>
      </c>
      <c r="AC25" s="176">
        <v>5005</v>
      </c>
      <c r="AD25" s="177">
        <v>4.4537962037962027</v>
      </c>
      <c r="AE25" s="177">
        <v>8.5050649350649383</v>
      </c>
      <c r="AF25" s="170">
        <f t="shared" si="23"/>
        <v>222.91249999999997</v>
      </c>
      <c r="AG25" s="171">
        <f t="shared" si="24"/>
        <v>425.67850000000016</v>
      </c>
      <c r="AH25" s="184">
        <v>10961.1</v>
      </c>
      <c r="AI25" s="160">
        <v>4.7</v>
      </c>
      <c r="AJ25" s="160">
        <v>8.42</v>
      </c>
      <c r="AK25" s="170">
        <f t="shared" si="30"/>
        <v>515.17169999999999</v>
      </c>
      <c r="AL25" s="179">
        <f t="shared" si="31"/>
        <v>922.92462</v>
      </c>
      <c r="AM25" s="180">
        <f t="shared" si="32"/>
        <v>50.164500000000771</v>
      </c>
      <c r="AN25" s="181">
        <f t="shared" si="33"/>
        <v>15.967796000000249</v>
      </c>
      <c r="AO25" s="181">
        <f t="shared" si="34"/>
        <v>0.13274000000001251</v>
      </c>
      <c r="AP25" s="182">
        <f t="shared" si="28"/>
        <v>1.3719101674907365E-2</v>
      </c>
      <c r="AQ25" s="76">
        <f t="shared" si="13"/>
        <v>7207.8288446267825</v>
      </c>
      <c r="AR25" s="183">
        <f t="shared" si="29"/>
        <v>0.16450000000077125</v>
      </c>
    </row>
    <row r="26" spans="1:45" ht="15" x14ac:dyDescent="0.25">
      <c r="A26" s="149" t="str">
        <f t="shared" si="15"/>
        <v>46185M</v>
      </c>
      <c r="B26" s="51">
        <f t="shared" si="35"/>
        <v>46185</v>
      </c>
      <c r="C26" s="158" t="s">
        <v>87</v>
      </c>
      <c r="D26" s="185">
        <v>10961.1</v>
      </c>
      <c r="E26" s="170">
        <v>4.7</v>
      </c>
      <c r="F26" s="170">
        <v>8.42</v>
      </c>
      <c r="G26" s="170">
        <f t="shared" si="16"/>
        <v>515.17169999999999</v>
      </c>
      <c r="H26" s="171">
        <f t="shared" si="17"/>
        <v>922.92462</v>
      </c>
      <c r="I26" s="161">
        <v>5140.6500000000015</v>
      </c>
      <c r="J26" s="162">
        <v>5294.8695000000016</v>
      </c>
      <c r="K26" s="163">
        <v>5.0264830323013596</v>
      </c>
      <c r="L26" s="164">
        <v>8.4866553840467649</v>
      </c>
      <c r="M26" s="165">
        <v>0</v>
      </c>
      <c r="N26" s="165">
        <v>0</v>
      </c>
      <c r="O26" s="166">
        <v>0</v>
      </c>
      <c r="P26" s="167">
        <v>0</v>
      </c>
      <c r="Q26" s="168">
        <v>0</v>
      </c>
      <c r="R26" s="169">
        <f t="shared" si="18"/>
        <v>5294.8695000000016</v>
      </c>
      <c r="S26" s="170">
        <f t="shared" si="19"/>
        <v>266.14571699999993</v>
      </c>
      <c r="T26" s="171">
        <f t="shared" si="20"/>
        <v>449.35732750000017</v>
      </c>
      <c r="U26" s="172" t="s">
        <v>266</v>
      </c>
      <c r="V26" s="173" t="s">
        <v>525</v>
      </c>
      <c r="W26" s="160" t="s">
        <v>225</v>
      </c>
      <c r="X26" s="174">
        <v>16930</v>
      </c>
      <c r="Y26" s="175">
        <v>4.9000000000000004</v>
      </c>
      <c r="Z26" s="175">
        <v>8.51</v>
      </c>
      <c r="AA26" s="62">
        <f t="shared" si="36"/>
        <v>829.57</v>
      </c>
      <c r="AB26" s="63">
        <f t="shared" si="37"/>
        <v>1440.7429999999999</v>
      </c>
      <c r="AC26" s="176">
        <v>16930</v>
      </c>
      <c r="AD26" s="177">
        <v>4.8499999999999988</v>
      </c>
      <c r="AE26" s="177">
        <v>8.5</v>
      </c>
      <c r="AF26" s="170">
        <f t="shared" si="23"/>
        <v>821.10499999999979</v>
      </c>
      <c r="AG26" s="171">
        <f t="shared" si="24"/>
        <v>1439.0500000000002</v>
      </c>
      <c r="AH26" s="184">
        <v>0</v>
      </c>
      <c r="AI26" s="160">
        <v>0</v>
      </c>
      <c r="AJ26" s="160">
        <v>0</v>
      </c>
      <c r="AK26" s="170">
        <f t="shared" si="30"/>
        <v>0</v>
      </c>
      <c r="AL26" s="179">
        <f t="shared" si="31"/>
        <v>0</v>
      </c>
      <c r="AM26" s="180">
        <f t="shared" si="32"/>
        <v>-674.03049999999712</v>
      </c>
      <c r="AN26" s="181">
        <f t="shared" si="33"/>
        <v>-39.787582999999813</v>
      </c>
      <c r="AO26" s="181">
        <f t="shared" si="34"/>
        <v>-66.768052500000067</v>
      </c>
      <c r="AP26" s="182">
        <f t="shared" si="28"/>
        <v>-0.14892408399807985</v>
      </c>
      <c r="AQ26" s="76">
        <f t="shared" si="13"/>
        <v>-37842.941516379942</v>
      </c>
      <c r="AR26" s="183">
        <f t="shared" si="29"/>
        <v>-674.03049999999712</v>
      </c>
    </row>
    <row r="27" spans="1:45" ht="15" x14ac:dyDescent="0.25">
      <c r="A27" s="149" t="str">
        <f t="shared" si="15"/>
        <v>46185E</v>
      </c>
      <c r="B27" s="51">
        <f t="shared" si="35"/>
        <v>46185</v>
      </c>
      <c r="C27" s="158" t="s">
        <v>88</v>
      </c>
      <c r="D27" s="185">
        <v>0</v>
      </c>
      <c r="E27" s="170">
        <v>0</v>
      </c>
      <c r="F27" s="170">
        <v>0</v>
      </c>
      <c r="G27" s="170">
        <f t="shared" si="16"/>
        <v>0</v>
      </c>
      <c r="H27" s="171">
        <f t="shared" si="17"/>
        <v>0</v>
      </c>
      <c r="I27" s="161">
        <v>6264.6000000000013</v>
      </c>
      <c r="J27" s="162">
        <v>6452.5380000000014</v>
      </c>
      <c r="K27" s="163">
        <v>4.3412811671934382</v>
      </c>
      <c r="L27" s="164">
        <v>8.4257454586086915</v>
      </c>
      <c r="M27" s="165">
        <v>0</v>
      </c>
      <c r="N27" s="165">
        <v>0</v>
      </c>
      <c r="O27" s="166">
        <v>0</v>
      </c>
      <c r="P27" s="167">
        <v>0</v>
      </c>
      <c r="Q27" s="168">
        <v>0</v>
      </c>
      <c r="R27" s="169">
        <f t="shared" si="18"/>
        <v>6452.5380000000014</v>
      </c>
      <c r="S27" s="170">
        <f t="shared" si="19"/>
        <v>280.12281700000017</v>
      </c>
      <c r="T27" s="171">
        <f t="shared" si="20"/>
        <v>543.67442750000021</v>
      </c>
      <c r="U27" s="172" t="s">
        <v>167</v>
      </c>
      <c r="V27" s="173" t="s">
        <v>167</v>
      </c>
      <c r="W27" s="160">
        <v>0</v>
      </c>
      <c r="X27" s="174">
        <v>0</v>
      </c>
      <c r="Y27" s="175">
        <v>0</v>
      </c>
      <c r="Z27" s="175">
        <v>0</v>
      </c>
      <c r="AA27" s="62">
        <f t="shared" si="36"/>
        <v>0</v>
      </c>
      <c r="AB27" s="63">
        <f t="shared" si="37"/>
        <v>0</v>
      </c>
      <c r="AC27" s="176"/>
      <c r="AD27" s="177"/>
      <c r="AE27" s="177"/>
      <c r="AF27" s="170">
        <f t="shared" si="23"/>
        <v>0</v>
      </c>
      <c r="AG27" s="171">
        <f t="shared" si="24"/>
        <v>0</v>
      </c>
      <c r="AH27" s="159">
        <v>6452.5</v>
      </c>
      <c r="AI27" s="160">
        <v>4.34</v>
      </c>
      <c r="AJ27" s="160">
        <v>8.43</v>
      </c>
      <c r="AK27" s="170">
        <f t="shared" si="30"/>
        <v>280.0385</v>
      </c>
      <c r="AL27" s="179">
        <f t="shared" si="31"/>
        <v>543.94574999999998</v>
      </c>
      <c r="AM27" s="180">
        <f t="shared" si="32"/>
        <v>3.8000000001375156E-2</v>
      </c>
      <c r="AN27" s="181">
        <f t="shared" si="33"/>
        <v>8.4317000000169173E-2</v>
      </c>
      <c r="AO27" s="181">
        <f t="shared" si="34"/>
        <v>-0.27132249999976921</v>
      </c>
      <c r="AP27" s="182">
        <f t="shared" si="28"/>
        <v>-2.2700427957015332E-4</v>
      </c>
      <c r="AQ27" s="76">
        <f t="shared" si="13"/>
        <v>-43.348844513188332</v>
      </c>
      <c r="AR27" s="183">
        <f t="shared" si="29"/>
        <v>3.8000000001375156E-2</v>
      </c>
    </row>
    <row r="28" spans="1:45" ht="15" x14ac:dyDescent="0.25">
      <c r="A28" s="149" t="str">
        <f t="shared" si="15"/>
        <v>46186M</v>
      </c>
      <c r="B28" s="51">
        <f t="shared" si="35"/>
        <v>46186</v>
      </c>
      <c r="C28" s="158" t="s">
        <v>87</v>
      </c>
      <c r="D28" s="185">
        <v>6452.5</v>
      </c>
      <c r="E28" s="170">
        <v>4.34</v>
      </c>
      <c r="F28" s="170">
        <v>8.43</v>
      </c>
      <c r="G28" s="170">
        <f t="shared" si="16"/>
        <v>280.0385</v>
      </c>
      <c r="H28" s="171">
        <f t="shared" si="17"/>
        <v>543.94574999999998</v>
      </c>
      <c r="I28" s="161">
        <v>5280.9999999999991</v>
      </c>
      <c r="J28" s="162">
        <v>5439.4299999999994</v>
      </c>
      <c r="K28" s="163">
        <v>5.0565035031244072</v>
      </c>
      <c r="L28" s="164">
        <v>8.4785892823328908</v>
      </c>
      <c r="M28" s="165">
        <v>0</v>
      </c>
      <c r="N28" s="165">
        <v>0</v>
      </c>
      <c r="O28" s="166">
        <v>0</v>
      </c>
      <c r="P28" s="167">
        <v>0</v>
      </c>
      <c r="Q28" s="168">
        <v>0</v>
      </c>
      <c r="R28" s="169">
        <f t="shared" si="18"/>
        <v>5439.4299999999994</v>
      </c>
      <c r="S28" s="170">
        <f t="shared" si="19"/>
        <v>275.04496849999992</v>
      </c>
      <c r="T28" s="171">
        <f t="shared" si="20"/>
        <v>461.18692899999991</v>
      </c>
      <c r="U28" s="172" t="s">
        <v>167</v>
      </c>
      <c r="V28" s="173" t="s">
        <v>167</v>
      </c>
      <c r="W28" s="160">
        <v>0</v>
      </c>
      <c r="X28" s="174">
        <v>0</v>
      </c>
      <c r="Y28" s="175">
        <v>0</v>
      </c>
      <c r="Z28" s="175">
        <v>0</v>
      </c>
      <c r="AA28" s="62">
        <f t="shared" si="36"/>
        <v>0</v>
      </c>
      <c r="AB28" s="63">
        <f t="shared" si="37"/>
        <v>0</v>
      </c>
      <c r="AC28" s="176"/>
      <c r="AD28" s="177"/>
      <c r="AE28" s="177"/>
      <c r="AF28" s="170">
        <f t="shared" si="23"/>
        <v>0</v>
      </c>
      <c r="AG28" s="171">
        <f t="shared" si="24"/>
        <v>0</v>
      </c>
      <c r="AH28" s="159">
        <v>11891.9</v>
      </c>
      <c r="AI28" s="160">
        <v>4.66</v>
      </c>
      <c r="AJ28" s="160">
        <v>8.4499999999999993</v>
      </c>
      <c r="AK28" s="170">
        <f t="shared" si="30"/>
        <v>554.16254000000004</v>
      </c>
      <c r="AL28" s="179">
        <f t="shared" si="31"/>
        <v>1004.8655499999999</v>
      </c>
      <c r="AM28" s="180">
        <f t="shared" si="32"/>
        <v>3.0000000000654836E-2</v>
      </c>
      <c r="AN28" s="181">
        <f t="shared" si="33"/>
        <v>0.92092849999994542</v>
      </c>
      <c r="AO28" s="181">
        <f t="shared" si="34"/>
        <v>0.26712899999995443</v>
      </c>
      <c r="AP28" s="182">
        <f t="shared" si="28"/>
        <v>1.6137001181749263E-3</v>
      </c>
      <c r="AQ28" s="76">
        <f t="shared" si="13"/>
        <v>493.35859919496187</v>
      </c>
      <c r="AR28" s="183">
        <f t="shared" si="29"/>
        <v>3.0000000000654836E-2</v>
      </c>
    </row>
    <row r="29" spans="1:45" ht="15" x14ac:dyDescent="0.25">
      <c r="A29" s="149" t="str">
        <f t="shared" si="15"/>
        <v>46186E</v>
      </c>
      <c r="B29" s="51">
        <f t="shared" si="35"/>
        <v>46186</v>
      </c>
      <c r="C29" s="158" t="s">
        <v>88</v>
      </c>
      <c r="D29" s="185">
        <v>11891.9</v>
      </c>
      <c r="E29" s="170">
        <v>4.66</v>
      </c>
      <c r="F29" s="170">
        <v>8.4499999999999993</v>
      </c>
      <c r="G29" s="170">
        <f t="shared" si="16"/>
        <v>554.16254000000004</v>
      </c>
      <c r="H29" s="171">
        <f t="shared" si="17"/>
        <v>1004.8655499999999</v>
      </c>
      <c r="I29" s="161">
        <v>6240.0000000000018</v>
      </c>
      <c r="J29" s="162">
        <v>6427.2000000000016</v>
      </c>
      <c r="K29" s="163">
        <v>4.1815625000000018</v>
      </c>
      <c r="L29" s="164">
        <v>8.3998012820512837</v>
      </c>
      <c r="M29" s="165">
        <v>0</v>
      </c>
      <c r="N29" s="165">
        <v>0</v>
      </c>
      <c r="O29" s="166">
        <v>0</v>
      </c>
      <c r="P29" s="167">
        <v>0</v>
      </c>
      <c r="Q29" s="168">
        <v>0</v>
      </c>
      <c r="R29" s="169">
        <f t="shared" si="18"/>
        <v>6427.2000000000016</v>
      </c>
      <c r="S29" s="170">
        <f t="shared" si="19"/>
        <v>268.75738500000017</v>
      </c>
      <c r="T29" s="171">
        <f t="shared" si="20"/>
        <v>539.87202800000023</v>
      </c>
      <c r="U29" s="172" t="s">
        <v>266</v>
      </c>
      <c r="V29" s="173" t="s">
        <v>526</v>
      </c>
      <c r="W29" s="160" t="s">
        <v>225</v>
      </c>
      <c r="X29" s="174">
        <v>14260</v>
      </c>
      <c r="Y29" s="175">
        <v>4.67</v>
      </c>
      <c r="Z29" s="175">
        <v>8.35</v>
      </c>
      <c r="AA29" s="62">
        <f t="shared" si="36"/>
        <v>665.94200000000001</v>
      </c>
      <c r="AB29" s="63">
        <f t="shared" si="37"/>
        <v>1190.7099999999998</v>
      </c>
      <c r="AC29" s="176">
        <v>14260</v>
      </c>
      <c r="AD29" s="177">
        <v>4.6706872370266463</v>
      </c>
      <c r="AE29" s="177">
        <v>8.3499999999999979</v>
      </c>
      <c r="AF29" s="170">
        <f t="shared" si="23"/>
        <v>666.03999999999985</v>
      </c>
      <c r="AG29" s="171">
        <f t="shared" si="24"/>
        <v>1190.7099999999996</v>
      </c>
      <c r="AH29" s="159">
        <v>4059.1</v>
      </c>
      <c r="AI29" s="160">
        <v>4.49</v>
      </c>
      <c r="AJ29" s="160">
        <v>8.43</v>
      </c>
      <c r="AK29" s="170">
        <f t="shared" si="30"/>
        <v>182.25359</v>
      </c>
      <c r="AL29" s="179">
        <f t="shared" si="31"/>
        <v>342.18212999999997</v>
      </c>
      <c r="AM29" s="180">
        <f t="shared" si="32"/>
        <v>0</v>
      </c>
      <c r="AN29" s="181">
        <f t="shared" si="33"/>
        <v>-25.373664999999704</v>
      </c>
      <c r="AO29" s="181">
        <f t="shared" si="34"/>
        <v>11.845448000000658</v>
      </c>
      <c r="AP29" s="182">
        <f t="shared" si="28"/>
        <v>-1.6729810692650428E-2</v>
      </c>
      <c r="AQ29" s="76">
        <f t="shared" si="13"/>
        <v>-7845.4652473630031</v>
      </c>
      <c r="AR29" s="183">
        <f t="shared" si="29"/>
        <v>0</v>
      </c>
    </row>
    <row r="30" spans="1:45" ht="15" x14ac:dyDescent="0.25">
      <c r="A30" s="149" t="str">
        <f t="shared" si="15"/>
        <v>46187M</v>
      </c>
      <c r="B30" s="51">
        <f t="shared" si="35"/>
        <v>46187</v>
      </c>
      <c r="C30" s="158" t="s">
        <v>87</v>
      </c>
      <c r="D30" s="79">
        <v>4059.1</v>
      </c>
      <c r="E30" s="62">
        <v>4.49</v>
      </c>
      <c r="F30" s="62">
        <v>8.43</v>
      </c>
      <c r="G30" s="170">
        <f t="shared" si="16"/>
        <v>182.25359</v>
      </c>
      <c r="H30" s="171">
        <f t="shared" si="17"/>
        <v>342.18212999999997</v>
      </c>
      <c r="I30" s="161">
        <v>5359.4999999999982</v>
      </c>
      <c r="J30" s="162">
        <v>5520.284999999998</v>
      </c>
      <c r="K30" s="163">
        <v>5.1626914824144032</v>
      </c>
      <c r="L30" s="164">
        <v>8.4773588954193482</v>
      </c>
      <c r="M30" s="165">
        <v>0</v>
      </c>
      <c r="N30" s="165">
        <v>0</v>
      </c>
      <c r="O30" s="166">
        <v>0</v>
      </c>
      <c r="P30" s="167">
        <v>0</v>
      </c>
      <c r="Q30" s="168">
        <v>0</v>
      </c>
      <c r="R30" s="169">
        <f t="shared" si="18"/>
        <v>5520.284999999998</v>
      </c>
      <c r="S30" s="170">
        <f t="shared" si="19"/>
        <v>284.99528349999986</v>
      </c>
      <c r="T30" s="171">
        <f t="shared" si="20"/>
        <v>467.97437149999979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36"/>
        <v>0</v>
      </c>
      <c r="AB30" s="63">
        <f t="shared" si="37"/>
        <v>0</v>
      </c>
      <c r="AC30" s="176"/>
      <c r="AD30" s="177"/>
      <c r="AE30" s="177"/>
      <c r="AF30" s="170">
        <f t="shared" si="23"/>
        <v>0</v>
      </c>
      <c r="AG30" s="171">
        <f t="shared" si="24"/>
        <v>0</v>
      </c>
      <c r="AH30" s="71">
        <v>9579.2999999999993</v>
      </c>
      <c r="AI30" s="66">
        <v>4.87</v>
      </c>
      <c r="AJ30" s="66">
        <v>8.4499999999999993</v>
      </c>
      <c r="AK30" s="170">
        <f t="shared" si="30"/>
        <v>466.51190999999994</v>
      </c>
      <c r="AL30" s="179">
        <f t="shared" si="31"/>
        <v>809.45084999999983</v>
      </c>
      <c r="AM30" s="180">
        <f t="shared" si="32"/>
        <v>8.4999999999126885E-2</v>
      </c>
      <c r="AN30" s="181">
        <f t="shared" si="33"/>
        <v>0.73696349999988797</v>
      </c>
      <c r="AO30" s="181">
        <f t="shared" si="34"/>
        <v>0.70565149999993082</v>
      </c>
      <c r="AP30" s="182">
        <f t="shared" si="28"/>
        <v>1.9159005816772516E-3</v>
      </c>
      <c r="AQ30" s="76">
        <f t="shared" si="13"/>
        <v>542.01296136159567</v>
      </c>
      <c r="AR30" s="183">
        <f t="shared" si="29"/>
        <v>8.4999999999126885E-2</v>
      </c>
    </row>
    <row r="31" spans="1:45" ht="15" x14ac:dyDescent="0.25">
      <c r="A31" s="149" t="str">
        <f t="shared" si="15"/>
        <v>46187E</v>
      </c>
      <c r="B31" s="51">
        <f t="shared" si="35"/>
        <v>46187</v>
      </c>
      <c r="C31" s="158" t="s">
        <v>88</v>
      </c>
      <c r="D31" s="79">
        <v>9579.2999999999993</v>
      </c>
      <c r="E31" s="62">
        <v>4.87</v>
      </c>
      <c r="F31" s="62">
        <v>8.4499999999999993</v>
      </c>
      <c r="G31" s="170">
        <f t="shared" si="16"/>
        <v>466.51190999999994</v>
      </c>
      <c r="H31" s="171">
        <f t="shared" si="17"/>
        <v>809.45084999999983</v>
      </c>
      <c r="I31" s="161">
        <v>8331.9</v>
      </c>
      <c r="J31" s="162">
        <v>8581.857</v>
      </c>
      <c r="K31" s="163">
        <v>4.3024196161739825</v>
      </c>
      <c r="L31" s="164">
        <v>8.3262389130930519</v>
      </c>
      <c r="M31" s="165">
        <v>0</v>
      </c>
      <c r="N31" s="165">
        <v>0</v>
      </c>
      <c r="O31" s="166">
        <v>0</v>
      </c>
      <c r="P31" s="167">
        <v>0</v>
      </c>
      <c r="Q31" s="168">
        <v>0</v>
      </c>
      <c r="R31" s="169">
        <f t="shared" si="18"/>
        <v>8581.857</v>
      </c>
      <c r="S31" s="170">
        <f t="shared" si="19"/>
        <v>369.22749900000002</v>
      </c>
      <c r="T31" s="171">
        <f t="shared" si="20"/>
        <v>714.54591700000003</v>
      </c>
      <c r="U31" s="64" t="s">
        <v>266</v>
      </c>
      <c r="V31" s="85" t="s">
        <v>527</v>
      </c>
      <c r="W31" s="66" t="s">
        <v>225</v>
      </c>
      <c r="X31" s="67">
        <v>18390</v>
      </c>
      <c r="Y31" s="68">
        <v>4.6500000000000004</v>
      </c>
      <c r="Z31" s="68">
        <v>8.4600000000000009</v>
      </c>
      <c r="AA31" s="62">
        <f t="shared" si="36"/>
        <v>855.1350000000001</v>
      </c>
      <c r="AB31" s="63">
        <f t="shared" si="37"/>
        <v>1555.7940000000001</v>
      </c>
      <c r="AC31" s="176">
        <v>18390</v>
      </c>
      <c r="AD31" s="177">
        <v>4.5999999999999996</v>
      </c>
      <c r="AE31" s="177">
        <v>8.33</v>
      </c>
      <c r="AF31" s="170">
        <f t="shared" si="23"/>
        <v>845.93999999999994</v>
      </c>
      <c r="AG31" s="171">
        <f t="shared" si="24"/>
        <v>1531.8869999999999</v>
      </c>
      <c r="AH31" s="71">
        <v>0</v>
      </c>
      <c r="AI31" s="66">
        <v>0</v>
      </c>
      <c r="AJ31" s="66">
        <v>0</v>
      </c>
      <c r="AK31" s="170">
        <f t="shared" si="30"/>
        <v>0</v>
      </c>
      <c r="AL31" s="179">
        <f t="shared" si="31"/>
        <v>0</v>
      </c>
      <c r="AM31" s="180">
        <f t="shared" si="32"/>
        <v>-228.84300000000076</v>
      </c>
      <c r="AN31" s="181">
        <f t="shared" si="33"/>
        <v>-10.200590999999918</v>
      </c>
      <c r="AO31" s="181">
        <f t="shared" si="34"/>
        <v>-7.8902330000000802</v>
      </c>
      <c r="AP31" s="182">
        <f t="shared" si="28"/>
        <v>-1.6692441180897168E-2</v>
      </c>
      <c r="AQ31" s="76">
        <f t="shared" si="13"/>
        <v>-6940.4836364966541</v>
      </c>
      <c r="AR31" s="183">
        <f t="shared" si="29"/>
        <v>-228.84300000000076</v>
      </c>
    </row>
    <row r="32" spans="1:45" ht="15" x14ac:dyDescent="0.25">
      <c r="A32" s="149" t="str">
        <f t="shared" si="15"/>
        <v>46188M</v>
      </c>
      <c r="B32" s="51">
        <f t="shared" si="35"/>
        <v>46188</v>
      </c>
      <c r="C32" s="158" t="s">
        <v>87</v>
      </c>
      <c r="D32" s="79">
        <v>0</v>
      </c>
      <c r="E32" s="62">
        <v>0</v>
      </c>
      <c r="F32" s="62">
        <v>0</v>
      </c>
      <c r="G32" s="170">
        <f t="shared" si="16"/>
        <v>0</v>
      </c>
      <c r="H32" s="171">
        <f t="shared" si="17"/>
        <v>0</v>
      </c>
      <c r="I32" s="161">
        <v>5493.9999999999991</v>
      </c>
      <c r="J32" s="162">
        <v>5658.8199999999988</v>
      </c>
      <c r="K32" s="163">
        <v>5.0799699672369822</v>
      </c>
      <c r="L32" s="164">
        <v>8.4551356024754263</v>
      </c>
      <c r="M32" s="165">
        <v>0</v>
      </c>
      <c r="N32" s="165">
        <v>0</v>
      </c>
      <c r="O32" s="166">
        <v>0</v>
      </c>
      <c r="P32" s="167">
        <v>0</v>
      </c>
      <c r="Q32" s="168">
        <v>0</v>
      </c>
      <c r="R32" s="169">
        <f t="shared" si="18"/>
        <v>5658.8199999999988</v>
      </c>
      <c r="S32" s="170">
        <f t="shared" si="19"/>
        <v>287.46635649999973</v>
      </c>
      <c r="T32" s="171">
        <f t="shared" si="20"/>
        <v>478.4609044999998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36"/>
        <v>0</v>
      </c>
      <c r="AB32" s="63">
        <f t="shared" si="37"/>
        <v>0</v>
      </c>
      <c r="AC32" s="176"/>
      <c r="AD32" s="177"/>
      <c r="AE32" s="177"/>
      <c r="AF32" s="170">
        <f t="shared" si="23"/>
        <v>0</v>
      </c>
      <c r="AG32" s="171">
        <f t="shared" si="24"/>
        <v>0</v>
      </c>
      <c r="AH32" s="71">
        <v>5658.8</v>
      </c>
      <c r="AI32" s="66">
        <v>5.08</v>
      </c>
      <c r="AJ32" s="66">
        <v>8.4600000000000009</v>
      </c>
      <c r="AK32" s="170">
        <f t="shared" si="30"/>
        <v>287.46704</v>
      </c>
      <c r="AL32" s="179">
        <f t="shared" si="31"/>
        <v>478.73448000000008</v>
      </c>
      <c r="AM32" s="180">
        <f t="shared" si="32"/>
        <v>1.9999999998617568E-2</v>
      </c>
      <c r="AN32" s="181">
        <f t="shared" si="33"/>
        <v>-6.8350000026384805E-4</v>
      </c>
      <c r="AO32" s="181">
        <f t="shared" si="34"/>
        <v>-0.27357550000027686</v>
      </c>
      <c r="AP32" s="182">
        <f t="shared" si="28"/>
        <v>-3.5807447255822492E-4</v>
      </c>
      <c r="AQ32" s="76">
        <f t="shared" si="13"/>
        <v>-82.180681788534642</v>
      </c>
      <c r="AR32" s="183">
        <f t="shared" si="29"/>
        <v>1.9999999998617568E-2</v>
      </c>
    </row>
    <row r="33" spans="1:44" ht="15" x14ac:dyDescent="0.25">
      <c r="A33" s="149" t="str">
        <f t="shared" si="15"/>
        <v>46188E</v>
      </c>
      <c r="B33" s="51">
        <f t="shared" si="35"/>
        <v>46188</v>
      </c>
      <c r="C33" s="158" t="s">
        <v>88</v>
      </c>
      <c r="D33" s="79">
        <v>5658.8</v>
      </c>
      <c r="E33" s="62">
        <v>5.08</v>
      </c>
      <c r="F33" s="62">
        <v>8.4600000000000009</v>
      </c>
      <c r="G33" s="170">
        <f t="shared" si="16"/>
        <v>287.46704</v>
      </c>
      <c r="H33" s="171">
        <f t="shared" si="17"/>
        <v>478.73448000000008</v>
      </c>
      <c r="I33" s="161">
        <v>6186.2499999999991</v>
      </c>
      <c r="J33" s="162">
        <v>6371.8374999999996</v>
      </c>
      <c r="K33" s="163">
        <v>4.237330369771672</v>
      </c>
      <c r="L33" s="164">
        <v>8.3845051525560752</v>
      </c>
      <c r="M33" s="165">
        <v>0</v>
      </c>
      <c r="N33" s="165">
        <v>0</v>
      </c>
      <c r="O33" s="166">
        <v>0</v>
      </c>
      <c r="P33" s="167">
        <v>0</v>
      </c>
      <c r="Q33" s="168">
        <v>0</v>
      </c>
      <c r="R33" s="169">
        <f t="shared" si="18"/>
        <v>6371.8374999999996</v>
      </c>
      <c r="S33" s="170">
        <f t="shared" si="19"/>
        <v>269.99580550000002</v>
      </c>
      <c r="T33" s="171">
        <f t="shared" si="20"/>
        <v>534.24704350000013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36"/>
        <v>0</v>
      </c>
      <c r="AB33" s="63">
        <f t="shared" si="37"/>
        <v>0</v>
      </c>
      <c r="AC33" s="176"/>
      <c r="AD33" s="177"/>
      <c r="AE33" s="177"/>
      <c r="AF33" s="170">
        <f t="shared" si="23"/>
        <v>0</v>
      </c>
      <c r="AG33" s="171">
        <f t="shared" si="24"/>
        <v>0</v>
      </c>
      <c r="AH33" s="71">
        <v>12030.5</v>
      </c>
      <c r="AI33" s="66">
        <v>4.63</v>
      </c>
      <c r="AJ33" s="66">
        <v>8.41</v>
      </c>
      <c r="AK33" s="170">
        <f t="shared" si="30"/>
        <v>557.01215000000002</v>
      </c>
      <c r="AL33" s="179">
        <f t="shared" si="31"/>
        <v>1011.7650500000001</v>
      </c>
      <c r="AM33" s="180">
        <f t="shared" si="32"/>
        <v>0.1375000000007276</v>
      </c>
      <c r="AN33" s="181">
        <f t="shared" si="33"/>
        <v>0.45069549999993797</v>
      </c>
      <c r="AO33" s="181">
        <f t="shared" si="34"/>
        <v>1.2164735000001201</v>
      </c>
      <c r="AP33" s="182">
        <f t="shared" si="28"/>
        <v>2.0729671417943282E-3</v>
      </c>
      <c r="AQ33" s="76">
        <f t="shared" si="13"/>
        <v>566.3797961616749</v>
      </c>
      <c r="AR33" s="183">
        <f t="shared" si="29"/>
        <v>0.1375000000007276</v>
      </c>
    </row>
    <row r="34" spans="1:44" ht="15" x14ac:dyDescent="0.25">
      <c r="A34" s="149" t="str">
        <f t="shared" si="15"/>
        <v>46189M</v>
      </c>
      <c r="B34" s="51">
        <f t="shared" si="35"/>
        <v>46189</v>
      </c>
      <c r="C34" s="158" t="s">
        <v>87</v>
      </c>
      <c r="D34" s="79">
        <v>12030.5</v>
      </c>
      <c r="E34" s="62">
        <v>4.63</v>
      </c>
      <c r="F34" s="62">
        <v>8.41</v>
      </c>
      <c r="G34" s="170">
        <f t="shared" si="16"/>
        <v>557.01215000000002</v>
      </c>
      <c r="H34" s="171">
        <f t="shared" si="17"/>
        <v>1011.7650500000001</v>
      </c>
      <c r="I34" s="161">
        <v>4910.6000000000004</v>
      </c>
      <c r="J34" s="162">
        <v>5057.9180000000006</v>
      </c>
      <c r="K34" s="163">
        <v>5.0678165600944904</v>
      </c>
      <c r="L34" s="164">
        <v>8.4323280250885819</v>
      </c>
      <c r="M34" s="165">
        <v>0</v>
      </c>
      <c r="N34" s="165">
        <v>0</v>
      </c>
      <c r="O34" s="166">
        <v>0</v>
      </c>
      <c r="P34" s="167">
        <v>0</v>
      </c>
      <c r="Q34" s="168">
        <v>0</v>
      </c>
      <c r="R34" s="169">
        <f t="shared" si="18"/>
        <v>5057.9180000000006</v>
      </c>
      <c r="S34" s="170">
        <f t="shared" si="19"/>
        <v>256.32600600000006</v>
      </c>
      <c r="T34" s="171">
        <f t="shared" si="20"/>
        <v>426.50023699999991</v>
      </c>
      <c r="U34" s="64" t="s">
        <v>266</v>
      </c>
      <c r="V34" s="65" t="s">
        <v>647</v>
      </c>
      <c r="W34" s="66" t="s">
        <v>225</v>
      </c>
      <c r="X34" s="67">
        <v>17100</v>
      </c>
      <c r="Y34" s="68">
        <v>4.9000000000000004</v>
      </c>
      <c r="Z34" s="68">
        <v>8.51</v>
      </c>
      <c r="AA34" s="62">
        <f t="shared" si="36"/>
        <v>837.9</v>
      </c>
      <c r="AB34" s="63">
        <f t="shared" si="37"/>
        <v>1455.2099999999998</v>
      </c>
      <c r="AC34" s="176">
        <v>17040</v>
      </c>
      <c r="AD34" s="177">
        <v>4.8000000000000007</v>
      </c>
      <c r="AE34" s="177">
        <v>8.43</v>
      </c>
      <c r="AF34" s="170">
        <f t="shared" si="23"/>
        <v>817.92000000000019</v>
      </c>
      <c r="AG34" s="171">
        <f t="shared" si="24"/>
        <v>1436.472</v>
      </c>
      <c r="AH34" s="71">
        <v>0</v>
      </c>
      <c r="AI34" s="66">
        <v>0</v>
      </c>
      <c r="AJ34" s="66">
        <v>0</v>
      </c>
      <c r="AK34" s="170">
        <f t="shared" si="30"/>
        <v>0</v>
      </c>
      <c r="AL34" s="179">
        <f t="shared" si="31"/>
        <v>0</v>
      </c>
      <c r="AM34" s="180">
        <f t="shared" si="32"/>
        <v>48.418000000001484</v>
      </c>
      <c r="AN34" s="181">
        <f t="shared" si="33"/>
        <v>-4.5818440000001601</v>
      </c>
      <c r="AO34" s="181">
        <f t="shared" si="34"/>
        <v>1.7932869999999639</v>
      </c>
      <c r="AP34" s="182">
        <f t="shared" si="28"/>
        <v>-4.083845676095663E-3</v>
      </c>
      <c r="AQ34" s="76">
        <f t="shared" si="13"/>
        <v>-1520.1526119267494</v>
      </c>
      <c r="AR34" s="183">
        <f t="shared" si="29"/>
        <v>-11.581999999998516</v>
      </c>
    </row>
    <row r="35" spans="1:44" ht="15" x14ac:dyDescent="0.25">
      <c r="A35" s="149" t="str">
        <f t="shared" si="15"/>
        <v>46189E</v>
      </c>
      <c r="B35" s="51">
        <f t="shared" si="35"/>
        <v>46189</v>
      </c>
      <c r="C35" s="158" t="s">
        <v>88</v>
      </c>
      <c r="D35" s="79">
        <v>0</v>
      </c>
      <c r="E35" s="62">
        <v>0</v>
      </c>
      <c r="F35" s="62">
        <v>0</v>
      </c>
      <c r="G35" s="170">
        <f t="shared" si="16"/>
        <v>0</v>
      </c>
      <c r="H35" s="171">
        <f t="shared" si="17"/>
        <v>0</v>
      </c>
      <c r="I35" s="161">
        <v>7240.2</v>
      </c>
      <c r="J35" s="162">
        <v>7457.4059999999999</v>
      </c>
      <c r="K35" s="163">
        <v>4.2850121543603761</v>
      </c>
      <c r="L35" s="164">
        <v>8.3466810309107444</v>
      </c>
      <c r="M35" s="165">
        <v>0</v>
      </c>
      <c r="N35" s="165">
        <v>0</v>
      </c>
      <c r="O35" s="166">
        <v>0</v>
      </c>
      <c r="P35" s="167">
        <v>0</v>
      </c>
      <c r="Q35" s="168">
        <v>0</v>
      </c>
      <c r="R35" s="169">
        <f t="shared" si="18"/>
        <v>7457.4059999999999</v>
      </c>
      <c r="S35" s="170">
        <f t="shared" si="19"/>
        <v>319.55075349999998</v>
      </c>
      <c r="T35" s="171">
        <f t="shared" si="20"/>
        <v>622.44589199999973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6"/>
        <v>0</v>
      </c>
      <c r="AB35" s="63">
        <f t="shared" si="37"/>
        <v>0</v>
      </c>
      <c r="AC35" s="176"/>
      <c r="AD35" s="177"/>
      <c r="AE35" s="177"/>
      <c r="AF35" s="170">
        <f t="shared" si="23"/>
        <v>0</v>
      </c>
      <c r="AG35" s="171">
        <f t="shared" si="24"/>
        <v>0</v>
      </c>
      <c r="AH35" s="71">
        <v>7456.8</v>
      </c>
      <c r="AI35" s="66">
        <v>4.29</v>
      </c>
      <c r="AJ35" s="66">
        <v>8.35</v>
      </c>
      <c r="AK35" s="170">
        <f t="shared" si="30"/>
        <v>319.89672000000002</v>
      </c>
      <c r="AL35" s="179">
        <f t="shared" si="31"/>
        <v>622.64279999999997</v>
      </c>
      <c r="AM35" s="180">
        <f t="shared" si="32"/>
        <v>0.60599999999976717</v>
      </c>
      <c r="AN35" s="181">
        <f t="shared" si="33"/>
        <v>-0.34596650000003137</v>
      </c>
      <c r="AO35" s="181">
        <f t="shared" si="34"/>
        <v>-0.19690800000023501</v>
      </c>
      <c r="AP35" s="182">
        <f t="shared" si="28"/>
        <v>-5.7630194607764828E-4</v>
      </c>
      <c r="AQ35" s="76">
        <f t="shared" si="13"/>
        <v>-214.23713503508444</v>
      </c>
      <c r="AR35" s="183">
        <f t="shared" si="29"/>
        <v>0.60599999999976717</v>
      </c>
    </row>
    <row r="36" spans="1:44" ht="15" x14ac:dyDescent="0.25">
      <c r="A36" s="149" t="str">
        <f t="shared" si="15"/>
        <v>46190M</v>
      </c>
      <c r="B36" s="51">
        <f t="shared" si="35"/>
        <v>46190</v>
      </c>
      <c r="C36" s="158" t="s">
        <v>87</v>
      </c>
      <c r="D36" s="79">
        <v>7456.8</v>
      </c>
      <c r="E36" s="62">
        <v>4.29</v>
      </c>
      <c r="F36" s="62">
        <v>8.35</v>
      </c>
      <c r="G36" s="170">
        <f t="shared" si="16"/>
        <v>319.89672000000002</v>
      </c>
      <c r="H36" s="171">
        <f t="shared" si="17"/>
        <v>622.64279999999997</v>
      </c>
      <c r="I36" s="161">
        <v>3554.1999999999985</v>
      </c>
      <c r="J36" s="162">
        <v>3660.8259999999987</v>
      </c>
      <c r="K36" s="163">
        <v>5.1994147768836898</v>
      </c>
      <c r="L36" s="164">
        <v>8.4290979686005372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169">
        <f t="shared" si="18"/>
        <v>3660.8259999999987</v>
      </c>
      <c r="S36" s="170">
        <f t="shared" si="19"/>
        <v>190.34152800000004</v>
      </c>
      <c r="T36" s="171">
        <f t="shared" si="20"/>
        <v>308.57461000000018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36"/>
        <v>0</v>
      </c>
      <c r="AB36" s="63">
        <f t="shared" si="37"/>
        <v>0</v>
      </c>
      <c r="AC36" s="176"/>
      <c r="AD36" s="177"/>
      <c r="AE36" s="177"/>
      <c r="AF36" s="170">
        <f t="shared" si="23"/>
        <v>0</v>
      </c>
      <c r="AG36" s="171">
        <f t="shared" si="24"/>
        <v>0</v>
      </c>
      <c r="AH36" s="71">
        <v>11117.5</v>
      </c>
      <c r="AI36" s="66">
        <v>4.59</v>
      </c>
      <c r="AJ36" s="66">
        <v>8.3699999999999992</v>
      </c>
      <c r="AK36" s="170">
        <f t="shared" si="30"/>
        <v>510.29324999999994</v>
      </c>
      <c r="AL36" s="179">
        <f t="shared" si="31"/>
        <v>930.53474999999992</v>
      </c>
      <c r="AM36" s="180">
        <f t="shared" si="32"/>
        <v>0.12599999999838474</v>
      </c>
      <c r="AN36" s="181">
        <f t="shared" si="33"/>
        <v>-5.5001999999888085E-2</v>
      </c>
      <c r="AO36" s="181">
        <f t="shared" si="34"/>
        <v>0.68266000000028271</v>
      </c>
      <c r="AP36" s="182">
        <f t="shared" si="28"/>
        <v>1.2580430902004503E-3</v>
      </c>
      <c r="AQ36" s="76">
        <f t="shared" si="13"/>
        <v>179.6109859134682</v>
      </c>
      <c r="AR36" s="183">
        <f t="shared" si="29"/>
        <v>0.12599999999838474</v>
      </c>
    </row>
    <row r="37" spans="1:44" ht="15" x14ac:dyDescent="0.25">
      <c r="A37" s="149" t="str">
        <f t="shared" si="15"/>
        <v>46190E</v>
      </c>
      <c r="B37" s="51">
        <f t="shared" si="35"/>
        <v>46190</v>
      </c>
      <c r="C37" s="158" t="s">
        <v>88</v>
      </c>
      <c r="D37" s="79">
        <v>11117.5</v>
      </c>
      <c r="E37" s="62">
        <v>4.59</v>
      </c>
      <c r="F37" s="62">
        <v>8.3699999999999992</v>
      </c>
      <c r="G37" s="170">
        <f t="shared" si="16"/>
        <v>510.29324999999994</v>
      </c>
      <c r="H37" s="171">
        <f t="shared" si="17"/>
        <v>930.53474999999992</v>
      </c>
      <c r="I37" s="161">
        <v>9384.6499999999978</v>
      </c>
      <c r="J37" s="162">
        <v>9666.1894999999986</v>
      </c>
      <c r="K37" s="163">
        <v>4.4418305424283266</v>
      </c>
      <c r="L37" s="164">
        <v>8.3290570239699928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169">
        <f t="shared" si="18"/>
        <v>9666.1894999999986</v>
      </c>
      <c r="S37" s="170">
        <f t="shared" si="19"/>
        <v>429.35575749999987</v>
      </c>
      <c r="T37" s="171">
        <f t="shared" si="20"/>
        <v>805.10243549999984</v>
      </c>
      <c r="U37" s="64" t="s">
        <v>266</v>
      </c>
      <c r="V37" s="65" t="s">
        <v>648</v>
      </c>
      <c r="W37" s="66" t="s">
        <v>225</v>
      </c>
      <c r="X37" s="67">
        <v>18330</v>
      </c>
      <c r="Y37" s="68">
        <v>4.6500000000000004</v>
      </c>
      <c r="Z37" s="68">
        <v>8.4</v>
      </c>
      <c r="AA37" s="62">
        <f t="shared" si="36"/>
        <v>852.34500000000014</v>
      </c>
      <c r="AB37" s="63">
        <f t="shared" si="37"/>
        <v>1539.72</v>
      </c>
      <c r="AC37" s="230">
        <v>18330</v>
      </c>
      <c r="AD37" s="231">
        <v>4.6500000000000004</v>
      </c>
      <c r="AE37" s="231">
        <v>8.4</v>
      </c>
      <c r="AF37" s="170">
        <f t="shared" si="23"/>
        <v>852.34500000000014</v>
      </c>
      <c r="AG37" s="171">
        <f t="shared" si="24"/>
        <v>1539.72</v>
      </c>
      <c r="AH37" s="71">
        <v>2453.6</v>
      </c>
      <c r="AI37" s="66">
        <v>4.5199999999999996</v>
      </c>
      <c r="AJ37" s="66">
        <v>8.35</v>
      </c>
      <c r="AK37" s="170">
        <f t="shared" si="30"/>
        <v>110.90271999999999</v>
      </c>
      <c r="AL37" s="179">
        <f t="shared" si="31"/>
        <v>204.87559999999996</v>
      </c>
      <c r="AM37" s="180">
        <f t="shared" si="32"/>
        <v>8.9500000000498403E-2</v>
      </c>
      <c r="AN37" s="181">
        <f t="shared" si="33"/>
        <v>-23.598712500000318</v>
      </c>
      <c r="AO37" s="181">
        <f t="shared" si="34"/>
        <v>-8.9584145000002309</v>
      </c>
      <c r="AP37" s="182">
        <f t="shared" si="28"/>
        <v>-2.6373616526356156E-2</v>
      </c>
      <c r="AQ37" s="76">
        <f t="shared" si="13"/>
        <v>-13274.71259717188</v>
      </c>
      <c r="AR37" s="183">
        <f t="shared" si="29"/>
        <v>8.9500000001862645E-2</v>
      </c>
    </row>
    <row r="38" spans="1:44" ht="15" x14ac:dyDescent="0.25">
      <c r="A38" s="149" t="str">
        <f t="shared" si="15"/>
        <v>46191M</v>
      </c>
      <c r="B38" s="51">
        <f t="shared" si="35"/>
        <v>46191</v>
      </c>
      <c r="C38" s="158" t="s">
        <v>87</v>
      </c>
      <c r="D38" s="79">
        <v>2453.6</v>
      </c>
      <c r="E38" s="62">
        <v>4.5199999999999996</v>
      </c>
      <c r="F38" s="62">
        <v>8.35</v>
      </c>
      <c r="G38" s="170">
        <f t="shared" si="16"/>
        <v>110.90271999999999</v>
      </c>
      <c r="H38" s="171">
        <f t="shared" si="17"/>
        <v>204.87559999999996</v>
      </c>
      <c r="I38" s="161">
        <v>3723.3500000000008</v>
      </c>
      <c r="J38" s="162">
        <v>3835.0505000000007</v>
      </c>
      <c r="K38" s="163">
        <v>5.2547893697879617</v>
      </c>
      <c r="L38" s="164">
        <v>8.5139820323096167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169">
        <f t="shared" si="18"/>
        <v>3835.0505000000007</v>
      </c>
      <c r="S38" s="170">
        <f t="shared" si="19"/>
        <v>201.52382600000013</v>
      </c>
      <c r="T38" s="171">
        <f t="shared" si="20"/>
        <v>326.51551050000018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36"/>
        <v>0</v>
      </c>
      <c r="AB38" s="63">
        <f t="shared" si="37"/>
        <v>0</v>
      </c>
      <c r="AC38" s="176"/>
      <c r="AD38" s="177"/>
      <c r="AE38" s="177"/>
      <c r="AF38" s="170">
        <f t="shared" si="23"/>
        <v>0</v>
      </c>
      <c r="AG38" s="171">
        <f t="shared" si="24"/>
        <v>0</v>
      </c>
      <c r="AH38" s="71">
        <v>6288.5</v>
      </c>
      <c r="AI38" s="66">
        <v>4.97</v>
      </c>
      <c r="AJ38" s="66">
        <v>8.44</v>
      </c>
      <c r="AK38" s="170">
        <f t="shared" si="30"/>
        <v>312.53844999999995</v>
      </c>
      <c r="AL38" s="179">
        <f t="shared" si="31"/>
        <v>530.74939999999992</v>
      </c>
      <c r="AM38" s="180">
        <f t="shared" si="32"/>
        <v>0.15050000000064756</v>
      </c>
      <c r="AN38" s="181">
        <f t="shared" si="33"/>
        <v>-0.11190399999981082</v>
      </c>
      <c r="AO38" s="181">
        <f t="shared" si="34"/>
        <v>0.64171050000027208</v>
      </c>
      <c r="AP38" s="182">
        <f t="shared" si="28"/>
        <v>1.0033466512403683E-3</v>
      </c>
      <c r="AQ38" s="76">
        <f t="shared" si="13"/>
        <v>141.81201573016637</v>
      </c>
      <c r="AR38" s="183">
        <f t="shared" si="29"/>
        <v>0.15050000000064756</v>
      </c>
    </row>
    <row r="39" spans="1:44" ht="15" x14ac:dyDescent="0.25">
      <c r="A39" s="149" t="str">
        <f t="shared" si="15"/>
        <v>46191E</v>
      </c>
      <c r="B39" s="51">
        <f t="shared" si="35"/>
        <v>46191</v>
      </c>
      <c r="C39" s="158" t="s">
        <v>88</v>
      </c>
      <c r="D39" s="79">
        <v>6288.5</v>
      </c>
      <c r="E39" s="62">
        <v>4.97</v>
      </c>
      <c r="F39" s="62">
        <v>8.44</v>
      </c>
      <c r="G39" s="170">
        <f t="shared" si="16"/>
        <v>312.53844999999995</v>
      </c>
      <c r="H39" s="171">
        <f t="shared" si="17"/>
        <v>530.74939999999992</v>
      </c>
      <c r="I39" s="161">
        <v>6596.6499999999987</v>
      </c>
      <c r="J39" s="162">
        <v>6794.5494999999992</v>
      </c>
      <c r="K39" s="163">
        <v>4.1522401521984644</v>
      </c>
      <c r="L39" s="164">
        <v>8.3336382860997542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169">
        <f t="shared" si="18"/>
        <v>6794.5494999999992</v>
      </c>
      <c r="S39" s="170">
        <f t="shared" si="19"/>
        <v>282.12601249999994</v>
      </c>
      <c r="T39" s="171">
        <f t="shared" si="20"/>
        <v>566.23317849999933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36"/>
        <v>0</v>
      </c>
      <c r="AB39" s="63">
        <f t="shared" si="37"/>
        <v>0</v>
      </c>
      <c r="AC39" s="176"/>
      <c r="AD39" s="177"/>
      <c r="AE39" s="177"/>
      <c r="AF39" s="170">
        <f t="shared" si="23"/>
        <v>0</v>
      </c>
      <c r="AG39" s="171">
        <f t="shared" si="24"/>
        <v>0</v>
      </c>
      <c r="AH39" s="71">
        <v>12752.9</v>
      </c>
      <c r="AI39" s="66">
        <v>4.54</v>
      </c>
      <c r="AJ39" s="66">
        <v>8.3699999999999992</v>
      </c>
      <c r="AK39" s="170">
        <f t="shared" si="30"/>
        <v>578.98166000000003</v>
      </c>
      <c r="AL39" s="179">
        <f t="shared" si="31"/>
        <v>1067.4177299999999</v>
      </c>
      <c r="AM39" s="180">
        <f t="shared" si="32"/>
        <v>330.14949999999953</v>
      </c>
      <c r="AN39" s="181">
        <f t="shared" si="33"/>
        <v>15.682802499999866</v>
      </c>
      <c r="AO39" s="181">
        <f t="shared" si="34"/>
        <v>29.564848499999471</v>
      </c>
      <c r="AP39" s="182">
        <f t="shared" si="28"/>
        <v>5.3335487468066309E-2</v>
      </c>
      <c r="AQ39" s="76">
        <f t="shared" si="13"/>
        <v>15888.137630364781</v>
      </c>
      <c r="AR39" s="183">
        <f t="shared" si="29"/>
        <v>330.14949999999953</v>
      </c>
    </row>
    <row r="40" spans="1:44" ht="15" x14ac:dyDescent="0.25">
      <c r="A40" s="149" t="str">
        <f t="shared" si="15"/>
        <v>46192M</v>
      </c>
      <c r="B40" s="51">
        <f t="shared" si="35"/>
        <v>46192</v>
      </c>
      <c r="C40" s="158" t="s">
        <v>87</v>
      </c>
      <c r="D40" s="79"/>
      <c r="E40" s="62"/>
      <c r="F40" s="62"/>
      <c r="G40" s="170">
        <f t="shared" si="16"/>
        <v>0</v>
      </c>
      <c r="H40" s="171">
        <f t="shared" si="17"/>
        <v>0</v>
      </c>
      <c r="I40" s="161"/>
      <c r="J40" s="162"/>
      <c r="K40" s="163"/>
      <c r="L40" s="164"/>
      <c r="M40" s="58"/>
      <c r="N40" s="58"/>
      <c r="O40" s="59"/>
      <c r="P40" s="56"/>
      <c r="Q40" s="60"/>
      <c r="R40" s="169">
        <f t="shared" si="18"/>
        <v>0</v>
      </c>
      <c r="S40" s="170">
        <f t="shared" si="19"/>
        <v>0</v>
      </c>
      <c r="T40" s="171">
        <f t="shared" si="20"/>
        <v>0</v>
      </c>
      <c r="U40" s="64"/>
      <c r="V40" s="65"/>
      <c r="W40" s="66"/>
      <c r="X40" s="67"/>
      <c r="Y40" s="68"/>
      <c r="Z40" s="68"/>
      <c r="AA40" s="62">
        <f t="shared" si="36"/>
        <v>0</v>
      </c>
      <c r="AB40" s="63">
        <f t="shared" si="37"/>
        <v>0</v>
      </c>
      <c r="AC40" s="176"/>
      <c r="AD40" s="177"/>
      <c r="AE40" s="177"/>
      <c r="AF40" s="170">
        <f t="shared" si="23"/>
        <v>0</v>
      </c>
      <c r="AG40" s="171">
        <f t="shared" si="24"/>
        <v>0</v>
      </c>
      <c r="AH40" s="71"/>
      <c r="AI40" s="66"/>
      <c r="AJ40" s="66"/>
      <c r="AK40" s="170">
        <f t="shared" si="30"/>
        <v>0</v>
      </c>
      <c r="AL40" s="179">
        <f t="shared" si="31"/>
        <v>0</v>
      </c>
      <c r="AM40" s="180">
        <f t="shared" si="32"/>
        <v>0</v>
      </c>
      <c r="AN40" s="181">
        <f t="shared" si="33"/>
        <v>0</v>
      </c>
      <c r="AO40" s="181">
        <f t="shared" si="34"/>
        <v>0</v>
      </c>
      <c r="AP40" s="182" t="e">
        <f t="shared" si="28"/>
        <v>#DIV/0!</v>
      </c>
      <c r="AQ40" s="76">
        <f t="shared" si="13"/>
        <v>0</v>
      </c>
      <c r="AR40" s="183">
        <f t="shared" si="29"/>
        <v>0</v>
      </c>
    </row>
    <row r="41" spans="1:44" ht="15" x14ac:dyDescent="0.25">
      <c r="A41" s="149" t="str">
        <f t="shared" si="15"/>
        <v>46192E</v>
      </c>
      <c r="B41" s="51">
        <f t="shared" si="35"/>
        <v>46192</v>
      </c>
      <c r="C41" s="158" t="s">
        <v>88</v>
      </c>
      <c r="D41" s="79"/>
      <c r="E41" s="62"/>
      <c r="F41" s="62"/>
      <c r="G41" s="170">
        <f t="shared" si="16"/>
        <v>0</v>
      </c>
      <c r="H41" s="171">
        <f t="shared" si="17"/>
        <v>0</v>
      </c>
      <c r="I41" s="161"/>
      <c r="J41" s="162"/>
      <c r="K41" s="163"/>
      <c r="L41" s="164"/>
      <c r="M41" s="58"/>
      <c r="N41" s="58"/>
      <c r="O41" s="59"/>
      <c r="P41" s="56"/>
      <c r="Q41" s="60"/>
      <c r="R41" s="169">
        <f t="shared" si="18"/>
        <v>0</v>
      </c>
      <c r="S41" s="170">
        <f t="shared" si="19"/>
        <v>0</v>
      </c>
      <c r="T41" s="171">
        <f t="shared" si="20"/>
        <v>0</v>
      </c>
      <c r="U41" s="64"/>
      <c r="V41" s="65"/>
      <c r="W41" s="66"/>
      <c r="X41" s="67"/>
      <c r="Y41" s="68"/>
      <c r="Z41" s="68"/>
      <c r="AA41" s="62">
        <f t="shared" si="36"/>
        <v>0</v>
      </c>
      <c r="AB41" s="63">
        <f t="shared" si="37"/>
        <v>0</v>
      </c>
      <c r="AC41" s="176"/>
      <c r="AD41" s="177"/>
      <c r="AE41" s="177"/>
      <c r="AF41" s="170">
        <f t="shared" si="23"/>
        <v>0</v>
      </c>
      <c r="AG41" s="171">
        <f t="shared" si="24"/>
        <v>0</v>
      </c>
      <c r="AH41" s="71"/>
      <c r="AI41" s="66"/>
      <c r="AJ41" s="66"/>
      <c r="AK41" s="170">
        <f t="shared" si="30"/>
        <v>0</v>
      </c>
      <c r="AL41" s="179">
        <f t="shared" si="31"/>
        <v>0</v>
      </c>
      <c r="AM41" s="180">
        <f t="shared" si="32"/>
        <v>0</v>
      </c>
      <c r="AN41" s="181">
        <f t="shared" si="33"/>
        <v>0</v>
      </c>
      <c r="AO41" s="181">
        <f t="shared" si="34"/>
        <v>0</v>
      </c>
      <c r="AP41" s="182" t="e">
        <f t="shared" si="28"/>
        <v>#DIV/0!</v>
      </c>
      <c r="AQ41" s="76">
        <f t="shared" si="13"/>
        <v>0</v>
      </c>
      <c r="AR41" s="183">
        <f t="shared" si="29"/>
        <v>0</v>
      </c>
    </row>
    <row r="42" spans="1:44" ht="15" x14ac:dyDescent="0.25">
      <c r="A42" s="149" t="str">
        <f t="shared" si="15"/>
        <v>46193M</v>
      </c>
      <c r="B42" s="51">
        <f t="shared" si="35"/>
        <v>46193</v>
      </c>
      <c r="C42" s="158" t="s">
        <v>87</v>
      </c>
      <c r="D42" s="79"/>
      <c r="E42" s="62"/>
      <c r="F42" s="62"/>
      <c r="G42" s="170">
        <f t="shared" si="16"/>
        <v>0</v>
      </c>
      <c r="H42" s="171">
        <f t="shared" si="17"/>
        <v>0</v>
      </c>
      <c r="I42" s="161"/>
      <c r="J42" s="162"/>
      <c r="K42" s="163"/>
      <c r="L42" s="164"/>
      <c r="M42" s="58"/>
      <c r="N42" s="58"/>
      <c r="O42" s="59"/>
      <c r="P42" s="56"/>
      <c r="Q42" s="60"/>
      <c r="R42" s="169">
        <f t="shared" si="18"/>
        <v>0</v>
      </c>
      <c r="S42" s="170">
        <f t="shared" si="19"/>
        <v>0</v>
      </c>
      <c r="T42" s="171">
        <f t="shared" si="20"/>
        <v>0</v>
      </c>
      <c r="U42" s="64"/>
      <c r="V42" s="65"/>
      <c r="W42" s="66"/>
      <c r="X42" s="67"/>
      <c r="Y42" s="68"/>
      <c r="Z42" s="68"/>
      <c r="AA42" s="62">
        <f t="shared" si="36"/>
        <v>0</v>
      </c>
      <c r="AB42" s="63">
        <f t="shared" si="37"/>
        <v>0</v>
      </c>
      <c r="AC42" s="176"/>
      <c r="AD42" s="177"/>
      <c r="AE42" s="177"/>
      <c r="AF42" s="170">
        <f t="shared" si="23"/>
        <v>0</v>
      </c>
      <c r="AG42" s="171">
        <f t="shared" si="24"/>
        <v>0</v>
      </c>
      <c r="AH42" s="71"/>
      <c r="AI42" s="66"/>
      <c r="AJ42" s="66"/>
      <c r="AK42" s="170">
        <f t="shared" si="30"/>
        <v>0</v>
      </c>
      <c r="AL42" s="179">
        <f t="shared" si="31"/>
        <v>0</v>
      </c>
      <c r="AM42" s="180">
        <f t="shared" si="32"/>
        <v>0</v>
      </c>
      <c r="AN42" s="181">
        <f t="shared" si="33"/>
        <v>0</v>
      </c>
      <c r="AO42" s="181">
        <f t="shared" si="34"/>
        <v>0</v>
      </c>
      <c r="AP42" s="182" t="e">
        <f t="shared" si="28"/>
        <v>#DIV/0!</v>
      </c>
      <c r="AQ42" s="76">
        <f t="shared" si="13"/>
        <v>0</v>
      </c>
      <c r="AR42" s="183">
        <f t="shared" si="29"/>
        <v>0</v>
      </c>
    </row>
    <row r="43" spans="1:44" ht="15" x14ac:dyDescent="0.25">
      <c r="A43" s="149" t="str">
        <f t="shared" si="15"/>
        <v>46193E</v>
      </c>
      <c r="B43" s="51">
        <f t="shared" si="35"/>
        <v>46193</v>
      </c>
      <c r="C43" s="158" t="s">
        <v>88</v>
      </c>
      <c r="D43" s="79"/>
      <c r="E43" s="62"/>
      <c r="F43" s="62"/>
      <c r="G43" s="170">
        <f t="shared" si="16"/>
        <v>0</v>
      </c>
      <c r="H43" s="171">
        <f t="shared" si="17"/>
        <v>0</v>
      </c>
      <c r="I43" s="161"/>
      <c r="J43" s="162"/>
      <c r="K43" s="163"/>
      <c r="L43" s="164"/>
      <c r="M43" s="58"/>
      <c r="N43" s="58"/>
      <c r="O43" s="59"/>
      <c r="P43" s="56"/>
      <c r="Q43" s="60"/>
      <c r="R43" s="169">
        <f t="shared" si="18"/>
        <v>0</v>
      </c>
      <c r="S43" s="170">
        <f t="shared" si="19"/>
        <v>0</v>
      </c>
      <c r="T43" s="171">
        <f t="shared" si="20"/>
        <v>0</v>
      </c>
      <c r="U43" s="64"/>
      <c r="V43" s="65"/>
      <c r="W43" s="66"/>
      <c r="X43" s="67"/>
      <c r="Y43" s="68"/>
      <c r="Z43" s="68"/>
      <c r="AA43" s="62">
        <f t="shared" si="36"/>
        <v>0</v>
      </c>
      <c r="AB43" s="63">
        <f t="shared" si="37"/>
        <v>0</v>
      </c>
      <c r="AC43" s="176"/>
      <c r="AD43" s="177"/>
      <c r="AE43" s="177"/>
      <c r="AF43" s="170">
        <f t="shared" si="23"/>
        <v>0</v>
      </c>
      <c r="AG43" s="171">
        <f t="shared" si="24"/>
        <v>0</v>
      </c>
      <c r="AH43" s="71"/>
      <c r="AI43" s="66"/>
      <c r="AJ43" s="66"/>
      <c r="AK43" s="170">
        <f t="shared" si="30"/>
        <v>0</v>
      </c>
      <c r="AL43" s="179">
        <f t="shared" si="31"/>
        <v>0</v>
      </c>
      <c r="AM43" s="180">
        <f t="shared" si="32"/>
        <v>0</v>
      </c>
      <c r="AN43" s="181">
        <f t="shared" si="33"/>
        <v>0</v>
      </c>
      <c r="AO43" s="181">
        <f t="shared" si="34"/>
        <v>0</v>
      </c>
      <c r="AP43" s="182" t="e">
        <f t="shared" si="28"/>
        <v>#DIV/0!</v>
      </c>
      <c r="AQ43" s="76">
        <f t="shared" si="13"/>
        <v>0</v>
      </c>
      <c r="AR43" s="183">
        <f t="shared" si="29"/>
        <v>0</v>
      </c>
    </row>
    <row r="44" spans="1:44" ht="15" x14ac:dyDescent="0.25">
      <c r="A44" s="149" t="str">
        <f t="shared" si="15"/>
        <v>46194M</v>
      </c>
      <c r="B44" s="51">
        <f t="shared" si="35"/>
        <v>46194</v>
      </c>
      <c r="C44" s="158" t="s">
        <v>87</v>
      </c>
      <c r="D44" s="79"/>
      <c r="E44" s="62"/>
      <c r="F44" s="62"/>
      <c r="G44" s="170">
        <f t="shared" si="16"/>
        <v>0</v>
      </c>
      <c r="H44" s="171">
        <f t="shared" si="17"/>
        <v>0</v>
      </c>
      <c r="I44" s="161"/>
      <c r="J44" s="162"/>
      <c r="K44" s="163"/>
      <c r="L44" s="164"/>
      <c r="M44" s="58"/>
      <c r="N44" s="58"/>
      <c r="O44" s="59"/>
      <c r="P44" s="56"/>
      <c r="Q44" s="60"/>
      <c r="R44" s="169">
        <f t="shared" si="18"/>
        <v>0</v>
      </c>
      <c r="S44" s="170">
        <f t="shared" si="19"/>
        <v>0</v>
      </c>
      <c r="T44" s="171">
        <f t="shared" si="20"/>
        <v>0</v>
      </c>
      <c r="U44" s="64"/>
      <c r="V44" s="65"/>
      <c r="W44" s="66"/>
      <c r="X44" s="67"/>
      <c r="Y44" s="68"/>
      <c r="Z44" s="68"/>
      <c r="AA44" s="62">
        <f t="shared" si="36"/>
        <v>0</v>
      </c>
      <c r="AB44" s="63">
        <f t="shared" si="37"/>
        <v>0</v>
      </c>
      <c r="AC44" s="176"/>
      <c r="AD44" s="177"/>
      <c r="AE44" s="177"/>
      <c r="AF44" s="170">
        <f t="shared" si="23"/>
        <v>0</v>
      </c>
      <c r="AG44" s="171">
        <f t="shared" si="24"/>
        <v>0</v>
      </c>
      <c r="AH44" s="71"/>
      <c r="AI44" s="66"/>
      <c r="AJ44" s="66"/>
      <c r="AK44" s="170">
        <f t="shared" si="30"/>
        <v>0</v>
      </c>
      <c r="AL44" s="179">
        <f t="shared" si="31"/>
        <v>0</v>
      </c>
      <c r="AM44" s="180">
        <f t="shared" si="32"/>
        <v>0</v>
      </c>
      <c r="AN44" s="181">
        <f t="shared" si="33"/>
        <v>0</v>
      </c>
      <c r="AO44" s="181">
        <f t="shared" si="34"/>
        <v>0</v>
      </c>
      <c r="AP44" s="182" t="e">
        <f t="shared" si="28"/>
        <v>#DIV/0!</v>
      </c>
      <c r="AQ44" s="76">
        <f t="shared" si="13"/>
        <v>0</v>
      </c>
      <c r="AR44" s="183">
        <f t="shared" si="29"/>
        <v>0</v>
      </c>
    </row>
    <row r="45" spans="1:44" ht="15" x14ac:dyDescent="0.25">
      <c r="A45" s="149" t="str">
        <f t="shared" si="15"/>
        <v>46194E</v>
      </c>
      <c r="B45" s="51">
        <f t="shared" si="35"/>
        <v>46194</v>
      </c>
      <c r="C45" s="158" t="s">
        <v>88</v>
      </c>
      <c r="D45" s="79"/>
      <c r="E45" s="62"/>
      <c r="F45" s="62"/>
      <c r="G45" s="170">
        <f t="shared" si="16"/>
        <v>0</v>
      </c>
      <c r="H45" s="171">
        <f t="shared" si="17"/>
        <v>0</v>
      </c>
      <c r="I45" s="161"/>
      <c r="J45" s="162"/>
      <c r="K45" s="163"/>
      <c r="L45" s="164"/>
      <c r="M45" s="58"/>
      <c r="N45" s="58"/>
      <c r="O45" s="59"/>
      <c r="P45" s="56"/>
      <c r="Q45" s="60"/>
      <c r="R45" s="169">
        <f t="shared" si="18"/>
        <v>0</v>
      </c>
      <c r="S45" s="170">
        <f t="shared" si="19"/>
        <v>0</v>
      </c>
      <c r="T45" s="171">
        <f t="shared" si="20"/>
        <v>0</v>
      </c>
      <c r="U45" s="64"/>
      <c r="V45" s="65"/>
      <c r="W45" s="66"/>
      <c r="X45" s="67"/>
      <c r="Y45" s="68"/>
      <c r="Z45" s="68"/>
      <c r="AA45" s="62">
        <f t="shared" si="36"/>
        <v>0</v>
      </c>
      <c r="AB45" s="63">
        <f t="shared" si="37"/>
        <v>0</v>
      </c>
      <c r="AC45" s="176"/>
      <c r="AD45" s="177"/>
      <c r="AE45" s="177"/>
      <c r="AF45" s="170">
        <f t="shared" si="23"/>
        <v>0</v>
      </c>
      <c r="AG45" s="171">
        <f t="shared" si="24"/>
        <v>0</v>
      </c>
      <c r="AH45" s="71"/>
      <c r="AI45" s="66"/>
      <c r="AJ45" s="66"/>
      <c r="AK45" s="170">
        <f t="shared" si="30"/>
        <v>0</v>
      </c>
      <c r="AL45" s="179">
        <f t="shared" si="31"/>
        <v>0</v>
      </c>
      <c r="AM45" s="180">
        <f t="shared" si="32"/>
        <v>0</v>
      </c>
      <c r="AN45" s="181">
        <f t="shared" si="33"/>
        <v>0</v>
      </c>
      <c r="AO45" s="181">
        <f t="shared" si="34"/>
        <v>0</v>
      </c>
      <c r="AP45" s="182" t="e">
        <f t="shared" si="28"/>
        <v>#DIV/0!</v>
      </c>
      <c r="AQ45" s="76">
        <f t="shared" si="13"/>
        <v>0</v>
      </c>
      <c r="AR45" s="183">
        <f t="shared" si="29"/>
        <v>0</v>
      </c>
    </row>
    <row r="46" spans="1:44" ht="14.25" customHeight="1" x14ac:dyDescent="0.25">
      <c r="A46" s="149" t="str">
        <f t="shared" si="15"/>
        <v>46195M</v>
      </c>
      <c r="B46" s="51">
        <f t="shared" si="35"/>
        <v>46195</v>
      </c>
      <c r="C46" s="158" t="s">
        <v>87</v>
      </c>
      <c r="D46" s="79"/>
      <c r="E46" s="62"/>
      <c r="F46" s="62"/>
      <c r="G46" s="170">
        <f t="shared" si="16"/>
        <v>0</v>
      </c>
      <c r="H46" s="171">
        <f t="shared" si="17"/>
        <v>0</v>
      </c>
      <c r="I46" s="161"/>
      <c r="J46" s="162"/>
      <c r="K46" s="163"/>
      <c r="L46" s="164"/>
      <c r="M46" s="58"/>
      <c r="N46" s="58"/>
      <c r="O46" s="59"/>
      <c r="P46" s="56"/>
      <c r="Q46" s="60"/>
      <c r="R46" s="169">
        <f t="shared" si="18"/>
        <v>0</v>
      </c>
      <c r="S46" s="170">
        <f t="shared" si="19"/>
        <v>0</v>
      </c>
      <c r="T46" s="171">
        <f t="shared" si="20"/>
        <v>0</v>
      </c>
      <c r="U46" s="64"/>
      <c r="V46" s="65"/>
      <c r="W46" s="66"/>
      <c r="X46" s="67"/>
      <c r="Y46" s="68"/>
      <c r="Z46" s="68"/>
      <c r="AA46" s="62">
        <f t="shared" si="36"/>
        <v>0</v>
      </c>
      <c r="AB46" s="63">
        <f t="shared" si="37"/>
        <v>0</v>
      </c>
      <c r="AC46" s="176"/>
      <c r="AD46" s="177"/>
      <c r="AE46" s="177"/>
      <c r="AF46" s="170">
        <f t="shared" si="23"/>
        <v>0</v>
      </c>
      <c r="AG46" s="171">
        <f t="shared" si="24"/>
        <v>0</v>
      </c>
      <c r="AH46" s="71"/>
      <c r="AI46" s="66"/>
      <c r="AJ46" s="66"/>
      <c r="AK46" s="170">
        <f t="shared" si="30"/>
        <v>0</v>
      </c>
      <c r="AL46" s="179">
        <f t="shared" si="31"/>
        <v>0</v>
      </c>
      <c r="AM46" s="180">
        <f t="shared" si="32"/>
        <v>0</v>
      </c>
      <c r="AN46" s="181">
        <f t="shared" si="33"/>
        <v>0</v>
      </c>
      <c r="AO46" s="181">
        <f t="shared" si="34"/>
        <v>0</v>
      </c>
      <c r="AP46" s="182" t="e">
        <f t="shared" si="28"/>
        <v>#DIV/0!</v>
      </c>
      <c r="AQ46" s="76">
        <f t="shared" si="13"/>
        <v>0</v>
      </c>
      <c r="AR46" s="183">
        <f t="shared" si="29"/>
        <v>0</v>
      </c>
    </row>
    <row r="47" spans="1:44" ht="15" x14ac:dyDescent="0.25">
      <c r="A47" s="149" t="str">
        <f t="shared" si="15"/>
        <v>46195E</v>
      </c>
      <c r="B47" s="51">
        <f t="shared" si="35"/>
        <v>46195</v>
      </c>
      <c r="C47" s="158" t="s">
        <v>88</v>
      </c>
      <c r="D47" s="79"/>
      <c r="E47" s="62"/>
      <c r="F47" s="62"/>
      <c r="G47" s="170">
        <f t="shared" si="16"/>
        <v>0</v>
      </c>
      <c r="H47" s="171">
        <f t="shared" si="17"/>
        <v>0</v>
      </c>
      <c r="I47" s="161"/>
      <c r="J47" s="162"/>
      <c r="K47" s="163"/>
      <c r="L47" s="164"/>
      <c r="M47" s="58"/>
      <c r="N47" s="58"/>
      <c r="O47" s="59"/>
      <c r="P47" s="56"/>
      <c r="Q47" s="60"/>
      <c r="R47" s="169">
        <f t="shared" si="18"/>
        <v>0</v>
      </c>
      <c r="S47" s="170">
        <f t="shared" si="19"/>
        <v>0</v>
      </c>
      <c r="T47" s="171">
        <f t="shared" si="20"/>
        <v>0</v>
      </c>
      <c r="U47" s="64"/>
      <c r="V47" s="65"/>
      <c r="W47" s="66"/>
      <c r="X47" s="67"/>
      <c r="Y47" s="68"/>
      <c r="Z47" s="68"/>
      <c r="AA47" s="62">
        <f t="shared" si="36"/>
        <v>0</v>
      </c>
      <c r="AB47" s="63">
        <f t="shared" si="37"/>
        <v>0</v>
      </c>
      <c r="AC47" s="176"/>
      <c r="AD47" s="177"/>
      <c r="AE47" s="177"/>
      <c r="AF47" s="170">
        <f t="shared" si="23"/>
        <v>0</v>
      </c>
      <c r="AG47" s="171">
        <f t="shared" si="24"/>
        <v>0</v>
      </c>
      <c r="AH47" s="71"/>
      <c r="AI47" s="66"/>
      <c r="AJ47" s="66"/>
      <c r="AK47" s="170">
        <f t="shared" si="30"/>
        <v>0</v>
      </c>
      <c r="AL47" s="179">
        <f t="shared" si="31"/>
        <v>0</v>
      </c>
      <c r="AM47" s="180">
        <f t="shared" si="32"/>
        <v>0</v>
      </c>
      <c r="AN47" s="181">
        <f t="shared" si="33"/>
        <v>0</v>
      </c>
      <c r="AO47" s="181">
        <f t="shared" si="34"/>
        <v>0</v>
      </c>
      <c r="AP47" s="182" t="e">
        <f t="shared" si="28"/>
        <v>#DIV/0!</v>
      </c>
      <c r="AQ47" s="76">
        <f t="shared" si="13"/>
        <v>0</v>
      </c>
      <c r="AR47" s="183">
        <f t="shared" si="29"/>
        <v>0</v>
      </c>
    </row>
    <row r="48" spans="1:44" ht="15" x14ac:dyDescent="0.25">
      <c r="A48" s="149" t="str">
        <f t="shared" si="15"/>
        <v>46196M</v>
      </c>
      <c r="B48" s="51">
        <f t="shared" si="35"/>
        <v>46196</v>
      </c>
      <c r="C48" s="158" t="s">
        <v>87</v>
      </c>
      <c r="D48" s="79"/>
      <c r="E48" s="62"/>
      <c r="F48" s="62"/>
      <c r="G48" s="170">
        <f t="shared" si="16"/>
        <v>0</v>
      </c>
      <c r="H48" s="171">
        <f t="shared" si="17"/>
        <v>0</v>
      </c>
      <c r="I48" s="161"/>
      <c r="J48" s="162"/>
      <c r="K48" s="163"/>
      <c r="L48" s="164"/>
      <c r="M48" s="58"/>
      <c r="N48" s="58"/>
      <c r="O48" s="59"/>
      <c r="P48" s="56"/>
      <c r="Q48" s="60"/>
      <c r="R48" s="169">
        <f t="shared" si="18"/>
        <v>0</v>
      </c>
      <c r="S48" s="170">
        <f t="shared" si="19"/>
        <v>0</v>
      </c>
      <c r="T48" s="171">
        <f t="shared" si="20"/>
        <v>0</v>
      </c>
      <c r="U48" s="64"/>
      <c r="V48" s="65"/>
      <c r="W48" s="66"/>
      <c r="X48" s="67"/>
      <c r="Y48" s="68"/>
      <c r="Z48" s="68"/>
      <c r="AA48" s="62">
        <f t="shared" si="36"/>
        <v>0</v>
      </c>
      <c r="AB48" s="63">
        <f t="shared" si="37"/>
        <v>0</v>
      </c>
      <c r="AC48" s="176"/>
      <c r="AD48" s="177"/>
      <c r="AE48" s="177"/>
      <c r="AF48" s="170">
        <f t="shared" si="23"/>
        <v>0</v>
      </c>
      <c r="AG48" s="171">
        <f t="shared" si="24"/>
        <v>0</v>
      </c>
      <c r="AH48" s="71"/>
      <c r="AI48" s="66"/>
      <c r="AJ48" s="66"/>
      <c r="AK48" s="170">
        <f t="shared" si="30"/>
        <v>0</v>
      </c>
      <c r="AL48" s="179">
        <f t="shared" si="31"/>
        <v>0</v>
      </c>
      <c r="AM48" s="180">
        <f t="shared" si="32"/>
        <v>0</v>
      </c>
      <c r="AN48" s="181">
        <f t="shared" si="33"/>
        <v>0</v>
      </c>
      <c r="AO48" s="181">
        <f t="shared" si="34"/>
        <v>0</v>
      </c>
      <c r="AP48" s="182" t="e">
        <f t="shared" si="28"/>
        <v>#DIV/0!</v>
      </c>
      <c r="AQ48" s="76">
        <f t="shared" si="13"/>
        <v>0</v>
      </c>
      <c r="AR48" s="183">
        <f t="shared" si="29"/>
        <v>0</v>
      </c>
    </row>
    <row r="49" spans="1:44" ht="15" x14ac:dyDescent="0.25">
      <c r="A49" s="149" t="str">
        <f t="shared" si="15"/>
        <v>46196E</v>
      </c>
      <c r="B49" s="51">
        <f t="shared" si="35"/>
        <v>46196</v>
      </c>
      <c r="C49" s="158" t="s">
        <v>88</v>
      </c>
      <c r="D49" s="79"/>
      <c r="E49" s="62"/>
      <c r="F49" s="62"/>
      <c r="G49" s="170">
        <f t="shared" si="16"/>
        <v>0</v>
      </c>
      <c r="H49" s="171">
        <f t="shared" si="17"/>
        <v>0</v>
      </c>
      <c r="I49" s="161"/>
      <c r="J49" s="162"/>
      <c r="K49" s="163"/>
      <c r="L49" s="164"/>
      <c r="M49" s="58"/>
      <c r="N49" s="58"/>
      <c r="O49" s="59"/>
      <c r="P49" s="56"/>
      <c r="Q49" s="60"/>
      <c r="R49" s="169">
        <f t="shared" si="18"/>
        <v>0</v>
      </c>
      <c r="S49" s="170">
        <f t="shared" si="19"/>
        <v>0</v>
      </c>
      <c r="T49" s="171">
        <f t="shared" si="20"/>
        <v>0</v>
      </c>
      <c r="U49" s="64"/>
      <c r="V49" s="65"/>
      <c r="W49" s="66"/>
      <c r="X49" s="67"/>
      <c r="Y49" s="68"/>
      <c r="Z49" s="68"/>
      <c r="AA49" s="62">
        <f t="shared" si="36"/>
        <v>0</v>
      </c>
      <c r="AB49" s="63">
        <f t="shared" si="37"/>
        <v>0</v>
      </c>
      <c r="AC49" s="176"/>
      <c r="AD49" s="177"/>
      <c r="AE49" s="177"/>
      <c r="AF49" s="170">
        <f t="shared" si="23"/>
        <v>0</v>
      </c>
      <c r="AG49" s="171">
        <f t="shared" si="24"/>
        <v>0</v>
      </c>
      <c r="AH49" s="71"/>
      <c r="AI49" s="66"/>
      <c r="AJ49" s="66"/>
      <c r="AK49" s="170">
        <f t="shared" si="30"/>
        <v>0</v>
      </c>
      <c r="AL49" s="179">
        <f t="shared" si="31"/>
        <v>0</v>
      </c>
      <c r="AM49" s="180">
        <f t="shared" si="32"/>
        <v>0</v>
      </c>
      <c r="AN49" s="181">
        <f t="shared" si="33"/>
        <v>0</v>
      </c>
      <c r="AO49" s="181">
        <f t="shared" si="34"/>
        <v>0</v>
      </c>
      <c r="AP49" s="182" t="e">
        <f t="shared" si="28"/>
        <v>#DIV/0!</v>
      </c>
      <c r="AQ49" s="76">
        <f t="shared" si="13"/>
        <v>0</v>
      </c>
      <c r="AR49" s="183">
        <f t="shared" si="29"/>
        <v>0</v>
      </c>
    </row>
    <row r="50" spans="1:44" ht="15" x14ac:dyDescent="0.25">
      <c r="A50" s="149" t="str">
        <f t="shared" si="15"/>
        <v>46197M</v>
      </c>
      <c r="B50" s="51">
        <f t="shared" si="35"/>
        <v>46197</v>
      </c>
      <c r="C50" s="158" t="s">
        <v>87</v>
      </c>
      <c r="D50" s="79"/>
      <c r="E50" s="62"/>
      <c r="F50" s="62"/>
      <c r="G50" s="170">
        <f t="shared" si="16"/>
        <v>0</v>
      </c>
      <c r="H50" s="171">
        <f t="shared" si="17"/>
        <v>0</v>
      </c>
      <c r="I50" s="161"/>
      <c r="J50" s="162"/>
      <c r="K50" s="163"/>
      <c r="L50" s="164"/>
      <c r="M50" s="58"/>
      <c r="N50" s="58"/>
      <c r="O50" s="59"/>
      <c r="P50" s="56"/>
      <c r="Q50" s="60"/>
      <c r="R50" s="169">
        <f t="shared" si="18"/>
        <v>0</v>
      </c>
      <c r="S50" s="170">
        <f t="shared" si="19"/>
        <v>0</v>
      </c>
      <c r="T50" s="171">
        <f t="shared" si="20"/>
        <v>0</v>
      </c>
      <c r="U50" s="64"/>
      <c r="V50" s="65"/>
      <c r="W50" s="66"/>
      <c r="X50" s="67"/>
      <c r="Y50" s="68"/>
      <c r="Z50" s="68"/>
      <c r="AA50" s="62">
        <f t="shared" si="36"/>
        <v>0</v>
      </c>
      <c r="AB50" s="63">
        <f t="shared" si="37"/>
        <v>0</v>
      </c>
      <c r="AC50" s="176"/>
      <c r="AD50" s="177"/>
      <c r="AE50" s="177"/>
      <c r="AF50" s="170">
        <f t="shared" si="23"/>
        <v>0</v>
      </c>
      <c r="AG50" s="171">
        <f t="shared" si="24"/>
        <v>0</v>
      </c>
      <c r="AH50" s="71"/>
      <c r="AI50" s="66"/>
      <c r="AJ50" s="66"/>
      <c r="AK50" s="170">
        <f t="shared" si="30"/>
        <v>0</v>
      </c>
      <c r="AL50" s="179">
        <f t="shared" si="31"/>
        <v>0</v>
      </c>
      <c r="AM50" s="180">
        <f t="shared" si="32"/>
        <v>0</v>
      </c>
      <c r="AN50" s="181">
        <f t="shared" si="33"/>
        <v>0</v>
      </c>
      <c r="AO50" s="181">
        <f t="shared" si="34"/>
        <v>0</v>
      </c>
      <c r="AP50" s="182" t="e">
        <f t="shared" si="28"/>
        <v>#DIV/0!</v>
      </c>
      <c r="AQ50" s="76">
        <f t="shared" si="13"/>
        <v>0</v>
      </c>
      <c r="AR50" s="183">
        <f t="shared" si="29"/>
        <v>0</v>
      </c>
    </row>
    <row r="51" spans="1:44" ht="15" x14ac:dyDescent="0.25">
      <c r="A51" s="149" t="str">
        <f t="shared" si="15"/>
        <v>46197E</v>
      </c>
      <c r="B51" s="51">
        <f t="shared" si="35"/>
        <v>46197</v>
      </c>
      <c r="C51" s="158" t="s">
        <v>88</v>
      </c>
      <c r="D51" s="79"/>
      <c r="E51" s="62"/>
      <c r="F51" s="62"/>
      <c r="G51" s="170">
        <f t="shared" si="16"/>
        <v>0</v>
      </c>
      <c r="H51" s="171">
        <f t="shared" si="17"/>
        <v>0</v>
      </c>
      <c r="I51" s="161"/>
      <c r="J51" s="162"/>
      <c r="K51" s="163"/>
      <c r="L51" s="164"/>
      <c r="M51" s="58"/>
      <c r="N51" s="58"/>
      <c r="O51" s="59"/>
      <c r="P51" s="56"/>
      <c r="Q51" s="60"/>
      <c r="R51" s="169">
        <f t="shared" si="18"/>
        <v>0</v>
      </c>
      <c r="S51" s="170">
        <f t="shared" si="19"/>
        <v>0</v>
      </c>
      <c r="T51" s="171">
        <f t="shared" si="20"/>
        <v>0</v>
      </c>
      <c r="U51" s="64"/>
      <c r="V51" s="85"/>
      <c r="W51" s="66"/>
      <c r="X51" s="67"/>
      <c r="Y51" s="68"/>
      <c r="Z51" s="68"/>
      <c r="AA51" s="62">
        <f t="shared" si="36"/>
        <v>0</v>
      </c>
      <c r="AB51" s="63">
        <f t="shared" si="37"/>
        <v>0</v>
      </c>
      <c r="AC51" s="176"/>
      <c r="AD51" s="177"/>
      <c r="AE51" s="177"/>
      <c r="AF51" s="170">
        <f t="shared" si="23"/>
        <v>0</v>
      </c>
      <c r="AG51" s="171">
        <f t="shared" si="24"/>
        <v>0</v>
      </c>
      <c r="AH51" s="71"/>
      <c r="AI51" s="66"/>
      <c r="AJ51" s="66"/>
      <c r="AK51" s="170">
        <f t="shared" si="30"/>
        <v>0</v>
      </c>
      <c r="AL51" s="179">
        <f t="shared" si="31"/>
        <v>0</v>
      </c>
      <c r="AM51" s="180">
        <f t="shared" si="32"/>
        <v>0</v>
      </c>
      <c r="AN51" s="181">
        <f t="shared" si="33"/>
        <v>0</v>
      </c>
      <c r="AO51" s="181">
        <f t="shared" si="34"/>
        <v>0</v>
      </c>
      <c r="AP51" s="182" t="e">
        <f t="shared" si="28"/>
        <v>#DIV/0!</v>
      </c>
      <c r="AQ51" s="76">
        <f t="shared" si="13"/>
        <v>0</v>
      </c>
      <c r="AR51" s="183">
        <f t="shared" si="29"/>
        <v>0</v>
      </c>
    </row>
    <row r="52" spans="1:44" ht="15" x14ac:dyDescent="0.25">
      <c r="A52" s="149" t="str">
        <f t="shared" si="15"/>
        <v>46198M</v>
      </c>
      <c r="B52" s="51">
        <f t="shared" si="35"/>
        <v>46198</v>
      </c>
      <c r="C52" s="158" t="s">
        <v>87</v>
      </c>
      <c r="D52" s="79"/>
      <c r="E52" s="62"/>
      <c r="F52" s="62"/>
      <c r="G52" s="170">
        <f t="shared" si="16"/>
        <v>0</v>
      </c>
      <c r="H52" s="171">
        <f t="shared" si="17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169">
        <f t="shared" si="18"/>
        <v>0</v>
      </c>
      <c r="S52" s="170">
        <f t="shared" si="19"/>
        <v>0</v>
      </c>
      <c r="T52" s="171">
        <f t="shared" si="20"/>
        <v>0</v>
      </c>
      <c r="U52" s="64"/>
      <c r="V52" s="65"/>
      <c r="W52" s="66"/>
      <c r="X52" s="67"/>
      <c r="Y52" s="68"/>
      <c r="Z52" s="68"/>
      <c r="AA52" s="62">
        <f t="shared" si="36"/>
        <v>0</v>
      </c>
      <c r="AB52" s="63">
        <f t="shared" si="37"/>
        <v>0</v>
      </c>
      <c r="AC52" s="176"/>
      <c r="AD52" s="177"/>
      <c r="AE52" s="177"/>
      <c r="AF52" s="170">
        <f t="shared" si="23"/>
        <v>0</v>
      </c>
      <c r="AG52" s="171">
        <f t="shared" si="24"/>
        <v>0</v>
      </c>
      <c r="AH52" s="71"/>
      <c r="AI52" s="66"/>
      <c r="AJ52" s="66"/>
      <c r="AK52" s="170">
        <f t="shared" si="30"/>
        <v>0</v>
      </c>
      <c r="AL52" s="179">
        <f t="shared" si="31"/>
        <v>0</v>
      </c>
      <c r="AM52" s="180">
        <f t="shared" si="32"/>
        <v>0</v>
      </c>
      <c r="AN52" s="181">
        <f t="shared" si="33"/>
        <v>0</v>
      </c>
      <c r="AO52" s="181">
        <f t="shared" si="34"/>
        <v>0</v>
      </c>
      <c r="AP52" s="182" t="e">
        <f t="shared" si="28"/>
        <v>#DIV/0!</v>
      </c>
      <c r="AQ52" s="76">
        <f t="shared" si="13"/>
        <v>0</v>
      </c>
      <c r="AR52" s="183">
        <f t="shared" si="29"/>
        <v>0</v>
      </c>
    </row>
    <row r="53" spans="1:44" ht="15" x14ac:dyDescent="0.25">
      <c r="A53" s="149" t="str">
        <f t="shared" si="15"/>
        <v>46198E</v>
      </c>
      <c r="B53" s="51">
        <f t="shared" si="35"/>
        <v>46198</v>
      </c>
      <c r="C53" s="158" t="s">
        <v>88</v>
      </c>
      <c r="D53" s="79"/>
      <c r="E53" s="62"/>
      <c r="F53" s="62"/>
      <c r="G53" s="170">
        <f t="shared" si="16"/>
        <v>0</v>
      </c>
      <c r="H53" s="171">
        <f t="shared" si="17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169">
        <f t="shared" si="18"/>
        <v>0</v>
      </c>
      <c r="S53" s="170">
        <f t="shared" si="19"/>
        <v>0</v>
      </c>
      <c r="T53" s="171">
        <f t="shared" si="20"/>
        <v>0</v>
      </c>
      <c r="U53" s="64"/>
      <c r="V53" s="65"/>
      <c r="W53" s="66"/>
      <c r="X53" s="67"/>
      <c r="Y53" s="68"/>
      <c r="Z53" s="68"/>
      <c r="AA53" s="62">
        <f t="shared" si="36"/>
        <v>0</v>
      </c>
      <c r="AB53" s="63">
        <f t="shared" si="37"/>
        <v>0</v>
      </c>
      <c r="AC53" s="176"/>
      <c r="AD53" s="177"/>
      <c r="AE53" s="177"/>
      <c r="AF53" s="170">
        <f t="shared" si="23"/>
        <v>0</v>
      </c>
      <c r="AG53" s="171">
        <f t="shared" si="24"/>
        <v>0</v>
      </c>
      <c r="AH53" s="71"/>
      <c r="AI53" s="66"/>
      <c r="AJ53" s="66"/>
      <c r="AK53" s="170">
        <f t="shared" si="30"/>
        <v>0</v>
      </c>
      <c r="AL53" s="179">
        <f t="shared" si="31"/>
        <v>0</v>
      </c>
      <c r="AM53" s="180">
        <f t="shared" si="32"/>
        <v>0</v>
      </c>
      <c r="AN53" s="181">
        <f t="shared" si="33"/>
        <v>0</v>
      </c>
      <c r="AO53" s="181">
        <f t="shared" si="34"/>
        <v>0</v>
      </c>
      <c r="AP53" s="182" t="e">
        <f t="shared" si="28"/>
        <v>#DIV/0!</v>
      </c>
      <c r="AQ53" s="76">
        <f t="shared" si="13"/>
        <v>0</v>
      </c>
      <c r="AR53" s="183">
        <f t="shared" si="29"/>
        <v>0</v>
      </c>
    </row>
    <row r="54" spans="1:44" ht="15" x14ac:dyDescent="0.25">
      <c r="A54" s="149" t="str">
        <f t="shared" si="15"/>
        <v>46199M</v>
      </c>
      <c r="B54" s="51">
        <f t="shared" si="35"/>
        <v>46199</v>
      </c>
      <c r="C54" s="158" t="s">
        <v>87</v>
      </c>
      <c r="D54" s="79"/>
      <c r="E54" s="62"/>
      <c r="F54" s="62"/>
      <c r="G54" s="170">
        <f t="shared" si="16"/>
        <v>0</v>
      </c>
      <c r="H54" s="171">
        <f t="shared" si="1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169">
        <f t="shared" si="18"/>
        <v>0</v>
      </c>
      <c r="S54" s="170">
        <f t="shared" si="19"/>
        <v>0</v>
      </c>
      <c r="T54" s="171">
        <f t="shared" si="20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176"/>
      <c r="AD54" s="177"/>
      <c r="AE54" s="177"/>
      <c r="AF54" s="170">
        <f t="shared" si="23"/>
        <v>0</v>
      </c>
      <c r="AG54" s="171">
        <f t="shared" si="24"/>
        <v>0</v>
      </c>
      <c r="AH54" s="71"/>
      <c r="AI54" s="66"/>
      <c r="AJ54" s="66"/>
      <c r="AK54" s="170">
        <f t="shared" si="30"/>
        <v>0</v>
      </c>
      <c r="AL54" s="179">
        <f t="shared" si="31"/>
        <v>0</v>
      </c>
      <c r="AM54" s="180">
        <f t="shared" si="32"/>
        <v>0</v>
      </c>
      <c r="AN54" s="181">
        <f t="shared" si="33"/>
        <v>0</v>
      </c>
      <c r="AO54" s="181">
        <f t="shared" si="34"/>
        <v>0</v>
      </c>
      <c r="AP54" s="182" t="e">
        <f t="shared" si="28"/>
        <v>#DIV/0!</v>
      </c>
      <c r="AQ54" s="76">
        <f t="shared" si="13"/>
        <v>0</v>
      </c>
      <c r="AR54" s="183">
        <f t="shared" si="29"/>
        <v>0</v>
      </c>
    </row>
    <row r="55" spans="1:44" ht="15" x14ac:dyDescent="0.25">
      <c r="A55" s="149" t="str">
        <f t="shared" si="15"/>
        <v>46199E</v>
      </c>
      <c r="B55" s="51">
        <f t="shared" si="35"/>
        <v>46199</v>
      </c>
      <c r="C55" s="158" t="s">
        <v>88</v>
      </c>
      <c r="D55" s="79"/>
      <c r="E55" s="62"/>
      <c r="F55" s="62"/>
      <c r="G55" s="170">
        <f t="shared" si="16"/>
        <v>0</v>
      </c>
      <c r="H55" s="171">
        <f t="shared" si="1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169">
        <f t="shared" si="18"/>
        <v>0</v>
      </c>
      <c r="S55" s="170">
        <f t="shared" si="19"/>
        <v>0</v>
      </c>
      <c r="T55" s="171">
        <f t="shared" si="20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176"/>
      <c r="AD55" s="177"/>
      <c r="AE55" s="177"/>
      <c r="AF55" s="170">
        <f t="shared" si="23"/>
        <v>0</v>
      </c>
      <c r="AG55" s="171">
        <f t="shared" si="24"/>
        <v>0</v>
      </c>
      <c r="AH55" s="71"/>
      <c r="AI55" s="66"/>
      <c r="AJ55" s="66"/>
      <c r="AK55" s="170">
        <f t="shared" si="30"/>
        <v>0</v>
      </c>
      <c r="AL55" s="179">
        <f t="shared" si="31"/>
        <v>0</v>
      </c>
      <c r="AM55" s="180">
        <f t="shared" si="32"/>
        <v>0</v>
      </c>
      <c r="AN55" s="181">
        <f t="shared" si="33"/>
        <v>0</v>
      </c>
      <c r="AO55" s="181">
        <f t="shared" si="34"/>
        <v>0</v>
      </c>
      <c r="AP55" s="182" t="e">
        <f t="shared" si="28"/>
        <v>#DIV/0!</v>
      </c>
      <c r="AQ55" s="76">
        <f t="shared" si="13"/>
        <v>0</v>
      </c>
      <c r="AR55" s="183">
        <f t="shared" si="29"/>
        <v>0</v>
      </c>
    </row>
    <row r="56" spans="1:44" ht="15" x14ac:dyDescent="0.25">
      <c r="A56" s="149" t="str">
        <f t="shared" si="15"/>
        <v>46200M</v>
      </c>
      <c r="B56" s="51">
        <f t="shared" si="35"/>
        <v>46200</v>
      </c>
      <c r="C56" s="158" t="s">
        <v>87</v>
      </c>
      <c r="D56" s="185"/>
      <c r="E56" s="170"/>
      <c r="F56" s="170"/>
      <c r="G56" s="170">
        <f t="shared" si="16"/>
        <v>0</v>
      </c>
      <c r="H56" s="171">
        <f t="shared" si="17"/>
        <v>0</v>
      </c>
      <c r="I56" s="161"/>
      <c r="J56" s="162"/>
      <c r="K56" s="163"/>
      <c r="L56" s="164"/>
      <c r="M56" s="58"/>
      <c r="N56" s="58"/>
      <c r="O56" s="59"/>
      <c r="P56" s="56"/>
      <c r="Q56" s="60"/>
      <c r="R56" s="169">
        <f t="shared" si="18"/>
        <v>0</v>
      </c>
      <c r="S56" s="170">
        <f t="shared" si="19"/>
        <v>0</v>
      </c>
      <c r="T56" s="171">
        <f t="shared" si="20"/>
        <v>0</v>
      </c>
      <c r="U56" s="172"/>
      <c r="V56" s="173"/>
      <c r="W56" s="160"/>
      <c r="X56" s="67"/>
      <c r="Y56" s="68"/>
      <c r="Z56" s="68"/>
      <c r="AA56" s="62">
        <f t="shared" ref="AA56:AA61" si="38">X56*Y56%</f>
        <v>0</v>
      </c>
      <c r="AB56" s="63">
        <f t="shared" si="37"/>
        <v>0</v>
      </c>
      <c r="AC56" s="176"/>
      <c r="AD56" s="177"/>
      <c r="AE56" s="177"/>
      <c r="AF56" s="170">
        <f t="shared" si="23"/>
        <v>0</v>
      </c>
      <c r="AG56" s="171">
        <f t="shared" si="24"/>
        <v>0</v>
      </c>
      <c r="AH56" s="159"/>
      <c r="AI56" s="160"/>
      <c r="AJ56" s="160"/>
      <c r="AK56" s="170">
        <f t="shared" si="30"/>
        <v>0</v>
      </c>
      <c r="AL56" s="179">
        <f t="shared" si="31"/>
        <v>0</v>
      </c>
      <c r="AM56" s="180">
        <f t="shared" si="32"/>
        <v>0</v>
      </c>
      <c r="AN56" s="181">
        <f t="shared" si="33"/>
        <v>0</v>
      </c>
      <c r="AO56" s="181">
        <f t="shared" si="34"/>
        <v>0</v>
      </c>
      <c r="AP56" s="182" t="e">
        <f t="shared" si="28"/>
        <v>#DIV/0!</v>
      </c>
      <c r="AQ56" s="76">
        <f t="shared" si="13"/>
        <v>0</v>
      </c>
      <c r="AR56" s="183">
        <f t="shared" si="29"/>
        <v>0</v>
      </c>
    </row>
    <row r="57" spans="1:44" ht="15" x14ac:dyDescent="0.25">
      <c r="A57" s="149" t="str">
        <f t="shared" si="15"/>
        <v>46200E</v>
      </c>
      <c r="B57" s="51">
        <f t="shared" si="35"/>
        <v>46200</v>
      </c>
      <c r="C57" s="158" t="s">
        <v>88</v>
      </c>
      <c r="D57" s="185"/>
      <c r="E57" s="170"/>
      <c r="F57" s="170"/>
      <c r="G57" s="170">
        <f t="shared" si="16"/>
        <v>0</v>
      </c>
      <c r="H57" s="171">
        <f t="shared" si="17"/>
        <v>0</v>
      </c>
      <c r="I57" s="161"/>
      <c r="J57" s="162"/>
      <c r="K57" s="163"/>
      <c r="L57" s="164"/>
      <c r="M57" s="58"/>
      <c r="N57" s="58"/>
      <c r="O57" s="59"/>
      <c r="P57" s="56"/>
      <c r="Q57" s="60"/>
      <c r="R57" s="169">
        <f t="shared" si="18"/>
        <v>0</v>
      </c>
      <c r="S57" s="170">
        <f t="shared" si="19"/>
        <v>0</v>
      </c>
      <c r="T57" s="171">
        <f t="shared" si="20"/>
        <v>0</v>
      </c>
      <c r="U57" s="172"/>
      <c r="V57" s="173"/>
      <c r="W57" s="160"/>
      <c r="X57" s="67"/>
      <c r="Y57" s="68"/>
      <c r="Z57" s="68"/>
      <c r="AA57" s="62">
        <f t="shared" si="38"/>
        <v>0</v>
      </c>
      <c r="AB57" s="63">
        <f t="shared" si="37"/>
        <v>0</v>
      </c>
      <c r="AC57" s="176"/>
      <c r="AD57" s="177"/>
      <c r="AE57" s="177"/>
      <c r="AF57" s="170">
        <f t="shared" si="23"/>
        <v>0</v>
      </c>
      <c r="AG57" s="171">
        <f t="shared" si="24"/>
        <v>0</v>
      </c>
      <c r="AH57" s="159"/>
      <c r="AI57" s="160"/>
      <c r="AJ57" s="160"/>
      <c r="AK57" s="170">
        <f t="shared" si="30"/>
        <v>0</v>
      </c>
      <c r="AL57" s="179">
        <f t="shared" si="31"/>
        <v>0</v>
      </c>
      <c r="AM57" s="180">
        <f t="shared" si="32"/>
        <v>0</v>
      </c>
      <c r="AN57" s="181">
        <f t="shared" si="33"/>
        <v>0</v>
      </c>
      <c r="AO57" s="181">
        <f t="shared" si="34"/>
        <v>0</v>
      </c>
      <c r="AP57" s="182" t="e">
        <f t="shared" si="28"/>
        <v>#DIV/0!</v>
      </c>
      <c r="AQ57" s="76">
        <f t="shared" si="13"/>
        <v>0</v>
      </c>
      <c r="AR57" s="183">
        <f t="shared" si="29"/>
        <v>0</v>
      </c>
    </row>
    <row r="58" spans="1:44" ht="15" x14ac:dyDescent="0.25">
      <c r="A58" s="149" t="str">
        <f t="shared" si="15"/>
        <v>46201M</v>
      </c>
      <c r="B58" s="51">
        <f t="shared" si="35"/>
        <v>46201</v>
      </c>
      <c r="C58" s="158" t="s">
        <v>87</v>
      </c>
      <c r="D58" s="185"/>
      <c r="E58" s="170"/>
      <c r="F58" s="170"/>
      <c r="G58" s="170">
        <f t="shared" si="16"/>
        <v>0</v>
      </c>
      <c r="H58" s="171">
        <f t="shared" si="17"/>
        <v>0</v>
      </c>
      <c r="I58" s="161"/>
      <c r="J58" s="162"/>
      <c r="K58" s="163"/>
      <c r="L58" s="164"/>
      <c r="M58" s="58"/>
      <c r="N58" s="58"/>
      <c r="O58" s="59"/>
      <c r="P58" s="56"/>
      <c r="Q58" s="60"/>
      <c r="R58" s="169">
        <f t="shared" si="18"/>
        <v>0</v>
      </c>
      <c r="S58" s="170">
        <f t="shared" si="19"/>
        <v>0</v>
      </c>
      <c r="T58" s="171">
        <f t="shared" si="20"/>
        <v>0</v>
      </c>
      <c r="U58" s="172"/>
      <c r="V58" s="173"/>
      <c r="W58" s="160"/>
      <c r="X58" s="67"/>
      <c r="Y58" s="68"/>
      <c r="Z58" s="68"/>
      <c r="AA58" s="62">
        <f t="shared" si="38"/>
        <v>0</v>
      </c>
      <c r="AB58" s="63">
        <f t="shared" si="37"/>
        <v>0</v>
      </c>
      <c r="AC58" s="176"/>
      <c r="AD58" s="177"/>
      <c r="AE58" s="177"/>
      <c r="AF58" s="170">
        <f t="shared" si="23"/>
        <v>0</v>
      </c>
      <c r="AG58" s="171">
        <f t="shared" si="24"/>
        <v>0</v>
      </c>
      <c r="AH58" s="159"/>
      <c r="AI58" s="160"/>
      <c r="AJ58" s="160"/>
      <c r="AK58" s="170">
        <f t="shared" si="30"/>
        <v>0</v>
      </c>
      <c r="AL58" s="179">
        <f t="shared" si="31"/>
        <v>0</v>
      </c>
      <c r="AM58" s="180">
        <f t="shared" si="32"/>
        <v>0</v>
      </c>
      <c r="AN58" s="181">
        <f t="shared" si="33"/>
        <v>0</v>
      </c>
      <c r="AO58" s="181">
        <f t="shared" si="34"/>
        <v>0</v>
      </c>
      <c r="AP58" s="182" t="e">
        <f t="shared" si="28"/>
        <v>#DIV/0!</v>
      </c>
      <c r="AQ58" s="76">
        <f t="shared" si="13"/>
        <v>0</v>
      </c>
      <c r="AR58" s="183">
        <f t="shared" si="29"/>
        <v>0</v>
      </c>
    </row>
    <row r="59" spans="1:44" ht="15" x14ac:dyDescent="0.25">
      <c r="A59" s="149" t="str">
        <f t="shared" si="15"/>
        <v>46201E</v>
      </c>
      <c r="B59" s="51">
        <f t="shared" si="35"/>
        <v>46201</v>
      </c>
      <c r="C59" s="158" t="s">
        <v>88</v>
      </c>
      <c r="D59" s="185"/>
      <c r="E59" s="170"/>
      <c r="F59" s="170"/>
      <c r="G59" s="170">
        <f t="shared" si="16"/>
        <v>0</v>
      </c>
      <c r="H59" s="171">
        <f t="shared" si="17"/>
        <v>0</v>
      </c>
      <c r="I59" s="161"/>
      <c r="J59" s="162"/>
      <c r="K59" s="163"/>
      <c r="L59" s="164"/>
      <c r="M59" s="58"/>
      <c r="N59" s="58"/>
      <c r="O59" s="59"/>
      <c r="P59" s="56"/>
      <c r="Q59" s="60"/>
      <c r="R59" s="169">
        <f t="shared" si="18"/>
        <v>0</v>
      </c>
      <c r="S59" s="170">
        <f t="shared" si="19"/>
        <v>0</v>
      </c>
      <c r="T59" s="171">
        <f t="shared" si="20"/>
        <v>0</v>
      </c>
      <c r="U59" s="172"/>
      <c r="V59" s="173"/>
      <c r="W59" s="160"/>
      <c r="X59" s="67"/>
      <c r="Y59" s="68"/>
      <c r="Z59" s="68"/>
      <c r="AA59" s="62">
        <f t="shared" si="38"/>
        <v>0</v>
      </c>
      <c r="AB59" s="63">
        <f t="shared" si="37"/>
        <v>0</v>
      </c>
      <c r="AC59" s="176"/>
      <c r="AD59" s="177"/>
      <c r="AE59" s="177"/>
      <c r="AF59" s="170">
        <f t="shared" si="23"/>
        <v>0</v>
      </c>
      <c r="AG59" s="171">
        <f t="shared" si="24"/>
        <v>0</v>
      </c>
      <c r="AH59" s="159"/>
      <c r="AI59" s="160"/>
      <c r="AJ59" s="160"/>
      <c r="AK59" s="170">
        <f t="shared" si="30"/>
        <v>0</v>
      </c>
      <c r="AL59" s="179">
        <f t="shared" si="31"/>
        <v>0</v>
      </c>
      <c r="AM59" s="180">
        <f t="shared" si="32"/>
        <v>0</v>
      </c>
      <c r="AN59" s="181">
        <f t="shared" si="33"/>
        <v>0</v>
      </c>
      <c r="AO59" s="181">
        <f t="shared" si="34"/>
        <v>0</v>
      </c>
      <c r="AP59" s="182" t="e">
        <f t="shared" si="28"/>
        <v>#DIV/0!</v>
      </c>
      <c r="AQ59" s="76">
        <f t="shared" si="13"/>
        <v>0</v>
      </c>
      <c r="AR59" s="183">
        <f t="shared" si="29"/>
        <v>0</v>
      </c>
    </row>
    <row r="60" spans="1:44" ht="15" x14ac:dyDescent="0.25">
      <c r="A60" s="149" t="str">
        <f t="shared" si="15"/>
        <v>46202M</v>
      </c>
      <c r="B60" s="51">
        <f t="shared" si="35"/>
        <v>46202</v>
      </c>
      <c r="C60" s="158" t="s">
        <v>87</v>
      </c>
      <c r="D60" s="185"/>
      <c r="E60" s="170"/>
      <c r="F60" s="170"/>
      <c r="G60" s="170">
        <f t="shared" si="16"/>
        <v>0</v>
      </c>
      <c r="H60" s="171">
        <f t="shared" si="17"/>
        <v>0</v>
      </c>
      <c r="I60" s="161"/>
      <c r="J60" s="162"/>
      <c r="K60" s="163"/>
      <c r="L60" s="164"/>
      <c r="M60" s="58"/>
      <c r="N60" s="58"/>
      <c r="O60" s="59"/>
      <c r="P60" s="56"/>
      <c r="Q60" s="60"/>
      <c r="R60" s="169">
        <f t="shared" si="18"/>
        <v>0</v>
      </c>
      <c r="S60" s="170">
        <f t="shared" si="19"/>
        <v>0</v>
      </c>
      <c r="T60" s="171">
        <f t="shared" si="20"/>
        <v>0</v>
      </c>
      <c r="U60" s="172"/>
      <c r="V60" s="173"/>
      <c r="W60" s="160"/>
      <c r="X60" s="67"/>
      <c r="Y60" s="68"/>
      <c r="Z60" s="68"/>
      <c r="AA60" s="62">
        <f t="shared" si="38"/>
        <v>0</v>
      </c>
      <c r="AB60" s="63">
        <f t="shared" si="37"/>
        <v>0</v>
      </c>
      <c r="AC60" s="176"/>
      <c r="AD60" s="177"/>
      <c r="AE60" s="177"/>
      <c r="AF60" s="170">
        <f t="shared" si="23"/>
        <v>0</v>
      </c>
      <c r="AG60" s="171">
        <f t="shared" si="24"/>
        <v>0</v>
      </c>
      <c r="AH60" s="159"/>
      <c r="AI60" s="160"/>
      <c r="AJ60" s="160"/>
      <c r="AK60" s="170">
        <f t="shared" si="30"/>
        <v>0</v>
      </c>
      <c r="AL60" s="179">
        <f t="shared" si="31"/>
        <v>0</v>
      </c>
      <c r="AM60" s="180">
        <f t="shared" si="32"/>
        <v>0</v>
      </c>
      <c r="AN60" s="181">
        <f t="shared" si="33"/>
        <v>0</v>
      </c>
      <c r="AO60" s="181">
        <f t="shared" si="34"/>
        <v>0</v>
      </c>
      <c r="AP60" s="182" t="e">
        <f t="shared" si="28"/>
        <v>#DIV/0!</v>
      </c>
      <c r="AQ60" s="76">
        <f t="shared" si="13"/>
        <v>0</v>
      </c>
      <c r="AR60" s="183">
        <f t="shared" si="29"/>
        <v>0</v>
      </c>
    </row>
    <row r="61" spans="1:44" ht="15" x14ac:dyDescent="0.25">
      <c r="A61" s="149" t="str">
        <f t="shared" si="15"/>
        <v>46202E</v>
      </c>
      <c r="B61" s="51">
        <f t="shared" si="35"/>
        <v>46202</v>
      </c>
      <c r="C61" s="158" t="s">
        <v>88</v>
      </c>
      <c r="D61" s="185"/>
      <c r="E61" s="170"/>
      <c r="F61" s="170"/>
      <c r="G61" s="170">
        <f t="shared" si="16"/>
        <v>0</v>
      </c>
      <c r="H61" s="171">
        <f t="shared" si="17"/>
        <v>0</v>
      </c>
      <c r="I61" s="161"/>
      <c r="J61" s="162"/>
      <c r="K61" s="163"/>
      <c r="L61" s="164"/>
      <c r="M61" s="58"/>
      <c r="N61" s="58"/>
      <c r="O61" s="59"/>
      <c r="P61" s="56"/>
      <c r="Q61" s="60"/>
      <c r="R61" s="169">
        <f t="shared" si="18"/>
        <v>0</v>
      </c>
      <c r="S61" s="170">
        <f t="shared" si="19"/>
        <v>0</v>
      </c>
      <c r="T61" s="171">
        <f t="shared" si="20"/>
        <v>0</v>
      </c>
      <c r="U61" s="172"/>
      <c r="V61" s="173"/>
      <c r="W61" s="160"/>
      <c r="X61" s="67"/>
      <c r="Y61" s="68"/>
      <c r="Z61" s="68"/>
      <c r="AA61" s="62">
        <f t="shared" si="38"/>
        <v>0</v>
      </c>
      <c r="AB61" s="63">
        <f t="shared" si="37"/>
        <v>0</v>
      </c>
      <c r="AC61" s="176"/>
      <c r="AD61" s="177"/>
      <c r="AE61" s="177"/>
      <c r="AF61" s="170">
        <f t="shared" si="23"/>
        <v>0</v>
      </c>
      <c r="AG61" s="171">
        <f t="shared" si="24"/>
        <v>0</v>
      </c>
      <c r="AH61" s="159"/>
      <c r="AI61" s="160"/>
      <c r="AJ61" s="160"/>
      <c r="AK61" s="170">
        <f t="shared" si="30"/>
        <v>0</v>
      </c>
      <c r="AL61" s="179">
        <f t="shared" si="31"/>
        <v>0</v>
      </c>
      <c r="AM61" s="180">
        <f t="shared" si="32"/>
        <v>0</v>
      </c>
      <c r="AN61" s="181">
        <f t="shared" si="33"/>
        <v>0</v>
      </c>
      <c r="AO61" s="181">
        <f t="shared" si="34"/>
        <v>0</v>
      </c>
      <c r="AP61" s="182" t="e">
        <f t="shared" si="28"/>
        <v>#DIV/0!</v>
      </c>
      <c r="AQ61" s="76">
        <f t="shared" si="13"/>
        <v>0</v>
      </c>
      <c r="AR61" s="183">
        <f t="shared" si="29"/>
        <v>0</v>
      </c>
    </row>
    <row r="62" spans="1:44" ht="15" x14ac:dyDescent="0.25">
      <c r="A62" s="149" t="str">
        <f t="shared" si="15"/>
        <v>46203M</v>
      </c>
      <c r="B62" s="51">
        <f t="shared" si="35"/>
        <v>46203</v>
      </c>
      <c r="C62" s="158" t="s">
        <v>87</v>
      </c>
      <c r="D62" s="185"/>
      <c r="E62" s="170"/>
      <c r="F62" s="170"/>
      <c r="G62" s="170">
        <f t="shared" si="16"/>
        <v>0</v>
      </c>
      <c r="H62" s="171">
        <f t="shared" si="17"/>
        <v>0</v>
      </c>
      <c r="I62" s="161"/>
      <c r="J62" s="162"/>
      <c r="K62" s="163"/>
      <c r="L62" s="164"/>
      <c r="M62" s="58"/>
      <c r="N62" s="58"/>
      <c r="O62" s="59"/>
      <c r="P62" s="56"/>
      <c r="Q62" s="60"/>
      <c r="R62" s="169">
        <f t="shared" si="18"/>
        <v>0</v>
      </c>
      <c r="S62" s="170">
        <f t="shared" si="19"/>
        <v>0</v>
      </c>
      <c r="T62" s="171">
        <f t="shared" si="20"/>
        <v>0</v>
      </c>
      <c r="U62" s="172"/>
      <c r="V62" s="173"/>
      <c r="W62" s="160"/>
      <c r="X62" s="67"/>
      <c r="Y62" s="68"/>
      <c r="Z62" s="68"/>
      <c r="AA62" s="62">
        <f t="shared" ref="AA62:AA65" si="39">X62*Y62%</f>
        <v>0</v>
      </c>
      <c r="AB62" s="63">
        <f t="shared" si="37"/>
        <v>0</v>
      </c>
      <c r="AC62" s="176"/>
      <c r="AD62" s="177"/>
      <c r="AE62" s="177"/>
      <c r="AF62" s="170">
        <f t="shared" si="23"/>
        <v>0</v>
      </c>
      <c r="AG62" s="171">
        <f t="shared" si="24"/>
        <v>0</v>
      </c>
      <c r="AH62" s="159"/>
      <c r="AI62" s="160"/>
      <c r="AJ62" s="160"/>
      <c r="AK62" s="170">
        <f t="shared" si="30"/>
        <v>0</v>
      </c>
      <c r="AL62" s="179">
        <f t="shared" si="31"/>
        <v>0</v>
      </c>
      <c r="AM62" s="180">
        <f t="shared" si="32"/>
        <v>0</v>
      </c>
      <c r="AN62" s="181">
        <f t="shared" si="33"/>
        <v>0</v>
      </c>
      <c r="AO62" s="181">
        <f t="shared" si="34"/>
        <v>0</v>
      </c>
      <c r="AP62" s="182" t="e">
        <f t="shared" ref="AP62:AP65" si="40">(AN62+AO62)/(S62+T62)</f>
        <v>#DIV/0!</v>
      </c>
      <c r="AQ62" s="76">
        <f t="shared" si="13"/>
        <v>0</v>
      </c>
      <c r="AR62" s="183">
        <f t="shared" si="29"/>
        <v>0</v>
      </c>
    </row>
    <row r="63" spans="1:44" ht="15" x14ac:dyDescent="0.25">
      <c r="A63" s="149" t="str">
        <f t="shared" si="15"/>
        <v>46203E</v>
      </c>
      <c r="B63" s="51">
        <f t="shared" si="35"/>
        <v>46203</v>
      </c>
      <c r="C63" s="158" t="s">
        <v>88</v>
      </c>
      <c r="D63" s="185"/>
      <c r="E63" s="170"/>
      <c r="F63" s="170"/>
      <c r="G63" s="170">
        <f t="shared" si="16"/>
        <v>0</v>
      </c>
      <c r="H63" s="171">
        <f t="shared" si="17"/>
        <v>0</v>
      </c>
      <c r="I63" s="161"/>
      <c r="J63" s="162"/>
      <c r="K63" s="163"/>
      <c r="L63" s="164"/>
      <c r="M63" s="58"/>
      <c r="N63" s="58"/>
      <c r="O63" s="59"/>
      <c r="P63" s="56"/>
      <c r="Q63" s="60"/>
      <c r="R63" s="169">
        <f t="shared" si="18"/>
        <v>0</v>
      </c>
      <c r="S63" s="170">
        <f t="shared" si="19"/>
        <v>0</v>
      </c>
      <c r="T63" s="171">
        <f t="shared" si="20"/>
        <v>0</v>
      </c>
      <c r="U63" s="172"/>
      <c r="V63" s="173"/>
      <c r="W63" s="160"/>
      <c r="X63" s="67"/>
      <c r="Y63" s="68"/>
      <c r="Z63" s="68"/>
      <c r="AA63" s="62">
        <f t="shared" si="39"/>
        <v>0</v>
      </c>
      <c r="AB63" s="63">
        <f t="shared" si="37"/>
        <v>0</v>
      </c>
      <c r="AC63" s="176"/>
      <c r="AD63" s="177"/>
      <c r="AE63" s="177"/>
      <c r="AF63" s="170">
        <f t="shared" si="23"/>
        <v>0</v>
      </c>
      <c r="AG63" s="171">
        <f t="shared" si="24"/>
        <v>0</v>
      </c>
      <c r="AH63" s="159"/>
      <c r="AI63" s="160"/>
      <c r="AJ63" s="160"/>
      <c r="AK63" s="170">
        <f t="shared" si="30"/>
        <v>0</v>
      </c>
      <c r="AL63" s="179">
        <f t="shared" si="31"/>
        <v>0</v>
      </c>
      <c r="AM63" s="180">
        <f t="shared" si="32"/>
        <v>0</v>
      </c>
      <c r="AN63" s="181">
        <f t="shared" si="33"/>
        <v>0</v>
      </c>
      <c r="AO63" s="181">
        <f t="shared" si="34"/>
        <v>0</v>
      </c>
      <c r="AP63" s="182" t="e">
        <f t="shared" si="40"/>
        <v>#DIV/0!</v>
      </c>
      <c r="AQ63" s="76">
        <f t="shared" si="13"/>
        <v>0</v>
      </c>
      <c r="AR63" s="183">
        <f t="shared" si="29"/>
        <v>0</v>
      </c>
    </row>
    <row r="64" spans="1:44" ht="15" x14ac:dyDescent="0.25">
      <c r="A64" s="149" t="str">
        <f t="shared" si="15"/>
        <v>46204M</v>
      </c>
      <c r="B64" s="51">
        <f t="shared" si="35"/>
        <v>46204</v>
      </c>
      <c r="C64" s="158" t="s">
        <v>87</v>
      </c>
      <c r="D64" s="185"/>
      <c r="E64" s="170"/>
      <c r="F64" s="170"/>
      <c r="G64" s="170">
        <f t="shared" si="16"/>
        <v>0</v>
      </c>
      <c r="H64" s="171">
        <f t="shared" si="17"/>
        <v>0</v>
      </c>
      <c r="I64" s="161"/>
      <c r="J64" s="162"/>
      <c r="K64" s="163"/>
      <c r="L64" s="164"/>
      <c r="M64" s="58"/>
      <c r="N64" s="58"/>
      <c r="O64" s="59"/>
      <c r="P64" s="56"/>
      <c r="Q64" s="60"/>
      <c r="R64" s="169">
        <f t="shared" si="18"/>
        <v>0</v>
      </c>
      <c r="S64" s="170">
        <f t="shared" si="19"/>
        <v>0</v>
      </c>
      <c r="T64" s="171">
        <f t="shared" si="20"/>
        <v>0</v>
      </c>
      <c r="U64" s="172"/>
      <c r="V64" s="173"/>
      <c r="W64" s="160"/>
      <c r="X64" s="67"/>
      <c r="Y64" s="68"/>
      <c r="Z64" s="68"/>
      <c r="AA64" s="62">
        <f t="shared" si="39"/>
        <v>0</v>
      </c>
      <c r="AB64" s="63">
        <f t="shared" si="37"/>
        <v>0</v>
      </c>
      <c r="AC64" s="176"/>
      <c r="AD64" s="177"/>
      <c r="AE64" s="177"/>
      <c r="AF64" s="170">
        <f t="shared" si="23"/>
        <v>0</v>
      </c>
      <c r="AG64" s="171">
        <f t="shared" si="24"/>
        <v>0</v>
      </c>
      <c r="AH64" s="159"/>
      <c r="AI64" s="160"/>
      <c r="AJ64" s="160"/>
      <c r="AK64" s="170">
        <f t="shared" si="30"/>
        <v>0</v>
      </c>
      <c r="AL64" s="179">
        <f t="shared" si="31"/>
        <v>0</v>
      </c>
      <c r="AM64" s="180">
        <f t="shared" si="32"/>
        <v>0</v>
      </c>
      <c r="AN64" s="181">
        <f t="shared" si="33"/>
        <v>0</v>
      </c>
      <c r="AO64" s="181">
        <f t="shared" si="34"/>
        <v>0</v>
      </c>
      <c r="AP64" s="182" t="e">
        <f t="shared" si="40"/>
        <v>#DIV/0!</v>
      </c>
      <c r="AQ64" s="76">
        <f t="shared" si="13"/>
        <v>0</v>
      </c>
      <c r="AR64" s="183">
        <f t="shared" si="29"/>
        <v>0</v>
      </c>
    </row>
    <row r="65" spans="1:44" ht="15" x14ac:dyDescent="0.25">
      <c r="A65" s="149" t="str">
        <f t="shared" si="15"/>
        <v>46204E</v>
      </c>
      <c r="B65" s="51">
        <f t="shared" si="35"/>
        <v>46204</v>
      </c>
      <c r="C65" s="158" t="s">
        <v>88</v>
      </c>
      <c r="D65" s="185"/>
      <c r="E65" s="170"/>
      <c r="F65" s="170"/>
      <c r="G65" s="170">
        <f t="shared" si="16"/>
        <v>0</v>
      </c>
      <c r="H65" s="171">
        <f t="shared" si="17"/>
        <v>0</v>
      </c>
      <c r="I65" s="161"/>
      <c r="J65" s="162"/>
      <c r="K65" s="163"/>
      <c r="L65" s="164"/>
      <c r="M65" s="58"/>
      <c r="N65" s="58"/>
      <c r="O65" s="59"/>
      <c r="P65" s="56"/>
      <c r="Q65" s="60"/>
      <c r="R65" s="169">
        <f t="shared" si="18"/>
        <v>0</v>
      </c>
      <c r="S65" s="170">
        <f t="shared" si="19"/>
        <v>0</v>
      </c>
      <c r="T65" s="171">
        <f t="shared" si="20"/>
        <v>0</v>
      </c>
      <c r="U65" s="172"/>
      <c r="V65" s="173"/>
      <c r="W65" s="160"/>
      <c r="X65" s="67"/>
      <c r="Y65" s="68"/>
      <c r="Z65" s="68"/>
      <c r="AA65" s="62">
        <f t="shared" si="39"/>
        <v>0</v>
      </c>
      <c r="AB65" s="63">
        <f t="shared" ref="AB65" si="41">X65*Z65%</f>
        <v>0</v>
      </c>
      <c r="AC65" s="176"/>
      <c r="AD65" s="177"/>
      <c r="AE65" s="177"/>
      <c r="AF65" s="170">
        <f t="shared" si="23"/>
        <v>0</v>
      </c>
      <c r="AG65" s="171">
        <f t="shared" si="24"/>
        <v>0</v>
      </c>
      <c r="AH65" s="159"/>
      <c r="AI65" s="160"/>
      <c r="AJ65" s="160"/>
      <c r="AK65" s="170">
        <f t="shared" si="30"/>
        <v>0</v>
      </c>
      <c r="AL65" s="179">
        <f t="shared" si="31"/>
        <v>0</v>
      </c>
      <c r="AM65" s="180">
        <f t="shared" si="32"/>
        <v>0</v>
      </c>
      <c r="AN65" s="181">
        <f t="shared" si="33"/>
        <v>0</v>
      </c>
      <c r="AO65" s="181">
        <f t="shared" si="34"/>
        <v>0</v>
      </c>
      <c r="AP65" s="182" t="e">
        <f t="shared" si="40"/>
        <v>#DIV/0!</v>
      </c>
      <c r="AQ65" s="76">
        <f t="shared" si="13"/>
        <v>0</v>
      </c>
      <c r="AR65" s="183">
        <f t="shared" si="29"/>
        <v>0</v>
      </c>
    </row>
    <row r="66" spans="1:44" x14ac:dyDescent="0.2">
      <c r="J66" s="191">
        <f>SUM(J4:J65)</f>
        <v>216519.802</v>
      </c>
      <c r="AM66" s="191">
        <f>-SUM(AM4:AM65)</f>
        <v>943.19799999998554</v>
      </c>
      <c r="AN66" s="191">
        <f t="shared" ref="AN66:AO66" si="42">-SUM(AN4:AN65)</f>
        <v>162.51817149999926</v>
      </c>
      <c r="AO66" s="191">
        <f t="shared" si="42"/>
        <v>87.676562499997772</v>
      </c>
      <c r="AQ66" s="191">
        <f>-SUM(AQ4:AQ65)</f>
        <v>99195.289482647306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4" priority="6" operator="lessThan">
      <formula>0.1</formula>
    </cfRule>
    <cfRule type="cellIs" dxfId="63" priority="7" operator="greaterThan">
      <formula>0.1</formula>
    </cfRule>
  </conditionalFormatting>
  <conditionalFormatting sqref="AP1:AQ1">
    <cfRule type="cellIs" dxfId="62" priority="5" operator="lessThan">
      <formula>1</formula>
    </cfRule>
  </conditionalFormatting>
  <conditionalFormatting sqref="AQ4:AQ65">
    <cfRule type="cellIs" dxfId="61" priority="1" operator="lessThan">
      <formula>0</formula>
    </cfRule>
    <cfRule type="cellIs" dxfId="60" priority="2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66"/>
  <sheetViews>
    <sheetView topLeftCell="A7" zoomScale="80" zoomScaleNormal="80" workbookViewId="0">
      <selection activeCell="AC38" sqref="AC38:AE38"/>
    </sheetView>
  </sheetViews>
  <sheetFormatPr defaultRowHeight="15" x14ac:dyDescent="0.25"/>
  <cols>
    <col min="1" max="1" width="5" customWidth="1"/>
    <col min="2" max="2" width="9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176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3">
        <v>0</v>
      </c>
      <c r="E4" s="55">
        <v>0</v>
      </c>
      <c r="F4" s="55">
        <v>0</v>
      </c>
      <c r="G4" s="170">
        <f t="shared" ref="G4:G65" si="0">+D4*E4%</f>
        <v>0</v>
      </c>
      <c r="H4" s="171">
        <f t="shared" ref="H4:H65" si="1">+D4*F4%</f>
        <v>0</v>
      </c>
      <c r="I4" s="119">
        <v>1036.9000000000001</v>
      </c>
      <c r="J4" s="120">
        <v>1068.0070000000001</v>
      </c>
      <c r="K4" s="121">
        <v>5.0297135692930848</v>
      </c>
      <c r="L4" s="122">
        <v>8.5262031054103566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1068.0070000000001</v>
      </c>
      <c r="S4" s="62">
        <f t="shared" ref="S4:S65" si="2">+J4*K4%+O4*P4%</f>
        <v>53.717692999999997</v>
      </c>
      <c r="T4" s="63">
        <f t="shared" ref="T4:T65" si="3">+J4*L4%+O4*Q4%</f>
        <v>91.060445999999999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56" si="4">X4*Y4%</f>
        <v>0</v>
      </c>
      <c r="AB4" s="63">
        <f t="shared" ref="AB4:AB56" si="5">X4*Z4%</f>
        <v>0</v>
      </c>
      <c r="AC4" s="69"/>
      <c r="AD4" s="70"/>
      <c r="AE4" s="70"/>
      <c r="AF4" s="62">
        <f t="shared" ref="AF4:AF65" si="6">AC4*AD4%</f>
        <v>0</v>
      </c>
      <c r="AG4" s="63">
        <f>AC4*AE4%</f>
        <v>0</v>
      </c>
      <c r="AH4" s="89">
        <v>1068</v>
      </c>
      <c r="AI4" s="66">
        <v>5.03</v>
      </c>
      <c r="AJ4" s="66">
        <v>8.5299999999999994</v>
      </c>
      <c r="AK4" s="62">
        <f t="shared" ref="AK4:AK65" si="7">AH4*AI4%</f>
        <v>53.720400000000005</v>
      </c>
      <c r="AL4" s="72">
        <f t="shared" ref="AL4:AL65" si="8">AH4*AJ4%</f>
        <v>91.100399999999979</v>
      </c>
      <c r="AM4" s="73">
        <f>+D4+R4-AC4-AH4</f>
        <v>7.0000000000618456E-3</v>
      </c>
      <c r="AN4" s="74">
        <f t="shared" ref="AN4:AO19" si="9">+G4+S4-AF4-AK4</f>
        <v>-2.7070000000080086E-3</v>
      </c>
      <c r="AO4" s="74">
        <f t="shared" si="9"/>
        <v>-3.9953999999980283E-2</v>
      </c>
      <c r="AP4" s="75">
        <f>(AN4+AO4)/(S4+T4)</f>
        <v>-2.9466465237537202E-4</v>
      </c>
      <c r="AQ4" s="76">
        <f t="shared" ref="AQ4:AQ65" si="10">($AP$1*AN4+$AQ$1*AO4)</f>
        <v>-13.172366129997696</v>
      </c>
      <c r="AR4" s="83">
        <f>(D4+J4+O4)-(X4+AH4)</f>
        <v>7.0000000000618456E-3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1068</v>
      </c>
      <c r="E5" s="62">
        <v>5.03</v>
      </c>
      <c r="F5" s="62">
        <v>8.5299999999999994</v>
      </c>
      <c r="G5" s="170">
        <f t="shared" si="0"/>
        <v>53.720400000000005</v>
      </c>
      <c r="H5" s="171">
        <f t="shared" si="1"/>
        <v>91.100399999999979</v>
      </c>
      <c r="I5" s="119">
        <v>895.2</v>
      </c>
      <c r="J5" s="120">
        <v>922.05600000000004</v>
      </c>
      <c r="K5" s="121">
        <v>4.7319146559428065</v>
      </c>
      <c r="L5" s="122">
        <v>8.4335232350312772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922.05600000000004</v>
      </c>
      <c r="S5" s="62">
        <f t="shared" si="2"/>
        <v>43.630903000000004</v>
      </c>
      <c r="T5" s="63">
        <f t="shared" si="3"/>
        <v>77.761807000000005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ref="AG5:AG65" si="13">AC5*AE5%</f>
        <v>0</v>
      </c>
      <c r="AH5" s="97">
        <v>1990</v>
      </c>
      <c r="AI5" s="66">
        <v>4.8899999999999997</v>
      </c>
      <c r="AJ5" s="66">
        <v>8.48</v>
      </c>
      <c r="AK5" s="62">
        <f t="shared" si="7"/>
        <v>97.310999999999993</v>
      </c>
      <c r="AL5" s="72">
        <f t="shared" si="8"/>
        <v>168.75200000000001</v>
      </c>
      <c r="AM5" s="73">
        <f t="shared" ref="AM5:AM65" si="14">+D5+R5-AC5-AH5</f>
        <v>5.6000000000040018E-2</v>
      </c>
      <c r="AN5" s="74">
        <f t="shared" si="9"/>
        <v>4.0303000000008637E-2</v>
      </c>
      <c r="AO5" s="74">
        <f t="shared" si="9"/>
        <v>0.11020699999997419</v>
      </c>
      <c r="AP5" s="75">
        <f t="shared" ref="AP5:AP65" si="15">(AN5+AO5)/(S5+T5)</f>
        <v>1.2398602848555141E-3</v>
      </c>
      <c r="AQ5" s="76">
        <f t="shared" si="10"/>
        <v>51.074435976662826</v>
      </c>
      <c r="AR5" s="83">
        <f t="shared" ref="AR5:AR65" si="16">(D5+J5+O5)-(X5+AH5)</f>
        <v>5.6000000000040018E-2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79">
        <v>1990</v>
      </c>
      <c r="E6" s="62">
        <v>4.8899999999999997</v>
      </c>
      <c r="F6" s="62">
        <v>8.48</v>
      </c>
      <c r="G6" s="170">
        <f t="shared" si="0"/>
        <v>97.310999999999993</v>
      </c>
      <c r="H6" s="171">
        <f t="shared" si="1"/>
        <v>168.75200000000001</v>
      </c>
      <c r="I6" s="119">
        <v>1223.3999999999999</v>
      </c>
      <c r="J6" s="120">
        <v>1260.1019999999999</v>
      </c>
      <c r="K6" s="121">
        <v>5.060724211214648</v>
      </c>
      <c r="L6" s="122">
        <v>8.520107896027465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1260.1019999999999</v>
      </c>
      <c r="S6" s="62">
        <f t="shared" si="2"/>
        <v>63.770287000000003</v>
      </c>
      <c r="T6" s="63">
        <f t="shared" si="3"/>
        <v>107.36205</v>
      </c>
      <c r="U6" s="64" t="s">
        <v>167</v>
      </c>
      <c r="V6" s="65" t="s">
        <v>167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13"/>
        <v>0</v>
      </c>
      <c r="AH6" s="97">
        <v>3250.1</v>
      </c>
      <c r="AI6" s="66">
        <v>4.96</v>
      </c>
      <c r="AJ6" s="66">
        <v>8.5</v>
      </c>
      <c r="AK6" s="62">
        <f t="shared" si="7"/>
        <v>161.20496</v>
      </c>
      <c r="AL6" s="72">
        <f t="shared" si="8"/>
        <v>276.25850000000003</v>
      </c>
      <c r="AM6" s="73">
        <f t="shared" si="14"/>
        <v>1.9999999999527063E-3</v>
      </c>
      <c r="AN6" s="74">
        <f t="shared" si="9"/>
        <v>-0.12367299999999659</v>
      </c>
      <c r="AO6" s="74">
        <f t="shared" si="9"/>
        <v>-0.14445000000000618</v>
      </c>
      <c r="AP6" s="75">
        <f t="shared" si="15"/>
        <v>-1.5667582451118094E-3</v>
      </c>
      <c r="AQ6" s="76">
        <f t="shared" si="10"/>
        <v>-98.748079430000331</v>
      </c>
      <c r="AR6" s="83">
        <f t="shared" si="16"/>
        <v>1.9999999999527063E-3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79">
        <v>3250.1</v>
      </c>
      <c r="E7" s="62">
        <v>4.96</v>
      </c>
      <c r="F7" s="62">
        <v>8.5</v>
      </c>
      <c r="G7" s="170">
        <f t="shared" si="0"/>
        <v>161.20496</v>
      </c>
      <c r="H7" s="171">
        <f t="shared" si="1"/>
        <v>276.25850000000003</v>
      </c>
      <c r="I7" s="119">
        <v>1000.8000000000002</v>
      </c>
      <c r="J7" s="120">
        <v>1030.8240000000003</v>
      </c>
      <c r="K7" s="121">
        <v>4.2329836131095115</v>
      </c>
      <c r="L7" s="122">
        <v>8.3093525179856069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1030.8240000000003</v>
      </c>
      <c r="S7" s="62">
        <f t="shared" si="2"/>
        <v>43.634611000000007</v>
      </c>
      <c r="T7" s="63">
        <f t="shared" si="3"/>
        <v>85.65479999999998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13"/>
        <v>0</v>
      </c>
      <c r="AH7" s="97">
        <v>4280.8</v>
      </c>
      <c r="AI7" s="66">
        <v>4.78</v>
      </c>
      <c r="AJ7" s="66">
        <v>8.4499999999999993</v>
      </c>
      <c r="AK7" s="62">
        <f t="shared" si="7"/>
        <v>204.62224000000001</v>
      </c>
      <c r="AL7" s="72">
        <f t="shared" si="8"/>
        <v>361.7276</v>
      </c>
      <c r="AM7" s="73">
        <f t="shared" si="14"/>
        <v>0.12399999999979627</v>
      </c>
      <c r="AN7" s="74">
        <f t="shared" si="9"/>
        <v>0.2173310000000015</v>
      </c>
      <c r="AO7" s="74">
        <f t="shared" si="9"/>
        <v>0.18569999999999709</v>
      </c>
      <c r="AP7" s="75">
        <f t="shared" si="15"/>
        <v>3.1172777173530371E-3</v>
      </c>
      <c r="AQ7" s="76">
        <f t="shared" si="10"/>
        <v>153.13711720999981</v>
      </c>
      <c r="AR7" s="83">
        <f t="shared" si="16"/>
        <v>0.12399999999979627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79">
        <v>4280.8</v>
      </c>
      <c r="E8" s="62">
        <v>4.78</v>
      </c>
      <c r="F8" s="62">
        <v>8.4499999999999993</v>
      </c>
      <c r="G8" s="170">
        <f t="shared" si="0"/>
        <v>204.62224000000001</v>
      </c>
      <c r="H8" s="171">
        <f t="shared" si="1"/>
        <v>361.7276</v>
      </c>
      <c r="I8" s="119">
        <v>1349.2</v>
      </c>
      <c r="J8" s="120">
        <v>1389.6760000000002</v>
      </c>
      <c r="K8" s="121">
        <v>5.2771864808775568</v>
      </c>
      <c r="L8" s="122">
        <v>8.5548473169285515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1389.6760000000002</v>
      </c>
      <c r="S8" s="62">
        <f t="shared" si="2"/>
        <v>73.335794000000007</v>
      </c>
      <c r="T8" s="63">
        <f t="shared" si="3"/>
        <v>118.88466000000004</v>
      </c>
      <c r="U8" s="64" t="s">
        <v>266</v>
      </c>
      <c r="V8" s="65" t="s">
        <v>270</v>
      </c>
      <c r="W8" s="66" t="s">
        <v>239</v>
      </c>
      <c r="X8" s="67">
        <v>5820</v>
      </c>
      <c r="Y8" s="68">
        <v>4.8</v>
      </c>
      <c r="Z8" s="68">
        <v>8.3000000000000007</v>
      </c>
      <c r="AA8" s="62">
        <f t="shared" si="4"/>
        <v>279.36</v>
      </c>
      <c r="AB8" s="63">
        <f t="shared" si="5"/>
        <v>483.06</v>
      </c>
      <c r="AC8" s="69">
        <v>5820</v>
      </c>
      <c r="AD8" s="70">
        <v>4.8</v>
      </c>
      <c r="AE8" s="70">
        <v>8.24</v>
      </c>
      <c r="AF8" s="62">
        <f t="shared" si="6"/>
        <v>279.36</v>
      </c>
      <c r="AG8" s="63">
        <f t="shared" si="13"/>
        <v>479.56799999999998</v>
      </c>
      <c r="AH8" s="97">
        <v>0</v>
      </c>
      <c r="AI8" s="66">
        <v>0</v>
      </c>
      <c r="AJ8" s="66">
        <v>0</v>
      </c>
      <c r="AK8" s="62">
        <f t="shared" si="7"/>
        <v>0</v>
      </c>
      <c r="AL8" s="72">
        <f t="shared" si="8"/>
        <v>0</v>
      </c>
      <c r="AM8" s="73">
        <f t="shared" si="14"/>
        <v>-149.52399999999943</v>
      </c>
      <c r="AN8" s="74">
        <f t="shared" si="9"/>
        <v>-1.4019660000000158</v>
      </c>
      <c r="AO8" s="74">
        <f t="shared" si="9"/>
        <v>1.0442600000000652</v>
      </c>
      <c r="AP8" s="75">
        <f t="shared" si="15"/>
        <v>-1.8609153841658832E-3</v>
      </c>
      <c r="AQ8" s="76">
        <f t="shared" si="10"/>
        <v>-316.83738599332094</v>
      </c>
      <c r="AR8" s="83">
        <f t="shared" si="16"/>
        <v>-149.52399999999943</v>
      </c>
    </row>
    <row r="9" spans="1:44" x14ac:dyDescent="0.25">
      <c r="A9" t="str">
        <f t="shared" si="11"/>
        <v>46176E</v>
      </c>
      <c r="B9" s="51">
        <f t="shared" ref="B9:B65" si="17">+B7+1</f>
        <v>46176</v>
      </c>
      <c r="C9" s="52" t="s">
        <v>88</v>
      </c>
      <c r="D9" s="79">
        <v>0</v>
      </c>
      <c r="E9" s="62">
        <v>0</v>
      </c>
      <c r="F9" s="62">
        <v>0</v>
      </c>
      <c r="G9" s="170">
        <f t="shared" si="0"/>
        <v>0</v>
      </c>
      <c r="H9" s="171">
        <f t="shared" si="1"/>
        <v>0</v>
      </c>
      <c r="I9" s="119">
        <v>1329.8</v>
      </c>
      <c r="J9" s="120">
        <v>1369.694</v>
      </c>
      <c r="K9" s="121">
        <v>4.0800872311625813</v>
      </c>
      <c r="L9" s="122">
        <v>8.2407504887953085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1369.694</v>
      </c>
      <c r="S9" s="62">
        <f t="shared" si="2"/>
        <v>55.884709999999998</v>
      </c>
      <c r="T9" s="63">
        <f t="shared" si="3"/>
        <v>112.873065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13"/>
        <v>0</v>
      </c>
      <c r="AH9" s="110">
        <v>1369.6</v>
      </c>
      <c r="AI9" s="66">
        <v>4.08</v>
      </c>
      <c r="AJ9" s="66">
        <v>8.24</v>
      </c>
      <c r="AK9" s="62">
        <f t="shared" si="7"/>
        <v>55.87968</v>
      </c>
      <c r="AL9" s="72">
        <f t="shared" si="8"/>
        <v>112.85503999999999</v>
      </c>
      <c r="AM9" s="73">
        <f t="shared" si="14"/>
        <v>9.4000000000050932E-2</v>
      </c>
      <c r="AN9" s="74">
        <f t="shared" si="9"/>
        <v>5.0299999999978695E-3</v>
      </c>
      <c r="AO9" s="74">
        <f t="shared" si="9"/>
        <v>1.8025000000008617E-2</v>
      </c>
      <c r="AP9" s="75">
        <f t="shared" si="15"/>
        <v>1.366159277698849E-4</v>
      </c>
      <c r="AQ9" s="76">
        <f t="shared" si="10"/>
        <v>7.6524191333349574</v>
      </c>
      <c r="AR9" s="83">
        <f t="shared" si="16"/>
        <v>9.4000000000050932E-2</v>
      </c>
    </row>
    <row r="10" spans="1:44" x14ac:dyDescent="0.25">
      <c r="A10" t="str">
        <f t="shared" si="11"/>
        <v>46177M</v>
      </c>
      <c r="B10" s="51">
        <f t="shared" si="17"/>
        <v>46177</v>
      </c>
      <c r="C10" s="52" t="s">
        <v>87</v>
      </c>
      <c r="D10" s="79">
        <v>1369.6</v>
      </c>
      <c r="E10" s="62">
        <v>4.08</v>
      </c>
      <c r="F10" s="62">
        <v>8.24</v>
      </c>
      <c r="G10" s="170">
        <f t="shared" si="0"/>
        <v>55.87968</v>
      </c>
      <c r="H10" s="171">
        <f t="shared" si="1"/>
        <v>112.85503999999999</v>
      </c>
      <c r="I10" s="119">
        <v>1085.9000000000001</v>
      </c>
      <c r="J10" s="120">
        <v>1118.4770000000001</v>
      </c>
      <c r="K10" s="121">
        <v>5.0243760935629451</v>
      </c>
      <c r="L10" s="122">
        <v>8.3929551524081436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1118.4770000000001</v>
      </c>
      <c r="S10" s="62">
        <f t="shared" si="2"/>
        <v>56.19649100000003</v>
      </c>
      <c r="T10" s="63">
        <f t="shared" si="3"/>
        <v>93.87327300000004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13"/>
        <v>0</v>
      </c>
      <c r="AH10" s="97">
        <v>2488</v>
      </c>
      <c r="AI10" s="66">
        <v>4.51</v>
      </c>
      <c r="AJ10" s="66">
        <v>8.31</v>
      </c>
      <c r="AK10" s="62">
        <f t="shared" si="7"/>
        <v>112.2088</v>
      </c>
      <c r="AL10" s="72">
        <f t="shared" si="8"/>
        <v>206.75280000000001</v>
      </c>
      <c r="AM10" s="73">
        <f t="shared" si="14"/>
        <v>7.7000000000225555E-2</v>
      </c>
      <c r="AN10" s="74">
        <f t="shared" si="9"/>
        <v>-0.13262899999996591</v>
      </c>
      <c r="AO10" s="74">
        <f t="shared" si="9"/>
        <v>-2.4486999999993486E-2</v>
      </c>
      <c r="AP10" s="75">
        <f t="shared" si="15"/>
        <v>-1.0469530691069743E-3</v>
      </c>
      <c r="AQ10" s="76">
        <f t="shared" si="10"/>
        <v>-66.866790503316082</v>
      </c>
      <c r="AR10" s="83">
        <f t="shared" si="16"/>
        <v>7.7000000000225555E-2</v>
      </c>
    </row>
    <row r="11" spans="1:44" x14ac:dyDescent="0.25">
      <c r="A11" t="str">
        <f t="shared" si="11"/>
        <v>46177E</v>
      </c>
      <c r="B11" s="51">
        <f t="shared" si="17"/>
        <v>46177</v>
      </c>
      <c r="C11" s="52" t="s">
        <v>88</v>
      </c>
      <c r="D11" s="79">
        <v>2488</v>
      </c>
      <c r="E11" s="62">
        <v>4.51</v>
      </c>
      <c r="F11" s="62">
        <v>8.31</v>
      </c>
      <c r="G11" s="170">
        <f t="shared" si="0"/>
        <v>112.2088</v>
      </c>
      <c r="H11" s="171">
        <f t="shared" si="1"/>
        <v>206.75280000000001</v>
      </c>
      <c r="I11" s="119">
        <v>905.3</v>
      </c>
      <c r="J11" s="120">
        <v>932.45899999999995</v>
      </c>
      <c r="K11" s="121">
        <v>4.3719650944438309</v>
      </c>
      <c r="L11" s="122">
        <v>8.1993482823373487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932.45899999999995</v>
      </c>
      <c r="S11" s="62">
        <f t="shared" si="2"/>
        <v>40.766781999999999</v>
      </c>
      <c r="T11" s="63">
        <f t="shared" si="3"/>
        <v>76.455561000000017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13"/>
        <v>0</v>
      </c>
      <c r="AH11" s="97">
        <v>3420.4</v>
      </c>
      <c r="AI11" s="66">
        <v>4.47</v>
      </c>
      <c r="AJ11" s="66">
        <v>8.2799999999999994</v>
      </c>
      <c r="AK11" s="62">
        <f t="shared" si="7"/>
        <v>152.89187999999999</v>
      </c>
      <c r="AL11" s="72">
        <f t="shared" si="8"/>
        <v>283.20911999999998</v>
      </c>
      <c r="AM11" s="73">
        <f t="shared" si="14"/>
        <v>5.8999999999741704E-2</v>
      </c>
      <c r="AN11" s="74">
        <f t="shared" si="9"/>
        <v>8.3702000000016596E-2</v>
      </c>
      <c r="AO11" s="74">
        <f t="shared" si="9"/>
        <v>-7.5899999995954204E-4</v>
      </c>
      <c r="AP11" s="75">
        <f t="shared" si="15"/>
        <v>7.0756988708250816E-4</v>
      </c>
      <c r="AQ11" s="76">
        <f t="shared" si="10"/>
        <v>37.347516360019554</v>
      </c>
      <c r="AR11" s="83">
        <f t="shared" si="16"/>
        <v>5.8999999999741704E-2</v>
      </c>
    </row>
    <row r="12" spans="1:44" x14ac:dyDescent="0.25">
      <c r="A12" t="str">
        <f t="shared" si="11"/>
        <v>46178M</v>
      </c>
      <c r="B12" s="51">
        <f t="shared" si="17"/>
        <v>46178</v>
      </c>
      <c r="C12" s="52" t="s">
        <v>87</v>
      </c>
      <c r="D12" s="79">
        <v>3420.4</v>
      </c>
      <c r="E12" s="62">
        <v>4.47</v>
      </c>
      <c r="F12" s="62">
        <v>8.2799999999999994</v>
      </c>
      <c r="G12" s="170">
        <f t="shared" si="0"/>
        <v>152.89187999999999</v>
      </c>
      <c r="H12" s="171">
        <f t="shared" si="1"/>
        <v>283.20911999999998</v>
      </c>
      <c r="I12" s="119">
        <v>1039.6999999999998</v>
      </c>
      <c r="J12" s="120">
        <v>1070.8909999999998</v>
      </c>
      <c r="K12" s="121">
        <v>5.3153024911032025</v>
      </c>
      <c r="L12" s="122">
        <v>8.6199865345772828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1070.8909999999998</v>
      </c>
      <c r="S12" s="62">
        <f t="shared" si="2"/>
        <v>56.921095999999991</v>
      </c>
      <c r="T12" s="63">
        <f t="shared" si="3"/>
        <v>92.310659999999999</v>
      </c>
      <c r="U12" s="64" t="s">
        <v>266</v>
      </c>
      <c r="V12" s="65" t="s">
        <v>368</v>
      </c>
      <c r="W12" s="66" t="s">
        <v>239</v>
      </c>
      <c r="X12" s="67">
        <v>4520</v>
      </c>
      <c r="Y12" s="68">
        <v>4.75</v>
      </c>
      <c r="Z12" s="68">
        <v>8.36</v>
      </c>
      <c r="AA12" s="62">
        <f t="shared" si="4"/>
        <v>214.7</v>
      </c>
      <c r="AB12" s="63">
        <f t="shared" si="5"/>
        <v>377.87199999999996</v>
      </c>
      <c r="AC12" s="69">
        <v>4520</v>
      </c>
      <c r="AD12" s="70">
        <v>4.75</v>
      </c>
      <c r="AE12" s="70">
        <v>8.36</v>
      </c>
      <c r="AF12" s="62">
        <f t="shared" si="6"/>
        <v>214.7</v>
      </c>
      <c r="AG12" s="63">
        <f t="shared" si="13"/>
        <v>377.87199999999996</v>
      </c>
      <c r="AH12" s="97">
        <v>0</v>
      </c>
      <c r="AI12" s="66">
        <v>0</v>
      </c>
      <c r="AJ12" s="66">
        <v>0</v>
      </c>
      <c r="AK12" s="62">
        <f t="shared" si="7"/>
        <v>0</v>
      </c>
      <c r="AL12" s="72">
        <f t="shared" si="8"/>
        <v>0</v>
      </c>
      <c r="AM12" s="73">
        <f t="shared" si="14"/>
        <v>-28.708999999999833</v>
      </c>
      <c r="AN12" s="74">
        <f t="shared" si="9"/>
        <v>-4.8870239999999967</v>
      </c>
      <c r="AO12" s="74">
        <f t="shared" si="9"/>
        <v>-2.3522199999999884</v>
      </c>
      <c r="AP12" s="75">
        <f t="shared" si="15"/>
        <v>-4.8510077171510235E-2</v>
      </c>
      <c r="AQ12" s="76">
        <f t="shared" si="10"/>
        <v>-2897.7906639733283</v>
      </c>
      <c r="AR12" s="83">
        <f t="shared" si="16"/>
        <v>-28.708999999999833</v>
      </c>
    </row>
    <row r="13" spans="1:44" x14ac:dyDescent="0.25">
      <c r="A13" t="str">
        <f t="shared" si="11"/>
        <v>46178E</v>
      </c>
      <c r="B13" s="51">
        <f t="shared" si="17"/>
        <v>46178</v>
      </c>
      <c r="C13" s="52" t="s">
        <v>88</v>
      </c>
      <c r="D13" s="79">
        <v>0</v>
      </c>
      <c r="E13" s="62">
        <v>0</v>
      </c>
      <c r="F13" s="62">
        <v>0</v>
      </c>
      <c r="G13" s="170">
        <f t="shared" si="0"/>
        <v>0</v>
      </c>
      <c r="H13" s="171">
        <f t="shared" si="1"/>
        <v>0</v>
      </c>
      <c r="I13" s="119">
        <v>1177.2</v>
      </c>
      <c r="J13" s="120">
        <v>1212.5160000000001</v>
      </c>
      <c r="K13" s="121">
        <v>4.4328151546041452</v>
      </c>
      <c r="L13" s="122">
        <v>8.2289330615018681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1212.5160000000001</v>
      </c>
      <c r="S13" s="62">
        <f t="shared" si="2"/>
        <v>53.748593</v>
      </c>
      <c r="T13" s="63">
        <f t="shared" si="3"/>
        <v>99.77713</v>
      </c>
      <c r="U13" s="64" t="s">
        <v>187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13"/>
        <v>0</v>
      </c>
      <c r="AH13" s="97">
        <v>1212.5</v>
      </c>
      <c r="AI13" s="66">
        <v>4.42</v>
      </c>
      <c r="AJ13" s="66">
        <v>8.2200000000000006</v>
      </c>
      <c r="AK13" s="62">
        <f t="shared" si="7"/>
        <v>53.592499999999994</v>
      </c>
      <c r="AL13" s="72">
        <f t="shared" si="8"/>
        <v>99.667500000000018</v>
      </c>
      <c r="AM13" s="73">
        <f t="shared" si="14"/>
        <v>1.6000000000076398E-2</v>
      </c>
      <c r="AN13" s="74">
        <f t="shared" si="9"/>
        <v>0.15609300000000559</v>
      </c>
      <c r="AO13" s="74">
        <f t="shared" si="9"/>
        <v>0.10962999999998146</v>
      </c>
      <c r="AP13" s="75">
        <f t="shared" si="15"/>
        <v>1.7308044203119437E-3</v>
      </c>
      <c r="AQ13" s="76">
        <f t="shared" si="10"/>
        <v>102.8810441633303</v>
      </c>
      <c r="AR13" s="83">
        <f t="shared" si="16"/>
        <v>1.6000000000076398E-2</v>
      </c>
    </row>
    <row r="14" spans="1:44" x14ac:dyDescent="0.25">
      <c r="A14" t="str">
        <f t="shared" si="11"/>
        <v>46179M</v>
      </c>
      <c r="B14" s="51">
        <f t="shared" si="17"/>
        <v>46179</v>
      </c>
      <c r="C14" s="52" t="s">
        <v>87</v>
      </c>
      <c r="D14" s="79">
        <v>1212.5</v>
      </c>
      <c r="E14" s="62">
        <v>4.42</v>
      </c>
      <c r="F14" s="62">
        <v>8.2200000000000006</v>
      </c>
      <c r="G14" s="170">
        <f t="shared" si="0"/>
        <v>53.592499999999994</v>
      </c>
      <c r="H14" s="171">
        <f t="shared" si="1"/>
        <v>99.667500000000018</v>
      </c>
      <c r="I14" s="119">
        <v>1318.9</v>
      </c>
      <c r="J14" s="120">
        <v>1358.4670000000001</v>
      </c>
      <c r="K14" s="121">
        <v>5.2443475623625755</v>
      </c>
      <c r="L14" s="122">
        <v>8.5655849571612688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1358.4670000000001</v>
      </c>
      <c r="S14" s="62">
        <f t="shared" si="2"/>
        <v>71.242731000000006</v>
      </c>
      <c r="T14" s="63">
        <f t="shared" si="3"/>
        <v>116.36064499999999</v>
      </c>
      <c r="U14" s="64" t="s">
        <v>266</v>
      </c>
      <c r="V14" s="65" t="s">
        <v>369</v>
      </c>
      <c r="W14" s="66" t="s">
        <v>239</v>
      </c>
      <c r="X14" s="67">
        <v>2635</v>
      </c>
      <c r="Y14" s="68">
        <v>4.8</v>
      </c>
      <c r="Z14" s="68">
        <v>8.3000000000000007</v>
      </c>
      <c r="AA14" s="62">
        <f t="shared" si="4"/>
        <v>126.48</v>
      </c>
      <c r="AB14" s="63">
        <f t="shared" si="5"/>
        <v>218.70500000000001</v>
      </c>
      <c r="AC14" s="69">
        <v>2635</v>
      </c>
      <c r="AD14" s="70">
        <v>4.8</v>
      </c>
      <c r="AE14" s="70">
        <v>8.24</v>
      </c>
      <c r="AF14" s="62">
        <f t="shared" si="6"/>
        <v>126.48</v>
      </c>
      <c r="AG14" s="63">
        <f t="shared" si="13"/>
        <v>217.124</v>
      </c>
      <c r="AH14" s="89">
        <v>0</v>
      </c>
      <c r="AI14" s="66">
        <v>0</v>
      </c>
      <c r="AJ14" s="66">
        <v>0</v>
      </c>
      <c r="AK14" s="62">
        <f t="shared" si="7"/>
        <v>0</v>
      </c>
      <c r="AL14" s="72">
        <f t="shared" si="8"/>
        <v>0</v>
      </c>
      <c r="AM14" s="73">
        <f t="shared" si="14"/>
        <v>-64.032999999999902</v>
      </c>
      <c r="AN14" s="74">
        <f t="shared" si="9"/>
        <v>-1.6447690000000108</v>
      </c>
      <c r="AO14" s="74">
        <f t="shared" si="9"/>
        <v>-1.0958550000000002</v>
      </c>
      <c r="AP14" s="75">
        <f t="shared" si="15"/>
        <v>-1.4608607043404226E-2</v>
      </c>
      <c r="AQ14" s="76">
        <f t="shared" si="10"/>
        <v>-1066.313430490005</v>
      </c>
      <c r="AR14" s="90">
        <f t="shared" si="16"/>
        <v>-64.032999999999902</v>
      </c>
    </row>
    <row r="15" spans="1:44" x14ac:dyDescent="0.25">
      <c r="A15" t="str">
        <f t="shared" si="11"/>
        <v>46179E</v>
      </c>
      <c r="B15" s="51">
        <f t="shared" si="17"/>
        <v>46179</v>
      </c>
      <c r="C15" s="52" t="s">
        <v>88</v>
      </c>
      <c r="D15" s="79">
        <v>0</v>
      </c>
      <c r="E15" s="62">
        <v>0</v>
      </c>
      <c r="F15" s="62">
        <v>0</v>
      </c>
      <c r="G15" s="170">
        <f t="shared" si="0"/>
        <v>0</v>
      </c>
      <c r="H15" s="171">
        <f t="shared" si="1"/>
        <v>0</v>
      </c>
      <c r="I15" s="119">
        <v>1030.2</v>
      </c>
      <c r="J15" s="120">
        <v>1061.106</v>
      </c>
      <c r="K15" s="121">
        <v>4.5134342846049318</v>
      </c>
      <c r="L15" s="122">
        <v>8.3487672296641442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1061.106</v>
      </c>
      <c r="S15" s="62">
        <f t="shared" si="2"/>
        <v>47.892322000000007</v>
      </c>
      <c r="T15" s="63">
        <f t="shared" si="3"/>
        <v>88.589270000000013</v>
      </c>
      <c r="U15" s="64" t="s">
        <v>187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13"/>
        <v>0</v>
      </c>
      <c r="AH15" s="89">
        <v>1061.0999999999999</v>
      </c>
      <c r="AI15" s="66">
        <v>4.51</v>
      </c>
      <c r="AJ15" s="66">
        <v>8.35</v>
      </c>
      <c r="AK15" s="62">
        <f t="shared" si="7"/>
        <v>47.855609999999999</v>
      </c>
      <c r="AL15" s="72">
        <f t="shared" si="8"/>
        <v>88.601849999999985</v>
      </c>
      <c r="AM15" s="73">
        <f t="shared" si="14"/>
        <v>6.0000000000854925E-3</v>
      </c>
      <c r="AN15" s="74">
        <f t="shared" si="9"/>
        <v>3.6712000000008516E-2</v>
      </c>
      <c r="AO15" s="74">
        <f t="shared" si="9"/>
        <v>-1.2579999999971392E-2</v>
      </c>
      <c r="AP15" s="75">
        <f t="shared" si="15"/>
        <v>1.7681505356441853E-4</v>
      </c>
      <c r="AQ15" s="76">
        <f t="shared" si="10"/>
        <v>12.715525386679051</v>
      </c>
      <c r="AR15" s="90">
        <f t="shared" si="16"/>
        <v>6.0000000000854925E-3</v>
      </c>
    </row>
    <row r="16" spans="1:44" x14ac:dyDescent="0.25">
      <c r="A16" t="str">
        <f t="shared" si="11"/>
        <v>46180M</v>
      </c>
      <c r="B16" s="51">
        <f t="shared" si="17"/>
        <v>46180</v>
      </c>
      <c r="C16" s="52" t="s">
        <v>87</v>
      </c>
      <c r="D16" s="79">
        <v>1061.0999999999999</v>
      </c>
      <c r="E16" s="62">
        <v>4.51</v>
      </c>
      <c r="F16" s="62">
        <v>8.35</v>
      </c>
      <c r="G16" s="170">
        <f t="shared" si="0"/>
        <v>47.855609999999999</v>
      </c>
      <c r="H16" s="171">
        <f t="shared" si="1"/>
        <v>88.601849999999985</v>
      </c>
      <c r="I16" s="119">
        <v>989.80000000000007</v>
      </c>
      <c r="J16" s="120">
        <v>1019.4940000000001</v>
      </c>
      <c r="K16" s="121">
        <v>4.4377449989896958</v>
      </c>
      <c r="L16" s="122">
        <v>8.3062436855930493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1019.4940000000001</v>
      </c>
      <c r="S16" s="62">
        <f t="shared" si="2"/>
        <v>45.242544000000017</v>
      </c>
      <c r="T16" s="63">
        <f t="shared" si="3"/>
        <v>84.681656000000018</v>
      </c>
      <c r="U16" s="64" t="s">
        <v>167</v>
      </c>
      <c r="V16" s="65" t="s">
        <v>187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4"/>
        <v>0</v>
      </c>
      <c r="AB16" s="63">
        <f t="shared" si="5"/>
        <v>0</v>
      </c>
      <c r="AC16" s="69"/>
      <c r="AD16" s="70"/>
      <c r="AE16" s="70"/>
      <c r="AF16" s="62">
        <f t="shared" si="6"/>
        <v>0</v>
      </c>
      <c r="AG16" s="63">
        <f t="shared" si="13"/>
        <v>0</v>
      </c>
      <c r="AH16" s="97">
        <v>2080.5</v>
      </c>
      <c r="AI16" s="118">
        <v>4.4800000000000004</v>
      </c>
      <c r="AJ16" s="118">
        <v>8.33</v>
      </c>
      <c r="AK16" s="62">
        <f t="shared" si="7"/>
        <v>93.206400000000016</v>
      </c>
      <c r="AL16" s="72">
        <f t="shared" si="8"/>
        <v>173.30564999999999</v>
      </c>
      <c r="AM16" s="73">
        <f t="shared" si="14"/>
        <v>9.4000000000050932E-2</v>
      </c>
      <c r="AN16" s="74">
        <f t="shared" si="9"/>
        <v>-0.10824599999999407</v>
      </c>
      <c r="AO16" s="74">
        <f t="shared" si="9"/>
        <v>-2.2143999999997277E-2</v>
      </c>
      <c r="AP16" s="75">
        <f t="shared" si="15"/>
        <v>-1.003585167351358E-3</v>
      </c>
      <c r="AQ16" s="76">
        <f t="shared" si="10"/>
        <v>-55.219820553329853</v>
      </c>
      <c r="AR16" s="90">
        <f t="shared" si="16"/>
        <v>9.4000000000050932E-2</v>
      </c>
    </row>
    <row r="17" spans="1:48" x14ac:dyDescent="0.25">
      <c r="A17" t="str">
        <f t="shared" si="11"/>
        <v>46180E</v>
      </c>
      <c r="B17" s="51">
        <f t="shared" si="17"/>
        <v>46180</v>
      </c>
      <c r="C17" s="52" t="s">
        <v>88</v>
      </c>
      <c r="D17" s="79">
        <v>2080.5</v>
      </c>
      <c r="E17" s="62">
        <v>4.4800000000000004</v>
      </c>
      <c r="F17" s="62">
        <v>8.33</v>
      </c>
      <c r="G17" s="170">
        <f t="shared" si="0"/>
        <v>93.206400000000016</v>
      </c>
      <c r="H17" s="171">
        <f t="shared" si="1"/>
        <v>173.30564999999999</v>
      </c>
      <c r="I17" s="119">
        <v>1440.6000000000001</v>
      </c>
      <c r="J17" s="120">
        <v>1483.8180000000002</v>
      </c>
      <c r="K17" s="121">
        <v>4.2056643065389432</v>
      </c>
      <c r="L17" s="122">
        <v>8.4145217270581725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1483.8180000000002</v>
      </c>
      <c r="S17" s="62">
        <f t="shared" si="2"/>
        <v>62.404404000000028</v>
      </c>
      <c r="T17" s="63">
        <f t="shared" si="3"/>
        <v>124.85618800000005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13"/>
        <v>0</v>
      </c>
      <c r="AH17" s="97">
        <v>3564.4</v>
      </c>
      <c r="AI17" s="66">
        <v>4.3600000000000003</v>
      </c>
      <c r="AJ17" s="66">
        <v>8.36</v>
      </c>
      <c r="AK17" s="62">
        <f t="shared" si="7"/>
        <v>155.40783999999999</v>
      </c>
      <c r="AL17" s="72">
        <f t="shared" si="8"/>
        <v>297.98383999999999</v>
      </c>
      <c r="AM17" s="73">
        <f t="shared" si="14"/>
        <v>-8.1999999999879947E-2</v>
      </c>
      <c r="AN17" s="74">
        <f t="shared" si="9"/>
        <v>0.202964000000037</v>
      </c>
      <c r="AO17" s="74">
        <f t="shared" si="9"/>
        <v>0.17799800000005916</v>
      </c>
      <c r="AP17" s="75">
        <f t="shared" si="15"/>
        <v>2.0343949355884554E-3</v>
      </c>
      <c r="AQ17" s="76">
        <f t="shared" si="10"/>
        <v>144.382624026701</v>
      </c>
      <c r="AR17" s="90">
        <f t="shared" si="16"/>
        <v>-8.1999999999879947E-2</v>
      </c>
    </row>
    <row r="18" spans="1:48" x14ac:dyDescent="0.25">
      <c r="A18" t="str">
        <f t="shared" si="11"/>
        <v>46181M</v>
      </c>
      <c r="B18" s="51">
        <f t="shared" si="17"/>
        <v>46181</v>
      </c>
      <c r="C18" s="52" t="s">
        <v>87</v>
      </c>
      <c r="D18" s="79">
        <v>3564.4</v>
      </c>
      <c r="E18" s="62">
        <v>4.3600000000000003</v>
      </c>
      <c r="F18" s="62">
        <v>8.36</v>
      </c>
      <c r="G18" s="170">
        <f t="shared" si="0"/>
        <v>155.40783999999999</v>
      </c>
      <c r="H18" s="171">
        <f t="shared" si="1"/>
        <v>297.98383999999999</v>
      </c>
      <c r="I18" s="119">
        <v>599.20000000000005</v>
      </c>
      <c r="J18" s="120">
        <v>617.17600000000004</v>
      </c>
      <c r="K18" s="121">
        <v>5.0644526034712936</v>
      </c>
      <c r="L18" s="122">
        <v>8.4781875834445906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617.17600000000004</v>
      </c>
      <c r="S18" s="62">
        <f t="shared" si="2"/>
        <v>31.256585999999995</v>
      </c>
      <c r="T18" s="63">
        <f t="shared" si="3"/>
        <v>52.325338999999992</v>
      </c>
      <c r="U18" s="64" t="s">
        <v>167</v>
      </c>
      <c r="V18" s="65" t="s">
        <v>187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13"/>
        <v>0</v>
      </c>
      <c r="AH18" s="97">
        <v>4181.5</v>
      </c>
      <c r="AI18" s="66">
        <v>4.47</v>
      </c>
      <c r="AJ18" s="66">
        <v>8.3800000000000008</v>
      </c>
      <c r="AK18" s="62">
        <f t="shared" si="7"/>
        <v>186.91305</v>
      </c>
      <c r="AL18" s="72">
        <f t="shared" si="8"/>
        <v>350.40970000000004</v>
      </c>
      <c r="AM18" s="73">
        <f t="shared" si="14"/>
        <v>7.6000000000021828E-2</v>
      </c>
      <c r="AN18" s="74">
        <f t="shared" si="9"/>
        <v>-0.24862400000000662</v>
      </c>
      <c r="AO18" s="74">
        <f t="shared" si="9"/>
        <v>-0.10052100000007158</v>
      </c>
      <c r="AP18" s="75">
        <f t="shared" si="15"/>
        <v>-4.1772787597327806E-3</v>
      </c>
      <c r="AQ18" s="76">
        <f t="shared" si="10"/>
        <v>-141.69305458002441</v>
      </c>
      <c r="AR18" s="90">
        <f t="shared" si="16"/>
        <v>7.6000000000021828E-2</v>
      </c>
    </row>
    <row r="19" spans="1:48" x14ac:dyDescent="0.25">
      <c r="A19" t="str">
        <f t="shared" si="11"/>
        <v>46181E</v>
      </c>
      <c r="B19" s="51">
        <f t="shared" si="17"/>
        <v>46181</v>
      </c>
      <c r="C19" s="52" t="s">
        <v>88</v>
      </c>
      <c r="D19" s="79">
        <v>4181.5</v>
      </c>
      <c r="E19" s="62">
        <v>4.47</v>
      </c>
      <c r="F19" s="62">
        <v>8.3800000000000008</v>
      </c>
      <c r="G19" s="170">
        <f t="shared" si="0"/>
        <v>186.91305</v>
      </c>
      <c r="H19" s="171">
        <f t="shared" si="1"/>
        <v>350.40970000000004</v>
      </c>
      <c r="I19" s="119">
        <v>1063.4000000000001</v>
      </c>
      <c r="J19" s="120">
        <v>1095.3020000000001</v>
      </c>
      <c r="K19" s="121">
        <v>4.2875587737445926</v>
      </c>
      <c r="L19" s="122">
        <v>8.4032819258980602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1095.3020000000001</v>
      </c>
      <c r="S19" s="62">
        <f t="shared" si="2"/>
        <v>46.961717</v>
      </c>
      <c r="T19" s="63">
        <f t="shared" si="3"/>
        <v>92.041314999999969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13"/>
        <v>0</v>
      </c>
      <c r="AH19" s="97">
        <v>5276.8</v>
      </c>
      <c r="AI19" s="66">
        <v>4.43</v>
      </c>
      <c r="AJ19" s="66">
        <v>8.3800000000000008</v>
      </c>
      <c r="AK19" s="62">
        <f t="shared" si="7"/>
        <v>233.76223999999999</v>
      </c>
      <c r="AL19" s="72">
        <f t="shared" si="8"/>
        <v>442.19584000000009</v>
      </c>
      <c r="AM19" s="73">
        <f t="shared" si="14"/>
        <v>1.9999999994979589E-3</v>
      </c>
      <c r="AN19" s="74">
        <f t="shared" si="9"/>
        <v>0.11252700000000004</v>
      </c>
      <c r="AO19" s="74">
        <f t="shared" si="9"/>
        <v>0.25517499999989468</v>
      </c>
      <c r="AP19" s="75">
        <f t="shared" si="15"/>
        <v>2.6452804281268832E-3</v>
      </c>
      <c r="AQ19" s="76">
        <f t="shared" si="10"/>
        <v>126.88156840330184</v>
      </c>
      <c r="AR19" s="90">
        <f t="shared" si="16"/>
        <v>1.9999999994979589E-3</v>
      </c>
    </row>
    <row r="20" spans="1:48" x14ac:dyDescent="0.25">
      <c r="A20" t="str">
        <f t="shared" si="11"/>
        <v>46182M</v>
      </c>
      <c r="B20" s="51">
        <f t="shared" si="17"/>
        <v>46182</v>
      </c>
      <c r="C20" s="52" t="s">
        <v>87</v>
      </c>
      <c r="D20" s="79">
        <v>5276.8</v>
      </c>
      <c r="E20" s="62">
        <v>4.43</v>
      </c>
      <c r="F20" s="62">
        <v>8.3800000000000008</v>
      </c>
      <c r="G20" s="170">
        <f t="shared" si="0"/>
        <v>233.76223999999999</v>
      </c>
      <c r="H20" s="171">
        <f t="shared" si="1"/>
        <v>442.19584000000009</v>
      </c>
      <c r="I20" s="119">
        <v>683.9</v>
      </c>
      <c r="J20" s="120">
        <v>704.41700000000003</v>
      </c>
      <c r="K20" s="121">
        <v>4.7859043719842074</v>
      </c>
      <c r="L20" s="122">
        <v>8.5088609445825405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704.41700000000003</v>
      </c>
      <c r="S20" s="62">
        <f t="shared" si="2"/>
        <v>33.712723999999994</v>
      </c>
      <c r="T20" s="63">
        <f t="shared" si="3"/>
        <v>59.937862999999993</v>
      </c>
      <c r="U20" s="64" t="s">
        <v>266</v>
      </c>
      <c r="V20" s="65" t="s">
        <v>370</v>
      </c>
      <c r="W20" s="66" t="s">
        <v>239</v>
      </c>
      <c r="X20" s="67">
        <v>6100</v>
      </c>
      <c r="Y20" s="68">
        <v>4.4000000000000004</v>
      </c>
      <c r="Z20" s="68">
        <v>8.2200000000000006</v>
      </c>
      <c r="AA20" s="62">
        <f t="shared" si="4"/>
        <v>268.40000000000003</v>
      </c>
      <c r="AB20" s="63">
        <f t="shared" si="5"/>
        <v>501.42000000000007</v>
      </c>
      <c r="AC20" s="69">
        <v>6100</v>
      </c>
      <c r="AD20" s="70">
        <v>4.4000000000000004</v>
      </c>
      <c r="AE20" s="70">
        <v>8.2200000000000006</v>
      </c>
      <c r="AF20" s="62">
        <f t="shared" si="6"/>
        <v>268.40000000000003</v>
      </c>
      <c r="AG20" s="63">
        <f t="shared" si="13"/>
        <v>501.42000000000007</v>
      </c>
      <c r="AH20" s="97">
        <v>0</v>
      </c>
      <c r="AI20" s="66">
        <v>0</v>
      </c>
      <c r="AJ20" s="66">
        <v>0</v>
      </c>
      <c r="AK20" s="62">
        <f t="shared" si="7"/>
        <v>0</v>
      </c>
      <c r="AL20" s="72">
        <f t="shared" si="8"/>
        <v>0</v>
      </c>
      <c r="AM20" s="73">
        <f t="shared" si="14"/>
        <v>-118.78299999999945</v>
      </c>
      <c r="AN20" s="74">
        <f t="shared" ref="AN20:AO65" si="18">+G20+S20-AF20-AK20</f>
        <v>-0.92503600000003416</v>
      </c>
      <c r="AO20" s="74">
        <f t="shared" si="18"/>
        <v>0.71370300000000952</v>
      </c>
      <c r="AP20" s="75">
        <f t="shared" si="15"/>
        <v>-2.2566115896318372E-3</v>
      </c>
      <c r="AQ20" s="76">
        <f t="shared" si="10"/>
        <v>-201.6656349400125</v>
      </c>
      <c r="AR20" s="90">
        <f t="shared" si="16"/>
        <v>-118.78299999999945</v>
      </c>
    </row>
    <row r="21" spans="1:48" x14ac:dyDescent="0.25">
      <c r="A21" t="str">
        <f t="shared" si="11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170">
        <f t="shared" si="0"/>
        <v>0</v>
      </c>
      <c r="H21" s="171">
        <f t="shared" si="1"/>
        <v>0</v>
      </c>
      <c r="I21" s="119">
        <v>1005</v>
      </c>
      <c r="J21" s="120">
        <v>1035.1500000000001</v>
      </c>
      <c r="K21" s="121">
        <v>4.6232338308457717</v>
      </c>
      <c r="L21" s="122">
        <v>8.3821890547263678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1035.1500000000001</v>
      </c>
      <c r="S21" s="62">
        <f t="shared" si="2"/>
        <v>47.857405000000007</v>
      </c>
      <c r="T21" s="63">
        <f t="shared" si="3"/>
        <v>86.768230000000003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13"/>
        <v>0</v>
      </c>
      <c r="AH21" s="97">
        <v>1030.5</v>
      </c>
      <c r="AI21" s="66">
        <v>4.62</v>
      </c>
      <c r="AJ21" s="66">
        <v>8.3800000000000008</v>
      </c>
      <c r="AK21" s="62">
        <f t="shared" si="7"/>
        <v>47.609099999999998</v>
      </c>
      <c r="AL21" s="72">
        <f t="shared" si="8"/>
        <v>86.35590000000002</v>
      </c>
      <c r="AM21" s="73">
        <f t="shared" si="14"/>
        <v>4.6500000000000909</v>
      </c>
      <c r="AN21" s="74">
        <f t="shared" si="18"/>
        <v>0.2483050000000091</v>
      </c>
      <c r="AO21" s="74">
        <f t="shared" si="18"/>
        <v>0.41232999999998299</v>
      </c>
      <c r="AP21" s="75">
        <f t="shared" si="15"/>
        <v>4.9072006234176131E-3</v>
      </c>
      <c r="AQ21" s="76">
        <f t="shared" si="10"/>
        <v>234.86597108333234</v>
      </c>
      <c r="AR21" s="90">
        <f t="shared" si="16"/>
        <v>4.6500000000000909</v>
      </c>
    </row>
    <row r="22" spans="1:48" x14ac:dyDescent="0.25">
      <c r="A22" t="str">
        <f t="shared" si="11"/>
        <v>46183M</v>
      </c>
      <c r="B22" s="51">
        <f t="shared" si="17"/>
        <v>46183</v>
      </c>
      <c r="C22" s="52" t="s">
        <v>87</v>
      </c>
      <c r="D22" s="79">
        <v>1030.5</v>
      </c>
      <c r="E22" s="62">
        <v>4.62</v>
      </c>
      <c r="F22" s="62">
        <v>8.3800000000000008</v>
      </c>
      <c r="G22" s="170">
        <f t="shared" si="0"/>
        <v>47.609099999999998</v>
      </c>
      <c r="H22" s="171">
        <f t="shared" si="1"/>
        <v>86.35590000000002</v>
      </c>
      <c r="I22" s="119">
        <v>1003.4000000000001</v>
      </c>
      <c r="J22" s="120">
        <v>1033.5020000000002</v>
      </c>
      <c r="K22" s="121">
        <v>4.9214570460434528</v>
      </c>
      <c r="L22" s="122">
        <v>8.4708391469005377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1033.5020000000002</v>
      </c>
      <c r="S22" s="62">
        <f t="shared" si="2"/>
        <v>50.863357000000015</v>
      </c>
      <c r="T22" s="63">
        <f t="shared" si="3"/>
        <v>87.546292000000022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13"/>
        <v>0</v>
      </c>
      <c r="AH22" s="97">
        <v>2068.1999999999998</v>
      </c>
      <c r="AI22" s="66">
        <v>4.7699999999999996</v>
      </c>
      <c r="AJ22" s="66">
        <v>8.43</v>
      </c>
      <c r="AK22" s="62">
        <f t="shared" si="7"/>
        <v>98.653139999999979</v>
      </c>
      <c r="AL22" s="72">
        <f t="shared" si="8"/>
        <v>174.34925999999999</v>
      </c>
      <c r="AM22" s="73">
        <f t="shared" si="14"/>
        <v>-4.1979999999994106</v>
      </c>
      <c r="AN22" s="74">
        <f t="shared" si="18"/>
        <v>-0.18068299999995929</v>
      </c>
      <c r="AO22" s="74">
        <f t="shared" si="18"/>
        <v>-0.44706799999994473</v>
      </c>
      <c r="AP22" s="75">
        <f t="shared" si="15"/>
        <v>-4.5354569174574227E-3</v>
      </c>
      <c r="AQ22" s="76">
        <f t="shared" si="10"/>
        <v>-214.90593611663186</v>
      </c>
      <c r="AR22" s="83">
        <f>(D22+J22+O22)-(X22+AH22)</f>
        <v>-4.1979999999994106</v>
      </c>
      <c r="AT22" s="83"/>
      <c r="AU22" s="83"/>
    </row>
    <row r="23" spans="1:48" x14ac:dyDescent="0.25">
      <c r="A23" t="str">
        <f t="shared" si="11"/>
        <v>46183E</v>
      </c>
      <c r="B23" s="51">
        <f t="shared" si="17"/>
        <v>46183</v>
      </c>
      <c r="C23" s="52" t="s">
        <v>88</v>
      </c>
      <c r="D23" s="79">
        <v>2068.1999999999998</v>
      </c>
      <c r="E23" s="62">
        <v>4.7699999999999996</v>
      </c>
      <c r="F23" s="62">
        <v>8.43</v>
      </c>
      <c r="G23" s="170">
        <f t="shared" si="0"/>
        <v>98.653139999999979</v>
      </c>
      <c r="H23" s="171">
        <f t="shared" si="1"/>
        <v>174.34925999999999</v>
      </c>
      <c r="I23" s="119">
        <v>1354.7</v>
      </c>
      <c r="J23" s="120">
        <v>1395.3410000000001</v>
      </c>
      <c r="K23" s="121">
        <v>4.3417361777515309</v>
      </c>
      <c r="L23" s="122">
        <v>8.4783273049383627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1395.3410000000001</v>
      </c>
      <c r="S23" s="62">
        <f t="shared" si="2"/>
        <v>60.582024999999994</v>
      </c>
      <c r="T23" s="63">
        <f t="shared" si="3"/>
        <v>118.30157700000001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13"/>
        <v>0</v>
      </c>
      <c r="AH23" s="97">
        <v>3463</v>
      </c>
      <c r="AI23" s="66">
        <v>4.5999999999999996</v>
      </c>
      <c r="AJ23" s="84">
        <v>8.4499999999999993</v>
      </c>
      <c r="AK23" s="62">
        <f t="shared" si="7"/>
        <v>159.298</v>
      </c>
      <c r="AL23" s="72">
        <f t="shared" si="8"/>
        <v>292.62349999999998</v>
      </c>
      <c r="AM23" s="73">
        <f t="shared" si="14"/>
        <v>0.54100000000016735</v>
      </c>
      <c r="AN23" s="74">
        <f t="shared" si="18"/>
        <v>-6.2835000000035279E-2</v>
      </c>
      <c r="AO23" s="74">
        <f t="shared" si="18"/>
        <v>2.7337000000045464E-2</v>
      </c>
      <c r="AP23" s="75">
        <f t="shared" si="15"/>
        <v>-1.9844188960366427E-4</v>
      </c>
      <c r="AQ23" s="76">
        <f t="shared" si="10"/>
        <v>-20.026024736668898</v>
      </c>
      <c r="AR23" s="83">
        <f t="shared" si="16"/>
        <v>0.54100000000016735</v>
      </c>
      <c r="AU23" s="83"/>
    </row>
    <row r="24" spans="1:48" x14ac:dyDescent="0.25">
      <c r="A24" t="str">
        <f t="shared" si="11"/>
        <v>46184M</v>
      </c>
      <c r="B24" s="51">
        <f t="shared" si="17"/>
        <v>46184</v>
      </c>
      <c r="C24" s="52" t="s">
        <v>87</v>
      </c>
      <c r="D24" s="79">
        <v>3463</v>
      </c>
      <c r="E24" s="62">
        <v>4.5999999999999996</v>
      </c>
      <c r="F24" s="62">
        <v>8.4499999999999993</v>
      </c>
      <c r="G24" s="170">
        <f t="shared" si="0"/>
        <v>159.298</v>
      </c>
      <c r="H24" s="171">
        <f t="shared" si="1"/>
        <v>292.62349999999998</v>
      </c>
      <c r="I24" s="119">
        <v>1243.7</v>
      </c>
      <c r="J24" s="120">
        <v>1281.011</v>
      </c>
      <c r="K24" s="121">
        <v>4.9348797941625797</v>
      </c>
      <c r="L24" s="122">
        <v>8.4633110878829285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1281.011</v>
      </c>
      <c r="S24" s="62">
        <f t="shared" si="2"/>
        <v>63.216353000000005</v>
      </c>
      <c r="T24" s="63">
        <f t="shared" si="3"/>
        <v>108.41594599999998</v>
      </c>
      <c r="U24" s="64" t="s">
        <v>168</v>
      </c>
      <c r="V24" s="65" t="s">
        <v>438</v>
      </c>
      <c r="W24" s="66" t="s">
        <v>239</v>
      </c>
      <c r="X24" s="67">
        <v>4815</v>
      </c>
      <c r="Y24" s="68">
        <v>4.6500000000000004</v>
      </c>
      <c r="Z24" s="68">
        <v>8.25</v>
      </c>
      <c r="AA24" s="62">
        <f t="shared" si="4"/>
        <v>223.89750000000004</v>
      </c>
      <c r="AB24" s="63">
        <f t="shared" si="5"/>
        <v>397.23750000000001</v>
      </c>
      <c r="AC24" s="69">
        <v>4815</v>
      </c>
      <c r="AD24" s="70">
        <v>4.6500000000000004</v>
      </c>
      <c r="AE24" s="70">
        <v>8.25</v>
      </c>
      <c r="AF24" s="62">
        <f t="shared" si="6"/>
        <v>223.89750000000004</v>
      </c>
      <c r="AG24" s="63">
        <f t="shared" si="13"/>
        <v>397.23750000000001</v>
      </c>
      <c r="AH24" s="97">
        <v>0</v>
      </c>
      <c r="AI24" s="66">
        <v>0</v>
      </c>
      <c r="AJ24" s="66">
        <v>0</v>
      </c>
      <c r="AK24" s="62">
        <f t="shared" si="7"/>
        <v>0</v>
      </c>
      <c r="AL24" s="72">
        <f t="shared" si="8"/>
        <v>0</v>
      </c>
      <c r="AM24" s="73">
        <f t="shared" si="14"/>
        <v>-70.988999999999578</v>
      </c>
      <c r="AN24" s="74">
        <f t="shared" si="18"/>
        <v>-1.3831470000000365</v>
      </c>
      <c r="AO24" s="74">
        <f t="shared" si="18"/>
        <v>3.8019459999999299</v>
      </c>
      <c r="AP24" s="75">
        <f t="shared" si="15"/>
        <v>1.4092912663250485E-2</v>
      </c>
      <c r="AQ24" s="76">
        <f t="shared" si="10"/>
        <v>516.91253280329602</v>
      </c>
      <c r="AR24" s="83">
        <f t="shared" si="16"/>
        <v>-70.988999999999578</v>
      </c>
      <c r="AT24" s="77"/>
      <c r="AU24" s="77"/>
      <c r="AV24" s="77"/>
    </row>
    <row r="25" spans="1:48" x14ac:dyDescent="0.25">
      <c r="A25" t="str">
        <f t="shared" si="11"/>
        <v>46184E</v>
      </c>
      <c r="B25" s="51">
        <f t="shared" si="17"/>
        <v>46184</v>
      </c>
      <c r="C25" s="52" t="s">
        <v>88</v>
      </c>
      <c r="D25" s="79">
        <v>0</v>
      </c>
      <c r="E25" s="62">
        <v>0</v>
      </c>
      <c r="F25" s="62">
        <v>0</v>
      </c>
      <c r="G25" s="170">
        <f t="shared" si="0"/>
        <v>0</v>
      </c>
      <c r="H25" s="171">
        <f t="shared" si="1"/>
        <v>0</v>
      </c>
      <c r="I25" s="119">
        <v>845.40000000000009</v>
      </c>
      <c r="J25" s="120">
        <v>870.76200000000017</v>
      </c>
      <c r="K25" s="121">
        <v>4.697752543174829</v>
      </c>
      <c r="L25" s="122">
        <v>8.4042346818074289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870.76200000000017</v>
      </c>
      <c r="S25" s="62">
        <f t="shared" si="2"/>
        <v>40.906244000000015</v>
      </c>
      <c r="T25" s="63">
        <f t="shared" si="3"/>
        <v>73.180882000000025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13"/>
        <v>0</v>
      </c>
      <c r="AH25" s="97">
        <v>870.7</v>
      </c>
      <c r="AI25" s="66">
        <v>4.7</v>
      </c>
      <c r="AJ25" s="66">
        <v>8.4</v>
      </c>
      <c r="AK25" s="62">
        <f t="shared" si="7"/>
        <v>40.922900000000006</v>
      </c>
      <c r="AL25" s="72">
        <f t="shared" si="8"/>
        <v>73.138800000000003</v>
      </c>
      <c r="AM25" s="73">
        <f t="shared" si="14"/>
        <v>6.200000000012551E-2</v>
      </c>
      <c r="AN25" s="74">
        <f t="shared" si="18"/>
        <v>-1.6655999999990456E-2</v>
      </c>
      <c r="AO25" s="74">
        <f t="shared" si="18"/>
        <v>4.2082000000021935E-2</v>
      </c>
      <c r="AP25" s="75">
        <f t="shared" si="15"/>
        <v>2.2286476039401211E-4</v>
      </c>
      <c r="AQ25" s="76">
        <f t="shared" si="10"/>
        <v>5.1169754533441836</v>
      </c>
      <c r="AR25" s="83">
        <f t="shared" si="16"/>
        <v>6.200000000012551E-2</v>
      </c>
    </row>
    <row r="26" spans="1:48" x14ac:dyDescent="0.25">
      <c r="A26" t="str">
        <f t="shared" si="11"/>
        <v>46185M</v>
      </c>
      <c r="B26" s="51">
        <f t="shared" si="17"/>
        <v>46185</v>
      </c>
      <c r="C26" s="52" t="s">
        <v>87</v>
      </c>
      <c r="D26" s="79">
        <v>870.7</v>
      </c>
      <c r="E26" s="62">
        <v>4.7</v>
      </c>
      <c r="F26" s="62">
        <v>8.4</v>
      </c>
      <c r="G26" s="170">
        <f t="shared" si="0"/>
        <v>40.922900000000006</v>
      </c>
      <c r="H26" s="171">
        <f t="shared" si="1"/>
        <v>73.138800000000003</v>
      </c>
      <c r="I26" s="119">
        <v>1097.5999999999999</v>
      </c>
      <c r="J26" s="120">
        <v>1130.528</v>
      </c>
      <c r="K26" s="121">
        <v>5.0194241982507286</v>
      </c>
      <c r="L26" s="122">
        <v>8.5864613702623913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1130.528</v>
      </c>
      <c r="S26" s="62">
        <f t="shared" si="2"/>
        <v>56.745995999999998</v>
      </c>
      <c r="T26" s="63">
        <f t="shared" si="3"/>
        <v>97.07235</v>
      </c>
      <c r="U26" s="64" t="s">
        <v>167</v>
      </c>
      <c r="V26" s="65" t="s">
        <v>187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13"/>
        <v>0</v>
      </c>
      <c r="AH26" s="97">
        <v>2001.2</v>
      </c>
      <c r="AI26" s="66">
        <v>4.88</v>
      </c>
      <c r="AJ26" s="66">
        <v>8.51</v>
      </c>
      <c r="AK26" s="62">
        <f t="shared" si="7"/>
        <v>97.658559999999994</v>
      </c>
      <c r="AL26" s="72">
        <f t="shared" si="8"/>
        <v>170.30212</v>
      </c>
      <c r="AM26" s="73">
        <f t="shared" si="14"/>
        <v>2.8000000000020009E-2</v>
      </c>
      <c r="AN26" s="74">
        <f t="shared" si="18"/>
        <v>1.0336000000009449E-2</v>
      </c>
      <c r="AO26" s="74">
        <f t="shared" si="18"/>
        <v>-9.0969999999998663E-2</v>
      </c>
      <c r="AP26" s="75">
        <f t="shared" si="15"/>
        <v>-5.2421575252141397E-4</v>
      </c>
      <c r="AQ26" s="76">
        <f t="shared" si="10"/>
        <v>-22.584961373328696</v>
      </c>
      <c r="AR26" s="83">
        <f t="shared" si="16"/>
        <v>2.8000000000020009E-2</v>
      </c>
    </row>
    <row r="27" spans="1:48" x14ac:dyDescent="0.25">
      <c r="A27" t="str">
        <f t="shared" si="11"/>
        <v>46185E</v>
      </c>
      <c r="B27" s="51">
        <f t="shared" si="17"/>
        <v>46185</v>
      </c>
      <c r="C27" s="52" t="s">
        <v>88</v>
      </c>
      <c r="D27" s="79">
        <v>2001.2</v>
      </c>
      <c r="E27" s="62">
        <v>4.88</v>
      </c>
      <c r="F27" s="62">
        <v>8.51</v>
      </c>
      <c r="G27" s="170">
        <f t="shared" si="0"/>
        <v>97.658559999999994</v>
      </c>
      <c r="H27" s="171">
        <f t="shared" si="1"/>
        <v>170.30212</v>
      </c>
      <c r="I27" s="119">
        <v>1117.7</v>
      </c>
      <c r="J27" s="120">
        <v>1151.231</v>
      </c>
      <c r="K27" s="121">
        <v>4.4272971280307782</v>
      </c>
      <c r="L27" s="122">
        <v>8.5113805135546219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1151.231</v>
      </c>
      <c r="S27" s="62">
        <f t="shared" si="2"/>
        <v>50.968417000000009</v>
      </c>
      <c r="T27" s="63">
        <f t="shared" si="3"/>
        <v>97.985651000000004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13"/>
        <v>0</v>
      </c>
      <c r="AH27" s="97">
        <v>3152.5</v>
      </c>
      <c r="AI27" s="66">
        <v>4.71</v>
      </c>
      <c r="AJ27" s="66">
        <v>8.51</v>
      </c>
      <c r="AK27" s="62">
        <f t="shared" si="7"/>
        <v>148.48275000000001</v>
      </c>
      <c r="AL27" s="72">
        <f t="shared" si="8"/>
        <v>268.27774999999997</v>
      </c>
      <c r="AM27" s="73">
        <f t="shared" si="14"/>
        <v>-6.8999999999959982E-2</v>
      </c>
      <c r="AN27" s="74">
        <f t="shared" si="18"/>
        <v>0.14422700000000077</v>
      </c>
      <c r="AO27" s="74">
        <f t="shared" si="18"/>
        <v>1.0021000000051572E-2</v>
      </c>
      <c r="AP27" s="75">
        <f t="shared" si="15"/>
        <v>1.0355407010438436E-3</v>
      </c>
      <c r="AQ27" s="76">
        <f t="shared" si="10"/>
        <v>67.743960643349112</v>
      </c>
      <c r="AR27" s="83">
        <f t="shared" si="16"/>
        <v>-6.8999999999959982E-2</v>
      </c>
    </row>
    <row r="28" spans="1:48" x14ac:dyDescent="0.25">
      <c r="A28" t="str">
        <f t="shared" si="11"/>
        <v>46186M</v>
      </c>
      <c r="B28" s="51">
        <f t="shared" si="17"/>
        <v>46186</v>
      </c>
      <c r="C28" s="52" t="s">
        <v>87</v>
      </c>
      <c r="D28" s="79">
        <v>3152.5</v>
      </c>
      <c r="E28" s="62">
        <v>4.71</v>
      </c>
      <c r="F28" s="62">
        <v>8.51</v>
      </c>
      <c r="G28" s="170">
        <f t="shared" si="0"/>
        <v>148.48275000000001</v>
      </c>
      <c r="H28" s="171">
        <f t="shared" si="1"/>
        <v>268.27774999999997</v>
      </c>
      <c r="I28" s="119">
        <v>914.9</v>
      </c>
      <c r="J28" s="120">
        <v>942.34699999999998</v>
      </c>
      <c r="K28" s="121">
        <v>5.1473822275658545</v>
      </c>
      <c r="L28" s="122">
        <v>8.5375778773636455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942.34699999999998</v>
      </c>
      <c r="S28" s="62">
        <f t="shared" si="2"/>
        <v>48.506202000000002</v>
      </c>
      <c r="T28" s="63">
        <f t="shared" si="3"/>
        <v>80.453609</v>
      </c>
      <c r="U28" s="64" t="s">
        <v>266</v>
      </c>
      <c r="V28" s="65" t="s">
        <v>528</v>
      </c>
      <c r="W28" s="66" t="s">
        <v>239</v>
      </c>
      <c r="X28" s="67">
        <v>4180</v>
      </c>
      <c r="Y28" s="68">
        <v>4.8</v>
      </c>
      <c r="Z28" s="68">
        <v>8.35</v>
      </c>
      <c r="AA28" s="62">
        <f t="shared" si="4"/>
        <v>200.64000000000001</v>
      </c>
      <c r="AB28" s="63">
        <f t="shared" si="5"/>
        <v>349.03</v>
      </c>
      <c r="AC28" s="69">
        <v>4180</v>
      </c>
      <c r="AD28" s="70">
        <v>4.8</v>
      </c>
      <c r="AE28" s="70">
        <v>8.35</v>
      </c>
      <c r="AF28" s="62">
        <f t="shared" si="6"/>
        <v>200.64000000000001</v>
      </c>
      <c r="AG28" s="63">
        <f t="shared" si="13"/>
        <v>349.03</v>
      </c>
      <c r="AH28" s="71">
        <v>0</v>
      </c>
      <c r="AI28" s="66">
        <v>0</v>
      </c>
      <c r="AJ28" s="66">
        <v>0</v>
      </c>
      <c r="AK28" s="62">
        <f t="shared" si="7"/>
        <v>0</v>
      </c>
      <c r="AL28" s="72">
        <f t="shared" si="8"/>
        <v>0</v>
      </c>
      <c r="AM28" s="73">
        <f t="shared" si="14"/>
        <v>-85.153000000000247</v>
      </c>
      <c r="AN28" s="74">
        <f t="shared" si="18"/>
        <v>-3.651048000000003</v>
      </c>
      <c r="AO28" s="74">
        <f t="shared" si="18"/>
        <v>-0.29864099999997507</v>
      </c>
      <c r="AP28" s="75">
        <f t="shared" si="15"/>
        <v>-3.0627285891416032E-2</v>
      </c>
      <c r="AQ28" s="76">
        <f t="shared" si="10"/>
        <v>-1728.3672452199939</v>
      </c>
      <c r="AR28" s="90">
        <f t="shared" si="16"/>
        <v>-85.153000000000247</v>
      </c>
    </row>
    <row r="29" spans="1:48" x14ac:dyDescent="0.25">
      <c r="A29" t="str">
        <f t="shared" si="11"/>
        <v>46186E</v>
      </c>
      <c r="B29" s="51">
        <f t="shared" si="17"/>
        <v>46186</v>
      </c>
      <c r="C29" s="52" t="s">
        <v>88</v>
      </c>
      <c r="D29" s="79">
        <v>0</v>
      </c>
      <c r="E29" s="62">
        <v>0</v>
      </c>
      <c r="F29" s="62">
        <v>0</v>
      </c>
      <c r="G29" s="170">
        <f t="shared" si="0"/>
        <v>0</v>
      </c>
      <c r="H29" s="171">
        <f t="shared" si="1"/>
        <v>0</v>
      </c>
      <c r="I29" s="119">
        <v>1020.3000000000001</v>
      </c>
      <c r="J29" s="120">
        <v>1050.9090000000001</v>
      </c>
      <c r="K29" s="121">
        <v>4.389934333039303</v>
      </c>
      <c r="L29" s="122">
        <v>8.3848083896893097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1050.9090000000001</v>
      </c>
      <c r="S29" s="62">
        <f t="shared" si="2"/>
        <v>46.134215000000019</v>
      </c>
      <c r="T29" s="63">
        <f t="shared" si="3"/>
        <v>88.116706000000036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13"/>
        <v>0</v>
      </c>
      <c r="AH29" s="71">
        <v>1050.9000000000001</v>
      </c>
      <c r="AI29" s="66">
        <v>4.3899999999999997</v>
      </c>
      <c r="AJ29" s="66">
        <v>8.3800000000000008</v>
      </c>
      <c r="AK29" s="62">
        <f t="shared" si="7"/>
        <v>46.134509999999999</v>
      </c>
      <c r="AL29" s="72">
        <f t="shared" si="8"/>
        <v>88.065420000000017</v>
      </c>
      <c r="AM29" s="73">
        <f t="shared" si="14"/>
        <v>9.0000000000145519E-3</v>
      </c>
      <c r="AN29" s="74">
        <f t="shared" si="18"/>
        <v>-2.9499999997995019E-4</v>
      </c>
      <c r="AO29" s="74">
        <f t="shared" si="18"/>
        <v>5.1286000000018817E-2</v>
      </c>
      <c r="AP29" s="75">
        <f t="shared" si="15"/>
        <v>3.7981862336749887E-4</v>
      </c>
      <c r="AQ29" s="76">
        <f t="shared" si="10"/>
        <v>15.216103723347967</v>
      </c>
      <c r="AR29" s="90">
        <f t="shared" si="16"/>
        <v>9.0000000000145519E-3</v>
      </c>
    </row>
    <row r="30" spans="1:48" x14ac:dyDescent="0.25">
      <c r="A30" t="str">
        <f t="shared" si="11"/>
        <v>46187M</v>
      </c>
      <c r="B30" s="51">
        <f t="shared" si="17"/>
        <v>46187</v>
      </c>
      <c r="C30" s="52" t="s">
        <v>87</v>
      </c>
      <c r="D30" s="79">
        <v>1050.9000000000001</v>
      </c>
      <c r="E30" s="62">
        <v>4.3899999999999997</v>
      </c>
      <c r="F30" s="62">
        <v>8.3800000000000008</v>
      </c>
      <c r="G30" s="170">
        <f t="shared" si="0"/>
        <v>46.134509999999999</v>
      </c>
      <c r="H30" s="171">
        <f t="shared" si="1"/>
        <v>88.065420000000017</v>
      </c>
      <c r="I30" s="119">
        <v>1195</v>
      </c>
      <c r="J30" s="120">
        <v>1230.8500000000001</v>
      </c>
      <c r="K30" s="121">
        <v>4.9104937238493722</v>
      </c>
      <c r="L30" s="122">
        <v>8.3813138075313791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1230.8500000000001</v>
      </c>
      <c r="S30" s="62">
        <f t="shared" si="2"/>
        <v>60.440812000000001</v>
      </c>
      <c r="T30" s="63">
        <f t="shared" si="3"/>
        <v>103.161401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13"/>
        <v>0</v>
      </c>
      <c r="AH30" s="71">
        <v>2281.6</v>
      </c>
      <c r="AI30" s="66">
        <v>4.6500000000000004</v>
      </c>
      <c r="AJ30" s="66">
        <v>8.3800000000000008</v>
      </c>
      <c r="AK30" s="62">
        <f t="shared" si="7"/>
        <v>106.09440000000001</v>
      </c>
      <c r="AL30" s="72">
        <f t="shared" si="8"/>
        <v>191.19808000000003</v>
      </c>
      <c r="AM30" s="73">
        <f t="shared" si="14"/>
        <v>0.15000000000009095</v>
      </c>
      <c r="AN30" s="74">
        <f t="shared" si="18"/>
        <v>0.48092199999999252</v>
      </c>
      <c r="AO30" s="74">
        <f t="shared" si="18"/>
        <v>2.8740999999996575E-2</v>
      </c>
      <c r="AP30" s="75">
        <f t="shared" si="15"/>
        <v>3.1152573712434385E-3</v>
      </c>
      <c r="AQ30" s="76">
        <f t="shared" si="10"/>
        <v>224.49210989332897</v>
      </c>
      <c r="AR30" s="90">
        <f t="shared" si="16"/>
        <v>0.15000000000009095</v>
      </c>
    </row>
    <row r="31" spans="1:48" x14ac:dyDescent="0.25">
      <c r="A31" t="str">
        <f t="shared" si="11"/>
        <v>46187E</v>
      </c>
      <c r="B31" s="51">
        <f t="shared" si="17"/>
        <v>46187</v>
      </c>
      <c r="C31" s="52" t="s">
        <v>88</v>
      </c>
      <c r="D31" s="79">
        <v>2281.6</v>
      </c>
      <c r="E31" s="62">
        <v>4.6500000000000004</v>
      </c>
      <c r="F31" s="62">
        <v>8.3800000000000008</v>
      </c>
      <c r="G31" s="170">
        <f t="shared" si="0"/>
        <v>106.09440000000001</v>
      </c>
      <c r="H31" s="171">
        <f t="shared" si="1"/>
        <v>191.19808000000003</v>
      </c>
      <c r="I31" s="119">
        <v>1250.8000000000002</v>
      </c>
      <c r="J31" s="120">
        <v>1288.3240000000003</v>
      </c>
      <c r="K31" s="121">
        <v>4.0440118324272465</v>
      </c>
      <c r="L31" s="122">
        <v>8.3739126958746404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1288.3240000000003</v>
      </c>
      <c r="S31" s="62">
        <f t="shared" si="2"/>
        <v>52.099975000000015</v>
      </c>
      <c r="T31" s="63">
        <f t="shared" si="3"/>
        <v>107.88312700000002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13"/>
        <v>0</v>
      </c>
      <c r="AH31" s="71">
        <v>3569.9</v>
      </c>
      <c r="AI31" s="66">
        <v>4.43</v>
      </c>
      <c r="AJ31" s="66">
        <v>8.3800000000000008</v>
      </c>
      <c r="AK31" s="62">
        <f t="shared" si="7"/>
        <v>158.14657</v>
      </c>
      <c r="AL31" s="72">
        <f t="shared" si="8"/>
        <v>299.15762000000007</v>
      </c>
      <c r="AM31" s="73">
        <f t="shared" si="14"/>
        <v>2.3999999999887223E-2</v>
      </c>
      <c r="AN31" s="74">
        <f t="shared" si="18"/>
        <v>4.7805000000039399E-2</v>
      </c>
      <c r="AO31" s="74">
        <f t="shared" si="18"/>
        <v>-7.6413000000002285E-2</v>
      </c>
      <c r="AP31" s="75">
        <f t="shared" si="15"/>
        <v>-1.7881888550931385E-4</v>
      </c>
      <c r="AQ31" s="76">
        <f t="shared" si="10"/>
        <v>-1.4082306699829985</v>
      </c>
      <c r="AR31" s="90">
        <f t="shared" si="16"/>
        <v>2.3999999999887223E-2</v>
      </c>
    </row>
    <row r="32" spans="1:48" x14ac:dyDescent="0.25">
      <c r="A32" t="str">
        <f t="shared" si="11"/>
        <v>46188M</v>
      </c>
      <c r="B32" s="51">
        <f t="shared" si="17"/>
        <v>46188</v>
      </c>
      <c r="C32" s="52" t="s">
        <v>87</v>
      </c>
      <c r="D32" s="79">
        <v>3569.9</v>
      </c>
      <c r="E32" s="62">
        <v>4.43</v>
      </c>
      <c r="F32" s="62">
        <v>8.3800000000000008</v>
      </c>
      <c r="G32" s="170">
        <f t="shared" si="0"/>
        <v>158.14657</v>
      </c>
      <c r="H32" s="171">
        <f t="shared" si="1"/>
        <v>299.15762000000007</v>
      </c>
      <c r="I32" s="119">
        <v>564.20000000000005</v>
      </c>
      <c r="J32" s="120">
        <v>581.12600000000009</v>
      </c>
      <c r="K32" s="121">
        <v>4.7208968450903939</v>
      </c>
      <c r="L32" s="122">
        <v>8.401417936901808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581.12600000000009</v>
      </c>
      <c r="S32" s="62">
        <f t="shared" si="2"/>
        <v>27.434359000000004</v>
      </c>
      <c r="T32" s="63">
        <f t="shared" si="3"/>
        <v>48.822824000000004</v>
      </c>
      <c r="U32" s="64" t="s">
        <v>256</v>
      </c>
      <c r="V32" s="65" t="s">
        <v>529</v>
      </c>
      <c r="W32" s="66" t="s">
        <v>253</v>
      </c>
      <c r="X32" s="67">
        <v>4255</v>
      </c>
      <c r="Y32" s="68">
        <v>4.5</v>
      </c>
      <c r="Z32" s="68">
        <v>8.49</v>
      </c>
      <c r="AA32" s="62">
        <f t="shared" si="4"/>
        <v>191.47499999999999</v>
      </c>
      <c r="AB32" s="63">
        <f t="shared" si="5"/>
        <v>361.24950000000001</v>
      </c>
      <c r="AC32" s="69">
        <v>4230</v>
      </c>
      <c r="AD32" s="70">
        <v>4.3499999999999996</v>
      </c>
      <c r="AE32" s="70">
        <v>8.2799999999999994</v>
      </c>
      <c r="AF32" s="62">
        <f t="shared" si="6"/>
        <v>184.005</v>
      </c>
      <c r="AG32" s="63">
        <f t="shared" si="13"/>
        <v>350.24399999999997</v>
      </c>
      <c r="AH32" s="71">
        <v>0</v>
      </c>
      <c r="AI32" s="66">
        <v>0</v>
      </c>
      <c r="AJ32" s="66">
        <v>0</v>
      </c>
      <c r="AK32" s="62">
        <f t="shared" si="7"/>
        <v>0</v>
      </c>
      <c r="AL32" s="72">
        <f t="shared" si="8"/>
        <v>0</v>
      </c>
      <c r="AM32" s="73">
        <f t="shared" si="14"/>
        <v>-78.97400000000016</v>
      </c>
      <c r="AN32" s="74">
        <f t="shared" si="18"/>
        <v>1.5759290000000021</v>
      </c>
      <c r="AO32" s="74">
        <f t="shared" si="18"/>
        <v>-2.2635559999998804</v>
      </c>
      <c r="AP32" s="75">
        <f t="shared" si="15"/>
        <v>-9.0172095656861368E-3</v>
      </c>
      <c r="AQ32" s="76">
        <f t="shared" si="10"/>
        <v>30.028338083370045</v>
      </c>
      <c r="AR32" s="90">
        <f t="shared" si="16"/>
        <v>-103.97400000000016</v>
      </c>
    </row>
    <row r="33" spans="1:44" x14ac:dyDescent="0.25">
      <c r="A33" t="str">
        <f t="shared" si="11"/>
        <v>46188E</v>
      </c>
      <c r="B33" s="51">
        <f t="shared" si="17"/>
        <v>46188</v>
      </c>
      <c r="C33" s="52" t="s">
        <v>88</v>
      </c>
      <c r="D33" s="79">
        <v>0</v>
      </c>
      <c r="E33" s="62">
        <v>0</v>
      </c>
      <c r="F33" s="62">
        <v>0</v>
      </c>
      <c r="G33" s="170">
        <f t="shared" si="0"/>
        <v>0</v>
      </c>
      <c r="H33" s="171">
        <f t="shared" si="1"/>
        <v>0</v>
      </c>
      <c r="I33" s="119">
        <v>1331.4</v>
      </c>
      <c r="J33" s="120">
        <v>1371.3420000000001</v>
      </c>
      <c r="K33" s="121">
        <v>4.1662911221270846</v>
      </c>
      <c r="L33" s="122">
        <v>8.2993841069550829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1371.3420000000001</v>
      </c>
      <c r="S33" s="62">
        <f t="shared" si="2"/>
        <v>57.134100000000011</v>
      </c>
      <c r="T33" s="63">
        <f t="shared" si="3"/>
        <v>113.81293999999997</v>
      </c>
      <c r="U33" s="64" t="s">
        <v>187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13"/>
        <v>0</v>
      </c>
      <c r="AH33" s="71">
        <v>1371.3</v>
      </c>
      <c r="AI33" s="66">
        <v>4.17</v>
      </c>
      <c r="AJ33" s="66">
        <v>8.3000000000000007</v>
      </c>
      <c r="AK33" s="62">
        <f t="shared" si="7"/>
        <v>57.183210000000003</v>
      </c>
      <c r="AL33" s="72">
        <f t="shared" si="8"/>
        <v>113.81790000000001</v>
      </c>
      <c r="AM33" s="73">
        <f t="shared" si="14"/>
        <v>4.20000000001437E-2</v>
      </c>
      <c r="AN33" s="74">
        <f t="shared" si="18"/>
        <v>-4.9109999999991771E-2</v>
      </c>
      <c r="AO33" s="74">
        <f t="shared" si="18"/>
        <v>-4.9600000000395994E-3</v>
      </c>
      <c r="AP33" s="75">
        <f t="shared" si="15"/>
        <v>-3.1629678992997699E-4</v>
      </c>
      <c r="AQ33" s="76">
        <f t="shared" si="10"/>
        <v>-23.530365833341492</v>
      </c>
      <c r="AR33" s="90">
        <f t="shared" si="16"/>
        <v>4.20000000001437E-2</v>
      </c>
    </row>
    <row r="34" spans="1:44" x14ac:dyDescent="0.25">
      <c r="A34" t="str">
        <f t="shared" si="11"/>
        <v>46189M</v>
      </c>
      <c r="B34" s="51">
        <f t="shared" si="17"/>
        <v>46189</v>
      </c>
      <c r="C34" s="52" t="s">
        <v>87</v>
      </c>
      <c r="D34" s="79">
        <v>1371.3</v>
      </c>
      <c r="E34" s="62">
        <v>4.17</v>
      </c>
      <c r="F34" s="62">
        <v>8.3000000000000007</v>
      </c>
      <c r="G34" s="170">
        <f t="shared" si="0"/>
        <v>57.183210000000003</v>
      </c>
      <c r="H34" s="171">
        <f t="shared" si="1"/>
        <v>113.81790000000001</v>
      </c>
      <c r="I34" s="119">
        <v>708.5</v>
      </c>
      <c r="J34" s="120">
        <v>729.755</v>
      </c>
      <c r="K34" s="121">
        <v>4.6912632321806633</v>
      </c>
      <c r="L34" s="122">
        <v>8.3447000705716334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729.755</v>
      </c>
      <c r="S34" s="62">
        <f t="shared" si="2"/>
        <v>34.234727999999997</v>
      </c>
      <c r="T34" s="63">
        <f t="shared" si="3"/>
        <v>60.895866000000026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13"/>
        <v>0</v>
      </c>
      <c r="AH34" s="71">
        <v>2101</v>
      </c>
      <c r="AI34" s="66">
        <v>4.3499999999999996</v>
      </c>
      <c r="AJ34" s="66">
        <v>8.32</v>
      </c>
      <c r="AK34" s="62">
        <f t="shared" si="7"/>
        <v>91.393499999999989</v>
      </c>
      <c r="AL34" s="72">
        <f t="shared" si="8"/>
        <v>174.8032</v>
      </c>
      <c r="AM34" s="73">
        <f t="shared" si="14"/>
        <v>5.4999999999836291E-2</v>
      </c>
      <c r="AN34" s="74">
        <f t="shared" si="18"/>
        <v>2.4438000000003512E-2</v>
      </c>
      <c r="AO34" s="74">
        <f t="shared" si="18"/>
        <v>-8.9433999999982916E-2</v>
      </c>
      <c r="AP34" s="75">
        <f t="shared" si="15"/>
        <v>-6.8322920384560385E-4</v>
      </c>
      <c r="AQ34" s="76">
        <f t="shared" si="10"/>
        <v>-15.794748713326648</v>
      </c>
      <c r="AR34" s="90">
        <f t="shared" si="16"/>
        <v>5.4999999999836291E-2</v>
      </c>
    </row>
    <row r="35" spans="1:44" x14ac:dyDescent="0.25">
      <c r="A35" t="str">
        <f t="shared" si="11"/>
        <v>46189E</v>
      </c>
      <c r="B35" s="51">
        <f t="shared" si="17"/>
        <v>46189</v>
      </c>
      <c r="C35" s="52" t="s">
        <v>88</v>
      </c>
      <c r="D35" s="79">
        <v>2101</v>
      </c>
      <c r="E35" s="62">
        <v>4.3499999999999996</v>
      </c>
      <c r="F35" s="62">
        <v>8.32</v>
      </c>
      <c r="G35" s="170">
        <f t="shared" si="0"/>
        <v>91.393499999999989</v>
      </c>
      <c r="H35" s="171">
        <f t="shared" si="1"/>
        <v>174.8032</v>
      </c>
      <c r="I35" s="119">
        <v>1288.5999999999999</v>
      </c>
      <c r="J35" s="120">
        <v>1327.258</v>
      </c>
      <c r="K35" s="121">
        <v>4.0110585131150085</v>
      </c>
      <c r="L35" s="122">
        <v>8.1450256091882647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1327.258</v>
      </c>
      <c r="S35" s="62">
        <f t="shared" si="2"/>
        <v>53.237095000000004</v>
      </c>
      <c r="T35" s="63">
        <f t="shared" si="3"/>
        <v>108.105504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13"/>
        <v>0</v>
      </c>
      <c r="AH35" s="71">
        <v>3428.2</v>
      </c>
      <c r="AI35" s="66">
        <v>4.21</v>
      </c>
      <c r="AJ35" s="66">
        <v>8.25</v>
      </c>
      <c r="AK35" s="62">
        <f t="shared" si="7"/>
        <v>144.32721999999998</v>
      </c>
      <c r="AL35" s="72">
        <f t="shared" si="8"/>
        <v>282.82650000000001</v>
      </c>
      <c r="AM35" s="73">
        <f t="shared" si="14"/>
        <v>5.7999999999992724E-2</v>
      </c>
      <c r="AN35" s="74">
        <f t="shared" si="18"/>
        <v>0.30337500000001683</v>
      </c>
      <c r="AO35" s="74">
        <f t="shared" si="18"/>
        <v>8.2203999999990174E-2</v>
      </c>
      <c r="AP35" s="75">
        <f t="shared" si="15"/>
        <v>2.389815227905229E-3</v>
      </c>
      <c r="AQ35" s="76">
        <f t="shared" si="10"/>
        <v>160.78953634333797</v>
      </c>
      <c r="AR35" s="90">
        <f t="shared" si="16"/>
        <v>5.7999999999992724E-2</v>
      </c>
    </row>
    <row r="36" spans="1:44" x14ac:dyDescent="0.25">
      <c r="A36" t="str">
        <f t="shared" si="11"/>
        <v>46190M</v>
      </c>
      <c r="B36" s="51">
        <f t="shared" si="17"/>
        <v>46190</v>
      </c>
      <c r="C36" s="52" t="s">
        <v>87</v>
      </c>
      <c r="D36" s="79">
        <v>3428.2</v>
      </c>
      <c r="E36" s="62">
        <v>4.21</v>
      </c>
      <c r="F36" s="62">
        <v>8.25</v>
      </c>
      <c r="G36" s="170">
        <f t="shared" si="0"/>
        <v>144.32721999999998</v>
      </c>
      <c r="H36" s="171">
        <f t="shared" si="1"/>
        <v>282.82650000000001</v>
      </c>
      <c r="I36" s="119">
        <v>1001.0999999999999</v>
      </c>
      <c r="J36" s="120">
        <v>1031.133</v>
      </c>
      <c r="K36" s="121">
        <v>4.9722205573868745</v>
      </c>
      <c r="L36" s="122">
        <v>8.4090400559384655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1031.133</v>
      </c>
      <c r="S36" s="62">
        <f t="shared" si="2"/>
        <v>51.270206999999999</v>
      </c>
      <c r="T36" s="63">
        <f t="shared" si="3"/>
        <v>86.708386999999988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13"/>
        <v>0</v>
      </c>
      <c r="AH36" s="71">
        <v>4459.3999999999996</v>
      </c>
      <c r="AI36" s="66">
        <v>4.3899999999999997</v>
      </c>
      <c r="AJ36" s="66">
        <v>8.2799999999999994</v>
      </c>
      <c r="AK36" s="62">
        <f t="shared" si="7"/>
        <v>195.76765999999995</v>
      </c>
      <c r="AL36" s="72">
        <f t="shared" si="8"/>
        <v>369.23831999999999</v>
      </c>
      <c r="AM36" s="73">
        <f t="shared" si="14"/>
        <v>-6.7000000000007276E-2</v>
      </c>
      <c r="AN36" s="74">
        <f t="shared" si="18"/>
        <v>-0.17023299999996766</v>
      </c>
      <c r="AO36" s="74">
        <f t="shared" si="18"/>
        <v>0.29656700000003866</v>
      </c>
      <c r="AP36" s="75">
        <f t="shared" si="15"/>
        <v>9.1560579317159167E-4</v>
      </c>
      <c r="AQ36" s="76">
        <f t="shared" si="10"/>
        <v>12.335298616692754</v>
      </c>
      <c r="AR36" s="90">
        <f t="shared" si="16"/>
        <v>-6.7000000000007276E-2</v>
      </c>
    </row>
    <row r="37" spans="1:44" x14ac:dyDescent="0.25">
      <c r="A37" t="str">
        <f t="shared" si="11"/>
        <v>46190E</v>
      </c>
      <c r="B37" s="51">
        <f t="shared" si="17"/>
        <v>46190</v>
      </c>
      <c r="C37" s="52" t="s">
        <v>88</v>
      </c>
      <c r="D37" s="79">
        <v>4459.3999999999996</v>
      </c>
      <c r="E37" s="62">
        <v>4.3899999999999997</v>
      </c>
      <c r="F37" s="62">
        <v>8.2799999999999994</v>
      </c>
      <c r="G37" s="170">
        <f t="shared" si="0"/>
        <v>195.76765999999995</v>
      </c>
      <c r="H37" s="171">
        <f t="shared" si="1"/>
        <v>369.23831999999999</v>
      </c>
      <c r="I37" s="119">
        <v>898.90000000000009</v>
      </c>
      <c r="J37" s="120">
        <v>925.86700000000008</v>
      </c>
      <c r="K37" s="121">
        <v>3.9436311046835022</v>
      </c>
      <c r="L37" s="122">
        <v>8.3456113027033023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925.86700000000008</v>
      </c>
      <c r="S37" s="62">
        <f t="shared" si="2"/>
        <v>36.512779000000009</v>
      </c>
      <c r="T37" s="63">
        <f t="shared" si="3"/>
        <v>77.269261</v>
      </c>
      <c r="U37" s="64" t="s">
        <v>167</v>
      </c>
      <c r="V37" s="65" t="s">
        <v>187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13"/>
        <v>0</v>
      </c>
      <c r="AH37" s="71">
        <v>5385.3</v>
      </c>
      <c r="AI37" s="66">
        <v>4.3099999999999996</v>
      </c>
      <c r="AJ37" s="66">
        <v>8.2899999999999991</v>
      </c>
      <c r="AK37" s="62">
        <f t="shared" si="7"/>
        <v>232.10643000000002</v>
      </c>
      <c r="AL37" s="72">
        <f t="shared" si="8"/>
        <v>446.44136999999995</v>
      </c>
      <c r="AM37" s="73">
        <f t="shared" si="14"/>
        <v>-3.3000000000356522E-2</v>
      </c>
      <c r="AN37" s="74">
        <f t="shared" si="18"/>
        <v>0.17400899999992703</v>
      </c>
      <c r="AO37" s="74">
        <f t="shared" si="18"/>
        <v>6.621100000000979E-2</v>
      </c>
      <c r="AP37" s="75">
        <f t="shared" si="15"/>
        <v>2.1112295051129051E-3</v>
      </c>
      <c r="AQ37" s="76">
        <f t="shared" si="10"/>
        <v>97.929566863303506</v>
      </c>
      <c r="AR37" s="90">
        <f t="shared" si="16"/>
        <v>-3.3000000000356522E-2</v>
      </c>
    </row>
    <row r="38" spans="1:44" x14ac:dyDescent="0.25">
      <c r="A38" t="str">
        <f t="shared" si="11"/>
        <v>46191M</v>
      </c>
      <c r="B38" s="51">
        <f t="shared" si="17"/>
        <v>46191</v>
      </c>
      <c r="C38" s="52" t="s">
        <v>87</v>
      </c>
      <c r="D38" s="79">
        <v>5385.3</v>
      </c>
      <c r="E38" s="62">
        <v>4.3099999999999996</v>
      </c>
      <c r="F38" s="62">
        <v>8.2899999999999991</v>
      </c>
      <c r="G38" s="170">
        <f t="shared" si="0"/>
        <v>232.10643000000002</v>
      </c>
      <c r="H38" s="171">
        <f t="shared" si="1"/>
        <v>446.44136999999995</v>
      </c>
      <c r="I38" s="119">
        <v>653.4</v>
      </c>
      <c r="J38" s="120">
        <v>673.00199999999995</v>
      </c>
      <c r="K38" s="121">
        <v>4.7133914906642174</v>
      </c>
      <c r="L38" s="122">
        <v>8.2783899602081412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673.00199999999995</v>
      </c>
      <c r="S38" s="62">
        <f t="shared" si="2"/>
        <v>31.721218999999998</v>
      </c>
      <c r="T38" s="63">
        <f t="shared" si="3"/>
        <v>55.713729999999984</v>
      </c>
      <c r="U38" s="64" t="s">
        <v>244</v>
      </c>
      <c r="V38" s="65" t="s">
        <v>649</v>
      </c>
      <c r="W38" s="66" t="s">
        <v>225</v>
      </c>
      <c r="X38" s="67">
        <v>6380</v>
      </c>
      <c r="Y38" s="68">
        <v>4.3499999999999996</v>
      </c>
      <c r="Z38" s="68">
        <v>8.2799999999999994</v>
      </c>
      <c r="AA38" s="62">
        <f t="shared" si="4"/>
        <v>277.52999999999997</v>
      </c>
      <c r="AB38" s="63">
        <f t="shared" si="5"/>
        <v>528.26400000000001</v>
      </c>
      <c r="AC38" s="226">
        <v>6380</v>
      </c>
      <c r="AD38" s="227">
        <v>4.3499999999999996</v>
      </c>
      <c r="AE38" s="227">
        <v>8.2799999999999994</v>
      </c>
      <c r="AF38" s="62">
        <f t="shared" si="6"/>
        <v>277.52999999999997</v>
      </c>
      <c r="AG38" s="63">
        <f t="shared" si="13"/>
        <v>528.26400000000001</v>
      </c>
      <c r="AH38" s="71">
        <v>0</v>
      </c>
      <c r="AI38" s="66">
        <v>0</v>
      </c>
      <c r="AJ38" s="66">
        <v>0</v>
      </c>
      <c r="AK38" s="62">
        <f t="shared" si="7"/>
        <v>0</v>
      </c>
      <c r="AL38" s="72">
        <f t="shared" si="8"/>
        <v>0</v>
      </c>
      <c r="AM38" s="73">
        <f t="shared" si="14"/>
        <v>-321.69800000000032</v>
      </c>
      <c r="AN38" s="74">
        <f t="shared" si="18"/>
        <v>-13.702350999999965</v>
      </c>
      <c r="AO38" s="74">
        <f t="shared" si="18"/>
        <v>-26.108900000000062</v>
      </c>
      <c r="AP38" s="75">
        <f t="shared" si="15"/>
        <v>-0.4553242319612954</v>
      </c>
      <c r="AQ38" s="76">
        <f t="shared" si="10"/>
        <v>-13964.81992007667</v>
      </c>
      <c r="AR38" s="90">
        <f t="shared" si="16"/>
        <v>-321.69800000000032</v>
      </c>
    </row>
    <row r="39" spans="1:44" x14ac:dyDescent="0.25">
      <c r="A39" t="str">
        <f t="shared" si="11"/>
        <v>46191E</v>
      </c>
      <c r="B39" s="51">
        <f t="shared" si="17"/>
        <v>46191</v>
      </c>
      <c r="C39" s="52" t="s">
        <v>88</v>
      </c>
      <c r="D39" s="79">
        <v>0</v>
      </c>
      <c r="E39" s="62">
        <v>0</v>
      </c>
      <c r="F39" s="62">
        <v>0</v>
      </c>
      <c r="G39" s="170">
        <f t="shared" si="0"/>
        <v>0</v>
      </c>
      <c r="H39" s="171">
        <f t="shared" si="1"/>
        <v>0</v>
      </c>
      <c r="I39" s="119">
        <v>1759.1999999999998</v>
      </c>
      <c r="J39" s="120">
        <v>1811.9759999999999</v>
      </c>
      <c r="K39" s="121">
        <v>4.3642507958162806</v>
      </c>
      <c r="L39" s="122">
        <v>8.3807639836289241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1811.9759999999999</v>
      </c>
      <c r="S39" s="62">
        <f t="shared" si="2"/>
        <v>79.079177000000001</v>
      </c>
      <c r="T39" s="63">
        <f t="shared" si="3"/>
        <v>151.85743200000002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13"/>
        <v>0</v>
      </c>
      <c r="AH39" s="71">
        <v>1811.9</v>
      </c>
      <c r="AI39" s="66">
        <v>4.3600000000000003</v>
      </c>
      <c r="AJ39" s="66">
        <v>8.3800000000000008</v>
      </c>
      <c r="AK39" s="62">
        <f t="shared" si="7"/>
        <v>78.998840000000001</v>
      </c>
      <c r="AL39" s="72">
        <f t="shared" si="8"/>
        <v>151.83722000000003</v>
      </c>
      <c r="AM39" s="73">
        <f t="shared" si="14"/>
        <v>7.5999999999794454E-2</v>
      </c>
      <c r="AN39" s="74">
        <f t="shared" si="18"/>
        <v>8.0337000000000103E-2</v>
      </c>
      <c r="AO39" s="74">
        <f t="shared" si="18"/>
        <v>2.0211999999986574E-2</v>
      </c>
      <c r="AP39" s="75">
        <f t="shared" si="15"/>
        <v>4.3539653775719322E-4</v>
      </c>
      <c r="AQ39" s="76">
        <f t="shared" si="10"/>
        <v>42.112995283329361</v>
      </c>
      <c r="AR39" s="90">
        <f t="shared" si="16"/>
        <v>7.5999999999794454E-2</v>
      </c>
    </row>
    <row r="40" spans="1:44" x14ac:dyDescent="0.25">
      <c r="A40" t="str">
        <f t="shared" si="11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170">
        <f t="shared" si="0"/>
        <v>0</v>
      </c>
      <c r="H40" s="171">
        <f t="shared" si="1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2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13"/>
        <v>0</v>
      </c>
      <c r="AH40" s="71"/>
      <c r="AI40" s="66"/>
      <c r="AJ40" s="66"/>
      <c r="AK40" s="62">
        <f t="shared" si="7"/>
        <v>0</v>
      </c>
      <c r="AL40" s="72">
        <f t="shared" si="8"/>
        <v>0</v>
      </c>
      <c r="AM40" s="73">
        <f t="shared" si="14"/>
        <v>0</v>
      </c>
      <c r="AN40" s="74">
        <f t="shared" si="18"/>
        <v>0</v>
      </c>
      <c r="AO40" s="74">
        <f t="shared" si="18"/>
        <v>0</v>
      </c>
      <c r="AP40" s="75" t="e">
        <f t="shared" si="15"/>
        <v>#DIV/0!</v>
      </c>
      <c r="AQ40" s="76">
        <f t="shared" si="10"/>
        <v>0</v>
      </c>
      <c r="AR40" s="90">
        <f t="shared" si="16"/>
        <v>0</v>
      </c>
    </row>
    <row r="41" spans="1:44" x14ac:dyDescent="0.25">
      <c r="A41" t="str">
        <f t="shared" si="11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170">
        <f t="shared" si="0"/>
        <v>0</v>
      </c>
      <c r="H41" s="171">
        <f t="shared" si="1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2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13"/>
        <v>0</v>
      </c>
      <c r="AH41" s="71"/>
      <c r="AI41" s="66"/>
      <c r="AJ41" s="66"/>
      <c r="AK41" s="62">
        <f t="shared" si="7"/>
        <v>0</v>
      </c>
      <c r="AL41" s="72">
        <f t="shared" si="8"/>
        <v>0</v>
      </c>
      <c r="AM41" s="73">
        <f t="shared" si="14"/>
        <v>0</v>
      </c>
      <c r="AN41" s="74">
        <f t="shared" si="18"/>
        <v>0</v>
      </c>
      <c r="AO41" s="74">
        <f t="shared" si="18"/>
        <v>0</v>
      </c>
      <c r="AP41" s="75" t="e">
        <f t="shared" si="15"/>
        <v>#DIV/0!</v>
      </c>
      <c r="AQ41" s="76">
        <f t="shared" si="10"/>
        <v>0</v>
      </c>
      <c r="AR41" s="90">
        <f t="shared" si="16"/>
        <v>0</v>
      </c>
    </row>
    <row r="42" spans="1:44" x14ac:dyDescent="0.25">
      <c r="A42" t="str">
        <f t="shared" si="11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170">
        <f t="shared" si="0"/>
        <v>0</v>
      </c>
      <c r="H42" s="171">
        <f t="shared" si="1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2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13"/>
        <v>0</v>
      </c>
      <c r="AH42" s="71"/>
      <c r="AI42" s="66"/>
      <c r="AJ42" s="66"/>
      <c r="AK42" s="62">
        <f t="shared" si="7"/>
        <v>0</v>
      </c>
      <c r="AL42" s="72">
        <f t="shared" si="8"/>
        <v>0</v>
      </c>
      <c r="AM42" s="73">
        <f t="shared" si="14"/>
        <v>0</v>
      </c>
      <c r="AN42" s="74">
        <f t="shared" si="18"/>
        <v>0</v>
      </c>
      <c r="AO42" s="74">
        <f t="shared" si="18"/>
        <v>0</v>
      </c>
      <c r="AP42" s="75" t="e">
        <f t="shared" si="15"/>
        <v>#DIV/0!</v>
      </c>
      <c r="AQ42" s="76">
        <f t="shared" si="10"/>
        <v>0</v>
      </c>
      <c r="AR42" s="90">
        <f t="shared" si="16"/>
        <v>0</v>
      </c>
    </row>
    <row r="43" spans="1:44" x14ac:dyDescent="0.25">
      <c r="A43" t="str">
        <f t="shared" si="11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170">
        <f t="shared" si="0"/>
        <v>0</v>
      </c>
      <c r="H43" s="171">
        <f t="shared" si="1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2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13"/>
        <v>0</v>
      </c>
      <c r="AH43" s="71"/>
      <c r="AI43" s="66"/>
      <c r="AJ43" s="66"/>
      <c r="AK43" s="62">
        <f t="shared" si="7"/>
        <v>0</v>
      </c>
      <c r="AL43" s="72">
        <f t="shared" si="8"/>
        <v>0</v>
      </c>
      <c r="AM43" s="73">
        <f t="shared" si="14"/>
        <v>0</v>
      </c>
      <c r="AN43" s="74">
        <f t="shared" si="18"/>
        <v>0</v>
      </c>
      <c r="AO43" s="74">
        <f t="shared" si="18"/>
        <v>0</v>
      </c>
      <c r="AP43" s="75" t="e">
        <f t="shared" si="15"/>
        <v>#DIV/0!</v>
      </c>
      <c r="AQ43" s="76">
        <f t="shared" si="10"/>
        <v>0</v>
      </c>
      <c r="AR43" s="90">
        <f t="shared" si="16"/>
        <v>0</v>
      </c>
    </row>
    <row r="44" spans="1:44" x14ac:dyDescent="0.25">
      <c r="A44" t="str">
        <f t="shared" si="11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170">
        <f t="shared" si="0"/>
        <v>0</v>
      </c>
      <c r="H44" s="171">
        <f t="shared" si="1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2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13"/>
        <v>0</v>
      </c>
      <c r="AH44" s="71"/>
      <c r="AI44" s="66"/>
      <c r="AJ44" s="66"/>
      <c r="AK44" s="62">
        <f t="shared" si="7"/>
        <v>0</v>
      </c>
      <c r="AL44" s="72">
        <f t="shared" si="8"/>
        <v>0</v>
      </c>
      <c r="AM44" s="73">
        <f t="shared" si="14"/>
        <v>0</v>
      </c>
      <c r="AN44" s="74">
        <f t="shared" si="18"/>
        <v>0</v>
      </c>
      <c r="AO44" s="74">
        <f t="shared" si="18"/>
        <v>0</v>
      </c>
      <c r="AP44" s="75" t="e">
        <f t="shared" si="15"/>
        <v>#DIV/0!</v>
      </c>
      <c r="AQ44" s="76">
        <f t="shared" si="10"/>
        <v>0</v>
      </c>
      <c r="AR44" s="90">
        <f>(D44+J44+O44)-(X44+AH44)</f>
        <v>0</v>
      </c>
    </row>
    <row r="45" spans="1:44" x14ac:dyDescent="0.25">
      <c r="A45" t="str">
        <f t="shared" si="11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170">
        <f t="shared" si="0"/>
        <v>0</v>
      </c>
      <c r="H45" s="171">
        <f t="shared" si="1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2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13"/>
        <v>0</v>
      </c>
      <c r="AH45" s="71"/>
      <c r="AI45" s="66"/>
      <c r="AJ45" s="66"/>
      <c r="AK45" s="62">
        <f t="shared" si="7"/>
        <v>0</v>
      </c>
      <c r="AL45" s="72">
        <f t="shared" si="8"/>
        <v>0</v>
      </c>
      <c r="AM45" s="73">
        <f t="shared" si="14"/>
        <v>0</v>
      </c>
      <c r="AN45" s="74">
        <f t="shared" si="18"/>
        <v>0</v>
      </c>
      <c r="AO45" s="74">
        <f t="shared" si="18"/>
        <v>0</v>
      </c>
      <c r="AP45" s="75" t="e">
        <f t="shared" si="15"/>
        <v>#DIV/0!</v>
      </c>
      <c r="AQ45" s="76">
        <f t="shared" si="10"/>
        <v>0</v>
      </c>
      <c r="AR45" s="90">
        <f>(D45+J45+O45)-(X45+AH45)</f>
        <v>0</v>
      </c>
    </row>
    <row r="46" spans="1:44" x14ac:dyDescent="0.25">
      <c r="A46" t="str">
        <f t="shared" si="11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170">
        <f t="shared" si="0"/>
        <v>0</v>
      </c>
      <c r="H46" s="171">
        <f t="shared" si="1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2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13"/>
        <v>0</v>
      </c>
      <c r="AH46" s="71"/>
      <c r="AI46" s="66"/>
      <c r="AJ46" s="66"/>
      <c r="AK46" s="62">
        <f t="shared" si="7"/>
        <v>0</v>
      </c>
      <c r="AL46" s="72">
        <f t="shared" si="8"/>
        <v>0</v>
      </c>
      <c r="AM46" s="73">
        <f t="shared" si="14"/>
        <v>0</v>
      </c>
      <c r="AN46" s="74">
        <f t="shared" si="18"/>
        <v>0</v>
      </c>
      <c r="AO46" s="74">
        <f t="shared" si="18"/>
        <v>0</v>
      </c>
      <c r="AP46" s="75" t="e">
        <f t="shared" si="15"/>
        <v>#DIV/0!</v>
      </c>
      <c r="AQ46" s="76">
        <f t="shared" si="10"/>
        <v>0</v>
      </c>
      <c r="AR46" s="90">
        <f>(D46+J46+O46)-(X46+AH46)</f>
        <v>0</v>
      </c>
    </row>
    <row r="47" spans="1:44" x14ac:dyDescent="0.25">
      <c r="A47" t="str">
        <f t="shared" si="11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170">
        <f t="shared" si="0"/>
        <v>0</v>
      </c>
      <c r="H47" s="171">
        <f t="shared" si="1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2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13"/>
        <v>0</v>
      </c>
      <c r="AH47" s="71"/>
      <c r="AI47" s="66"/>
      <c r="AJ47" s="66"/>
      <c r="AK47" s="62">
        <f t="shared" si="7"/>
        <v>0</v>
      </c>
      <c r="AL47" s="72">
        <f t="shared" si="8"/>
        <v>0</v>
      </c>
      <c r="AM47" s="73">
        <f t="shared" si="14"/>
        <v>0</v>
      </c>
      <c r="AN47" s="74">
        <f t="shared" si="18"/>
        <v>0</v>
      </c>
      <c r="AO47" s="74">
        <f t="shared" si="18"/>
        <v>0</v>
      </c>
      <c r="AP47" s="75" t="e">
        <f t="shared" si="15"/>
        <v>#DIV/0!</v>
      </c>
      <c r="AQ47" s="76">
        <f t="shared" si="10"/>
        <v>0</v>
      </c>
      <c r="AR47" s="90">
        <f>(D47+J47+O47)-(X47+AH47)</f>
        <v>0</v>
      </c>
    </row>
    <row r="48" spans="1:44" x14ac:dyDescent="0.25">
      <c r="A48" t="str">
        <f t="shared" si="11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170">
        <f t="shared" si="0"/>
        <v>0</v>
      </c>
      <c r="H48" s="171">
        <f t="shared" si="1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2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13"/>
        <v>0</v>
      </c>
      <c r="AH48" s="71"/>
      <c r="AI48" s="66"/>
      <c r="AJ48" s="66"/>
      <c r="AK48" s="62">
        <f t="shared" si="7"/>
        <v>0</v>
      </c>
      <c r="AL48" s="72">
        <f t="shared" si="8"/>
        <v>0</v>
      </c>
      <c r="AM48" s="73">
        <f t="shared" si="14"/>
        <v>0</v>
      </c>
      <c r="AN48" s="74">
        <f t="shared" si="18"/>
        <v>0</v>
      </c>
      <c r="AO48" s="74">
        <f t="shared" si="18"/>
        <v>0</v>
      </c>
      <c r="AP48" s="75" t="e">
        <f t="shared" si="15"/>
        <v>#DIV/0!</v>
      </c>
      <c r="AQ48" s="76">
        <f t="shared" si="10"/>
        <v>0</v>
      </c>
      <c r="AR48" s="83">
        <f t="shared" si="16"/>
        <v>0</v>
      </c>
    </row>
    <row r="49" spans="1:44" x14ac:dyDescent="0.25">
      <c r="A49" t="str">
        <f t="shared" si="11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170">
        <f t="shared" si="0"/>
        <v>0</v>
      </c>
      <c r="H49" s="171">
        <f t="shared" si="1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2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13"/>
        <v>0</v>
      </c>
      <c r="AH49" s="71"/>
      <c r="AI49" s="66"/>
      <c r="AJ49" s="66"/>
      <c r="AK49" s="62">
        <f t="shared" si="7"/>
        <v>0</v>
      </c>
      <c r="AL49" s="72">
        <f t="shared" si="8"/>
        <v>0</v>
      </c>
      <c r="AM49" s="73">
        <f t="shared" si="14"/>
        <v>0</v>
      </c>
      <c r="AN49" s="74">
        <f t="shared" si="18"/>
        <v>0</v>
      </c>
      <c r="AO49" s="74">
        <f t="shared" si="18"/>
        <v>0</v>
      </c>
      <c r="AP49" s="75" t="e">
        <f t="shared" si="15"/>
        <v>#DIV/0!</v>
      </c>
      <c r="AQ49" s="76">
        <f t="shared" si="10"/>
        <v>0</v>
      </c>
      <c r="AR49" s="83">
        <f t="shared" si="16"/>
        <v>0</v>
      </c>
    </row>
    <row r="50" spans="1:44" x14ac:dyDescent="0.25">
      <c r="A50" t="str">
        <f t="shared" si="11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170">
        <f t="shared" si="0"/>
        <v>0</v>
      </c>
      <c r="H50" s="171">
        <f t="shared" si="1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12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13"/>
        <v>0</v>
      </c>
      <c r="AH50" s="71"/>
      <c r="AI50" s="66"/>
      <c r="AJ50" s="66"/>
      <c r="AK50" s="62">
        <f t="shared" si="7"/>
        <v>0</v>
      </c>
      <c r="AL50" s="72">
        <f t="shared" si="8"/>
        <v>0</v>
      </c>
      <c r="AM50" s="73">
        <f t="shared" si="14"/>
        <v>0</v>
      </c>
      <c r="AN50" s="74">
        <f t="shared" si="18"/>
        <v>0</v>
      </c>
      <c r="AO50" s="74">
        <f t="shared" si="18"/>
        <v>0</v>
      </c>
      <c r="AP50" s="75" t="e">
        <f t="shared" si="15"/>
        <v>#DIV/0!</v>
      </c>
      <c r="AQ50" s="76">
        <f t="shared" si="10"/>
        <v>0</v>
      </c>
      <c r="AR50" s="83">
        <f t="shared" si="16"/>
        <v>0</v>
      </c>
    </row>
    <row r="51" spans="1:44" x14ac:dyDescent="0.25">
      <c r="A51" t="str">
        <f t="shared" si="11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170">
        <f t="shared" si="0"/>
        <v>0</v>
      </c>
      <c r="H51" s="171">
        <f t="shared" si="1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12"/>
        <v>0</v>
      </c>
      <c r="S51" s="62">
        <f t="shared" si="2"/>
        <v>0</v>
      </c>
      <c r="T51" s="63">
        <f t="shared" si="3"/>
        <v>0</v>
      </c>
      <c r="U51" s="64"/>
      <c r="V51" s="6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13"/>
        <v>0</v>
      </c>
      <c r="AH51" s="71"/>
      <c r="AI51" s="66"/>
      <c r="AJ51" s="66"/>
      <c r="AK51" s="62">
        <f t="shared" si="7"/>
        <v>0</v>
      </c>
      <c r="AL51" s="72">
        <f t="shared" si="8"/>
        <v>0</v>
      </c>
      <c r="AM51" s="73">
        <f t="shared" si="14"/>
        <v>0</v>
      </c>
      <c r="AN51" s="74">
        <f t="shared" si="18"/>
        <v>0</v>
      </c>
      <c r="AO51" s="74">
        <f t="shared" si="18"/>
        <v>0</v>
      </c>
      <c r="AP51" s="75" t="e">
        <f t="shared" si="15"/>
        <v>#DIV/0!</v>
      </c>
      <c r="AQ51" s="76">
        <f t="shared" si="10"/>
        <v>0</v>
      </c>
      <c r="AR51" s="83">
        <f t="shared" si="16"/>
        <v>0</v>
      </c>
    </row>
    <row r="52" spans="1:44" x14ac:dyDescent="0.25">
      <c r="A52" t="str">
        <f t="shared" si="11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170">
        <f t="shared" si="0"/>
        <v>0</v>
      </c>
      <c r="H52" s="171">
        <f t="shared" si="1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2"/>
        <v>0</v>
      </c>
      <c r="S52" s="62">
        <f t="shared" si="2"/>
        <v>0</v>
      </c>
      <c r="T52" s="63">
        <f t="shared" si="3"/>
        <v>0</v>
      </c>
      <c r="U52" s="64"/>
      <c r="V52" s="6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13"/>
        <v>0</v>
      </c>
      <c r="AH52" s="71"/>
      <c r="AI52" s="66"/>
      <c r="AJ52" s="66"/>
      <c r="AK52" s="62">
        <f t="shared" si="7"/>
        <v>0</v>
      </c>
      <c r="AL52" s="72">
        <f t="shared" si="8"/>
        <v>0</v>
      </c>
      <c r="AM52" s="73">
        <f t="shared" si="14"/>
        <v>0</v>
      </c>
      <c r="AN52" s="74">
        <f t="shared" si="18"/>
        <v>0</v>
      </c>
      <c r="AO52" s="74">
        <f t="shared" si="18"/>
        <v>0</v>
      </c>
      <c r="AP52" s="75" t="e">
        <f t="shared" si="15"/>
        <v>#DIV/0!</v>
      </c>
      <c r="AQ52" s="76">
        <f t="shared" si="10"/>
        <v>0</v>
      </c>
      <c r="AR52" s="83">
        <f t="shared" si="16"/>
        <v>0</v>
      </c>
    </row>
    <row r="53" spans="1:44" x14ac:dyDescent="0.25">
      <c r="A53" t="str">
        <f t="shared" si="11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170">
        <f t="shared" si="0"/>
        <v>0</v>
      </c>
      <c r="H53" s="171">
        <f t="shared" si="1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2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13"/>
        <v>0</v>
      </c>
      <c r="AH53" s="71"/>
      <c r="AI53" s="66"/>
      <c r="AJ53" s="66"/>
      <c r="AK53" s="62">
        <f t="shared" si="7"/>
        <v>0</v>
      </c>
      <c r="AL53" s="72">
        <f t="shared" si="8"/>
        <v>0</v>
      </c>
      <c r="AM53" s="73">
        <f t="shared" si="14"/>
        <v>0</v>
      </c>
      <c r="AN53" s="74">
        <f t="shared" si="18"/>
        <v>0</v>
      </c>
      <c r="AO53" s="74">
        <f t="shared" si="18"/>
        <v>0</v>
      </c>
      <c r="AP53" s="75" t="e">
        <f t="shared" si="15"/>
        <v>#DIV/0!</v>
      </c>
      <c r="AQ53" s="76">
        <f t="shared" si="10"/>
        <v>0</v>
      </c>
      <c r="AR53" s="83">
        <f t="shared" si="16"/>
        <v>0</v>
      </c>
    </row>
    <row r="54" spans="1:44" x14ac:dyDescent="0.25">
      <c r="A54" t="str">
        <f t="shared" si="11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170">
        <f t="shared" si="0"/>
        <v>0</v>
      </c>
      <c r="H54" s="171">
        <f t="shared" si="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2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13"/>
        <v>0</v>
      </c>
      <c r="AH54" s="71"/>
      <c r="AI54" s="66"/>
      <c r="AJ54" s="66"/>
      <c r="AK54" s="62">
        <f t="shared" si="7"/>
        <v>0</v>
      </c>
      <c r="AL54" s="72">
        <f t="shared" si="8"/>
        <v>0</v>
      </c>
      <c r="AM54" s="73">
        <f t="shared" si="14"/>
        <v>0</v>
      </c>
      <c r="AN54" s="74">
        <f t="shared" si="18"/>
        <v>0</v>
      </c>
      <c r="AO54" s="74">
        <f t="shared" si="18"/>
        <v>0</v>
      </c>
      <c r="AP54" s="75" t="e">
        <f t="shared" si="15"/>
        <v>#DIV/0!</v>
      </c>
      <c r="AQ54" s="76">
        <f t="shared" si="10"/>
        <v>0</v>
      </c>
      <c r="AR54" s="90">
        <f t="shared" si="16"/>
        <v>0</v>
      </c>
    </row>
    <row r="55" spans="1:44" x14ac:dyDescent="0.25">
      <c r="A55" t="str">
        <f t="shared" si="11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170">
        <f t="shared" si="0"/>
        <v>0</v>
      </c>
      <c r="H55" s="171">
        <f t="shared" si="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2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13"/>
        <v>0</v>
      </c>
      <c r="AH55" s="71"/>
      <c r="AI55" s="66"/>
      <c r="AJ55" s="66"/>
      <c r="AK55" s="62">
        <f t="shared" si="7"/>
        <v>0</v>
      </c>
      <c r="AL55" s="72">
        <f t="shared" si="8"/>
        <v>0</v>
      </c>
      <c r="AM55" s="73">
        <f t="shared" si="14"/>
        <v>0</v>
      </c>
      <c r="AN55" s="74">
        <f t="shared" si="18"/>
        <v>0</v>
      </c>
      <c r="AO55" s="74">
        <f t="shared" si="18"/>
        <v>0</v>
      </c>
      <c r="AP55" s="75" t="e">
        <f t="shared" si="15"/>
        <v>#DIV/0!</v>
      </c>
      <c r="AQ55" s="76">
        <f t="shared" si="10"/>
        <v>0</v>
      </c>
      <c r="AR55" s="90">
        <f t="shared" si="16"/>
        <v>0</v>
      </c>
    </row>
    <row r="56" spans="1:44" x14ac:dyDescent="0.25">
      <c r="A56" t="str">
        <f t="shared" si="11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170">
        <f t="shared" si="0"/>
        <v>0</v>
      </c>
      <c r="H56" s="171">
        <f t="shared" si="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2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13"/>
        <v>0</v>
      </c>
      <c r="AH56" s="71"/>
      <c r="AI56" s="66"/>
      <c r="AJ56" s="66"/>
      <c r="AK56" s="62">
        <f t="shared" si="7"/>
        <v>0</v>
      </c>
      <c r="AL56" s="72">
        <f t="shared" si="8"/>
        <v>0</v>
      </c>
      <c r="AM56" s="73">
        <f t="shared" si="14"/>
        <v>0</v>
      </c>
      <c r="AN56" s="74">
        <f t="shared" si="18"/>
        <v>0</v>
      </c>
      <c r="AO56" s="74">
        <f t="shared" si="18"/>
        <v>0</v>
      </c>
      <c r="AP56" s="75" t="e">
        <f t="shared" si="15"/>
        <v>#DIV/0!</v>
      </c>
      <c r="AQ56" s="76">
        <f t="shared" si="10"/>
        <v>0</v>
      </c>
      <c r="AR56" s="90">
        <f t="shared" si="16"/>
        <v>0</v>
      </c>
    </row>
    <row r="57" spans="1:44" x14ac:dyDescent="0.25">
      <c r="A57" t="str">
        <f t="shared" si="11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170">
        <f t="shared" si="0"/>
        <v>0</v>
      </c>
      <c r="H57" s="171">
        <f t="shared" si="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2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6"/>
        <v>0</v>
      </c>
      <c r="AG57" s="63">
        <f t="shared" si="13"/>
        <v>0</v>
      </c>
      <c r="AH57" s="71"/>
      <c r="AI57" s="66"/>
      <c r="AJ57" s="66"/>
      <c r="AK57" s="62">
        <f t="shared" si="7"/>
        <v>0</v>
      </c>
      <c r="AL57" s="72">
        <f t="shared" si="8"/>
        <v>0</v>
      </c>
      <c r="AM57" s="73">
        <f t="shared" si="14"/>
        <v>0</v>
      </c>
      <c r="AN57" s="74">
        <f t="shared" si="18"/>
        <v>0</v>
      </c>
      <c r="AO57" s="74">
        <f t="shared" si="18"/>
        <v>0</v>
      </c>
      <c r="AP57" s="75" t="e">
        <f t="shared" si="15"/>
        <v>#DIV/0!</v>
      </c>
      <c r="AQ57" s="76">
        <f t="shared" si="10"/>
        <v>0</v>
      </c>
      <c r="AR57" s="90">
        <f t="shared" si="16"/>
        <v>0</v>
      </c>
    </row>
    <row r="58" spans="1:44" x14ac:dyDescent="0.25">
      <c r="A58" t="str">
        <f t="shared" si="11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170">
        <f t="shared" si="0"/>
        <v>0</v>
      </c>
      <c r="H58" s="171">
        <f t="shared" si="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2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ref="AA58:AA65" si="19">X58*Y58%</f>
        <v>0</v>
      </c>
      <c r="AB58" s="63">
        <f t="shared" ref="AB58:AB65" si="20">X58*Z58%</f>
        <v>0</v>
      </c>
      <c r="AC58" s="69"/>
      <c r="AD58" s="70"/>
      <c r="AE58" s="70"/>
      <c r="AF58" s="62">
        <f t="shared" si="6"/>
        <v>0</v>
      </c>
      <c r="AG58" s="63">
        <f t="shared" si="13"/>
        <v>0</v>
      </c>
      <c r="AH58" s="71"/>
      <c r="AI58" s="66"/>
      <c r="AJ58" s="66"/>
      <c r="AK58" s="62">
        <f t="shared" si="7"/>
        <v>0</v>
      </c>
      <c r="AL58" s="72">
        <f>AH58*AJ58%</f>
        <v>0</v>
      </c>
      <c r="AM58" s="73">
        <f t="shared" si="14"/>
        <v>0</v>
      </c>
      <c r="AN58" s="74">
        <f t="shared" si="18"/>
        <v>0</v>
      </c>
      <c r="AO58" s="74">
        <f t="shared" si="18"/>
        <v>0</v>
      </c>
      <c r="AP58" s="75" t="e">
        <f t="shared" si="15"/>
        <v>#DIV/0!</v>
      </c>
      <c r="AQ58" s="76">
        <f t="shared" si="10"/>
        <v>0</v>
      </c>
      <c r="AR58" s="90">
        <f t="shared" si="16"/>
        <v>0</v>
      </c>
    </row>
    <row r="59" spans="1:44" x14ac:dyDescent="0.25">
      <c r="A59" t="str">
        <f t="shared" si="11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170">
        <f t="shared" si="0"/>
        <v>0</v>
      </c>
      <c r="H59" s="171">
        <f t="shared" si="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2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6"/>
        <v>0</v>
      </c>
      <c r="AG59" s="63">
        <f t="shared" si="13"/>
        <v>0</v>
      </c>
      <c r="AH59" s="71"/>
      <c r="AI59" s="66"/>
      <c r="AJ59" s="66"/>
      <c r="AK59" s="62">
        <f t="shared" si="7"/>
        <v>0</v>
      </c>
      <c r="AL59" s="72">
        <f t="shared" si="8"/>
        <v>0</v>
      </c>
      <c r="AM59" s="73">
        <f t="shared" si="14"/>
        <v>0</v>
      </c>
      <c r="AN59" s="74">
        <f t="shared" si="18"/>
        <v>0</v>
      </c>
      <c r="AO59" s="74">
        <f t="shared" si="18"/>
        <v>0</v>
      </c>
      <c r="AP59" s="75" t="e">
        <f t="shared" si="15"/>
        <v>#DIV/0!</v>
      </c>
      <c r="AQ59" s="76">
        <f t="shared" si="10"/>
        <v>0</v>
      </c>
      <c r="AR59" s="90">
        <f t="shared" si="16"/>
        <v>0</v>
      </c>
    </row>
    <row r="60" spans="1:44" x14ac:dyDescent="0.25">
      <c r="A60" t="str">
        <f t="shared" si="11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170">
        <f t="shared" si="0"/>
        <v>0</v>
      </c>
      <c r="H60" s="171">
        <f t="shared" si="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2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6"/>
        <v>0</v>
      </c>
      <c r="AG60" s="63">
        <f t="shared" si="13"/>
        <v>0</v>
      </c>
      <c r="AH60" s="71"/>
      <c r="AI60" s="66"/>
      <c r="AJ60" s="66"/>
      <c r="AK60" s="62">
        <f t="shared" si="7"/>
        <v>0</v>
      </c>
      <c r="AL60" s="72">
        <f t="shared" si="8"/>
        <v>0</v>
      </c>
      <c r="AM60" s="73">
        <f t="shared" si="14"/>
        <v>0</v>
      </c>
      <c r="AN60" s="74">
        <f t="shared" si="18"/>
        <v>0</v>
      </c>
      <c r="AO60" s="74">
        <f t="shared" si="18"/>
        <v>0</v>
      </c>
      <c r="AP60" s="75" t="e">
        <f t="shared" si="15"/>
        <v>#DIV/0!</v>
      </c>
      <c r="AQ60" s="76">
        <f t="shared" si="10"/>
        <v>0</v>
      </c>
      <c r="AR60" s="90">
        <f t="shared" si="16"/>
        <v>0</v>
      </c>
    </row>
    <row r="61" spans="1:44" x14ac:dyDescent="0.25">
      <c r="A61" t="str">
        <f t="shared" si="11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170">
        <f t="shared" si="0"/>
        <v>0</v>
      </c>
      <c r="H61" s="171">
        <f t="shared" si="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2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6"/>
        <v>0</v>
      </c>
      <c r="AG61" s="63">
        <f t="shared" si="13"/>
        <v>0</v>
      </c>
      <c r="AH61" s="71"/>
      <c r="AI61" s="66"/>
      <c r="AJ61" s="66"/>
      <c r="AK61" s="62">
        <f t="shared" si="7"/>
        <v>0</v>
      </c>
      <c r="AL61" s="72">
        <f t="shared" si="8"/>
        <v>0</v>
      </c>
      <c r="AM61" s="73">
        <f t="shared" si="14"/>
        <v>0</v>
      </c>
      <c r="AN61" s="74">
        <f t="shared" si="18"/>
        <v>0</v>
      </c>
      <c r="AO61" s="74">
        <f t="shared" si="18"/>
        <v>0</v>
      </c>
      <c r="AP61" s="75" t="e">
        <f t="shared" si="15"/>
        <v>#DIV/0!</v>
      </c>
      <c r="AQ61" s="76">
        <f t="shared" si="10"/>
        <v>0</v>
      </c>
      <c r="AR61" s="90">
        <f t="shared" si="16"/>
        <v>0</v>
      </c>
    </row>
    <row r="62" spans="1:44" x14ac:dyDescent="0.25">
      <c r="A62" t="str">
        <f t="shared" si="11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170">
        <f t="shared" si="0"/>
        <v>0</v>
      </c>
      <c r="H62" s="171">
        <f t="shared" si="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2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6"/>
        <v>0</v>
      </c>
      <c r="AG62" s="63">
        <f t="shared" si="13"/>
        <v>0</v>
      </c>
      <c r="AH62" s="71"/>
      <c r="AI62" s="66"/>
      <c r="AJ62" s="66"/>
      <c r="AK62" s="62">
        <f t="shared" si="7"/>
        <v>0</v>
      </c>
      <c r="AL62" s="72">
        <f t="shared" si="8"/>
        <v>0</v>
      </c>
      <c r="AM62" s="73">
        <f t="shared" si="14"/>
        <v>0</v>
      </c>
      <c r="AN62" s="74">
        <f t="shared" si="18"/>
        <v>0</v>
      </c>
      <c r="AO62" s="74">
        <f t="shared" si="18"/>
        <v>0</v>
      </c>
      <c r="AP62" s="75" t="e">
        <f t="shared" si="15"/>
        <v>#DIV/0!</v>
      </c>
      <c r="AQ62" s="76">
        <f t="shared" si="10"/>
        <v>0</v>
      </c>
      <c r="AR62" s="90">
        <f t="shared" si="16"/>
        <v>0</v>
      </c>
    </row>
    <row r="63" spans="1:44" x14ac:dyDescent="0.25">
      <c r="A63" t="str">
        <f t="shared" si="11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170">
        <f t="shared" si="0"/>
        <v>0</v>
      </c>
      <c r="H63" s="171">
        <f t="shared" si="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2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6"/>
        <v>0</v>
      </c>
      <c r="AG63" s="63">
        <f t="shared" si="13"/>
        <v>0</v>
      </c>
      <c r="AH63" s="71"/>
      <c r="AI63" s="66"/>
      <c r="AJ63" s="66"/>
      <c r="AK63" s="62">
        <f t="shared" si="7"/>
        <v>0</v>
      </c>
      <c r="AL63" s="72">
        <f t="shared" si="8"/>
        <v>0</v>
      </c>
      <c r="AM63" s="73">
        <f t="shared" si="14"/>
        <v>0</v>
      </c>
      <c r="AN63" s="74">
        <f t="shared" si="18"/>
        <v>0</v>
      </c>
      <c r="AO63" s="74">
        <f t="shared" si="18"/>
        <v>0</v>
      </c>
      <c r="AP63" s="75" t="e">
        <f t="shared" si="15"/>
        <v>#DIV/0!</v>
      </c>
      <c r="AQ63" s="76">
        <f t="shared" si="10"/>
        <v>0</v>
      </c>
      <c r="AR63" s="90">
        <f t="shared" si="16"/>
        <v>0</v>
      </c>
    </row>
    <row r="64" spans="1:44" x14ac:dyDescent="0.25">
      <c r="A64" t="str">
        <f t="shared" si="11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170">
        <f t="shared" si="0"/>
        <v>0</v>
      </c>
      <c r="H64" s="171">
        <f t="shared" si="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2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7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6"/>
        <v>0</v>
      </c>
      <c r="AG64" s="63">
        <f t="shared" si="13"/>
        <v>0</v>
      </c>
      <c r="AH64" s="89"/>
      <c r="AI64" s="66"/>
      <c r="AJ64" s="66"/>
      <c r="AK64" s="62">
        <f t="shared" si="7"/>
        <v>0</v>
      </c>
      <c r="AL64" s="72">
        <f t="shared" si="8"/>
        <v>0</v>
      </c>
      <c r="AM64" s="73">
        <f t="shared" si="14"/>
        <v>0</v>
      </c>
      <c r="AN64" s="74">
        <f t="shared" si="18"/>
        <v>0</v>
      </c>
      <c r="AO64" s="74">
        <f t="shared" si="18"/>
        <v>0</v>
      </c>
      <c r="AP64" s="75" t="e">
        <f t="shared" si="15"/>
        <v>#DIV/0!</v>
      </c>
      <c r="AQ64" s="76">
        <f t="shared" si="10"/>
        <v>0</v>
      </c>
      <c r="AR64" s="83">
        <f t="shared" si="16"/>
        <v>0</v>
      </c>
    </row>
    <row r="65" spans="1:44" x14ac:dyDescent="0.25">
      <c r="A65" t="str">
        <f t="shared" si="11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170">
        <f t="shared" si="0"/>
        <v>0</v>
      </c>
      <c r="H65" s="171">
        <f t="shared" si="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2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7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6"/>
        <v>0</v>
      </c>
      <c r="AG65" s="63">
        <f t="shared" si="13"/>
        <v>0</v>
      </c>
      <c r="AH65" s="89"/>
      <c r="AI65" s="66"/>
      <c r="AJ65" s="66"/>
      <c r="AK65" s="62">
        <f t="shared" si="7"/>
        <v>0</v>
      </c>
      <c r="AL65" s="72">
        <f t="shared" si="8"/>
        <v>0</v>
      </c>
      <c r="AM65" s="73">
        <f t="shared" si="14"/>
        <v>0</v>
      </c>
      <c r="AN65" s="74">
        <f t="shared" si="18"/>
        <v>0</v>
      </c>
      <c r="AO65" s="74">
        <f t="shared" si="18"/>
        <v>0</v>
      </c>
      <c r="AP65" s="75" t="e">
        <f t="shared" si="15"/>
        <v>#DIV/0!</v>
      </c>
      <c r="AQ65" s="76">
        <f t="shared" si="10"/>
        <v>0</v>
      </c>
      <c r="AR65" s="83">
        <f t="shared" si="16"/>
        <v>0</v>
      </c>
    </row>
    <row r="66" spans="1:44" x14ac:dyDescent="0.25">
      <c r="J66" s="83">
        <f>SUM(J4:J65)</f>
        <v>39575.896000000001</v>
      </c>
      <c r="AM66" s="98">
        <f t="shared" ref="AM66:AO66" si="21">-SUM(AM4:AM65)</f>
        <v>916.00399999999877</v>
      </c>
      <c r="AN66" s="98">
        <f t="shared" si="21"/>
        <v>24.746686999999881</v>
      </c>
      <c r="AO66" s="98">
        <f t="shared" si="21"/>
        <v>25.719276999999792</v>
      </c>
      <c r="AQ66" s="129">
        <f>-SUM(AQ4:AQ65)</f>
        <v>18806.129019883218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9" priority="2" operator="lessThan">
      <formula>0.1</formula>
    </cfRule>
    <cfRule type="cellIs" dxfId="58" priority="3" operator="greaterThan">
      <formula>0.1</formula>
    </cfRule>
  </conditionalFormatting>
  <conditionalFormatting sqref="AP1:AQ1">
    <cfRule type="cellIs" dxfId="57" priority="1" operator="lessThan">
      <formula>1</formula>
    </cfRule>
  </conditionalFormatting>
  <conditionalFormatting sqref="AQ4:AQ65">
    <cfRule type="cellIs" dxfId="56" priority="4" operator="lessThan">
      <formula>0</formula>
    </cfRule>
    <cfRule type="cellIs" dxfId="55" priority="5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A1:AV66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C38" sqref="AC38:AE38"/>
    </sheetView>
  </sheetViews>
  <sheetFormatPr defaultRowHeight="15" x14ac:dyDescent="0.25"/>
  <cols>
    <col min="1" max="1" width="5" customWidth="1"/>
    <col min="2" max="2" width="10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95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3">
        <v>3468.8</v>
      </c>
      <c r="E4" s="55">
        <v>4.0999999999999996</v>
      </c>
      <c r="F4" s="55">
        <v>8.1999999999999993</v>
      </c>
      <c r="G4" s="170">
        <f t="shared" ref="G4:G29" si="0">+D4*E4%</f>
        <v>142.2208</v>
      </c>
      <c r="H4" s="171">
        <f t="shared" ref="H4:H29" si="1">+D4*F4%</f>
        <v>284.44159999999999</v>
      </c>
      <c r="I4" s="119">
        <v>3416.4999999999986</v>
      </c>
      <c r="J4" s="120">
        <v>3518.9949999999985</v>
      </c>
      <c r="K4" s="121">
        <v>4.1456871066881282</v>
      </c>
      <c r="L4" s="122">
        <v>8.2211210302941566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3518.9949999999985</v>
      </c>
      <c r="S4" s="62">
        <f t="shared" ref="S4" si="2">+J4*K4%+O4*P4%</f>
        <v>145.88652199999984</v>
      </c>
      <c r="T4" s="63">
        <f t="shared" ref="T4" si="3">+J4*L4%+O4*Q4%</f>
        <v>289.30083799999971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>AC4*AE4%</f>
        <v>0</v>
      </c>
      <c r="AH4" s="89">
        <v>6987.7</v>
      </c>
      <c r="AI4" s="66">
        <v>4.13</v>
      </c>
      <c r="AJ4" s="66">
        <v>8.2100000000000009</v>
      </c>
      <c r="AK4" s="62">
        <f t="shared" ref="AK4" si="7">AH4*AI4%</f>
        <v>288.59200999999996</v>
      </c>
      <c r="AL4" s="72">
        <f t="shared" ref="AL4" si="8">AH4*AJ4%</f>
        <v>573.69017000000008</v>
      </c>
      <c r="AM4" s="73">
        <f>+D4+R4-AC4-AH4</f>
        <v>9.4999999998435669E-2</v>
      </c>
      <c r="AN4" s="74">
        <f t="shared" ref="AN4:AO4" si="9">+G4+S4-AF4-AK4</f>
        <v>-0.48468800000011925</v>
      </c>
      <c r="AO4" s="74">
        <f t="shared" si="9"/>
        <v>5.2267999999685344E-2</v>
      </c>
      <c r="AP4" s="75">
        <f>(AN4+AO4)/(S4+T4)</f>
        <v>-9.9364099177980331E-4</v>
      </c>
      <c r="AQ4" s="76">
        <f t="shared" ref="AQ4" si="10">($AP$1*AN4+$AQ$1*AO4)</f>
        <v>-201.93887149348106</v>
      </c>
      <c r="AR4" s="83">
        <f>(D4+J4+O4)-(X4+AH4)</f>
        <v>9.4999999998435669E-2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6987.7</v>
      </c>
      <c r="E5" s="62">
        <v>4.13</v>
      </c>
      <c r="F5" s="62">
        <v>8.2100000000000009</v>
      </c>
      <c r="G5" s="170">
        <f t="shared" si="0"/>
        <v>288.59200999999996</v>
      </c>
      <c r="H5" s="171">
        <f t="shared" si="1"/>
        <v>573.69017000000008</v>
      </c>
      <c r="I5" s="119">
        <v>3423.9999999999995</v>
      </c>
      <c r="J5" s="120">
        <v>3526.72</v>
      </c>
      <c r="K5" s="121">
        <v>4.0815186915887844</v>
      </c>
      <c r="L5" s="122">
        <v>8.1947809579439284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49" si="12">+J5+O5</f>
        <v>3526.72</v>
      </c>
      <c r="S5" s="62">
        <f t="shared" ref="S5:S49" si="13">+J5*K5%+O5*P5%</f>
        <v>143.94373599999997</v>
      </c>
      <c r="T5" s="63">
        <f t="shared" ref="T5:T49" si="14">+J5*L5%+O5*Q5%</f>
        <v>289.00697900000011</v>
      </c>
      <c r="U5" s="64" t="s">
        <v>271</v>
      </c>
      <c r="V5" s="65" t="s">
        <v>272</v>
      </c>
      <c r="W5" s="66" t="s">
        <v>189</v>
      </c>
      <c r="X5" s="67">
        <v>9435</v>
      </c>
      <c r="Y5" s="68">
        <v>4.1500000000000004</v>
      </c>
      <c r="Z5" s="68">
        <v>8.0500000000000007</v>
      </c>
      <c r="AA5" s="62">
        <f t="shared" ref="AA5:AA49" si="15">X5*Y5%</f>
        <v>391.55250000000001</v>
      </c>
      <c r="AB5" s="63">
        <f t="shared" ref="AB5:AB49" si="16">X5*Z5%</f>
        <v>759.51750000000004</v>
      </c>
      <c r="AC5" s="69">
        <v>9430</v>
      </c>
      <c r="AD5" s="70">
        <v>4.0999999999999996</v>
      </c>
      <c r="AE5" s="70">
        <v>7.91</v>
      </c>
      <c r="AF5" s="62">
        <f t="shared" ref="AF5:AF49" si="17">AC5*AD5%</f>
        <v>386.62999999999994</v>
      </c>
      <c r="AG5" s="63">
        <f t="shared" ref="AG5:AG49" si="18">AC5*AE5%</f>
        <v>745.91300000000001</v>
      </c>
      <c r="AH5" s="97">
        <v>1079.4000000000001</v>
      </c>
      <c r="AI5" s="66">
        <v>4.0999999999999996</v>
      </c>
      <c r="AJ5" s="66">
        <v>8.1999999999999993</v>
      </c>
      <c r="AK5" s="62">
        <f t="shared" ref="AK5:AK49" si="19">AH5*AI5%</f>
        <v>44.255400000000002</v>
      </c>
      <c r="AL5" s="72">
        <f t="shared" ref="AL5:AL49" si="20">AH5*AJ5%</f>
        <v>88.510800000000003</v>
      </c>
      <c r="AM5" s="73">
        <f t="shared" ref="AM5:AM65" si="21">+D5+R5-AC5-AH5</f>
        <v>5.0199999999999818</v>
      </c>
      <c r="AN5" s="74">
        <f t="shared" ref="AN5:AN65" si="22">+G5+S5-AF5-AK5</f>
        <v>1.6503459999999635</v>
      </c>
      <c r="AO5" s="74">
        <f t="shared" ref="AO5:AO65" si="23">+H5+T5-AG5-AL5</f>
        <v>28.273349000000181</v>
      </c>
      <c r="AP5" s="75">
        <f t="shared" ref="AP5:AP65" si="24">(AN5+AO5)/(S5+T5)</f>
        <v>6.9115707546527877E-2</v>
      </c>
      <c r="AQ5" s="76">
        <f t="shared" ref="AQ5:AQ65" si="25">($AP$1*AN5+$AQ$1*AO5)</f>
        <v>9202.3162225867054</v>
      </c>
      <c r="AR5" s="83">
        <f t="shared" ref="AR5:AR65" si="26">(D5+J5+O5)-(X5+AH5)</f>
        <v>2.0000000000436557E-2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79">
        <v>1079.4000000000001</v>
      </c>
      <c r="E6" s="62">
        <v>4.0999999999999996</v>
      </c>
      <c r="F6" s="62">
        <v>8.1999999999999993</v>
      </c>
      <c r="G6" s="170">
        <f t="shared" si="0"/>
        <v>44.255400000000002</v>
      </c>
      <c r="H6" s="171">
        <f t="shared" si="1"/>
        <v>88.510800000000003</v>
      </c>
      <c r="I6" s="119">
        <v>3935.6</v>
      </c>
      <c r="J6" s="120">
        <v>4053.6680000000001</v>
      </c>
      <c r="K6" s="121">
        <v>4.0563065352169954</v>
      </c>
      <c r="L6" s="122">
        <v>8.2107709116780203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4053.6680000000001</v>
      </c>
      <c r="S6" s="62">
        <f t="shared" si="13"/>
        <v>164.42920000000009</v>
      </c>
      <c r="T6" s="63">
        <f t="shared" si="14"/>
        <v>332.83739300000013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97">
        <v>5133</v>
      </c>
      <c r="AI6" s="66">
        <v>4.08</v>
      </c>
      <c r="AJ6" s="66">
        <v>8.1999999999999993</v>
      </c>
      <c r="AK6" s="62">
        <f t="shared" si="19"/>
        <v>209.4264</v>
      </c>
      <c r="AL6" s="72">
        <f t="shared" si="20"/>
        <v>420.90599999999995</v>
      </c>
      <c r="AM6" s="73">
        <f t="shared" si="21"/>
        <v>6.8000000000211003E-2</v>
      </c>
      <c r="AN6" s="74">
        <f t="shared" si="22"/>
        <v>-0.74179999999989832</v>
      </c>
      <c r="AO6" s="74">
        <f t="shared" si="23"/>
        <v>0.44219300000020212</v>
      </c>
      <c r="AP6" s="75">
        <f t="shared" si="24"/>
        <v>-6.0250779806496281E-4</v>
      </c>
      <c r="AQ6" s="76">
        <f t="shared" si="25"/>
        <v>-200.66486491322718</v>
      </c>
      <c r="AR6" s="83">
        <f t="shared" si="26"/>
        <v>6.8000000000211003E-2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79">
        <v>5133</v>
      </c>
      <c r="E7" s="62">
        <v>4.08</v>
      </c>
      <c r="F7" s="62">
        <v>8.1999999999999993</v>
      </c>
      <c r="G7" s="170">
        <f t="shared" si="0"/>
        <v>209.4264</v>
      </c>
      <c r="H7" s="171">
        <f t="shared" si="1"/>
        <v>420.90599999999995</v>
      </c>
      <c r="I7" s="119">
        <v>3438.5999999999985</v>
      </c>
      <c r="J7" s="120">
        <v>3541.7579999999984</v>
      </c>
      <c r="K7" s="121">
        <v>3.8437998022450999</v>
      </c>
      <c r="L7" s="122">
        <v>8.162380038387715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3541.7579999999984</v>
      </c>
      <c r="S7" s="62">
        <f t="shared" si="13"/>
        <v>136.13808699999996</v>
      </c>
      <c r="T7" s="63">
        <f t="shared" si="14"/>
        <v>289.09174799999982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97">
        <v>8674.7000000000007</v>
      </c>
      <c r="AI7" s="66">
        <v>3.98</v>
      </c>
      <c r="AJ7" s="66">
        <v>8.18</v>
      </c>
      <c r="AK7" s="62">
        <f t="shared" si="19"/>
        <v>345.25306000000006</v>
      </c>
      <c r="AL7" s="72">
        <f t="shared" si="20"/>
        <v>709.59046000000001</v>
      </c>
      <c r="AM7" s="73">
        <f t="shared" si="21"/>
        <v>5.799999999726424E-2</v>
      </c>
      <c r="AN7" s="74">
        <f t="shared" si="22"/>
        <v>0.31142699999992374</v>
      </c>
      <c r="AO7" s="74">
        <f t="shared" si="23"/>
        <v>0.40728799999976673</v>
      </c>
      <c r="AP7" s="75">
        <f t="shared" si="24"/>
        <v>1.6901800881391374E-3</v>
      </c>
      <c r="AQ7" s="76">
        <f t="shared" si="25"/>
        <v>261.69313195656264</v>
      </c>
      <c r="AR7" s="83">
        <f t="shared" si="26"/>
        <v>5.799999999726424E-2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79">
        <v>8674.7000000000007</v>
      </c>
      <c r="E8" s="62">
        <v>3.98</v>
      </c>
      <c r="F8" s="62">
        <v>8.18</v>
      </c>
      <c r="G8" s="170">
        <f t="shared" si="0"/>
        <v>345.25306000000006</v>
      </c>
      <c r="H8" s="171">
        <f t="shared" si="1"/>
        <v>709.59046000000001</v>
      </c>
      <c r="I8" s="119">
        <v>3066.2999999999993</v>
      </c>
      <c r="J8" s="120">
        <v>3158.2889999999993</v>
      </c>
      <c r="K8" s="121">
        <v>4.157072041222321</v>
      </c>
      <c r="L8" s="122">
        <v>8.1858624400743576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3158.2889999999993</v>
      </c>
      <c r="S8" s="62">
        <f t="shared" si="13"/>
        <v>131.292349</v>
      </c>
      <c r="T8" s="63">
        <f t="shared" si="14"/>
        <v>258.53319299999998</v>
      </c>
      <c r="U8" s="64" t="s">
        <v>273</v>
      </c>
      <c r="V8" s="65" t="s">
        <v>274</v>
      </c>
      <c r="W8" s="66" t="s">
        <v>189</v>
      </c>
      <c r="X8" s="67">
        <v>10485</v>
      </c>
      <c r="Y8" s="68">
        <v>4.3499999999999996</v>
      </c>
      <c r="Z8" s="68">
        <v>8.08</v>
      </c>
      <c r="AA8" s="62">
        <f t="shared" si="15"/>
        <v>456.09749999999997</v>
      </c>
      <c r="AB8" s="63">
        <f t="shared" si="16"/>
        <v>847.18799999999999</v>
      </c>
      <c r="AC8" s="69">
        <v>10490</v>
      </c>
      <c r="AD8" s="70">
        <v>4.3</v>
      </c>
      <c r="AE8" s="70">
        <v>7.9499999999999993</v>
      </c>
      <c r="AF8" s="62">
        <f t="shared" si="17"/>
        <v>451.06999999999994</v>
      </c>
      <c r="AG8" s="63">
        <f t="shared" si="18"/>
        <v>833.95499999999981</v>
      </c>
      <c r="AH8" s="97">
        <v>1347.9</v>
      </c>
      <c r="AI8" s="66">
        <v>4.09</v>
      </c>
      <c r="AJ8" s="66">
        <v>8.18</v>
      </c>
      <c r="AK8" s="62">
        <f t="shared" si="19"/>
        <v>55.129110000000004</v>
      </c>
      <c r="AL8" s="72">
        <f t="shared" si="20"/>
        <v>110.25822000000001</v>
      </c>
      <c r="AM8" s="73">
        <f t="shared" si="21"/>
        <v>-4.911000000000513</v>
      </c>
      <c r="AN8" s="74">
        <f t="shared" si="22"/>
        <v>-29.653700999999877</v>
      </c>
      <c r="AO8" s="74">
        <f t="shared" si="23"/>
        <v>23.910433000000168</v>
      </c>
      <c r="AP8" s="75">
        <f t="shared" si="24"/>
        <v>-1.4732918655185783E-2</v>
      </c>
      <c r="AQ8" s="76">
        <f t="shared" si="25"/>
        <v>-6156.0879305565604</v>
      </c>
      <c r="AR8" s="83">
        <f t="shared" si="26"/>
        <v>8.8999999999941792E-2</v>
      </c>
    </row>
    <row r="9" spans="1:44" x14ac:dyDescent="0.25">
      <c r="A9" t="str">
        <f t="shared" si="11"/>
        <v>46176E</v>
      </c>
      <c r="B9" s="51">
        <f t="shared" ref="B9:B65" si="27">+B7+1</f>
        <v>46176</v>
      </c>
      <c r="C9" s="52" t="s">
        <v>88</v>
      </c>
      <c r="D9" s="79">
        <v>1347.9</v>
      </c>
      <c r="E9" s="62">
        <v>4.09</v>
      </c>
      <c r="F9" s="62">
        <v>8.18</v>
      </c>
      <c r="G9" s="170">
        <f t="shared" si="0"/>
        <v>55.129110000000004</v>
      </c>
      <c r="H9" s="171">
        <f t="shared" si="1"/>
        <v>110.25822000000001</v>
      </c>
      <c r="I9" s="119">
        <v>4315.8</v>
      </c>
      <c r="J9" s="120">
        <v>4445.2740000000003</v>
      </c>
      <c r="K9" s="121">
        <v>3.8400829510171928</v>
      </c>
      <c r="L9" s="122">
        <v>8.1840122341165049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4445.2740000000003</v>
      </c>
      <c r="S9" s="62">
        <f t="shared" si="13"/>
        <v>170.70220900000004</v>
      </c>
      <c r="T9" s="63">
        <f t="shared" si="14"/>
        <v>363.80176800000015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10">
        <v>5792.6</v>
      </c>
      <c r="AI9" s="66">
        <v>3.89</v>
      </c>
      <c r="AJ9" s="66">
        <v>8.18</v>
      </c>
      <c r="AK9" s="62">
        <f t="shared" si="19"/>
        <v>225.33214000000004</v>
      </c>
      <c r="AL9" s="72">
        <f t="shared" si="20"/>
        <v>473.83467999999999</v>
      </c>
      <c r="AM9" s="73">
        <f t="shared" si="21"/>
        <v>0.57400000000052387</v>
      </c>
      <c r="AN9" s="74">
        <f t="shared" si="22"/>
        <v>0.49917899999999804</v>
      </c>
      <c r="AO9" s="74">
        <f t="shared" si="23"/>
        <v>0.22530800000015461</v>
      </c>
      <c r="AP9" s="75">
        <f t="shared" si="24"/>
        <v>1.3554379970500245E-3</v>
      </c>
      <c r="AQ9" s="76">
        <f t="shared" si="25"/>
        <v>291.51512107671209</v>
      </c>
      <c r="AR9" s="83">
        <f t="shared" si="26"/>
        <v>0.57400000000052387</v>
      </c>
    </row>
    <row r="10" spans="1:44" x14ac:dyDescent="0.25">
      <c r="A10" t="str">
        <f t="shared" si="11"/>
        <v>46177M</v>
      </c>
      <c r="B10" s="51">
        <f t="shared" si="27"/>
        <v>46177</v>
      </c>
      <c r="C10" s="52" t="s">
        <v>87</v>
      </c>
      <c r="D10" s="79">
        <v>5792.6</v>
      </c>
      <c r="E10" s="62">
        <v>3.89</v>
      </c>
      <c r="F10" s="62">
        <v>8.18</v>
      </c>
      <c r="G10" s="170">
        <f t="shared" si="0"/>
        <v>225.33214000000004</v>
      </c>
      <c r="H10" s="171">
        <f t="shared" si="1"/>
        <v>473.83467999999999</v>
      </c>
      <c r="I10" s="119">
        <v>2948.9999999999991</v>
      </c>
      <c r="J10" s="120">
        <v>3037.4699999999993</v>
      </c>
      <c r="K10" s="121">
        <v>4.1056765005086477</v>
      </c>
      <c r="L10" s="122">
        <v>8.1772838250254338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3037.4699999999993</v>
      </c>
      <c r="S10" s="62">
        <f t="shared" si="13"/>
        <v>124.70869199999999</v>
      </c>
      <c r="T10" s="63">
        <f t="shared" si="14"/>
        <v>248.38254299999997</v>
      </c>
      <c r="U10" s="64" t="s">
        <v>271</v>
      </c>
      <c r="V10" s="65" t="s">
        <v>275</v>
      </c>
      <c r="W10" s="66" t="s">
        <v>189</v>
      </c>
      <c r="X10" s="67">
        <v>9125</v>
      </c>
      <c r="Y10" s="68">
        <v>4.13</v>
      </c>
      <c r="Z10" s="68">
        <v>7.83</v>
      </c>
      <c r="AA10" s="62">
        <f t="shared" si="15"/>
        <v>376.86249999999995</v>
      </c>
      <c r="AB10" s="63">
        <f t="shared" si="16"/>
        <v>714.48749999999995</v>
      </c>
      <c r="AC10" s="69">
        <v>9130</v>
      </c>
      <c r="AD10" s="70">
        <v>4.0527929901423878</v>
      </c>
      <c r="AE10" s="70">
        <v>7.6875136911281494</v>
      </c>
      <c r="AF10" s="62">
        <f t="shared" si="17"/>
        <v>370.02</v>
      </c>
      <c r="AG10" s="63">
        <f t="shared" si="18"/>
        <v>701.87</v>
      </c>
      <c r="AH10" s="97">
        <v>0</v>
      </c>
      <c r="AI10" s="66">
        <v>0</v>
      </c>
      <c r="AJ10" s="66">
        <v>0</v>
      </c>
      <c r="AK10" s="62">
        <f t="shared" si="19"/>
        <v>0</v>
      </c>
      <c r="AL10" s="72">
        <f t="shared" si="20"/>
        <v>0</v>
      </c>
      <c r="AM10" s="73">
        <f t="shared" si="21"/>
        <v>-299.93000000000029</v>
      </c>
      <c r="AN10" s="74">
        <f t="shared" si="22"/>
        <v>-19.979167999999959</v>
      </c>
      <c r="AO10" s="74">
        <f t="shared" si="23"/>
        <v>20.347222999999985</v>
      </c>
      <c r="AP10" s="75">
        <f t="shared" si="24"/>
        <v>9.8650133123611631E-4</v>
      </c>
      <c r="AQ10" s="76">
        <f t="shared" si="25"/>
        <v>-2879.467055593318</v>
      </c>
      <c r="AR10" s="83">
        <f t="shared" si="26"/>
        <v>-294.93000000000029</v>
      </c>
    </row>
    <row r="11" spans="1:44" x14ac:dyDescent="0.25">
      <c r="A11" t="str">
        <f t="shared" si="11"/>
        <v>46177E</v>
      </c>
      <c r="B11" s="51">
        <f t="shared" si="27"/>
        <v>46177</v>
      </c>
      <c r="C11" s="52" t="s">
        <v>88</v>
      </c>
      <c r="D11" s="79">
        <v>0</v>
      </c>
      <c r="E11" s="62">
        <v>0</v>
      </c>
      <c r="F11" s="62">
        <v>0</v>
      </c>
      <c r="G11" s="170">
        <f t="shared" si="0"/>
        <v>0</v>
      </c>
      <c r="H11" s="171">
        <f t="shared" si="1"/>
        <v>0</v>
      </c>
      <c r="I11" s="119">
        <v>3685.4999999999995</v>
      </c>
      <c r="J11" s="120">
        <v>3796.0649999999996</v>
      </c>
      <c r="K11" s="121">
        <v>3.8080396147062809</v>
      </c>
      <c r="L11" s="122">
        <v>8.1507990774657415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3796.0649999999996</v>
      </c>
      <c r="S11" s="62">
        <f t="shared" si="13"/>
        <v>144.55565899999996</v>
      </c>
      <c r="T11" s="63">
        <f t="shared" si="14"/>
        <v>309.40963099999988</v>
      </c>
      <c r="U11" s="64" t="s">
        <v>187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5"/>
        <v>0</v>
      </c>
      <c r="AB11" s="63">
        <f t="shared" si="16"/>
        <v>0</v>
      </c>
      <c r="AC11" s="69"/>
      <c r="AD11" s="70"/>
      <c r="AE11" s="70"/>
      <c r="AF11" s="62">
        <f t="shared" si="17"/>
        <v>0</v>
      </c>
      <c r="AG11" s="63">
        <f t="shared" si="18"/>
        <v>0</v>
      </c>
      <c r="AH11" s="97">
        <v>3796</v>
      </c>
      <c r="AI11" s="66">
        <v>3.81</v>
      </c>
      <c r="AJ11" s="66">
        <v>8.15</v>
      </c>
      <c r="AK11" s="62">
        <f t="shared" si="19"/>
        <v>144.6276</v>
      </c>
      <c r="AL11" s="72">
        <f t="shared" si="20"/>
        <v>309.37400000000002</v>
      </c>
      <c r="AM11" s="73">
        <f t="shared" si="21"/>
        <v>6.4999999999599822E-2</v>
      </c>
      <c r="AN11" s="74">
        <f t="shared" si="22"/>
        <v>-7.1941000000038002E-2</v>
      </c>
      <c r="AO11" s="74">
        <f t="shared" si="23"/>
        <v>3.5630999999852975E-2</v>
      </c>
      <c r="AP11" s="75">
        <f t="shared" si="24"/>
        <v>-7.9984088651766834E-5</v>
      </c>
      <c r="AQ11" s="76">
        <f t="shared" si="25"/>
        <v>-21.631626170061057</v>
      </c>
      <c r="AR11" s="83">
        <f t="shared" si="26"/>
        <v>6.4999999999599822E-2</v>
      </c>
    </row>
    <row r="12" spans="1:44" x14ac:dyDescent="0.25">
      <c r="A12" t="str">
        <f t="shared" si="11"/>
        <v>46178M</v>
      </c>
      <c r="B12" s="51">
        <f t="shared" si="27"/>
        <v>46178</v>
      </c>
      <c r="C12" s="52" t="s">
        <v>87</v>
      </c>
      <c r="D12" s="79">
        <v>3796</v>
      </c>
      <c r="E12" s="62">
        <v>3.81</v>
      </c>
      <c r="F12" s="62">
        <v>8.15</v>
      </c>
      <c r="G12" s="170">
        <f t="shared" si="0"/>
        <v>144.6276</v>
      </c>
      <c r="H12" s="171">
        <f t="shared" si="1"/>
        <v>309.37400000000002</v>
      </c>
      <c r="I12" s="119">
        <v>3010.3999999999992</v>
      </c>
      <c r="J12" s="120">
        <v>3100.7119999999991</v>
      </c>
      <c r="K12" s="121">
        <v>4.066436353972894</v>
      </c>
      <c r="L12" s="122">
        <v>8.1787304012755797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3100.7119999999991</v>
      </c>
      <c r="S12" s="62">
        <f t="shared" si="13"/>
        <v>126.08847999999996</v>
      </c>
      <c r="T12" s="63">
        <f t="shared" si="14"/>
        <v>253.59887499999999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97">
        <v>6896.7</v>
      </c>
      <c r="AI12" s="66">
        <v>3.92</v>
      </c>
      <c r="AJ12" s="66">
        <v>8.17</v>
      </c>
      <c r="AK12" s="62">
        <f t="shared" si="19"/>
        <v>270.35064</v>
      </c>
      <c r="AL12" s="72">
        <f t="shared" si="20"/>
        <v>563.46038999999996</v>
      </c>
      <c r="AM12" s="73">
        <f t="shared" si="21"/>
        <v>1.1999999999716238E-2</v>
      </c>
      <c r="AN12" s="74">
        <f t="shared" si="22"/>
        <v>0.36543999999997823</v>
      </c>
      <c r="AO12" s="74">
        <f t="shared" si="23"/>
        <v>-0.48751499999991665</v>
      </c>
      <c r="AP12" s="75">
        <f t="shared" si="24"/>
        <v>-3.2151452607616718E-4</v>
      </c>
      <c r="AQ12" s="76">
        <f t="shared" si="25"/>
        <v>18.149431300015181</v>
      </c>
      <c r="AR12" s="83">
        <f t="shared" si="26"/>
        <v>1.1999999999716238E-2</v>
      </c>
    </row>
    <row r="13" spans="1:44" x14ac:dyDescent="0.25">
      <c r="A13" t="str">
        <f t="shared" si="11"/>
        <v>46178E</v>
      </c>
      <c r="B13" s="51">
        <f t="shared" si="27"/>
        <v>46178</v>
      </c>
      <c r="C13" s="52" t="s">
        <v>88</v>
      </c>
      <c r="D13" s="79">
        <v>6896.7</v>
      </c>
      <c r="E13" s="62">
        <v>3.92</v>
      </c>
      <c r="F13" s="62">
        <v>8.17</v>
      </c>
      <c r="G13" s="170">
        <f t="shared" si="0"/>
        <v>270.35064</v>
      </c>
      <c r="H13" s="171">
        <f t="shared" si="1"/>
        <v>563.46038999999996</v>
      </c>
      <c r="I13" s="119">
        <v>4085.6</v>
      </c>
      <c r="J13" s="120">
        <v>4208.1679999999997</v>
      </c>
      <c r="K13" s="121">
        <v>3.7501076953201498</v>
      </c>
      <c r="L13" s="122">
        <v>8.1683302330135081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4208.1679999999997</v>
      </c>
      <c r="S13" s="62">
        <f t="shared" si="13"/>
        <v>157.81083200000003</v>
      </c>
      <c r="T13" s="63">
        <f t="shared" si="14"/>
        <v>343.73705899999987</v>
      </c>
      <c r="U13" s="64" t="s">
        <v>273</v>
      </c>
      <c r="V13" s="65" t="s">
        <v>371</v>
      </c>
      <c r="W13" s="66" t="s">
        <v>189</v>
      </c>
      <c r="X13" s="67">
        <v>10510</v>
      </c>
      <c r="Y13" s="68">
        <v>4.05</v>
      </c>
      <c r="Z13" s="68">
        <v>8</v>
      </c>
      <c r="AA13" s="62">
        <f t="shared" si="15"/>
        <v>425.65500000000003</v>
      </c>
      <c r="AB13" s="63">
        <f t="shared" si="16"/>
        <v>840.80000000000007</v>
      </c>
      <c r="AC13" s="69">
        <v>10530</v>
      </c>
      <c r="AD13" s="70">
        <v>4.0000000000000009</v>
      </c>
      <c r="AE13" s="70">
        <v>7.8900000000000006</v>
      </c>
      <c r="AF13" s="62">
        <f t="shared" si="17"/>
        <v>421.2000000000001</v>
      </c>
      <c r="AG13" s="63">
        <f t="shared" si="18"/>
        <v>830.81700000000012</v>
      </c>
      <c r="AH13" s="97">
        <v>594.79999999999995</v>
      </c>
      <c r="AI13" s="66">
        <v>3.85</v>
      </c>
      <c r="AJ13" s="66">
        <v>8.17</v>
      </c>
      <c r="AK13" s="62">
        <f t="shared" si="19"/>
        <v>22.899799999999999</v>
      </c>
      <c r="AL13" s="72">
        <f t="shared" si="20"/>
        <v>48.595159999999993</v>
      </c>
      <c r="AM13" s="73">
        <f t="shared" si="21"/>
        <v>-19.932000000001381</v>
      </c>
      <c r="AN13" s="74">
        <f t="shared" si="22"/>
        <v>-15.938328000000098</v>
      </c>
      <c r="AO13" s="74">
        <f t="shared" si="23"/>
        <v>27.785288999999665</v>
      </c>
      <c r="AP13" s="75">
        <f t="shared" si="24"/>
        <v>2.3620797161321466E-2</v>
      </c>
      <c r="AQ13" s="76">
        <f t="shared" si="25"/>
        <v>1160.5212341798551</v>
      </c>
      <c r="AR13" s="83">
        <f t="shared" si="26"/>
        <v>6.7999999999301508E-2</v>
      </c>
    </row>
    <row r="14" spans="1:44" x14ac:dyDescent="0.25">
      <c r="A14" t="str">
        <f t="shared" si="11"/>
        <v>46179M</v>
      </c>
      <c r="B14" s="51">
        <f t="shared" si="27"/>
        <v>46179</v>
      </c>
      <c r="C14" s="52" t="s">
        <v>87</v>
      </c>
      <c r="D14" s="79">
        <v>594.79999999999995</v>
      </c>
      <c r="E14" s="62">
        <v>3.85</v>
      </c>
      <c r="F14" s="62">
        <v>8.17</v>
      </c>
      <c r="G14" s="170">
        <f t="shared" si="0"/>
        <v>22.899799999999999</v>
      </c>
      <c r="H14" s="171">
        <f t="shared" si="1"/>
        <v>48.595159999999993</v>
      </c>
      <c r="I14" s="119">
        <v>2769.7999999999993</v>
      </c>
      <c r="J14" s="120">
        <v>2852.8939999999993</v>
      </c>
      <c r="K14" s="121">
        <v>4.0622102678893768</v>
      </c>
      <c r="L14" s="122">
        <v>8.1511047729077912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2852.8939999999993</v>
      </c>
      <c r="S14" s="62">
        <f t="shared" si="13"/>
        <v>115.89055299999993</v>
      </c>
      <c r="T14" s="63">
        <f t="shared" si="14"/>
        <v>232.54237899999995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3447.6</v>
      </c>
      <c r="AI14" s="66">
        <v>4.0199999999999996</v>
      </c>
      <c r="AJ14" s="66">
        <v>8.15</v>
      </c>
      <c r="AK14" s="62">
        <f t="shared" si="19"/>
        <v>138.59351999999998</v>
      </c>
      <c r="AL14" s="72">
        <f t="shared" si="20"/>
        <v>280.9794</v>
      </c>
      <c r="AM14" s="73">
        <f t="shared" si="21"/>
        <v>9.3999999999596184E-2</v>
      </c>
      <c r="AN14" s="74">
        <f t="shared" si="22"/>
        <v>0.19683299999994119</v>
      </c>
      <c r="AO14" s="74">
        <f t="shared" si="23"/>
        <v>0.15813899999994874</v>
      </c>
      <c r="AP14" s="75">
        <f t="shared" si="24"/>
        <v>1.0187670779634862E-3</v>
      </c>
      <c r="AQ14" s="76">
        <f t="shared" si="25"/>
        <v>135.68708768995828</v>
      </c>
      <c r="AR14" s="90">
        <f t="shared" ref="AR14:AR21" si="28">(D14+J14+O14)-(X14+AH14)</f>
        <v>9.3999999999596184E-2</v>
      </c>
    </row>
    <row r="15" spans="1:44" x14ac:dyDescent="0.25">
      <c r="A15" t="str">
        <f t="shared" si="11"/>
        <v>46179E</v>
      </c>
      <c r="B15" s="51">
        <f t="shared" si="27"/>
        <v>46179</v>
      </c>
      <c r="C15" s="52" t="s">
        <v>88</v>
      </c>
      <c r="D15" s="79">
        <v>3447.6</v>
      </c>
      <c r="E15" s="62">
        <v>4.0199999999999996</v>
      </c>
      <c r="F15" s="62">
        <v>8.15</v>
      </c>
      <c r="G15" s="170">
        <f t="shared" si="0"/>
        <v>138.59351999999998</v>
      </c>
      <c r="H15" s="171">
        <f t="shared" si="1"/>
        <v>280.9794</v>
      </c>
      <c r="I15" s="119">
        <v>3097.3999999999996</v>
      </c>
      <c r="J15" s="120">
        <v>3190.3219999999997</v>
      </c>
      <c r="K15" s="121">
        <v>3.8623458384451483</v>
      </c>
      <c r="L15" s="122">
        <v>8.1760541098986277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3190.3219999999997</v>
      </c>
      <c r="S15" s="62">
        <f t="shared" si="13"/>
        <v>123.22126900000002</v>
      </c>
      <c r="T15" s="63">
        <f t="shared" si="14"/>
        <v>260.84245300000009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5"/>
        <v>0</v>
      </c>
      <c r="AB15" s="63">
        <f t="shared" si="1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6637.9</v>
      </c>
      <c r="AI15" s="66">
        <v>3.94</v>
      </c>
      <c r="AJ15" s="66">
        <v>8.17</v>
      </c>
      <c r="AK15" s="62">
        <f t="shared" si="19"/>
        <v>261.53325999999998</v>
      </c>
      <c r="AL15" s="72">
        <f t="shared" si="20"/>
        <v>542.31642999999997</v>
      </c>
      <c r="AM15" s="73">
        <f t="shared" si="21"/>
        <v>2.1999999999934516E-2</v>
      </c>
      <c r="AN15" s="74">
        <f t="shared" si="22"/>
        <v>0.28152900000003456</v>
      </c>
      <c r="AO15" s="74">
        <f t="shared" si="23"/>
        <v>-0.49457699999982196</v>
      </c>
      <c r="AP15" s="75">
        <f t="shared" si="24"/>
        <v>-5.5472044818590633E-4</v>
      </c>
      <c r="AQ15" s="76">
        <f t="shared" si="25"/>
        <v>-21.632523989931215</v>
      </c>
      <c r="AR15" s="90">
        <f t="shared" si="28"/>
        <v>2.1999999999934516E-2</v>
      </c>
    </row>
    <row r="16" spans="1:44" x14ac:dyDescent="0.25">
      <c r="A16" t="str">
        <f t="shared" si="11"/>
        <v>46180M</v>
      </c>
      <c r="B16" s="51">
        <f t="shared" si="27"/>
        <v>46180</v>
      </c>
      <c r="C16" s="52" t="s">
        <v>87</v>
      </c>
      <c r="D16" s="79">
        <v>6637.9</v>
      </c>
      <c r="E16" s="62">
        <v>3.94</v>
      </c>
      <c r="F16" s="62">
        <v>8.17</v>
      </c>
      <c r="G16" s="170">
        <f t="shared" si="0"/>
        <v>261.53325999999998</v>
      </c>
      <c r="H16" s="171">
        <f t="shared" si="1"/>
        <v>542.31642999999997</v>
      </c>
      <c r="I16" s="119">
        <v>2611.5999999999995</v>
      </c>
      <c r="J16" s="120">
        <v>2689.9479999999994</v>
      </c>
      <c r="K16" s="121">
        <v>4.0259993873487536</v>
      </c>
      <c r="L16" s="122">
        <v>8.1536682493490602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2689.9479999999994</v>
      </c>
      <c r="S16" s="62">
        <f t="shared" si="13"/>
        <v>108.29729000000002</v>
      </c>
      <c r="T16" s="63">
        <f t="shared" si="14"/>
        <v>219.32943600000002</v>
      </c>
      <c r="U16" s="64" t="s">
        <v>271</v>
      </c>
      <c r="V16" s="65" t="s">
        <v>372</v>
      </c>
      <c r="W16" s="66" t="s">
        <v>189</v>
      </c>
      <c r="X16" s="67">
        <v>9375</v>
      </c>
      <c r="Y16" s="68">
        <v>4.25</v>
      </c>
      <c r="Z16" s="68">
        <v>7.85</v>
      </c>
      <c r="AA16" s="62">
        <f t="shared" si="15"/>
        <v>398.43750000000006</v>
      </c>
      <c r="AB16" s="63">
        <f t="shared" si="16"/>
        <v>735.9375</v>
      </c>
      <c r="AC16" s="69">
        <v>9360</v>
      </c>
      <c r="AD16" s="70">
        <v>4.2</v>
      </c>
      <c r="AE16" s="70">
        <v>7.75</v>
      </c>
      <c r="AF16" s="62">
        <f t="shared" si="17"/>
        <v>393.12</v>
      </c>
      <c r="AG16" s="63">
        <f t="shared" si="18"/>
        <v>725.4</v>
      </c>
      <c r="AH16" s="97">
        <v>0</v>
      </c>
      <c r="AI16" s="118">
        <v>0</v>
      </c>
      <c r="AJ16" s="118">
        <v>0</v>
      </c>
      <c r="AK16" s="62">
        <f t="shared" si="19"/>
        <v>0</v>
      </c>
      <c r="AL16" s="72">
        <f t="shared" si="20"/>
        <v>0</v>
      </c>
      <c r="AM16" s="73">
        <f t="shared" si="21"/>
        <v>-32.152000000001863</v>
      </c>
      <c r="AN16" s="74">
        <f t="shared" si="22"/>
        <v>-23.289449999999988</v>
      </c>
      <c r="AO16" s="74">
        <f t="shared" si="23"/>
        <v>36.245865999999978</v>
      </c>
      <c r="AP16" s="75">
        <f t="shared" si="24"/>
        <v>3.9546273157214866E-2</v>
      </c>
      <c r="AQ16" s="76">
        <f t="shared" si="25"/>
        <v>392.55413787333418</v>
      </c>
      <c r="AR16" s="90">
        <f t="shared" si="28"/>
        <v>-47.152000000001863</v>
      </c>
    </row>
    <row r="17" spans="1:48" x14ac:dyDescent="0.25">
      <c r="A17" t="str">
        <f t="shared" si="11"/>
        <v>46180E</v>
      </c>
      <c r="B17" s="51">
        <f t="shared" si="27"/>
        <v>46180</v>
      </c>
      <c r="C17" s="52" t="s">
        <v>88</v>
      </c>
      <c r="D17" s="79">
        <v>0</v>
      </c>
      <c r="E17" s="62">
        <v>0</v>
      </c>
      <c r="F17" s="62">
        <v>0</v>
      </c>
      <c r="G17" s="170">
        <f t="shared" si="0"/>
        <v>0</v>
      </c>
      <c r="H17" s="171">
        <f t="shared" si="1"/>
        <v>0</v>
      </c>
      <c r="I17" s="119">
        <v>3694.4999999999995</v>
      </c>
      <c r="J17" s="120">
        <v>3805.3349999999996</v>
      </c>
      <c r="K17" s="121">
        <v>3.7852916497496283</v>
      </c>
      <c r="L17" s="122">
        <v>8.1884855866829103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3805.3349999999996</v>
      </c>
      <c r="S17" s="62">
        <f t="shared" si="13"/>
        <v>144.04302799999999</v>
      </c>
      <c r="T17" s="63">
        <f t="shared" si="14"/>
        <v>311.59930800000006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5"/>
        <v>0</v>
      </c>
      <c r="AB17" s="63">
        <f t="shared" si="16"/>
        <v>0</v>
      </c>
      <c r="AC17" s="69"/>
      <c r="AD17" s="70"/>
      <c r="AE17" s="70"/>
      <c r="AF17" s="62">
        <f t="shared" si="17"/>
        <v>0</v>
      </c>
      <c r="AG17" s="63">
        <f t="shared" si="18"/>
        <v>0</v>
      </c>
      <c r="AH17" s="97">
        <v>3805.3</v>
      </c>
      <c r="AI17" s="66">
        <v>3.79</v>
      </c>
      <c r="AJ17" s="66">
        <v>8.19</v>
      </c>
      <c r="AK17" s="62">
        <f t="shared" si="19"/>
        <v>144.22087000000002</v>
      </c>
      <c r="AL17" s="72">
        <f t="shared" si="20"/>
        <v>311.65406999999999</v>
      </c>
      <c r="AM17" s="73">
        <f t="shared" si="21"/>
        <v>3.4999999999399733E-2</v>
      </c>
      <c r="AN17" s="74">
        <f t="shared" si="22"/>
        <v>-0.1778420000000267</v>
      </c>
      <c r="AO17" s="74">
        <f t="shared" si="23"/>
        <v>-5.4761999999925592E-2</v>
      </c>
      <c r="AP17" s="75">
        <f t="shared" si="24"/>
        <v>-5.1049689991922143E-4</v>
      </c>
      <c r="AQ17" s="76">
        <f t="shared" si="25"/>
        <v>-96.223858499989717</v>
      </c>
      <c r="AR17" s="90">
        <f t="shared" si="28"/>
        <v>3.4999999999399733E-2</v>
      </c>
    </row>
    <row r="18" spans="1:48" x14ac:dyDescent="0.25">
      <c r="A18" t="str">
        <f t="shared" si="11"/>
        <v>46181M</v>
      </c>
      <c r="B18" s="51">
        <f t="shared" si="27"/>
        <v>46181</v>
      </c>
      <c r="C18" s="52" t="s">
        <v>87</v>
      </c>
      <c r="D18" s="79">
        <v>3805.3</v>
      </c>
      <c r="E18" s="62">
        <v>3.79</v>
      </c>
      <c r="F18" s="62">
        <v>8.19</v>
      </c>
      <c r="G18" s="170">
        <f t="shared" si="0"/>
        <v>144.22087000000002</v>
      </c>
      <c r="H18" s="171">
        <f t="shared" si="1"/>
        <v>311.65406999999999</v>
      </c>
      <c r="I18" s="119">
        <v>2780.5999999999995</v>
      </c>
      <c r="J18" s="120">
        <v>2864.0179999999996</v>
      </c>
      <c r="K18" s="121">
        <v>4.0706502193771135</v>
      </c>
      <c r="L18" s="122">
        <v>8.1783032439041925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2864.0179999999996</v>
      </c>
      <c r="S18" s="62">
        <f t="shared" si="13"/>
        <v>116.58415500000001</v>
      </c>
      <c r="T18" s="63">
        <f t="shared" si="14"/>
        <v>234.22807699999993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97">
        <v>6669.3</v>
      </c>
      <c r="AI18" s="66">
        <v>3.91</v>
      </c>
      <c r="AJ18" s="66">
        <v>8.18</v>
      </c>
      <c r="AK18" s="62">
        <f t="shared" si="19"/>
        <v>260.76963000000001</v>
      </c>
      <c r="AL18" s="72">
        <f t="shared" si="20"/>
        <v>545.54873999999995</v>
      </c>
      <c r="AM18" s="73">
        <f t="shared" si="21"/>
        <v>1.7999999999119609E-2</v>
      </c>
      <c r="AN18" s="74">
        <f t="shared" si="22"/>
        <v>3.539499999999407E-2</v>
      </c>
      <c r="AO18" s="74">
        <f t="shared" si="23"/>
        <v>0.33340699999996559</v>
      </c>
      <c r="AP18" s="75">
        <f t="shared" si="24"/>
        <v>1.0512803327791596E-3</v>
      </c>
      <c r="AQ18" s="76">
        <f t="shared" si="25"/>
        <v>115.66899369665371</v>
      </c>
      <c r="AR18" s="90">
        <f t="shared" si="28"/>
        <v>1.7999999999119609E-2</v>
      </c>
    </row>
    <row r="19" spans="1:48" x14ac:dyDescent="0.25">
      <c r="A19" t="str">
        <f t="shared" si="11"/>
        <v>46181E</v>
      </c>
      <c r="B19" s="51">
        <f t="shared" si="27"/>
        <v>46181</v>
      </c>
      <c r="C19" s="52" t="s">
        <v>88</v>
      </c>
      <c r="D19" s="79">
        <v>6669.3</v>
      </c>
      <c r="E19" s="62">
        <v>3.91</v>
      </c>
      <c r="F19" s="62">
        <v>8.18</v>
      </c>
      <c r="G19" s="170">
        <f t="shared" si="0"/>
        <v>260.76963000000001</v>
      </c>
      <c r="H19" s="171">
        <f t="shared" si="1"/>
        <v>545.54873999999995</v>
      </c>
      <c r="I19" s="119">
        <v>2879.4</v>
      </c>
      <c r="J19" s="120">
        <v>2965.7820000000002</v>
      </c>
      <c r="K19" s="121">
        <v>3.8207230673056869</v>
      </c>
      <c r="L19" s="122">
        <v>8.1874522469959015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2965.7820000000002</v>
      </c>
      <c r="S19" s="62">
        <f t="shared" si="13"/>
        <v>113.31431699999995</v>
      </c>
      <c r="T19" s="63">
        <f t="shared" si="14"/>
        <v>242.82198500000001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5"/>
        <v>0</v>
      </c>
      <c r="AB19" s="63">
        <f t="shared" si="1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97">
        <v>9634.7000000000007</v>
      </c>
      <c r="AI19" s="66">
        <v>3.89</v>
      </c>
      <c r="AJ19" s="66">
        <v>8.19</v>
      </c>
      <c r="AK19" s="62">
        <f t="shared" si="19"/>
        <v>374.78983000000005</v>
      </c>
      <c r="AL19" s="72">
        <f t="shared" si="20"/>
        <v>789.08193000000006</v>
      </c>
      <c r="AM19" s="73">
        <f t="shared" si="21"/>
        <v>0.3819999999996071</v>
      </c>
      <c r="AN19" s="74">
        <f t="shared" si="22"/>
        <v>-0.7058830000000853</v>
      </c>
      <c r="AO19" s="74">
        <f t="shared" si="23"/>
        <v>-0.71120500000006359</v>
      </c>
      <c r="AP19" s="75">
        <f t="shared" si="24"/>
        <v>-3.9790608035238963E-3</v>
      </c>
      <c r="AQ19" s="76">
        <f t="shared" si="25"/>
        <v>-529.72262856339069</v>
      </c>
      <c r="AR19" s="90">
        <f t="shared" si="28"/>
        <v>0.3819999999996071</v>
      </c>
    </row>
    <row r="20" spans="1:48" x14ac:dyDescent="0.25">
      <c r="A20" t="str">
        <f t="shared" si="11"/>
        <v>46182M</v>
      </c>
      <c r="B20" s="51">
        <f>+B18+1</f>
        <v>46182</v>
      </c>
      <c r="C20" s="52" t="s">
        <v>87</v>
      </c>
      <c r="D20" s="79">
        <v>9634.7000000000007</v>
      </c>
      <c r="E20" s="62">
        <v>3.89</v>
      </c>
      <c r="F20" s="62">
        <v>8.19</v>
      </c>
      <c r="G20" s="170">
        <f t="shared" si="0"/>
        <v>374.78983000000005</v>
      </c>
      <c r="H20" s="171">
        <f t="shared" si="1"/>
        <v>789.08193000000006</v>
      </c>
      <c r="I20" s="119">
        <v>2971.3</v>
      </c>
      <c r="J20" s="120">
        <v>3060.4390000000003</v>
      </c>
      <c r="K20" s="121">
        <v>4.1059266987513876</v>
      </c>
      <c r="L20" s="122">
        <v>8.1702756369265988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3060.4390000000003</v>
      </c>
      <c r="S20" s="62">
        <f t="shared" si="13"/>
        <v>125.65938199999998</v>
      </c>
      <c r="T20" s="63">
        <f t="shared" si="14"/>
        <v>250.04630200000008</v>
      </c>
      <c r="U20" s="64" t="s">
        <v>273</v>
      </c>
      <c r="V20" s="65" t="s">
        <v>395</v>
      </c>
      <c r="W20" s="66" t="s">
        <v>189</v>
      </c>
      <c r="X20" s="67">
        <v>10070</v>
      </c>
      <c r="Y20" s="68">
        <v>4.05</v>
      </c>
      <c r="Z20" s="68">
        <v>8</v>
      </c>
      <c r="AA20" s="62">
        <f t="shared" si="15"/>
        <v>407.83500000000004</v>
      </c>
      <c r="AB20" s="63">
        <f t="shared" si="16"/>
        <v>805.6</v>
      </c>
      <c r="AC20" s="69">
        <v>10070</v>
      </c>
      <c r="AD20" s="70">
        <v>4</v>
      </c>
      <c r="AE20" s="70">
        <v>7.9600000000000009</v>
      </c>
      <c r="AF20" s="62">
        <f t="shared" si="17"/>
        <v>402.8</v>
      </c>
      <c r="AG20" s="63">
        <f t="shared" si="18"/>
        <v>801.572</v>
      </c>
      <c r="AH20" s="97">
        <v>2625.1</v>
      </c>
      <c r="AI20" s="66">
        <v>3.94</v>
      </c>
      <c r="AJ20" s="66">
        <v>8.19</v>
      </c>
      <c r="AK20" s="62">
        <f t="shared" si="19"/>
        <v>103.42893999999998</v>
      </c>
      <c r="AL20" s="72">
        <f t="shared" si="20"/>
        <v>214.99569</v>
      </c>
      <c r="AM20" s="73">
        <f t="shared" si="21"/>
        <v>3.9000000001124135E-2</v>
      </c>
      <c r="AN20" s="74">
        <f t="shared" si="22"/>
        <v>-5.7797279999999489</v>
      </c>
      <c r="AO20" s="74">
        <f t="shared" si="23"/>
        <v>22.560542000000027</v>
      </c>
      <c r="AP20" s="75">
        <f t="shared" si="24"/>
        <v>4.4664786066957861E-2</v>
      </c>
      <c r="AQ20" s="76">
        <f t="shared" si="25"/>
        <v>4157.1909096666986</v>
      </c>
      <c r="AR20" s="90">
        <f t="shared" si="28"/>
        <v>3.9000000000669388E-2</v>
      </c>
    </row>
    <row r="21" spans="1:48" x14ac:dyDescent="0.25">
      <c r="A21" t="str">
        <f t="shared" si="11"/>
        <v>46182E</v>
      </c>
      <c r="B21" s="51">
        <f t="shared" si="27"/>
        <v>46182</v>
      </c>
      <c r="C21" s="52" t="s">
        <v>88</v>
      </c>
      <c r="D21" s="79">
        <v>2625.1</v>
      </c>
      <c r="E21" s="62">
        <v>3.94</v>
      </c>
      <c r="F21" s="62">
        <v>8.19</v>
      </c>
      <c r="G21" s="170">
        <f t="shared" si="0"/>
        <v>103.42893999999998</v>
      </c>
      <c r="H21" s="171">
        <f t="shared" si="1"/>
        <v>214.99569</v>
      </c>
      <c r="I21" s="119">
        <v>3912.6</v>
      </c>
      <c r="J21" s="120">
        <v>4029.9780000000001</v>
      </c>
      <c r="K21" s="121">
        <v>3.7767750345039097</v>
      </c>
      <c r="L21" s="122">
        <v>8.2026504114910797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4029.9780000000001</v>
      </c>
      <c r="S21" s="62">
        <f t="shared" si="13"/>
        <v>152.20320299999997</v>
      </c>
      <c r="T21" s="63">
        <f t="shared" si="14"/>
        <v>330.56500700000004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97">
        <v>6655</v>
      </c>
      <c r="AI21" s="66">
        <v>3.84</v>
      </c>
      <c r="AJ21" s="66">
        <v>8.1999999999999993</v>
      </c>
      <c r="AK21" s="62">
        <f t="shared" si="19"/>
        <v>255.55199999999996</v>
      </c>
      <c r="AL21" s="72">
        <f t="shared" si="20"/>
        <v>545.70999999999992</v>
      </c>
      <c r="AM21" s="73">
        <f t="shared" si="21"/>
        <v>7.7999999999519787E-2</v>
      </c>
      <c r="AN21" s="74">
        <f t="shared" si="22"/>
        <v>8.0142999999992526E-2</v>
      </c>
      <c r="AO21" s="74">
        <f t="shared" si="23"/>
        <v>-0.14930299999991803</v>
      </c>
      <c r="AP21" s="75">
        <f t="shared" si="24"/>
        <v>-1.4325715440112658E-4</v>
      </c>
      <c r="AQ21" s="76">
        <f t="shared" si="25"/>
        <v>-8.7054123566454962</v>
      </c>
      <c r="AR21" s="90">
        <f t="shared" si="28"/>
        <v>7.7999999999519787E-2</v>
      </c>
    </row>
    <row r="22" spans="1:48" x14ac:dyDescent="0.25">
      <c r="A22" t="str">
        <f t="shared" si="11"/>
        <v>46183M</v>
      </c>
      <c r="B22" s="51">
        <f t="shared" si="27"/>
        <v>46183</v>
      </c>
      <c r="C22" s="52" t="s">
        <v>87</v>
      </c>
      <c r="D22" s="79">
        <v>6655</v>
      </c>
      <c r="E22" s="62">
        <v>3.84</v>
      </c>
      <c r="F22" s="62">
        <v>8.1999999999999993</v>
      </c>
      <c r="G22" s="170">
        <f t="shared" si="0"/>
        <v>255.55199999999996</v>
      </c>
      <c r="H22" s="171">
        <f t="shared" si="1"/>
        <v>545.70999999999992</v>
      </c>
      <c r="I22" s="119">
        <v>2890.4999999999995</v>
      </c>
      <c r="J22" s="120">
        <v>2977.2149999999997</v>
      </c>
      <c r="K22" s="121">
        <v>4.1075454073689697</v>
      </c>
      <c r="L22" s="122">
        <v>8.1947759903130972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2977.2149999999997</v>
      </c>
      <c r="S22" s="62">
        <f t="shared" si="13"/>
        <v>122.29045800000006</v>
      </c>
      <c r="T22" s="63">
        <f t="shared" si="14"/>
        <v>243.97610000000003</v>
      </c>
      <c r="U22" s="64" t="s">
        <v>271</v>
      </c>
      <c r="V22" s="65" t="s">
        <v>439</v>
      </c>
      <c r="W22" s="66" t="s">
        <v>189</v>
      </c>
      <c r="X22" s="67">
        <v>9385</v>
      </c>
      <c r="Y22" s="68">
        <v>4.1500000000000004</v>
      </c>
      <c r="Z22" s="68">
        <v>7.8</v>
      </c>
      <c r="AA22" s="62">
        <f t="shared" si="15"/>
        <v>389.47750000000002</v>
      </c>
      <c r="AB22" s="63">
        <f t="shared" si="16"/>
        <v>732.03</v>
      </c>
      <c r="AC22" s="69">
        <v>9400</v>
      </c>
      <c r="AD22" s="70">
        <v>4.0999999999999996</v>
      </c>
      <c r="AE22" s="70">
        <v>7.7300000000000013</v>
      </c>
      <c r="AF22" s="62">
        <f t="shared" si="17"/>
        <v>385.4</v>
      </c>
      <c r="AG22" s="63">
        <f t="shared" si="18"/>
        <v>726.62000000000012</v>
      </c>
      <c r="AH22" s="97">
        <v>247.2</v>
      </c>
      <c r="AI22" s="66">
        <v>3.92</v>
      </c>
      <c r="AJ22" s="66">
        <v>8.1999999999999993</v>
      </c>
      <c r="AK22" s="62">
        <f t="shared" si="19"/>
        <v>9.6902399999999993</v>
      </c>
      <c r="AL22" s="72">
        <f t="shared" si="20"/>
        <v>20.270399999999995</v>
      </c>
      <c r="AM22" s="73">
        <f t="shared" si="21"/>
        <v>-14.984999999999843</v>
      </c>
      <c r="AN22" s="74">
        <f t="shared" si="22"/>
        <v>-17.247781999999955</v>
      </c>
      <c r="AO22" s="74">
        <f t="shared" si="23"/>
        <v>42.795699999999783</v>
      </c>
      <c r="AP22" s="75">
        <f t="shared" si="24"/>
        <v>6.9752254040074887E-2</v>
      </c>
      <c r="AQ22" s="76">
        <f t="shared" si="25"/>
        <v>5064.9099737132892</v>
      </c>
      <c r="AR22" s="83">
        <f>(D22+J22+O22)-(X22+AH22)</f>
        <v>1.4999999999417923E-2</v>
      </c>
      <c r="AT22" s="83"/>
      <c r="AU22" s="83"/>
    </row>
    <row r="23" spans="1:48" x14ac:dyDescent="0.25">
      <c r="A23" t="str">
        <f t="shared" si="11"/>
        <v>46183E</v>
      </c>
      <c r="B23" s="51">
        <f t="shared" si="27"/>
        <v>46183</v>
      </c>
      <c r="C23" s="52" t="s">
        <v>88</v>
      </c>
      <c r="D23" s="79">
        <v>247.2</v>
      </c>
      <c r="E23" s="62">
        <v>3.92</v>
      </c>
      <c r="F23" s="62">
        <v>8.1999999999999993</v>
      </c>
      <c r="G23" s="170">
        <f t="shared" si="0"/>
        <v>9.6902399999999993</v>
      </c>
      <c r="H23" s="171">
        <f t="shared" si="1"/>
        <v>20.270399999999995</v>
      </c>
      <c r="I23" s="119">
        <v>3202.8999999999992</v>
      </c>
      <c r="J23" s="120">
        <v>3298.9869999999992</v>
      </c>
      <c r="K23" s="121">
        <v>3.8098910362483975</v>
      </c>
      <c r="L23" s="122">
        <v>8.1420181710324986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3298.9869999999992</v>
      </c>
      <c r="S23" s="62">
        <f t="shared" si="13"/>
        <v>125.68780999999989</v>
      </c>
      <c r="T23" s="63">
        <f t="shared" si="14"/>
        <v>268.60412099999985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5"/>
        <v>0</v>
      </c>
      <c r="AB23" s="63">
        <f t="shared" si="16"/>
        <v>0</v>
      </c>
      <c r="AC23" s="69"/>
      <c r="AD23" s="70"/>
      <c r="AE23" s="70"/>
      <c r="AF23" s="62">
        <f t="shared" si="17"/>
        <v>0</v>
      </c>
      <c r="AG23" s="63">
        <f t="shared" si="18"/>
        <v>0</v>
      </c>
      <c r="AH23" s="97">
        <v>3545.4</v>
      </c>
      <c r="AI23" s="66">
        <v>3.83</v>
      </c>
      <c r="AJ23" s="84">
        <v>8.16</v>
      </c>
      <c r="AK23" s="62">
        <f t="shared" si="19"/>
        <v>135.78882000000002</v>
      </c>
      <c r="AL23" s="72">
        <f t="shared" si="20"/>
        <v>289.30464000000001</v>
      </c>
      <c r="AM23" s="73">
        <f t="shared" si="21"/>
        <v>0.78699999999889769</v>
      </c>
      <c r="AN23" s="74">
        <f t="shared" si="22"/>
        <v>-0.41077000000012731</v>
      </c>
      <c r="AO23" s="74">
        <f t="shared" si="23"/>
        <v>-0.43011900000016112</v>
      </c>
      <c r="AP23" s="75">
        <f t="shared" si="24"/>
        <v>-2.1326558671074833E-3</v>
      </c>
      <c r="AQ23" s="76">
        <f t="shared" si="25"/>
        <v>-313.1219075601054</v>
      </c>
      <c r="AR23" s="83">
        <f t="shared" si="26"/>
        <v>0.78699999999889769</v>
      </c>
      <c r="AU23" s="83"/>
    </row>
    <row r="24" spans="1:48" x14ac:dyDescent="0.25">
      <c r="A24" t="str">
        <f t="shared" si="11"/>
        <v>46184M</v>
      </c>
      <c r="B24" s="51">
        <f t="shared" si="27"/>
        <v>46184</v>
      </c>
      <c r="C24" s="52" t="s">
        <v>87</v>
      </c>
      <c r="D24" s="79">
        <v>3545.4</v>
      </c>
      <c r="E24" s="62">
        <v>3.83</v>
      </c>
      <c r="F24" s="62">
        <v>8.16</v>
      </c>
      <c r="G24" s="170">
        <f t="shared" si="0"/>
        <v>135.78882000000002</v>
      </c>
      <c r="H24" s="171">
        <f t="shared" si="1"/>
        <v>289.30464000000001</v>
      </c>
      <c r="I24" s="119">
        <v>2947.2999999999997</v>
      </c>
      <c r="J24" s="120">
        <v>3035.7189999999996</v>
      </c>
      <c r="K24" s="121">
        <v>4.2109965052760163</v>
      </c>
      <c r="L24" s="122">
        <v>8.2151935669935163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3035.7189999999996</v>
      </c>
      <c r="S24" s="62">
        <f t="shared" si="13"/>
        <v>127.83402100000001</v>
      </c>
      <c r="T24" s="63">
        <f t="shared" si="14"/>
        <v>249.39019199999984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97">
        <v>6581.1</v>
      </c>
      <c r="AI24" s="66">
        <v>4</v>
      </c>
      <c r="AJ24" s="66">
        <v>8.19</v>
      </c>
      <c r="AK24" s="62">
        <f t="shared" si="19"/>
        <v>263.24400000000003</v>
      </c>
      <c r="AL24" s="72">
        <f t="shared" si="20"/>
        <v>538.99209000000008</v>
      </c>
      <c r="AM24" s="73">
        <f t="shared" si="21"/>
        <v>1.8999999999323336E-2</v>
      </c>
      <c r="AN24" s="74">
        <f t="shared" si="22"/>
        <v>0.37884099999996579</v>
      </c>
      <c r="AO24" s="74">
        <f t="shared" si="23"/>
        <v>-0.29725800000016989</v>
      </c>
      <c r="AP24" s="75">
        <f t="shared" si="24"/>
        <v>2.1627190723251885E-4</v>
      </c>
      <c r="AQ24" s="76">
        <f t="shared" si="25"/>
        <v>81.104120789933802</v>
      </c>
      <c r="AR24" s="83">
        <f t="shared" si="26"/>
        <v>1.8999999999323336E-2</v>
      </c>
      <c r="AT24" s="77"/>
      <c r="AU24" s="77"/>
      <c r="AV24" s="77"/>
    </row>
    <row r="25" spans="1:48" x14ac:dyDescent="0.25">
      <c r="A25" t="str">
        <f t="shared" si="11"/>
        <v>46184E</v>
      </c>
      <c r="B25" s="51">
        <f t="shared" si="27"/>
        <v>46184</v>
      </c>
      <c r="C25" s="52" t="s">
        <v>88</v>
      </c>
      <c r="D25" s="79">
        <v>6581.1</v>
      </c>
      <c r="E25" s="62">
        <v>4</v>
      </c>
      <c r="F25" s="62">
        <v>8.19</v>
      </c>
      <c r="G25" s="170">
        <f t="shared" si="0"/>
        <v>263.24400000000003</v>
      </c>
      <c r="H25" s="171">
        <f t="shared" si="1"/>
        <v>538.99209000000008</v>
      </c>
      <c r="I25" s="119">
        <v>3274.8000000000011</v>
      </c>
      <c r="J25" s="120">
        <v>3373.0440000000012</v>
      </c>
      <c r="K25" s="121">
        <v>4.0210302919262251</v>
      </c>
      <c r="L25" s="122">
        <v>8.0722609014290931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3373.0440000000012</v>
      </c>
      <c r="S25" s="62">
        <f t="shared" si="13"/>
        <v>135.63112100000006</v>
      </c>
      <c r="T25" s="63">
        <f t="shared" si="14"/>
        <v>272.28091200000006</v>
      </c>
      <c r="U25" s="64" t="s">
        <v>273</v>
      </c>
      <c r="V25" s="65" t="s">
        <v>440</v>
      </c>
      <c r="W25" s="66" t="s">
        <v>189</v>
      </c>
      <c r="X25" s="67">
        <v>10300</v>
      </c>
      <c r="Y25" s="68">
        <v>4.22</v>
      </c>
      <c r="Z25" s="68">
        <v>8.0299999999999994</v>
      </c>
      <c r="AA25" s="62">
        <f t="shared" si="15"/>
        <v>434.65999999999997</v>
      </c>
      <c r="AB25" s="63">
        <f t="shared" si="16"/>
        <v>827.08999999999992</v>
      </c>
      <c r="AC25" s="69">
        <v>10320</v>
      </c>
      <c r="AD25" s="70">
        <v>4.186191860465116</v>
      </c>
      <c r="AE25" s="70">
        <v>7.8672383720930235</v>
      </c>
      <c r="AF25" s="62">
        <f t="shared" si="17"/>
        <v>432.01499999999999</v>
      </c>
      <c r="AG25" s="63">
        <f t="shared" si="18"/>
        <v>811.899</v>
      </c>
      <c r="AH25" s="97">
        <v>0</v>
      </c>
      <c r="AI25" s="66">
        <v>0</v>
      </c>
      <c r="AJ25" s="66">
        <v>0</v>
      </c>
      <c r="AK25" s="62">
        <f t="shared" si="19"/>
        <v>0</v>
      </c>
      <c r="AL25" s="72">
        <f t="shared" si="20"/>
        <v>0</v>
      </c>
      <c r="AM25" s="73">
        <f t="shared" si="21"/>
        <v>-365.85599999999795</v>
      </c>
      <c r="AN25" s="74">
        <f t="shared" si="22"/>
        <v>-33.139878999999894</v>
      </c>
      <c r="AO25" s="74">
        <f t="shared" si="23"/>
        <v>-0.62599799999986772</v>
      </c>
      <c r="AP25" s="75">
        <f t="shared" si="24"/>
        <v>-8.2777349693922253E-2</v>
      </c>
      <c r="AQ25" s="76">
        <f t="shared" si="25"/>
        <v>-15064.167590009914</v>
      </c>
      <c r="AR25" s="83">
        <f t="shared" si="26"/>
        <v>-345.85599999999795</v>
      </c>
    </row>
    <row r="26" spans="1:48" x14ac:dyDescent="0.25">
      <c r="A26" t="str">
        <f t="shared" si="11"/>
        <v>46185M</v>
      </c>
      <c r="B26" s="51">
        <f t="shared" si="27"/>
        <v>46185</v>
      </c>
      <c r="C26" s="52" t="s">
        <v>87</v>
      </c>
      <c r="D26" s="79">
        <v>0</v>
      </c>
      <c r="E26" s="62">
        <v>0</v>
      </c>
      <c r="F26" s="62">
        <v>0</v>
      </c>
      <c r="G26" s="170">
        <f t="shared" si="0"/>
        <v>0</v>
      </c>
      <c r="H26" s="171">
        <f t="shared" si="1"/>
        <v>0</v>
      </c>
      <c r="I26" s="119">
        <v>2784.2999999999997</v>
      </c>
      <c r="J26" s="120">
        <v>2867.8289999999997</v>
      </c>
      <c r="K26" s="121">
        <v>4.1445893043134712</v>
      </c>
      <c r="L26" s="122">
        <v>8.0723090184247344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2867.8289999999997</v>
      </c>
      <c r="S26" s="62">
        <f t="shared" si="13"/>
        <v>118.85973399999996</v>
      </c>
      <c r="T26" s="63">
        <f t="shared" si="14"/>
        <v>231.50001899999984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97">
        <v>2867.8</v>
      </c>
      <c r="AI26" s="66">
        <v>4.1399999999999997</v>
      </c>
      <c r="AJ26" s="66">
        <v>8.07</v>
      </c>
      <c r="AK26" s="62">
        <f t="shared" si="19"/>
        <v>118.72692000000001</v>
      </c>
      <c r="AL26" s="72">
        <f t="shared" si="20"/>
        <v>231.43146000000004</v>
      </c>
      <c r="AM26" s="73">
        <f t="shared" si="21"/>
        <v>2.8999999999541615E-2</v>
      </c>
      <c r="AN26" s="74">
        <f t="shared" si="22"/>
        <v>0.13281399999995358</v>
      </c>
      <c r="AO26" s="74">
        <f t="shared" si="23"/>
        <v>6.8558999999794423E-2</v>
      </c>
      <c r="AP26" s="75">
        <f t="shared" si="24"/>
        <v>5.7476065180280032E-4</v>
      </c>
      <c r="AQ26" s="76">
        <f t="shared" si="25"/>
        <v>80.139413199917641</v>
      </c>
      <c r="AR26" s="83">
        <f t="shared" si="26"/>
        <v>2.8999999999541615E-2</v>
      </c>
    </row>
    <row r="27" spans="1:48" x14ac:dyDescent="0.25">
      <c r="A27" t="str">
        <f t="shared" si="11"/>
        <v>46185E</v>
      </c>
      <c r="B27" s="51">
        <f t="shared" si="27"/>
        <v>46185</v>
      </c>
      <c r="C27" s="52" t="s">
        <v>88</v>
      </c>
      <c r="D27" s="79">
        <v>2867.8</v>
      </c>
      <c r="E27" s="62">
        <v>4.1399999999999997</v>
      </c>
      <c r="F27" s="62">
        <v>8.07</v>
      </c>
      <c r="G27" s="170">
        <f t="shared" si="0"/>
        <v>118.72692000000001</v>
      </c>
      <c r="H27" s="171">
        <f t="shared" si="1"/>
        <v>231.43146000000004</v>
      </c>
      <c r="I27" s="119">
        <v>3458.5800000000013</v>
      </c>
      <c r="J27" s="120">
        <v>3562.3374000000013</v>
      </c>
      <c r="K27" s="121">
        <v>3.9202967691942905</v>
      </c>
      <c r="L27" s="122">
        <v>8.2916289344181688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3562.3374000000013</v>
      </c>
      <c r="S27" s="62">
        <f t="shared" si="13"/>
        <v>139.65419799999992</v>
      </c>
      <c r="T27" s="63">
        <f t="shared" si="14"/>
        <v>295.3757986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97">
        <v>6430.1</v>
      </c>
      <c r="AI27" s="66">
        <v>4.01</v>
      </c>
      <c r="AJ27" s="66">
        <v>8.19</v>
      </c>
      <c r="AK27" s="62">
        <f t="shared" si="19"/>
        <v>257.84701000000001</v>
      </c>
      <c r="AL27" s="72">
        <f t="shared" si="20"/>
        <v>526.62519000000009</v>
      </c>
      <c r="AM27" s="73">
        <f t="shared" si="21"/>
        <v>3.7400000001071021E-2</v>
      </c>
      <c r="AN27" s="74">
        <f t="shared" si="22"/>
        <v>0.53410799999988967</v>
      </c>
      <c r="AO27" s="74">
        <f t="shared" si="23"/>
        <v>0.1820685999999796</v>
      </c>
      <c r="AP27" s="75">
        <f t="shared" si="24"/>
        <v>1.6462694655476303E-3</v>
      </c>
      <c r="AQ27" s="76">
        <f t="shared" si="25"/>
        <v>294.25469909727769</v>
      </c>
      <c r="AR27" s="83">
        <f t="shared" si="26"/>
        <v>3.7400000001071021E-2</v>
      </c>
    </row>
    <row r="28" spans="1:48" x14ac:dyDescent="0.25">
      <c r="A28" t="str">
        <f t="shared" si="11"/>
        <v>46186M</v>
      </c>
      <c r="B28" s="51">
        <f t="shared" si="27"/>
        <v>46186</v>
      </c>
      <c r="C28" s="52" t="s">
        <v>87</v>
      </c>
      <c r="D28" s="79">
        <v>6430.1</v>
      </c>
      <c r="E28" s="62">
        <v>4.01</v>
      </c>
      <c r="F28" s="62">
        <v>8.19</v>
      </c>
      <c r="G28" s="170">
        <f t="shared" si="0"/>
        <v>257.84701000000001</v>
      </c>
      <c r="H28" s="171">
        <f t="shared" si="1"/>
        <v>526.62519000000009</v>
      </c>
      <c r="I28" s="119">
        <v>3752.3000000000011</v>
      </c>
      <c r="J28" s="120">
        <v>3864.8690000000011</v>
      </c>
      <c r="K28" s="121">
        <v>3.9904272046478164</v>
      </c>
      <c r="L28" s="122">
        <v>8.2233110358979804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3864.8690000000011</v>
      </c>
      <c r="S28" s="62">
        <f t="shared" si="13"/>
        <v>154.22478400000006</v>
      </c>
      <c r="T28" s="63">
        <f t="shared" si="14"/>
        <v>317.820199</v>
      </c>
      <c r="U28" s="64" t="s">
        <v>271</v>
      </c>
      <c r="V28" s="65" t="s">
        <v>530</v>
      </c>
      <c r="W28" s="66" t="s">
        <v>189</v>
      </c>
      <c r="X28" s="67">
        <v>9395</v>
      </c>
      <c r="Y28" s="68">
        <v>4.1500000000000004</v>
      </c>
      <c r="Z28" s="68">
        <v>8</v>
      </c>
      <c r="AA28" s="62">
        <f t="shared" si="15"/>
        <v>389.89250000000004</v>
      </c>
      <c r="AB28" s="63">
        <f t="shared" si="16"/>
        <v>751.6</v>
      </c>
      <c r="AC28" s="69">
        <v>9400</v>
      </c>
      <c r="AD28" s="70">
        <v>4.0999999999999996</v>
      </c>
      <c r="AE28" s="70">
        <v>7.79</v>
      </c>
      <c r="AF28" s="62">
        <f t="shared" si="17"/>
        <v>385.4</v>
      </c>
      <c r="AG28" s="63">
        <f t="shared" si="18"/>
        <v>732.26</v>
      </c>
      <c r="AH28" s="71">
        <v>904.8</v>
      </c>
      <c r="AI28" s="66">
        <v>4</v>
      </c>
      <c r="AJ28" s="66">
        <v>8.1999999999999993</v>
      </c>
      <c r="AK28" s="62">
        <f t="shared" si="19"/>
        <v>36.192</v>
      </c>
      <c r="AL28" s="72">
        <f t="shared" si="20"/>
        <v>74.193599999999989</v>
      </c>
      <c r="AM28" s="73">
        <f t="shared" si="21"/>
        <v>-9.8309999999989941</v>
      </c>
      <c r="AN28" s="74">
        <f t="shared" si="22"/>
        <v>-9.5202059999999094</v>
      </c>
      <c r="AO28" s="74">
        <f t="shared" si="23"/>
        <v>37.991789000000111</v>
      </c>
      <c r="AP28" s="75">
        <f t="shared" si="24"/>
        <v>6.0315402186999198E-2</v>
      </c>
      <c r="AQ28" s="76">
        <f t="shared" si="25"/>
        <v>7096.2136578667423</v>
      </c>
      <c r="AR28" s="90">
        <f t="shared" ref="AR28:AR33" si="29">(D28+J28+O28)-(X28+AH28)</f>
        <v>-4.830999999998312</v>
      </c>
    </row>
    <row r="29" spans="1:48" x14ac:dyDescent="0.25">
      <c r="A29" t="str">
        <f t="shared" si="11"/>
        <v>46186E</v>
      </c>
      <c r="B29" s="51">
        <f t="shared" si="27"/>
        <v>46186</v>
      </c>
      <c r="C29" s="52" t="s">
        <v>88</v>
      </c>
      <c r="D29" s="79">
        <v>904.8</v>
      </c>
      <c r="E29" s="62">
        <v>4</v>
      </c>
      <c r="F29" s="62">
        <v>8.1999999999999993</v>
      </c>
      <c r="G29" s="170">
        <f t="shared" si="0"/>
        <v>36.192</v>
      </c>
      <c r="H29" s="171">
        <f t="shared" si="1"/>
        <v>74.193599999999989</v>
      </c>
      <c r="I29" s="119">
        <v>3080.6000000000004</v>
      </c>
      <c r="J29" s="120">
        <v>3173.0180000000005</v>
      </c>
      <c r="K29" s="121">
        <v>4.0051451016035848</v>
      </c>
      <c r="L29" s="122">
        <v>8.2139291047198633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3173.0180000000005</v>
      </c>
      <c r="S29" s="62">
        <f t="shared" si="13"/>
        <v>127.08397500000005</v>
      </c>
      <c r="T29" s="63">
        <f t="shared" si="14"/>
        <v>260.62944900000019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5"/>
        <v>0</v>
      </c>
      <c r="AB29" s="63">
        <f t="shared" si="1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71">
        <v>4077.8</v>
      </c>
      <c r="AI29" s="66">
        <v>4</v>
      </c>
      <c r="AJ29" s="66">
        <v>8.2100000000000009</v>
      </c>
      <c r="AK29" s="62">
        <f t="shared" si="19"/>
        <v>163.11200000000002</v>
      </c>
      <c r="AL29" s="72">
        <f t="shared" si="20"/>
        <v>334.78738000000004</v>
      </c>
      <c r="AM29" s="73">
        <f t="shared" si="21"/>
        <v>1.8000000000029104E-2</v>
      </c>
      <c r="AN29" s="74">
        <f t="shared" si="22"/>
        <v>0.16397500000002196</v>
      </c>
      <c r="AO29" s="74">
        <f t="shared" si="23"/>
        <v>3.5669000000154938E-2</v>
      </c>
      <c r="AP29" s="75">
        <f t="shared" si="24"/>
        <v>5.1492671556344354E-4</v>
      </c>
      <c r="AQ29" s="76">
        <f t="shared" si="25"/>
        <v>84.284797776722897</v>
      </c>
      <c r="AR29" s="90">
        <f t="shared" si="29"/>
        <v>1.8000000000029104E-2</v>
      </c>
    </row>
    <row r="30" spans="1:48" x14ac:dyDescent="0.25">
      <c r="A30" t="str">
        <f t="shared" si="11"/>
        <v>46187M</v>
      </c>
      <c r="B30" s="51">
        <f t="shared" si="27"/>
        <v>46187</v>
      </c>
      <c r="C30" s="52" t="s">
        <v>87</v>
      </c>
      <c r="D30" s="79">
        <v>4077.8</v>
      </c>
      <c r="E30" s="62">
        <v>4</v>
      </c>
      <c r="F30" s="62">
        <v>8.2100000000000009</v>
      </c>
      <c r="G30" s="170">
        <f t="shared" ref="G30:G65" si="30">+D30*E30%</f>
        <v>163.11200000000002</v>
      </c>
      <c r="H30" s="171">
        <f t="shared" ref="H30:H65" si="31">+D30*F30%</f>
        <v>334.78738000000004</v>
      </c>
      <c r="I30" s="119">
        <v>2746.4999999999991</v>
      </c>
      <c r="J30" s="120">
        <v>2828.8949999999991</v>
      </c>
      <c r="K30" s="121">
        <v>4.1117531403604568</v>
      </c>
      <c r="L30" s="122">
        <v>8.2031130529765139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2828.8949999999991</v>
      </c>
      <c r="S30" s="62">
        <f t="shared" si="13"/>
        <v>116.3171789999999</v>
      </c>
      <c r="T30" s="63">
        <f t="shared" si="14"/>
        <v>232.05745499999989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71">
        <v>6906.6</v>
      </c>
      <c r="AI30" s="66">
        <v>4.05</v>
      </c>
      <c r="AJ30" s="66">
        <v>8.1999999999999993</v>
      </c>
      <c r="AK30" s="62">
        <f t="shared" si="19"/>
        <v>279.71730000000002</v>
      </c>
      <c r="AL30" s="72">
        <f t="shared" si="20"/>
        <v>566.34119999999996</v>
      </c>
      <c r="AM30" s="73">
        <f t="shared" si="21"/>
        <v>9.4999999999345164E-2</v>
      </c>
      <c r="AN30" s="74">
        <f t="shared" si="22"/>
        <v>-0.28812100000010332</v>
      </c>
      <c r="AO30" s="74">
        <f t="shared" si="23"/>
        <v>0.50363499999991745</v>
      </c>
      <c r="AP30" s="75">
        <f t="shared" si="24"/>
        <v>6.1862713001031606E-4</v>
      </c>
      <c r="AQ30" s="76">
        <f t="shared" si="25"/>
        <v>21.38412712326226</v>
      </c>
      <c r="AR30" s="90">
        <f t="shared" si="29"/>
        <v>9.4999999999345164E-2</v>
      </c>
    </row>
    <row r="31" spans="1:48" x14ac:dyDescent="0.25">
      <c r="A31" t="str">
        <f t="shared" si="11"/>
        <v>46187E</v>
      </c>
      <c r="B31" s="51">
        <f t="shared" si="27"/>
        <v>46187</v>
      </c>
      <c r="C31" s="52" t="s">
        <v>88</v>
      </c>
      <c r="D31" s="79">
        <v>6906.6</v>
      </c>
      <c r="E31" s="62">
        <v>4.05</v>
      </c>
      <c r="F31" s="62">
        <v>8.1999999999999993</v>
      </c>
      <c r="G31" s="170">
        <f t="shared" si="30"/>
        <v>279.71730000000002</v>
      </c>
      <c r="H31" s="171">
        <f t="shared" si="31"/>
        <v>566.34119999999996</v>
      </c>
      <c r="I31" s="119">
        <v>3282.0000000000005</v>
      </c>
      <c r="J31" s="120">
        <v>3380.4600000000005</v>
      </c>
      <c r="K31" s="121">
        <v>3.8961608775137093</v>
      </c>
      <c r="L31" s="122">
        <v>8.1999542961608753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3380.4600000000005</v>
      </c>
      <c r="S31" s="62">
        <f t="shared" si="13"/>
        <v>131.70815999999996</v>
      </c>
      <c r="T31" s="63">
        <f t="shared" si="14"/>
        <v>277.19617499999998</v>
      </c>
      <c r="U31" s="64" t="s">
        <v>273</v>
      </c>
      <c r="V31" s="85" t="s">
        <v>531</v>
      </c>
      <c r="W31" s="66" t="s">
        <v>189</v>
      </c>
      <c r="X31" s="67">
        <v>10105</v>
      </c>
      <c r="Y31" s="68">
        <v>4.1500000000000004</v>
      </c>
      <c r="Z31" s="68">
        <v>7.99</v>
      </c>
      <c r="AA31" s="62">
        <f t="shared" si="15"/>
        <v>419.35750000000002</v>
      </c>
      <c r="AB31" s="63">
        <f t="shared" si="16"/>
        <v>807.3895</v>
      </c>
      <c r="AC31" s="69">
        <v>10100</v>
      </c>
      <c r="AD31" s="70">
        <v>4.0999999999999988</v>
      </c>
      <c r="AE31" s="70">
        <v>7.8500000000000005</v>
      </c>
      <c r="AF31" s="62">
        <f t="shared" si="17"/>
        <v>414.09999999999985</v>
      </c>
      <c r="AG31" s="63">
        <f t="shared" si="18"/>
        <v>792.85</v>
      </c>
      <c r="AH31" s="71">
        <v>182</v>
      </c>
      <c r="AI31" s="66">
        <v>4</v>
      </c>
      <c r="AJ31" s="66">
        <v>8.1999999999999993</v>
      </c>
      <c r="AK31" s="62">
        <f t="shared" si="19"/>
        <v>7.28</v>
      </c>
      <c r="AL31" s="72">
        <f t="shared" si="20"/>
        <v>14.923999999999998</v>
      </c>
      <c r="AM31" s="73">
        <f t="shared" si="21"/>
        <v>5.0600000000013097</v>
      </c>
      <c r="AN31" s="74">
        <f t="shared" si="22"/>
        <v>-9.9545399999998665</v>
      </c>
      <c r="AO31" s="74">
        <f t="shared" si="23"/>
        <v>35.763374999999861</v>
      </c>
      <c r="AP31" s="75">
        <f t="shared" si="24"/>
        <v>6.3117049125928193E-2</v>
      </c>
      <c r="AQ31" s="76">
        <f t="shared" si="25"/>
        <v>6234.3318961000195</v>
      </c>
      <c r="AR31" s="90">
        <f t="shared" si="29"/>
        <v>6.0000000001309672E-2</v>
      </c>
    </row>
    <row r="32" spans="1:48" x14ac:dyDescent="0.25">
      <c r="A32" t="str">
        <f t="shared" si="11"/>
        <v>46188M</v>
      </c>
      <c r="B32" s="51">
        <f t="shared" si="27"/>
        <v>46188</v>
      </c>
      <c r="C32" s="52" t="s">
        <v>87</v>
      </c>
      <c r="D32" s="79">
        <v>182</v>
      </c>
      <c r="E32" s="62">
        <v>4</v>
      </c>
      <c r="F32" s="62">
        <v>8.1999999999999993</v>
      </c>
      <c r="G32" s="170">
        <f t="shared" si="30"/>
        <v>7.28</v>
      </c>
      <c r="H32" s="171">
        <f t="shared" si="31"/>
        <v>14.923999999999998</v>
      </c>
      <c r="I32" s="119">
        <v>2483.0300000000002</v>
      </c>
      <c r="J32" s="120">
        <v>2557.5209000000004</v>
      </c>
      <c r="K32" s="121">
        <v>4.1185116571285887</v>
      </c>
      <c r="L32" s="122">
        <v>8.1892405649549129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2557.5209000000004</v>
      </c>
      <c r="S32" s="62">
        <f t="shared" si="13"/>
        <v>105.33179640000002</v>
      </c>
      <c r="T32" s="63">
        <f t="shared" si="14"/>
        <v>209.44153900000001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71">
        <v>2739.4</v>
      </c>
      <c r="AI32" s="66">
        <v>4.0999999999999996</v>
      </c>
      <c r="AJ32" s="66">
        <v>8.19</v>
      </c>
      <c r="AK32" s="62">
        <f t="shared" si="19"/>
        <v>112.31539999999998</v>
      </c>
      <c r="AL32" s="72">
        <f t="shared" si="20"/>
        <v>224.35686000000001</v>
      </c>
      <c r="AM32" s="73">
        <f t="shared" si="21"/>
        <v>0.12090000000034706</v>
      </c>
      <c r="AN32" s="74">
        <f t="shared" si="22"/>
        <v>0.29639640000003453</v>
      </c>
      <c r="AO32" s="74">
        <f t="shared" si="23"/>
        <v>8.6790000000007694E-3</v>
      </c>
      <c r="AP32" s="75">
        <f t="shared" si="24"/>
        <v>9.6919073406379552E-4</v>
      </c>
      <c r="AQ32" s="76">
        <f t="shared" si="25"/>
        <v>135.65270118401574</v>
      </c>
      <c r="AR32" s="90">
        <f t="shared" si="29"/>
        <v>0.12090000000034706</v>
      </c>
    </row>
    <row r="33" spans="1:44" x14ac:dyDescent="0.25">
      <c r="A33" t="str">
        <f t="shared" si="11"/>
        <v>46188E</v>
      </c>
      <c r="B33" s="51">
        <f t="shared" si="27"/>
        <v>46188</v>
      </c>
      <c r="C33" s="52" t="s">
        <v>88</v>
      </c>
      <c r="D33" s="79">
        <v>2739.4</v>
      </c>
      <c r="E33" s="62">
        <v>4.0999999999999996</v>
      </c>
      <c r="F33" s="62">
        <v>8.19</v>
      </c>
      <c r="G33" s="170">
        <f t="shared" si="30"/>
        <v>112.31539999999998</v>
      </c>
      <c r="H33" s="171">
        <f t="shared" si="31"/>
        <v>224.35686000000001</v>
      </c>
      <c r="I33" s="119">
        <v>3873.6999999999989</v>
      </c>
      <c r="J33" s="120">
        <v>3989.9109999999991</v>
      </c>
      <c r="K33" s="121">
        <v>3.7163771071585283</v>
      </c>
      <c r="L33" s="122">
        <v>8.1926220409427675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3989.9109999999991</v>
      </c>
      <c r="S33" s="62">
        <f t="shared" si="13"/>
        <v>148.28013899999988</v>
      </c>
      <c r="T33" s="63">
        <f t="shared" si="14"/>
        <v>326.87832799999995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71">
        <v>6729.3</v>
      </c>
      <c r="AI33" s="66">
        <v>3.87</v>
      </c>
      <c r="AJ33" s="66">
        <v>8.19</v>
      </c>
      <c r="AK33" s="62">
        <f t="shared" si="19"/>
        <v>260.42390999999998</v>
      </c>
      <c r="AL33" s="72">
        <f t="shared" si="20"/>
        <v>551.12967000000003</v>
      </c>
      <c r="AM33" s="73">
        <f t="shared" si="21"/>
        <v>1.0999999999512511E-2</v>
      </c>
      <c r="AN33" s="74">
        <f t="shared" si="22"/>
        <v>0.17162899999988213</v>
      </c>
      <c r="AO33" s="74">
        <f t="shared" si="23"/>
        <v>0.10551799999996092</v>
      </c>
      <c r="AP33" s="75">
        <f t="shared" si="24"/>
        <v>5.8327278002570692E-4</v>
      </c>
      <c r="AQ33" s="76">
        <f t="shared" si="25"/>
        <v>108.62469797660206</v>
      </c>
      <c r="AR33" s="90">
        <f t="shared" si="29"/>
        <v>1.0999999999512511E-2</v>
      </c>
    </row>
    <row r="34" spans="1:44" x14ac:dyDescent="0.25">
      <c r="A34" t="str">
        <f t="shared" si="11"/>
        <v>46189M</v>
      </c>
      <c r="B34" s="51">
        <f t="shared" si="27"/>
        <v>46189</v>
      </c>
      <c r="C34" s="52" t="s">
        <v>87</v>
      </c>
      <c r="D34" s="79">
        <v>6729.3</v>
      </c>
      <c r="E34" s="62">
        <v>3.87</v>
      </c>
      <c r="F34" s="62">
        <v>8.19</v>
      </c>
      <c r="G34" s="170">
        <f t="shared" si="30"/>
        <v>260.42390999999998</v>
      </c>
      <c r="H34" s="171">
        <f t="shared" si="31"/>
        <v>551.12967000000003</v>
      </c>
      <c r="I34" s="119">
        <v>2843.6999999999989</v>
      </c>
      <c r="J34" s="120">
        <v>2929.0109999999991</v>
      </c>
      <c r="K34" s="121">
        <v>4.1064282448922169</v>
      </c>
      <c r="L34" s="122">
        <v>8.1856806273516867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2929.0109999999991</v>
      </c>
      <c r="S34" s="62">
        <f t="shared" si="13"/>
        <v>120.27773499999994</v>
      </c>
      <c r="T34" s="63">
        <f t="shared" si="14"/>
        <v>239.75948599999984</v>
      </c>
      <c r="U34" s="64" t="s">
        <v>271</v>
      </c>
      <c r="V34" s="65" t="s">
        <v>589</v>
      </c>
      <c r="W34" s="66" t="s">
        <v>189</v>
      </c>
      <c r="X34" s="67">
        <v>9410</v>
      </c>
      <c r="Y34" s="68">
        <v>4.2</v>
      </c>
      <c r="Z34" s="68">
        <v>7.95</v>
      </c>
      <c r="AA34" s="62">
        <f t="shared" si="15"/>
        <v>395.22</v>
      </c>
      <c r="AB34" s="63">
        <f t="shared" si="16"/>
        <v>748.09500000000003</v>
      </c>
      <c r="AC34" s="69">
        <v>9380</v>
      </c>
      <c r="AD34" s="70">
        <v>4.1500000000000004</v>
      </c>
      <c r="AE34" s="70">
        <v>7.86</v>
      </c>
      <c r="AF34" s="62">
        <f t="shared" si="17"/>
        <v>389.27000000000004</v>
      </c>
      <c r="AG34" s="63">
        <f t="shared" si="18"/>
        <v>737.26800000000003</v>
      </c>
      <c r="AH34" s="71">
        <v>248.3</v>
      </c>
      <c r="AI34" s="66">
        <v>3.94</v>
      </c>
      <c r="AJ34" s="66">
        <v>8.19</v>
      </c>
      <c r="AK34" s="62">
        <f t="shared" si="19"/>
        <v>9.7830200000000005</v>
      </c>
      <c r="AL34" s="72">
        <f t="shared" si="20"/>
        <v>20.33577</v>
      </c>
      <c r="AM34" s="73">
        <f t="shared" si="21"/>
        <v>30.010999999999683</v>
      </c>
      <c r="AN34" s="74">
        <f t="shared" si="22"/>
        <v>-18.351375000000111</v>
      </c>
      <c r="AO34" s="74">
        <f t="shared" si="23"/>
        <v>33.285385999999818</v>
      </c>
      <c r="AP34" s="75">
        <f t="shared" si="24"/>
        <v>4.1479075298161236E-2</v>
      </c>
      <c r="AQ34" s="76">
        <f t="shared" si="25"/>
        <v>1723.3126682565635</v>
      </c>
      <c r="AR34" s="90">
        <f t="shared" ref="AR34:AR43" si="32">(D34+J34+O34)-(X34+AH34)</f>
        <v>1.1000000000422006E-2</v>
      </c>
    </row>
    <row r="35" spans="1:44" x14ac:dyDescent="0.25">
      <c r="A35" t="str">
        <f t="shared" si="11"/>
        <v>46189E</v>
      </c>
      <c r="B35" s="51">
        <f t="shared" si="27"/>
        <v>46189</v>
      </c>
      <c r="C35" s="52" t="s">
        <v>88</v>
      </c>
      <c r="D35" s="79">
        <v>248.3</v>
      </c>
      <c r="E35" s="62">
        <v>3.94</v>
      </c>
      <c r="F35" s="62">
        <v>8.19</v>
      </c>
      <c r="G35" s="170">
        <f t="shared" si="30"/>
        <v>9.7830200000000005</v>
      </c>
      <c r="H35" s="171">
        <f t="shared" si="31"/>
        <v>20.33577</v>
      </c>
      <c r="I35" s="119">
        <v>3080.4999999999986</v>
      </c>
      <c r="J35" s="120">
        <v>3172.9149999999986</v>
      </c>
      <c r="K35" s="121">
        <v>3.7715403343613048</v>
      </c>
      <c r="L35" s="122">
        <v>8.1489271222204192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3172.9149999999986</v>
      </c>
      <c r="S35" s="62">
        <f t="shared" si="13"/>
        <v>119.66776899999995</v>
      </c>
      <c r="T35" s="63">
        <f t="shared" si="14"/>
        <v>258.5585309999999</v>
      </c>
      <c r="U35" s="64" t="s">
        <v>167</v>
      </c>
      <c r="V35" s="65" t="s">
        <v>187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71">
        <v>3457.2</v>
      </c>
      <c r="AI35" s="66">
        <v>3.78</v>
      </c>
      <c r="AJ35" s="66">
        <v>8.16</v>
      </c>
      <c r="AK35" s="62">
        <f t="shared" si="19"/>
        <v>130.68215999999998</v>
      </c>
      <c r="AL35" s="72">
        <f t="shared" si="20"/>
        <v>282.10752000000002</v>
      </c>
      <c r="AM35" s="73">
        <f t="shared" si="21"/>
        <v>-35.985000000001037</v>
      </c>
      <c r="AN35" s="74">
        <f t="shared" si="22"/>
        <v>-1.2313710000000242</v>
      </c>
      <c r="AO35" s="74">
        <f t="shared" si="23"/>
        <v>-3.2132190000000946</v>
      </c>
      <c r="AP35" s="75">
        <f t="shared" si="24"/>
        <v>-1.1751139463332191E-2</v>
      </c>
      <c r="AQ35" s="76">
        <f t="shared" si="25"/>
        <v>-1514.4055164700394</v>
      </c>
      <c r="AR35" s="90">
        <f t="shared" si="32"/>
        <v>-35.985000000001037</v>
      </c>
    </row>
    <row r="36" spans="1:44" x14ac:dyDescent="0.25">
      <c r="A36" t="str">
        <f t="shared" si="11"/>
        <v>46190M</v>
      </c>
      <c r="B36" s="51">
        <f t="shared" si="27"/>
        <v>46190</v>
      </c>
      <c r="C36" s="52" t="s">
        <v>87</v>
      </c>
      <c r="D36" s="79">
        <v>3457.2</v>
      </c>
      <c r="E36" s="62">
        <v>3.78</v>
      </c>
      <c r="F36" s="62">
        <v>8.16</v>
      </c>
      <c r="G36" s="170">
        <f t="shared" si="30"/>
        <v>130.68215999999998</v>
      </c>
      <c r="H36" s="171">
        <f t="shared" si="31"/>
        <v>282.10752000000002</v>
      </c>
      <c r="I36" s="119">
        <v>2544.7999999999997</v>
      </c>
      <c r="J36" s="120">
        <v>2621.1439999999998</v>
      </c>
      <c r="K36" s="121">
        <v>4.0940309651053139</v>
      </c>
      <c r="L36" s="122">
        <v>8.1672744419993784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2621.1439999999998</v>
      </c>
      <c r="S36" s="62">
        <f t="shared" si="13"/>
        <v>107.31044700000001</v>
      </c>
      <c r="T36" s="63">
        <f t="shared" si="14"/>
        <v>214.07602400000016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71">
        <v>6078.3</v>
      </c>
      <c r="AI36" s="66">
        <v>3.9</v>
      </c>
      <c r="AJ36" s="66">
        <v>8.17</v>
      </c>
      <c r="AK36" s="62">
        <f t="shared" si="19"/>
        <v>237.05370000000002</v>
      </c>
      <c r="AL36" s="72">
        <f t="shared" si="20"/>
        <v>496.59710999999999</v>
      </c>
      <c r="AM36" s="73">
        <f t="shared" si="21"/>
        <v>4.3999999998959538E-2</v>
      </c>
      <c r="AN36" s="74">
        <f t="shared" si="22"/>
        <v>0.93890699999997196</v>
      </c>
      <c r="AO36" s="74">
        <f t="shared" si="23"/>
        <v>-0.41356599999977561</v>
      </c>
      <c r="AP36" s="75">
        <f t="shared" si="24"/>
        <v>1.6346083217678323E-3</v>
      </c>
      <c r="AQ36" s="76">
        <f t="shared" si="25"/>
        <v>297.71546599672126</v>
      </c>
      <c r="AR36" s="90">
        <f t="shared" si="32"/>
        <v>4.3999999998959538E-2</v>
      </c>
    </row>
    <row r="37" spans="1:44" x14ac:dyDescent="0.25">
      <c r="A37" t="str">
        <f t="shared" si="11"/>
        <v>46190E</v>
      </c>
      <c r="B37" s="51">
        <f t="shared" si="27"/>
        <v>46190</v>
      </c>
      <c r="C37" s="52" t="s">
        <v>88</v>
      </c>
      <c r="D37" s="79">
        <v>6078.3</v>
      </c>
      <c r="E37" s="62">
        <v>3.9</v>
      </c>
      <c r="F37" s="62">
        <v>8.17</v>
      </c>
      <c r="G37" s="170">
        <f t="shared" si="30"/>
        <v>237.05370000000002</v>
      </c>
      <c r="H37" s="171">
        <f t="shared" si="31"/>
        <v>496.59710999999999</v>
      </c>
      <c r="I37" s="119">
        <v>3018.4999999999995</v>
      </c>
      <c r="J37" s="120">
        <v>3109.0549999999998</v>
      </c>
      <c r="K37" s="121">
        <v>3.9443630942521137</v>
      </c>
      <c r="L37" s="122">
        <v>8.1694351499088995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3109.0549999999998</v>
      </c>
      <c r="S37" s="62">
        <f t="shared" si="13"/>
        <v>122.63241800000004</v>
      </c>
      <c r="T37" s="63">
        <f t="shared" si="14"/>
        <v>253.99223200000012</v>
      </c>
      <c r="U37" s="64" t="s">
        <v>167</v>
      </c>
      <c r="V37" s="65" t="s">
        <v>187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71">
        <v>9187.2999999999993</v>
      </c>
      <c r="AI37" s="66">
        <v>3.91</v>
      </c>
      <c r="AJ37" s="66">
        <v>8.17</v>
      </c>
      <c r="AK37" s="62">
        <f t="shared" si="19"/>
        <v>359.22343000000001</v>
      </c>
      <c r="AL37" s="72">
        <f t="shared" si="20"/>
        <v>750.60240999999985</v>
      </c>
      <c r="AM37" s="73">
        <f t="shared" si="21"/>
        <v>5.5000000000291038E-2</v>
      </c>
      <c r="AN37" s="74">
        <f t="shared" si="22"/>
        <v>0.46268800000007104</v>
      </c>
      <c r="AO37" s="74">
        <f t="shared" si="23"/>
        <v>-1.3067999999748281E-2</v>
      </c>
      <c r="AP37" s="75">
        <f t="shared" si="24"/>
        <v>1.193814584362236E-3</v>
      </c>
      <c r="AQ37" s="76">
        <f t="shared" si="25"/>
        <v>203.79436616010724</v>
      </c>
      <c r="AR37" s="90">
        <f t="shared" si="32"/>
        <v>5.5000000000291038E-2</v>
      </c>
    </row>
    <row r="38" spans="1:44" x14ac:dyDescent="0.25">
      <c r="A38" t="str">
        <f t="shared" si="11"/>
        <v>46191M</v>
      </c>
      <c r="B38" s="51">
        <f t="shared" si="27"/>
        <v>46191</v>
      </c>
      <c r="C38" s="52" t="s">
        <v>87</v>
      </c>
      <c r="D38" s="79">
        <v>9187.2999999999993</v>
      </c>
      <c r="E38" s="62">
        <v>3.91</v>
      </c>
      <c r="F38" s="62">
        <v>8.17</v>
      </c>
      <c r="G38" s="170">
        <f t="shared" si="30"/>
        <v>359.22343000000001</v>
      </c>
      <c r="H38" s="171">
        <f t="shared" si="31"/>
        <v>750.60240999999985</v>
      </c>
      <c r="I38" s="119">
        <v>2344.4</v>
      </c>
      <c r="J38" s="120">
        <v>2414.732</v>
      </c>
      <c r="K38" s="121">
        <v>4.2130267872376725</v>
      </c>
      <c r="L38" s="122">
        <v>8.1876855485412037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2414.732</v>
      </c>
      <c r="S38" s="62">
        <f t="shared" si="13"/>
        <v>101.733306</v>
      </c>
      <c r="T38" s="63">
        <f t="shared" si="14"/>
        <v>197.71066299999998</v>
      </c>
      <c r="U38" s="64" t="s">
        <v>273</v>
      </c>
      <c r="V38" s="65" t="s">
        <v>650</v>
      </c>
      <c r="W38" s="66" t="s">
        <v>189</v>
      </c>
      <c r="X38" s="67">
        <v>10575</v>
      </c>
      <c r="Y38" s="68">
        <v>4.1900000000000004</v>
      </c>
      <c r="Z38" s="68">
        <v>7.95</v>
      </c>
      <c r="AA38" s="62">
        <f t="shared" si="15"/>
        <v>443.09250000000009</v>
      </c>
      <c r="AB38" s="63">
        <f t="shared" si="16"/>
        <v>840.71249999999998</v>
      </c>
      <c r="AC38" s="226">
        <v>10575</v>
      </c>
      <c r="AD38" s="227">
        <v>4.1900000000000004</v>
      </c>
      <c r="AE38" s="227">
        <v>7.95</v>
      </c>
      <c r="AF38" s="62">
        <f t="shared" si="17"/>
        <v>443.09250000000009</v>
      </c>
      <c r="AG38" s="63">
        <f t="shared" si="18"/>
        <v>840.71249999999998</v>
      </c>
      <c r="AH38" s="71">
        <v>1027</v>
      </c>
      <c r="AI38" s="66">
        <v>3.99</v>
      </c>
      <c r="AJ38" s="66">
        <v>8.18</v>
      </c>
      <c r="AK38" s="62">
        <f t="shared" si="19"/>
        <v>40.977300000000007</v>
      </c>
      <c r="AL38" s="72">
        <f t="shared" si="20"/>
        <v>84.008600000000001</v>
      </c>
      <c r="AM38" s="73">
        <f t="shared" si="21"/>
        <v>3.19999999992433E-2</v>
      </c>
      <c r="AN38" s="74">
        <f t="shared" si="22"/>
        <v>-23.113064000000115</v>
      </c>
      <c r="AO38" s="74">
        <f t="shared" si="23"/>
        <v>23.591972999999825</v>
      </c>
      <c r="AP38" s="75">
        <f t="shared" si="24"/>
        <v>1.5993275857217558E-3</v>
      </c>
      <c r="AQ38" s="76">
        <f t="shared" si="25"/>
        <v>-3315.2371606201032</v>
      </c>
      <c r="AR38" s="90">
        <f t="shared" si="32"/>
        <v>3.19999999992433E-2</v>
      </c>
    </row>
    <row r="39" spans="1:44" x14ac:dyDescent="0.25">
      <c r="A39" t="str">
        <f t="shared" si="11"/>
        <v>46191E</v>
      </c>
      <c r="B39" s="51">
        <f t="shared" si="27"/>
        <v>46191</v>
      </c>
      <c r="C39" s="52" t="s">
        <v>88</v>
      </c>
      <c r="D39" s="79">
        <v>1027</v>
      </c>
      <c r="E39" s="62">
        <v>3.99</v>
      </c>
      <c r="F39" s="62">
        <v>8.18</v>
      </c>
      <c r="G39" s="170">
        <f t="shared" si="30"/>
        <v>40.977300000000007</v>
      </c>
      <c r="H39" s="171">
        <f t="shared" si="31"/>
        <v>84.008600000000001</v>
      </c>
      <c r="I39" s="119">
        <v>2726.1000000000004</v>
      </c>
      <c r="J39" s="120">
        <v>2807.8830000000003</v>
      </c>
      <c r="K39" s="121">
        <v>3.933006859616301</v>
      </c>
      <c r="L39" s="122">
        <v>8.1909834562195059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2807.8830000000003</v>
      </c>
      <c r="S39" s="62">
        <f t="shared" si="13"/>
        <v>110.434231</v>
      </c>
      <c r="T39" s="63">
        <f t="shared" si="14"/>
        <v>229.99323199999995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71">
        <v>3834.8</v>
      </c>
      <c r="AI39" s="66">
        <v>3.96</v>
      </c>
      <c r="AJ39" s="66">
        <v>8.19</v>
      </c>
      <c r="AK39" s="62">
        <f t="shared" si="19"/>
        <v>151.85808</v>
      </c>
      <c r="AL39" s="72">
        <f t="shared" si="20"/>
        <v>314.07012000000003</v>
      </c>
      <c r="AM39" s="73">
        <f t="shared" si="21"/>
        <v>8.3000000000083674E-2</v>
      </c>
      <c r="AN39" s="74">
        <f t="shared" si="22"/>
        <v>-0.44654900000000453</v>
      </c>
      <c r="AO39" s="74">
        <f t="shared" si="23"/>
        <v>-6.828800000010915E-2</v>
      </c>
      <c r="AP39" s="75">
        <f t="shared" si="24"/>
        <v>-1.5123251087416345E-3</v>
      </c>
      <c r="AQ39" s="76">
        <f t="shared" si="25"/>
        <v>-220.89708897670138</v>
      </c>
      <c r="AR39" s="90">
        <f t="shared" si="32"/>
        <v>8.3000000000083674E-2</v>
      </c>
    </row>
    <row r="40" spans="1:44" x14ac:dyDescent="0.25">
      <c r="A40" t="str">
        <f t="shared" si="11"/>
        <v>46192M</v>
      </c>
      <c r="B40" s="51">
        <f t="shared" si="27"/>
        <v>46192</v>
      </c>
      <c r="C40" s="52" t="s">
        <v>87</v>
      </c>
      <c r="D40" s="79"/>
      <c r="E40" s="62"/>
      <c r="F40" s="62"/>
      <c r="G40" s="170">
        <f t="shared" si="30"/>
        <v>0</v>
      </c>
      <c r="H40" s="171">
        <f t="shared" si="31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71"/>
      <c r="AI40" s="66"/>
      <c r="AJ40" s="66"/>
      <c r="AK40" s="62">
        <f t="shared" si="19"/>
        <v>0</v>
      </c>
      <c r="AL40" s="72">
        <f t="shared" si="20"/>
        <v>0</v>
      </c>
      <c r="AM40" s="73">
        <f t="shared" si="21"/>
        <v>0</v>
      </c>
      <c r="AN40" s="74">
        <f t="shared" si="22"/>
        <v>0</v>
      </c>
      <c r="AO40" s="74">
        <f t="shared" si="23"/>
        <v>0</v>
      </c>
      <c r="AP40" s="75" t="e">
        <f t="shared" si="24"/>
        <v>#DIV/0!</v>
      </c>
      <c r="AQ40" s="76">
        <f t="shared" si="25"/>
        <v>0</v>
      </c>
      <c r="AR40" s="90">
        <f t="shared" si="32"/>
        <v>0</v>
      </c>
    </row>
    <row r="41" spans="1:44" x14ac:dyDescent="0.25">
      <c r="A41" t="str">
        <f t="shared" si="11"/>
        <v>46192E</v>
      </c>
      <c r="B41" s="51">
        <f t="shared" si="27"/>
        <v>46192</v>
      </c>
      <c r="C41" s="52" t="s">
        <v>88</v>
      </c>
      <c r="D41" s="79"/>
      <c r="E41" s="62"/>
      <c r="F41" s="62"/>
      <c r="G41" s="170">
        <f t="shared" si="30"/>
        <v>0</v>
      </c>
      <c r="H41" s="171">
        <f t="shared" si="31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71"/>
      <c r="AI41" s="66"/>
      <c r="AJ41" s="66"/>
      <c r="AK41" s="62">
        <f t="shared" si="19"/>
        <v>0</v>
      </c>
      <c r="AL41" s="72">
        <f t="shared" si="20"/>
        <v>0</v>
      </c>
      <c r="AM41" s="73">
        <f t="shared" si="21"/>
        <v>0</v>
      </c>
      <c r="AN41" s="74">
        <f t="shared" si="22"/>
        <v>0</v>
      </c>
      <c r="AO41" s="74">
        <f t="shared" si="23"/>
        <v>0</v>
      </c>
      <c r="AP41" s="75" t="e">
        <f t="shared" si="24"/>
        <v>#DIV/0!</v>
      </c>
      <c r="AQ41" s="76">
        <f t="shared" si="25"/>
        <v>0</v>
      </c>
      <c r="AR41" s="90">
        <f t="shared" si="32"/>
        <v>0</v>
      </c>
    </row>
    <row r="42" spans="1:44" x14ac:dyDescent="0.25">
      <c r="A42" t="str">
        <f t="shared" si="11"/>
        <v>46193M</v>
      </c>
      <c r="B42" s="51">
        <f t="shared" si="27"/>
        <v>46193</v>
      </c>
      <c r="C42" s="52" t="s">
        <v>87</v>
      </c>
      <c r="D42" s="79"/>
      <c r="E42" s="62"/>
      <c r="F42" s="62"/>
      <c r="G42" s="170">
        <f t="shared" si="30"/>
        <v>0</v>
      </c>
      <c r="H42" s="171">
        <f t="shared" si="31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71"/>
      <c r="AI42" s="66"/>
      <c r="AJ42" s="66"/>
      <c r="AK42" s="62">
        <f t="shared" si="19"/>
        <v>0</v>
      </c>
      <c r="AL42" s="72">
        <f t="shared" si="20"/>
        <v>0</v>
      </c>
      <c r="AM42" s="73">
        <f t="shared" si="21"/>
        <v>0</v>
      </c>
      <c r="AN42" s="74">
        <f t="shared" si="22"/>
        <v>0</v>
      </c>
      <c r="AO42" s="74">
        <f t="shared" si="23"/>
        <v>0</v>
      </c>
      <c r="AP42" s="75" t="e">
        <f t="shared" si="24"/>
        <v>#DIV/0!</v>
      </c>
      <c r="AQ42" s="76">
        <f t="shared" si="25"/>
        <v>0</v>
      </c>
      <c r="AR42" s="90">
        <f t="shared" si="32"/>
        <v>0</v>
      </c>
    </row>
    <row r="43" spans="1:44" x14ac:dyDescent="0.25">
      <c r="A43" t="str">
        <f t="shared" si="11"/>
        <v>46193E</v>
      </c>
      <c r="B43" s="51">
        <f t="shared" si="27"/>
        <v>46193</v>
      </c>
      <c r="C43" s="52" t="s">
        <v>88</v>
      </c>
      <c r="D43" s="79"/>
      <c r="E43" s="62"/>
      <c r="F43" s="62"/>
      <c r="G43" s="170">
        <f t="shared" si="30"/>
        <v>0</v>
      </c>
      <c r="H43" s="171">
        <f t="shared" si="31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71"/>
      <c r="AI43" s="66"/>
      <c r="AJ43" s="66"/>
      <c r="AK43" s="62">
        <f t="shared" si="19"/>
        <v>0</v>
      </c>
      <c r="AL43" s="72">
        <f t="shared" si="20"/>
        <v>0</v>
      </c>
      <c r="AM43" s="73">
        <f t="shared" si="21"/>
        <v>0</v>
      </c>
      <c r="AN43" s="74">
        <f t="shared" si="22"/>
        <v>0</v>
      </c>
      <c r="AO43" s="74">
        <f t="shared" si="23"/>
        <v>0</v>
      </c>
      <c r="AP43" s="75" t="e">
        <f t="shared" si="24"/>
        <v>#DIV/0!</v>
      </c>
      <c r="AQ43" s="76">
        <f t="shared" si="25"/>
        <v>0</v>
      </c>
      <c r="AR43" s="90">
        <f t="shared" si="32"/>
        <v>0</v>
      </c>
    </row>
    <row r="44" spans="1:44" x14ac:dyDescent="0.25">
      <c r="A44" t="str">
        <f t="shared" si="11"/>
        <v>46194M</v>
      </c>
      <c r="B44" s="51">
        <f t="shared" si="27"/>
        <v>46194</v>
      </c>
      <c r="C44" s="52" t="s">
        <v>87</v>
      </c>
      <c r="D44" s="79"/>
      <c r="E44" s="62"/>
      <c r="F44" s="62"/>
      <c r="G44" s="170">
        <f t="shared" si="30"/>
        <v>0</v>
      </c>
      <c r="H44" s="171">
        <f t="shared" si="31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71"/>
      <c r="AI44" s="66"/>
      <c r="AJ44" s="66"/>
      <c r="AK44" s="62">
        <f t="shared" si="19"/>
        <v>0</v>
      </c>
      <c r="AL44" s="72">
        <f t="shared" si="20"/>
        <v>0</v>
      </c>
      <c r="AM44" s="73">
        <f t="shared" si="21"/>
        <v>0</v>
      </c>
      <c r="AN44" s="74">
        <f t="shared" si="22"/>
        <v>0</v>
      </c>
      <c r="AO44" s="74">
        <f t="shared" si="23"/>
        <v>0</v>
      </c>
      <c r="AP44" s="75" t="e">
        <f t="shared" si="24"/>
        <v>#DIV/0!</v>
      </c>
      <c r="AQ44" s="76">
        <f t="shared" si="25"/>
        <v>0</v>
      </c>
      <c r="AR44" s="90">
        <f>(D44+J44+O44)-(X44+AH44)</f>
        <v>0</v>
      </c>
    </row>
    <row r="45" spans="1:44" x14ac:dyDescent="0.25">
      <c r="A45" t="str">
        <f t="shared" si="11"/>
        <v>46194E</v>
      </c>
      <c r="B45" s="51">
        <f t="shared" si="27"/>
        <v>46194</v>
      </c>
      <c r="C45" s="52" t="s">
        <v>88</v>
      </c>
      <c r="D45" s="79"/>
      <c r="E45" s="62"/>
      <c r="F45" s="62"/>
      <c r="G45" s="170">
        <f t="shared" si="30"/>
        <v>0</v>
      </c>
      <c r="H45" s="171">
        <f t="shared" si="31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71"/>
      <c r="AI45" s="66"/>
      <c r="AJ45" s="66"/>
      <c r="AK45" s="62">
        <f t="shared" si="19"/>
        <v>0</v>
      </c>
      <c r="AL45" s="72">
        <f t="shared" si="20"/>
        <v>0</v>
      </c>
      <c r="AM45" s="73">
        <f t="shared" si="21"/>
        <v>0</v>
      </c>
      <c r="AN45" s="74">
        <f t="shared" si="22"/>
        <v>0</v>
      </c>
      <c r="AO45" s="74">
        <f t="shared" si="23"/>
        <v>0</v>
      </c>
      <c r="AP45" s="75" t="e">
        <f t="shared" si="24"/>
        <v>#DIV/0!</v>
      </c>
      <c r="AQ45" s="76">
        <f t="shared" si="25"/>
        <v>0</v>
      </c>
      <c r="AR45" s="90">
        <f>(D45+J45+O45)-(X45+AH45)</f>
        <v>0</v>
      </c>
    </row>
    <row r="46" spans="1:44" x14ac:dyDescent="0.25">
      <c r="A46" t="str">
        <f t="shared" si="11"/>
        <v>46195M</v>
      </c>
      <c r="B46" s="51">
        <f t="shared" si="27"/>
        <v>46195</v>
      </c>
      <c r="C46" s="52" t="s">
        <v>87</v>
      </c>
      <c r="D46" s="79"/>
      <c r="E46" s="62"/>
      <c r="F46" s="62"/>
      <c r="G46" s="170">
        <f t="shared" si="30"/>
        <v>0</v>
      </c>
      <c r="H46" s="171">
        <f t="shared" si="31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71"/>
      <c r="AI46" s="66"/>
      <c r="AJ46" s="66"/>
      <c r="AK46" s="62">
        <f t="shared" si="19"/>
        <v>0</v>
      </c>
      <c r="AL46" s="72">
        <f t="shared" si="20"/>
        <v>0</v>
      </c>
      <c r="AM46" s="73">
        <f t="shared" si="21"/>
        <v>0</v>
      </c>
      <c r="AN46" s="74">
        <f t="shared" si="22"/>
        <v>0</v>
      </c>
      <c r="AO46" s="74">
        <f t="shared" si="23"/>
        <v>0</v>
      </c>
      <c r="AP46" s="75" t="e">
        <f t="shared" si="24"/>
        <v>#DIV/0!</v>
      </c>
      <c r="AQ46" s="76">
        <f t="shared" si="25"/>
        <v>0</v>
      </c>
      <c r="AR46" s="90">
        <f>(D46+J46+O46)-(X46+AH46)</f>
        <v>0</v>
      </c>
    </row>
    <row r="47" spans="1:44" x14ac:dyDescent="0.25">
      <c r="A47" t="str">
        <f t="shared" si="11"/>
        <v>46195E</v>
      </c>
      <c r="B47" s="51">
        <f t="shared" si="27"/>
        <v>46195</v>
      </c>
      <c r="C47" s="52" t="s">
        <v>88</v>
      </c>
      <c r="D47" s="79"/>
      <c r="E47" s="62"/>
      <c r="F47" s="62"/>
      <c r="G47" s="170">
        <f t="shared" si="30"/>
        <v>0</v>
      </c>
      <c r="H47" s="171">
        <f t="shared" si="31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71"/>
      <c r="AI47" s="66"/>
      <c r="AJ47" s="66"/>
      <c r="AK47" s="62">
        <f t="shared" si="19"/>
        <v>0</v>
      </c>
      <c r="AL47" s="72">
        <f t="shared" si="20"/>
        <v>0</v>
      </c>
      <c r="AM47" s="73">
        <f t="shared" si="21"/>
        <v>0</v>
      </c>
      <c r="AN47" s="74">
        <f t="shared" si="22"/>
        <v>0</v>
      </c>
      <c r="AO47" s="74">
        <f t="shared" si="23"/>
        <v>0</v>
      </c>
      <c r="AP47" s="75" t="e">
        <f t="shared" si="24"/>
        <v>#DIV/0!</v>
      </c>
      <c r="AQ47" s="76">
        <f t="shared" si="25"/>
        <v>0</v>
      </c>
      <c r="AR47" s="90">
        <f>(D47+J47+O47)-(X47+AH47)</f>
        <v>0</v>
      </c>
    </row>
    <row r="48" spans="1:44" x14ac:dyDescent="0.25">
      <c r="A48" t="str">
        <f t="shared" si="11"/>
        <v>46196M</v>
      </c>
      <c r="B48" s="51">
        <f t="shared" si="27"/>
        <v>46196</v>
      </c>
      <c r="C48" s="52" t="s">
        <v>87</v>
      </c>
      <c r="D48" s="79"/>
      <c r="E48" s="62"/>
      <c r="F48" s="62"/>
      <c r="G48" s="170">
        <f t="shared" si="30"/>
        <v>0</v>
      </c>
      <c r="H48" s="171">
        <f t="shared" si="31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71"/>
      <c r="AI48" s="66"/>
      <c r="AJ48" s="66"/>
      <c r="AK48" s="62">
        <f t="shared" si="19"/>
        <v>0</v>
      </c>
      <c r="AL48" s="72">
        <f t="shared" si="20"/>
        <v>0</v>
      </c>
      <c r="AM48" s="73">
        <f t="shared" si="21"/>
        <v>0</v>
      </c>
      <c r="AN48" s="74">
        <f t="shared" si="22"/>
        <v>0</v>
      </c>
      <c r="AO48" s="74">
        <f t="shared" si="23"/>
        <v>0</v>
      </c>
      <c r="AP48" s="75" t="e">
        <f t="shared" si="24"/>
        <v>#DIV/0!</v>
      </c>
      <c r="AQ48" s="76">
        <f t="shared" si="25"/>
        <v>0</v>
      </c>
      <c r="AR48" s="83">
        <f t="shared" si="26"/>
        <v>0</v>
      </c>
    </row>
    <row r="49" spans="1:44" x14ac:dyDescent="0.25">
      <c r="A49" t="str">
        <f t="shared" si="11"/>
        <v>46196E</v>
      </c>
      <c r="B49" s="51">
        <f t="shared" si="27"/>
        <v>46196</v>
      </c>
      <c r="C49" s="52" t="s">
        <v>88</v>
      </c>
      <c r="D49" s="79"/>
      <c r="E49" s="62"/>
      <c r="F49" s="62"/>
      <c r="G49" s="170">
        <f t="shared" si="30"/>
        <v>0</v>
      </c>
      <c r="H49" s="171">
        <f t="shared" si="31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71"/>
      <c r="AI49" s="66"/>
      <c r="AJ49" s="66"/>
      <c r="AK49" s="62">
        <f t="shared" si="19"/>
        <v>0</v>
      </c>
      <c r="AL49" s="72">
        <f t="shared" si="20"/>
        <v>0</v>
      </c>
      <c r="AM49" s="73">
        <f t="shared" si="21"/>
        <v>0</v>
      </c>
      <c r="AN49" s="74">
        <f t="shared" si="22"/>
        <v>0</v>
      </c>
      <c r="AO49" s="74">
        <f t="shared" si="23"/>
        <v>0</v>
      </c>
      <c r="AP49" s="75" t="e">
        <f t="shared" si="24"/>
        <v>#DIV/0!</v>
      </c>
      <c r="AQ49" s="76">
        <f t="shared" si="25"/>
        <v>0</v>
      </c>
      <c r="AR49" s="83">
        <f t="shared" si="26"/>
        <v>0</v>
      </c>
    </row>
    <row r="50" spans="1:44" x14ac:dyDescent="0.25">
      <c r="A50" t="str">
        <f t="shared" si="11"/>
        <v>46197M</v>
      </c>
      <c r="B50" s="51">
        <f t="shared" si="27"/>
        <v>46197</v>
      </c>
      <c r="C50" s="52" t="s">
        <v>87</v>
      </c>
      <c r="D50" s="79"/>
      <c r="E50" s="62"/>
      <c r="F50" s="62"/>
      <c r="G50" s="170">
        <f t="shared" si="30"/>
        <v>0</v>
      </c>
      <c r="H50" s="171">
        <f t="shared" si="31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ref="R50:R65" si="33">+J50+O50</f>
        <v>0</v>
      </c>
      <c r="S50" s="62">
        <f t="shared" ref="S50:S65" si="34">+J50*K50%+O50*P50%</f>
        <v>0</v>
      </c>
      <c r="T50" s="63">
        <f t="shared" ref="T50:T65" si="35">+J50*L50%+O50*Q50%</f>
        <v>0</v>
      </c>
      <c r="U50" s="64"/>
      <c r="V50" s="65"/>
      <c r="W50" s="66"/>
      <c r="X50" s="67"/>
      <c r="Y50" s="68"/>
      <c r="Z50" s="68"/>
      <c r="AA50" s="62">
        <f t="shared" ref="AA50" si="36">X50*Y50%</f>
        <v>0</v>
      </c>
      <c r="AB50" s="63">
        <f t="shared" ref="AB50" si="37">X50*Z50%</f>
        <v>0</v>
      </c>
      <c r="AC50" s="69"/>
      <c r="AD50" s="70"/>
      <c r="AE50" s="70"/>
      <c r="AF50" s="62">
        <f t="shared" ref="AF50" si="38">AC50*AD50%</f>
        <v>0</v>
      </c>
      <c r="AG50" s="63">
        <f t="shared" ref="AG50" si="39">AC50*AE50%</f>
        <v>0</v>
      </c>
      <c r="AH50" s="71"/>
      <c r="AI50" s="66"/>
      <c r="AJ50" s="66"/>
      <c r="AK50" s="62">
        <f t="shared" ref="AK50:AK63" si="40">AH50*AI50%</f>
        <v>0</v>
      </c>
      <c r="AL50" s="72">
        <f t="shared" ref="AL50:AL63" si="41">AH50*AJ50%</f>
        <v>0</v>
      </c>
      <c r="AM50" s="73">
        <f t="shared" si="21"/>
        <v>0</v>
      </c>
      <c r="AN50" s="74">
        <f t="shared" si="22"/>
        <v>0</v>
      </c>
      <c r="AO50" s="74">
        <f t="shared" si="23"/>
        <v>0</v>
      </c>
      <c r="AP50" s="75" t="e">
        <f t="shared" si="24"/>
        <v>#DIV/0!</v>
      </c>
      <c r="AQ50" s="76">
        <f t="shared" si="25"/>
        <v>0</v>
      </c>
      <c r="AR50" s="83">
        <f t="shared" si="26"/>
        <v>0</v>
      </c>
    </row>
    <row r="51" spans="1:44" x14ac:dyDescent="0.25">
      <c r="A51" t="str">
        <f t="shared" si="11"/>
        <v>46197E</v>
      </c>
      <c r="B51" s="51">
        <f t="shared" si="27"/>
        <v>46197</v>
      </c>
      <c r="C51" s="52" t="s">
        <v>88</v>
      </c>
      <c r="D51" s="79"/>
      <c r="E51" s="62"/>
      <c r="F51" s="62"/>
      <c r="G51" s="170">
        <f t="shared" si="30"/>
        <v>0</v>
      </c>
      <c r="H51" s="171">
        <f t="shared" si="31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33"/>
        <v>0</v>
      </c>
      <c r="S51" s="62">
        <f t="shared" si="34"/>
        <v>0</v>
      </c>
      <c r="T51" s="63">
        <f t="shared" si="35"/>
        <v>0</v>
      </c>
      <c r="U51" s="64"/>
      <c r="V51" s="85"/>
      <c r="W51" s="66"/>
      <c r="X51" s="67"/>
      <c r="Y51" s="68"/>
      <c r="Z51" s="68"/>
      <c r="AA51" s="62">
        <f t="shared" ref="AA51:AA53" si="42">X51*Y51%</f>
        <v>0</v>
      </c>
      <c r="AB51" s="63">
        <f t="shared" ref="AB51:AB53" si="43">X51*Z51%</f>
        <v>0</v>
      </c>
      <c r="AC51" s="69"/>
      <c r="AD51" s="70"/>
      <c r="AE51" s="70"/>
      <c r="AF51" s="62">
        <f t="shared" ref="AF51:AF53" si="44">AC51*AD51%</f>
        <v>0</v>
      </c>
      <c r="AG51" s="63">
        <f t="shared" ref="AG51:AG53" si="45">AC51*AE51%</f>
        <v>0</v>
      </c>
      <c r="AH51" s="71"/>
      <c r="AI51" s="66"/>
      <c r="AJ51" s="66"/>
      <c r="AK51" s="62">
        <f t="shared" si="40"/>
        <v>0</v>
      </c>
      <c r="AL51" s="72">
        <f t="shared" si="41"/>
        <v>0</v>
      </c>
      <c r="AM51" s="73">
        <f t="shared" si="21"/>
        <v>0</v>
      </c>
      <c r="AN51" s="74">
        <f t="shared" si="22"/>
        <v>0</v>
      </c>
      <c r="AO51" s="74">
        <f t="shared" si="23"/>
        <v>0</v>
      </c>
      <c r="AP51" s="75" t="e">
        <f t="shared" si="24"/>
        <v>#DIV/0!</v>
      </c>
      <c r="AQ51" s="76">
        <f t="shared" si="25"/>
        <v>0</v>
      </c>
      <c r="AR51" s="83">
        <f t="shared" si="26"/>
        <v>0</v>
      </c>
    </row>
    <row r="52" spans="1:44" x14ac:dyDescent="0.25">
      <c r="A52" t="str">
        <f t="shared" si="11"/>
        <v>46198M</v>
      </c>
      <c r="B52" s="51">
        <f t="shared" si="27"/>
        <v>46198</v>
      </c>
      <c r="C52" s="52" t="s">
        <v>87</v>
      </c>
      <c r="D52" s="79"/>
      <c r="E52" s="62"/>
      <c r="F52" s="62"/>
      <c r="G52" s="170">
        <f t="shared" si="30"/>
        <v>0</v>
      </c>
      <c r="H52" s="171">
        <f t="shared" si="31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33"/>
        <v>0</v>
      </c>
      <c r="S52" s="62">
        <f t="shared" si="34"/>
        <v>0</v>
      </c>
      <c r="T52" s="63">
        <f t="shared" si="35"/>
        <v>0</v>
      </c>
      <c r="U52" s="64"/>
      <c r="V52" s="65"/>
      <c r="W52" s="66"/>
      <c r="X52" s="67"/>
      <c r="Y52" s="68"/>
      <c r="Z52" s="68"/>
      <c r="AA52" s="62">
        <f t="shared" si="42"/>
        <v>0</v>
      </c>
      <c r="AB52" s="63">
        <f t="shared" si="43"/>
        <v>0</v>
      </c>
      <c r="AC52" s="69"/>
      <c r="AD52" s="70"/>
      <c r="AE52" s="70"/>
      <c r="AF52" s="62">
        <f t="shared" si="44"/>
        <v>0</v>
      </c>
      <c r="AG52" s="63">
        <f t="shared" si="45"/>
        <v>0</v>
      </c>
      <c r="AH52" s="71"/>
      <c r="AI52" s="66"/>
      <c r="AJ52" s="66"/>
      <c r="AK52" s="62">
        <f t="shared" si="40"/>
        <v>0</v>
      </c>
      <c r="AL52" s="72">
        <f t="shared" si="41"/>
        <v>0</v>
      </c>
      <c r="AM52" s="73">
        <f t="shared" si="21"/>
        <v>0</v>
      </c>
      <c r="AN52" s="74">
        <f t="shared" si="22"/>
        <v>0</v>
      </c>
      <c r="AO52" s="74">
        <f t="shared" si="23"/>
        <v>0</v>
      </c>
      <c r="AP52" s="75" t="e">
        <f t="shared" si="24"/>
        <v>#DIV/0!</v>
      </c>
      <c r="AQ52" s="76">
        <f t="shared" si="25"/>
        <v>0</v>
      </c>
      <c r="AR52" s="83">
        <f t="shared" si="26"/>
        <v>0</v>
      </c>
    </row>
    <row r="53" spans="1:44" x14ac:dyDescent="0.25">
      <c r="A53" t="str">
        <f t="shared" si="11"/>
        <v>46198E</v>
      </c>
      <c r="B53" s="51">
        <f t="shared" si="27"/>
        <v>46198</v>
      </c>
      <c r="C53" s="52" t="s">
        <v>88</v>
      </c>
      <c r="D53" s="79"/>
      <c r="E53" s="62"/>
      <c r="F53" s="62"/>
      <c r="G53" s="170">
        <f t="shared" si="30"/>
        <v>0</v>
      </c>
      <c r="H53" s="171">
        <f t="shared" si="31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33"/>
        <v>0</v>
      </c>
      <c r="S53" s="62">
        <f t="shared" si="34"/>
        <v>0</v>
      </c>
      <c r="T53" s="63">
        <f t="shared" si="35"/>
        <v>0</v>
      </c>
      <c r="U53" s="64"/>
      <c r="V53" s="65"/>
      <c r="W53" s="66"/>
      <c r="X53" s="67"/>
      <c r="Y53" s="68"/>
      <c r="Z53" s="68"/>
      <c r="AA53" s="62">
        <f t="shared" si="42"/>
        <v>0</v>
      </c>
      <c r="AB53" s="63">
        <f t="shared" si="43"/>
        <v>0</v>
      </c>
      <c r="AC53" s="69"/>
      <c r="AD53" s="70"/>
      <c r="AE53" s="70"/>
      <c r="AF53" s="62">
        <f t="shared" si="44"/>
        <v>0</v>
      </c>
      <c r="AG53" s="63">
        <f t="shared" si="45"/>
        <v>0</v>
      </c>
      <c r="AH53" s="71"/>
      <c r="AI53" s="66"/>
      <c r="AJ53" s="66"/>
      <c r="AK53" s="62">
        <f t="shared" si="40"/>
        <v>0</v>
      </c>
      <c r="AL53" s="72">
        <f t="shared" si="41"/>
        <v>0</v>
      </c>
      <c r="AM53" s="73">
        <f t="shared" si="21"/>
        <v>0</v>
      </c>
      <c r="AN53" s="74">
        <f t="shared" si="22"/>
        <v>0</v>
      </c>
      <c r="AO53" s="74">
        <f t="shared" si="23"/>
        <v>0</v>
      </c>
      <c r="AP53" s="75" t="e">
        <f t="shared" si="24"/>
        <v>#DIV/0!</v>
      </c>
      <c r="AQ53" s="76">
        <f t="shared" si="25"/>
        <v>0</v>
      </c>
      <c r="AR53" s="83">
        <f t="shared" si="26"/>
        <v>0</v>
      </c>
    </row>
    <row r="54" spans="1:44" x14ac:dyDescent="0.25">
      <c r="A54" t="str">
        <f t="shared" si="11"/>
        <v>46199M</v>
      </c>
      <c r="B54" s="51">
        <f t="shared" si="27"/>
        <v>46199</v>
      </c>
      <c r="C54" s="52" t="s">
        <v>87</v>
      </c>
      <c r="D54" s="79"/>
      <c r="E54" s="62"/>
      <c r="F54" s="62"/>
      <c r="G54" s="170">
        <f t="shared" si="30"/>
        <v>0</v>
      </c>
      <c r="H54" s="171">
        <f t="shared" si="3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33"/>
        <v>0</v>
      </c>
      <c r="S54" s="62">
        <f t="shared" si="34"/>
        <v>0</v>
      </c>
      <c r="T54" s="63">
        <f t="shared" si="35"/>
        <v>0</v>
      </c>
      <c r="U54" s="64"/>
      <c r="V54" s="65"/>
      <c r="W54" s="66"/>
      <c r="X54" s="67"/>
      <c r="Y54" s="68"/>
      <c r="Z54" s="68"/>
      <c r="AA54" s="62">
        <f t="shared" ref="AA54:AA56" si="46">X54*Y54%</f>
        <v>0</v>
      </c>
      <c r="AB54" s="63">
        <f t="shared" ref="AB54:AB56" si="47">X54*Z54%</f>
        <v>0</v>
      </c>
      <c r="AC54" s="69"/>
      <c r="AD54" s="70"/>
      <c r="AE54" s="70"/>
      <c r="AF54" s="62">
        <f t="shared" ref="AF54:AF63" si="48">AC54*AD54%</f>
        <v>0</v>
      </c>
      <c r="AG54" s="63">
        <f t="shared" ref="AG54:AG63" si="49">AC54*AE54%</f>
        <v>0</v>
      </c>
      <c r="AH54" s="71"/>
      <c r="AI54" s="66"/>
      <c r="AJ54" s="66"/>
      <c r="AK54" s="62">
        <f t="shared" si="40"/>
        <v>0</v>
      </c>
      <c r="AL54" s="72">
        <f t="shared" si="41"/>
        <v>0</v>
      </c>
      <c r="AM54" s="73">
        <f t="shared" si="21"/>
        <v>0</v>
      </c>
      <c r="AN54" s="74">
        <f t="shared" si="22"/>
        <v>0</v>
      </c>
      <c r="AO54" s="74">
        <f t="shared" si="23"/>
        <v>0</v>
      </c>
      <c r="AP54" s="75" t="e">
        <f t="shared" si="24"/>
        <v>#DIV/0!</v>
      </c>
      <c r="AQ54" s="76">
        <f t="shared" si="25"/>
        <v>0</v>
      </c>
      <c r="AR54" s="90">
        <f t="shared" ref="AR54:AR63" si="50">(D54+J54+O54)-(X54+AH54)</f>
        <v>0</v>
      </c>
    </row>
    <row r="55" spans="1:44" x14ac:dyDescent="0.25">
      <c r="A55" t="str">
        <f t="shared" si="11"/>
        <v>46199E</v>
      </c>
      <c r="B55" s="51">
        <f t="shared" si="27"/>
        <v>46199</v>
      </c>
      <c r="C55" s="52" t="s">
        <v>88</v>
      </c>
      <c r="D55" s="79"/>
      <c r="E55" s="62"/>
      <c r="F55" s="62"/>
      <c r="G55" s="170">
        <f t="shared" si="30"/>
        <v>0</v>
      </c>
      <c r="H55" s="171">
        <f t="shared" si="3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33"/>
        <v>0</v>
      </c>
      <c r="S55" s="62">
        <f t="shared" si="34"/>
        <v>0</v>
      </c>
      <c r="T55" s="63">
        <f t="shared" si="35"/>
        <v>0</v>
      </c>
      <c r="U55" s="64"/>
      <c r="V55" s="65"/>
      <c r="W55" s="66"/>
      <c r="X55" s="67"/>
      <c r="Y55" s="68"/>
      <c r="Z55" s="68"/>
      <c r="AA55" s="62">
        <f t="shared" si="46"/>
        <v>0</v>
      </c>
      <c r="AB55" s="63">
        <f t="shared" si="4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71"/>
      <c r="AI55" s="66"/>
      <c r="AJ55" s="66"/>
      <c r="AK55" s="62">
        <f t="shared" si="40"/>
        <v>0</v>
      </c>
      <c r="AL55" s="72">
        <f t="shared" si="41"/>
        <v>0</v>
      </c>
      <c r="AM55" s="73">
        <f t="shared" si="21"/>
        <v>0</v>
      </c>
      <c r="AN55" s="74">
        <f t="shared" si="22"/>
        <v>0</v>
      </c>
      <c r="AO55" s="74">
        <f t="shared" si="23"/>
        <v>0</v>
      </c>
      <c r="AP55" s="75" t="e">
        <f t="shared" si="24"/>
        <v>#DIV/0!</v>
      </c>
      <c r="AQ55" s="76">
        <f t="shared" si="25"/>
        <v>0</v>
      </c>
      <c r="AR55" s="90">
        <f t="shared" si="50"/>
        <v>0</v>
      </c>
    </row>
    <row r="56" spans="1:44" x14ac:dyDescent="0.25">
      <c r="A56" t="str">
        <f t="shared" si="11"/>
        <v>46200M</v>
      </c>
      <c r="B56" s="51">
        <f t="shared" si="27"/>
        <v>46200</v>
      </c>
      <c r="C56" s="52" t="s">
        <v>87</v>
      </c>
      <c r="D56" s="79"/>
      <c r="E56" s="62"/>
      <c r="F56" s="62"/>
      <c r="G56" s="170">
        <f t="shared" si="30"/>
        <v>0</v>
      </c>
      <c r="H56" s="171">
        <f t="shared" si="3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33"/>
        <v>0</v>
      </c>
      <c r="S56" s="62">
        <f t="shared" si="34"/>
        <v>0</v>
      </c>
      <c r="T56" s="63">
        <f t="shared" si="35"/>
        <v>0</v>
      </c>
      <c r="U56" s="64"/>
      <c r="V56" s="65"/>
      <c r="W56" s="66"/>
      <c r="X56" s="67"/>
      <c r="Y56" s="68"/>
      <c r="Z56" s="68"/>
      <c r="AA56" s="62">
        <f t="shared" si="46"/>
        <v>0</v>
      </c>
      <c r="AB56" s="63">
        <f t="shared" si="47"/>
        <v>0</v>
      </c>
      <c r="AC56" s="69"/>
      <c r="AD56" s="70"/>
      <c r="AE56" s="70"/>
      <c r="AF56" s="62">
        <f t="shared" si="48"/>
        <v>0</v>
      </c>
      <c r="AG56" s="63">
        <f t="shared" si="49"/>
        <v>0</v>
      </c>
      <c r="AH56" s="71"/>
      <c r="AI56" s="66"/>
      <c r="AJ56" s="66"/>
      <c r="AK56" s="62">
        <f t="shared" si="40"/>
        <v>0</v>
      </c>
      <c r="AL56" s="72">
        <f t="shared" si="41"/>
        <v>0</v>
      </c>
      <c r="AM56" s="73">
        <f t="shared" si="21"/>
        <v>0</v>
      </c>
      <c r="AN56" s="74">
        <f t="shared" si="22"/>
        <v>0</v>
      </c>
      <c r="AO56" s="74">
        <f t="shared" si="23"/>
        <v>0</v>
      </c>
      <c r="AP56" s="75" t="e">
        <f t="shared" si="24"/>
        <v>#DIV/0!</v>
      </c>
      <c r="AQ56" s="76">
        <f t="shared" si="25"/>
        <v>0</v>
      </c>
      <c r="AR56" s="90">
        <f t="shared" si="50"/>
        <v>0</v>
      </c>
    </row>
    <row r="57" spans="1:44" x14ac:dyDescent="0.25">
      <c r="A57" t="str">
        <f t="shared" si="11"/>
        <v>46200E</v>
      </c>
      <c r="B57" s="51">
        <f t="shared" si="27"/>
        <v>46200</v>
      </c>
      <c r="C57" s="52" t="s">
        <v>88</v>
      </c>
      <c r="D57" s="79"/>
      <c r="E57" s="62"/>
      <c r="F57" s="62"/>
      <c r="G57" s="170">
        <f t="shared" si="30"/>
        <v>0</v>
      </c>
      <c r="H57" s="171">
        <f t="shared" si="3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33"/>
        <v>0</v>
      </c>
      <c r="S57" s="62">
        <f t="shared" si="34"/>
        <v>0</v>
      </c>
      <c r="T57" s="63">
        <f t="shared" si="35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48"/>
        <v>0</v>
      </c>
      <c r="AG57" s="63">
        <f t="shared" si="49"/>
        <v>0</v>
      </c>
      <c r="AH57" s="71"/>
      <c r="AI57" s="66"/>
      <c r="AJ57" s="66"/>
      <c r="AK57" s="62">
        <f t="shared" si="40"/>
        <v>0</v>
      </c>
      <c r="AL57" s="72">
        <f t="shared" si="41"/>
        <v>0</v>
      </c>
      <c r="AM57" s="73">
        <f t="shared" si="21"/>
        <v>0</v>
      </c>
      <c r="AN57" s="74">
        <f t="shared" si="22"/>
        <v>0</v>
      </c>
      <c r="AO57" s="74">
        <f t="shared" si="23"/>
        <v>0</v>
      </c>
      <c r="AP57" s="75" t="e">
        <f t="shared" si="24"/>
        <v>#DIV/0!</v>
      </c>
      <c r="AQ57" s="76">
        <f t="shared" si="25"/>
        <v>0</v>
      </c>
      <c r="AR57" s="90">
        <f t="shared" si="50"/>
        <v>0</v>
      </c>
    </row>
    <row r="58" spans="1:44" x14ac:dyDescent="0.25">
      <c r="A58" t="str">
        <f t="shared" si="11"/>
        <v>46201M</v>
      </c>
      <c r="B58" s="51">
        <f t="shared" si="27"/>
        <v>46201</v>
      </c>
      <c r="C58" s="52" t="s">
        <v>87</v>
      </c>
      <c r="D58" s="79"/>
      <c r="E58" s="62"/>
      <c r="F58" s="62"/>
      <c r="G58" s="170">
        <f t="shared" si="30"/>
        <v>0</v>
      </c>
      <c r="H58" s="171">
        <f t="shared" si="3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33"/>
        <v>0</v>
      </c>
      <c r="S58" s="62">
        <f t="shared" si="34"/>
        <v>0</v>
      </c>
      <c r="T58" s="63">
        <f t="shared" si="35"/>
        <v>0</v>
      </c>
      <c r="U58" s="64"/>
      <c r="V58" s="65"/>
      <c r="W58" s="66"/>
      <c r="X58" s="67"/>
      <c r="Y58" s="68"/>
      <c r="Z58" s="68"/>
      <c r="AA58" s="62">
        <f t="shared" ref="AA58:AA63" si="51">X58*Y58%</f>
        <v>0</v>
      </c>
      <c r="AB58" s="63">
        <f t="shared" ref="AB58:AB63" si="52">X58*Z58%</f>
        <v>0</v>
      </c>
      <c r="AC58" s="69"/>
      <c r="AD58" s="70"/>
      <c r="AE58" s="70"/>
      <c r="AF58" s="62">
        <f t="shared" si="48"/>
        <v>0</v>
      </c>
      <c r="AG58" s="63">
        <f t="shared" si="49"/>
        <v>0</v>
      </c>
      <c r="AH58" s="71"/>
      <c r="AI58" s="66"/>
      <c r="AJ58" s="66"/>
      <c r="AK58" s="62">
        <f t="shared" si="40"/>
        <v>0</v>
      </c>
      <c r="AL58" s="72">
        <f>AH58*AJ58%</f>
        <v>0</v>
      </c>
      <c r="AM58" s="73">
        <f t="shared" si="21"/>
        <v>0</v>
      </c>
      <c r="AN58" s="74">
        <f t="shared" si="22"/>
        <v>0</v>
      </c>
      <c r="AO58" s="74">
        <f t="shared" si="23"/>
        <v>0</v>
      </c>
      <c r="AP58" s="75" t="e">
        <f t="shared" si="24"/>
        <v>#DIV/0!</v>
      </c>
      <c r="AQ58" s="76">
        <f t="shared" si="25"/>
        <v>0</v>
      </c>
      <c r="AR58" s="90">
        <f t="shared" si="50"/>
        <v>0</v>
      </c>
    </row>
    <row r="59" spans="1:44" x14ac:dyDescent="0.25">
      <c r="A59" t="str">
        <f t="shared" si="11"/>
        <v>46201E</v>
      </c>
      <c r="B59" s="51">
        <f t="shared" si="27"/>
        <v>46201</v>
      </c>
      <c r="C59" s="52" t="s">
        <v>88</v>
      </c>
      <c r="D59" s="79"/>
      <c r="E59" s="62"/>
      <c r="F59" s="62"/>
      <c r="G59" s="170">
        <f t="shared" si="30"/>
        <v>0</v>
      </c>
      <c r="H59" s="171">
        <f t="shared" si="3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33"/>
        <v>0</v>
      </c>
      <c r="S59" s="62">
        <f t="shared" si="34"/>
        <v>0</v>
      </c>
      <c r="T59" s="63">
        <f t="shared" si="35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48"/>
        <v>0</v>
      </c>
      <c r="AG59" s="63">
        <f t="shared" si="49"/>
        <v>0</v>
      </c>
      <c r="AH59" s="71"/>
      <c r="AI59" s="66"/>
      <c r="AJ59" s="66"/>
      <c r="AK59" s="62">
        <f t="shared" si="40"/>
        <v>0</v>
      </c>
      <c r="AL59" s="72">
        <f t="shared" si="41"/>
        <v>0</v>
      </c>
      <c r="AM59" s="73">
        <f t="shared" si="21"/>
        <v>0</v>
      </c>
      <c r="AN59" s="74">
        <f t="shared" si="22"/>
        <v>0</v>
      </c>
      <c r="AO59" s="74">
        <f t="shared" si="23"/>
        <v>0</v>
      </c>
      <c r="AP59" s="75" t="e">
        <f t="shared" si="24"/>
        <v>#DIV/0!</v>
      </c>
      <c r="AQ59" s="76">
        <f t="shared" si="25"/>
        <v>0</v>
      </c>
      <c r="AR59" s="90">
        <f t="shared" si="50"/>
        <v>0</v>
      </c>
    </row>
    <row r="60" spans="1:44" x14ac:dyDescent="0.25">
      <c r="A60" t="str">
        <f t="shared" si="11"/>
        <v>46202M</v>
      </c>
      <c r="B60" s="51">
        <f t="shared" si="27"/>
        <v>46202</v>
      </c>
      <c r="C60" s="52" t="s">
        <v>87</v>
      </c>
      <c r="D60" s="79"/>
      <c r="E60" s="62"/>
      <c r="F60" s="62"/>
      <c r="G60" s="170">
        <f t="shared" si="30"/>
        <v>0</v>
      </c>
      <c r="H60" s="171">
        <f t="shared" si="3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33"/>
        <v>0</v>
      </c>
      <c r="S60" s="62">
        <f t="shared" si="34"/>
        <v>0</v>
      </c>
      <c r="T60" s="63">
        <f t="shared" si="35"/>
        <v>0</v>
      </c>
      <c r="U60" s="64"/>
      <c r="V60" s="65"/>
      <c r="W60" s="66"/>
      <c r="X60" s="67"/>
      <c r="Y60" s="68"/>
      <c r="Z60" s="68"/>
      <c r="AA60" s="62">
        <f t="shared" si="51"/>
        <v>0</v>
      </c>
      <c r="AB60" s="63">
        <f t="shared" si="52"/>
        <v>0</v>
      </c>
      <c r="AC60" s="69"/>
      <c r="AD60" s="70"/>
      <c r="AE60" s="70"/>
      <c r="AF60" s="62">
        <f t="shared" si="48"/>
        <v>0</v>
      </c>
      <c r="AG60" s="63">
        <f t="shared" si="49"/>
        <v>0</v>
      </c>
      <c r="AH60" s="71"/>
      <c r="AI60" s="66"/>
      <c r="AJ60" s="66"/>
      <c r="AK60" s="62">
        <f t="shared" si="40"/>
        <v>0</v>
      </c>
      <c r="AL60" s="72">
        <f t="shared" si="41"/>
        <v>0</v>
      </c>
      <c r="AM60" s="73">
        <f t="shared" si="21"/>
        <v>0</v>
      </c>
      <c r="AN60" s="74">
        <f t="shared" si="22"/>
        <v>0</v>
      </c>
      <c r="AO60" s="74">
        <f t="shared" si="23"/>
        <v>0</v>
      </c>
      <c r="AP60" s="75" t="e">
        <f t="shared" si="24"/>
        <v>#DIV/0!</v>
      </c>
      <c r="AQ60" s="76">
        <f t="shared" si="25"/>
        <v>0</v>
      </c>
      <c r="AR60" s="90">
        <f t="shared" si="50"/>
        <v>0</v>
      </c>
    </row>
    <row r="61" spans="1:44" x14ac:dyDescent="0.25">
      <c r="A61" t="str">
        <f t="shared" si="11"/>
        <v>46202E</v>
      </c>
      <c r="B61" s="51">
        <f t="shared" si="27"/>
        <v>46202</v>
      </c>
      <c r="C61" s="52" t="s">
        <v>88</v>
      </c>
      <c r="D61" s="79"/>
      <c r="E61" s="62"/>
      <c r="F61" s="62"/>
      <c r="G61" s="170">
        <f t="shared" si="30"/>
        <v>0</v>
      </c>
      <c r="H61" s="171">
        <f t="shared" si="3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33"/>
        <v>0</v>
      </c>
      <c r="S61" s="62">
        <f t="shared" si="34"/>
        <v>0</v>
      </c>
      <c r="T61" s="63">
        <f t="shared" si="35"/>
        <v>0</v>
      </c>
      <c r="U61" s="64"/>
      <c r="V61" s="65"/>
      <c r="W61" s="66"/>
      <c r="X61" s="67"/>
      <c r="Y61" s="68"/>
      <c r="Z61" s="68"/>
      <c r="AA61" s="62">
        <f t="shared" si="51"/>
        <v>0</v>
      </c>
      <c r="AB61" s="63">
        <f t="shared" si="52"/>
        <v>0</v>
      </c>
      <c r="AC61" s="69"/>
      <c r="AD61" s="70"/>
      <c r="AE61" s="70"/>
      <c r="AF61" s="62">
        <f t="shared" si="48"/>
        <v>0</v>
      </c>
      <c r="AG61" s="63">
        <f t="shared" si="49"/>
        <v>0</v>
      </c>
      <c r="AH61" s="71"/>
      <c r="AI61" s="66"/>
      <c r="AJ61" s="66"/>
      <c r="AK61" s="62">
        <f t="shared" si="40"/>
        <v>0</v>
      </c>
      <c r="AL61" s="72">
        <f t="shared" si="41"/>
        <v>0</v>
      </c>
      <c r="AM61" s="73">
        <f t="shared" si="21"/>
        <v>0</v>
      </c>
      <c r="AN61" s="74">
        <f t="shared" si="22"/>
        <v>0</v>
      </c>
      <c r="AO61" s="74">
        <f t="shared" si="23"/>
        <v>0</v>
      </c>
      <c r="AP61" s="75" t="e">
        <f t="shared" si="24"/>
        <v>#DIV/0!</v>
      </c>
      <c r="AQ61" s="76">
        <f t="shared" si="25"/>
        <v>0</v>
      </c>
      <c r="AR61" s="90">
        <f t="shared" si="50"/>
        <v>0</v>
      </c>
    </row>
    <row r="62" spans="1:44" x14ac:dyDescent="0.25">
      <c r="A62" t="str">
        <f t="shared" si="11"/>
        <v>46203M</v>
      </c>
      <c r="B62" s="51">
        <f t="shared" si="27"/>
        <v>46203</v>
      </c>
      <c r="C62" s="52" t="s">
        <v>87</v>
      </c>
      <c r="D62" s="79"/>
      <c r="E62" s="62"/>
      <c r="F62" s="62"/>
      <c r="G62" s="170">
        <f t="shared" si="30"/>
        <v>0</v>
      </c>
      <c r="H62" s="171">
        <f t="shared" si="3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33"/>
        <v>0</v>
      </c>
      <c r="S62" s="62">
        <f t="shared" si="34"/>
        <v>0</v>
      </c>
      <c r="T62" s="63">
        <f t="shared" si="35"/>
        <v>0</v>
      </c>
      <c r="U62" s="64"/>
      <c r="V62" s="65"/>
      <c r="W62" s="66"/>
      <c r="X62" s="67"/>
      <c r="Y62" s="68"/>
      <c r="Z62" s="68"/>
      <c r="AA62" s="62">
        <f t="shared" si="51"/>
        <v>0</v>
      </c>
      <c r="AB62" s="63">
        <f t="shared" si="52"/>
        <v>0</v>
      </c>
      <c r="AC62" s="69"/>
      <c r="AD62" s="70"/>
      <c r="AE62" s="70"/>
      <c r="AF62" s="62">
        <f t="shared" si="48"/>
        <v>0</v>
      </c>
      <c r="AG62" s="63">
        <f t="shared" si="49"/>
        <v>0</v>
      </c>
      <c r="AH62" s="71"/>
      <c r="AI62" s="66"/>
      <c r="AJ62" s="66"/>
      <c r="AK62" s="62">
        <f t="shared" si="40"/>
        <v>0</v>
      </c>
      <c r="AL62" s="72">
        <f t="shared" si="41"/>
        <v>0</v>
      </c>
      <c r="AM62" s="73">
        <f t="shared" si="21"/>
        <v>0</v>
      </c>
      <c r="AN62" s="74">
        <f t="shared" si="22"/>
        <v>0</v>
      </c>
      <c r="AO62" s="74">
        <f t="shared" si="23"/>
        <v>0</v>
      </c>
      <c r="AP62" s="75" t="e">
        <f t="shared" si="24"/>
        <v>#DIV/0!</v>
      </c>
      <c r="AQ62" s="76">
        <f t="shared" si="25"/>
        <v>0</v>
      </c>
      <c r="AR62" s="90">
        <f t="shared" si="50"/>
        <v>0</v>
      </c>
    </row>
    <row r="63" spans="1:44" x14ac:dyDescent="0.25">
      <c r="A63" t="str">
        <f t="shared" si="11"/>
        <v>46203E</v>
      </c>
      <c r="B63" s="51">
        <f t="shared" si="27"/>
        <v>46203</v>
      </c>
      <c r="C63" s="52" t="s">
        <v>88</v>
      </c>
      <c r="D63" s="79"/>
      <c r="E63" s="62"/>
      <c r="F63" s="62"/>
      <c r="G63" s="170">
        <f t="shared" si="30"/>
        <v>0</v>
      </c>
      <c r="H63" s="171">
        <f t="shared" si="3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33"/>
        <v>0</v>
      </c>
      <c r="S63" s="62">
        <f t="shared" si="34"/>
        <v>0</v>
      </c>
      <c r="T63" s="63">
        <f t="shared" si="35"/>
        <v>0</v>
      </c>
      <c r="U63" s="64"/>
      <c r="V63" s="65"/>
      <c r="W63" s="66"/>
      <c r="X63" s="67"/>
      <c r="Y63" s="68"/>
      <c r="Z63" s="68"/>
      <c r="AA63" s="62">
        <f t="shared" si="51"/>
        <v>0</v>
      </c>
      <c r="AB63" s="63">
        <f t="shared" si="52"/>
        <v>0</v>
      </c>
      <c r="AC63" s="69"/>
      <c r="AD63" s="70"/>
      <c r="AE63" s="70"/>
      <c r="AF63" s="62">
        <f t="shared" si="48"/>
        <v>0</v>
      </c>
      <c r="AG63" s="63">
        <f t="shared" si="49"/>
        <v>0</v>
      </c>
      <c r="AH63" s="71"/>
      <c r="AI63" s="66"/>
      <c r="AJ63" s="66"/>
      <c r="AK63" s="62">
        <f t="shared" si="40"/>
        <v>0</v>
      </c>
      <c r="AL63" s="72">
        <f t="shared" si="41"/>
        <v>0</v>
      </c>
      <c r="AM63" s="73">
        <f t="shared" si="21"/>
        <v>0</v>
      </c>
      <c r="AN63" s="74">
        <f t="shared" si="22"/>
        <v>0</v>
      </c>
      <c r="AO63" s="74">
        <f t="shared" si="23"/>
        <v>0</v>
      </c>
      <c r="AP63" s="75" t="e">
        <f t="shared" si="24"/>
        <v>#DIV/0!</v>
      </c>
      <c r="AQ63" s="76">
        <f t="shared" si="25"/>
        <v>0</v>
      </c>
      <c r="AR63" s="90">
        <f t="shared" si="50"/>
        <v>0</v>
      </c>
    </row>
    <row r="64" spans="1:44" x14ac:dyDescent="0.25">
      <c r="A64" t="str">
        <f t="shared" si="11"/>
        <v>46204M</v>
      </c>
      <c r="B64" s="51">
        <f t="shared" si="27"/>
        <v>46204</v>
      </c>
      <c r="C64" s="52" t="s">
        <v>87</v>
      </c>
      <c r="D64" s="79"/>
      <c r="E64" s="62"/>
      <c r="F64" s="62"/>
      <c r="G64" s="170">
        <f t="shared" si="30"/>
        <v>0</v>
      </c>
      <c r="H64" s="171">
        <f t="shared" si="3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33"/>
        <v>0</v>
      </c>
      <c r="S64" s="62">
        <f t="shared" si="34"/>
        <v>0</v>
      </c>
      <c r="T64" s="63">
        <f t="shared" si="35"/>
        <v>0</v>
      </c>
      <c r="U64" s="64"/>
      <c r="V64" s="65"/>
      <c r="W64" s="66"/>
      <c r="X64" s="67"/>
      <c r="Y64" s="68"/>
      <c r="Z64" s="68"/>
      <c r="AA64" s="62">
        <f t="shared" ref="AA64" si="53">X64*Y64%</f>
        <v>0</v>
      </c>
      <c r="AB64" s="63">
        <f t="shared" ref="AB64" si="54">X64*Z64%</f>
        <v>0</v>
      </c>
      <c r="AC64" s="69"/>
      <c r="AD64" s="70"/>
      <c r="AE64" s="70"/>
      <c r="AF64" s="62">
        <f t="shared" ref="AF64" si="55">AC64*AD64%</f>
        <v>0</v>
      </c>
      <c r="AG64" s="63">
        <f t="shared" ref="AG64" si="56">AC64*AE64%</f>
        <v>0</v>
      </c>
      <c r="AH64" s="89"/>
      <c r="AI64" s="66"/>
      <c r="AJ64" s="66"/>
      <c r="AK64" s="62">
        <f t="shared" ref="AK64" si="57">AH64*AI64%</f>
        <v>0</v>
      </c>
      <c r="AL64" s="72">
        <f t="shared" ref="AL64" si="58">AH64*AJ64%</f>
        <v>0</v>
      </c>
      <c r="AM64" s="73">
        <f t="shared" si="21"/>
        <v>0</v>
      </c>
      <c r="AN64" s="74">
        <f t="shared" si="22"/>
        <v>0</v>
      </c>
      <c r="AO64" s="74">
        <f t="shared" si="23"/>
        <v>0</v>
      </c>
      <c r="AP64" s="75" t="e">
        <f t="shared" si="24"/>
        <v>#DIV/0!</v>
      </c>
      <c r="AQ64" s="76">
        <f t="shared" si="25"/>
        <v>0</v>
      </c>
      <c r="AR64" s="83">
        <f t="shared" si="26"/>
        <v>0</v>
      </c>
    </row>
    <row r="65" spans="1:44" x14ac:dyDescent="0.25">
      <c r="A65" t="str">
        <f t="shared" si="11"/>
        <v>46204E</v>
      </c>
      <c r="B65" s="51">
        <f t="shared" si="27"/>
        <v>46204</v>
      </c>
      <c r="C65" s="52" t="s">
        <v>88</v>
      </c>
      <c r="D65" s="79"/>
      <c r="E65" s="62"/>
      <c r="F65" s="62"/>
      <c r="G65" s="170">
        <f t="shared" si="30"/>
        <v>0</v>
      </c>
      <c r="H65" s="171">
        <f t="shared" si="3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33"/>
        <v>0</v>
      </c>
      <c r="S65" s="62">
        <f t="shared" si="34"/>
        <v>0</v>
      </c>
      <c r="T65" s="63">
        <f t="shared" si="35"/>
        <v>0</v>
      </c>
      <c r="U65" s="64"/>
      <c r="V65" s="65"/>
      <c r="W65" s="66"/>
      <c r="X65" s="67"/>
      <c r="Y65" s="68"/>
      <c r="Z65" s="68"/>
      <c r="AA65" s="62">
        <f t="shared" ref="AA65" si="59">X65*Y65%</f>
        <v>0</v>
      </c>
      <c r="AB65" s="63">
        <f t="shared" ref="AB65" si="60">X65*Z65%</f>
        <v>0</v>
      </c>
      <c r="AC65" s="69"/>
      <c r="AD65" s="70"/>
      <c r="AE65" s="70"/>
      <c r="AF65" s="62">
        <f t="shared" ref="AF65" si="61">AC65*AD65%</f>
        <v>0</v>
      </c>
      <c r="AG65" s="63">
        <f t="shared" ref="AG65" si="62">AC65*AE65%</f>
        <v>0</v>
      </c>
      <c r="AH65" s="89"/>
      <c r="AI65" s="66"/>
      <c r="AJ65" s="66"/>
      <c r="AK65" s="62">
        <f t="shared" ref="AK65" si="63">AH65*AI65%</f>
        <v>0</v>
      </c>
      <c r="AL65" s="72">
        <f t="shared" ref="AL65" si="64">AH65*AJ65%</f>
        <v>0</v>
      </c>
      <c r="AM65" s="73">
        <f t="shared" si="21"/>
        <v>0</v>
      </c>
      <c r="AN65" s="74">
        <f t="shared" si="22"/>
        <v>0</v>
      </c>
      <c r="AO65" s="74">
        <f t="shared" si="23"/>
        <v>0</v>
      </c>
      <c r="AP65" s="75" t="e">
        <f t="shared" si="24"/>
        <v>#DIV/0!</v>
      </c>
      <c r="AQ65" s="76">
        <f t="shared" si="25"/>
        <v>0</v>
      </c>
      <c r="AR65" s="83">
        <f t="shared" si="26"/>
        <v>0</v>
      </c>
    </row>
    <row r="66" spans="1:44" x14ac:dyDescent="0.25">
      <c r="J66" s="83">
        <f>SUM(J4:J65)</f>
        <v>117810.38029999998</v>
      </c>
      <c r="AM66" s="98">
        <f t="shared" ref="AM66:AO66" si="65">-SUM(AM4:AM65)</f>
        <v>740.6197000000102</v>
      </c>
      <c r="AN66" s="98">
        <f t="shared" si="65"/>
        <v>204.02653560000053</v>
      </c>
      <c r="AO66" s="98">
        <f t="shared" si="65"/>
        <v>-328.15040959999919</v>
      </c>
      <c r="AQ66" s="129">
        <f>-SUM(AQ4:AQ65)</f>
        <v>-6617.1148194942007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4" priority="2" operator="lessThan">
      <formula>0.1</formula>
    </cfRule>
    <cfRule type="cellIs" dxfId="53" priority="3" operator="greaterThan">
      <formula>0.1</formula>
    </cfRule>
  </conditionalFormatting>
  <conditionalFormatting sqref="AP1:AQ1">
    <cfRule type="cellIs" dxfId="52" priority="1" operator="lessThan">
      <formula>1</formula>
    </cfRule>
  </conditionalFormatting>
  <conditionalFormatting sqref="AQ4:AQ65">
    <cfRule type="cellIs" dxfId="51" priority="22" operator="lessThan">
      <formula>0</formula>
    </cfRule>
    <cfRule type="cellIs" dxfId="50" priority="23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AW66"/>
  <sheetViews>
    <sheetView topLeftCell="A2" zoomScale="80" zoomScaleNormal="80" workbookViewId="0">
      <pane xSplit="2" ySplit="2" topLeftCell="C12" activePane="bottomRight" state="frozen"/>
      <selection activeCell="A2" sqref="A2"/>
      <selection pane="topRight" activeCell="C2" sqref="C2"/>
      <selection pane="bottomLeft" activeCell="A4" sqref="A4"/>
      <selection pane="bottomRight" activeCell="AC37" sqref="AC37:AE38"/>
    </sheetView>
  </sheetViews>
  <sheetFormatPr defaultRowHeight="15" x14ac:dyDescent="0.25"/>
  <cols>
    <col min="1" max="1" width="3.85546875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9.28515625" bestFit="1" customWidth="1"/>
    <col min="11" max="12" width="5.85546875" bestFit="1" customWidth="1"/>
    <col min="13" max="13" width="7" bestFit="1" customWidth="1"/>
    <col min="14" max="14" width="8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7.85546875" customWidth="1"/>
    <col min="22" max="22" width="9.28515625" customWidth="1"/>
    <col min="23" max="23" width="8.7109375" bestFit="1" customWidth="1"/>
    <col min="24" max="24" width="7.425781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7.425781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4.140625" bestFit="1" customWidth="1"/>
    <col min="45" max="45" width="6.5703125" bestFit="1" customWidth="1"/>
    <col min="46" max="46" width="6" bestFit="1" customWidth="1"/>
    <col min="47" max="47" width="5" bestFit="1" customWidth="1"/>
    <col min="48" max="48" width="5.7109375" bestFit="1" customWidth="1"/>
    <col min="49" max="49" width="8.140625" bestFit="1" customWidth="1"/>
  </cols>
  <sheetData>
    <row r="1" spans="1:44" ht="15.75" thickBot="1" x14ac:dyDescent="0.3">
      <c r="B1" s="111" t="s">
        <v>97</v>
      </c>
      <c r="C1" s="44"/>
      <c r="I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56" t="s">
        <v>68</v>
      </c>
      <c r="N2" s="257"/>
      <c r="O2" s="257"/>
      <c r="P2" s="257"/>
      <c r="Q2" s="258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2" t="s">
        <v>11</v>
      </c>
    </row>
    <row r="4" spans="1:44" ht="15.75" x14ac:dyDescent="0.25">
      <c r="A4" t="str">
        <f>CONCATENATE(B4,C4)</f>
        <v>46174M</v>
      </c>
      <c r="B4" s="51">
        <v>46174</v>
      </c>
      <c r="C4" s="100" t="s">
        <v>87</v>
      </c>
      <c r="D4" s="101">
        <v>5360</v>
      </c>
      <c r="E4" s="102">
        <v>4.05</v>
      </c>
      <c r="F4" s="102">
        <v>8.4499999999999993</v>
      </c>
      <c r="G4" s="62">
        <f t="shared" ref="G4:G29" si="0">+D4*E4%</f>
        <v>217.08</v>
      </c>
      <c r="H4" s="72">
        <f t="shared" ref="H4:H29" si="1">+D4*F4%</f>
        <v>452.91999999999996</v>
      </c>
      <c r="I4" s="121">
        <v>4237.7500000000009</v>
      </c>
      <c r="J4" s="121">
        <v>4364.8825000000006</v>
      </c>
      <c r="K4" s="121">
        <v>4.5215928263819247</v>
      </c>
      <c r="L4" s="121">
        <v>8.425992566810212</v>
      </c>
      <c r="M4" s="58" t="s">
        <v>276</v>
      </c>
      <c r="N4" s="58" t="s">
        <v>277</v>
      </c>
      <c r="O4" s="59">
        <v>9810</v>
      </c>
      <c r="P4" s="56">
        <v>4.5</v>
      </c>
      <c r="Q4" s="60">
        <v>8.5600000000000023</v>
      </c>
      <c r="R4" s="61">
        <f t="shared" ref="R4" si="2">+J4+O4</f>
        <v>14174.8825</v>
      </c>
      <c r="S4" s="62">
        <f t="shared" ref="S4" si="3">+J4*K4%+O4*P4%</f>
        <v>638.81221400000004</v>
      </c>
      <c r="T4" s="63">
        <f t="shared" ref="T4" si="4">+J4*L4%+O4*Q4%</f>
        <v>1207.520675</v>
      </c>
      <c r="U4" s="137" t="s">
        <v>278</v>
      </c>
      <c r="V4" s="138" t="s">
        <v>279</v>
      </c>
      <c r="W4" s="139" t="s">
        <v>208</v>
      </c>
      <c r="X4" s="140">
        <v>9200</v>
      </c>
      <c r="Y4" s="141">
        <v>4.25</v>
      </c>
      <c r="Z4" s="141">
        <v>8.51</v>
      </c>
      <c r="AA4" s="62">
        <f t="shared" ref="AA4:AA47" si="5">X4*Y4%</f>
        <v>391</v>
      </c>
      <c r="AB4" s="63">
        <f t="shared" ref="AB4:AB47" si="6">X4*Z4%</f>
        <v>782.92</v>
      </c>
      <c r="AC4" s="69">
        <v>9180</v>
      </c>
      <c r="AD4" s="70">
        <v>4.2</v>
      </c>
      <c r="AE4" s="70">
        <v>8.3699999999999992</v>
      </c>
      <c r="AF4" s="62">
        <f t="shared" ref="AF4" si="7">AC4*AD4%</f>
        <v>385.56</v>
      </c>
      <c r="AG4" s="63">
        <f t="shared" ref="AG4" si="8">AC4*AE4%</f>
        <v>768.36599999999999</v>
      </c>
      <c r="AH4" s="142">
        <v>10333</v>
      </c>
      <c r="AI4" s="139">
        <v>4.3899999999999997</v>
      </c>
      <c r="AJ4" s="139">
        <v>8.49</v>
      </c>
      <c r="AK4" s="62">
        <f t="shared" ref="AK4" si="9">AH4*AI4%</f>
        <v>453.61869999999993</v>
      </c>
      <c r="AL4" s="72">
        <f t="shared" ref="AL4" si="10">AH4*AJ4%</f>
        <v>877.27170000000001</v>
      </c>
      <c r="AM4" s="81">
        <f>+D4+R4-AC4-AH4</f>
        <v>21.882499999999709</v>
      </c>
      <c r="AN4" s="80">
        <f t="shared" ref="AN4:AO4" si="11">+G4+S4-AF4-AK4</f>
        <v>16.713514000000146</v>
      </c>
      <c r="AO4" s="80">
        <f t="shared" si="11"/>
        <v>14.802974999999833</v>
      </c>
      <c r="AP4" s="115">
        <f>(AN4+AO4)/(S4+T4)</f>
        <v>1.7069776088465691E-2</v>
      </c>
      <c r="AQ4" s="116">
        <f t="shared" ref="AQ4:AQ65" si="12">($AP$1*AN4+$AQ$1*AO4)</f>
        <v>11932.999241240017</v>
      </c>
      <c r="AR4" s="90">
        <f>(D4+J4+O4)-(X4+AH4)</f>
        <v>1.882499999999709</v>
      </c>
    </row>
    <row r="5" spans="1:44" ht="15.75" x14ac:dyDescent="0.25">
      <c r="A5" t="str">
        <f t="shared" ref="A5:A65" si="13">CONCATENATE(B5,C5)</f>
        <v>46174E</v>
      </c>
      <c r="B5" s="51">
        <f>+B4</f>
        <v>46174</v>
      </c>
      <c r="C5" s="100" t="s">
        <v>88</v>
      </c>
      <c r="D5" s="106">
        <v>10333</v>
      </c>
      <c r="E5" s="107">
        <v>4.3899999999999997</v>
      </c>
      <c r="F5" s="107">
        <v>8.49</v>
      </c>
      <c r="G5" s="62">
        <f t="shared" si="0"/>
        <v>453.61869999999993</v>
      </c>
      <c r="H5" s="72">
        <f t="shared" si="1"/>
        <v>877.27170000000001</v>
      </c>
      <c r="I5" s="121">
        <v>5350.2000000000007</v>
      </c>
      <c r="J5" s="121">
        <v>5510.706000000001</v>
      </c>
      <c r="K5" s="121">
        <v>3.933136144443198</v>
      </c>
      <c r="L5" s="121">
        <v>8.3440020933796806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5510.706000000001</v>
      </c>
      <c r="S5" s="62">
        <f t="shared" ref="S5:S65" si="15">+J5*K5%+O5*P5%</f>
        <v>216.74356950000001</v>
      </c>
      <c r="T5" s="63">
        <f t="shared" ref="T5:T65" si="16">+J5*L5%+O5*Q5%</f>
        <v>459.81342399999977</v>
      </c>
      <c r="U5" s="103" t="s">
        <v>280</v>
      </c>
      <c r="V5" s="104" t="s">
        <v>281</v>
      </c>
      <c r="W5" s="105" t="s">
        <v>208</v>
      </c>
      <c r="X5" s="113">
        <v>7200</v>
      </c>
      <c r="Y5" s="114">
        <v>4.3</v>
      </c>
      <c r="Z5" s="114">
        <v>8.52</v>
      </c>
      <c r="AA5" s="62">
        <f t="shared" si="5"/>
        <v>309.59999999999997</v>
      </c>
      <c r="AB5" s="63">
        <f t="shared" si="6"/>
        <v>613.43999999999994</v>
      </c>
      <c r="AC5" s="69">
        <v>7130</v>
      </c>
      <c r="AD5" s="70">
        <v>4.2000000000000011</v>
      </c>
      <c r="AE5" s="70">
        <v>8.3699999999999992</v>
      </c>
      <c r="AF5" s="62">
        <f t="shared" ref="AF5:AF65" si="17">AC5*AD5%</f>
        <v>299.46000000000009</v>
      </c>
      <c r="AG5" s="63">
        <f t="shared" ref="AG5:AG65" si="18">AC5*AE5%</f>
        <v>596.78099999999995</v>
      </c>
      <c r="AH5" s="142">
        <v>8642</v>
      </c>
      <c r="AI5" s="139">
        <v>4.29</v>
      </c>
      <c r="AJ5" s="139">
        <v>8.39</v>
      </c>
      <c r="AK5" s="62">
        <f t="shared" ref="AK5:AK65" si="19">AH5*AI5%</f>
        <v>370.74180000000001</v>
      </c>
      <c r="AL5" s="72">
        <f t="shared" ref="AL5:AL65" si="20">AH5*AJ5%</f>
        <v>725.06380000000001</v>
      </c>
      <c r="AM5" s="81">
        <f t="shared" ref="AM5:AM65" si="21">+D5+R5-AC5-AH5</f>
        <v>71.70600000000195</v>
      </c>
      <c r="AN5" s="80">
        <f t="shared" ref="AN5:AN65" si="22">+G5+S5-AF5-AK5</f>
        <v>0.16046949999980598</v>
      </c>
      <c r="AO5" s="80">
        <f t="shared" ref="AO5:AO65" si="23">+H5+T5-AG5-AL5</f>
        <v>15.24032399999976</v>
      </c>
      <c r="AP5" s="115">
        <f t="shared" ref="AP5:AP65" si="24">(AN5+AO5)/(S5+T5)</f>
        <v>2.2763482822529674E-2</v>
      </c>
      <c r="AQ5" s="116">
        <f t="shared" si="12"/>
        <v>4633.058927804841</v>
      </c>
      <c r="AR5" s="90">
        <f t="shared" ref="AR5:AR13" si="25">(D5+J5+O5)-(X5+AH5)</f>
        <v>1.70600000000195</v>
      </c>
    </row>
    <row r="6" spans="1:44" ht="15.75" x14ac:dyDescent="0.25">
      <c r="A6" t="str">
        <f t="shared" si="13"/>
        <v>46175M</v>
      </c>
      <c r="B6" s="51">
        <f>+B4+1</f>
        <v>46175</v>
      </c>
      <c r="C6" s="100" t="s">
        <v>87</v>
      </c>
      <c r="D6" s="106">
        <v>8642</v>
      </c>
      <c r="E6" s="107">
        <v>4.29</v>
      </c>
      <c r="F6" s="107">
        <v>8.39</v>
      </c>
      <c r="G6" s="62">
        <f t="shared" si="0"/>
        <v>370.74180000000001</v>
      </c>
      <c r="H6" s="72">
        <f t="shared" si="1"/>
        <v>725.06380000000001</v>
      </c>
      <c r="I6" s="121">
        <v>5230.3</v>
      </c>
      <c r="J6" s="121">
        <v>5387.2090000000007</v>
      </c>
      <c r="K6" s="121">
        <v>4.571716727529969</v>
      </c>
      <c r="L6" s="121">
        <v>8.3890637248341395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5387.2090000000007</v>
      </c>
      <c r="S6" s="62">
        <f t="shared" si="15"/>
        <v>246.287935</v>
      </c>
      <c r="T6" s="63">
        <f t="shared" si="16"/>
        <v>451.93639600000006</v>
      </c>
      <c r="U6" s="103" t="s">
        <v>278</v>
      </c>
      <c r="V6" s="104" t="s">
        <v>282</v>
      </c>
      <c r="W6" s="105" t="s">
        <v>208</v>
      </c>
      <c r="X6" s="113">
        <v>9200</v>
      </c>
      <c r="Y6" s="114">
        <v>4.3499999999999996</v>
      </c>
      <c r="Z6" s="114">
        <v>8.5299999999999994</v>
      </c>
      <c r="AA6" s="62">
        <f t="shared" si="5"/>
        <v>400.2</v>
      </c>
      <c r="AB6" s="63">
        <f t="shared" si="6"/>
        <v>784.75999999999988</v>
      </c>
      <c r="AC6" s="69">
        <v>9170</v>
      </c>
      <c r="AD6" s="70">
        <v>4.2999999999999989</v>
      </c>
      <c r="AE6" s="70">
        <v>8.52</v>
      </c>
      <c r="AF6" s="62">
        <f t="shared" si="17"/>
        <v>394.30999999999989</v>
      </c>
      <c r="AG6" s="63">
        <f t="shared" si="18"/>
        <v>781.28399999999999</v>
      </c>
      <c r="AH6" s="142">
        <v>4829</v>
      </c>
      <c r="AI6" s="139">
        <v>4.3899999999999997</v>
      </c>
      <c r="AJ6" s="139">
        <v>8.39</v>
      </c>
      <c r="AK6" s="62">
        <f t="shared" si="19"/>
        <v>211.99309999999997</v>
      </c>
      <c r="AL6" s="72">
        <f t="shared" si="20"/>
        <v>405.15309999999999</v>
      </c>
      <c r="AM6" s="81">
        <f t="shared" si="21"/>
        <v>30.209000000000742</v>
      </c>
      <c r="AN6" s="80">
        <f t="shared" si="22"/>
        <v>10.726635000000215</v>
      </c>
      <c r="AO6" s="80">
        <f t="shared" si="23"/>
        <v>-9.4369040000000268</v>
      </c>
      <c r="AP6" s="115">
        <f t="shared" si="24"/>
        <v>1.8471584886665712E-3</v>
      </c>
      <c r="AQ6" s="116">
        <f t="shared" si="12"/>
        <v>1991.0800014234219</v>
      </c>
      <c r="AR6" s="90">
        <f t="shared" si="25"/>
        <v>0.20900000000074215</v>
      </c>
    </row>
    <row r="7" spans="1:44" ht="15.75" x14ac:dyDescent="0.25">
      <c r="A7" t="str">
        <f t="shared" si="13"/>
        <v>46175E</v>
      </c>
      <c r="B7" s="51">
        <f>+B5+1</f>
        <v>46175</v>
      </c>
      <c r="C7" s="100" t="s">
        <v>88</v>
      </c>
      <c r="D7" s="106">
        <v>4829</v>
      </c>
      <c r="E7" s="107">
        <v>4.3899999999999997</v>
      </c>
      <c r="F7" s="107">
        <v>8.39</v>
      </c>
      <c r="G7" s="62">
        <f t="shared" si="0"/>
        <v>211.99309999999997</v>
      </c>
      <c r="H7" s="72">
        <f t="shared" si="1"/>
        <v>405.15309999999999</v>
      </c>
      <c r="I7" s="121">
        <v>4955.4500000000007</v>
      </c>
      <c r="J7" s="121">
        <v>5104.1135000000013</v>
      </c>
      <c r="K7" s="121">
        <v>3.7572319365547031</v>
      </c>
      <c r="L7" s="121">
        <v>8.3224419578443918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5104.1135000000013</v>
      </c>
      <c r="S7" s="62">
        <f t="shared" si="15"/>
        <v>191.77338250000008</v>
      </c>
      <c r="T7" s="63">
        <f t="shared" si="16"/>
        <v>424.78688349999999</v>
      </c>
      <c r="U7" s="103" t="s">
        <v>167</v>
      </c>
      <c r="V7" s="104" t="s">
        <v>167</v>
      </c>
      <c r="W7" s="139">
        <v>0</v>
      </c>
      <c r="X7" s="113">
        <v>0</v>
      </c>
      <c r="Y7" s="114">
        <v>0</v>
      </c>
      <c r="Z7" s="114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142">
        <v>9932</v>
      </c>
      <c r="AI7" s="139">
        <v>4.0599999999999996</v>
      </c>
      <c r="AJ7" s="139">
        <v>8.35</v>
      </c>
      <c r="AK7" s="62">
        <f t="shared" si="19"/>
        <v>403.23919999999998</v>
      </c>
      <c r="AL7" s="72">
        <f t="shared" si="20"/>
        <v>829.32199999999989</v>
      </c>
      <c r="AM7" s="81">
        <f t="shared" si="21"/>
        <v>1.1135000000012951</v>
      </c>
      <c r="AN7" s="80">
        <f t="shared" si="22"/>
        <v>0.52728250000006938</v>
      </c>
      <c r="AO7" s="80">
        <f t="shared" si="23"/>
        <v>0.61798350000003666</v>
      </c>
      <c r="AP7" s="115">
        <f t="shared" si="24"/>
        <v>1.8575086056552756E-3</v>
      </c>
      <c r="AQ7" s="116">
        <f t="shared" si="12"/>
        <v>421.64836906504217</v>
      </c>
      <c r="AR7" s="90">
        <f t="shared" si="25"/>
        <v>1.1135000000012951</v>
      </c>
    </row>
    <row r="8" spans="1:44" ht="15.75" x14ac:dyDescent="0.25">
      <c r="A8" t="str">
        <f t="shared" si="13"/>
        <v>46176M</v>
      </c>
      <c r="B8" s="51">
        <f>+B6+1</f>
        <v>46176</v>
      </c>
      <c r="C8" s="100" t="s">
        <v>87</v>
      </c>
      <c r="D8" s="106">
        <v>9932</v>
      </c>
      <c r="E8" s="107">
        <v>4.0599999999999996</v>
      </c>
      <c r="F8" s="107">
        <v>8.35</v>
      </c>
      <c r="G8" s="62">
        <f t="shared" si="0"/>
        <v>403.23919999999998</v>
      </c>
      <c r="H8" s="72">
        <f t="shared" si="1"/>
        <v>829.32199999999989</v>
      </c>
      <c r="I8" s="121">
        <v>7281.75</v>
      </c>
      <c r="J8" s="121">
        <v>7500.2025000000003</v>
      </c>
      <c r="K8" s="121">
        <v>4.328766436639544</v>
      </c>
      <c r="L8" s="121">
        <v>8.3371806227898535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7500.2025000000003</v>
      </c>
      <c r="S8" s="62">
        <f t="shared" si="15"/>
        <v>324.66624849999999</v>
      </c>
      <c r="T8" s="63">
        <f t="shared" si="16"/>
        <v>625.30542950000017</v>
      </c>
      <c r="U8" s="103" t="s">
        <v>283</v>
      </c>
      <c r="V8" s="104" t="s">
        <v>284</v>
      </c>
      <c r="W8" s="105" t="s">
        <v>208</v>
      </c>
      <c r="X8" s="113">
        <v>17010</v>
      </c>
      <c r="Y8" s="114">
        <v>4.24</v>
      </c>
      <c r="Z8" s="114">
        <v>8.3800000000000008</v>
      </c>
      <c r="AA8" s="62">
        <f t="shared" si="5"/>
        <v>721.22400000000005</v>
      </c>
      <c r="AB8" s="63">
        <f t="shared" si="6"/>
        <v>1425.4380000000003</v>
      </c>
      <c r="AC8" s="69">
        <v>16970</v>
      </c>
      <c r="AD8" s="70">
        <v>4.1727165586328816</v>
      </c>
      <c r="AE8" s="70">
        <v>8.3357572186210973</v>
      </c>
      <c r="AF8" s="62">
        <f t="shared" si="17"/>
        <v>708.11</v>
      </c>
      <c r="AG8" s="63">
        <f t="shared" si="18"/>
        <v>1414.5780000000002</v>
      </c>
      <c r="AH8" s="142">
        <v>420</v>
      </c>
      <c r="AI8" s="139">
        <v>4.17</v>
      </c>
      <c r="AJ8" s="139">
        <v>8.35</v>
      </c>
      <c r="AK8" s="62">
        <f t="shared" si="19"/>
        <v>17.513999999999999</v>
      </c>
      <c r="AL8" s="72">
        <f t="shared" si="20"/>
        <v>35.069999999999993</v>
      </c>
      <c r="AM8" s="81">
        <f t="shared" si="21"/>
        <v>42.202499999999418</v>
      </c>
      <c r="AN8" s="80">
        <f t="shared" si="22"/>
        <v>2.2814484999999074</v>
      </c>
      <c r="AO8" s="80">
        <f t="shared" si="23"/>
        <v>4.9794294999998669</v>
      </c>
      <c r="AP8" s="115">
        <f t="shared" si="24"/>
        <v>7.643257339299092E-3</v>
      </c>
      <c r="AQ8" s="116">
        <f t="shared" si="12"/>
        <v>2514.3755106982521</v>
      </c>
      <c r="AR8" s="90">
        <f t="shared" si="25"/>
        <v>2.2024999999994179</v>
      </c>
    </row>
    <row r="9" spans="1:44" ht="15.75" x14ac:dyDescent="0.25">
      <c r="A9" t="str">
        <f t="shared" si="13"/>
        <v>46176E</v>
      </c>
      <c r="B9" s="51">
        <f t="shared" ref="B9:B65" si="26">+B7+1</f>
        <v>46176</v>
      </c>
      <c r="C9" s="100" t="s">
        <v>88</v>
      </c>
      <c r="D9" s="106">
        <v>420</v>
      </c>
      <c r="E9" s="107">
        <v>4.17</v>
      </c>
      <c r="F9" s="107">
        <v>8.35</v>
      </c>
      <c r="G9" s="62">
        <f t="shared" si="0"/>
        <v>17.513999999999999</v>
      </c>
      <c r="H9" s="72">
        <f t="shared" si="1"/>
        <v>35.069999999999993</v>
      </c>
      <c r="I9" s="121">
        <v>7417.1499999999987</v>
      </c>
      <c r="J9" s="121">
        <v>7639.664499999999</v>
      </c>
      <c r="K9" s="121">
        <v>3.9226212224371886</v>
      </c>
      <c r="L9" s="121">
        <v>8.3215743243698714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7639.664499999999</v>
      </c>
      <c r="S9" s="62">
        <f t="shared" si="15"/>
        <v>299.67510099999987</v>
      </c>
      <c r="T9" s="63">
        <f t="shared" si="16"/>
        <v>635.74035949999984</v>
      </c>
      <c r="U9" s="103" t="s">
        <v>167</v>
      </c>
      <c r="V9" s="104" t="s">
        <v>167</v>
      </c>
      <c r="W9" s="139">
        <v>0</v>
      </c>
      <c r="X9" s="113">
        <v>0</v>
      </c>
      <c r="Y9" s="114">
        <v>0</v>
      </c>
      <c r="Z9" s="114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42">
        <v>8058</v>
      </c>
      <c r="AI9" s="139">
        <v>3.95</v>
      </c>
      <c r="AJ9" s="139">
        <v>8.33</v>
      </c>
      <c r="AK9" s="62">
        <f t="shared" si="19"/>
        <v>318.291</v>
      </c>
      <c r="AL9" s="72">
        <f t="shared" si="20"/>
        <v>671.23140000000001</v>
      </c>
      <c r="AM9" s="81">
        <f t="shared" si="21"/>
        <v>1.6644999999989523</v>
      </c>
      <c r="AN9" s="80">
        <f t="shared" si="22"/>
        <v>-1.1018990000001168</v>
      </c>
      <c r="AO9" s="80">
        <f t="shared" si="23"/>
        <v>-0.42104050000023108</v>
      </c>
      <c r="AP9" s="115">
        <f t="shared" si="24"/>
        <v>-1.6280888699298428E-3</v>
      </c>
      <c r="AQ9" s="116">
        <f t="shared" si="12"/>
        <v>-620.65967399345493</v>
      </c>
      <c r="AR9" s="90">
        <f t="shared" si="25"/>
        <v>1.6644999999989523</v>
      </c>
    </row>
    <row r="10" spans="1:44" ht="15.75" x14ac:dyDescent="0.25">
      <c r="A10" t="str">
        <f t="shared" si="13"/>
        <v>46177M</v>
      </c>
      <c r="B10" s="51">
        <f t="shared" si="26"/>
        <v>46177</v>
      </c>
      <c r="C10" s="100" t="s">
        <v>87</v>
      </c>
      <c r="D10" s="106">
        <v>8058</v>
      </c>
      <c r="E10" s="107">
        <v>3.95</v>
      </c>
      <c r="F10" s="107">
        <v>8.33</v>
      </c>
      <c r="G10" s="62">
        <f t="shared" si="0"/>
        <v>318.291</v>
      </c>
      <c r="H10" s="72">
        <f t="shared" si="1"/>
        <v>671.23140000000001</v>
      </c>
      <c r="I10" s="121">
        <v>6598.2000000000016</v>
      </c>
      <c r="J10" s="121">
        <v>6796.1460000000015</v>
      </c>
      <c r="K10" s="121">
        <v>4.3027090721711989</v>
      </c>
      <c r="L10" s="121">
        <v>8.2589744172653194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6796.1460000000015</v>
      </c>
      <c r="S10" s="62">
        <f t="shared" si="15"/>
        <v>292.4183905000001</v>
      </c>
      <c r="T10" s="63">
        <f t="shared" si="16"/>
        <v>561.29195950000042</v>
      </c>
      <c r="U10" s="103" t="s">
        <v>278</v>
      </c>
      <c r="V10" s="104" t="s">
        <v>285</v>
      </c>
      <c r="W10" s="105" t="s">
        <v>208</v>
      </c>
      <c r="X10" s="113">
        <v>9200</v>
      </c>
      <c r="Y10" s="114">
        <v>4.2</v>
      </c>
      <c r="Z10" s="114">
        <v>8.5</v>
      </c>
      <c r="AA10" s="62">
        <f t="shared" si="5"/>
        <v>386.40000000000003</v>
      </c>
      <c r="AB10" s="63">
        <f t="shared" si="6"/>
        <v>782</v>
      </c>
      <c r="AC10" s="69">
        <v>9170</v>
      </c>
      <c r="AD10" s="70">
        <v>4.0999999999999988</v>
      </c>
      <c r="AE10" s="70">
        <v>8.35</v>
      </c>
      <c r="AF10" s="62">
        <f t="shared" si="17"/>
        <v>375.96999999999991</v>
      </c>
      <c r="AG10" s="63">
        <f t="shared" si="18"/>
        <v>765.69499999999994</v>
      </c>
      <c r="AH10" s="142">
        <v>5652</v>
      </c>
      <c r="AI10" s="139">
        <v>4.1100000000000003</v>
      </c>
      <c r="AJ10" s="139">
        <v>8.3000000000000007</v>
      </c>
      <c r="AK10" s="62">
        <f t="shared" si="19"/>
        <v>232.29720000000003</v>
      </c>
      <c r="AL10" s="72">
        <f t="shared" si="20"/>
        <v>469.11600000000004</v>
      </c>
      <c r="AM10" s="81">
        <f t="shared" si="21"/>
        <v>32.14600000000064</v>
      </c>
      <c r="AN10" s="80">
        <f t="shared" si="22"/>
        <v>2.4421905000002084</v>
      </c>
      <c r="AO10" s="80">
        <f t="shared" si="23"/>
        <v>-2.2876404999995543</v>
      </c>
      <c r="AP10" s="115">
        <f t="shared" si="24"/>
        <v>1.810332977697342E-4</v>
      </c>
      <c r="AQ10" s="116">
        <f t="shared" si="12"/>
        <v>411.6939394518937</v>
      </c>
      <c r="AR10" s="90">
        <f t="shared" si="25"/>
        <v>2.1460000000006403</v>
      </c>
    </row>
    <row r="11" spans="1:44" ht="15.75" x14ac:dyDescent="0.25">
      <c r="A11" t="str">
        <f t="shared" si="13"/>
        <v>46177E</v>
      </c>
      <c r="B11" s="51">
        <f t="shared" si="26"/>
        <v>46177</v>
      </c>
      <c r="C11" s="100" t="s">
        <v>88</v>
      </c>
      <c r="D11" s="106">
        <v>5652</v>
      </c>
      <c r="E11" s="107">
        <v>4.1100000000000003</v>
      </c>
      <c r="F11" s="107">
        <v>8.3000000000000007</v>
      </c>
      <c r="G11" s="62">
        <f t="shared" si="0"/>
        <v>232.29720000000003</v>
      </c>
      <c r="H11" s="72">
        <f t="shared" si="1"/>
        <v>469.11600000000004</v>
      </c>
      <c r="I11" s="121">
        <v>9806</v>
      </c>
      <c r="J11" s="121">
        <v>10100.18</v>
      </c>
      <c r="K11" s="121">
        <v>4.2029685906587808</v>
      </c>
      <c r="L11" s="121">
        <v>8.331225780134611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10100.18</v>
      </c>
      <c r="S11" s="62">
        <f t="shared" si="15"/>
        <v>424.50739300000009</v>
      </c>
      <c r="T11" s="63">
        <f t="shared" si="16"/>
        <v>841.46879999999999</v>
      </c>
      <c r="U11" s="103" t="s">
        <v>286</v>
      </c>
      <c r="V11" s="104" t="s">
        <v>287</v>
      </c>
      <c r="W11" s="139" t="s">
        <v>208</v>
      </c>
      <c r="X11" s="113">
        <v>9810</v>
      </c>
      <c r="Y11" s="114">
        <v>4.4000000000000012</v>
      </c>
      <c r="Z11" s="114">
        <v>8.41</v>
      </c>
      <c r="AA11" s="62">
        <f t="shared" si="5"/>
        <v>431.6400000000001</v>
      </c>
      <c r="AB11" s="63">
        <f t="shared" si="6"/>
        <v>825.02100000000007</v>
      </c>
      <c r="AC11" s="69">
        <v>9700</v>
      </c>
      <c r="AD11" s="70">
        <v>4.3504123711340208</v>
      </c>
      <c r="AE11" s="70">
        <v>8.1500824742268048</v>
      </c>
      <c r="AF11" s="62">
        <f t="shared" si="17"/>
        <v>421.99</v>
      </c>
      <c r="AG11" s="63">
        <f t="shared" si="18"/>
        <v>790.55800000000011</v>
      </c>
      <c r="AH11" s="142">
        <v>6245</v>
      </c>
      <c r="AI11" s="139">
        <v>4.4000000000000004</v>
      </c>
      <c r="AJ11" s="139">
        <v>8.4499999999999993</v>
      </c>
      <c r="AK11" s="62">
        <f t="shared" si="19"/>
        <v>274.78000000000003</v>
      </c>
      <c r="AL11" s="72">
        <f t="shared" si="20"/>
        <v>527.70249999999999</v>
      </c>
      <c r="AM11" s="81">
        <f t="shared" si="21"/>
        <v>-192.81999999999971</v>
      </c>
      <c r="AN11" s="80">
        <f t="shared" si="22"/>
        <v>-39.965406999999971</v>
      </c>
      <c r="AO11" s="80">
        <f t="shared" si="23"/>
        <v>-7.6757000000000062</v>
      </c>
      <c r="AP11" s="115">
        <f t="shared" si="24"/>
        <v>-3.7631913825412651E-2</v>
      </c>
      <c r="AQ11" s="116">
        <f t="shared" si="12"/>
        <v>-20238.003181036656</v>
      </c>
      <c r="AR11" s="90">
        <f t="shared" si="25"/>
        <v>-302.81999999999971</v>
      </c>
    </row>
    <row r="12" spans="1:44" ht="15.75" x14ac:dyDescent="0.25">
      <c r="A12" t="str">
        <f t="shared" si="13"/>
        <v>46178M</v>
      </c>
      <c r="B12" s="51">
        <f t="shared" si="26"/>
        <v>46178</v>
      </c>
      <c r="C12" s="100" t="s">
        <v>87</v>
      </c>
      <c r="D12" s="106">
        <v>6245</v>
      </c>
      <c r="E12" s="107">
        <v>4.4000000000000004</v>
      </c>
      <c r="F12" s="107">
        <v>8.4499999999999993</v>
      </c>
      <c r="G12" s="62">
        <f t="shared" si="0"/>
        <v>274.78000000000003</v>
      </c>
      <c r="H12" s="72">
        <f t="shared" si="1"/>
        <v>527.70249999999999</v>
      </c>
      <c r="I12" s="121">
        <v>4226.8</v>
      </c>
      <c r="J12" s="121">
        <v>4353.6040000000003</v>
      </c>
      <c r="K12" s="121">
        <v>4.6215316551528325</v>
      </c>
      <c r="L12" s="121">
        <v>8.4663598940096527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4353.6040000000003</v>
      </c>
      <c r="S12" s="62">
        <f t="shared" si="15"/>
        <v>201.20318699999993</v>
      </c>
      <c r="T12" s="63">
        <f t="shared" si="16"/>
        <v>368.59178300000002</v>
      </c>
      <c r="U12" s="103" t="s">
        <v>278</v>
      </c>
      <c r="V12" s="104" t="s">
        <v>441</v>
      </c>
      <c r="W12" s="105" t="s">
        <v>208</v>
      </c>
      <c r="X12" s="113">
        <v>9200</v>
      </c>
      <c r="Y12" s="114">
        <v>4.3499999999999996</v>
      </c>
      <c r="Z12" s="114">
        <v>8.4</v>
      </c>
      <c r="AA12" s="62">
        <f t="shared" si="5"/>
        <v>400.2</v>
      </c>
      <c r="AB12" s="63">
        <f t="shared" si="6"/>
        <v>772.80000000000007</v>
      </c>
      <c r="AC12" s="69">
        <v>9140</v>
      </c>
      <c r="AD12" s="70">
        <v>4.3</v>
      </c>
      <c r="AE12" s="70">
        <v>8.27</v>
      </c>
      <c r="AF12" s="62">
        <f t="shared" si="17"/>
        <v>393.02</v>
      </c>
      <c r="AG12" s="63">
        <f t="shared" si="18"/>
        <v>755.87799999999993</v>
      </c>
      <c r="AH12" s="142">
        <v>1397</v>
      </c>
      <c r="AI12" s="139">
        <v>4.49</v>
      </c>
      <c r="AJ12" s="139">
        <v>8.4600000000000009</v>
      </c>
      <c r="AK12" s="62">
        <f t="shared" si="19"/>
        <v>62.725300000000004</v>
      </c>
      <c r="AL12" s="72">
        <f t="shared" si="20"/>
        <v>118.18620000000001</v>
      </c>
      <c r="AM12" s="81">
        <f t="shared" si="21"/>
        <v>61.60399999999936</v>
      </c>
      <c r="AN12" s="80">
        <f t="shared" si="22"/>
        <v>20.237886999999944</v>
      </c>
      <c r="AO12" s="80">
        <f t="shared" si="23"/>
        <v>22.230083000000008</v>
      </c>
      <c r="AP12" s="115">
        <f t="shared" si="24"/>
        <v>7.4532019824604556E-2</v>
      </c>
      <c r="AQ12" s="116">
        <f t="shared" si="12"/>
        <v>15737.860892856645</v>
      </c>
      <c r="AR12" s="90">
        <f t="shared" si="25"/>
        <v>1.6039999999993597</v>
      </c>
    </row>
    <row r="13" spans="1:44" ht="15.75" x14ac:dyDescent="0.25">
      <c r="A13" t="str">
        <f t="shared" si="13"/>
        <v>46178E</v>
      </c>
      <c r="B13" s="51">
        <f t="shared" si="26"/>
        <v>46178</v>
      </c>
      <c r="C13" s="100" t="s">
        <v>88</v>
      </c>
      <c r="D13" s="106">
        <v>1397</v>
      </c>
      <c r="E13" s="107">
        <v>4.49</v>
      </c>
      <c r="F13" s="107">
        <v>8.4600000000000009</v>
      </c>
      <c r="G13" s="62">
        <f t="shared" si="0"/>
        <v>62.725300000000004</v>
      </c>
      <c r="H13" s="72">
        <f t="shared" si="1"/>
        <v>118.18620000000001</v>
      </c>
      <c r="I13" s="121">
        <v>4613.7999999999993</v>
      </c>
      <c r="J13" s="121">
        <v>4752.213999999999</v>
      </c>
      <c r="K13" s="121">
        <v>3.9678963110668009</v>
      </c>
      <c r="L13" s="121">
        <v>8.3613799904633925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4752.213999999999</v>
      </c>
      <c r="S13" s="62">
        <f t="shared" si="15"/>
        <v>188.56292400000001</v>
      </c>
      <c r="T13" s="63">
        <f t="shared" si="16"/>
        <v>397.35067049999992</v>
      </c>
      <c r="U13" s="103" t="s">
        <v>167</v>
      </c>
      <c r="V13" s="65" t="s">
        <v>167</v>
      </c>
      <c r="W13" s="139">
        <v>0</v>
      </c>
      <c r="X13" s="113">
        <v>0</v>
      </c>
      <c r="Y13" s="114">
        <v>0</v>
      </c>
      <c r="Z13" s="114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17"/>
        <v>0</v>
      </c>
      <c r="AG13" s="63">
        <f t="shared" si="18"/>
        <v>0</v>
      </c>
      <c r="AH13" s="142">
        <v>6148</v>
      </c>
      <c r="AI13" s="139">
        <v>4.0999999999999996</v>
      </c>
      <c r="AJ13" s="139">
        <v>8.39</v>
      </c>
      <c r="AK13" s="62">
        <f t="shared" si="19"/>
        <v>252.06799999999996</v>
      </c>
      <c r="AL13" s="72">
        <f t="shared" si="20"/>
        <v>515.81720000000007</v>
      </c>
      <c r="AM13" s="81">
        <f t="shared" si="21"/>
        <v>1.2139999999990323</v>
      </c>
      <c r="AN13" s="80">
        <f t="shared" si="22"/>
        <v>-0.7797759999999414</v>
      </c>
      <c r="AO13" s="80">
        <f t="shared" si="23"/>
        <v>-0.28032950000010715</v>
      </c>
      <c r="AP13" s="115">
        <f t="shared" si="24"/>
        <v>-1.8093205379621016E-3</v>
      </c>
      <c r="AQ13" s="116">
        <f t="shared" si="12"/>
        <v>-433.94438805667249</v>
      </c>
      <c r="AR13" s="90">
        <f t="shared" si="25"/>
        <v>1.2139999999990323</v>
      </c>
    </row>
    <row r="14" spans="1:44" ht="15.75" x14ac:dyDescent="0.25">
      <c r="A14" t="str">
        <f t="shared" si="13"/>
        <v>46179M</v>
      </c>
      <c r="B14" s="51">
        <f t="shared" si="26"/>
        <v>46179</v>
      </c>
      <c r="C14" s="100" t="s">
        <v>87</v>
      </c>
      <c r="D14" s="91">
        <v>6148</v>
      </c>
      <c r="E14" s="62">
        <v>4.0999999999999996</v>
      </c>
      <c r="F14" s="62">
        <v>8.39</v>
      </c>
      <c r="G14" s="62">
        <f t="shared" si="0"/>
        <v>252.06799999999996</v>
      </c>
      <c r="H14" s="72">
        <f t="shared" si="1"/>
        <v>515.81720000000007</v>
      </c>
      <c r="I14" s="121">
        <v>5625.2000000000007</v>
      </c>
      <c r="J14" s="121">
        <v>5793.956000000001</v>
      </c>
      <c r="K14" s="121">
        <v>4.3823464054611394</v>
      </c>
      <c r="L14" s="121">
        <v>8.3473974258693016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5793.956000000001</v>
      </c>
      <c r="S14" s="62">
        <f t="shared" si="15"/>
        <v>253.91122250000004</v>
      </c>
      <c r="T14" s="63">
        <f t="shared" si="16"/>
        <v>483.64453400000002</v>
      </c>
      <c r="U14" s="64" t="s">
        <v>286</v>
      </c>
      <c r="V14" s="65" t="s">
        <v>442</v>
      </c>
      <c r="W14" s="139" t="s">
        <v>208</v>
      </c>
      <c r="X14" s="67">
        <v>9810</v>
      </c>
      <c r="Y14" s="68">
        <v>4.4000000000000012</v>
      </c>
      <c r="Z14" s="68">
        <v>8.5400000000000009</v>
      </c>
      <c r="AA14" s="62">
        <f t="shared" si="5"/>
        <v>431.6400000000001</v>
      </c>
      <c r="AB14" s="63">
        <f t="shared" si="6"/>
        <v>837.774</v>
      </c>
      <c r="AC14" s="69">
        <v>9770</v>
      </c>
      <c r="AD14" s="70">
        <v>4.1497441146366425</v>
      </c>
      <c r="AE14" s="70">
        <v>8.3599488229273273</v>
      </c>
      <c r="AF14" s="62">
        <f t="shared" si="17"/>
        <v>405.42999999999995</v>
      </c>
      <c r="AG14" s="63">
        <f t="shared" si="18"/>
        <v>816.76699999999983</v>
      </c>
      <c r="AH14" s="142">
        <v>2130</v>
      </c>
      <c r="AI14" s="139">
        <v>4.2300000000000004</v>
      </c>
      <c r="AJ14" s="139">
        <v>8.3699999999999992</v>
      </c>
      <c r="AK14" s="62">
        <f t="shared" si="19"/>
        <v>90.099000000000004</v>
      </c>
      <c r="AL14" s="72">
        <f t="shared" si="20"/>
        <v>178.28100000000001</v>
      </c>
      <c r="AM14" s="81">
        <f t="shared" si="21"/>
        <v>41.95600000000195</v>
      </c>
      <c r="AN14" s="80">
        <f t="shared" si="22"/>
        <v>10.450222500000038</v>
      </c>
      <c r="AO14" s="80">
        <f t="shared" si="23"/>
        <v>4.4137340000002609</v>
      </c>
      <c r="AP14" s="115">
        <f t="shared" si="24"/>
        <v>2.0152993680824589E-2</v>
      </c>
      <c r="AQ14" s="116">
        <f t="shared" si="12"/>
        <v>6012.122269101762</v>
      </c>
      <c r="AR14" s="90">
        <f t="shared" ref="AR14:AR19" si="27">(D14+J14+O14)-(X14+AH14)</f>
        <v>1.95600000000195</v>
      </c>
    </row>
    <row r="15" spans="1:44" ht="15.75" x14ac:dyDescent="0.25">
      <c r="A15" t="str">
        <f t="shared" si="13"/>
        <v>46179E</v>
      </c>
      <c r="B15" s="51">
        <f t="shared" si="26"/>
        <v>46179</v>
      </c>
      <c r="C15" s="100" t="s">
        <v>88</v>
      </c>
      <c r="D15" s="91">
        <v>2130</v>
      </c>
      <c r="E15" s="62">
        <v>4.2300000000000004</v>
      </c>
      <c r="F15" s="62">
        <v>8.3699999999999992</v>
      </c>
      <c r="G15" s="62">
        <f t="shared" si="0"/>
        <v>90.099000000000004</v>
      </c>
      <c r="H15" s="72">
        <f t="shared" si="1"/>
        <v>178.28100000000001</v>
      </c>
      <c r="I15" s="121">
        <v>8411.4500000000007</v>
      </c>
      <c r="J15" s="121">
        <v>8663.7935000000016</v>
      </c>
      <c r="K15" s="121">
        <v>4.1087244173121169</v>
      </c>
      <c r="L15" s="121">
        <v>8.3324355491621525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8663.7935000000016</v>
      </c>
      <c r="S15" s="62">
        <f t="shared" si="15"/>
        <v>355.97139900000013</v>
      </c>
      <c r="T15" s="63">
        <f t="shared" si="16"/>
        <v>721.90500950000001</v>
      </c>
      <c r="U15" s="64" t="s">
        <v>278</v>
      </c>
      <c r="V15" s="65" t="s">
        <v>443</v>
      </c>
      <c r="W15" s="139" t="s">
        <v>208</v>
      </c>
      <c r="X15" s="67">
        <v>9200</v>
      </c>
      <c r="Y15" s="68">
        <v>4.2</v>
      </c>
      <c r="Z15" s="68">
        <v>8.5</v>
      </c>
      <c r="AA15" s="62">
        <f t="shared" si="5"/>
        <v>386.40000000000003</v>
      </c>
      <c r="AB15" s="63">
        <f t="shared" si="6"/>
        <v>782</v>
      </c>
      <c r="AC15" s="69">
        <v>9190</v>
      </c>
      <c r="AD15" s="70">
        <v>4.125081610446137</v>
      </c>
      <c r="AE15" s="70">
        <v>8.3550163220892255</v>
      </c>
      <c r="AF15" s="62">
        <f t="shared" si="17"/>
        <v>379.09500000000003</v>
      </c>
      <c r="AG15" s="63">
        <f t="shared" si="18"/>
        <v>767.82599999999991</v>
      </c>
      <c r="AH15" s="142">
        <v>1592</v>
      </c>
      <c r="AI15" s="139">
        <v>4.1399999999999997</v>
      </c>
      <c r="AJ15" s="139">
        <v>8.35</v>
      </c>
      <c r="AK15" s="62">
        <f t="shared" si="19"/>
        <v>65.908799999999999</v>
      </c>
      <c r="AL15" s="72">
        <f t="shared" si="20"/>
        <v>132.93199999999999</v>
      </c>
      <c r="AM15" s="81">
        <f t="shared" si="21"/>
        <v>11.793500000001586</v>
      </c>
      <c r="AN15" s="80">
        <f t="shared" si="22"/>
        <v>1.066599000000096</v>
      </c>
      <c r="AO15" s="80">
        <f t="shared" si="23"/>
        <v>-0.57199049999994145</v>
      </c>
      <c r="AP15" s="115">
        <f t="shared" si="24"/>
        <v>4.5887311021906873E-4</v>
      </c>
      <c r="AQ15" s="116">
        <f t="shared" si="12"/>
        <v>307.6254535200606</v>
      </c>
      <c r="AR15" s="90">
        <f t="shared" si="27"/>
        <v>1.7935000000015862</v>
      </c>
    </row>
    <row r="16" spans="1:44" ht="15.75" x14ac:dyDescent="0.25">
      <c r="A16" t="str">
        <f t="shared" si="13"/>
        <v>46180M</v>
      </c>
      <c r="B16" s="51">
        <f t="shared" si="26"/>
        <v>46180</v>
      </c>
      <c r="C16" s="100" t="s">
        <v>87</v>
      </c>
      <c r="D16" s="91">
        <v>1592</v>
      </c>
      <c r="E16" s="62">
        <v>4.1399999999999997</v>
      </c>
      <c r="F16" s="62">
        <v>8.35</v>
      </c>
      <c r="G16" s="62">
        <f t="shared" si="0"/>
        <v>65.908799999999999</v>
      </c>
      <c r="H16" s="72">
        <f t="shared" si="1"/>
        <v>132.93199999999999</v>
      </c>
      <c r="I16" s="121">
        <v>7686.7499999999991</v>
      </c>
      <c r="J16" s="121">
        <v>7917.3524999999991</v>
      </c>
      <c r="K16" s="121">
        <v>4.1839203824763391</v>
      </c>
      <c r="L16" s="121">
        <v>8.3662750837480058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7917.3524999999991</v>
      </c>
      <c r="S16" s="62">
        <f t="shared" si="15"/>
        <v>331.25572499999993</v>
      </c>
      <c r="T16" s="63">
        <f t="shared" si="16"/>
        <v>662.38748949999967</v>
      </c>
      <c r="U16" s="64" t="s">
        <v>167</v>
      </c>
      <c r="V16" s="65" t="s">
        <v>167</v>
      </c>
      <c r="W16" s="139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142">
        <v>9508</v>
      </c>
      <c r="AI16" s="139">
        <v>4.17</v>
      </c>
      <c r="AJ16" s="139">
        <v>8.3699999999999992</v>
      </c>
      <c r="AK16" s="62">
        <f t="shared" si="19"/>
        <v>396.48360000000002</v>
      </c>
      <c r="AL16" s="72">
        <f t="shared" si="20"/>
        <v>795.81959999999992</v>
      </c>
      <c r="AM16" s="81">
        <f t="shared" si="21"/>
        <v>1.3524999999990541</v>
      </c>
      <c r="AN16" s="80">
        <f t="shared" si="22"/>
        <v>0.68092499999988831</v>
      </c>
      <c r="AO16" s="80">
        <f t="shared" si="23"/>
        <v>-0.50011050000023261</v>
      </c>
      <c r="AP16" s="115">
        <f t="shared" si="24"/>
        <v>1.819712522171667E-4</v>
      </c>
      <c r="AQ16" s="116">
        <f t="shared" si="12"/>
        <v>156.00430537988024</v>
      </c>
      <c r="AR16" s="90">
        <f t="shared" si="27"/>
        <v>1.3524999999990541</v>
      </c>
    </row>
    <row r="17" spans="1:49" ht="15.75" x14ac:dyDescent="0.25">
      <c r="A17" t="str">
        <f t="shared" si="13"/>
        <v>46180E</v>
      </c>
      <c r="B17" s="51">
        <f t="shared" si="26"/>
        <v>46180</v>
      </c>
      <c r="C17" s="100" t="s">
        <v>88</v>
      </c>
      <c r="D17" s="91">
        <v>9508</v>
      </c>
      <c r="E17" s="62">
        <v>4.17</v>
      </c>
      <c r="F17" s="62">
        <v>8.3699999999999992</v>
      </c>
      <c r="G17" s="62">
        <f t="shared" si="0"/>
        <v>396.48360000000002</v>
      </c>
      <c r="H17" s="72">
        <f t="shared" si="1"/>
        <v>795.81959999999992</v>
      </c>
      <c r="I17" s="121">
        <v>5718.5000000000009</v>
      </c>
      <c r="J17" s="121">
        <v>5890.0550000000012</v>
      </c>
      <c r="K17" s="121">
        <v>3.7534790591938436</v>
      </c>
      <c r="L17" s="121">
        <v>8.2909687855206737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5890.0550000000012</v>
      </c>
      <c r="S17" s="62">
        <f t="shared" si="15"/>
        <v>221.08198099999998</v>
      </c>
      <c r="T17" s="63">
        <f t="shared" si="16"/>
        <v>488.34262149999978</v>
      </c>
      <c r="U17" s="64" t="s">
        <v>286</v>
      </c>
      <c r="V17" s="65" t="s">
        <v>444</v>
      </c>
      <c r="W17" s="66" t="s">
        <v>208</v>
      </c>
      <c r="X17" s="67">
        <v>9810</v>
      </c>
      <c r="Y17" s="68">
        <v>4.05</v>
      </c>
      <c r="Z17" s="68">
        <v>8.34</v>
      </c>
      <c r="AA17" s="62">
        <f t="shared" si="5"/>
        <v>397.30500000000001</v>
      </c>
      <c r="AB17" s="63">
        <f t="shared" si="6"/>
        <v>818.154</v>
      </c>
      <c r="AC17" s="69">
        <v>9740</v>
      </c>
      <c r="AD17" s="70">
        <v>3.9251540041067758</v>
      </c>
      <c r="AE17" s="70">
        <v>8.3150308008213543</v>
      </c>
      <c r="AF17" s="62">
        <f t="shared" si="17"/>
        <v>382.31</v>
      </c>
      <c r="AG17" s="63">
        <f t="shared" si="18"/>
        <v>809.8839999999999</v>
      </c>
      <c r="AH17" s="142">
        <v>5585</v>
      </c>
      <c r="AI17" s="139">
        <v>4.0999999999999996</v>
      </c>
      <c r="AJ17" s="139">
        <v>8.35</v>
      </c>
      <c r="AK17" s="62">
        <f t="shared" si="19"/>
        <v>228.98499999999996</v>
      </c>
      <c r="AL17" s="72">
        <f t="shared" si="20"/>
        <v>466.34749999999997</v>
      </c>
      <c r="AM17" s="81">
        <f t="shared" si="21"/>
        <v>73.055000000000291</v>
      </c>
      <c r="AN17" s="80">
        <f t="shared" si="22"/>
        <v>6.2705810000001065</v>
      </c>
      <c r="AO17" s="80">
        <f t="shared" si="23"/>
        <v>7.9307214999998905</v>
      </c>
      <c r="AP17" s="115">
        <f t="shared" si="24"/>
        <v>2.0018057521482703E-2</v>
      </c>
      <c r="AQ17" s="116">
        <f t="shared" si="12"/>
        <v>5188.3799757533488</v>
      </c>
      <c r="AR17" s="90">
        <f t="shared" si="27"/>
        <v>3.055000000000291</v>
      </c>
      <c r="AS17" s="90">
        <f>SUM(J4:J17)</f>
        <v>89774.079000000012</v>
      </c>
      <c r="AT17" s="83">
        <f>SUM(AM4:AM17)</f>
        <v>199.07900000000427</v>
      </c>
      <c r="AU17" s="83">
        <f>SUM(AN4:AN17)</f>
        <v>29.710672500000396</v>
      </c>
      <c r="AV17" s="83">
        <f>SUM(AO4:AO17)</f>
        <v>49.041534999999556</v>
      </c>
      <c r="AW17" s="83">
        <f>-SUM(AQ4:AQ17)</f>
        <v>-28014.241643208385</v>
      </c>
    </row>
    <row r="18" spans="1:49" ht="15.75" x14ac:dyDescent="0.25">
      <c r="A18" t="str">
        <f t="shared" si="13"/>
        <v>46181M</v>
      </c>
      <c r="B18" s="51">
        <f t="shared" si="26"/>
        <v>46181</v>
      </c>
      <c r="C18" s="100" t="s">
        <v>87</v>
      </c>
      <c r="D18" s="91">
        <v>5585</v>
      </c>
      <c r="E18" s="62">
        <v>4.0999999999999996</v>
      </c>
      <c r="F18" s="62">
        <v>8.35</v>
      </c>
      <c r="G18" s="62">
        <f t="shared" si="0"/>
        <v>228.98499999999996</v>
      </c>
      <c r="H18" s="72">
        <f t="shared" si="1"/>
        <v>466.34749999999997</v>
      </c>
      <c r="I18" s="121">
        <v>7059.05</v>
      </c>
      <c r="J18" s="121">
        <v>7270.8215</v>
      </c>
      <c r="K18" s="121">
        <v>4.4276184472414855</v>
      </c>
      <c r="L18" s="121">
        <v>8.2821980294798863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7270.8215</v>
      </c>
      <c r="S18" s="62">
        <f t="shared" si="15"/>
        <v>321.92423400000007</v>
      </c>
      <c r="T18" s="63">
        <f t="shared" si="16"/>
        <v>602.18383499999993</v>
      </c>
      <c r="U18" s="64" t="s">
        <v>286</v>
      </c>
      <c r="V18" s="65" t="s">
        <v>445</v>
      </c>
      <c r="W18" s="139" t="s">
        <v>208</v>
      </c>
      <c r="X18" s="67">
        <v>9810</v>
      </c>
      <c r="Y18" s="68">
        <v>4.2500000000000009</v>
      </c>
      <c r="Z18" s="68">
        <v>8.3800000000000008</v>
      </c>
      <c r="AA18" s="62">
        <f t="shared" si="5"/>
        <v>416.92500000000013</v>
      </c>
      <c r="AB18" s="63">
        <f t="shared" si="6"/>
        <v>822.07800000000009</v>
      </c>
      <c r="AC18" s="69">
        <v>9780</v>
      </c>
      <c r="AD18" s="70">
        <v>4.2</v>
      </c>
      <c r="AE18" s="70">
        <v>8.370000000000001</v>
      </c>
      <c r="AF18" s="62">
        <f t="shared" si="17"/>
        <v>410.76000000000005</v>
      </c>
      <c r="AG18" s="63">
        <f t="shared" si="18"/>
        <v>818.58600000000013</v>
      </c>
      <c r="AH18" s="142">
        <v>3048</v>
      </c>
      <c r="AI18" s="139">
        <v>4.28</v>
      </c>
      <c r="AJ18" s="139">
        <v>8.31</v>
      </c>
      <c r="AK18" s="62">
        <f t="shared" si="19"/>
        <v>130.45440000000002</v>
      </c>
      <c r="AL18" s="72">
        <f t="shared" si="20"/>
        <v>253.28880000000001</v>
      </c>
      <c r="AM18" s="81">
        <f t="shared" si="21"/>
        <v>27.821500000000015</v>
      </c>
      <c r="AN18" s="80">
        <f t="shared" si="22"/>
        <v>9.6948339999999007</v>
      </c>
      <c r="AO18" s="80">
        <f t="shared" si="23"/>
        <v>-3.3434650000002364</v>
      </c>
      <c r="AP18" s="115">
        <f t="shared" si="24"/>
        <v>6.872972126379804E-3</v>
      </c>
      <c r="AQ18" s="116">
        <f t="shared" si="12"/>
        <v>3351.4980155065514</v>
      </c>
      <c r="AR18" s="90">
        <f t="shared" si="27"/>
        <v>-2.1784999999999854</v>
      </c>
    </row>
    <row r="19" spans="1:49" ht="15.75" x14ac:dyDescent="0.25">
      <c r="A19" t="str">
        <f t="shared" si="13"/>
        <v>46181E</v>
      </c>
      <c r="B19" s="51">
        <f t="shared" si="26"/>
        <v>46181</v>
      </c>
      <c r="C19" s="100" t="s">
        <v>88</v>
      </c>
      <c r="D19" s="91">
        <v>3048</v>
      </c>
      <c r="E19" s="62">
        <v>4.28</v>
      </c>
      <c r="F19" s="62">
        <v>8.31</v>
      </c>
      <c r="G19" s="62">
        <f t="shared" si="0"/>
        <v>130.45440000000002</v>
      </c>
      <c r="H19" s="72">
        <f t="shared" si="1"/>
        <v>253.28880000000001</v>
      </c>
      <c r="I19" s="121">
        <v>4298.5000000000009</v>
      </c>
      <c r="J19" s="121">
        <v>4427.4550000000008</v>
      </c>
      <c r="K19" s="121">
        <v>4.1236722112364763</v>
      </c>
      <c r="L19" s="121">
        <v>8.4107502617192029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4427.4550000000008</v>
      </c>
      <c r="S19" s="62">
        <f t="shared" si="15"/>
        <v>182.57373149999995</v>
      </c>
      <c r="T19" s="63">
        <f t="shared" si="16"/>
        <v>372.38218300000005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142">
        <v>7474</v>
      </c>
      <c r="AI19" s="139">
        <v>4.21</v>
      </c>
      <c r="AJ19" s="139">
        <v>8.3699999999999992</v>
      </c>
      <c r="AK19" s="62">
        <f t="shared" si="19"/>
        <v>314.65539999999999</v>
      </c>
      <c r="AL19" s="72">
        <f t="shared" si="20"/>
        <v>625.57380000000001</v>
      </c>
      <c r="AM19" s="81">
        <f t="shared" si="21"/>
        <v>1.4550000000008367</v>
      </c>
      <c r="AN19" s="80">
        <f t="shared" si="22"/>
        <v>-1.6272685000000138</v>
      </c>
      <c r="AO19" s="80">
        <f t="shared" si="23"/>
        <v>9.7183000000086395E-2</v>
      </c>
      <c r="AP19" s="115">
        <f t="shared" si="24"/>
        <v>-2.7571298188226213E-3</v>
      </c>
      <c r="AQ19" s="116">
        <f t="shared" si="12"/>
        <v>-701.41282198164708</v>
      </c>
      <c r="AR19" s="90">
        <f t="shared" si="27"/>
        <v>1.4550000000008367</v>
      </c>
    </row>
    <row r="20" spans="1:49" ht="15.75" x14ac:dyDescent="0.25">
      <c r="A20" t="str">
        <f t="shared" si="13"/>
        <v>46182M</v>
      </c>
      <c r="B20" s="51">
        <f t="shared" si="26"/>
        <v>46182</v>
      </c>
      <c r="C20" s="100" t="s">
        <v>87</v>
      </c>
      <c r="D20" s="91">
        <v>7474</v>
      </c>
      <c r="E20" s="62">
        <v>4.21</v>
      </c>
      <c r="F20" s="62">
        <v>8.3699999999999992</v>
      </c>
      <c r="G20" s="62">
        <f t="shared" si="0"/>
        <v>314.65539999999999</v>
      </c>
      <c r="H20" s="72">
        <f t="shared" si="1"/>
        <v>625.57380000000001</v>
      </c>
      <c r="I20" s="121">
        <v>9566.65</v>
      </c>
      <c r="J20" s="121">
        <v>9853.6494999999995</v>
      </c>
      <c r="K20" s="121">
        <v>4.3199777351528494</v>
      </c>
      <c r="L20" s="121">
        <v>8.3168334788039733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9853.6494999999995</v>
      </c>
      <c r="S20" s="62">
        <f t="shared" si="15"/>
        <v>425.67546450000009</v>
      </c>
      <c r="T20" s="63">
        <f t="shared" si="16"/>
        <v>819.51162050000028</v>
      </c>
      <c r="U20" s="64" t="s">
        <v>446</v>
      </c>
      <c r="V20" s="65" t="s">
        <v>447</v>
      </c>
      <c r="W20" s="139" t="s">
        <v>208</v>
      </c>
      <c r="X20" s="67">
        <v>16400</v>
      </c>
      <c r="Y20" s="68">
        <v>4.37</v>
      </c>
      <c r="Z20" s="68">
        <v>8.5299999999999994</v>
      </c>
      <c r="AA20" s="62">
        <f t="shared" si="5"/>
        <v>716.68000000000006</v>
      </c>
      <c r="AB20" s="63">
        <f t="shared" si="6"/>
        <v>1398.9199999999998</v>
      </c>
      <c r="AC20" s="69">
        <v>16350</v>
      </c>
      <c r="AD20" s="70">
        <v>4.3080428134556579</v>
      </c>
      <c r="AE20" s="70">
        <v>8.2716085626911315</v>
      </c>
      <c r="AF20" s="62">
        <f t="shared" si="17"/>
        <v>704.36500000000001</v>
      </c>
      <c r="AG20" s="63">
        <f t="shared" si="18"/>
        <v>1352.4079999999999</v>
      </c>
      <c r="AH20" s="142">
        <v>924</v>
      </c>
      <c r="AI20" s="139">
        <v>4.2699999999999996</v>
      </c>
      <c r="AJ20" s="139">
        <v>8.34</v>
      </c>
      <c r="AK20" s="62">
        <f t="shared" si="19"/>
        <v>39.454799999999999</v>
      </c>
      <c r="AL20" s="72">
        <f t="shared" si="20"/>
        <v>77.061599999999999</v>
      </c>
      <c r="AM20" s="81">
        <f t="shared" si="21"/>
        <v>53.649499999999534</v>
      </c>
      <c r="AN20" s="80">
        <f t="shared" si="22"/>
        <v>-3.4889354999999327</v>
      </c>
      <c r="AO20" s="80">
        <f t="shared" si="23"/>
        <v>15.615820500000382</v>
      </c>
      <c r="AP20" s="115">
        <f t="shared" si="24"/>
        <v>9.7390064080213647E-3</v>
      </c>
      <c r="AQ20" s="116">
        <f t="shared" si="12"/>
        <v>3107.180618465145</v>
      </c>
      <c r="AR20" s="90">
        <f>(D20+J20+O20)-(X20+AH20)</f>
        <v>3.6494999999995343</v>
      </c>
    </row>
    <row r="21" spans="1:49" ht="15.75" x14ac:dyDescent="0.25">
      <c r="A21" t="str">
        <f t="shared" si="13"/>
        <v>46182E</v>
      </c>
      <c r="B21" s="51">
        <f t="shared" si="26"/>
        <v>46182</v>
      </c>
      <c r="C21" s="100" t="s">
        <v>88</v>
      </c>
      <c r="D21" s="91">
        <v>924</v>
      </c>
      <c r="E21" s="62">
        <v>4.2699999999999996</v>
      </c>
      <c r="F21" s="62">
        <v>8.34</v>
      </c>
      <c r="G21" s="62">
        <f t="shared" si="0"/>
        <v>39.454799999999999</v>
      </c>
      <c r="H21" s="72">
        <f t="shared" si="1"/>
        <v>77.061599999999999</v>
      </c>
      <c r="I21" s="121">
        <v>5225.8</v>
      </c>
      <c r="J21" s="121">
        <v>5382.5740000000005</v>
      </c>
      <c r="K21" s="121">
        <v>3.9135280722568799</v>
      </c>
      <c r="L21" s="121">
        <v>8.3151794940487598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5382.5740000000005</v>
      </c>
      <c r="S21" s="62">
        <f t="shared" si="15"/>
        <v>210.64854450000004</v>
      </c>
      <c r="T21" s="63">
        <f t="shared" si="16"/>
        <v>447.57068950000013</v>
      </c>
      <c r="U21" s="64" t="s">
        <v>167</v>
      </c>
      <c r="V21" s="65" t="s">
        <v>167</v>
      </c>
      <c r="W21" s="105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142">
        <v>6301</v>
      </c>
      <c r="AI21" s="139">
        <v>4.05</v>
      </c>
      <c r="AJ21" s="139">
        <v>8.3699999999999992</v>
      </c>
      <c r="AK21" s="62">
        <f t="shared" si="19"/>
        <v>255.19050000000001</v>
      </c>
      <c r="AL21" s="72">
        <f t="shared" si="20"/>
        <v>527.39369999999997</v>
      </c>
      <c r="AM21" s="81">
        <f t="shared" si="21"/>
        <v>5.5740000000005239</v>
      </c>
      <c r="AN21" s="80">
        <f t="shared" si="22"/>
        <v>-5.087155499999966</v>
      </c>
      <c r="AO21" s="80">
        <f t="shared" si="23"/>
        <v>-2.7614104999998972</v>
      </c>
      <c r="AP21" s="115">
        <f t="shared" si="24"/>
        <v>-1.1923939007834981E-2</v>
      </c>
      <c r="AQ21" s="116">
        <f t="shared" si="12"/>
        <v>-3110.0915005416209</v>
      </c>
      <c r="AR21" s="90">
        <f>(D21+J21+O21)-(X21+AH21)</f>
        <v>5.5740000000005239</v>
      </c>
    </row>
    <row r="22" spans="1:49" ht="15.75" x14ac:dyDescent="0.25">
      <c r="A22" t="str">
        <f t="shared" si="13"/>
        <v>46183M</v>
      </c>
      <c r="B22" s="51">
        <f t="shared" si="26"/>
        <v>46183</v>
      </c>
      <c r="C22" s="100" t="s">
        <v>87</v>
      </c>
      <c r="D22" s="91">
        <v>6301</v>
      </c>
      <c r="E22" s="62">
        <v>4.05</v>
      </c>
      <c r="F22" s="62">
        <v>8.3699999999999992</v>
      </c>
      <c r="G22" s="62">
        <f t="shared" si="0"/>
        <v>255.19050000000001</v>
      </c>
      <c r="H22" s="72">
        <f t="shared" si="1"/>
        <v>527.39369999999997</v>
      </c>
      <c r="I22" s="121">
        <v>5451.6</v>
      </c>
      <c r="J22" s="121">
        <v>5615.1480000000001</v>
      </c>
      <c r="K22" s="121">
        <v>4.5674866094357629</v>
      </c>
      <c r="L22" s="121">
        <v>8.3121753246753229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5615.1480000000001</v>
      </c>
      <c r="S22" s="62">
        <f t="shared" si="15"/>
        <v>256.47113300000007</v>
      </c>
      <c r="T22" s="63">
        <f t="shared" si="16"/>
        <v>466.74094649999995</v>
      </c>
      <c r="U22" s="64" t="s">
        <v>280</v>
      </c>
      <c r="V22" s="65" t="s">
        <v>448</v>
      </c>
      <c r="W22" s="139" t="s">
        <v>208</v>
      </c>
      <c r="X22" s="67">
        <v>7200</v>
      </c>
      <c r="Y22" s="68">
        <v>4.3500000000000005</v>
      </c>
      <c r="Z22" s="68">
        <v>8.3999999999999986</v>
      </c>
      <c r="AA22" s="62">
        <f t="shared" si="5"/>
        <v>313.20000000000005</v>
      </c>
      <c r="AB22" s="63">
        <f t="shared" si="6"/>
        <v>604.79999999999995</v>
      </c>
      <c r="AC22" s="69">
        <v>7200</v>
      </c>
      <c r="AD22" s="70">
        <v>4.2756944444444445</v>
      </c>
      <c r="AE22" s="70">
        <v>8.2019444444444431</v>
      </c>
      <c r="AF22" s="62">
        <f t="shared" si="17"/>
        <v>307.85000000000002</v>
      </c>
      <c r="AG22" s="63">
        <f t="shared" si="18"/>
        <v>590.54</v>
      </c>
      <c r="AH22" s="142">
        <v>4714</v>
      </c>
      <c r="AI22" s="139">
        <v>4.3099999999999996</v>
      </c>
      <c r="AJ22" s="139">
        <v>8.33</v>
      </c>
      <c r="AK22" s="62">
        <f t="shared" si="19"/>
        <v>203.17339999999999</v>
      </c>
      <c r="AL22" s="72">
        <f t="shared" si="20"/>
        <v>392.67619999999999</v>
      </c>
      <c r="AM22" s="81">
        <f t="shared" si="21"/>
        <v>2.1480000000010477</v>
      </c>
      <c r="AN22" s="80">
        <f t="shared" si="22"/>
        <v>0.63823300000004224</v>
      </c>
      <c r="AO22" s="80">
        <f t="shared" si="23"/>
        <v>10.918446499999959</v>
      </c>
      <c r="AP22" s="115">
        <f t="shared" si="24"/>
        <v>1.5979654969244743E-2</v>
      </c>
      <c r="AQ22" s="116">
        <f t="shared" si="12"/>
        <v>3554.1090549066735</v>
      </c>
      <c r="AR22" s="90">
        <f t="shared" ref="AR22:AR57" si="28">(D22+J22+O22)-(X22+AH22)</f>
        <v>2.1480000000010477</v>
      </c>
    </row>
    <row r="23" spans="1:49" ht="15.75" x14ac:dyDescent="0.25">
      <c r="A23" t="str">
        <f t="shared" si="13"/>
        <v>46183E</v>
      </c>
      <c r="B23" s="51">
        <f t="shared" si="26"/>
        <v>46183</v>
      </c>
      <c r="C23" s="100" t="s">
        <v>88</v>
      </c>
      <c r="D23" s="91">
        <v>4714</v>
      </c>
      <c r="E23" s="62">
        <v>4.3099999999999996</v>
      </c>
      <c r="F23" s="62">
        <v>8.33</v>
      </c>
      <c r="G23" s="62">
        <f t="shared" si="0"/>
        <v>203.17339999999999</v>
      </c>
      <c r="H23" s="72">
        <f t="shared" si="1"/>
        <v>392.67619999999999</v>
      </c>
      <c r="I23" s="121">
        <v>4396.6000000000004</v>
      </c>
      <c r="J23" s="121">
        <v>4528.4980000000005</v>
      </c>
      <c r="K23" s="121">
        <v>3.9758665787199194</v>
      </c>
      <c r="L23" s="121">
        <v>8.4068700814265576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4528.4980000000005</v>
      </c>
      <c r="S23" s="62">
        <f t="shared" si="15"/>
        <v>180.04703849999999</v>
      </c>
      <c r="T23" s="63">
        <f t="shared" si="16"/>
        <v>380.70494350000013</v>
      </c>
      <c r="U23" s="64" t="s">
        <v>278</v>
      </c>
      <c r="V23" s="65" t="s">
        <v>449</v>
      </c>
      <c r="W23" s="105" t="s">
        <v>208</v>
      </c>
      <c r="X23" s="67">
        <v>7700</v>
      </c>
      <c r="Y23" s="68">
        <v>4.5</v>
      </c>
      <c r="Z23" s="68">
        <v>8.56</v>
      </c>
      <c r="AA23" s="62">
        <f t="shared" si="5"/>
        <v>346.5</v>
      </c>
      <c r="AB23" s="63">
        <f t="shared" si="6"/>
        <v>659.12000000000012</v>
      </c>
      <c r="AC23" s="69">
        <v>7720</v>
      </c>
      <c r="AD23" s="70">
        <v>4.4747409326424874</v>
      </c>
      <c r="AE23" s="70">
        <v>8.4249481865284963</v>
      </c>
      <c r="AF23" s="62">
        <f t="shared" si="17"/>
        <v>345.45000000000005</v>
      </c>
      <c r="AG23" s="63">
        <f t="shared" si="18"/>
        <v>650.40599999999995</v>
      </c>
      <c r="AH23" s="142">
        <v>1541</v>
      </c>
      <c r="AI23" s="139">
        <v>4.1500000000000004</v>
      </c>
      <c r="AJ23" s="139">
        <v>8.3699999999999992</v>
      </c>
      <c r="AK23" s="62">
        <f t="shared" si="19"/>
        <v>63.951500000000003</v>
      </c>
      <c r="AL23" s="72">
        <f t="shared" si="20"/>
        <v>128.98169999999999</v>
      </c>
      <c r="AM23" s="81">
        <f t="shared" si="21"/>
        <v>-18.502000000000407</v>
      </c>
      <c r="AN23" s="80">
        <f t="shared" si="22"/>
        <v>-26.181061500000048</v>
      </c>
      <c r="AO23" s="80">
        <f t="shared" si="23"/>
        <v>-6.0065564999998173</v>
      </c>
      <c r="AP23" s="115">
        <f t="shared" si="24"/>
        <v>-5.7400810042968084E-2</v>
      </c>
      <c r="AQ23" s="116">
        <f t="shared" si="12"/>
        <v>-13550.542503574967</v>
      </c>
      <c r="AR23" s="90">
        <f t="shared" si="28"/>
        <v>1.4979999999995925</v>
      </c>
    </row>
    <row r="24" spans="1:49" ht="15.75" x14ac:dyDescent="0.25">
      <c r="A24" t="str">
        <f t="shared" si="13"/>
        <v>46184M</v>
      </c>
      <c r="B24" s="51">
        <f t="shared" si="26"/>
        <v>46184</v>
      </c>
      <c r="C24" s="100" t="s">
        <v>87</v>
      </c>
      <c r="D24" s="91">
        <v>1541</v>
      </c>
      <c r="E24" s="62">
        <v>4.1500000000000004</v>
      </c>
      <c r="F24" s="62">
        <v>8.3699999999999992</v>
      </c>
      <c r="G24" s="62">
        <f t="shared" si="0"/>
        <v>63.951500000000003</v>
      </c>
      <c r="H24" s="72">
        <f t="shared" si="1"/>
        <v>128.98169999999999</v>
      </c>
      <c r="I24" s="121">
        <v>9101.2999999999993</v>
      </c>
      <c r="J24" s="121">
        <v>9374.3389999999999</v>
      </c>
      <c r="K24" s="121">
        <v>4.2179155725006332</v>
      </c>
      <c r="L24" s="121">
        <v>8.3247124037225486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9374.3389999999999</v>
      </c>
      <c r="S24" s="62">
        <f t="shared" si="15"/>
        <v>395.40170450000011</v>
      </c>
      <c r="T24" s="63">
        <f t="shared" si="16"/>
        <v>780.38676150000038</v>
      </c>
      <c r="U24" s="64" t="s">
        <v>293</v>
      </c>
      <c r="V24" s="65" t="s">
        <v>481</v>
      </c>
      <c r="W24" s="105" t="s">
        <v>208</v>
      </c>
      <c r="X24" s="67">
        <v>5900</v>
      </c>
      <c r="Y24" s="68">
        <v>4.5</v>
      </c>
      <c r="Z24" s="68">
        <v>8.41</v>
      </c>
      <c r="AA24" s="62">
        <f t="shared" si="5"/>
        <v>265.5</v>
      </c>
      <c r="AB24" s="63">
        <f t="shared" si="6"/>
        <v>496.19000000000005</v>
      </c>
      <c r="AC24" s="69">
        <v>5850</v>
      </c>
      <c r="AD24" s="70">
        <v>4.4000000000000004</v>
      </c>
      <c r="AE24" s="70">
        <v>8.2899999999999991</v>
      </c>
      <c r="AF24" s="62">
        <f t="shared" si="17"/>
        <v>257.40000000000003</v>
      </c>
      <c r="AG24" s="63">
        <f t="shared" si="18"/>
        <v>484.96499999999992</v>
      </c>
      <c r="AH24" s="142">
        <v>5013</v>
      </c>
      <c r="AI24" s="139">
        <v>4.21</v>
      </c>
      <c r="AJ24" s="139">
        <v>8.34</v>
      </c>
      <c r="AK24" s="62">
        <f t="shared" si="19"/>
        <v>211.04729999999998</v>
      </c>
      <c r="AL24" s="72">
        <f t="shared" si="20"/>
        <v>418.08420000000001</v>
      </c>
      <c r="AM24" s="81">
        <f t="shared" si="21"/>
        <v>52.338999999999942</v>
      </c>
      <c r="AN24" s="80">
        <f t="shared" si="22"/>
        <v>-9.0940954999998951</v>
      </c>
      <c r="AO24" s="80">
        <f t="shared" si="23"/>
        <v>6.3192615000004935</v>
      </c>
      <c r="AP24" s="115">
        <f t="shared" si="24"/>
        <v>-2.3599772239978755E-3</v>
      </c>
      <c r="AQ24" s="116">
        <f t="shared" si="12"/>
        <v>-2191.2439575948051</v>
      </c>
      <c r="AR24" s="90">
        <f t="shared" si="28"/>
        <v>2.3389999999999418</v>
      </c>
    </row>
    <row r="25" spans="1:49" ht="15.75" x14ac:dyDescent="0.25">
      <c r="A25" t="str">
        <f t="shared" si="13"/>
        <v>46184E</v>
      </c>
      <c r="B25" s="51">
        <f t="shared" si="26"/>
        <v>46184</v>
      </c>
      <c r="C25" s="100" t="s">
        <v>88</v>
      </c>
      <c r="D25" s="91">
        <v>5013</v>
      </c>
      <c r="E25" s="62">
        <v>4.21</v>
      </c>
      <c r="F25" s="62">
        <v>8.34</v>
      </c>
      <c r="G25" s="62">
        <f t="shared" si="0"/>
        <v>211.04729999999998</v>
      </c>
      <c r="H25" s="72">
        <f t="shared" si="1"/>
        <v>418.08420000000001</v>
      </c>
      <c r="I25" s="121">
        <v>15982.399999999998</v>
      </c>
      <c r="J25" s="121">
        <v>16461.871999999999</v>
      </c>
      <c r="K25" s="121">
        <v>4.1417221443587939</v>
      </c>
      <c r="L25" s="121">
        <v>8.2483112673941346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16461.871999999999</v>
      </c>
      <c r="S25" s="62">
        <f t="shared" si="15"/>
        <v>681.80499799999984</v>
      </c>
      <c r="T25" s="63">
        <f t="shared" si="16"/>
        <v>1357.8264430000002</v>
      </c>
      <c r="U25" s="64" t="s">
        <v>446</v>
      </c>
      <c r="V25" s="65" t="s">
        <v>482</v>
      </c>
      <c r="W25" s="66" t="s">
        <v>208</v>
      </c>
      <c r="X25" s="67">
        <v>16400</v>
      </c>
      <c r="Y25" s="68">
        <v>4.2</v>
      </c>
      <c r="Z25" s="68">
        <v>8.5</v>
      </c>
      <c r="AA25" s="62">
        <f t="shared" si="5"/>
        <v>688.80000000000007</v>
      </c>
      <c r="AB25" s="63">
        <f t="shared" si="6"/>
        <v>1394</v>
      </c>
      <c r="AC25" s="69">
        <v>16350</v>
      </c>
      <c r="AD25" s="70">
        <v>4.1467889908256881</v>
      </c>
      <c r="AE25" s="70">
        <v>8.432507645259939</v>
      </c>
      <c r="AF25" s="62">
        <f t="shared" si="17"/>
        <v>678</v>
      </c>
      <c r="AG25" s="63">
        <f t="shared" si="18"/>
        <v>1378.7149999999999</v>
      </c>
      <c r="AH25" s="142">
        <v>5204</v>
      </c>
      <c r="AI25" s="139">
        <v>4.25</v>
      </c>
      <c r="AJ25" s="139">
        <v>8.4499999999999993</v>
      </c>
      <c r="AK25" s="62">
        <f t="shared" si="19"/>
        <v>221.17000000000002</v>
      </c>
      <c r="AL25" s="72">
        <f t="shared" si="20"/>
        <v>439.73799999999994</v>
      </c>
      <c r="AM25" s="81">
        <f t="shared" si="21"/>
        <v>-79.128000000000611</v>
      </c>
      <c r="AN25" s="80">
        <f t="shared" si="22"/>
        <v>-6.3177020000002244</v>
      </c>
      <c r="AO25" s="80">
        <f t="shared" si="23"/>
        <v>-42.542356999999697</v>
      </c>
      <c r="AP25" s="115">
        <f t="shared" si="24"/>
        <v>-2.3955337232909386E-2</v>
      </c>
      <c r="AQ25" s="116">
        <f t="shared" si="12"/>
        <v>-15567.872592066678</v>
      </c>
      <c r="AR25" s="90">
        <f t="shared" si="28"/>
        <v>-129.12800000000061</v>
      </c>
      <c r="AS25" s="90">
        <f>SUM(J12:J25)</f>
        <v>100285.33200000002</v>
      </c>
      <c r="AT25" s="83">
        <f>SUM(AM12:AM25)</f>
        <v>236.33200000000215</v>
      </c>
      <c r="AU25" s="83">
        <f>SUM(AN12:AN25)</f>
        <v>-3.536713000000006</v>
      </c>
      <c r="AV25" s="83">
        <f>SUM(AO12:AO25)</f>
        <v>11.519030500001151</v>
      </c>
      <c r="AW25" s="83">
        <f>-SUM(AQ12:AQ25)</f>
        <v>-1859.6728216736756</v>
      </c>
    </row>
    <row r="26" spans="1:49" ht="15.75" x14ac:dyDescent="0.25">
      <c r="A26" t="str">
        <f t="shared" si="13"/>
        <v>46185M</v>
      </c>
      <c r="B26" s="51">
        <f t="shared" si="26"/>
        <v>46185</v>
      </c>
      <c r="C26" s="100" t="s">
        <v>87</v>
      </c>
      <c r="D26" s="91">
        <v>5204</v>
      </c>
      <c r="E26" s="62">
        <v>4.25</v>
      </c>
      <c r="F26" s="62">
        <v>8.4499999999999993</v>
      </c>
      <c r="G26" s="62">
        <f t="shared" si="0"/>
        <v>221.17000000000002</v>
      </c>
      <c r="H26" s="72">
        <f t="shared" si="1"/>
        <v>439.73799999999994</v>
      </c>
      <c r="I26" s="121">
        <v>4500.9999999999991</v>
      </c>
      <c r="J26" s="121">
        <v>4636.0299999999988</v>
      </c>
      <c r="K26" s="121">
        <v>4.4285914241279718</v>
      </c>
      <c r="L26" s="121">
        <v>8.4167396134192369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4636.0299999999988</v>
      </c>
      <c r="S26" s="62">
        <f t="shared" si="15"/>
        <v>205.31082699999996</v>
      </c>
      <c r="T26" s="63">
        <f t="shared" si="16"/>
        <v>390.20257349999974</v>
      </c>
      <c r="U26" s="64" t="s">
        <v>167</v>
      </c>
      <c r="V26" s="65" t="s">
        <v>167</v>
      </c>
      <c r="W26" s="139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142">
        <v>9838</v>
      </c>
      <c r="AI26" s="139">
        <v>4.33</v>
      </c>
      <c r="AJ26" s="139">
        <v>8.43</v>
      </c>
      <c r="AK26" s="62">
        <f t="shared" si="19"/>
        <v>425.98539999999997</v>
      </c>
      <c r="AL26" s="72">
        <f t="shared" si="20"/>
        <v>829.34339999999997</v>
      </c>
      <c r="AM26" s="81">
        <f t="shared" si="21"/>
        <v>2.0299999999988358</v>
      </c>
      <c r="AN26" s="80">
        <f t="shared" si="22"/>
        <v>0.4954270000000065</v>
      </c>
      <c r="AO26" s="80">
        <f t="shared" si="23"/>
        <v>0.59717349999971248</v>
      </c>
      <c r="AP26" s="115">
        <f t="shared" si="24"/>
        <v>1.8347202583222464E-3</v>
      </c>
      <c r="AQ26" s="116">
        <f t="shared" si="12"/>
        <v>401.12023849325021</v>
      </c>
      <c r="AR26" s="90">
        <f t="shared" si="28"/>
        <v>2.0299999999988358</v>
      </c>
    </row>
    <row r="27" spans="1:49" ht="15.75" x14ac:dyDescent="0.25">
      <c r="A27" t="str">
        <f t="shared" si="13"/>
        <v>46185E</v>
      </c>
      <c r="B27" s="51">
        <f t="shared" si="26"/>
        <v>46185</v>
      </c>
      <c r="C27" s="100" t="s">
        <v>88</v>
      </c>
      <c r="D27" s="91">
        <v>9838</v>
      </c>
      <c r="E27" s="62">
        <v>4.33</v>
      </c>
      <c r="F27" s="62">
        <v>8.43</v>
      </c>
      <c r="G27" s="62">
        <f t="shared" si="0"/>
        <v>425.98539999999997</v>
      </c>
      <c r="H27" s="72">
        <f t="shared" si="1"/>
        <v>829.34339999999997</v>
      </c>
      <c r="I27" s="121">
        <v>5108.6000000000004</v>
      </c>
      <c r="J27" s="121">
        <v>5261.8580000000002</v>
      </c>
      <c r="K27" s="121">
        <v>4.0619846924793492</v>
      </c>
      <c r="L27" s="121">
        <v>8.4175830951728461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5261.8580000000002</v>
      </c>
      <c r="S27" s="62">
        <f t="shared" si="15"/>
        <v>213.73586650000004</v>
      </c>
      <c r="T27" s="63">
        <f t="shared" si="16"/>
        <v>442.92126950000005</v>
      </c>
      <c r="U27" s="64" t="s">
        <v>280</v>
      </c>
      <c r="V27" s="65" t="s">
        <v>590</v>
      </c>
      <c r="W27" s="105" t="s">
        <v>208</v>
      </c>
      <c r="X27" s="67">
        <v>7200</v>
      </c>
      <c r="Y27" s="68">
        <v>4.3</v>
      </c>
      <c r="Z27" s="68">
        <v>8.52</v>
      </c>
      <c r="AA27" s="62">
        <f t="shared" si="5"/>
        <v>309.59999999999997</v>
      </c>
      <c r="AB27" s="63">
        <f t="shared" si="6"/>
        <v>613.43999999999994</v>
      </c>
      <c r="AC27" s="69">
        <v>9200</v>
      </c>
      <c r="AD27" s="70">
        <v>4.2</v>
      </c>
      <c r="AE27" s="70">
        <v>8.5</v>
      </c>
      <c r="AF27" s="62">
        <f t="shared" si="17"/>
        <v>386.40000000000003</v>
      </c>
      <c r="AG27" s="63">
        <f t="shared" si="18"/>
        <v>782</v>
      </c>
      <c r="AH27" s="142">
        <v>7897</v>
      </c>
      <c r="AI27" s="139">
        <v>4.26</v>
      </c>
      <c r="AJ27" s="139">
        <v>8.43</v>
      </c>
      <c r="AK27" s="62">
        <f t="shared" si="19"/>
        <v>336.41219999999998</v>
      </c>
      <c r="AL27" s="72">
        <f t="shared" si="20"/>
        <v>665.71709999999996</v>
      </c>
      <c r="AM27" s="81">
        <f t="shared" si="21"/>
        <v>-1997.1419999999998</v>
      </c>
      <c r="AN27" s="80">
        <f t="shared" si="22"/>
        <v>-83.090933500000062</v>
      </c>
      <c r="AO27" s="80">
        <f t="shared" si="23"/>
        <v>-175.45243049999988</v>
      </c>
      <c r="AP27" s="115">
        <f t="shared" si="24"/>
        <v>-0.3937265733148142</v>
      </c>
      <c r="AQ27" s="116">
        <f t="shared" si="12"/>
        <v>-89808.584674654994</v>
      </c>
      <c r="AR27" s="90">
        <f>(D27+J27+O27)-(X27+AH27)</f>
        <v>2.8580000000001746</v>
      </c>
    </row>
    <row r="28" spans="1:49" ht="15.75" x14ac:dyDescent="0.25">
      <c r="A28" t="str">
        <f t="shared" si="13"/>
        <v>46186M</v>
      </c>
      <c r="B28" s="51">
        <f t="shared" si="26"/>
        <v>46186</v>
      </c>
      <c r="C28" s="100" t="s">
        <v>87</v>
      </c>
      <c r="D28" s="91">
        <v>7897</v>
      </c>
      <c r="E28" s="62">
        <v>4.26</v>
      </c>
      <c r="F28" s="62">
        <v>8.43</v>
      </c>
      <c r="G28" s="62">
        <f t="shared" si="0"/>
        <v>336.41219999999998</v>
      </c>
      <c r="H28" s="72">
        <f t="shared" si="1"/>
        <v>665.71709999999996</v>
      </c>
      <c r="I28" s="121">
        <v>6685.4500000000016</v>
      </c>
      <c r="J28" s="121">
        <v>6886.0135000000018</v>
      </c>
      <c r="K28" s="121">
        <v>4.3858401453903637</v>
      </c>
      <c r="L28" s="121">
        <v>8.4100703767136089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6886.0135000000018</v>
      </c>
      <c r="S28" s="62">
        <f t="shared" si="15"/>
        <v>302.00954450000012</v>
      </c>
      <c r="T28" s="63">
        <f t="shared" si="16"/>
        <v>579.11858150000012</v>
      </c>
      <c r="U28" s="64" t="s">
        <v>278</v>
      </c>
      <c r="V28" s="65" t="s">
        <v>591</v>
      </c>
      <c r="W28" s="139" t="s">
        <v>208</v>
      </c>
      <c r="X28" s="67">
        <v>9200</v>
      </c>
      <c r="Y28" s="68">
        <v>4.25</v>
      </c>
      <c r="Z28" s="68">
        <v>8.51</v>
      </c>
      <c r="AA28" s="62">
        <f t="shared" si="5"/>
        <v>391</v>
      </c>
      <c r="AB28" s="63">
        <f t="shared" si="6"/>
        <v>782.92</v>
      </c>
      <c r="AC28" s="226">
        <v>9200</v>
      </c>
      <c r="AD28" s="227">
        <v>4.25</v>
      </c>
      <c r="AE28" s="227">
        <v>8.51</v>
      </c>
      <c r="AF28" s="62">
        <f t="shared" si="17"/>
        <v>391</v>
      </c>
      <c r="AG28" s="63">
        <f t="shared" si="18"/>
        <v>782.92</v>
      </c>
      <c r="AH28" s="142">
        <v>5581</v>
      </c>
      <c r="AI28" s="139">
        <v>4.32</v>
      </c>
      <c r="AJ28" s="139">
        <v>8.43</v>
      </c>
      <c r="AK28" s="62">
        <f t="shared" si="19"/>
        <v>241.09920000000002</v>
      </c>
      <c r="AL28" s="72">
        <f t="shared" si="20"/>
        <v>470.47829999999999</v>
      </c>
      <c r="AM28" s="81">
        <f t="shared" si="21"/>
        <v>2.0135000000009313</v>
      </c>
      <c r="AN28" s="80">
        <f t="shared" si="22"/>
        <v>6.3225445000001343</v>
      </c>
      <c r="AO28" s="80">
        <f t="shared" si="23"/>
        <v>-8.5626184999997577</v>
      </c>
      <c r="AP28" s="115">
        <f t="shared" si="24"/>
        <v>-2.5422795322273283E-3</v>
      </c>
      <c r="AQ28" s="116">
        <f t="shared" si="12"/>
        <v>275.69007093846585</v>
      </c>
      <c r="AR28" s="90">
        <f>(D28+J28+O28)-(X28+AH28)</f>
        <v>2.0135000000009313</v>
      </c>
    </row>
    <row r="29" spans="1:49" ht="15.75" x14ac:dyDescent="0.25">
      <c r="A29" t="str">
        <f t="shared" si="13"/>
        <v>46186E</v>
      </c>
      <c r="B29" s="51">
        <f t="shared" si="26"/>
        <v>46186</v>
      </c>
      <c r="C29" s="100" t="s">
        <v>88</v>
      </c>
      <c r="D29" s="91">
        <v>5581</v>
      </c>
      <c r="E29" s="62">
        <v>4.32</v>
      </c>
      <c r="F29" s="62">
        <v>8.43</v>
      </c>
      <c r="G29" s="62">
        <f t="shared" si="0"/>
        <v>241.09920000000002</v>
      </c>
      <c r="H29" s="72">
        <f t="shared" si="1"/>
        <v>470.47829999999999</v>
      </c>
      <c r="I29" s="121">
        <v>7574.6</v>
      </c>
      <c r="J29" s="121">
        <v>7801.8380000000006</v>
      </c>
      <c r="K29" s="121">
        <v>3.8649605259683675</v>
      </c>
      <c r="L29" s="121">
        <v>8.2826862144535678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7801.8380000000006</v>
      </c>
      <c r="S29" s="62">
        <f t="shared" si="15"/>
        <v>301.537959</v>
      </c>
      <c r="T29" s="63">
        <f t="shared" si="16"/>
        <v>646.20176049999998</v>
      </c>
      <c r="U29" s="64" t="s">
        <v>592</v>
      </c>
      <c r="V29" s="65" t="s">
        <v>593</v>
      </c>
      <c r="W29" s="66" t="s">
        <v>208</v>
      </c>
      <c r="X29" s="67">
        <v>13100</v>
      </c>
      <c r="Y29" s="68">
        <v>4.4000000000000004</v>
      </c>
      <c r="Z29" s="68">
        <v>8.42</v>
      </c>
      <c r="AA29" s="62">
        <f t="shared" si="5"/>
        <v>576.40000000000009</v>
      </c>
      <c r="AB29" s="63">
        <f t="shared" si="6"/>
        <v>1103.02</v>
      </c>
      <c r="AC29" s="69">
        <v>12980</v>
      </c>
      <c r="AD29" s="70">
        <v>4.3899845916795064</v>
      </c>
      <c r="AE29" s="70">
        <v>8.2879969183358995</v>
      </c>
      <c r="AF29" s="62">
        <f t="shared" si="17"/>
        <v>569.81999999999994</v>
      </c>
      <c r="AG29" s="63">
        <f t="shared" si="18"/>
        <v>1075.7819999999997</v>
      </c>
      <c r="AH29" s="142">
        <v>281</v>
      </c>
      <c r="AI29" s="139">
        <v>4.05</v>
      </c>
      <c r="AJ29" s="139">
        <v>8.34</v>
      </c>
      <c r="AK29" s="62">
        <f t="shared" si="19"/>
        <v>11.3805</v>
      </c>
      <c r="AL29" s="72">
        <f t="shared" si="20"/>
        <v>23.435400000000001</v>
      </c>
      <c r="AM29" s="81">
        <f t="shared" si="21"/>
        <v>121.83799999999974</v>
      </c>
      <c r="AN29" s="80">
        <f t="shared" si="22"/>
        <v>-38.563340999999937</v>
      </c>
      <c r="AO29" s="80">
        <f t="shared" si="23"/>
        <v>17.462660500000155</v>
      </c>
      <c r="AP29" s="115">
        <f t="shared" si="24"/>
        <v>-2.2264214600113932E-2</v>
      </c>
      <c r="AQ29" s="116">
        <f t="shared" si="12"/>
        <v>-12085.360791606592</v>
      </c>
      <c r="AR29" s="90">
        <f t="shared" si="28"/>
        <v>1.8379999999997381</v>
      </c>
    </row>
    <row r="30" spans="1:49" ht="15.75" x14ac:dyDescent="0.25">
      <c r="A30" t="str">
        <f t="shared" si="13"/>
        <v>46187M</v>
      </c>
      <c r="B30" s="51">
        <f t="shared" si="26"/>
        <v>46187</v>
      </c>
      <c r="C30" s="100" t="s">
        <v>87</v>
      </c>
      <c r="D30" s="91">
        <v>281</v>
      </c>
      <c r="E30" s="62">
        <v>4.05</v>
      </c>
      <c r="F30" s="62">
        <v>8.34</v>
      </c>
      <c r="G30" s="62">
        <f t="shared" ref="G30:G47" si="29">+D30*E30%</f>
        <v>11.3805</v>
      </c>
      <c r="H30" s="72">
        <f t="shared" ref="H30:H47" si="30">+D30*F30%</f>
        <v>23.435400000000001</v>
      </c>
      <c r="I30" s="121">
        <v>5745.3999999999978</v>
      </c>
      <c r="J30" s="121">
        <v>5917.7619999999979</v>
      </c>
      <c r="K30" s="121">
        <v>4.5240566366136381</v>
      </c>
      <c r="L30" s="121">
        <v>8.4084598113273241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5917.7619999999979</v>
      </c>
      <c r="S30" s="62">
        <f t="shared" si="15"/>
        <v>267.72290449999986</v>
      </c>
      <c r="T30" s="63">
        <f t="shared" si="16"/>
        <v>497.59263949999985</v>
      </c>
      <c r="U30" s="64" t="s">
        <v>167</v>
      </c>
      <c r="V30" s="65" t="s">
        <v>167</v>
      </c>
      <c r="W30" s="139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142">
        <v>6197</v>
      </c>
      <c r="AI30" s="139">
        <v>4.5</v>
      </c>
      <c r="AJ30" s="139">
        <v>8.4</v>
      </c>
      <c r="AK30" s="62">
        <f t="shared" si="19"/>
        <v>278.86500000000001</v>
      </c>
      <c r="AL30" s="72">
        <f t="shared" si="20"/>
        <v>520.548</v>
      </c>
      <c r="AM30" s="81">
        <f t="shared" si="21"/>
        <v>1.7619999999978972</v>
      </c>
      <c r="AN30" s="80">
        <f t="shared" si="22"/>
        <v>0.23840449999983093</v>
      </c>
      <c r="AO30" s="80">
        <f t="shared" si="23"/>
        <v>0.48003949999986162</v>
      </c>
      <c r="AP30" s="115">
        <f t="shared" si="24"/>
        <v>9.3875526981285619E-4</v>
      </c>
      <c r="AQ30" s="116">
        <f t="shared" si="12"/>
        <v>250.68518539154937</v>
      </c>
      <c r="AR30" s="90">
        <f t="shared" ref="AR30:AR35" si="31">(D30+J30+O30)-(X30+AH30)</f>
        <v>1.7619999999978972</v>
      </c>
    </row>
    <row r="31" spans="1:49" ht="15.75" x14ac:dyDescent="0.25">
      <c r="A31" t="str">
        <f t="shared" si="13"/>
        <v>46187E</v>
      </c>
      <c r="B31" s="51">
        <f t="shared" si="26"/>
        <v>46187</v>
      </c>
      <c r="C31" s="100" t="s">
        <v>88</v>
      </c>
      <c r="D31" s="91">
        <v>6197</v>
      </c>
      <c r="E31" s="62">
        <v>4.5</v>
      </c>
      <c r="F31" s="62">
        <v>8.4</v>
      </c>
      <c r="G31" s="62">
        <f t="shared" si="29"/>
        <v>278.86500000000001</v>
      </c>
      <c r="H31" s="72">
        <f t="shared" si="30"/>
        <v>520.548</v>
      </c>
      <c r="I31" s="121">
        <v>4620.25</v>
      </c>
      <c r="J31" s="121">
        <v>4758.8575000000001</v>
      </c>
      <c r="K31" s="121">
        <v>3.8565369839294412</v>
      </c>
      <c r="L31" s="121">
        <v>8.4269552513392139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4758.8575000000001</v>
      </c>
      <c r="S31" s="62">
        <f t="shared" si="15"/>
        <v>183.52709950000002</v>
      </c>
      <c r="T31" s="63">
        <f t="shared" si="16"/>
        <v>401.026792</v>
      </c>
      <c r="U31" s="64" t="s">
        <v>278</v>
      </c>
      <c r="V31" s="85" t="s">
        <v>594</v>
      </c>
      <c r="W31" s="66" t="s">
        <v>208</v>
      </c>
      <c r="X31" s="67">
        <v>9200</v>
      </c>
      <c r="Y31" s="68">
        <v>4.25</v>
      </c>
      <c r="Z31" s="68">
        <v>8.3800000000000008</v>
      </c>
      <c r="AA31" s="62">
        <f t="shared" si="5"/>
        <v>391</v>
      </c>
      <c r="AB31" s="63">
        <f t="shared" si="6"/>
        <v>770.96000000000015</v>
      </c>
      <c r="AC31" s="69">
        <v>9190</v>
      </c>
      <c r="AD31" s="70">
        <v>4.2</v>
      </c>
      <c r="AE31" s="70">
        <v>8.25</v>
      </c>
      <c r="AF31" s="62">
        <f t="shared" si="17"/>
        <v>385.98</v>
      </c>
      <c r="AG31" s="63">
        <f t="shared" si="18"/>
        <v>758.17500000000007</v>
      </c>
      <c r="AH31" s="142">
        <v>1754</v>
      </c>
      <c r="AI31" s="139">
        <v>4.22</v>
      </c>
      <c r="AJ31" s="139">
        <v>8.42</v>
      </c>
      <c r="AK31" s="62">
        <f t="shared" si="19"/>
        <v>74.018799999999985</v>
      </c>
      <c r="AL31" s="72">
        <f t="shared" si="20"/>
        <v>147.68680000000001</v>
      </c>
      <c r="AM31" s="81">
        <f t="shared" si="21"/>
        <v>11.857500000000073</v>
      </c>
      <c r="AN31" s="80">
        <f t="shared" si="22"/>
        <v>2.3932995000000261</v>
      </c>
      <c r="AO31" s="80">
        <f t="shared" si="23"/>
        <v>15.712991999999929</v>
      </c>
      <c r="AP31" s="115">
        <f t="shared" si="24"/>
        <v>3.097454616808407E-2</v>
      </c>
      <c r="AQ31" s="116">
        <f t="shared" si="12"/>
        <v>5776.8555710249911</v>
      </c>
      <c r="AR31" s="90">
        <f t="shared" si="31"/>
        <v>1.8575000000000728</v>
      </c>
    </row>
    <row r="32" spans="1:49" ht="15.75" x14ac:dyDescent="0.25">
      <c r="A32" t="str">
        <f t="shared" si="13"/>
        <v>46188M</v>
      </c>
      <c r="B32" s="51">
        <f t="shared" si="26"/>
        <v>46188</v>
      </c>
      <c r="C32" s="100" t="s">
        <v>87</v>
      </c>
      <c r="D32" s="91">
        <v>1754</v>
      </c>
      <c r="E32" s="62">
        <v>4.22</v>
      </c>
      <c r="F32" s="62">
        <v>8.42</v>
      </c>
      <c r="G32" s="62">
        <f t="shared" si="29"/>
        <v>74.018799999999985</v>
      </c>
      <c r="H32" s="72">
        <f t="shared" si="30"/>
        <v>147.68680000000001</v>
      </c>
      <c r="I32" s="121">
        <v>7071.2</v>
      </c>
      <c r="J32" s="121">
        <v>7283.3360000000002</v>
      </c>
      <c r="K32" s="121">
        <v>4.4317124391899538</v>
      </c>
      <c r="L32" s="121">
        <v>8.4205700588301866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7283.3360000000002</v>
      </c>
      <c r="S32" s="62">
        <f t="shared" si="15"/>
        <v>322.77650750000004</v>
      </c>
      <c r="T32" s="63">
        <f t="shared" si="16"/>
        <v>613.29841050000016</v>
      </c>
      <c r="U32" s="64" t="s">
        <v>280</v>
      </c>
      <c r="V32" s="65" t="s">
        <v>595</v>
      </c>
      <c r="W32" s="105" t="s">
        <v>208</v>
      </c>
      <c r="X32" s="67">
        <v>7200</v>
      </c>
      <c r="Y32" s="68">
        <v>4.3</v>
      </c>
      <c r="Z32" s="68">
        <v>8.52</v>
      </c>
      <c r="AA32" s="62">
        <f t="shared" si="5"/>
        <v>309.59999999999997</v>
      </c>
      <c r="AB32" s="63">
        <f t="shared" si="6"/>
        <v>613.43999999999994</v>
      </c>
      <c r="AC32" s="69">
        <v>7180</v>
      </c>
      <c r="AD32" s="70">
        <v>4.2513927576601676</v>
      </c>
      <c r="AE32" s="70">
        <v>8.380278551532033</v>
      </c>
      <c r="AF32" s="62">
        <f t="shared" si="17"/>
        <v>305.25000000000006</v>
      </c>
      <c r="AG32" s="63">
        <f t="shared" si="18"/>
        <v>601.70399999999995</v>
      </c>
      <c r="AH32" s="142">
        <v>1836</v>
      </c>
      <c r="AI32" s="139">
        <v>4.38</v>
      </c>
      <c r="AJ32" s="139">
        <v>8.42</v>
      </c>
      <c r="AK32" s="62">
        <f t="shared" si="19"/>
        <v>80.416799999999995</v>
      </c>
      <c r="AL32" s="72">
        <f t="shared" si="20"/>
        <v>154.59119999999999</v>
      </c>
      <c r="AM32" s="81">
        <f t="shared" si="21"/>
        <v>21.335999999999331</v>
      </c>
      <c r="AN32" s="80">
        <f t="shared" si="22"/>
        <v>11.128507499999984</v>
      </c>
      <c r="AO32" s="80">
        <f t="shared" si="23"/>
        <v>4.6900105000002839</v>
      </c>
      <c r="AP32" s="115">
        <f t="shared" si="24"/>
        <v>1.6898773480436599E-2</v>
      </c>
      <c r="AQ32" s="116">
        <f t="shared" si="12"/>
        <v>6399.2933775284109</v>
      </c>
      <c r="AR32" s="90">
        <f t="shared" si="31"/>
        <v>1.3359999999993306</v>
      </c>
    </row>
    <row r="33" spans="1:49" ht="15.75" x14ac:dyDescent="0.25">
      <c r="A33" t="str">
        <f t="shared" si="13"/>
        <v>46188E</v>
      </c>
      <c r="B33" s="51">
        <f t="shared" si="26"/>
        <v>46188</v>
      </c>
      <c r="C33" s="100" t="s">
        <v>88</v>
      </c>
      <c r="D33" s="91">
        <v>1836</v>
      </c>
      <c r="E33" s="62">
        <v>4.38</v>
      </c>
      <c r="F33" s="62">
        <v>8.42</v>
      </c>
      <c r="G33" s="62">
        <f t="shared" si="29"/>
        <v>80.416799999999995</v>
      </c>
      <c r="H33" s="72">
        <f t="shared" si="30"/>
        <v>154.59119999999999</v>
      </c>
      <c r="I33" s="121">
        <v>4388.5</v>
      </c>
      <c r="J33" s="121">
        <v>4520.1549999999997</v>
      </c>
      <c r="K33" s="121">
        <v>3.9002677452432493</v>
      </c>
      <c r="L33" s="121">
        <v>8.4202050814629157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4520.1549999999997</v>
      </c>
      <c r="S33" s="62">
        <f t="shared" si="15"/>
        <v>176.2981475</v>
      </c>
      <c r="T33" s="63">
        <f t="shared" si="16"/>
        <v>380.60632100000004</v>
      </c>
      <c r="U33" s="64" t="s">
        <v>167</v>
      </c>
      <c r="V33" s="65" t="s">
        <v>167</v>
      </c>
      <c r="W33" s="139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142">
        <v>6353</v>
      </c>
      <c r="AI33" s="139">
        <v>4.03</v>
      </c>
      <c r="AJ33" s="139">
        <v>8.42</v>
      </c>
      <c r="AK33" s="62">
        <f t="shared" si="19"/>
        <v>256.02590000000004</v>
      </c>
      <c r="AL33" s="72">
        <f t="shared" si="20"/>
        <v>534.92259999999999</v>
      </c>
      <c r="AM33" s="81">
        <f t="shared" si="21"/>
        <v>3.1549999999997453</v>
      </c>
      <c r="AN33" s="80">
        <f t="shared" si="22"/>
        <v>0.68904749999995829</v>
      </c>
      <c r="AO33" s="80">
        <f t="shared" si="23"/>
        <v>0.27492100000006303</v>
      </c>
      <c r="AP33" s="115">
        <f t="shared" si="24"/>
        <v>1.730940501512642E-3</v>
      </c>
      <c r="AQ33" s="116">
        <f t="shared" si="12"/>
        <v>391.59683729833353</v>
      </c>
      <c r="AR33" s="90">
        <f t="shared" si="31"/>
        <v>3.1549999999997453</v>
      </c>
    </row>
    <row r="34" spans="1:49" ht="15.75" x14ac:dyDescent="0.25">
      <c r="A34" t="str">
        <f t="shared" si="13"/>
        <v>46189M</v>
      </c>
      <c r="B34" s="51">
        <f t="shared" si="26"/>
        <v>46189</v>
      </c>
      <c r="C34" s="100" t="s">
        <v>87</v>
      </c>
      <c r="D34" s="91">
        <v>6353</v>
      </c>
      <c r="E34" s="62">
        <v>4.03</v>
      </c>
      <c r="F34" s="62">
        <v>8.42</v>
      </c>
      <c r="G34" s="62">
        <f t="shared" si="29"/>
        <v>256.02590000000004</v>
      </c>
      <c r="H34" s="72">
        <f t="shared" si="30"/>
        <v>534.92259999999999</v>
      </c>
      <c r="I34" s="121">
        <v>9531.6500000000015</v>
      </c>
      <c r="J34" s="121">
        <v>9817.5995000000021</v>
      </c>
      <c r="K34" s="121">
        <v>4.5856939774330794</v>
      </c>
      <c r="L34" s="121">
        <v>8.3588130071918307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9817.5995000000021</v>
      </c>
      <c r="S34" s="62">
        <f t="shared" si="15"/>
        <v>450.20506900000021</v>
      </c>
      <c r="T34" s="63">
        <f t="shared" si="16"/>
        <v>820.63478400000031</v>
      </c>
      <c r="U34" s="64" t="s">
        <v>278</v>
      </c>
      <c r="V34" s="65" t="s">
        <v>596</v>
      </c>
      <c r="W34" s="105" t="s">
        <v>208</v>
      </c>
      <c r="X34" s="67">
        <v>9200</v>
      </c>
      <c r="Y34" s="68">
        <v>4.3499999999999996</v>
      </c>
      <c r="Z34" s="68">
        <v>8.4</v>
      </c>
      <c r="AA34" s="62">
        <f t="shared" si="5"/>
        <v>400.2</v>
      </c>
      <c r="AB34" s="63">
        <f t="shared" si="6"/>
        <v>772.80000000000007</v>
      </c>
      <c r="AC34" s="69">
        <v>9210</v>
      </c>
      <c r="AD34" s="70">
        <v>4.3</v>
      </c>
      <c r="AE34" s="70">
        <v>8.39</v>
      </c>
      <c r="AF34" s="62">
        <f t="shared" si="17"/>
        <v>396.03</v>
      </c>
      <c r="AG34" s="63">
        <f t="shared" si="18"/>
        <v>772.71900000000005</v>
      </c>
      <c r="AH34" s="142">
        <v>6969</v>
      </c>
      <c r="AI34" s="139">
        <v>4.3600000000000003</v>
      </c>
      <c r="AJ34" s="139">
        <v>8.39</v>
      </c>
      <c r="AK34" s="62">
        <f t="shared" si="19"/>
        <v>303.84840000000003</v>
      </c>
      <c r="AL34" s="72">
        <f t="shared" si="20"/>
        <v>584.69910000000004</v>
      </c>
      <c r="AM34" s="81">
        <f t="shared" si="21"/>
        <v>-8.4004999999979191</v>
      </c>
      <c r="AN34" s="80">
        <f t="shared" si="22"/>
        <v>6.3525690000001873</v>
      </c>
      <c r="AO34" s="80">
        <f t="shared" si="23"/>
        <v>-1.8607159999999112</v>
      </c>
      <c r="AP34" s="115">
        <f t="shared" si="24"/>
        <v>3.5345547193823129E-3</v>
      </c>
      <c r="AQ34" s="116">
        <f t="shared" si="12"/>
        <v>2294.8690700834441</v>
      </c>
      <c r="AR34" s="90">
        <f t="shared" si="31"/>
        <v>1.5995000000020809</v>
      </c>
    </row>
    <row r="35" spans="1:49" ht="15.75" x14ac:dyDescent="0.25">
      <c r="A35" t="str">
        <f t="shared" si="13"/>
        <v>46189E</v>
      </c>
      <c r="B35" s="51">
        <f t="shared" si="26"/>
        <v>46189</v>
      </c>
      <c r="C35" s="100" t="s">
        <v>88</v>
      </c>
      <c r="D35" s="91">
        <v>6969</v>
      </c>
      <c r="E35" s="62">
        <v>4.3600000000000003</v>
      </c>
      <c r="F35" s="62">
        <v>8.39</v>
      </c>
      <c r="G35" s="62">
        <f t="shared" si="29"/>
        <v>303.84840000000003</v>
      </c>
      <c r="H35" s="72">
        <f t="shared" si="30"/>
        <v>584.69910000000004</v>
      </c>
      <c r="I35" s="121">
        <v>9046.8499999999985</v>
      </c>
      <c r="J35" s="121">
        <v>9318.2554999999993</v>
      </c>
      <c r="K35" s="121">
        <v>3.961418615319142</v>
      </c>
      <c r="L35" s="121">
        <v>8.334521960682439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9318.2554999999993</v>
      </c>
      <c r="S35" s="62">
        <f t="shared" si="15"/>
        <v>369.13510799999978</v>
      </c>
      <c r="T35" s="63">
        <f t="shared" si="16"/>
        <v>776.63205099999914</v>
      </c>
      <c r="U35" s="64" t="s">
        <v>278</v>
      </c>
      <c r="V35" s="65" t="s">
        <v>597</v>
      </c>
      <c r="W35" s="105" t="s">
        <v>208</v>
      </c>
      <c r="X35" s="67">
        <v>9200</v>
      </c>
      <c r="Y35" s="68">
        <v>4.3</v>
      </c>
      <c r="Z35" s="68">
        <v>8.52</v>
      </c>
      <c r="AA35" s="62">
        <f t="shared" si="5"/>
        <v>395.59999999999997</v>
      </c>
      <c r="AB35" s="63">
        <f t="shared" si="6"/>
        <v>783.84</v>
      </c>
      <c r="AC35" s="226">
        <v>9200</v>
      </c>
      <c r="AD35" s="227">
        <v>4.3</v>
      </c>
      <c r="AE35" s="227">
        <v>8.52</v>
      </c>
      <c r="AF35" s="62">
        <f t="shared" si="17"/>
        <v>395.59999999999997</v>
      </c>
      <c r="AG35" s="63">
        <f t="shared" si="18"/>
        <v>783.84</v>
      </c>
      <c r="AH35" s="142">
        <v>7086</v>
      </c>
      <c r="AI35" s="139">
        <v>4.13</v>
      </c>
      <c r="AJ35" s="139">
        <v>8.36</v>
      </c>
      <c r="AK35" s="62">
        <f t="shared" si="19"/>
        <v>292.65179999999998</v>
      </c>
      <c r="AL35" s="72">
        <f t="shared" si="20"/>
        <v>592.38959999999997</v>
      </c>
      <c r="AM35" s="81">
        <f t="shared" si="21"/>
        <v>1.2554999999993015</v>
      </c>
      <c r="AN35" s="80">
        <f t="shared" si="22"/>
        <v>-15.268292000000145</v>
      </c>
      <c r="AO35" s="80">
        <f t="shared" si="23"/>
        <v>-14.898449000000824</v>
      </c>
      <c r="AP35" s="115">
        <f t="shared" si="24"/>
        <v>-2.6328858148046291E-2</v>
      </c>
      <c r="AQ35" s="116">
        <f t="shared" si="12"/>
        <v>-11312.79745544698</v>
      </c>
      <c r="AR35" s="90">
        <f t="shared" si="31"/>
        <v>1.2554999999993015</v>
      </c>
      <c r="AS35" s="90">
        <f>SUM(J22:J35)</f>
        <v>102181.56199999999</v>
      </c>
      <c r="AT35" s="83">
        <f>SUM(AM22:AM35)</f>
        <v>-1883.4380000000019</v>
      </c>
      <c r="AU35" s="83">
        <f>SUM(AN22:AN35)</f>
        <v>-150.25739300000018</v>
      </c>
      <c r="AV35" s="83">
        <f>SUM(AO22:AO35)</f>
        <v>-192.86762249999944</v>
      </c>
      <c r="AW35" s="83">
        <f>-SUM(AQ22:AQ35)</f>
        <v>125172.18256927992</v>
      </c>
    </row>
    <row r="36" spans="1:49" ht="15.75" x14ac:dyDescent="0.25">
      <c r="A36" t="str">
        <f t="shared" si="13"/>
        <v>46190M</v>
      </c>
      <c r="B36" s="51">
        <f t="shared" si="26"/>
        <v>46190</v>
      </c>
      <c r="C36" s="100" t="s">
        <v>87</v>
      </c>
      <c r="D36" s="91">
        <v>7086</v>
      </c>
      <c r="E36" s="62">
        <v>4.13</v>
      </c>
      <c r="F36" s="62">
        <v>8.36</v>
      </c>
      <c r="G36" s="62">
        <f t="shared" si="29"/>
        <v>292.65179999999998</v>
      </c>
      <c r="H36" s="72">
        <f t="shared" si="30"/>
        <v>592.38959999999997</v>
      </c>
      <c r="I36" s="121">
        <v>3795.5000000000005</v>
      </c>
      <c r="J36" s="121">
        <v>3909.3650000000007</v>
      </c>
      <c r="K36" s="121">
        <v>4.6048030562508231</v>
      </c>
      <c r="L36" s="121">
        <v>8.3647082070873395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3909.3650000000007</v>
      </c>
      <c r="S36" s="62">
        <f t="shared" si="15"/>
        <v>180.01855900000001</v>
      </c>
      <c r="T36" s="63">
        <f t="shared" si="16"/>
        <v>327.00697500000007</v>
      </c>
      <c r="U36" s="64" t="s">
        <v>167</v>
      </c>
      <c r="V36" s="85" t="s">
        <v>167</v>
      </c>
      <c r="W36" s="105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142">
        <v>10994</v>
      </c>
      <c r="AI36" s="139">
        <v>4.29</v>
      </c>
      <c r="AJ36" s="139">
        <v>8.36</v>
      </c>
      <c r="AK36" s="62">
        <f t="shared" si="19"/>
        <v>471.64260000000002</v>
      </c>
      <c r="AL36" s="72">
        <f t="shared" si="20"/>
        <v>919.09839999999997</v>
      </c>
      <c r="AM36" s="81">
        <f t="shared" si="21"/>
        <v>1.3650000000016007</v>
      </c>
      <c r="AN36" s="80">
        <f t="shared" si="22"/>
        <v>1.0277589999999464</v>
      </c>
      <c r="AO36" s="80">
        <f t="shared" si="23"/>
        <v>0.29817500000001473</v>
      </c>
      <c r="AP36" s="115">
        <f t="shared" si="24"/>
        <v>2.61512273265504E-3</v>
      </c>
      <c r="AQ36" s="116">
        <f t="shared" si="12"/>
        <v>550.60711885664705</v>
      </c>
      <c r="AR36" s="90">
        <f t="shared" ref="AR36:AR43" si="32">(D36+J36+O36)-(X36+AH36)</f>
        <v>1.3650000000016007</v>
      </c>
    </row>
    <row r="37" spans="1:49" ht="15.75" x14ac:dyDescent="0.25">
      <c r="A37" t="str">
        <f t="shared" si="13"/>
        <v>46190E</v>
      </c>
      <c r="B37" s="51">
        <f t="shared" si="26"/>
        <v>46190</v>
      </c>
      <c r="C37" s="100" t="s">
        <v>88</v>
      </c>
      <c r="D37" s="91">
        <v>10994</v>
      </c>
      <c r="E37" s="62">
        <v>4.29</v>
      </c>
      <c r="F37" s="62">
        <v>8.36</v>
      </c>
      <c r="G37" s="62">
        <f t="shared" si="29"/>
        <v>471.64260000000002</v>
      </c>
      <c r="H37" s="72">
        <f t="shared" si="30"/>
        <v>919.09839999999997</v>
      </c>
      <c r="I37" s="121">
        <v>4228.3499999999995</v>
      </c>
      <c r="J37" s="121">
        <v>4355.2004999999999</v>
      </c>
      <c r="K37" s="121">
        <v>4.0831399955065208</v>
      </c>
      <c r="L37" s="121">
        <v>8.3799484432461817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4355.2004999999999</v>
      </c>
      <c r="S37" s="62">
        <f t="shared" si="15"/>
        <v>177.82893349999998</v>
      </c>
      <c r="T37" s="63">
        <f t="shared" si="16"/>
        <v>364.96355649999992</v>
      </c>
      <c r="U37" s="64" t="s">
        <v>280</v>
      </c>
      <c r="V37" s="65" t="s">
        <v>651</v>
      </c>
      <c r="W37" s="66" t="s">
        <v>208</v>
      </c>
      <c r="X37" s="67">
        <v>7200</v>
      </c>
      <c r="Y37" s="68">
        <v>4.45</v>
      </c>
      <c r="Z37" s="68">
        <v>8.6700000000000017</v>
      </c>
      <c r="AA37" s="62">
        <f t="shared" si="5"/>
        <v>320.40000000000003</v>
      </c>
      <c r="AB37" s="63">
        <f t="shared" si="6"/>
        <v>624.24000000000012</v>
      </c>
      <c r="AC37" s="226">
        <v>7200</v>
      </c>
      <c r="AD37" s="227">
        <v>4.45</v>
      </c>
      <c r="AE37" s="227">
        <v>8.6700000000000017</v>
      </c>
      <c r="AF37" s="62">
        <f t="shared" si="17"/>
        <v>320.40000000000003</v>
      </c>
      <c r="AG37" s="63">
        <f t="shared" si="18"/>
        <v>624.24000000000012</v>
      </c>
      <c r="AH37" s="142">
        <v>8148</v>
      </c>
      <c r="AI37" s="139">
        <v>4.24</v>
      </c>
      <c r="AJ37" s="139">
        <v>8.3699999999999992</v>
      </c>
      <c r="AK37" s="62">
        <f t="shared" si="19"/>
        <v>345.47520000000003</v>
      </c>
      <c r="AL37" s="72">
        <f t="shared" si="20"/>
        <v>681.98759999999993</v>
      </c>
      <c r="AM37" s="81">
        <f t="shared" si="21"/>
        <v>1.2004999999990105</v>
      </c>
      <c r="AN37" s="80">
        <f t="shared" si="22"/>
        <v>-16.403666500000099</v>
      </c>
      <c r="AO37" s="80">
        <f t="shared" si="23"/>
        <v>-22.165643500000101</v>
      </c>
      <c r="AP37" s="115">
        <f t="shared" si="24"/>
        <v>-7.1057191671904316E-2</v>
      </c>
      <c r="AQ37" s="116">
        <f t="shared" si="12"/>
        <v>-13997.35594423841</v>
      </c>
      <c r="AR37" s="90">
        <f t="shared" si="32"/>
        <v>1.2004999999990105</v>
      </c>
    </row>
    <row r="38" spans="1:49" ht="15.75" x14ac:dyDescent="0.25">
      <c r="A38" t="str">
        <f t="shared" si="13"/>
        <v>46191M</v>
      </c>
      <c r="B38" s="51">
        <f t="shared" si="26"/>
        <v>46191</v>
      </c>
      <c r="C38" s="100" t="s">
        <v>87</v>
      </c>
      <c r="D38" s="91">
        <v>8148</v>
      </c>
      <c r="E38" s="62">
        <v>4.24</v>
      </c>
      <c r="F38" s="62">
        <v>8.3699999999999992</v>
      </c>
      <c r="G38" s="62">
        <f t="shared" si="29"/>
        <v>345.47520000000003</v>
      </c>
      <c r="H38" s="72">
        <f t="shared" si="30"/>
        <v>681.98759999999993</v>
      </c>
      <c r="I38" s="121">
        <v>3844.8500000000004</v>
      </c>
      <c r="J38" s="121">
        <v>3960.1955000000003</v>
      </c>
      <c r="K38" s="121">
        <v>4.621013823686229</v>
      </c>
      <c r="L38" s="121">
        <v>8.4375645343771559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3960.1955000000003</v>
      </c>
      <c r="S38" s="62">
        <f t="shared" si="15"/>
        <v>183.0011815</v>
      </c>
      <c r="T38" s="63">
        <f t="shared" si="16"/>
        <v>334.1440510000001</v>
      </c>
      <c r="U38" s="64" t="s">
        <v>278</v>
      </c>
      <c r="V38" s="65" t="s">
        <v>652</v>
      </c>
      <c r="W38" s="139" t="s">
        <v>208</v>
      </c>
      <c r="X38" s="67">
        <v>9200</v>
      </c>
      <c r="Y38" s="68">
        <v>4.3</v>
      </c>
      <c r="Z38" s="68">
        <v>8.52</v>
      </c>
      <c r="AA38" s="62">
        <f t="shared" si="5"/>
        <v>395.59999999999997</v>
      </c>
      <c r="AB38" s="63">
        <f t="shared" si="6"/>
        <v>783.84</v>
      </c>
      <c r="AC38" s="226">
        <v>9200</v>
      </c>
      <c r="AD38" s="227">
        <v>4.3</v>
      </c>
      <c r="AE38" s="227">
        <v>8.52</v>
      </c>
      <c r="AF38" s="62">
        <f t="shared" si="17"/>
        <v>395.59999999999997</v>
      </c>
      <c r="AG38" s="63">
        <f t="shared" si="18"/>
        <v>783.84</v>
      </c>
      <c r="AH38" s="142">
        <v>2907</v>
      </c>
      <c r="AI38" s="139">
        <v>4.3600000000000003</v>
      </c>
      <c r="AJ38" s="139">
        <v>8.39</v>
      </c>
      <c r="AK38" s="62">
        <f t="shared" si="19"/>
        <v>126.7452</v>
      </c>
      <c r="AL38" s="72">
        <f t="shared" si="20"/>
        <v>243.8973</v>
      </c>
      <c r="AM38" s="81">
        <f t="shared" si="21"/>
        <v>1.1954999999998108</v>
      </c>
      <c r="AN38" s="80">
        <f t="shared" si="22"/>
        <v>6.1311815000000394</v>
      </c>
      <c r="AO38" s="80">
        <f t="shared" si="23"/>
        <v>-11.605649</v>
      </c>
      <c r="AP38" s="115">
        <f t="shared" si="24"/>
        <v>-1.058593825478215E-2</v>
      </c>
      <c r="AQ38" s="116">
        <f t="shared" si="12"/>
        <v>-720.91257456164885</v>
      </c>
      <c r="AR38" s="90">
        <f t="shared" si="32"/>
        <v>1.1954999999998108</v>
      </c>
    </row>
    <row r="39" spans="1:49" ht="15.75" x14ac:dyDescent="0.25">
      <c r="A39" t="str">
        <f t="shared" si="13"/>
        <v>46191E</v>
      </c>
      <c r="B39" s="51">
        <f t="shared" si="26"/>
        <v>46191</v>
      </c>
      <c r="C39" s="100" t="s">
        <v>88</v>
      </c>
      <c r="D39" s="91">
        <v>2907</v>
      </c>
      <c r="E39" s="62">
        <v>4.3600000000000003</v>
      </c>
      <c r="F39" s="62">
        <v>8.39</v>
      </c>
      <c r="G39" s="62">
        <f t="shared" si="29"/>
        <v>126.7452</v>
      </c>
      <c r="H39" s="72">
        <f t="shared" si="30"/>
        <v>243.8973</v>
      </c>
      <c r="I39" s="121">
        <v>6972.65</v>
      </c>
      <c r="J39" s="121">
        <v>7181.8294999999998</v>
      </c>
      <c r="K39" s="121">
        <v>3.7623966497673051</v>
      </c>
      <c r="L39" s="121">
        <v>8.1926900102543527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7181.8294999999998</v>
      </c>
      <c r="S39" s="62">
        <f t="shared" si="15"/>
        <v>270.2089125</v>
      </c>
      <c r="T39" s="63">
        <f t="shared" si="16"/>
        <v>588.38502800000015</v>
      </c>
      <c r="U39" s="64" t="s">
        <v>167</v>
      </c>
      <c r="V39" s="65" t="s">
        <v>167</v>
      </c>
      <c r="W39" s="139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142">
        <v>10088</v>
      </c>
      <c r="AI39" s="139">
        <v>3.92</v>
      </c>
      <c r="AJ39" s="139">
        <v>8.26</v>
      </c>
      <c r="AK39" s="62">
        <f t="shared" si="19"/>
        <v>395.44959999999998</v>
      </c>
      <c r="AL39" s="72">
        <f t="shared" si="20"/>
        <v>833.26879999999994</v>
      </c>
      <c r="AM39" s="81">
        <f t="shared" si="21"/>
        <v>0.82949999999982538</v>
      </c>
      <c r="AN39" s="80">
        <f t="shared" si="22"/>
        <v>1.5045125000000326</v>
      </c>
      <c r="AO39" s="80">
        <f t="shared" si="23"/>
        <v>-0.98647199999982149</v>
      </c>
      <c r="AP39" s="115">
        <f t="shared" si="24"/>
        <v>6.0335913819579414E-4</v>
      </c>
      <c r="AQ39" s="116">
        <f t="shared" si="12"/>
        <v>380.16594269506811</v>
      </c>
      <c r="AR39" s="90">
        <f t="shared" si="32"/>
        <v>0.82949999999982538</v>
      </c>
      <c r="AS39" s="90">
        <f>SUM(J26:J39)</f>
        <v>85608.295500000007</v>
      </c>
      <c r="AT39" s="83">
        <f>SUM(AM26:AM39)</f>
        <v>-1835.7045000000016</v>
      </c>
      <c r="AU39" s="83">
        <f>SUM(AN26:AN39)</f>
        <v>-117.0429805000001</v>
      </c>
      <c r="AV39" s="83">
        <f>SUM(AO26:AO39)</f>
        <v>-196.01600650000029</v>
      </c>
      <c r="AW39" s="83">
        <f>-SUM(AQ26:AQ39)</f>
        <v>111204.12802819849</v>
      </c>
    </row>
    <row r="40" spans="1:49" ht="15.75" x14ac:dyDescent="0.25">
      <c r="A40" t="str">
        <f t="shared" si="13"/>
        <v>46192M</v>
      </c>
      <c r="B40" s="51">
        <f t="shared" si="26"/>
        <v>46192</v>
      </c>
      <c r="C40" s="100" t="s">
        <v>87</v>
      </c>
      <c r="D40" s="91"/>
      <c r="E40" s="62"/>
      <c r="F40" s="62"/>
      <c r="G40" s="62">
        <f t="shared" si="29"/>
        <v>0</v>
      </c>
      <c r="H40" s="72">
        <f t="shared" si="30"/>
        <v>0</v>
      </c>
      <c r="I40" s="121"/>
      <c r="J40" s="121"/>
      <c r="K40" s="121"/>
      <c r="L40" s="121"/>
      <c r="M40" s="58"/>
      <c r="N40" s="58"/>
      <c r="O40" s="59"/>
      <c r="P40" s="56"/>
      <c r="Q40" s="60"/>
      <c r="R40" s="61">
        <f t="shared" si="14"/>
        <v>0</v>
      </c>
      <c r="S40" s="62">
        <f t="shared" si="15"/>
        <v>0</v>
      </c>
      <c r="T40" s="63">
        <f t="shared" si="16"/>
        <v>0</v>
      </c>
      <c r="U40" s="64"/>
      <c r="V40" s="65"/>
      <c r="W40" s="105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142"/>
      <c r="AI40" s="139"/>
      <c r="AJ40" s="139"/>
      <c r="AK40" s="62">
        <f t="shared" si="19"/>
        <v>0</v>
      </c>
      <c r="AL40" s="72">
        <f t="shared" si="20"/>
        <v>0</v>
      </c>
      <c r="AM40" s="81">
        <f t="shared" si="21"/>
        <v>0</v>
      </c>
      <c r="AN40" s="80">
        <f t="shared" si="22"/>
        <v>0</v>
      </c>
      <c r="AO40" s="80">
        <f t="shared" si="23"/>
        <v>0</v>
      </c>
      <c r="AP40" s="115" t="e">
        <f t="shared" si="24"/>
        <v>#DIV/0!</v>
      </c>
      <c r="AQ40" s="116">
        <f t="shared" si="12"/>
        <v>0</v>
      </c>
      <c r="AR40" s="90">
        <f t="shared" si="32"/>
        <v>0</v>
      </c>
    </row>
    <row r="41" spans="1:49" ht="15.75" x14ac:dyDescent="0.25">
      <c r="A41" t="str">
        <f t="shared" si="13"/>
        <v>46192E</v>
      </c>
      <c r="B41" s="51">
        <f t="shared" si="26"/>
        <v>46192</v>
      </c>
      <c r="C41" s="100" t="s">
        <v>88</v>
      </c>
      <c r="D41" s="91"/>
      <c r="E41" s="62"/>
      <c r="F41" s="62"/>
      <c r="G41" s="62">
        <f t="shared" si="29"/>
        <v>0</v>
      </c>
      <c r="H41" s="72">
        <f t="shared" si="30"/>
        <v>0</v>
      </c>
      <c r="I41" s="121"/>
      <c r="J41" s="121"/>
      <c r="K41" s="121"/>
      <c r="L41" s="121"/>
      <c r="M41" s="58"/>
      <c r="N41" s="58"/>
      <c r="O41" s="59"/>
      <c r="P41" s="56"/>
      <c r="Q41" s="60"/>
      <c r="R41" s="61">
        <f t="shared" si="14"/>
        <v>0</v>
      </c>
      <c r="S41" s="62">
        <f t="shared" si="15"/>
        <v>0</v>
      </c>
      <c r="T41" s="63">
        <f t="shared" si="16"/>
        <v>0</v>
      </c>
      <c r="U41" s="64"/>
      <c r="V41" s="65"/>
      <c r="W41" s="139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142"/>
      <c r="AI41" s="139"/>
      <c r="AJ41" s="139"/>
      <c r="AK41" s="62">
        <f t="shared" si="19"/>
        <v>0</v>
      </c>
      <c r="AL41" s="72">
        <f t="shared" si="20"/>
        <v>0</v>
      </c>
      <c r="AM41" s="81">
        <f t="shared" si="21"/>
        <v>0</v>
      </c>
      <c r="AN41" s="80">
        <f t="shared" si="22"/>
        <v>0</v>
      </c>
      <c r="AO41" s="80">
        <f t="shared" si="23"/>
        <v>0</v>
      </c>
      <c r="AP41" s="115" t="e">
        <f t="shared" si="24"/>
        <v>#DIV/0!</v>
      </c>
      <c r="AQ41" s="116">
        <f t="shared" si="12"/>
        <v>0</v>
      </c>
      <c r="AR41" s="90">
        <f t="shared" si="32"/>
        <v>0</v>
      </c>
      <c r="AS41" s="90">
        <f>SUM(J28:J41)</f>
        <v>75710.407500000001</v>
      </c>
      <c r="AT41" s="83">
        <f>SUM(AM28:AM41)</f>
        <v>159.40749999999935</v>
      </c>
      <c r="AU41" s="83">
        <f>SUM(AN28:AN41)</f>
        <v>-34.447474000000042</v>
      </c>
      <c r="AV41" s="83">
        <f>SUM(AO28:AO41)</f>
        <v>-21.160749500000108</v>
      </c>
      <c r="AW41" s="83">
        <f>-SUM(AQ28:AQ41)</f>
        <v>21796.663592036723</v>
      </c>
    </row>
    <row r="42" spans="1:49" ht="15.75" x14ac:dyDescent="0.25">
      <c r="A42" t="str">
        <f t="shared" si="13"/>
        <v>46193M</v>
      </c>
      <c r="B42" s="51">
        <f t="shared" si="26"/>
        <v>46193</v>
      </c>
      <c r="C42" s="100" t="s">
        <v>87</v>
      </c>
      <c r="D42" s="91"/>
      <c r="E42" s="62"/>
      <c r="F42" s="62"/>
      <c r="G42" s="62">
        <f t="shared" si="29"/>
        <v>0</v>
      </c>
      <c r="H42" s="72">
        <f t="shared" si="30"/>
        <v>0</v>
      </c>
      <c r="I42" s="121"/>
      <c r="J42" s="121"/>
      <c r="K42" s="121"/>
      <c r="L42" s="121"/>
      <c r="M42" s="58"/>
      <c r="N42" s="58"/>
      <c r="O42" s="59"/>
      <c r="P42" s="56"/>
      <c r="Q42" s="60"/>
      <c r="R42" s="61">
        <f t="shared" si="14"/>
        <v>0</v>
      </c>
      <c r="S42" s="62">
        <f t="shared" si="15"/>
        <v>0</v>
      </c>
      <c r="T42" s="63">
        <f t="shared" si="16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142"/>
      <c r="AI42" s="139"/>
      <c r="AJ42" s="139"/>
      <c r="AK42" s="62">
        <f t="shared" si="19"/>
        <v>0</v>
      </c>
      <c r="AL42" s="72">
        <f t="shared" si="20"/>
        <v>0</v>
      </c>
      <c r="AM42" s="81">
        <f t="shared" si="21"/>
        <v>0</v>
      </c>
      <c r="AN42" s="80">
        <f t="shared" si="22"/>
        <v>0</v>
      </c>
      <c r="AO42" s="80">
        <f t="shared" si="23"/>
        <v>0</v>
      </c>
      <c r="AP42" s="115" t="e">
        <f t="shared" si="24"/>
        <v>#DIV/0!</v>
      </c>
      <c r="AQ42" s="116">
        <f t="shared" si="12"/>
        <v>0</v>
      </c>
      <c r="AR42" s="90">
        <f t="shared" si="32"/>
        <v>0</v>
      </c>
    </row>
    <row r="43" spans="1:49" ht="15.75" x14ac:dyDescent="0.25">
      <c r="A43" t="str">
        <f t="shared" si="13"/>
        <v>46193E</v>
      </c>
      <c r="B43" s="51">
        <f t="shared" si="26"/>
        <v>46193</v>
      </c>
      <c r="C43" s="100" t="s">
        <v>88</v>
      </c>
      <c r="D43" s="91"/>
      <c r="E43" s="62"/>
      <c r="F43" s="62"/>
      <c r="G43" s="62">
        <f t="shared" si="29"/>
        <v>0</v>
      </c>
      <c r="H43" s="72">
        <f t="shared" si="30"/>
        <v>0</v>
      </c>
      <c r="I43" s="121"/>
      <c r="J43" s="121"/>
      <c r="K43" s="121"/>
      <c r="L43" s="121"/>
      <c r="M43" s="58"/>
      <c r="N43" s="58"/>
      <c r="O43" s="59"/>
      <c r="P43" s="56"/>
      <c r="Q43" s="60"/>
      <c r="R43" s="61">
        <f t="shared" si="14"/>
        <v>0</v>
      </c>
      <c r="S43" s="62">
        <f t="shared" si="15"/>
        <v>0</v>
      </c>
      <c r="T43" s="63">
        <f t="shared" si="16"/>
        <v>0</v>
      </c>
      <c r="U43" s="64"/>
      <c r="V43" s="65"/>
      <c r="W43" s="139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142"/>
      <c r="AI43" s="139"/>
      <c r="AJ43" s="139"/>
      <c r="AK43" s="62">
        <f t="shared" si="19"/>
        <v>0</v>
      </c>
      <c r="AL43" s="72">
        <f t="shared" si="20"/>
        <v>0</v>
      </c>
      <c r="AM43" s="81">
        <f t="shared" si="21"/>
        <v>0</v>
      </c>
      <c r="AN43" s="80">
        <f t="shared" si="22"/>
        <v>0</v>
      </c>
      <c r="AO43" s="80">
        <f t="shared" si="23"/>
        <v>0</v>
      </c>
      <c r="AP43" s="115" t="e">
        <f t="shared" si="24"/>
        <v>#DIV/0!</v>
      </c>
      <c r="AQ43" s="116">
        <f t="shared" si="12"/>
        <v>0</v>
      </c>
      <c r="AR43" s="90">
        <f t="shared" si="32"/>
        <v>0</v>
      </c>
    </row>
    <row r="44" spans="1:49" ht="15.75" x14ac:dyDescent="0.25">
      <c r="A44" t="str">
        <f t="shared" si="13"/>
        <v>46194M</v>
      </c>
      <c r="B44" s="51">
        <f t="shared" si="26"/>
        <v>46194</v>
      </c>
      <c r="C44" s="100" t="s">
        <v>87</v>
      </c>
      <c r="D44" s="91"/>
      <c r="E44" s="62"/>
      <c r="F44" s="62"/>
      <c r="G44" s="62">
        <f t="shared" si="29"/>
        <v>0</v>
      </c>
      <c r="H44" s="72">
        <f t="shared" si="30"/>
        <v>0</v>
      </c>
      <c r="I44" s="121"/>
      <c r="J44" s="121"/>
      <c r="K44" s="121"/>
      <c r="L44" s="121"/>
      <c r="M44" s="58"/>
      <c r="N44" s="58"/>
      <c r="O44" s="59"/>
      <c r="P44" s="56"/>
      <c r="Q44" s="60"/>
      <c r="R44" s="61">
        <f t="shared" si="14"/>
        <v>0</v>
      </c>
      <c r="S44" s="62">
        <f t="shared" si="15"/>
        <v>0</v>
      </c>
      <c r="T44" s="63">
        <f t="shared" si="16"/>
        <v>0</v>
      </c>
      <c r="U44" s="64"/>
      <c r="V44" s="65"/>
      <c r="W44" s="139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142"/>
      <c r="AI44" s="139"/>
      <c r="AJ44" s="139"/>
      <c r="AK44" s="62">
        <f t="shared" si="19"/>
        <v>0</v>
      </c>
      <c r="AL44" s="72">
        <f t="shared" si="20"/>
        <v>0</v>
      </c>
      <c r="AM44" s="81">
        <f t="shared" si="21"/>
        <v>0</v>
      </c>
      <c r="AN44" s="80">
        <f t="shared" si="22"/>
        <v>0</v>
      </c>
      <c r="AO44" s="80">
        <f t="shared" si="23"/>
        <v>0</v>
      </c>
      <c r="AP44" s="115" t="e">
        <f t="shared" si="24"/>
        <v>#DIV/0!</v>
      </c>
      <c r="AQ44" s="116">
        <f t="shared" si="12"/>
        <v>0</v>
      </c>
      <c r="AR44" s="90">
        <f t="shared" si="28"/>
        <v>0</v>
      </c>
    </row>
    <row r="45" spans="1:49" ht="15.75" x14ac:dyDescent="0.25">
      <c r="A45" t="str">
        <f t="shared" si="13"/>
        <v>46194E</v>
      </c>
      <c r="B45" s="51">
        <f t="shared" si="26"/>
        <v>46194</v>
      </c>
      <c r="C45" s="100" t="s">
        <v>88</v>
      </c>
      <c r="D45" s="91"/>
      <c r="E45" s="62"/>
      <c r="F45" s="62"/>
      <c r="G45" s="62">
        <f t="shared" si="29"/>
        <v>0</v>
      </c>
      <c r="H45" s="72">
        <f t="shared" si="30"/>
        <v>0</v>
      </c>
      <c r="I45" s="121"/>
      <c r="J45" s="121"/>
      <c r="K45" s="121"/>
      <c r="L45" s="121"/>
      <c r="M45" s="58"/>
      <c r="N45" s="58"/>
      <c r="O45" s="59"/>
      <c r="P45" s="56"/>
      <c r="Q45" s="60"/>
      <c r="R45" s="61">
        <f t="shared" si="14"/>
        <v>0</v>
      </c>
      <c r="S45" s="62">
        <f t="shared" si="15"/>
        <v>0</v>
      </c>
      <c r="T45" s="63">
        <f t="shared" si="16"/>
        <v>0</v>
      </c>
      <c r="U45" s="64"/>
      <c r="V45" s="65"/>
      <c r="W45" s="139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142"/>
      <c r="AI45" s="139"/>
      <c r="AJ45" s="139"/>
      <c r="AK45" s="62">
        <f t="shared" si="19"/>
        <v>0</v>
      </c>
      <c r="AL45" s="72">
        <f t="shared" si="20"/>
        <v>0</v>
      </c>
      <c r="AM45" s="81">
        <f t="shared" si="21"/>
        <v>0</v>
      </c>
      <c r="AN45" s="80">
        <f t="shared" si="22"/>
        <v>0</v>
      </c>
      <c r="AO45" s="80">
        <f t="shared" si="23"/>
        <v>0</v>
      </c>
      <c r="AP45" s="115" t="e">
        <f t="shared" si="24"/>
        <v>#DIV/0!</v>
      </c>
      <c r="AQ45" s="116">
        <f t="shared" si="12"/>
        <v>0</v>
      </c>
      <c r="AR45" s="90">
        <f t="shared" si="28"/>
        <v>0</v>
      </c>
    </row>
    <row r="46" spans="1:49" ht="15.75" x14ac:dyDescent="0.25">
      <c r="A46" t="str">
        <f t="shared" si="13"/>
        <v>46195M</v>
      </c>
      <c r="B46" s="51">
        <f t="shared" si="26"/>
        <v>46195</v>
      </c>
      <c r="C46" s="100" t="s">
        <v>87</v>
      </c>
      <c r="D46" s="91"/>
      <c r="E46" s="62"/>
      <c r="F46" s="62"/>
      <c r="G46" s="62">
        <f t="shared" si="29"/>
        <v>0</v>
      </c>
      <c r="H46" s="72">
        <f t="shared" si="30"/>
        <v>0</v>
      </c>
      <c r="I46" s="121"/>
      <c r="J46" s="121"/>
      <c r="K46" s="121"/>
      <c r="L46" s="121"/>
      <c r="M46" s="58"/>
      <c r="N46" s="58"/>
      <c r="O46" s="59"/>
      <c r="P46" s="56"/>
      <c r="Q46" s="60"/>
      <c r="R46" s="61">
        <f t="shared" si="14"/>
        <v>0</v>
      </c>
      <c r="S46" s="62">
        <f t="shared" si="15"/>
        <v>0</v>
      </c>
      <c r="T46" s="63">
        <f t="shared" si="16"/>
        <v>0</v>
      </c>
      <c r="U46" s="64"/>
      <c r="V46" s="65"/>
      <c r="W46" s="139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142"/>
      <c r="AI46" s="139"/>
      <c r="AJ46" s="139"/>
      <c r="AK46" s="62">
        <f t="shared" si="19"/>
        <v>0</v>
      </c>
      <c r="AL46" s="72">
        <f t="shared" si="20"/>
        <v>0</v>
      </c>
      <c r="AM46" s="81">
        <f t="shared" si="21"/>
        <v>0</v>
      </c>
      <c r="AN46" s="80">
        <f t="shared" si="22"/>
        <v>0</v>
      </c>
      <c r="AO46" s="80">
        <f t="shared" si="23"/>
        <v>0</v>
      </c>
      <c r="AP46" s="115" t="e">
        <f t="shared" si="24"/>
        <v>#DIV/0!</v>
      </c>
      <c r="AQ46" s="116">
        <f t="shared" si="12"/>
        <v>0</v>
      </c>
      <c r="AR46" s="90">
        <f t="shared" si="28"/>
        <v>0</v>
      </c>
    </row>
    <row r="47" spans="1:49" ht="15.75" x14ac:dyDescent="0.25">
      <c r="A47" t="str">
        <f t="shared" si="13"/>
        <v>46195E</v>
      </c>
      <c r="B47" s="51">
        <f t="shared" si="26"/>
        <v>46195</v>
      </c>
      <c r="C47" s="100" t="s">
        <v>88</v>
      </c>
      <c r="D47" s="91"/>
      <c r="E47" s="62"/>
      <c r="F47" s="62"/>
      <c r="G47" s="62">
        <f t="shared" si="29"/>
        <v>0</v>
      </c>
      <c r="H47" s="72">
        <f t="shared" si="30"/>
        <v>0</v>
      </c>
      <c r="I47" s="121"/>
      <c r="J47" s="121"/>
      <c r="K47" s="121"/>
      <c r="L47" s="121"/>
      <c r="M47" s="58"/>
      <c r="N47" s="58"/>
      <c r="O47" s="59"/>
      <c r="P47" s="56"/>
      <c r="Q47" s="60"/>
      <c r="R47" s="61">
        <f t="shared" si="14"/>
        <v>0</v>
      </c>
      <c r="S47" s="62">
        <f t="shared" si="15"/>
        <v>0</v>
      </c>
      <c r="T47" s="63">
        <f t="shared" si="16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142"/>
      <c r="AI47" s="139"/>
      <c r="AJ47" s="139"/>
      <c r="AK47" s="62">
        <f t="shared" si="19"/>
        <v>0</v>
      </c>
      <c r="AL47" s="72">
        <f t="shared" si="20"/>
        <v>0</v>
      </c>
      <c r="AM47" s="81">
        <f t="shared" si="21"/>
        <v>0</v>
      </c>
      <c r="AN47" s="80">
        <f t="shared" si="22"/>
        <v>0</v>
      </c>
      <c r="AO47" s="80">
        <f t="shared" si="23"/>
        <v>0</v>
      </c>
      <c r="AP47" s="115" t="e">
        <f t="shared" si="24"/>
        <v>#DIV/0!</v>
      </c>
      <c r="AQ47" s="116">
        <f t="shared" si="12"/>
        <v>0</v>
      </c>
      <c r="AR47" s="90">
        <f t="shared" si="28"/>
        <v>0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46196M</v>
      </c>
      <c r="B48" s="51">
        <f t="shared" si="26"/>
        <v>46196</v>
      </c>
      <c r="C48" s="100" t="s">
        <v>87</v>
      </c>
      <c r="D48" s="106"/>
      <c r="E48" s="107"/>
      <c r="F48" s="107"/>
      <c r="G48" s="62">
        <f t="shared" ref="G48:G51" si="33">+D48*E48%</f>
        <v>0</v>
      </c>
      <c r="H48" s="72">
        <f t="shared" ref="H48:H51" si="34">+D48*F48%</f>
        <v>0</v>
      </c>
      <c r="I48" s="121"/>
      <c r="J48" s="121"/>
      <c r="K48" s="121"/>
      <c r="L48" s="121"/>
      <c r="M48" s="58"/>
      <c r="N48" s="58"/>
      <c r="O48" s="59"/>
      <c r="P48" s="56"/>
      <c r="Q48" s="60"/>
      <c r="R48" s="61">
        <f t="shared" si="14"/>
        <v>0</v>
      </c>
      <c r="S48" s="62">
        <f t="shared" si="15"/>
        <v>0</v>
      </c>
      <c r="T48" s="63">
        <f t="shared" si="16"/>
        <v>0</v>
      </c>
      <c r="U48" s="103"/>
      <c r="V48" s="85"/>
      <c r="W48" s="105"/>
      <c r="X48" s="113"/>
      <c r="Y48" s="114"/>
      <c r="Z48" s="114"/>
      <c r="AA48" s="62">
        <f t="shared" ref="AA48:AA51" si="35">X48*Y48%</f>
        <v>0</v>
      </c>
      <c r="AB48" s="63">
        <f t="shared" ref="AB48:AB51" si="36">X48*Z48%</f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142"/>
      <c r="AI48" s="139"/>
      <c r="AJ48" s="139"/>
      <c r="AK48" s="62">
        <f t="shared" si="19"/>
        <v>0</v>
      </c>
      <c r="AL48" s="72">
        <f t="shared" si="20"/>
        <v>0</v>
      </c>
      <c r="AM48" s="81">
        <f t="shared" si="21"/>
        <v>0</v>
      </c>
      <c r="AN48" s="80">
        <f t="shared" si="22"/>
        <v>0</v>
      </c>
      <c r="AO48" s="80">
        <f t="shared" si="23"/>
        <v>0</v>
      </c>
      <c r="AP48" s="115" t="e">
        <f t="shared" si="24"/>
        <v>#DIV/0!</v>
      </c>
      <c r="AQ48" s="116">
        <f t="shared" si="12"/>
        <v>0</v>
      </c>
      <c r="AR48" s="90">
        <f t="shared" si="28"/>
        <v>0</v>
      </c>
    </row>
    <row r="49" spans="1:49" ht="15.75" x14ac:dyDescent="0.25">
      <c r="A49" t="str">
        <f t="shared" si="13"/>
        <v>46196E</v>
      </c>
      <c r="B49" s="51">
        <f t="shared" si="26"/>
        <v>46196</v>
      </c>
      <c r="C49" s="100" t="s">
        <v>88</v>
      </c>
      <c r="D49" s="106"/>
      <c r="E49" s="107"/>
      <c r="F49" s="107"/>
      <c r="G49" s="62">
        <f t="shared" si="33"/>
        <v>0</v>
      </c>
      <c r="H49" s="72">
        <f t="shared" si="34"/>
        <v>0</v>
      </c>
      <c r="I49" s="121"/>
      <c r="J49" s="121"/>
      <c r="K49" s="121"/>
      <c r="L49" s="121"/>
      <c r="M49" s="58"/>
      <c r="N49" s="58"/>
      <c r="O49" s="59"/>
      <c r="P49" s="56"/>
      <c r="Q49" s="60"/>
      <c r="R49" s="61">
        <f t="shared" si="14"/>
        <v>0</v>
      </c>
      <c r="S49" s="62">
        <f t="shared" si="15"/>
        <v>0</v>
      </c>
      <c r="T49" s="63">
        <f t="shared" si="16"/>
        <v>0</v>
      </c>
      <c r="U49" s="103"/>
      <c r="V49" s="104"/>
      <c r="W49" s="105"/>
      <c r="X49" s="113"/>
      <c r="Y49" s="114"/>
      <c r="Z49" s="114"/>
      <c r="AA49" s="62">
        <f t="shared" si="35"/>
        <v>0</v>
      </c>
      <c r="AB49" s="63">
        <f t="shared" si="3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142"/>
      <c r="AI49" s="139"/>
      <c r="AJ49" s="139"/>
      <c r="AK49" s="62">
        <f t="shared" si="19"/>
        <v>0</v>
      </c>
      <c r="AL49" s="72">
        <f t="shared" si="20"/>
        <v>0</v>
      </c>
      <c r="AM49" s="81">
        <f t="shared" si="21"/>
        <v>0</v>
      </c>
      <c r="AN49" s="80">
        <f t="shared" si="22"/>
        <v>0</v>
      </c>
      <c r="AO49" s="80">
        <f t="shared" si="23"/>
        <v>0</v>
      </c>
      <c r="AP49" s="115" t="e">
        <f t="shared" si="24"/>
        <v>#DIV/0!</v>
      </c>
      <c r="AQ49" s="116">
        <f t="shared" si="12"/>
        <v>0</v>
      </c>
      <c r="AR49" s="90">
        <f t="shared" si="28"/>
        <v>0</v>
      </c>
    </row>
    <row r="50" spans="1:49" ht="15.75" x14ac:dyDescent="0.25">
      <c r="A50" t="str">
        <f t="shared" si="13"/>
        <v>46197M</v>
      </c>
      <c r="B50" s="51">
        <f t="shared" si="26"/>
        <v>46197</v>
      </c>
      <c r="C50" s="100" t="s">
        <v>87</v>
      </c>
      <c r="D50" s="91"/>
      <c r="E50" s="62"/>
      <c r="F50" s="62"/>
      <c r="G50" s="62">
        <f t="shared" si="33"/>
        <v>0</v>
      </c>
      <c r="H50" s="72">
        <f t="shared" si="34"/>
        <v>0</v>
      </c>
      <c r="I50" s="121"/>
      <c r="J50" s="121"/>
      <c r="K50" s="121"/>
      <c r="L50" s="121"/>
      <c r="M50" s="58"/>
      <c r="N50" s="58"/>
      <c r="O50" s="59"/>
      <c r="P50" s="56"/>
      <c r="Q50" s="60"/>
      <c r="R50" s="61">
        <f t="shared" si="14"/>
        <v>0</v>
      </c>
      <c r="S50" s="62">
        <f t="shared" si="15"/>
        <v>0</v>
      </c>
      <c r="T50" s="63">
        <f t="shared" si="16"/>
        <v>0</v>
      </c>
      <c r="U50" s="64"/>
      <c r="V50" s="65"/>
      <c r="W50" s="66"/>
      <c r="X50" s="67"/>
      <c r="Y50" s="68"/>
      <c r="Z50" s="68"/>
      <c r="AA50" s="62">
        <f t="shared" si="35"/>
        <v>0</v>
      </c>
      <c r="AB50" s="63">
        <f t="shared" si="3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142"/>
      <c r="AI50" s="139"/>
      <c r="AJ50" s="139"/>
      <c r="AK50" s="62">
        <f t="shared" si="19"/>
        <v>0</v>
      </c>
      <c r="AL50" s="72">
        <f t="shared" si="20"/>
        <v>0</v>
      </c>
      <c r="AM50" s="81">
        <f t="shared" si="21"/>
        <v>0</v>
      </c>
      <c r="AN50" s="80">
        <f t="shared" si="22"/>
        <v>0</v>
      </c>
      <c r="AO50" s="80">
        <f t="shared" si="23"/>
        <v>0</v>
      </c>
      <c r="AP50" s="115" t="e">
        <f t="shared" si="24"/>
        <v>#DIV/0!</v>
      </c>
      <c r="AQ50" s="116">
        <f t="shared" si="12"/>
        <v>0</v>
      </c>
      <c r="AR50" s="90">
        <f t="shared" ref="AR50:AR55" si="37">(D50+J50+O50)-(X50+AH50)</f>
        <v>0</v>
      </c>
    </row>
    <row r="51" spans="1:49" ht="15.75" x14ac:dyDescent="0.25">
      <c r="A51" t="str">
        <f t="shared" si="13"/>
        <v>46197E</v>
      </c>
      <c r="B51" s="51">
        <f t="shared" si="26"/>
        <v>46197</v>
      </c>
      <c r="C51" s="100" t="s">
        <v>88</v>
      </c>
      <c r="D51" s="91"/>
      <c r="E51" s="62"/>
      <c r="F51" s="62"/>
      <c r="G51" s="62">
        <f t="shared" si="33"/>
        <v>0</v>
      </c>
      <c r="H51" s="72">
        <f t="shared" si="34"/>
        <v>0</v>
      </c>
      <c r="I51" s="121"/>
      <c r="J51" s="121"/>
      <c r="K51" s="121"/>
      <c r="L51" s="121"/>
      <c r="M51" s="58"/>
      <c r="N51" s="58"/>
      <c r="O51" s="59"/>
      <c r="P51" s="56"/>
      <c r="Q51" s="60"/>
      <c r="R51" s="61">
        <f t="shared" si="14"/>
        <v>0</v>
      </c>
      <c r="S51" s="62">
        <f t="shared" si="15"/>
        <v>0</v>
      </c>
      <c r="T51" s="63">
        <f t="shared" si="16"/>
        <v>0</v>
      </c>
      <c r="U51" s="64"/>
      <c r="V51" s="85"/>
      <c r="W51" s="66"/>
      <c r="X51" s="67"/>
      <c r="Y51" s="68"/>
      <c r="Z51" s="68"/>
      <c r="AA51" s="62">
        <f t="shared" si="35"/>
        <v>0</v>
      </c>
      <c r="AB51" s="63">
        <f t="shared" si="3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142"/>
      <c r="AI51" s="139"/>
      <c r="AJ51" s="139"/>
      <c r="AK51" s="62">
        <f t="shared" si="19"/>
        <v>0</v>
      </c>
      <c r="AL51" s="72">
        <f t="shared" si="20"/>
        <v>0</v>
      </c>
      <c r="AM51" s="81">
        <f t="shared" si="21"/>
        <v>0</v>
      </c>
      <c r="AN51" s="80">
        <f t="shared" si="22"/>
        <v>0</v>
      </c>
      <c r="AO51" s="80">
        <f t="shared" si="23"/>
        <v>0</v>
      </c>
      <c r="AP51" s="115" t="e">
        <f t="shared" si="24"/>
        <v>#DIV/0!</v>
      </c>
      <c r="AQ51" s="116">
        <f t="shared" si="12"/>
        <v>0</v>
      </c>
      <c r="AR51" s="90">
        <f t="shared" si="37"/>
        <v>0</v>
      </c>
    </row>
    <row r="52" spans="1:49" ht="15.75" x14ac:dyDescent="0.25">
      <c r="A52" t="str">
        <f t="shared" si="13"/>
        <v>46198M</v>
      </c>
      <c r="B52" s="51">
        <f t="shared" si="26"/>
        <v>46198</v>
      </c>
      <c r="C52" s="100" t="s">
        <v>87</v>
      </c>
      <c r="D52" s="91"/>
      <c r="E52" s="62"/>
      <c r="F52" s="62"/>
      <c r="G52" s="62">
        <f t="shared" ref="G52:G65" si="38">+D52*E52%</f>
        <v>0</v>
      </c>
      <c r="H52" s="72">
        <f t="shared" ref="H52:H65" si="39">+D52*F52%</f>
        <v>0</v>
      </c>
      <c r="I52" s="121"/>
      <c r="J52" s="121"/>
      <c r="K52" s="121"/>
      <c r="L52" s="121"/>
      <c r="M52" s="58"/>
      <c r="N52" s="58"/>
      <c r="O52" s="59"/>
      <c r="P52" s="56"/>
      <c r="Q52" s="60"/>
      <c r="R52" s="61">
        <f t="shared" si="14"/>
        <v>0</v>
      </c>
      <c r="S52" s="62">
        <f t="shared" si="15"/>
        <v>0</v>
      </c>
      <c r="T52" s="63">
        <f t="shared" si="16"/>
        <v>0</v>
      </c>
      <c r="U52" s="64"/>
      <c r="V52" s="65"/>
      <c r="W52" s="66"/>
      <c r="X52" s="67"/>
      <c r="Y52" s="68"/>
      <c r="Z52" s="68"/>
      <c r="AA52" s="62">
        <f t="shared" ref="AA52:AA65" si="40">X52*Y52%</f>
        <v>0</v>
      </c>
      <c r="AB52" s="63">
        <f t="shared" ref="AB52:AB65" si="41">X52*Z52%</f>
        <v>0</v>
      </c>
      <c r="AC52" s="69"/>
      <c r="AD52" s="70"/>
      <c r="AE52" s="70"/>
      <c r="AF52" s="62">
        <f t="shared" si="17"/>
        <v>0</v>
      </c>
      <c r="AG52" s="63">
        <f t="shared" si="18"/>
        <v>0</v>
      </c>
      <c r="AH52" s="142"/>
      <c r="AI52" s="139"/>
      <c r="AJ52" s="139"/>
      <c r="AK52" s="62">
        <f t="shared" si="19"/>
        <v>0</v>
      </c>
      <c r="AL52" s="72">
        <f t="shared" si="20"/>
        <v>0</v>
      </c>
      <c r="AM52" s="81">
        <f t="shared" si="21"/>
        <v>0</v>
      </c>
      <c r="AN52" s="80">
        <f t="shared" si="22"/>
        <v>0</v>
      </c>
      <c r="AO52" s="80">
        <f t="shared" si="23"/>
        <v>0</v>
      </c>
      <c r="AP52" s="115" t="e">
        <f t="shared" si="24"/>
        <v>#DIV/0!</v>
      </c>
      <c r="AQ52" s="116">
        <f t="shared" si="12"/>
        <v>0</v>
      </c>
      <c r="AR52" s="90">
        <f t="shared" si="37"/>
        <v>0</v>
      </c>
    </row>
    <row r="53" spans="1:49" ht="15.75" x14ac:dyDescent="0.25">
      <c r="A53" t="str">
        <f t="shared" si="13"/>
        <v>46198E</v>
      </c>
      <c r="B53" s="51">
        <f t="shared" si="26"/>
        <v>46198</v>
      </c>
      <c r="C53" s="100" t="s">
        <v>88</v>
      </c>
      <c r="D53" s="91"/>
      <c r="E53" s="62"/>
      <c r="F53" s="62"/>
      <c r="G53" s="62">
        <f t="shared" si="38"/>
        <v>0</v>
      </c>
      <c r="H53" s="72">
        <f t="shared" si="39"/>
        <v>0</v>
      </c>
      <c r="I53" s="121"/>
      <c r="J53" s="121"/>
      <c r="K53" s="121"/>
      <c r="L53" s="121"/>
      <c r="M53" s="58"/>
      <c r="N53" s="58"/>
      <c r="O53" s="59"/>
      <c r="P53" s="56"/>
      <c r="Q53" s="60"/>
      <c r="R53" s="61">
        <f t="shared" si="14"/>
        <v>0</v>
      </c>
      <c r="S53" s="62">
        <f t="shared" si="15"/>
        <v>0</v>
      </c>
      <c r="T53" s="63">
        <f t="shared" si="16"/>
        <v>0</v>
      </c>
      <c r="U53" s="64"/>
      <c r="V53" s="65"/>
      <c r="W53" s="66"/>
      <c r="X53" s="67"/>
      <c r="Y53" s="68"/>
      <c r="Z53" s="68"/>
      <c r="AA53" s="62">
        <f t="shared" si="40"/>
        <v>0</v>
      </c>
      <c r="AB53" s="63">
        <f t="shared" si="41"/>
        <v>0</v>
      </c>
      <c r="AC53" s="69"/>
      <c r="AD53" s="70"/>
      <c r="AE53" s="70"/>
      <c r="AF53" s="62">
        <f t="shared" si="17"/>
        <v>0</v>
      </c>
      <c r="AG53" s="63">
        <f t="shared" si="18"/>
        <v>0</v>
      </c>
      <c r="AH53" s="142"/>
      <c r="AI53" s="139"/>
      <c r="AJ53" s="139"/>
      <c r="AK53" s="62">
        <f t="shared" si="19"/>
        <v>0</v>
      </c>
      <c r="AL53" s="72">
        <f t="shared" si="20"/>
        <v>0</v>
      </c>
      <c r="AM53" s="81">
        <f t="shared" si="21"/>
        <v>0</v>
      </c>
      <c r="AN53" s="80">
        <f t="shared" si="22"/>
        <v>0</v>
      </c>
      <c r="AO53" s="80">
        <f t="shared" si="23"/>
        <v>0</v>
      </c>
      <c r="AP53" s="115" t="e">
        <f t="shared" si="24"/>
        <v>#DIV/0!</v>
      </c>
      <c r="AQ53" s="116">
        <f t="shared" si="12"/>
        <v>0</v>
      </c>
      <c r="AR53" s="90">
        <f t="shared" si="37"/>
        <v>0</v>
      </c>
    </row>
    <row r="54" spans="1:49" ht="15.75" x14ac:dyDescent="0.25">
      <c r="A54" t="str">
        <f t="shared" si="13"/>
        <v>46199M</v>
      </c>
      <c r="B54" s="51">
        <f t="shared" si="26"/>
        <v>46199</v>
      </c>
      <c r="C54" s="100" t="s">
        <v>87</v>
      </c>
      <c r="D54" s="91"/>
      <c r="E54" s="62"/>
      <c r="F54" s="62"/>
      <c r="G54" s="62">
        <f t="shared" si="38"/>
        <v>0</v>
      </c>
      <c r="H54" s="72">
        <f t="shared" si="39"/>
        <v>0</v>
      </c>
      <c r="I54" s="121"/>
      <c r="J54" s="121"/>
      <c r="K54" s="121"/>
      <c r="L54" s="121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105"/>
      <c r="X54" s="67"/>
      <c r="Y54" s="68"/>
      <c r="Z54" s="68"/>
      <c r="AA54" s="62">
        <f t="shared" si="40"/>
        <v>0</v>
      </c>
      <c r="AB54" s="63">
        <f t="shared" si="41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142"/>
      <c r="AI54" s="139"/>
      <c r="AJ54" s="139"/>
      <c r="AK54" s="62">
        <f t="shared" si="19"/>
        <v>0</v>
      </c>
      <c r="AL54" s="72">
        <f t="shared" si="20"/>
        <v>0</v>
      </c>
      <c r="AM54" s="81">
        <f t="shared" si="21"/>
        <v>0</v>
      </c>
      <c r="AN54" s="80">
        <f t="shared" si="22"/>
        <v>0</v>
      </c>
      <c r="AO54" s="80">
        <f t="shared" si="23"/>
        <v>0</v>
      </c>
      <c r="AP54" s="115" t="e">
        <f t="shared" si="24"/>
        <v>#DIV/0!</v>
      </c>
      <c r="AQ54" s="116">
        <f t="shared" si="12"/>
        <v>0</v>
      </c>
      <c r="AR54" s="90">
        <f t="shared" si="37"/>
        <v>0</v>
      </c>
    </row>
    <row r="55" spans="1:49" ht="15.75" x14ac:dyDescent="0.25">
      <c r="A55" t="str">
        <f t="shared" si="13"/>
        <v>46199E</v>
      </c>
      <c r="B55" s="51">
        <f t="shared" si="26"/>
        <v>46199</v>
      </c>
      <c r="C55" s="100" t="s">
        <v>88</v>
      </c>
      <c r="D55" s="91"/>
      <c r="E55" s="62"/>
      <c r="F55" s="62"/>
      <c r="G55" s="62">
        <f t="shared" si="38"/>
        <v>0</v>
      </c>
      <c r="H55" s="72">
        <f t="shared" si="39"/>
        <v>0</v>
      </c>
      <c r="I55" s="121"/>
      <c r="J55" s="121"/>
      <c r="K55" s="121"/>
      <c r="L55" s="121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105"/>
      <c r="X55" s="67"/>
      <c r="Y55" s="68"/>
      <c r="Z55" s="68"/>
      <c r="AA55" s="62">
        <f t="shared" si="40"/>
        <v>0</v>
      </c>
      <c r="AB55" s="63">
        <f t="shared" si="41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142"/>
      <c r="AI55" s="139"/>
      <c r="AJ55" s="139"/>
      <c r="AK55" s="62">
        <f t="shared" si="19"/>
        <v>0</v>
      </c>
      <c r="AL55" s="72">
        <f t="shared" si="20"/>
        <v>0</v>
      </c>
      <c r="AM55" s="81">
        <f t="shared" si="21"/>
        <v>0</v>
      </c>
      <c r="AN55" s="80">
        <f t="shared" si="22"/>
        <v>0</v>
      </c>
      <c r="AO55" s="80">
        <f t="shared" si="23"/>
        <v>0</v>
      </c>
      <c r="AP55" s="115" t="e">
        <f t="shared" si="24"/>
        <v>#DIV/0!</v>
      </c>
      <c r="AQ55" s="116">
        <f t="shared" si="12"/>
        <v>0</v>
      </c>
      <c r="AR55" s="90">
        <f t="shared" si="37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ht="15.75" x14ac:dyDescent="0.25">
      <c r="A56" t="str">
        <f t="shared" si="13"/>
        <v>46200M</v>
      </c>
      <c r="B56" s="51">
        <f t="shared" si="26"/>
        <v>46200</v>
      </c>
      <c r="C56" s="100" t="s">
        <v>87</v>
      </c>
      <c r="D56" s="91"/>
      <c r="E56" s="62"/>
      <c r="F56" s="62"/>
      <c r="G56" s="62">
        <f t="shared" si="38"/>
        <v>0</v>
      </c>
      <c r="H56" s="72">
        <f t="shared" si="39"/>
        <v>0</v>
      </c>
      <c r="I56" s="121"/>
      <c r="J56" s="121"/>
      <c r="K56" s="121"/>
      <c r="L56" s="121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40"/>
        <v>0</v>
      </c>
      <c r="AB56" s="63">
        <f t="shared" si="41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142"/>
      <c r="AI56" s="139"/>
      <c r="AJ56" s="139"/>
      <c r="AK56" s="62">
        <f t="shared" si="19"/>
        <v>0</v>
      </c>
      <c r="AL56" s="72">
        <f t="shared" si="20"/>
        <v>0</v>
      </c>
      <c r="AM56" s="81">
        <f t="shared" si="21"/>
        <v>0</v>
      </c>
      <c r="AN56" s="80">
        <f t="shared" si="22"/>
        <v>0</v>
      </c>
      <c r="AO56" s="80">
        <f t="shared" si="23"/>
        <v>0</v>
      </c>
      <c r="AP56" s="115" t="e">
        <f t="shared" si="24"/>
        <v>#DIV/0!</v>
      </c>
      <c r="AQ56" s="116">
        <f t="shared" si="12"/>
        <v>0</v>
      </c>
      <c r="AR56" s="90">
        <f t="shared" si="28"/>
        <v>0</v>
      </c>
    </row>
    <row r="57" spans="1:49" ht="15.75" x14ac:dyDescent="0.25">
      <c r="A57" t="str">
        <f t="shared" si="13"/>
        <v>46200E</v>
      </c>
      <c r="B57" s="51">
        <f t="shared" si="26"/>
        <v>46200</v>
      </c>
      <c r="C57" s="100" t="s">
        <v>88</v>
      </c>
      <c r="D57" s="91"/>
      <c r="E57" s="62"/>
      <c r="F57" s="62"/>
      <c r="G57" s="62">
        <f t="shared" si="38"/>
        <v>0</v>
      </c>
      <c r="H57" s="72">
        <f t="shared" si="39"/>
        <v>0</v>
      </c>
      <c r="I57" s="121"/>
      <c r="J57" s="121"/>
      <c r="K57" s="121"/>
      <c r="L57" s="121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105"/>
      <c r="X57" s="67"/>
      <c r="Y57" s="68"/>
      <c r="Z57" s="68"/>
      <c r="AA57" s="62">
        <f t="shared" si="40"/>
        <v>0</v>
      </c>
      <c r="AB57" s="63">
        <f t="shared" si="41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142"/>
      <c r="AI57" s="139"/>
      <c r="AJ57" s="139"/>
      <c r="AK57" s="62">
        <f t="shared" si="19"/>
        <v>0</v>
      </c>
      <c r="AL57" s="72">
        <f t="shared" si="20"/>
        <v>0</v>
      </c>
      <c r="AM57" s="81">
        <f t="shared" si="21"/>
        <v>0</v>
      </c>
      <c r="AN57" s="80">
        <f t="shared" si="22"/>
        <v>0</v>
      </c>
      <c r="AO57" s="80">
        <f t="shared" si="23"/>
        <v>0</v>
      </c>
      <c r="AP57" s="115" t="e">
        <f t="shared" si="24"/>
        <v>#DIV/0!</v>
      </c>
      <c r="AQ57" s="116">
        <f t="shared" si="12"/>
        <v>0</v>
      </c>
      <c r="AR57" s="90">
        <f t="shared" si="28"/>
        <v>0</v>
      </c>
    </row>
    <row r="58" spans="1:49" ht="15.75" x14ac:dyDescent="0.25">
      <c r="A58" t="str">
        <f t="shared" si="13"/>
        <v>46201M</v>
      </c>
      <c r="B58" s="51">
        <f t="shared" si="26"/>
        <v>46201</v>
      </c>
      <c r="C58" s="100" t="s">
        <v>87</v>
      </c>
      <c r="D58" s="91"/>
      <c r="E58" s="62"/>
      <c r="F58" s="62"/>
      <c r="G58" s="62">
        <f t="shared" si="38"/>
        <v>0</v>
      </c>
      <c r="H58" s="72">
        <f t="shared" si="39"/>
        <v>0</v>
      </c>
      <c r="I58" s="121"/>
      <c r="J58" s="121"/>
      <c r="K58" s="121"/>
      <c r="L58" s="121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40"/>
        <v>0</v>
      </c>
      <c r="AB58" s="63">
        <f t="shared" si="41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142"/>
      <c r="AI58" s="139"/>
      <c r="AJ58" s="139"/>
      <c r="AK58" s="62">
        <f t="shared" si="19"/>
        <v>0</v>
      </c>
      <c r="AL58" s="72">
        <f t="shared" si="20"/>
        <v>0</v>
      </c>
      <c r="AM58" s="81">
        <f t="shared" si="21"/>
        <v>0</v>
      </c>
      <c r="AN58" s="80">
        <f t="shared" si="22"/>
        <v>0</v>
      </c>
      <c r="AO58" s="80">
        <f t="shared" si="23"/>
        <v>0</v>
      </c>
      <c r="AP58" s="115" t="e">
        <f t="shared" si="24"/>
        <v>#DIV/0!</v>
      </c>
      <c r="AQ58" s="116">
        <f t="shared" si="12"/>
        <v>0</v>
      </c>
      <c r="AR58" s="90">
        <f t="shared" ref="AR58:AR63" si="42">(D58+J58+O58)-(X58+AH58)</f>
        <v>0</v>
      </c>
    </row>
    <row r="59" spans="1:49" ht="15.75" x14ac:dyDescent="0.25">
      <c r="A59" t="str">
        <f t="shared" si="13"/>
        <v>46201E</v>
      </c>
      <c r="B59" s="51">
        <f t="shared" si="26"/>
        <v>46201</v>
      </c>
      <c r="C59" s="100" t="s">
        <v>88</v>
      </c>
      <c r="D59" s="91"/>
      <c r="E59" s="62"/>
      <c r="F59" s="62"/>
      <c r="G59" s="62">
        <f t="shared" si="38"/>
        <v>0</v>
      </c>
      <c r="H59" s="72">
        <f t="shared" si="39"/>
        <v>0</v>
      </c>
      <c r="I59" s="121"/>
      <c r="J59" s="121"/>
      <c r="K59" s="121"/>
      <c r="L59" s="121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40"/>
        <v>0</v>
      </c>
      <c r="AB59" s="63">
        <f t="shared" si="41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142"/>
      <c r="AI59" s="139"/>
      <c r="AJ59" s="139"/>
      <c r="AK59" s="62">
        <f t="shared" si="19"/>
        <v>0</v>
      </c>
      <c r="AL59" s="72">
        <f t="shared" si="20"/>
        <v>0</v>
      </c>
      <c r="AM59" s="81">
        <f t="shared" si="21"/>
        <v>0</v>
      </c>
      <c r="AN59" s="80">
        <f t="shared" si="22"/>
        <v>0</v>
      </c>
      <c r="AO59" s="80">
        <f t="shared" si="23"/>
        <v>0</v>
      </c>
      <c r="AP59" s="115" t="e">
        <f t="shared" si="24"/>
        <v>#DIV/0!</v>
      </c>
      <c r="AQ59" s="116">
        <f t="shared" si="12"/>
        <v>0</v>
      </c>
      <c r="AR59" s="90">
        <f t="shared" si="42"/>
        <v>0</v>
      </c>
    </row>
    <row r="60" spans="1:49" ht="15.75" x14ac:dyDescent="0.25">
      <c r="A60" t="str">
        <f t="shared" si="13"/>
        <v>46202M</v>
      </c>
      <c r="B60" s="51">
        <f t="shared" si="26"/>
        <v>46202</v>
      </c>
      <c r="C60" s="100" t="s">
        <v>87</v>
      </c>
      <c r="D60" s="91"/>
      <c r="E60" s="62"/>
      <c r="F60" s="62"/>
      <c r="G60" s="62">
        <f t="shared" si="38"/>
        <v>0</v>
      </c>
      <c r="H60" s="72">
        <f t="shared" si="39"/>
        <v>0</v>
      </c>
      <c r="I60" s="121"/>
      <c r="J60" s="121"/>
      <c r="K60" s="121"/>
      <c r="L60" s="121"/>
      <c r="M60" s="58"/>
      <c r="N60" s="58"/>
      <c r="O60" s="59"/>
      <c r="P60" s="56"/>
      <c r="Q60" s="60"/>
      <c r="R60" s="61">
        <f t="shared" si="14"/>
        <v>0</v>
      </c>
      <c r="S60" s="62">
        <f t="shared" si="15"/>
        <v>0</v>
      </c>
      <c r="T60" s="63">
        <f t="shared" si="16"/>
        <v>0</v>
      </c>
      <c r="U60" s="64"/>
      <c r="V60" s="65"/>
      <c r="W60" s="66"/>
      <c r="X60" s="67"/>
      <c r="Y60" s="68"/>
      <c r="Z60" s="68"/>
      <c r="AA60" s="62">
        <f t="shared" si="40"/>
        <v>0</v>
      </c>
      <c r="AB60" s="63">
        <f t="shared" si="41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142"/>
      <c r="AI60" s="139"/>
      <c r="AJ60" s="139"/>
      <c r="AK60" s="62">
        <f t="shared" si="19"/>
        <v>0</v>
      </c>
      <c r="AL60" s="72">
        <f t="shared" si="20"/>
        <v>0</v>
      </c>
      <c r="AM60" s="81">
        <f t="shared" si="21"/>
        <v>0</v>
      </c>
      <c r="AN60" s="80">
        <f t="shared" si="22"/>
        <v>0</v>
      </c>
      <c r="AO60" s="80">
        <f t="shared" si="23"/>
        <v>0</v>
      </c>
      <c r="AP60" s="115" t="e">
        <f t="shared" si="24"/>
        <v>#DIV/0!</v>
      </c>
      <c r="AQ60" s="116">
        <f t="shared" si="12"/>
        <v>0</v>
      </c>
      <c r="AR60" s="90">
        <f t="shared" si="42"/>
        <v>0</v>
      </c>
    </row>
    <row r="61" spans="1:49" ht="15.75" x14ac:dyDescent="0.25">
      <c r="A61" t="str">
        <f t="shared" si="13"/>
        <v>46202E</v>
      </c>
      <c r="B61" s="51">
        <f t="shared" si="26"/>
        <v>46202</v>
      </c>
      <c r="C61" s="100" t="s">
        <v>88</v>
      </c>
      <c r="D61" s="91"/>
      <c r="E61" s="62"/>
      <c r="F61" s="62"/>
      <c r="G61" s="62">
        <f t="shared" si="38"/>
        <v>0</v>
      </c>
      <c r="H61" s="72">
        <f t="shared" si="39"/>
        <v>0</v>
      </c>
      <c r="I61" s="121"/>
      <c r="J61" s="121"/>
      <c r="K61" s="121"/>
      <c r="L61" s="121"/>
      <c r="M61" s="58"/>
      <c r="N61" s="58"/>
      <c r="O61" s="59"/>
      <c r="P61" s="56"/>
      <c r="Q61" s="60"/>
      <c r="R61" s="61">
        <f t="shared" si="14"/>
        <v>0</v>
      </c>
      <c r="S61" s="62">
        <f t="shared" si="15"/>
        <v>0</v>
      </c>
      <c r="T61" s="63">
        <f t="shared" si="16"/>
        <v>0</v>
      </c>
      <c r="U61" s="64"/>
      <c r="V61" s="65"/>
      <c r="W61" s="105"/>
      <c r="X61" s="67"/>
      <c r="Y61" s="68"/>
      <c r="Z61" s="68"/>
      <c r="AA61" s="62">
        <f t="shared" si="40"/>
        <v>0</v>
      </c>
      <c r="AB61" s="63">
        <f t="shared" si="41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142"/>
      <c r="AI61" s="139"/>
      <c r="AJ61" s="139"/>
      <c r="AK61" s="62">
        <f t="shared" si="19"/>
        <v>0</v>
      </c>
      <c r="AL61" s="72">
        <f t="shared" si="20"/>
        <v>0</v>
      </c>
      <c r="AM61" s="81">
        <f t="shared" si="21"/>
        <v>0</v>
      </c>
      <c r="AN61" s="80">
        <f t="shared" si="22"/>
        <v>0</v>
      </c>
      <c r="AO61" s="80">
        <f t="shared" si="23"/>
        <v>0</v>
      </c>
      <c r="AP61" s="115" t="e">
        <f t="shared" si="24"/>
        <v>#DIV/0!</v>
      </c>
      <c r="AQ61" s="116">
        <f t="shared" si="12"/>
        <v>0</v>
      </c>
      <c r="AR61" s="90">
        <f t="shared" si="42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ht="15.75" x14ac:dyDescent="0.25">
      <c r="A62" t="str">
        <f t="shared" si="13"/>
        <v>46203M</v>
      </c>
      <c r="B62" s="51">
        <f t="shared" si="26"/>
        <v>46203</v>
      </c>
      <c r="C62" s="100" t="s">
        <v>87</v>
      </c>
      <c r="D62" s="91"/>
      <c r="E62" s="62"/>
      <c r="F62" s="62"/>
      <c r="G62" s="62">
        <f t="shared" si="38"/>
        <v>0</v>
      </c>
      <c r="H62" s="72">
        <f t="shared" si="39"/>
        <v>0</v>
      </c>
      <c r="I62" s="121"/>
      <c r="J62" s="121"/>
      <c r="K62" s="121"/>
      <c r="L62" s="121"/>
      <c r="M62" s="58"/>
      <c r="N62" s="58"/>
      <c r="O62" s="59"/>
      <c r="P62" s="56"/>
      <c r="Q62" s="60"/>
      <c r="R62" s="61">
        <f t="shared" si="14"/>
        <v>0</v>
      </c>
      <c r="S62" s="62">
        <f t="shared" si="15"/>
        <v>0</v>
      </c>
      <c r="T62" s="63">
        <f t="shared" si="16"/>
        <v>0</v>
      </c>
      <c r="U62" s="64"/>
      <c r="V62" s="65"/>
      <c r="W62" s="105"/>
      <c r="X62" s="67"/>
      <c r="Y62" s="68"/>
      <c r="Z62" s="68"/>
      <c r="AA62" s="62">
        <f t="shared" si="40"/>
        <v>0</v>
      </c>
      <c r="AB62" s="63">
        <f t="shared" si="41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142"/>
      <c r="AI62" s="139"/>
      <c r="AJ62" s="139"/>
      <c r="AK62" s="62">
        <f t="shared" si="19"/>
        <v>0</v>
      </c>
      <c r="AL62" s="72">
        <f t="shared" si="20"/>
        <v>0</v>
      </c>
      <c r="AM62" s="81">
        <f t="shared" si="21"/>
        <v>0</v>
      </c>
      <c r="AN62" s="80">
        <f t="shared" si="22"/>
        <v>0</v>
      </c>
      <c r="AO62" s="80">
        <f t="shared" si="23"/>
        <v>0</v>
      </c>
      <c r="AP62" s="115" t="e">
        <f t="shared" si="24"/>
        <v>#DIV/0!</v>
      </c>
      <c r="AQ62" s="116">
        <f t="shared" si="12"/>
        <v>0</v>
      </c>
      <c r="AR62" s="90">
        <f t="shared" si="42"/>
        <v>0</v>
      </c>
    </row>
    <row r="63" spans="1:49" ht="15.75" x14ac:dyDescent="0.25">
      <c r="A63" t="str">
        <f t="shared" si="13"/>
        <v>46203E</v>
      </c>
      <c r="B63" s="51">
        <f t="shared" si="26"/>
        <v>46203</v>
      </c>
      <c r="C63" s="100" t="s">
        <v>88</v>
      </c>
      <c r="D63" s="91"/>
      <c r="E63" s="62"/>
      <c r="F63" s="62"/>
      <c r="G63" s="62">
        <f t="shared" si="38"/>
        <v>0</v>
      </c>
      <c r="H63" s="72">
        <f t="shared" si="39"/>
        <v>0</v>
      </c>
      <c r="I63" s="121"/>
      <c r="J63" s="121"/>
      <c r="K63" s="121"/>
      <c r="L63" s="121"/>
      <c r="M63" s="58"/>
      <c r="N63" s="58"/>
      <c r="O63" s="59"/>
      <c r="P63" s="56"/>
      <c r="Q63" s="60"/>
      <c r="R63" s="61">
        <f t="shared" si="14"/>
        <v>0</v>
      </c>
      <c r="S63" s="62">
        <f t="shared" si="15"/>
        <v>0</v>
      </c>
      <c r="T63" s="63">
        <f t="shared" si="16"/>
        <v>0</v>
      </c>
      <c r="U63" s="64"/>
      <c r="V63" s="65"/>
      <c r="W63" s="105"/>
      <c r="X63" s="67"/>
      <c r="Y63" s="68"/>
      <c r="Z63" s="68"/>
      <c r="AA63" s="62">
        <f t="shared" si="40"/>
        <v>0</v>
      </c>
      <c r="AB63" s="63">
        <f t="shared" si="41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142"/>
      <c r="AI63" s="139"/>
      <c r="AJ63" s="139"/>
      <c r="AK63" s="62">
        <f t="shared" si="19"/>
        <v>0</v>
      </c>
      <c r="AL63" s="72">
        <f t="shared" si="20"/>
        <v>0</v>
      </c>
      <c r="AM63" s="81">
        <f t="shared" si="21"/>
        <v>0</v>
      </c>
      <c r="AN63" s="80">
        <f t="shared" si="22"/>
        <v>0</v>
      </c>
      <c r="AO63" s="80">
        <f t="shared" si="23"/>
        <v>0</v>
      </c>
      <c r="AP63" s="115" t="e">
        <f t="shared" si="24"/>
        <v>#DIV/0!</v>
      </c>
      <c r="AQ63" s="116">
        <f t="shared" si="12"/>
        <v>0</v>
      </c>
      <c r="AR63" s="90">
        <f t="shared" si="42"/>
        <v>0</v>
      </c>
    </row>
    <row r="64" spans="1:49" ht="15.75" x14ac:dyDescent="0.25">
      <c r="A64" t="str">
        <f t="shared" si="13"/>
        <v>46204M</v>
      </c>
      <c r="B64" s="51">
        <f t="shared" si="26"/>
        <v>46204</v>
      </c>
      <c r="C64" s="100" t="s">
        <v>87</v>
      </c>
      <c r="D64" s="106"/>
      <c r="E64" s="107"/>
      <c r="F64" s="107"/>
      <c r="G64" s="62">
        <f t="shared" si="38"/>
        <v>0</v>
      </c>
      <c r="H64" s="72">
        <f t="shared" si="39"/>
        <v>0</v>
      </c>
      <c r="I64" s="121"/>
      <c r="J64" s="121"/>
      <c r="K64" s="121"/>
      <c r="L64" s="121"/>
      <c r="M64" s="58"/>
      <c r="N64" s="58"/>
      <c r="O64" s="59"/>
      <c r="P64" s="56"/>
      <c r="Q64" s="60"/>
      <c r="R64" s="61">
        <f t="shared" si="14"/>
        <v>0</v>
      </c>
      <c r="S64" s="62">
        <f t="shared" si="15"/>
        <v>0</v>
      </c>
      <c r="T64" s="63">
        <f t="shared" si="16"/>
        <v>0</v>
      </c>
      <c r="U64" s="103"/>
      <c r="V64" s="65"/>
      <c r="W64" s="105"/>
      <c r="X64" s="67"/>
      <c r="Y64" s="68"/>
      <c r="Z64" s="68"/>
      <c r="AA64" s="62">
        <f t="shared" si="40"/>
        <v>0</v>
      </c>
      <c r="AB64" s="63">
        <f t="shared" si="41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142"/>
      <c r="AI64" s="139"/>
      <c r="AJ64" s="139"/>
      <c r="AK64" s="62">
        <f t="shared" si="19"/>
        <v>0</v>
      </c>
      <c r="AL64" s="72">
        <f t="shared" si="20"/>
        <v>0</v>
      </c>
      <c r="AM64" s="81">
        <f t="shared" si="21"/>
        <v>0</v>
      </c>
      <c r="AN64" s="80">
        <f t="shared" si="22"/>
        <v>0</v>
      </c>
      <c r="AO64" s="80">
        <f t="shared" si="23"/>
        <v>0</v>
      </c>
      <c r="AP64" s="115" t="e">
        <f t="shared" si="24"/>
        <v>#DIV/0!</v>
      </c>
      <c r="AQ64" s="116">
        <f t="shared" si="12"/>
        <v>0</v>
      </c>
    </row>
    <row r="65" spans="1:43" ht="15.75" x14ac:dyDescent="0.25">
      <c r="A65" t="str">
        <f t="shared" si="13"/>
        <v>46204E</v>
      </c>
      <c r="B65" s="51">
        <f t="shared" si="26"/>
        <v>46204</v>
      </c>
      <c r="C65" s="100" t="s">
        <v>88</v>
      </c>
      <c r="D65" s="106"/>
      <c r="E65" s="107"/>
      <c r="F65" s="107"/>
      <c r="G65" s="62">
        <f t="shared" si="38"/>
        <v>0</v>
      </c>
      <c r="H65" s="72">
        <f t="shared" si="39"/>
        <v>0</v>
      </c>
      <c r="I65" s="121"/>
      <c r="J65" s="121"/>
      <c r="K65" s="121"/>
      <c r="L65" s="121"/>
      <c r="M65" s="58"/>
      <c r="N65" s="58"/>
      <c r="O65" s="59"/>
      <c r="P65" s="56"/>
      <c r="Q65" s="60"/>
      <c r="R65" s="61">
        <f t="shared" si="14"/>
        <v>0</v>
      </c>
      <c r="S65" s="62">
        <f t="shared" si="15"/>
        <v>0</v>
      </c>
      <c r="T65" s="63">
        <f t="shared" si="16"/>
        <v>0</v>
      </c>
      <c r="U65" s="103"/>
      <c r="V65" s="104"/>
      <c r="W65" s="105"/>
      <c r="X65" s="113"/>
      <c r="Y65" s="114"/>
      <c r="Z65" s="114"/>
      <c r="AA65" s="62">
        <f t="shared" si="40"/>
        <v>0</v>
      </c>
      <c r="AB65" s="63">
        <f t="shared" si="41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142"/>
      <c r="AI65" s="139"/>
      <c r="AJ65" s="139"/>
      <c r="AK65" s="62">
        <f t="shared" si="19"/>
        <v>0</v>
      </c>
      <c r="AL65" s="72">
        <f t="shared" si="20"/>
        <v>0</v>
      </c>
      <c r="AM65" s="81">
        <f t="shared" si="21"/>
        <v>0</v>
      </c>
      <c r="AN65" s="80">
        <f t="shared" si="22"/>
        <v>0</v>
      </c>
      <c r="AO65" s="80">
        <f t="shared" si="23"/>
        <v>0</v>
      </c>
      <c r="AP65" s="115" t="e">
        <f t="shared" si="24"/>
        <v>#DIV/0!</v>
      </c>
      <c r="AQ65" s="116">
        <f t="shared" si="12"/>
        <v>0</v>
      </c>
    </row>
    <row r="66" spans="1:43" x14ac:dyDescent="0.25">
      <c r="J66" s="83">
        <f>SUM(J4:J65)</f>
        <v>238296.73150000005</v>
      </c>
      <c r="AM66" s="98">
        <f t="shared" ref="AM66:AO66" si="43">-SUM(AM4:AM65)</f>
        <v>1591.2684999999965</v>
      </c>
      <c r="AN66" s="98">
        <f>-SUM(AN4:AN65)</f>
        <v>128.79545949999982</v>
      </c>
      <c r="AO66" s="98">
        <f t="shared" si="43"/>
        <v>168.67754899999943</v>
      </c>
      <c r="AP66" s="98"/>
      <c r="AQ66" s="98">
        <f>-SUM(AQ4:AQ65)</f>
        <v>108298.26207187146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9" priority="2" operator="lessThan">
      <formula>0.1</formula>
    </cfRule>
    <cfRule type="cellIs" dxfId="48" priority="3" operator="greaterThan">
      <formula>0.1</formula>
    </cfRule>
  </conditionalFormatting>
  <conditionalFormatting sqref="AP1:AQ1">
    <cfRule type="cellIs" dxfId="47" priority="1" operator="lessThan">
      <formula>1</formula>
    </cfRule>
  </conditionalFormatting>
  <conditionalFormatting sqref="AQ4:AQ65">
    <cfRule type="cellIs" dxfId="46" priority="20" operator="lessThan">
      <formula>0</formula>
    </cfRule>
    <cfRule type="cellIs" dxfId="45" priority="21" operator="greaterThan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A1:AW66"/>
  <sheetViews>
    <sheetView topLeftCell="A2" zoomScale="80" zoomScaleNormal="80" workbookViewId="0">
      <pane xSplit="3" ySplit="2" topLeftCell="D9" activePane="bottomRight" state="frozen"/>
      <selection activeCell="AH28" sqref="AH28:AJ41"/>
      <selection pane="topRight" activeCell="AH28" sqref="AH28:AJ41"/>
      <selection pane="bottomLeft" activeCell="AH28" sqref="AH28:AJ41"/>
      <selection pane="bottomRight" activeCell="AC38" sqref="AC38:AE39"/>
    </sheetView>
  </sheetViews>
  <sheetFormatPr defaultRowHeight="15" x14ac:dyDescent="0.25"/>
  <cols>
    <col min="1" max="1" width="2.85546875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8.42578125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20" width="7.28515625" customWidth="1"/>
    <col min="21" max="21" width="9.28515625" customWidth="1"/>
    <col min="22" max="22" width="9.7109375" customWidth="1"/>
    <col min="23" max="23" width="10.85546875" customWidth="1"/>
    <col min="24" max="24" width="8.5703125" bestFit="1" customWidth="1"/>
    <col min="25" max="26" width="5.85546875" bestFit="1" customWidth="1"/>
    <col min="27" max="28" width="7.42578125" customWidth="1"/>
    <col min="29" max="29" width="8.85546875" customWidth="1"/>
    <col min="30" max="31" width="5.85546875" bestFit="1" customWidth="1"/>
    <col min="32" max="33" width="7.140625" customWidth="1"/>
    <col min="34" max="34" width="8.140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28515625" bestFit="1" customWidth="1"/>
    <col min="45" max="45" width="6.5703125" bestFit="1" customWidth="1"/>
    <col min="46" max="46" width="7.85546875" bestFit="1" customWidth="1"/>
    <col min="47" max="48" width="6.7109375" bestFit="1" customWidth="1"/>
    <col min="49" max="49" width="8.85546875" bestFit="1" customWidth="1"/>
  </cols>
  <sheetData>
    <row r="1" spans="1:44" ht="15.75" thickBot="1" x14ac:dyDescent="0.3">
      <c r="B1" s="43" t="s">
        <v>96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201">
        <v>5860</v>
      </c>
      <c r="E4" s="202">
        <v>4.55</v>
      </c>
      <c r="F4" s="202">
        <v>8.4</v>
      </c>
      <c r="G4" s="62">
        <f t="shared" ref="G4:G15" si="0">+D4*E4%</f>
        <v>266.63</v>
      </c>
      <c r="H4" s="72">
        <f t="shared" ref="H4:H15" si="1">+D4*F4%</f>
        <v>492.24</v>
      </c>
      <c r="I4" s="203">
        <v>3543.0100000000007</v>
      </c>
      <c r="J4" s="203">
        <v>3649.3003000000008</v>
      </c>
      <c r="K4" s="203">
        <v>4.6660839229920326</v>
      </c>
      <c r="L4" s="203">
        <v>8.5206019740277341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3649.3003000000008</v>
      </c>
      <c r="S4" s="62">
        <f t="shared" ref="S4" si="3">+J4*K4%+O4*P4%</f>
        <v>170.27941460000005</v>
      </c>
      <c r="T4" s="63">
        <f t="shared" ref="T4" si="4">+J4*L4%+O4*Q4%</f>
        <v>310.94235340000012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6" si="5">X4*Y4%</f>
        <v>0</v>
      </c>
      <c r="AB4" s="63">
        <f t="shared" ref="AB4:AB36" si="6">X4*Z4%</f>
        <v>0</v>
      </c>
      <c r="AC4" s="69"/>
      <c r="AD4" s="70"/>
      <c r="AE4" s="70"/>
      <c r="AF4" s="62">
        <f t="shared" ref="AF4:AF36" si="7">AC4*AD4%</f>
        <v>0</v>
      </c>
      <c r="AG4" s="63">
        <f t="shared" ref="AG4:AG36" si="8">AC4*AE4%</f>
        <v>0</v>
      </c>
      <c r="AH4" s="97">
        <v>9509</v>
      </c>
      <c r="AI4" s="66">
        <v>4.4000000000000004</v>
      </c>
      <c r="AJ4" s="66">
        <v>8.4</v>
      </c>
      <c r="AK4" s="62">
        <f t="shared" ref="AK4" si="9">AH4*AI4%</f>
        <v>418.39600000000002</v>
      </c>
      <c r="AL4" s="72">
        <f t="shared" ref="AL4" si="10">AH4*AJ4%</f>
        <v>798.75600000000009</v>
      </c>
      <c r="AM4" s="73">
        <f>+D4+R4-AC4-AH4</f>
        <v>0.30030000000078871</v>
      </c>
      <c r="AN4" s="74">
        <f t="shared" ref="AN4:AO4" si="11">+G4+S4-AF4-AK4</f>
        <v>18.513414600000033</v>
      </c>
      <c r="AO4" s="74">
        <f t="shared" si="11"/>
        <v>4.4263534000000391</v>
      </c>
      <c r="AP4" s="75">
        <f>(AN4+AO4)/(S4+T4)</f>
        <v>4.7669846888555682E-2</v>
      </c>
      <c r="AQ4" s="76">
        <f t="shared" ref="AQ4" si="12">($AP$1*AN4+$AQ$1*AO4)</f>
        <v>9635.5464846153609</v>
      </c>
      <c r="AR4" s="90">
        <f t="shared" ref="AR4:AR65" si="13">(D4+J4+O4)-(X4+AH4)</f>
        <v>0.30030000000078871</v>
      </c>
    </row>
    <row r="5" spans="1:44" x14ac:dyDescent="0.25">
      <c r="A5" t="str">
        <f t="shared" ref="A5:A65" si="14">CONCATENATE(B5,C5)</f>
        <v>46174E</v>
      </c>
      <c r="B5" s="51">
        <f>+B4</f>
        <v>46174</v>
      </c>
      <c r="C5" s="52" t="s">
        <v>88</v>
      </c>
      <c r="D5" s="91">
        <v>9509</v>
      </c>
      <c r="E5" s="62">
        <v>4.4000000000000004</v>
      </c>
      <c r="F5" s="62">
        <v>8.4</v>
      </c>
      <c r="G5" s="62">
        <f t="shared" si="0"/>
        <v>418.39600000000002</v>
      </c>
      <c r="H5" s="72">
        <f t="shared" si="1"/>
        <v>798.75600000000009</v>
      </c>
      <c r="I5" s="203">
        <v>4516.3999999999996</v>
      </c>
      <c r="J5" s="203">
        <v>4651.8919999999998</v>
      </c>
      <c r="K5" s="203">
        <v>4.2780178903551507</v>
      </c>
      <c r="L5" s="203">
        <v>8.3867438667965661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5">+J5+O5</f>
        <v>4651.8919999999998</v>
      </c>
      <c r="S5" s="62">
        <f t="shared" ref="S5:S65" si="16">+J5*K5%+O5*P5%</f>
        <v>199.00877200000002</v>
      </c>
      <c r="T5" s="63">
        <f t="shared" ref="T5:T65" si="17">+J5*L5%+O5*Q5%</f>
        <v>390.14226700000006</v>
      </c>
      <c r="U5" s="64" t="s">
        <v>278</v>
      </c>
      <c r="V5" s="65" t="s">
        <v>288</v>
      </c>
      <c r="W5" s="66" t="s">
        <v>208</v>
      </c>
      <c r="X5" s="67">
        <v>9200</v>
      </c>
      <c r="Y5" s="68">
        <v>4.4000000000000004</v>
      </c>
      <c r="Z5" s="68">
        <v>8.5399999999999991</v>
      </c>
      <c r="AA5" s="62">
        <f t="shared" si="5"/>
        <v>404.80000000000007</v>
      </c>
      <c r="AB5" s="63">
        <f t="shared" si="6"/>
        <v>785.68</v>
      </c>
      <c r="AC5" s="69">
        <v>9190</v>
      </c>
      <c r="AD5" s="70">
        <v>4.3249727965179536</v>
      </c>
      <c r="AE5" s="70">
        <v>8.5249945593035896</v>
      </c>
      <c r="AF5" s="62">
        <f t="shared" si="7"/>
        <v>397.46499999999992</v>
      </c>
      <c r="AG5" s="63">
        <f t="shared" si="8"/>
        <v>783.44699999999989</v>
      </c>
      <c r="AH5" s="97">
        <v>4960</v>
      </c>
      <c r="AI5" s="66">
        <v>4.4000000000000004</v>
      </c>
      <c r="AJ5" s="66">
        <v>8.4</v>
      </c>
      <c r="AK5" s="62">
        <f t="shared" ref="AK5:AK65" si="18">AH5*AI5%</f>
        <v>218.24</v>
      </c>
      <c r="AL5" s="72">
        <f t="shared" ref="AL5:AL65" si="19">AH5*AJ5%</f>
        <v>416.64000000000004</v>
      </c>
      <c r="AM5" s="73">
        <f t="shared" ref="AM5:AM65" si="20">+D5+R5-AC5-AH5</f>
        <v>10.891999999999825</v>
      </c>
      <c r="AN5" s="74">
        <f t="shared" ref="AN5:AN65" si="21">+G5+S5-AF5-AK5</f>
        <v>1.6997720000001664</v>
      </c>
      <c r="AO5" s="74">
        <f t="shared" ref="AO5:AO65" si="22">+H5+T5-AG5-AL5</f>
        <v>-11.1887329999999</v>
      </c>
      <c r="AP5" s="75">
        <f t="shared" ref="AP5:AP65" si="23">(AN5+AO5)/(S5+T5)</f>
        <v>-1.6106160172620405E-2</v>
      </c>
      <c r="AQ5" s="76">
        <f t="shared" ref="AQ5:AQ65" si="24">($AP$1*AN5+$AQ$1*AO5)</f>
        <v>-2585.4447721665624</v>
      </c>
      <c r="AR5" s="90">
        <f t="shared" si="13"/>
        <v>0.89199999999982538</v>
      </c>
    </row>
    <row r="6" spans="1:44" x14ac:dyDescent="0.25">
      <c r="A6" t="str">
        <f t="shared" si="14"/>
        <v>46175M</v>
      </c>
      <c r="B6" s="51">
        <f>+B4+1</f>
        <v>46175</v>
      </c>
      <c r="C6" s="52" t="s">
        <v>87</v>
      </c>
      <c r="D6" s="91">
        <v>4960</v>
      </c>
      <c r="E6" s="62">
        <v>4.4000000000000004</v>
      </c>
      <c r="F6" s="62">
        <v>8.4</v>
      </c>
      <c r="G6" s="62">
        <f t="shared" si="0"/>
        <v>218.24</v>
      </c>
      <c r="H6" s="72">
        <f t="shared" si="1"/>
        <v>416.64000000000004</v>
      </c>
      <c r="I6" s="203">
        <v>3619.34</v>
      </c>
      <c r="J6" s="203">
        <v>3727.9202</v>
      </c>
      <c r="K6" s="203">
        <v>4.8732829742439217</v>
      </c>
      <c r="L6" s="203">
        <v>8.38806964805738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5"/>
        <v>3727.9202</v>
      </c>
      <c r="S6" s="62">
        <f t="shared" si="16"/>
        <v>181.67210039999998</v>
      </c>
      <c r="T6" s="63">
        <f t="shared" si="17"/>
        <v>312.70054279999994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97">
        <v>8687</v>
      </c>
      <c r="AI6" s="66">
        <v>4.4000000000000004</v>
      </c>
      <c r="AJ6" s="66">
        <v>8.3000000000000007</v>
      </c>
      <c r="AK6" s="62">
        <f t="shared" si="18"/>
        <v>382.22800000000007</v>
      </c>
      <c r="AL6" s="72">
        <f t="shared" si="19"/>
        <v>721.02100000000007</v>
      </c>
      <c r="AM6" s="73">
        <f t="shared" si="20"/>
        <v>0.9202000000004773</v>
      </c>
      <c r="AN6" s="74">
        <f t="shared" si="21"/>
        <v>17.68410039999992</v>
      </c>
      <c r="AO6" s="74">
        <f t="shared" si="22"/>
        <v>8.3195427999999083</v>
      </c>
      <c r="AP6" s="75">
        <f t="shared" si="23"/>
        <v>5.2599276189075006E-2</v>
      </c>
      <c r="AQ6" s="76">
        <f t="shared" si="24"/>
        <v>10428.38681612927</v>
      </c>
      <c r="AR6" s="90">
        <f t="shared" si="13"/>
        <v>0.9202000000004773</v>
      </c>
    </row>
    <row r="7" spans="1:44" x14ac:dyDescent="0.25">
      <c r="A7" t="str">
        <f t="shared" si="14"/>
        <v>46175E</v>
      </c>
      <c r="B7" s="51">
        <f>+B5+1</f>
        <v>46175</v>
      </c>
      <c r="C7" s="52" t="s">
        <v>88</v>
      </c>
      <c r="D7" s="91">
        <v>8687</v>
      </c>
      <c r="E7" s="62">
        <v>4.4000000000000004</v>
      </c>
      <c r="F7" s="62">
        <v>8.3000000000000007</v>
      </c>
      <c r="G7" s="62">
        <f t="shared" si="0"/>
        <v>382.22800000000007</v>
      </c>
      <c r="H7" s="72">
        <f t="shared" si="1"/>
        <v>721.02100000000007</v>
      </c>
      <c r="I7" s="203">
        <v>4121.4999999999991</v>
      </c>
      <c r="J7" s="203">
        <v>4245.1449999999995</v>
      </c>
      <c r="K7" s="203">
        <v>4.2521679000363939</v>
      </c>
      <c r="L7" s="203">
        <v>8.4224335800072776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5"/>
        <v>4245.1449999999995</v>
      </c>
      <c r="S7" s="62">
        <f t="shared" si="16"/>
        <v>180.51069299999995</v>
      </c>
      <c r="T7" s="63">
        <f t="shared" si="17"/>
        <v>357.54451799999987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97">
        <v>12931</v>
      </c>
      <c r="AI7" s="66">
        <v>4.3</v>
      </c>
      <c r="AJ7" s="66">
        <v>8.4</v>
      </c>
      <c r="AK7" s="62">
        <f t="shared" si="18"/>
        <v>556.0329999999999</v>
      </c>
      <c r="AL7" s="72">
        <f t="shared" si="19"/>
        <v>1086.2040000000002</v>
      </c>
      <c r="AM7" s="73">
        <f t="shared" si="20"/>
        <v>1.1450000000004366</v>
      </c>
      <c r="AN7" s="74">
        <f t="shared" si="21"/>
        <v>6.7056930000001103</v>
      </c>
      <c r="AO7" s="74">
        <f t="shared" si="22"/>
        <v>-7.6384820000002946</v>
      </c>
      <c r="AP7" s="75">
        <f t="shared" si="23"/>
        <v>-1.733630640369701E-3</v>
      </c>
      <c r="AQ7" s="76">
        <f t="shared" si="24"/>
        <v>724.25867488329459</v>
      </c>
      <c r="AR7" s="90">
        <f t="shared" si="13"/>
        <v>1.1450000000004366</v>
      </c>
    </row>
    <row r="8" spans="1:44" x14ac:dyDescent="0.25">
      <c r="A8" t="str">
        <f t="shared" si="14"/>
        <v>46176M</v>
      </c>
      <c r="B8" s="51">
        <f>+B6+1</f>
        <v>46176</v>
      </c>
      <c r="C8" s="52" t="s">
        <v>87</v>
      </c>
      <c r="D8" s="91">
        <v>12931</v>
      </c>
      <c r="E8" s="62">
        <v>4.3</v>
      </c>
      <c r="F8" s="62">
        <v>8.4</v>
      </c>
      <c r="G8" s="62">
        <f t="shared" si="0"/>
        <v>556.0329999999999</v>
      </c>
      <c r="H8" s="72">
        <f t="shared" si="1"/>
        <v>1086.2040000000002</v>
      </c>
      <c r="I8" s="203">
        <v>7299.4</v>
      </c>
      <c r="J8" s="203">
        <v>7518.3819999999996</v>
      </c>
      <c r="K8" s="203">
        <v>4.6018768665917742</v>
      </c>
      <c r="L8" s="203">
        <v>8.4137504452420764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5"/>
        <v>7518.3819999999996</v>
      </c>
      <c r="S8" s="62">
        <f t="shared" si="16"/>
        <v>345.98668199999992</v>
      </c>
      <c r="T8" s="63">
        <f t="shared" si="17"/>
        <v>632.57789900000012</v>
      </c>
      <c r="U8" s="64" t="s">
        <v>289</v>
      </c>
      <c r="V8" s="65" t="s">
        <v>290</v>
      </c>
      <c r="W8" s="66" t="s">
        <v>291</v>
      </c>
      <c r="X8" s="67">
        <v>17750</v>
      </c>
      <c r="Y8" s="68">
        <v>4.55</v>
      </c>
      <c r="Z8" s="68">
        <v>8.44</v>
      </c>
      <c r="AA8" s="62">
        <f t="shared" si="5"/>
        <v>807.625</v>
      </c>
      <c r="AB8" s="63">
        <f t="shared" si="6"/>
        <v>1498.1</v>
      </c>
      <c r="AC8" s="69">
        <v>17440</v>
      </c>
      <c r="AD8" s="70">
        <v>4.5</v>
      </c>
      <c r="AE8" s="70">
        <v>8.43</v>
      </c>
      <c r="AF8" s="62">
        <f t="shared" si="7"/>
        <v>784.8</v>
      </c>
      <c r="AG8" s="63">
        <f>AC8*AE8%</f>
        <v>1470.192</v>
      </c>
      <c r="AH8" s="97">
        <v>2699</v>
      </c>
      <c r="AI8" s="66">
        <v>4.4000000000000004</v>
      </c>
      <c r="AJ8" s="66">
        <v>8.4</v>
      </c>
      <c r="AK8" s="62">
        <f t="shared" si="18"/>
        <v>118.75600000000001</v>
      </c>
      <c r="AL8" s="72">
        <f t="shared" si="19"/>
        <v>226.71600000000001</v>
      </c>
      <c r="AM8" s="73">
        <f t="shared" si="20"/>
        <v>310.38199999999779</v>
      </c>
      <c r="AN8" s="74">
        <f t="shared" si="21"/>
        <v>-1.5363180000000938</v>
      </c>
      <c r="AO8" s="74">
        <f t="shared" si="22"/>
        <v>21.873899000000279</v>
      </c>
      <c r="AP8" s="75">
        <f t="shared" si="23"/>
        <v>2.078307491899728E-2</v>
      </c>
      <c r="AQ8" s="76">
        <f t="shared" si="24"/>
        <v>5856.6061533467091</v>
      </c>
      <c r="AR8" s="90">
        <f t="shared" ref="AR8:AR21" si="25">(D8+J8+O8)-(X8+AH8)</f>
        <v>0.38199999999778811</v>
      </c>
    </row>
    <row r="9" spans="1:44" x14ac:dyDescent="0.25">
      <c r="A9" t="str">
        <f t="shared" si="14"/>
        <v>46176E</v>
      </c>
      <c r="B9" s="51">
        <f t="shared" ref="B9:B65" si="26">+B7+1</f>
        <v>46176</v>
      </c>
      <c r="C9" s="52" t="s">
        <v>88</v>
      </c>
      <c r="D9" s="91">
        <v>2699</v>
      </c>
      <c r="E9" s="62">
        <v>4.4000000000000004</v>
      </c>
      <c r="F9" s="62">
        <v>8.4</v>
      </c>
      <c r="G9" s="62">
        <f t="shared" si="0"/>
        <v>118.75600000000001</v>
      </c>
      <c r="H9" s="72">
        <f t="shared" si="1"/>
        <v>226.71600000000001</v>
      </c>
      <c r="I9" s="203">
        <v>8314.7000000000007</v>
      </c>
      <c r="J9" s="203">
        <v>8564.1410000000014</v>
      </c>
      <c r="K9" s="203">
        <v>4.3558131983114246</v>
      </c>
      <c r="L9" s="203">
        <v>8.4463384126907783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5"/>
        <v>8564.1410000000014</v>
      </c>
      <c r="S9" s="62">
        <f t="shared" si="16"/>
        <v>373.03798400000005</v>
      </c>
      <c r="T9" s="63">
        <f t="shared" si="17"/>
        <v>723.35633100000018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10">
        <v>11263</v>
      </c>
      <c r="AI9" s="66">
        <v>4.4000000000000004</v>
      </c>
      <c r="AJ9" s="66">
        <v>8.4</v>
      </c>
      <c r="AK9" s="62">
        <f t="shared" si="18"/>
        <v>495.57200000000006</v>
      </c>
      <c r="AL9" s="72">
        <f t="shared" si="19"/>
        <v>946.0920000000001</v>
      </c>
      <c r="AM9" s="73">
        <f t="shared" si="20"/>
        <v>0.14100000000144064</v>
      </c>
      <c r="AN9" s="74">
        <f t="shared" si="21"/>
        <v>-3.7780159999999796</v>
      </c>
      <c r="AO9" s="74">
        <f t="shared" si="22"/>
        <v>3.980331000000092</v>
      </c>
      <c r="AP9" s="75">
        <f t="shared" si="23"/>
        <v>1.8452758941942557E-4</v>
      </c>
      <c r="AQ9" s="76">
        <f t="shared" si="24"/>
        <v>-504.78223641996328</v>
      </c>
      <c r="AR9" s="90">
        <f t="shared" si="25"/>
        <v>0.14100000000144064</v>
      </c>
    </row>
    <row r="10" spans="1:44" x14ac:dyDescent="0.25">
      <c r="A10" t="str">
        <f t="shared" si="14"/>
        <v>46177M</v>
      </c>
      <c r="B10" s="51">
        <f t="shared" si="26"/>
        <v>46177</v>
      </c>
      <c r="C10" s="52" t="s">
        <v>87</v>
      </c>
      <c r="D10" s="91">
        <v>11263</v>
      </c>
      <c r="E10" s="62">
        <v>4.4000000000000004</v>
      </c>
      <c r="F10" s="62">
        <v>8.4</v>
      </c>
      <c r="G10" s="62">
        <f t="shared" si="0"/>
        <v>495.57200000000006</v>
      </c>
      <c r="H10" s="72">
        <f t="shared" si="1"/>
        <v>946.0920000000001</v>
      </c>
      <c r="I10" s="203">
        <v>7262</v>
      </c>
      <c r="J10" s="203">
        <v>7479.8600000000006</v>
      </c>
      <c r="K10" s="203">
        <v>4.536090608647755</v>
      </c>
      <c r="L10" s="203">
        <v>8.3474428532084808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5"/>
        <v>7479.8600000000006</v>
      </c>
      <c r="S10" s="62">
        <f t="shared" si="16"/>
        <v>339.293227</v>
      </c>
      <c r="T10" s="72">
        <f t="shared" si="17"/>
        <v>624.37703899999997</v>
      </c>
      <c r="U10" s="65" t="s">
        <v>280</v>
      </c>
      <c r="V10" s="65" t="s">
        <v>292</v>
      </c>
      <c r="W10" s="66" t="s">
        <v>291</v>
      </c>
      <c r="X10" s="67">
        <v>7200</v>
      </c>
      <c r="Y10" s="68">
        <v>4.6500000000000004</v>
      </c>
      <c r="Z10" s="68">
        <v>8.4600000000000009</v>
      </c>
      <c r="AA10" s="62">
        <f t="shared" si="5"/>
        <v>334.80000000000007</v>
      </c>
      <c r="AB10" s="63">
        <f t="shared" si="6"/>
        <v>609.12000000000012</v>
      </c>
      <c r="AC10" s="69">
        <v>7180</v>
      </c>
      <c r="AD10" s="70">
        <v>4.5999999999999996</v>
      </c>
      <c r="AE10" s="70">
        <v>8.39</v>
      </c>
      <c r="AF10" s="62">
        <f t="shared" si="7"/>
        <v>330.28</v>
      </c>
      <c r="AG10" s="63">
        <f t="shared" si="8"/>
        <v>602.40200000000004</v>
      </c>
      <c r="AH10" s="97">
        <v>11542</v>
      </c>
      <c r="AI10" s="66">
        <v>4.4000000000000004</v>
      </c>
      <c r="AJ10" s="66">
        <v>8.4</v>
      </c>
      <c r="AK10" s="62">
        <f t="shared" si="18"/>
        <v>507.84800000000007</v>
      </c>
      <c r="AL10" s="72">
        <f t="shared" si="19"/>
        <v>969.52800000000002</v>
      </c>
      <c r="AM10" s="73">
        <f t="shared" si="20"/>
        <v>20.860000000000582</v>
      </c>
      <c r="AN10" s="74">
        <f t="shared" si="21"/>
        <v>-3.2627730000000383</v>
      </c>
      <c r="AO10" s="74">
        <f t="shared" si="22"/>
        <v>-1.4609609999999975</v>
      </c>
      <c r="AP10" s="75">
        <f t="shared" si="23"/>
        <v>-4.9018156590088626E-3</v>
      </c>
      <c r="AQ10" s="76">
        <f t="shared" si="24"/>
        <v>-1901.9180957700166</v>
      </c>
      <c r="AR10" s="90">
        <f t="shared" si="25"/>
        <v>0.86000000000058208</v>
      </c>
    </row>
    <row r="11" spans="1:44" x14ac:dyDescent="0.25">
      <c r="A11" t="str">
        <f t="shared" si="14"/>
        <v>46177E</v>
      </c>
      <c r="B11" s="51">
        <f t="shared" si="26"/>
        <v>46177</v>
      </c>
      <c r="C11" s="52" t="s">
        <v>88</v>
      </c>
      <c r="D11" s="91">
        <v>11542</v>
      </c>
      <c r="E11" s="62">
        <v>4.4000000000000004</v>
      </c>
      <c r="F11" s="62">
        <v>8.4</v>
      </c>
      <c r="G11" s="62">
        <f t="shared" si="0"/>
        <v>507.84800000000007</v>
      </c>
      <c r="H11" s="72">
        <f t="shared" si="1"/>
        <v>969.52800000000002</v>
      </c>
      <c r="I11" s="203">
        <v>8455</v>
      </c>
      <c r="J11" s="203">
        <v>8708.65</v>
      </c>
      <c r="K11" s="203">
        <v>4.3085251330573628</v>
      </c>
      <c r="L11" s="203">
        <v>8.3967261975162639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5"/>
        <v>8708.65</v>
      </c>
      <c r="S11" s="62">
        <f t="shared" si="16"/>
        <v>375.21437400000002</v>
      </c>
      <c r="T11" s="72">
        <f t="shared" si="17"/>
        <v>731.24149599999998</v>
      </c>
      <c r="U11" s="65" t="s">
        <v>293</v>
      </c>
      <c r="V11" s="65" t="s">
        <v>294</v>
      </c>
      <c r="W11" s="66" t="s">
        <v>208</v>
      </c>
      <c r="X11" s="67">
        <v>5900</v>
      </c>
      <c r="Y11" s="68">
        <v>4.5</v>
      </c>
      <c r="Z11" s="68">
        <v>8.44</v>
      </c>
      <c r="AA11" s="62">
        <f t="shared" si="5"/>
        <v>265.5</v>
      </c>
      <c r="AB11" s="63">
        <f t="shared" si="6"/>
        <v>497.95999999999992</v>
      </c>
      <c r="AC11" s="69">
        <v>5870</v>
      </c>
      <c r="AD11" s="70">
        <v>4.4000000000000004</v>
      </c>
      <c r="AE11" s="70">
        <v>8.2899999999999991</v>
      </c>
      <c r="AF11" s="62">
        <f t="shared" si="7"/>
        <v>258.28000000000003</v>
      </c>
      <c r="AG11" s="63">
        <f t="shared" si="8"/>
        <v>486.62299999999993</v>
      </c>
      <c r="AH11" s="97">
        <v>14450</v>
      </c>
      <c r="AI11" s="66">
        <v>4.5999999999999996</v>
      </c>
      <c r="AJ11" s="66">
        <v>8.4499999999999993</v>
      </c>
      <c r="AK11" s="62">
        <f t="shared" si="18"/>
        <v>664.7</v>
      </c>
      <c r="AL11" s="72">
        <f t="shared" si="19"/>
        <v>1221.0249999999999</v>
      </c>
      <c r="AM11" s="73">
        <f t="shared" si="20"/>
        <v>-69.349999999998545</v>
      </c>
      <c r="AN11" s="74">
        <f t="shared" si="21"/>
        <v>-39.917625999999927</v>
      </c>
      <c r="AO11" s="74">
        <f t="shared" si="22"/>
        <v>-6.8785040000000208</v>
      </c>
      <c r="AP11" s="75">
        <f t="shared" si="23"/>
        <v>-4.2293715699659985E-2</v>
      </c>
      <c r="AQ11" s="76">
        <f t="shared" si="24"/>
        <v>-19977.974308086643</v>
      </c>
      <c r="AR11" s="90">
        <f t="shared" si="25"/>
        <v>-99.349999999998545</v>
      </c>
    </row>
    <row r="12" spans="1:44" x14ac:dyDescent="0.25">
      <c r="A12" t="str">
        <f t="shared" si="14"/>
        <v>46178M</v>
      </c>
      <c r="B12" s="51">
        <f t="shared" si="26"/>
        <v>46178</v>
      </c>
      <c r="C12" s="52" t="s">
        <v>87</v>
      </c>
      <c r="D12" s="91">
        <v>14450</v>
      </c>
      <c r="E12" s="62">
        <v>4.5999999999999996</v>
      </c>
      <c r="F12" s="62">
        <v>8.4499999999999993</v>
      </c>
      <c r="G12" s="62">
        <f t="shared" si="0"/>
        <v>664.7</v>
      </c>
      <c r="H12" s="72">
        <f t="shared" si="1"/>
        <v>1221.0249999999999</v>
      </c>
      <c r="I12" s="203">
        <v>7188.9</v>
      </c>
      <c r="J12" s="203">
        <v>7404.567</v>
      </c>
      <c r="K12" s="203">
        <v>4.5367914423625324</v>
      </c>
      <c r="L12" s="203">
        <v>8.3786448552629764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5"/>
        <v>7404.567</v>
      </c>
      <c r="S12" s="62">
        <f t="shared" si="16"/>
        <v>335.9297620000001</v>
      </c>
      <c r="T12" s="72">
        <f t="shared" si="17"/>
        <v>620.40237200000013</v>
      </c>
      <c r="U12" s="65" t="s">
        <v>289</v>
      </c>
      <c r="V12" s="65" t="s">
        <v>396</v>
      </c>
      <c r="W12" s="66" t="s">
        <v>189</v>
      </c>
      <c r="X12" s="68">
        <v>18500</v>
      </c>
      <c r="Y12" s="68">
        <v>4.45</v>
      </c>
      <c r="Z12" s="68">
        <v>8.42</v>
      </c>
      <c r="AA12" s="62">
        <f>Y12*Z12%</f>
        <v>0.37469000000000002</v>
      </c>
      <c r="AB12" s="63">
        <f t="shared" si="6"/>
        <v>1557.7</v>
      </c>
      <c r="AC12" s="69">
        <v>18460</v>
      </c>
      <c r="AD12" s="70">
        <v>4.4000000000000012</v>
      </c>
      <c r="AE12" s="70">
        <v>8.16</v>
      </c>
      <c r="AF12" s="62">
        <f t="shared" si="7"/>
        <v>812.24000000000024</v>
      </c>
      <c r="AG12" s="63">
        <f t="shared" si="8"/>
        <v>1506.336</v>
      </c>
      <c r="AH12" s="97">
        <v>3354</v>
      </c>
      <c r="AI12" s="66">
        <v>4.58</v>
      </c>
      <c r="AJ12" s="66">
        <v>8.43</v>
      </c>
      <c r="AK12" s="62">
        <f t="shared" si="18"/>
        <v>153.61320000000001</v>
      </c>
      <c r="AL12" s="72">
        <f t="shared" si="19"/>
        <v>282.74220000000003</v>
      </c>
      <c r="AM12" s="73">
        <f t="shared" si="20"/>
        <v>40.566999999999098</v>
      </c>
      <c r="AN12" s="74">
        <f t="shared" si="21"/>
        <v>34.776561999999899</v>
      </c>
      <c r="AO12" s="74">
        <f t="shared" si="22"/>
        <v>52.349172000000067</v>
      </c>
      <c r="AP12" s="75">
        <f t="shared" si="23"/>
        <v>9.1104053604874419E-2</v>
      </c>
      <c r="AQ12" s="76">
        <f t="shared" si="24"/>
        <v>31278.257649099978</v>
      </c>
      <c r="AR12" s="90">
        <f t="shared" si="25"/>
        <v>0.56699999999909778</v>
      </c>
    </row>
    <row r="13" spans="1:44" x14ac:dyDescent="0.25">
      <c r="A13" t="str">
        <f t="shared" si="14"/>
        <v>46178E</v>
      </c>
      <c r="B13" s="51">
        <f t="shared" si="26"/>
        <v>46178</v>
      </c>
      <c r="C13" s="52" t="s">
        <v>88</v>
      </c>
      <c r="D13" s="91">
        <v>3354</v>
      </c>
      <c r="E13" s="62">
        <v>4.58</v>
      </c>
      <c r="F13" s="62">
        <v>8.43</v>
      </c>
      <c r="G13" s="62">
        <f t="shared" si="0"/>
        <v>153.61320000000001</v>
      </c>
      <c r="H13" s="72">
        <f t="shared" si="1"/>
        <v>282.74220000000003</v>
      </c>
      <c r="I13" s="203">
        <v>8192</v>
      </c>
      <c r="J13" s="203">
        <v>8437.76</v>
      </c>
      <c r="K13" s="203">
        <v>4.2750964355468755</v>
      </c>
      <c r="L13" s="203">
        <v>8.3772766113281261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5"/>
        <v>8437.76</v>
      </c>
      <c r="S13" s="62">
        <f t="shared" si="16"/>
        <v>360.72237700000005</v>
      </c>
      <c r="T13" s="72">
        <f t="shared" si="17"/>
        <v>706.85449500000004</v>
      </c>
      <c r="U13" s="65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>X13*Z13%</f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97">
        <v>11791</v>
      </c>
      <c r="AI13" s="66">
        <v>4.37</v>
      </c>
      <c r="AJ13" s="66">
        <v>8.39</v>
      </c>
      <c r="AK13" s="62">
        <f t="shared" si="18"/>
        <v>515.26670000000001</v>
      </c>
      <c r="AL13" s="72">
        <f t="shared" si="19"/>
        <v>989.26490000000001</v>
      </c>
      <c r="AM13" s="73">
        <f t="shared" si="20"/>
        <v>0.76000000000021828</v>
      </c>
      <c r="AN13" s="74">
        <f t="shared" si="21"/>
        <v>-0.93112299999995685</v>
      </c>
      <c r="AO13" s="74">
        <f t="shared" si="22"/>
        <v>0.33179500000005646</v>
      </c>
      <c r="AP13" s="75">
        <f t="shared" si="23"/>
        <v>-5.6139095527343006E-4</v>
      </c>
      <c r="AQ13" s="76">
        <f t="shared" si="24"/>
        <v>-318.69303029663035</v>
      </c>
      <c r="AR13" s="90">
        <f t="shared" si="25"/>
        <v>0.76000000000021828</v>
      </c>
    </row>
    <row r="14" spans="1:44" x14ac:dyDescent="0.25">
      <c r="A14" t="str">
        <f t="shared" si="14"/>
        <v>46179M</v>
      </c>
      <c r="B14" s="51">
        <f t="shared" si="26"/>
        <v>46179</v>
      </c>
      <c r="C14" s="52" t="s">
        <v>87</v>
      </c>
      <c r="D14" s="91">
        <v>11791</v>
      </c>
      <c r="E14" s="62">
        <v>4.37</v>
      </c>
      <c r="F14" s="62">
        <v>8.39</v>
      </c>
      <c r="G14" s="62">
        <f t="shared" si="0"/>
        <v>515.26670000000001</v>
      </c>
      <c r="H14" s="72">
        <f t="shared" si="1"/>
        <v>989.26490000000001</v>
      </c>
      <c r="I14" s="203">
        <v>7217.7000000000007</v>
      </c>
      <c r="J14" s="203">
        <v>7434.2310000000007</v>
      </c>
      <c r="K14" s="203">
        <v>4.5118680466076437</v>
      </c>
      <c r="L14" s="203">
        <v>8.3623245632265117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5"/>
        <v>7434.2310000000007</v>
      </c>
      <c r="S14" s="62">
        <f t="shared" si="16"/>
        <v>335.42269299999992</v>
      </c>
      <c r="T14" s="72">
        <f t="shared" si="17"/>
        <v>621.67452500000002</v>
      </c>
      <c r="U14" s="65" t="s">
        <v>289</v>
      </c>
      <c r="V14" s="65" t="s">
        <v>397</v>
      </c>
      <c r="W14" s="66" t="s">
        <v>291</v>
      </c>
      <c r="X14" s="67">
        <v>18500</v>
      </c>
      <c r="Y14" s="68">
        <v>4.6500000000000004</v>
      </c>
      <c r="Z14" s="68">
        <v>8.59</v>
      </c>
      <c r="AA14" s="62">
        <f t="shared" si="5"/>
        <v>860.25000000000011</v>
      </c>
      <c r="AB14" s="63">
        <f t="shared" si="6"/>
        <v>1589.15</v>
      </c>
      <c r="AC14" s="69">
        <v>18460</v>
      </c>
      <c r="AD14" s="70">
        <v>4.5999999999999996</v>
      </c>
      <c r="AE14" s="70">
        <v>8.33</v>
      </c>
      <c r="AF14" s="62">
        <f t="shared" si="7"/>
        <v>849.16</v>
      </c>
      <c r="AG14" s="63">
        <f t="shared" si="8"/>
        <v>1537.7180000000001</v>
      </c>
      <c r="AH14" s="97">
        <v>725</v>
      </c>
      <c r="AI14" s="66">
        <v>4.42</v>
      </c>
      <c r="AJ14" s="66">
        <v>8.3800000000000008</v>
      </c>
      <c r="AK14" s="62">
        <f t="shared" si="18"/>
        <v>32.044999999999995</v>
      </c>
      <c r="AL14" s="72">
        <f t="shared" si="19"/>
        <v>60.75500000000001</v>
      </c>
      <c r="AM14" s="73">
        <f t="shared" si="20"/>
        <v>40.230999999999767</v>
      </c>
      <c r="AN14" s="74">
        <f t="shared" si="21"/>
        <v>-30.515607000000081</v>
      </c>
      <c r="AO14" s="74">
        <f t="shared" si="22"/>
        <v>12.466424999999944</v>
      </c>
      <c r="AP14" s="75">
        <f t="shared" si="23"/>
        <v>-1.8858253540551134E-2</v>
      </c>
      <c r="AQ14" s="76">
        <f t="shared" si="24"/>
        <v>-9967.8925738700527</v>
      </c>
      <c r="AR14" s="90">
        <f t="shared" si="25"/>
        <v>0.23099999999976717</v>
      </c>
    </row>
    <row r="15" spans="1:44" x14ac:dyDescent="0.25">
      <c r="A15" t="str">
        <f t="shared" si="14"/>
        <v>46179E</v>
      </c>
      <c r="B15" s="51">
        <f t="shared" si="26"/>
        <v>46179</v>
      </c>
      <c r="C15" s="52" t="s">
        <v>88</v>
      </c>
      <c r="D15" s="91">
        <v>725</v>
      </c>
      <c r="E15" s="62">
        <v>4.42</v>
      </c>
      <c r="F15" s="62">
        <v>8.3800000000000008</v>
      </c>
      <c r="G15" s="62">
        <f t="shared" si="0"/>
        <v>32.044999999999995</v>
      </c>
      <c r="H15" s="72">
        <f t="shared" si="1"/>
        <v>60.75500000000001</v>
      </c>
      <c r="I15" s="203">
        <v>8183.4</v>
      </c>
      <c r="J15" s="203">
        <v>8428.902</v>
      </c>
      <c r="K15" s="203">
        <v>4.3160348999193481</v>
      </c>
      <c r="L15" s="203">
        <v>8.3433352885108896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5"/>
        <v>8428.902</v>
      </c>
      <c r="S15" s="62">
        <f t="shared" si="16"/>
        <v>363.79435199999989</v>
      </c>
      <c r="T15" s="72">
        <f t="shared" si="17"/>
        <v>703.25155500000005</v>
      </c>
      <c r="U15" s="65" t="s">
        <v>293</v>
      </c>
      <c r="V15" s="65" t="s">
        <v>398</v>
      </c>
      <c r="W15" s="66" t="s">
        <v>208</v>
      </c>
      <c r="X15" s="67">
        <v>5910</v>
      </c>
      <c r="Y15" s="68">
        <v>4.4000000000000004</v>
      </c>
      <c r="Z15" s="68">
        <v>8.39</v>
      </c>
      <c r="AA15" s="62">
        <f t="shared" si="5"/>
        <v>260.04000000000002</v>
      </c>
      <c r="AB15" s="63">
        <f t="shared" si="6"/>
        <v>495.84899999999999</v>
      </c>
      <c r="AC15" s="69">
        <v>5820</v>
      </c>
      <c r="AD15" s="70">
        <v>4.2</v>
      </c>
      <c r="AE15" s="70">
        <v>8</v>
      </c>
      <c r="AF15" s="62">
        <f t="shared" si="7"/>
        <v>244.44000000000003</v>
      </c>
      <c r="AG15" s="63">
        <f t="shared" si="8"/>
        <v>465.6</v>
      </c>
      <c r="AH15" s="97">
        <v>3243</v>
      </c>
      <c r="AI15" s="66">
        <v>4.33</v>
      </c>
      <c r="AJ15" s="66">
        <v>8.34</v>
      </c>
      <c r="AK15" s="62">
        <f t="shared" si="18"/>
        <v>140.42189999999999</v>
      </c>
      <c r="AL15" s="72">
        <f t="shared" si="19"/>
        <v>270.46620000000001</v>
      </c>
      <c r="AM15" s="73">
        <f t="shared" si="20"/>
        <v>90.902000000000044</v>
      </c>
      <c r="AN15" s="74">
        <f t="shared" si="21"/>
        <v>10.977451999999886</v>
      </c>
      <c r="AO15" s="74">
        <f t="shared" si="22"/>
        <v>27.940355000000011</v>
      </c>
      <c r="AP15" s="75">
        <f t="shared" si="23"/>
        <v>3.6472476717911165E-2</v>
      </c>
      <c r="AQ15" s="76">
        <f t="shared" si="24"/>
        <v>13289.691152686621</v>
      </c>
      <c r="AR15" s="90">
        <f t="shared" si="25"/>
        <v>0.90200000000004366</v>
      </c>
    </row>
    <row r="16" spans="1:44" x14ac:dyDescent="0.25">
      <c r="A16" t="str">
        <f t="shared" si="14"/>
        <v>46180M</v>
      </c>
      <c r="B16" s="51">
        <f t="shared" si="26"/>
        <v>46180</v>
      </c>
      <c r="C16" s="52" t="s">
        <v>87</v>
      </c>
      <c r="D16" s="91">
        <v>3243</v>
      </c>
      <c r="E16" s="62">
        <v>4.33</v>
      </c>
      <c r="F16" s="62">
        <v>8.34</v>
      </c>
      <c r="G16" s="62">
        <f t="shared" ref="G16:G27" si="27">+D16*E16%</f>
        <v>140.42189999999999</v>
      </c>
      <c r="H16" s="72">
        <f t="shared" ref="H16:H27" si="28">+D16*F16%</f>
        <v>270.46620000000001</v>
      </c>
      <c r="I16" s="203">
        <v>7160.2999999999993</v>
      </c>
      <c r="J16" s="203">
        <v>7375.1089999999995</v>
      </c>
      <c r="K16" s="203">
        <v>4.4510383643143445</v>
      </c>
      <c r="L16" s="203">
        <v>8.3359119031325513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5"/>
        <v>7375.1089999999995</v>
      </c>
      <c r="S16" s="62">
        <f t="shared" si="16"/>
        <v>328.26893099999995</v>
      </c>
      <c r="T16" s="72">
        <f t="shared" si="17"/>
        <v>614.78258900000003</v>
      </c>
      <c r="U16" s="65" t="s">
        <v>278</v>
      </c>
      <c r="V16" s="65" t="s">
        <v>399</v>
      </c>
      <c r="W16" s="66" t="s">
        <v>208</v>
      </c>
      <c r="X16" s="67">
        <v>9200</v>
      </c>
      <c r="Y16" s="68">
        <v>4.5</v>
      </c>
      <c r="Z16" s="68">
        <v>8.43</v>
      </c>
      <c r="AA16" s="62">
        <f t="shared" si="5"/>
        <v>414</v>
      </c>
      <c r="AB16" s="63">
        <f t="shared" si="6"/>
        <v>775.56</v>
      </c>
      <c r="AC16" s="69">
        <v>9170</v>
      </c>
      <c r="AD16" s="70">
        <v>4.4000000000000004</v>
      </c>
      <c r="AE16" s="70">
        <v>8.3499345692475462</v>
      </c>
      <c r="AF16" s="62">
        <f t="shared" si="7"/>
        <v>403.48</v>
      </c>
      <c r="AG16" s="63">
        <f t="shared" si="8"/>
        <v>765.68900000000008</v>
      </c>
      <c r="AH16" s="97">
        <v>1418</v>
      </c>
      <c r="AI16" s="118">
        <v>4.41</v>
      </c>
      <c r="AJ16" s="118">
        <v>8.34</v>
      </c>
      <c r="AK16" s="62">
        <f t="shared" si="18"/>
        <v>62.533799999999999</v>
      </c>
      <c r="AL16" s="72">
        <f t="shared" si="19"/>
        <v>118.2612</v>
      </c>
      <c r="AM16" s="73">
        <f t="shared" si="20"/>
        <v>30.109000000000378</v>
      </c>
      <c r="AN16" s="74">
        <f t="shared" si="21"/>
        <v>2.6770309999999284</v>
      </c>
      <c r="AO16" s="74">
        <f t="shared" si="22"/>
        <v>1.2985889999999074</v>
      </c>
      <c r="AP16" s="75">
        <f t="shared" si="23"/>
        <v>4.2156975686756075E-3</v>
      </c>
      <c r="AQ16" s="76">
        <f t="shared" si="24"/>
        <v>1590.3790448699401</v>
      </c>
      <c r="AR16" s="90">
        <f t="shared" si="25"/>
        <v>0.10900000000037835</v>
      </c>
    </row>
    <row r="17" spans="1:49" x14ac:dyDescent="0.25">
      <c r="A17" t="str">
        <f t="shared" si="14"/>
        <v>46180E</v>
      </c>
      <c r="B17" s="51">
        <f t="shared" si="26"/>
        <v>46180</v>
      </c>
      <c r="C17" s="52" t="s">
        <v>88</v>
      </c>
      <c r="D17" s="91">
        <v>1418</v>
      </c>
      <c r="E17" s="62">
        <v>4.41</v>
      </c>
      <c r="F17" s="62">
        <v>8.34</v>
      </c>
      <c r="G17" s="62">
        <f t="shared" si="27"/>
        <v>62.533799999999999</v>
      </c>
      <c r="H17" s="72">
        <f t="shared" si="28"/>
        <v>118.2612</v>
      </c>
      <c r="I17" s="203">
        <v>7809.1999999999989</v>
      </c>
      <c r="J17" s="203">
        <v>8043.4759999999987</v>
      </c>
      <c r="K17" s="203">
        <v>4.2512485273779648</v>
      </c>
      <c r="L17" s="203">
        <v>8.3633150642831549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5"/>
        <v>8043.4759999999987</v>
      </c>
      <c r="S17" s="62">
        <f t="shared" si="16"/>
        <v>341.94815499999999</v>
      </c>
      <c r="T17" s="72">
        <f t="shared" si="17"/>
        <v>672.7012400000001</v>
      </c>
      <c r="U17" s="65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97">
        <v>9461</v>
      </c>
      <c r="AI17" s="66">
        <v>4.2699999999999996</v>
      </c>
      <c r="AJ17" s="66">
        <v>8.36</v>
      </c>
      <c r="AK17" s="62">
        <f t="shared" si="18"/>
        <v>403.98469999999998</v>
      </c>
      <c r="AL17" s="72">
        <f t="shared" si="19"/>
        <v>790.93959999999993</v>
      </c>
      <c r="AM17" s="73">
        <f t="shared" si="20"/>
        <v>0.47599999999874854</v>
      </c>
      <c r="AN17" s="74">
        <f t="shared" si="21"/>
        <v>0.49725499999999556</v>
      </c>
      <c r="AO17" s="74">
        <f t="shared" si="22"/>
        <v>2.2840000000201144E-2</v>
      </c>
      <c r="AP17" s="75">
        <f t="shared" si="23"/>
        <v>5.1258592629446808E-4</v>
      </c>
      <c r="AQ17" s="76">
        <f t="shared" si="24"/>
        <v>230.05814498339157</v>
      </c>
      <c r="AR17" s="90">
        <f t="shared" si="25"/>
        <v>0.47599999999874854</v>
      </c>
      <c r="AS17" s="90">
        <f>SUM(J4:J17)</f>
        <v>95669.335500000001</v>
      </c>
      <c r="AT17" s="83">
        <f>SUM(AM4:AM17)</f>
        <v>478.33550000000105</v>
      </c>
      <c r="AU17" s="83">
        <f>SUM(AN4:AN17)</f>
        <v>13.589816999999861</v>
      </c>
      <c r="AV17" s="83">
        <f>SUM(AO4:AO17)</f>
        <v>105.84262220000029</v>
      </c>
      <c r="AW17" s="83">
        <f>-SUM(AQ4:AQ17)</f>
        <v>-37776.479104004706</v>
      </c>
    </row>
    <row r="18" spans="1:49" x14ac:dyDescent="0.25">
      <c r="A18" t="str">
        <f t="shared" si="14"/>
        <v>46181M</v>
      </c>
      <c r="B18" s="51">
        <f t="shared" si="26"/>
        <v>46181</v>
      </c>
      <c r="C18" s="52" t="s">
        <v>87</v>
      </c>
      <c r="D18" s="91">
        <v>9461</v>
      </c>
      <c r="E18" s="62">
        <v>4.2699999999999996</v>
      </c>
      <c r="F18" s="62">
        <v>8.36</v>
      </c>
      <c r="G18" s="62">
        <f t="shared" si="27"/>
        <v>403.98469999999998</v>
      </c>
      <c r="H18" s="72">
        <f t="shared" si="28"/>
        <v>790.93959999999993</v>
      </c>
      <c r="I18" s="203">
        <v>7288.2000000000007</v>
      </c>
      <c r="J18" s="203">
        <v>7506.8460000000014</v>
      </c>
      <c r="K18" s="203">
        <v>4.5370914629126533</v>
      </c>
      <c r="L18" s="203">
        <v>8.3606006970170981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5"/>
        <v>7506.8460000000014</v>
      </c>
      <c r="S18" s="62">
        <f t="shared" si="16"/>
        <v>340.59246900000005</v>
      </c>
      <c r="T18" s="72">
        <f t="shared" si="17"/>
        <v>627.61741900000027</v>
      </c>
      <c r="U18" s="65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207">
        <v>16967</v>
      </c>
      <c r="AI18" s="66">
        <v>4.3899999999999997</v>
      </c>
      <c r="AJ18" s="66">
        <v>8.36</v>
      </c>
      <c r="AK18" s="62">
        <f t="shared" si="18"/>
        <v>744.85129999999992</v>
      </c>
      <c r="AL18" s="72">
        <f t="shared" si="19"/>
        <v>1418.4412</v>
      </c>
      <c r="AM18" s="73">
        <f t="shared" si="20"/>
        <v>0.84600000000136788</v>
      </c>
      <c r="AN18" s="74">
        <f t="shared" si="21"/>
        <v>-0.27413099999989754</v>
      </c>
      <c r="AO18" s="74">
        <f t="shared" si="22"/>
        <v>0.11581900000032874</v>
      </c>
      <c r="AP18" s="75">
        <f t="shared" si="23"/>
        <v>-1.6351000125250606E-4</v>
      </c>
      <c r="AQ18" s="76">
        <f t="shared" si="24"/>
        <v>-88.398609016522286</v>
      </c>
      <c r="AR18" s="90">
        <f t="shared" si="25"/>
        <v>0.84600000000136788</v>
      </c>
    </row>
    <row r="19" spans="1:49" x14ac:dyDescent="0.25">
      <c r="A19" t="str">
        <f t="shared" si="14"/>
        <v>46181E</v>
      </c>
      <c r="B19" s="51">
        <f t="shared" si="26"/>
        <v>46181</v>
      </c>
      <c r="C19" s="52" t="s">
        <v>88</v>
      </c>
      <c r="D19" s="91">
        <v>16967</v>
      </c>
      <c r="E19" s="62">
        <v>4.3899999999999997</v>
      </c>
      <c r="F19" s="62">
        <v>8.36</v>
      </c>
      <c r="G19" s="62">
        <f t="shared" si="27"/>
        <v>744.85129999999992</v>
      </c>
      <c r="H19" s="72">
        <f t="shared" si="28"/>
        <v>1418.4412</v>
      </c>
      <c r="I19" s="203">
        <v>8260.9</v>
      </c>
      <c r="J19" s="203">
        <v>8508.726999999999</v>
      </c>
      <c r="K19" s="203">
        <v>4.3979287971044299</v>
      </c>
      <c r="L19" s="203">
        <v>8.3512341270321624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5"/>
        <v>8508.726999999999</v>
      </c>
      <c r="S19" s="62">
        <f t="shared" si="16"/>
        <v>374.20775499999979</v>
      </c>
      <c r="T19" s="72">
        <f t="shared" si="17"/>
        <v>710.58371299999988</v>
      </c>
      <c r="U19" s="65" t="s">
        <v>289</v>
      </c>
      <c r="V19" s="65" t="s">
        <v>400</v>
      </c>
      <c r="W19" s="66" t="s">
        <v>208</v>
      </c>
      <c r="X19" s="67">
        <v>18500</v>
      </c>
      <c r="Y19" s="68">
        <v>4.7</v>
      </c>
      <c r="Z19" s="68">
        <v>8.4700000000000006</v>
      </c>
      <c r="AA19" s="62">
        <f t="shared" si="5"/>
        <v>869.5</v>
      </c>
      <c r="AB19" s="63">
        <f t="shared" si="6"/>
        <v>1566.9500000000003</v>
      </c>
      <c r="AC19" s="69">
        <v>18430</v>
      </c>
      <c r="AD19" s="70">
        <v>4.5999999999999996</v>
      </c>
      <c r="AE19" s="70">
        <v>8.33</v>
      </c>
      <c r="AF19" s="62">
        <f t="shared" si="7"/>
        <v>847.78</v>
      </c>
      <c r="AG19" s="63">
        <f t="shared" si="8"/>
        <v>1535.2190000000001</v>
      </c>
      <c r="AH19" s="207">
        <v>6975</v>
      </c>
      <c r="AI19" s="66">
        <v>4.3899999999999997</v>
      </c>
      <c r="AJ19" s="66">
        <v>8.36</v>
      </c>
      <c r="AK19" s="62">
        <f t="shared" si="18"/>
        <v>306.20249999999999</v>
      </c>
      <c r="AL19" s="72">
        <f t="shared" si="19"/>
        <v>583.1099999999999</v>
      </c>
      <c r="AM19" s="73">
        <f t="shared" si="20"/>
        <v>70.726999999998952</v>
      </c>
      <c r="AN19" s="74">
        <f t="shared" si="21"/>
        <v>-34.923445000000243</v>
      </c>
      <c r="AO19" s="74">
        <f t="shared" si="22"/>
        <v>10.695912999999791</v>
      </c>
      <c r="AP19" s="75">
        <f t="shared" si="23"/>
        <v>-2.2333815036974885E-2</v>
      </c>
      <c r="AQ19" s="76">
        <f t="shared" si="24"/>
        <v>-12476.482158396839</v>
      </c>
      <c r="AR19" s="90">
        <f t="shared" si="25"/>
        <v>0.72699999999895226</v>
      </c>
    </row>
    <row r="20" spans="1:49" x14ac:dyDescent="0.25">
      <c r="A20" t="str">
        <f t="shared" si="14"/>
        <v>46182M</v>
      </c>
      <c r="B20" s="51">
        <f t="shared" si="26"/>
        <v>46182</v>
      </c>
      <c r="C20" s="52" t="s">
        <v>87</v>
      </c>
      <c r="D20" s="91">
        <v>6975</v>
      </c>
      <c r="E20" s="62">
        <v>4.3899999999999997</v>
      </c>
      <c r="F20" s="62">
        <v>8.36</v>
      </c>
      <c r="G20" s="62">
        <f t="shared" si="27"/>
        <v>306.20249999999999</v>
      </c>
      <c r="H20" s="72">
        <f t="shared" si="28"/>
        <v>583.1099999999999</v>
      </c>
      <c r="I20" s="203">
        <v>7474.8999999999978</v>
      </c>
      <c r="J20" s="203">
        <v>7699.1469999999981</v>
      </c>
      <c r="K20" s="203">
        <v>4.4266746043425336</v>
      </c>
      <c r="L20" s="203">
        <v>8.2849790632650571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5"/>
        <v>7699.1469999999981</v>
      </c>
      <c r="S20" s="62">
        <f t="shared" si="16"/>
        <v>340.81618499999996</v>
      </c>
      <c r="T20" s="72">
        <f t="shared" si="17"/>
        <v>637.87271699999962</v>
      </c>
      <c r="U20" s="65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207">
        <v>14674</v>
      </c>
      <c r="AI20" s="66">
        <v>4.41</v>
      </c>
      <c r="AJ20" s="66">
        <v>8.32</v>
      </c>
      <c r="AK20" s="62">
        <f t="shared" si="18"/>
        <v>647.12340000000006</v>
      </c>
      <c r="AL20" s="72">
        <f t="shared" si="19"/>
        <v>1220.8768</v>
      </c>
      <c r="AM20" s="73">
        <f t="shared" si="20"/>
        <v>0.14699999999720603</v>
      </c>
      <c r="AN20" s="74">
        <f t="shared" si="21"/>
        <v>-0.10471500000005562</v>
      </c>
      <c r="AO20" s="74">
        <f t="shared" si="22"/>
        <v>0.10591699999940829</v>
      </c>
      <c r="AP20" s="75">
        <f t="shared" si="23"/>
        <v>1.2281737300753266E-6</v>
      </c>
      <c r="AQ20" s="76">
        <f t="shared" si="24"/>
        <v>-15.309477003535385</v>
      </c>
      <c r="AR20" s="90">
        <f t="shared" si="25"/>
        <v>0.14699999999720603</v>
      </c>
    </row>
    <row r="21" spans="1:49" x14ac:dyDescent="0.25">
      <c r="A21" t="str">
        <f t="shared" si="14"/>
        <v>46182E</v>
      </c>
      <c r="B21" s="51">
        <f t="shared" si="26"/>
        <v>46182</v>
      </c>
      <c r="C21" s="99" t="s">
        <v>88</v>
      </c>
      <c r="D21" s="91">
        <v>14674</v>
      </c>
      <c r="E21" s="62">
        <v>4.41</v>
      </c>
      <c r="F21" s="62">
        <v>8.32</v>
      </c>
      <c r="G21" s="62">
        <f t="shared" si="27"/>
        <v>647.12340000000006</v>
      </c>
      <c r="H21" s="72">
        <f t="shared" si="28"/>
        <v>1220.8768</v>
      </c>
      <c r="I21" s="203">
        <v>8784.6000000000022</v>
      </c>
      <c r="J21" s="203">
        <v>9048.1380000000026</v>
      </c>
      <c r="K21" s="203">
        <v>4.3148077317123139</v>
      </c>
      <c r="L21" s="203">
        <v>8.3423092684925866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5"/>
        <v>9048.1380000000026</v>
      </c>
      <c r="S21" s="62">
        <f t="shared" si="16"/>
        <v>390.40975800000007</v>
      </c>
      <c r="T21" s="72">
        <f t="shared" si="17"/>
        <v>754.82365500000003</v>
      </c>
      <c r="U21" s="65" t="s">
        <v>286</v>
      </c>
      <c r="V21" s="65" t="s">
        <v>401</v>
      </c>
      <c r="W21" s="66" t="s">
        <v>291</v>
      </c>
      <c r="X21" s="67">
        <v>9850</v>
      </c>
      <c r="Y21" s="68">
        <v>4.7</v>
      </c>
      <c r="Z21" s="68">
        <v>8.41</v>
      </c>
      <c r="AA21" s="62">
        <f t="shared" si="5"/>
        <v>462.95</v>
      </c>
      <c r="AB21" s="63">
        <f t="shared" si="6"/>
        <v>828.3850000000001</v>
      </c>
      <c r="AC21" s="69">
        <v>9730</v>
      </c>
      <c r="AD21" s="70">
        <v>4.6237410071942442</v>
      </c>
      <c r="AE21" s="70">
        <v>8.3045323741007184</v>
      </c>
      <c r="AF21" s="62">
        <f t="shared" si="7"/>
        <v>449.89</v>
      </c>
      <c r="AG21" s="63">
        <f t="shared" si="8"/>
        <v>808.03099999999995</v>
      </c>
      <c r="AH21" s="207">
        <v>13872</v>
      </c>
      <c r="AI21" s="66">
        <v>4.37</v>
      </c>
      <c r="AJ21" s="66">
        <v>8.33</v>
      </c>
      <c r="AK21" s="62">
        <f t="shared" si="18"/>
        <v>606.20640000000003</v>
      </c>
      <c r="AL21" s="72">
        <f t="shared" si="19"/>
        <v>1155.5375999999999</v>
      </c>
      <c r="AM21" s="73">
        <f t="shared" si="20"/>
        <v>120.13800000000265</v>
      </c>
      <c r="AN21" s="74">
        <f t="shared" si="21"/>
        <v>-18.563241999999832</v>
      </c>
      <c r="AO21" s="74">
        <f t="shared" si="22"/>
        <v>12.131855000000314</v>
      </c>
      <c r="AP21" s="75">
        <f t="shared" si="23"/>
        <v>-5.6157870762364118E-3</v>
      </c>
      <c r="AQ21" s="76">
        <f t="shared" si="24"/>
        <v>-4702.484280853163</v>
      </c>
      <c r="AR21" s="90">
        <f t="shared" si="25"/>
        <v>0.13800000000264845</v>
      </c>
      <c r="AS21" s="90">
        <f>SUM(J8:J21)</f>
        <v>112157.93600000002</v>
      </c>
      <c r="AT21" s="83">
        <f>SUM(AM8:AM21)</f>
        <v>656.93599999999969</v>
      </c>
      <c r="AU21" s="83">
        <f>SUM(AN8:AN21)</f>
        <v>-84.878696000000389</v>
      </c>
      <c r="AV21" s="83">
        <f>SUM(AO8:AO21)</f>
        <v>134.97344500000037</v>
      </c>
      <c r="AW21" s="83">
        <f>-SUM(AQ8:AQ21)</f>
        <v>-2291.0573752732744</v>
      </c>
    </row>
    <row r="22" spans="1:49" x14ac:dyDescent="0.25">
      <c r="A22" t="str">
        <f t="shared" si="14"/>
        <v>46183M</v>
      </c>
      <c r="B22" s="51">
        <f t="shared" si="26"/>
        <v>46183</v>
      </c>
      <c r="C22" s="52" t="s">
        <v>87</v>
      </c>
      <c r="D22" s="91">
        <v>13872</v>
      </c>
      <c r="E22" s="62">
        <v>4.37</v>
      </c>
      <c r="F22" s="62">
        <v>8.33</v>
      </c>
      <c r="G22" s="62">
        <f t="shared" si="27"/>
        <v>606.20640000000003</v>
      </c>
      <c r="H22" s="72">
        <f t="shared" si="28"/>
        <v>1155.5375999999999</v>
      </c>
      <c r="I22" s="203">
        <v>7443.5</v>
      </c>
      <c r="J22" s="203">
        <v>7666.8050000000003</v>
      </c>
      <c r="K22" s="203">
        <v>4.4994021629609717</v>
      </c>
      <c r="L22" s="203">
        <v>8.3749123396251726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5"/>
        <v>7666.8050000000003</v>
      </c>
      <c r="S22" s="62">
        <f t="shared" si="16"/>
        <v>344.96038999999996</v>
      </c>
      <c r="T22" s="72">
        <f t="shared" si="17"/>
        <v>642.08819799999969</v>
      </c>
      <c r="U22" s="65" t="s">
        <v>289</v>
      </c>
      <c r="V22" s="65" t="s">
        <v>483</v>
      </c>
      <c r="W22" s="66" t="s">
        <v>291</v>
      </c>
      <c r="X22" s="67">
        <v>18500</v>
      </c>
      <c r="Y22" s="68">
        <v>4.5</v>
      </c>
      <c r="Z22" s="68">
        <v>8.43</v>
      </c>
      <c r="AA22" s="62">
        <f t="shared" si="5"/>
        <v>832.5</v>
      </c>
      <c r="AB22" s="63">
        <f t="shared" si="6"/>
        <v>1559.55</v>
      </c>
      <c r="AC22" s="69">
        <v>18400</v>
      </c>
      <c r="AD22" s="70">
        <v>4.45</v>
      </c>
      <c r="AE22" s="70">
        <v>8.42</v>
      </c>
      <c r="AF22" s="62">
        <f t="shared" si="7"/>
        <v>818.80000000000007</v>
      </c>
      <c r="AG22" s="63">
        <f t="shared" si="8"/>
        <v>1549.28</v>
      </c>
      <c r="AH22" s="207">
        <v>3038</v>
      </c>
      <c r="AI22" s="66">
        <v>4.42</v>
      </c>
      <c r="AJ22" s="66">
        <v>8.34</v>
      </c>
      <c r="AK22" s="62">
        <f t="shared" si="18"/>
        <v>134.27959999999999</v>
      </c>
      <c r="AL22" s="72">
        <f t="shared" si="19"/>
        <v>253.36920000000001</v>
      </c>
      <c r="AM22" s="73">
        <f t="shared" si="20"/>
        <v>100.80500000000029</v>
      </c>
      <c r="AN22" s="74">
        <f t="shared" si="21"/>
        <v>-1.9128100000000643</v>
      </c>
      <c r="AO22" s="74">
        <f t="shared" si="22"/>
        <v>-5.0234020000004023</v>
      </c>
      <c r="AP22" s="75">
        <f t="shared" si="23"/>
        <v>-7.0272244794503157E-3</v>
      </c>
      <c r="AQ22" s="76">
        <f t="shared" si="24"/>
        <v>-2362.0497983134828</v>
      </c>
      <c r="AR22" s="90">
        <f t="shared" si="13"/>
        <v>0.80500000000029104</v>
      </c>
    </row>
    <row r="23" spans="1:49" x14ac:dyDescent="0.25">
      <c r="A23" t="str">
        <f t="shared" si="14"/>
        <v>46183E</v>
      </c>
      <c r="B23" s="51">
        <f t="shared" si="26"/>
        <v>46183</v>
      </c>
      <c r="C23" s="52" t="s">
        <v>88</v>
      </c>
      <c r="D23" s="91">
        <v>3038</v>
      </c>
      <c r="E23" s="62">
        <v>4.42</v>
      </c>
      <c r="F23" s="62">
        <v>8.34</v>
      </c>
      <c r="G23" s="62">
        <f t="shared" si="27"/>
        <v>134.27959999999999</v>
      </c>
      <c r="H23" s="72">
        <f t="shared" si="28"/>
        <v>253.36920000000001</v>
      </c>
      <c r="I23" s="203">
        <v>8430.2000000000007</v>
      </c>
      <c r="J23" s="203">
        <v>8683.1060000000016</v>
      </c>
      <c r="K23" s="203">
        <v>4.3237064363834783</v>
      </c>
      <c r="L23" s="203">
        <v>8.3581990937344308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5"/>
        <v>8683.1060000000016</v>
      </c>
      <c r="S23" s="62">
        <f t="shared" si="16"/>
        <v>375.43201300000004</v>
      </c>
      <c r="T23" s="72">
        <f t="shared" si="17"/>
        <v>725.75128700000016</v>
      </c>
      <c r="U23" s="65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207">
        <v>11721</v>
      </c>
      <c r="AI23" s="66">
        <v>4.3499999999999996</v>
      </c>
      <c r="AJ23" s="66">
        <v>8.35</v>
      </c>
      <c r="AK23" s="62">
        <f t="shared" si="18"/>
        <v>509.86349999999999</v>
      </c>
      <c r="AL23" s="72">
        <f t="shared" si="19"/>
        <v>978.70349999999985</v>
      </c>
      <c r="AM23" s="73">
        <f t="shared" si="20"/>
        <v>0.10600000000158616</v>
      </c>
      <c r="AN23" s="74">
        <f t="shared" si="21"/>
        <v>-0.15188699999993105</v>
      </c>
      <c r="AO23" s="74">
        <f t="shared" si="22"/>
        <v>0.41698700000029021</v>
      </c>
      <c r="AP23" s="75">
        <f t="shared" si="23"/>
        <v>2.4074102831050844E-4</v>
      </c>
      <c r="AQ23" s="76">
        <f t="shared" si="24"/>
        <v>56.609496276784469</v>
      </c>
      <c r="AR23" s="90">
        <f t="shared" si="13"/>
        <v>0.10600000000158616</v>
      </c>
    </row>
    <row r="24" spans="1:49" x14ac:dyDescent="0.25">
      <c r="A24" t="str">
        <f t="shared" si="14"/>
        <v>46184M</v>
      </c>
      <c r="B24" s="51">
        <f t="shared" si="26"/>
        <v>46184</v>
      </c>
      <c r="C24" s="52" t="s">
        <v>87</v>
      </c>
      <c r="D24" s="91">
        <v>11721</v>
      </c>
      <c r="E24" s="62">
        <v>4.3499999999999996</v>
      </c>
      <c r="F24" s="62">
        <v>8.35</v>
      </c>
      <c r="G24" s="62">
        <f t="shared" si="27"/>
        <v>509.86349999999999</v>
      </c>
      <c r="H24" s="72">
        <f t="shared" si="28"/>
        <v>978.70349999999985</v>
      </c>
      <c r="I24" s="203">
        <v>7011.2999999999993</v>
      </c>
      <c r="J24" s="203">
        <v>7221.6389999999992</v>
      </c>
      <c r="K24" s="203">
        <v>4.5520245888779547</v>
      </c>
      <c r="L24" s="203">
        <v>8.4285125440360549</v>
      </c>
      <c r="M24" s="58">
        <v>0</v>
      </c>
      <c r="N24" s="58" t="s">
        <v>167</v>
      </c>
      <c r="O24" s="59">
        <v>0</v>
      </c>
      <c r="P24" s="56">
        <v>0</v>
      </c>
      <c r="Q24" s="60">
        <v>0</v>
      </c>
      <c r="R24" s="61">
        <f t="shared" si="15"/>
        <v>7221.6389999999992</v>
      </c>
      <c r="S24" s="62">
        <f t="shared" si="16"/>
        <v>328.73078299999997</v>
      </c>
      <c r="T24" s="63">
        <f t="shared" si="17"/>
        <v>608.67674899999975</v>
      </c>
      <c r="U24" s="65" t="s">
        <v>286</v>
      </c>
      <c r="V24" s="65" t="s">
        <v>484</v>
      </c>
      <c r="W24" s="66" t="s">
        <v>291</v>
      </c>
      <c r="X24" s="67">
        <v>9800</v>
      </c>
      <c r="Y24" s="68">
        <v>4.5999999999999996</v>
      </c>
      <c r="Z24" s="68">
        <v>8.4499999999999993</v>
      </c>
      <c r="AA24" s="62">
        <f t="shared" si="5"/>
        <v>450.8</v>
      </c>
      <c r="AB24" s="63">
        <f t="shared" si="6"/>
        <v>828.09999999999991</v>
      </c>
      <c r="AC24" s="69">
        <v>9770</v>
      </c>
      <c r="AD24" s="70">
        <v>4.5</v>
      </c>
      <c r="AE24" s="70">
        <v>8.3452507676560916</v>
      </c>
      <c r="AF24" s="62">
        <f t="shared" si="7"/>
        <v>439.65</v>
      </c>
      <c r="AG24" s="63">
        <f t="shared" si="8"/>
        <v>815.33100000000013</v>
      </c>
      <c r="AH24" s="208">
        <v>9142</v>
      </c>
      <c r="AI24" s="66">
        <v>4.43</v>
      </c>
      <c r="AJ24" s="66">
        <v>8.3800000000000008</v>
      </c>
      <c r="AK24" s="62">
        <f t="shared" si="18"/>
        <v>404.99059999999997</v>
      </c>
      <c r="AL24" s="72">
        <f t="shared" si="19"/>
        <v>766.09960000000012</v>
      </c>
      <c r="AM24" s="73">
        <f t="shared" si="20"/>
        <v>30.638999999999214</v>
      </c>
      <c r="AN24" s="74">
        <f t="shared" si="21"/>
        <v>-6.0463170000000446</v>
      </c>
      <c r="AO24" s="74">
        <f t="shared" si="22"/>
        <v>5.94964899999934</v>
      </c>
      <c r="AP24" s="75">
        <f t="shared" si="23"/>
        <v>-1.0312270458768253E-4</v>
      </c>
      <c r="AQ24" s="76">
        <f t="shared" si="24"/>
        <v>-933.68087607688403</v>
      </c>
      <c r="AR24" s="90">
        <f t="shared" si="13"/>
        <v>0.6389999999992142</v>
      </c>
    </row>
    <row r="25" spans="1:49" x14ac:dyDescent="0.25">
      <c r="A25" t="str">
        <f t="shared" si="14"/>
        <v>46184E</v>
      </c>
      <c r="B25" s="51">
        <f t="shared" si="26"/>
        <v>46184</v>
      </c>
      <c r="C25" s="52" t="s">
        <v>88</v>
      </c>
      <c r="D25" s="91">
        <v>9142</v>
      </c>
      <c r="E25" s="62">
        <v>4.43</v>
      </c>
      <c r="F25" s="62">
        <v>8.3800000000000008</v>
      </c>
      <c r="G25" s="62">
        <f t="shared" si="27"/>
        <v>404.99059999999997</v>
      </c>
      <c r="H25" s="72">
        <f t="shared" si="28"/>
        <v>766.09960000000012</v>
      </c>
      <c r="I25" s="203">
        <v>8429</v>
      </c>
      <c r="J25" s="203">
        <v>8681.8700000000008</v>
      </c>
      <c r="K25" s="203">
        <v>4.3019349863566267</v>
      </c>
      <c r="L25" s="203">
        <v>8.3852615968679594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5"/>
        <v>8681.8700000000008</v>
      </c>
      <c r="S25" s="62">
        <f t="shared" si="16"/>
        <v>373.48840300000006</v>
      </c>
      <c r="T25" s="63">
        <f t="shared" si="17"/>
        <v>727.99751100000037</v>
      </c>
      <c r="U25" s="65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207">
        <v>18120</v>
      </c>
      <c r="AI25" s="66">
        <v>4.37</v>
      </c>
      <c r="AJ25" s="66">
        <v>8.3800000000000008</v>
      </c>
      <c r="AK25" s="62">
        <f t="shared" si="18"/>
        <v>791.84400000000005</v>
      </c>
      <c r="AL25" s="72">
        <f t="shared" si="19"/>
        <v>1518.4560000000001</v>
      </c>
      <c r="AM25" s="73">
        <f t="shared" si="20"/>
        <v>-296.12999999999738</v>
      </c>
      <c r="AN25" s="74">
        <f t="shared" si="21"/>
        <v>-13.364997000000017</v>
      </c>
      <c r="AO25" s="74">
        <f t="shared" si="22"/>
        <v>-24.358888999999635</v>
      </c>
      <c r="AP25" s="75">
        <f t="shared" si="23"/>
        <v>-3.4248178320326339E-2</v>
      </c>
      <c r="AQ25" s="76">
        <f t="shared" si="24"/>
        <v>-13289.646710596568</v>
      </c>
      <c r="AR25" s="90">
        <f t="shared" si="13"/>
        <v>-296.12999999999738</v>
      </c>
      <c r="AS25" s="90">
        <f>SUM(J12:J25)</f>
        <v>112140.323</v>
      </c>
      <c r="AT25" s="83">
        <f>SUM(AM12:AM25)</f>
        <v>230.32300000000214</v>
      </c>
      <c r="AU25" s="83">
        <f>SUM(AN12:AN25)</f>
        <v>-57.859974000000413</v>
      </c>
      <c r="AV25" s="83">
        <f>SUM(AO12:AO25)</f>
        <v>94.443024999999622</v>
      </c>
      <c r="AW25" s="83">
        <f>-SUM(AQ12:AQ25)</f>
        <v>-2290.357973493039</v>
      </c>
    </row>
    <row r="26" spans="1:49" x14ac:dyDescent="0.25">
      <c r="A26" t="str">
        <f t="shared" si="14"/>
        <v>46185M</v>
      </c>
      <c r="B26" s="51">
        <f t="shared" si="26"/>
        <v>46185</v>
      </c>
      <c r="C26" s="52" t="s">
        <v>87</v>
      </c>
      <c r="D26" s="91">
        <v>18120</v>
      </c>
      <c r="E26" s="62">
        <v>4.37</v>
      </c>
      <c r="F26" s="62">
        <v>8.3800000000000008</v>
      </c>
      <c r="G26" s="62">
        <f t="shared" si="27"/>
        <v>791.84400000000005</v>
      </c>
      <c r="H26" s="72">
        <f t="shared" si="28"/>
        <v>1518.4560000000001</v>
      </c>
      <c r="I26" s="203">
        <v>7143</v>
      </c>
      <c r="J26" s="203">
        <v>7357.29</v>
      </c>
      <c r="K26" s="203">
        <v>4.5224079518409637</v>
      </c>
      <c r="L26" s="203">
        <v>8.3237435251294976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5"/>
        <v>7357.29</v>
      </c>
      <c r="S26" s="62">
        <f t="shared" si="16"/>
        <v>332.72666800000002</v>
      </c>
      <c r="T26" s="63">
        <f t="shared" si="17"/>
        <v>612.40194999999994</v>
      </c>
      <c r="U26" s="65" t="s">
        <v>289</v>
      </c>
      <c r="V26" s="65" t="s">
        <v>532</v>
      </c>
      <c r="W26" s="66" t="s">
        <v>217</v>
      </c>
      <c r="X26" s="67">
        <v>18500</v>
      </c>
      <c r="Y26" s="68">
        <v>4.5</v>
      </c>
      <c r="Z26" s="68">
        <v>8.56</v>
      </c>
      <c r="AA26" s="62">
        <f t="shared" si="5"/>
        <v>832.5</v>
      </c>
      <c r="AB26" s="63">
        <f t="shared" si="6"/>
        <v>1583.6000000000001</v>
      </c>
      <c r="AC26" s="69">
        <v>18420</v>
      </c>
      <c r="AD26" s="70">
        <v>4.4000000000000004</v>
      </c>
      <c r="AE26" s="70">
        <v>8.41</v>
      </c>
      <c r="AF26" s="62">
        <f t="shared" si="7"/>
        <v>810.48000000000013</v>
      </c>
      <c r="AG26" s="63">
        <f t="shared" si="8"/>
        <v>1549.1220000000001</v>
      </c>
      <c r="AH26" s="97">
        <v>6977</v>
      </c>
      <c r="AI26" s="71">
        <v>4.41</v>
      </c>
      <c r="AJ26" s="71">
        <v>8.36</v>
      </c>
      <c r="AK26" s="62">
        <f t="shared" si="18"/>
        <v>307.6857</v>
      </c>
      <c r="AL26" s="72">
        <f t="shared" si="19"/>
        <v>583.27719999999999</v>
      </c>
      <c r="AM26" s="73">
        <f t="shared" si="20"/>
        <v>80.290000000000873</v>
      </c>
      <c r="AN26" s="74">
        <f t="shared" si="21"/>
        <v>6.4049679999999398</v>
      </c>
      <c r="AO26" s="74">
        <f t="shared" si="22"/>
        <v>-1.5412499999999909</v>
      </c>
      <c r="AP26" s="75">
        <f t="shared" si="23"/>
        <v>5.146091132328774E-3</v>
      </c>
      <c r="AQ26" s="76">
        <f t="shared" si="24"/>
        <v>2413.9991598799761</v>
      </c>
      <c r="AR26" s="90">
        <f t="shared" si="13"/>
        <v>0.29000000000087311</v>
      </c>
    </row>
    <row r="27" spans="1:49" x14ac:dyDescent="0.25">
      <c r="A27" t="str">
        <f t="shared" si="14"/>
        <v>46185E</v>
      </c>
      <c r="B27" s="51">
        <f t="shared" si="26"/>
        <v>46185</v>
      </c>
      <c r="C27" s="52" t="s">
        <v>88</v>
      </c>
      <c r="D27" s="91">
        <v>6977</v>
      </c>
      <c r="E27" s="62">
        <v>4.41</v>
      </c>
      <c r="F27" s="62">
        <v>8.36</v>
      </c>
      <c r="G27" s="62">
        <f t="shared" si="27"/>
        <v>307.6857</v>
      </c>
      <c r="H27" s="72">
        <f t="shared" si="28"/>
        <v>583.27719999999999</v>
      </c>
      <c r="I27" s="203">
        <v>8415.4</v>
      </c>
      <c r="J27" s="203">
        <v>8667.8619999999992</v>
      </c>
      <c r="K27" s="203">
        <v>4.2946063169902784</v>
      </c>
      <c r="L27" s="203">
        <v>8.4060317988449746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5"/>
        <v>8667.8619999999992</v>
      </c>
      <c r="S27" s="62">
        <f t="shared" si="16"/>
        <v>372.25054899999986</v>
      </c>
      <c r="T27" s="63">
        <f t="shared" si="17"/>
        <v>728.62323599999991</v>
      </c>
      <c r="U27" s="65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97">
        <v>15644</v>
      </c>
      <c r="AI27" s="66">
        <v>4.34</v>
      </c>
      <c r="AJ27" s="66">
        <v>8.39</v>
      </c>
      <c r="AK27" s="62">
        <f t="shared" si="18"/>
        <v>678.94960000000003</v>
      </c>
      <c r="AL27" s="72">
        <f t="shared" si="19"/>
        <v>1312.5316</v>
      </c>
      <c r="AM27" s="73">
        <f t="shared" si="20"/>
        <v>0.86199999999917054</v>
      </c>
      <c r="AN27" s="74">
        <f t="shared" si="21"/>
        <v>0.98664899999982936</v>
      </c>
      <c r="AO27" s="74">
        <f t="shared" si="22"/>
        <v>-0.63116400000012618</v>
      </c>
      <c r="AP27" s="75">
        <f t="shared" si="23"/>
        <v>3.229116769273448E-4</v>
      </c>
      <c r="AQ27" s="76">
        <f t="shared" si="24"/>
        <v>254.02604842988561</v>
      </c>
      <c r="AR27" s="90">
        <f t="shared" si="13"/>
        <v>0.86199999999917054</v>
      </c>
    </row>
    <row r="28" spans="1:49" x14ac:dyDescent="0.25">
      <c r="A28" t="str">
        <f t="shared" si="14"/>
        <v>46186M</v>
      </c>
      <c r="B28" s="51">
        <f t="shared" si="26"/>
        <v>46186</v>
      </c>
      <c r="C28" s="52" t="s">
        <v>87</v>
      </c>
      <c r="D28" s="91">
        <v>15644</v>
      </c>
      <c r="E28" s="62">
        <v>4.34</v>
      </c>
      <c r="F28" s="62">
        <v>8.39</v>
      </c>
      <c r="G28" s="62">
        <f t="shared" ref="G28:G65" si="29">+D28*E28%</f>
        <v>678.94960000000003</v>
      </c>
      <c r="H28" s="72">
        <f t="shared" ref="H28:H65" si="30">+D28*F28%</f>
        <v>1312.5316</v>
      </c>
      <c r="I28" s="203">
        <v>7362.7999999999993</v>
      </c>
      <c r="J28" s="203">
        <v>7583.6839999999993</v>
      </c>
      <c r="K28" s="203">
        <v>4.5922040528059993</v>
      </c>
      <c r="L28" s="203">
        <v>8.296195740750802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5"/>
        <v>7583.6839999999993</v>
      </c>
      <c r="S28" s="62">
        <f t="shared" si="16"/>
        <v>348.2582440000001</v>
      </c>
      <c r="T28" s="63">
        <f t="shared" si="17"/>
        <v>629.15726899999993</v>
      </c>
      <c r="U28" s="65" t="s">
        <v>286</v>
      </c>
      <c r="V28" s="65" t="s">
        <v>533</v>
      </c>
      <c r="W28" s="66" t="s">
        <v>291</v>
      </c>
      <c r="X28" s="67">
        <v>9900</v>
      </c>
      <c r="Y28" s="68">
        <v>4.63</v>
      </c>
      <c r="Z28" s="68">
        <v>8.4600000000000009</v>
      </c>
      <c r="AA28" s="62">
        <f t="shared" si="5"/>
        <v>458.37</v>
      </c>
      <c r="AB28" s="63">
        <f t="shared" si="6"/>
        <v>837.54000000000008</v>
      </c>
      <c r="AC28" s="69">
        <v>9780</v>
      </c>
      <c r="AD28" s="70">
        <v>4.5757668711656443</v>
      </c>
      <c r="AE28" s="70">
        <v>8.4451533742331293</v>
      </c>
      <c r="AF28" s="62">
        <f t="shared" si="7"/>
        <v>447.51</v>
      </c>
      <c r="AG28" s="63">
        <f t="shared" si="8"/>
        <v>825.93600000000004</v>
      </c>
      <c r="AH28" s="97">
        <v>13327</v>
      </c>
      <c r="AI28" s="71">
        <v>4.42</v>
      </c>
      <c r="AJ28" s="71">
        <v>8.36</v>
      </c>
      <c r="AK28" s="62">
        <f t="shared" si="18"/>
        <v>589.0533999999999</v>
      </c>
      <c r="AL28" s="72">
        <f t="shared" si="19"/>
        <v>1114.1371999999999</v>
      </c>
      <c r="AM28" s="73">
        <f t="shared" si="20"/>
        <v>120.68400000000111</v>
      </c>
      <c r="AN28" s="74">
        <f t="shared" si="21"/>
        <v>-9.355555999999865</v>
      </c>
      <c r="AO28" s="74">
        <f t="shared" si="22"/>
        <v>1.6156690000000253</v>
      </c>
      <c r="AP28" s="75">
        <f t="shared" si="23"/>
        <v>-7.9187273959297581E-3</v>
      </c>
      <c r="AQ28" s="76">
        <f t="shared" si="24"/>
        <v>-3716.2759967665988</v>
      </c>
      <c r="AR28" s="90">
        <f t="shared" si="13"/>
        <v>0.68400000000110595</v>
      </c>
    </row>
    <row r="29" spans="1:49" x14ac:dyDescent="0.25">
      <c r="A29" t="str">
        <f t="shared" si="14"/>
        <v>46186E</v>
      </c>
      <c r="B29" s="51">
        <f t="shared" si="26"/>
        <v>46186</v>
      </c>
      <c r="C29" s="52" t="s">
        <v>88</v>
      </c>
      <c r="D29" s="91">
        <v>13327</v>
      </c>
      <c r="E29" s="62">
        <v>4.42</v>
      </c>
      <c r="F29" s="62">
        <v>8.36</v>
      </c>
      <c r="G29" s="62">
        <f t="shared" si="29"/>
        <v>589.0533999999999</v>
      </c>
      <c r="H29" s="72">
        <f t="shared" si="30"/>
        <v>1114.1371999999999</v>
      </c>
      <c r="I29" s="203">
        <v>8401.6999999999989</v>
      </c>
      <c r="J29" s="203">
        <v>8653.7509999999984</v>
      </c>
      <c r="K29" s="203">
        <v>4.3099444160110449</v>
      </c>
      <c r="L29" s="203">
        <v>8.4438649320970764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5"/>
        <v>8653.7509999999984</v>
      </c>
      <c r="S29" s="62">
        <f t="shared" si="16"/>
        <v>372.97185799999988</v>
      </c>
      <c r="T29" s="63">
        <f t="shared" si="17"/>
        <v>730.71104600000001</v>
      </c>
      <c r="U29" s="65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97">
        <v>21980</v>
      </c>
      <c r="AI29" s="66">
        <v>4.38</v>
      </c>
      <c r="AJ29" s="66">
        <v>8.39</v>
      </c>
      <c r="AK29" s="62">
        <f t="shared" si="18"/>
        <v>962.72399999999993</v>
      </c>
      <c r="AL29" s="72">
        <f t="shared" si="19"/>
        <v>1844.1220000000001</v>
      </c>
      <c r="AM29" s="73">
        <f t="shared" si="20"/>
        <v>0.75099999999656575</v>
      </c>
      <c r="AN29" s="74">
        <f t="shared" si="21"/>
        <v>-0.69874200000015207</v>
      </c>
      <c r="AO29" s="74">
        <f t="shared" si="22"/>
        <v>0.72624599999994643</v>
      </c>
      <c r="AP29" s="75">
        <f t="shared" si="23"/>
        <v>2.49202011738277E-5</v>
      </c>
      <c r="AQ29" s="76">
        <f t="shared" si="24"/>
        <v>-96.326209980084315</v>
      </c>
      <c r="AR29" s="90">
        <f t="shared" si="13"/>
        <v>0.75099999999656575</v>
      </c>
      <c r="AS29" s="90">
        <f>SUM(J16:J29)</f>
        <v>112697.44999999998</v>
      </c>
      <c r="AT29" s="83">
        <f>SUM(AM16:AM29)</f>
        <v>260.45000000000073</v>
      </c>
      <c r="AU29" s="83">
        <f>SUM(AN16:AN29)</f>
        <v>-74.829939000000408</v>
      </c>
      <c r="AV29" s="83">
        <f>SUM(AO16:AO29)</f>
        <v>1.5247789999993984</v>
      </c>
      <c r="AW29" s="83">
        <f>-SUM(AQ16:AQ29)</f>
        <v>33135.582222563702</v>
      </c>
    </row>
    <row r="30" spans="1:49" x14ac:dyDescent="0.25">
      <c r="A30" t="str">
        <f t="shared" si="14"/>
        <v>46187M</v>
      </c>
      <c r="B30" s="51">
        <f t="shared" si="26"/>
        <v>46187</v>
      </c>
      <c r="C30" s="52" t="s">
        <v>87</v>
      </c>
      <c r="D30" s="91">
        <v>21980</v>
      </c>
      <c r="E30" s="62">
        <v>4.38</v>
      </c>
      <c r="F30" s="62">
        <v>8.39</v>
      </c>
      <c r="G30" s="62">
        <f t="shared" si="29"/>
        <v>962.72399999999993</v>
      </c>
      <c r="H30" s="72">
        <f t="shared" si="30"/>
        <v>1844.1220000000001</v>
      </c>
      <c r="I30" s="203">
        <v>7301.8999999999987</v>
      </c>
      <c r="J30" s="203">
        <v>7520.9569999999985</v>
      </c>
      <c r="K30" s="203">
        <v>4.6238883030444118</v>
      </c>
      <c r="L30" s="203">
        <v>8.2749462468672519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5"/>
        <v>7520.9569999999985</v>
      </c>
      <c r="S30" s="62">
        <f t="shared" si="16"/>
        <v>347.76065099999988</v>
      </c>
      <c r="T30" s="63">
        <f t="shared" si="17"/>
        <v>622.35514899999964</v>
      </c>
      <c r="U30" s="65" t="s">
        <v>289</v>
      </c>
      <c r="V30" s="65" t="s">
        <v>598</v>
      </c>
      <c r="W30" s="66" t="s">
        <v>291</v>
      </c>
      <c r="X30" s="67">
        <v>18500</v>
      </c>
      <c r="Y30" s="68">
        <v>4.5999999999999996</v>
      </c>
      <c r="Z30" s="68">
        <v>8.4499999999999993</v>
      </c>
      <c r="AA30" s="62">
        <f t="shared" si="5"/>
        <v>851</v>
      </c>
      <c r="AB30" s="63">
        <f t="shared" si="6"/>
        <v>1563.2499999999998</v>
      </c>
      <c r="AC30" s="69">
        <v>18360</v>
      </c>
      <c r="AD30" s="70">
        <v>4.55</v>
      </c>
      <c r="AE30" s="70">
        <v>8.3800000000000008</v>
      </c>
      <c r="AF30" s="62">
        <f t="shared" si="7"/>
        <v>835.38</v>
      </c>
      <c r="AG30" s="63">
        <f t="shared" si="8"/>
        <v>1538.5680000000002</v>
      </c>
      <c r="AH30" s="97">
        <v>11000</v>
      </c>
      <c r="AI30" s="71">
        <v>4.4400000000000004</v>
      </c>
      <c r="AJ30" s="71">
        <v>8.36</v>
      </c>
      <c r="AK30" s="62">
        <f t="shared" si="18"/>
        <v>488.40000000000003</v>
      </c>
      <c r="AL30" s="72">
        <f t="shared" si="19"/>
        <v>919.59999999999991</v>
      </c>
      <c r="AM30" s="73">
        <f t="shared" si="20"/>
        <v>140.95699999999852</v>
      </c>
      <c r="AN30" s="74">
        <f t="shared" si="21"/>
        <v>-13.295349000000272</v>
      </c>
      <c r="AO30" s="74">
        <f t="shared" si="22"/>
        <v>8.3091489999997066</v>
      </c>
      <c r="AP30" s="75">
        <f t="shared" si="23"/>
        <v>-5.1397987745386347E-3</v>
      </c>
      <c r="AQ30" s="76">
        <f t="shared" si="24"/>
        <v>-3481.7084011968764</v>
      </c>
      <c r="AR30" s="90">
        <f t="shared" si="13"/>
        <v>0.9569999999985157</v>
      </c>
    </row>
    <row r="31" spans="1:49" x14ac:dyDescent="0.25">
      <c r="A31" t="str">
        <f t="shared" si="14"/>
        <v>46187E</v>
      </c>
      <c r="B31" s="51">
        <f t="shared" si="26"/>
        <v>46187</v>
      </c>
      <c r="C31" s="52" t="s">
        <v>88</v>
      </c>
      <c r="D31" s="91">
        <v>11000</v>
      </c>
      <c r="E31" s="62">
        <v>4.4400000000000004</v>
      </c>
      <c r="F31" s="62">
        <v>8.36</v>
      </c>
      <c r="G31" s="62">
        <f t="shared" si="29"/>
        <v>488.40000000000003</v>
      </c>
      <c r="H31" s="72">
        <f t="shared" si="30"/>
        <v>919.59999999999991</v>
      </c>
      <c r="I31" s="203">
        <v>8010.8</v>
      </c>
      <c r="J31" s="203">
        <v>8251.1239999999998</v>
      </c>
      <c r="K31" s="203">
        <v>4.3183914215808663</v>
      </c>
      <c r="L31" s="203">
        <v>8.4112935037699117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5"/>
        <v>8251.1239999999998</v>
      </c>
      <c r="S31" s="62">
        <f t="shared" si="16"/>
        <v>356.31583100000006</v>
      </c>
      <c r="T31" s="63">
        <f t="shared" si="17"/>
        <v>694.0262570000001</v>
      </c>
      <c r="U31" s="65" t="s">
        <v>286</v>
      </c>
      <c r="V31" s="65" t="s">
        <v>599</v>
      </c>
      <c r="W31" s="66" t="s">
        <v>291</v>
      </c>
      <c r="X31" s="67">
        <v>9900</v>
      </c>
      <c r="Y31" s="68">
        <v>4.2</v>
      </c>
      <c r="Z31" s="68">
        <v>8.3699999999999992</v>
      </c>
      <c r="AA31" s="62">
        <f t="shared" si="5"/>
        <v>415.8</v>
      </c>
      <c r="AB31" s="63">
        <f t="shared" si="6"/>
        <v>828.63</v>
      </c>
      <c r="AC31" s="69">
        <v>9770</v>
      </c>
      <c r="AD31" s="70">
        <v>4.1500000000000004</v>
      </c>
      <c r="AE31" s="70">
        <v>8.3000000000000007</v>
      </c>
      <c r="AF31" s="62">
        <f t="shared" si="7"/>
        <v>405.45500000000004</v>
      </c>
      <c r="AG31" s="63">
        <f t="shared" si="8"/>
        <v>810.91000000000008</v>
      </c>
      <c r="AH31" s="97">
        <v>9351</v>
      </c>
      <c r="AI31" s="66">
        <v>4.3899999999999997</v>
      </c>
      <c r="AJ31" s="66">
        <v>8.3800000000000008</v>
      </c>
      <c r="AK31" s="62">
        <f t="shared" si="18"/>
        <v>410.50889999999993</v>
      </c>
      <c r="AL31" s="72">
        <f t="shared" si="19"/>
        <v>783.61380000000008</v>
      </c>
      <c r="AM31" s="73">
        <f t="shared" si="20"/>
        <v>130.1239999999998</v>
      </c>
      <c r="AN31" s="74">
        <f t="shared" si="21"/>
        <v>28.751931000000127</v>
      </c>
      <c r="AO31" s="74">
        <f t="shared" si="22"/>
        <v>19.102456999999731</v>
      </c>
      <c r="AP31" s="75">
        <f t="shared" si="23"/>
        <v>4.5560764008915781E-2</v>
      </c>
      <c r="AQ31" s="76">
        <f t="shared" si="24"/>
        <v>18623.885326456642</v>
      </c>
      <c r="AR31" s="90">
        <f t="shared" si="13"/>
        <v>0.12399999999979627</v>
      </c>
    </row>
    <row r="32" spans="1:49" x14ac:dyDescent="0.25">
      <c r="A32" t="str">
        <f t="shared" si="14"/>
        <v>46188M</v>
      </c>
      <c r="B32" s="51">
        <f t="shared" si="26"/>
        <v>46188</v>
      </c>
      <c r="C32" s="52" t="s">
        <v>87</v>
      </c>
      <c r="D32" s="91">
        <v>9351</v>
      </c>
      <c r="E32" s="62">
        <v>4.3899999999999997</v>
      </c>
      <c r="F32" s="62">
        <v>8.3800000000000008</v>
      </c>
      <c r="G32" s="62">
        <f t="shared" si="29"/>
        <v>410.50889999999993</v>
      </c>
      <c r="H32" s="72">
        <f t="shared" si="30"/>
        <v>783.61380000000008</v>
      </c>
      <c r="I32" s="203">
        <v>7015.9</v>
      </c>
      <c r="J32" s="203">
        <v>7226.3769999999995</v>
      </c>
      <c r="K32" s="203">
        <v>4.6472982796220004</v>
      </c>
      <c r="L32" s="203">
        <v>8.4412377599452668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5"/>
        <v>7226.3769999999995</v>
      </c>
      <c r="S32" s="62">
        <f t="shared" si="16"/>
        <v>335.8312939999999</v>
      </c>
      <c r="T32" s="63">
        <f t="shared" si="17"/>
        <v>609.99566399999992</v>
      </c>
      <c r="U32" s="65" t="s">
        <v>280</v>
      </c>
      <c r="V32" s="65" t="s">
        <v>600</v>
      </c>
      <c r="W32" s="66" t="s">
        <v>208</v>
      </c>
      <c r="X32" s="67">
        <v>7200</v>
      </c>
      <c r="Y32" s="68">
        <v>4.25</v>
      </c>
      <c r="Z32" s="68">
        <v>8.3800000000000008</v>
      </c>
      <c r="AA32" s="62">
        <f t="shared" si="5"/>
        <v>306</v>
      </c>
      <c r="AB32" s="63">
        <f t="shared" si="6"/>
        <v>603.36000000000013</v>
      </c>
      <c r="AC32" s="226">
        <v>7200</v>
      </c>
      <c r="AD32" s="227">
        <v>4.25</v>
      </c>
      <c r="AE32" s="227">
        <v>8.3800000000000008</v>
      </c>
      <c r="AF32" s="62">
        <f t="shared" si="7"/>
        <v>306</v>
      </c>
      <c r="AG32" s="63">
        <f t="shared" si="8"/>
        <v>603.36000000000013</v>
      </c>
      <c r="AH32" s="97">
        <v>9377</v>
      </c>
      <c r="AI32" s="71">
        <v>4.5</v>
      </c>
      <c r="AJ32" s="71">
        <v>8.41</v>
      </c>
      <c r="AK32" s="62">
        <f t="shared" si="18"/>
        <v>421.96499999999997</v>
      </c>
      <c r="AL32" s="72">
        <f t="shared" si="19"/>
        <v>788.60570000000007</v>
      </c>
      <c r="AM32" s="73">
        <f t="shared" si="20"/>
        <v>0.37700000000040745</v>
      </c>
      <c r="AN32" s="74">
        <f t="shared" si="21"/>
        <v>18.375193999999908</v>
      </c>
      <c r="AO32" s="74">
        <f t="shared" si="22"/>
        <v>1.6437639999999192</v>
      </c>
      <c r="AP32" s="75">
        <f t="shared" si="23"/>
        <v>2.1165560814983483E-2</v>
      </c>
      <c r="AQ32" s="76">
        <f t="shared" si="24"/>
        <v>8740.7430700332679</v>
      </c>
      <c r="AR32" s="90">
        <f t="shared" si="13"/>
        <v>0.37700000000040745</v>
      </c>
    </row>
    <row r="33" spans="1:49" x14ac:dyDescent="0.25">
      <c r="A33" t="str">
        <f t="shared" si="14"/>
        <v>46188E</v>
      </c>
      <c r="B33" s="51">
        <f t="shared" si="26"/>
        <v>46188</v>
      </c>
      <c r="C33" s="52" t="s">
        <v>88</v>
      </c>
      <c r="D33" s="91">
        <v>9377</v>
      </c>
      <c r="E33" s="62">
        <v>4.5</v>
      </c>
      <c r="F33" s="62">
        <v>8.41</v>
      </c>
      <c r="G33" s="62">
        <f t="shared" si="29"/>
        <v>421.96499999999997</v>
      </c>
      <c r="H33" s="72">
        <f t="shared" si="30"/>
        <v>788.60570000000007</v>
      </c>
      <c r="I33" s="203">
        <v>7206.6000000000022</v>
      </c>
      <c r="J33" s="203">
        <v>7422.7980000000025</v>
      </c>
      <c r="K33" s="203">
        <v>4.3120889184913844</v>
      </c>
      <c r="L33" s="203">
        <v>8.4780673271723135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5"/>
        <v>7422.7980000000025</v>
      </c>
      <c r="S33" s="62">
        <f t="shared" si="16"/>
        <v>320.07765000000023</v>
      </c>
      <c r="T33" s="63">
        <f t="shared" si="17"/>
        <v>629.30981200000008</v>
      </c>
      <c r="U33" s="65" t="s">
        <v>293</v>
      </c>
      <c r="V33" s="65" t="s">
        <v>601</v>
      </c>
      <c r="W33" s="66" t="s">
        <v>208</v>
      </c>
      <c r="X33" s="67">
        <v>5900</v>
      </c>
      <c r="Y33" s="68">
        <v>4.55</v>
      </c>
      <c r="Z33" s="68">
        <v>8.4499999999999993</v>
      </c>
      <c r="AA33" s="62">
        <f t="shared" si="5"/>
        <v>268.45</v>
      </c>
      <c r="AB33" s="63">
        <f t="shared" si="6"/>
        <v>498.54999999999995</v>
      </c>
      <c r="AC33" s="69">
        <v>5820</v>
      </c>
      <c r="AD33" s="70">
        <v>4.2</v>
      </c>
      <c r="AE33" s="70">
        <v>8</v>
      </c>
      <c r="AF33" s="62">
        <f t="shared" si="7"/>
        <v>244.44000000000003</v>
      </c>
      <c r="AG33" s="63">
        <f t="shared" si="8"/>
        <v>465.6</v>
      </c>
      <c r="AH33" s="97">
        <v>10899</v>
      </c>
      <c r="AI33" s="71">
        <v>4.42</v>
      </c>
      <c r="AJ33" s="71">
        <v>8.44</v>
      </c>
      <c r="AK33" s="62">
        <f t="shared" si="18"/>
        <v>481.73579999999998</v>
      </c>
      <c r="AL33" s="72">
        <f t="shared" si="19"/>
        <v>919.87559999999985</v>
      </c>
      <c r="AM33" s="73">
        <f t="shared" si="20"/>
        <v>80.798000000002503</v>
      </c>
      <c r="AN33" s="74">
        <f t="shared" si="21"/>
        <v>15.86685000000017</v>
      </c>
      <c r="AO33" s="74">
        <f t="shared" si="22"/>
        <v>32.439912000000163</v>
      </c>
      <c r="AP33" s="75">
        <f t="shared" si="23"/>
        <v>5.0882030712978088E-2</v>
      </c>
      <c r="AQ33" s="76">
        <f t="shared" si="24"/>
        <v>16831.188230780128</v>
      </c>
      <c r="AR33" s="90">
        <f t="shared" si="13"/>
        <v>0.79800000000250293</v>
      </c>
    </row>
    <row r="34" spans="1:49" x14ac:dyDescent="0.25">
      <c r="A34" t="str">
        <f t="shared" si="14"/>
        <v>46189M</v>
      </c>
      <c r="B34" s="51">
        <f t="shared" si="26"/>
        <v>46189</v>
      </c>
      <c r="C34" s="52" t="s">
        <v>87</v>
      </c>
      <c r="D34" s="91">
        <v>10899</v>
      </c>
      <c r="E34" s="62">
        <v>4.42</v>
      </c>
      <c r="F34" s="62">
        <v>8.44</v>
      </c>
      <c r="G34" s="62">
        <f t="shared" si="29"/>
        <v>481.73579999999998</v>
      </c>
      <c r="H34" s="72">
        <f t="shared" si="30"/>
        <v>919.87559999999985</v>
      </c>
      <c r="I34" s="203">
        <v>5952.0000000000009</v>
      </c>
      <c r="J34" s="203">
        <v>6130.5600000000013</v>
      </c>
      <c r="K34" s="203">
        <v>4.7117254704301086</v>
      </c>
      <c r="L34" s="203">
        <v>8.2875806451612899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5"/>
        <v>6130.5600000000013</v>
      </c>
      <c r="S34" s="62">
        <f t="shared" si="16"/>
        <v>288.85515700000013</v>
      </c>
      <c r="T34" s="63">
        <f t="shared" si="17"/>
        <v>508.07510400000007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97">
        <v>17029</v>
      </c>
      <c r="AI34" s="71">
        <v>4.5199999999999996</v>
      </c>
      <c r="AJ34" s="71">
        <v>8.39</v>
      </c>
      <c r="AK34" s="62">
        <f t="shared" si="18"/>
        <v>769.71079999999995</v>
      </c>
      <c r="AL34" s="72">
        <f t="shared" si="19"/>
        <v>1428.7331000000001</v>
      </c>
      <c r="AM34" s="73">
        <f t="shared" si="20"/>
        <v>0.56000000000130967</v>
      </c>
      <c r="AN34" s="74">
        <f t="shared" si="21"/>
        <v>0.8801570000001675</v>
      </c>
      <c r="AO34" s="74">
        <f t="shared" si="22"/>
        <v>-0.78239600000028986</v>
      </c>
      <c r="AP34" s="75">
        <f t="shared" si="23"/>
        <v>1.2267196363858194E-4</v>
      </c>
      <c r="AQ34" s="76">
        <f t="shared" si="24"/>
        <v>160.9610199633218</v>
      </c>
      <c r="AR34" s="90">
        <f t="shared" si="13"/>
        <v>0.56000000000130967</v>
      </c>
    </row>
    <row r="35" spans="1:49" x14ac:dyDescent="0.25">
      <c r="A35" t="str">
        <f t="shared" si="14"/>
        <v>46189E</v>
      </c>
      <c r="B35" s="51">
        <f t="shared" si="26"/>
        <v>46189</v>
      </c>
      <c r="C35" s="52" t="s">
        <v>88</v>
      </c>
      <c r="D35" s="91">
        <v>17029</v>
      </c>
      <c r="E35" s="62">
        <v>4.5199999999999996</v>
      </c>
      <c r="F35" s="62">
        <v>8.39</v>
      </c>
      <c r="G35" s="62">
        <f t="shared" si="29"/>
        <v>769.71079999999995</v>
      </c>
      <c r="H35" s="72">
        <f t="shared" si="30"/>
        <v>1428.7331000000001</v>
      </c>
      <c r="I35" s="203">
        <v>7525.0000000000009</v>
      </c>
      <c r="J35" s="203">
        <v>7750.7500000000009</v>
      </c>
      <c r="K35" s="203">
        <v>4.2109049833887049</v>
      </c>
      <c r="L35" s="203">
        <v>8.3800850498338875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5"/>
        <v>7750.7500000000009</v>
      </c>
      <c r="S35" s="62">
        <f t="shared" si="16"/>
        <v>326.3767180000001</v>
      </c>
      <c r="T35" s="63">
        <f t="shared" si="17"/>
        <v>649.51944200000014</v>
      </c>
      <c r="U35" s="64" t="s">
        <v>289</v>
      </c>
      <c r="V35" s="65" t="s">
        <v>602</v>
      </c>
      <c r="W35" s="66" t="s">
        <v>291</v>
      </c>
      <c r="X35" s="67">
        <v>17500</v>
      </c>
      <c r="Y35" s="68">
        <v>4.05</v>
      </c>
      <c r="Z35" s="68">
        <v>8.4700000000000006</v>
      </c>
      <c r="AA35" s="62">
        <f t="shared" si="5"/>
        <v>708.75</v>
      </c>
      <c r="AB35" s="63">
        <f t="shared" si="6"/>
        <v>1482.2500000000002</v>
      </c>
      <c r="AC35" s="226">
        <v>17500</v>
      </c>
      <c r="AD35" s="227">
        <v>4.05</v>
      </c>
      <c r="AE35" s="227">
        <v>8.4700000000000006</v>
      </c>
      <c r="AF35" s="62">
        <f t="shared" si="7"/>
        <v>708.75</v>
      </c>
      <c r="AG35" s="63">
        <f t="shared" si="8"/>
        <v>1482.2500000000002</v>
      </c>
      <c r="AH35" s="97">
        <v>7279</v>
      </c>
      <c r="AI35" s="71">
        <v>4.42</v>
      </c>
      <c r="AJ35" s="71">
        <v>8.39</v>
      </c>
      <c r="AK35" s="62">
        <f t="shared" si="18"/>
        <v>321.73179999999996</v>
      </c>
      <c r="AL35" s="72">
        <f t="shared" si="19"/>
        <v>610.70810000000006</v>
      </c>
      <c r="AM35" s="73">
        <f t="shared" si="20"/>
        <v>0.75</v>
      </c>
      <c r="AN35" s="74">
        <f t="shared" si="21"/>
        <v>65.605718000000081</v>
      </c>
      <c r="AO35" s="74">
        <f t="shared" si="22"/>
        <v>-14.70555800000011</v>
      </c>
      <c r="AP35" s="75">
        <f t="shared" si="23"/>
        <v>5.2157352478976821E-2</v>
      </c>
      <c r="AQ35" s="76">
        <f t="shared" si="24"/>
        <v>25050.081506193339</v>
      </c>
      <c r="AR35" s="90">
        <f t="shared" si="13"/>
        <v>0.75</v>
      </c>
    </row>
    <row r="36" spans="1:49" x14ac:dyDescent="0.25">
      <c r="A36" t="str">
        <f t="shared" si="14"/>
        <v>46190M</v>
      </c>
      <c r="B36" s="51">
        <f t="shared" si="26"/>
        <v>46190</v>
      </c>
      <c r="C36" s="52" t="s">
        <v>87</v>
      </c>
      <c r="D36" s="91">
        <v>7279</v>
      </c>
      <c r="E36" s="62">
        <v>4.42</v>
      </c>
      <c r="F36" s="62">
        <v>8.39</v>
      </c>
      <c r="G36" s="62">
        <f t="shared" si="29"/>
        <v>321.73179999999996</v>
      </c>
      <c r="H36" s="72">
        <f t="shared" si="30"/>
        <v>610.70810000000006</v>
      </c>
      <c r="I36" s="203">
        <v>5786.7</v>
      </c>
      <c r="J36" s="203">
        <v>5960.3010000000004</v>
      </c>
      <c r="K36" s="203">
        <v>4.4800767276686191</v>
      </c>
      <c r="L36" s="203">
        <v>8.477610728048802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5"/>
        <v>5960.3010000000004</v>
      </c>
      <c r="S36" s="62">
        <f t="shared" si="16"/>
        <v>267.02605800000003</v>
      </c>
      <c r="T36" s="63">
        <f t="shared" si="17"/>
        <v>505.2911170000001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97">
        <v>13239</v>
      </c>
      <c r="AI36" s="71">
        <v>4.45</v>
      </c>
      <c r="AJ36" s="71">
        <v>8.43</v>
      </c>
      <c r="AK36" s="62">
        <f t="shared" si="18"/>
        <v>589.13550000000009</v>
      </c>
      <c r="AL36" s="72">
        <f t="shared" si="19"/>
        <v>1116.0477000000001</v>
      </c>
      <c r="AM36" s="73">
        <f t="shared" si="20"/>
        <v>0.30099999999947613</v>
      </c>
      <c r="AN36" s="74">
        <f t="shared" si="21"/>
        <v>-0.3776420000001508</v>
      </c>
      <c r="AO36" s="74">
        <f t="shared" si="22"/>
        <v>-4.8483000000032916E-2</v>
      </c>
      <c r="AP36" s="75">
        <f t="shared" si="23"/>
        <v>-5.5174870350407999E-4</v>
      </c>
      <c r="AQ36" s="76">
        <f t="shared" si="24"/>
        <v>-184.03693924007754</v>
      </c>
      <c r="AR36" s="90">
        <f t="shared" ref="AR36:AR48" si="31">(D36+J36+O36)-(X36+AH36)</f>
        <v>0.30099999999947613</v>
      </c>
    </row>
    <row r="37" spans="1:49" x14ac:dyDescent="0.25">
      <c r="A37" t="str">
        <f t="shared" si="14"/>
        <v>46190E</v>
      </c>
      <c r="B37" s="51">
        <f t="shared" si="26"/>
        <v>46190</v>
      </c>
      <c r="C37" s="52" t="s">
        <v>88</v>
      </c>
      <c r="D37" s="91">
        <v>13239</v>
      </c>
      <c r="E37" s="62">
        <v>4.45</v>
      </c>
      <c r="F37" s="62">
        <v>8.43</v>
      </c>
      <c r="G37" s="62">
        <f t="shared" si="29"/>
        <v>589.13550000000009</v>
      </c>
      <c r="H37" s="72">
        <f t="shared" si="30"/>
        <v>1116.0477000000001</v>
      </c>
      <c r="I37" s="203">
        <v>6549.4000000000005</v>
      </c>
      <c r="J37" s="203">
        <v>6745.8820000000005</v>
      </c>
      <c r="K37" s="203">
        <v>4.3932726661984303</v>
      </c>
      <c r="L37" s="203">
        <v>8.3025590130393603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5"/>
        <v>6745.8820000000005</v>
      </c>
      <c r="S37" s="62">
        <f t="shared" si="16"/>
        <v>296.36499000000003</v>
      </c>
      <c r="T37" s="63">
        <f t="shared" si="17"/>
        <v>560.08083399999998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ref="AA37:AA43" si="32">X37*Y37%</f>
        <v>0</v>
      </c>
      <c r="AB37" s="63">
        <f t="shared" ref="AB37:AB43" si="33">X37*Z37%</f>
        <v>0</v>
      </c>
      <c r="AC37" s="69"/>
      <c r="AD37" s="70"/>
      <c r="AE37" s="70"/>
      <c r="AF37" s="62">
        <f t="shared" ref="AF37:AF49" si="34">AC37*AD37%</f>
        <v>0</v>
      </c>
      <c r="AG37" s="63">
        <f t="shared" ref="AG37:AG49" si="35">AC37*AE37%</f>
        <v>0</v>
      </c>
      <c r="AH37" s="97">
        <v>19984</v>
      </c>
      <c r="AI37" s="71">
        <v>4.43</v>
      </c>
      <c r="AJ37" s="71">
        <v>8.39</v>
      </c>
      <c r="AK37" s="62">
        <f t="shared" si="18"/>
        <v>885.2912</v>
      </c>
      <c r="AL37" s="72">
        <f t="shared" si="19"/>
        <v>1676.6576</v>
      </c>
      <c r="AM37" s="73">
        <f t="shared" si="20"/>
        <v>0.88200000000142609</v>
      </c>
      <c r="AN37" s="74">
        <f t="shared" si="21"/>
        <v>0.20929000000012365</v>
      </c>
      <c r="AO37" s="74">
        <f t="shared" si="22"/>
        <v>-0.5290660000000571</v>
      </c>
      <c r="AP37" s="75">
        <f t="shared" si="23"/>
        <v>-3.7337563105443251E-4</v>
      </c>
      <c r="AQ37" s="76">
        <f t="shared" si="24"/>
        <v>-64.382971473294916</v>
      </c>
      <c r="AR37" s="90">
        <f t="shared" si="31"/>
        <v>0.88200000000142609</v>
      </c>
    </row>
    <row r="38" spans="1:49" x14ac:dyDescent="0.25">
      <c r="A38" t="str">
        <f t="shared" si="14"/>
        <v>46191M</v>
      </c>
      <c r="B38" s="51">
        <f t="shared" si="26"/>
        <v>46191</v>
      </c>
      <c r="C38" s="52" t="s">
        <v>87</v>
      </c>
      <c r="D38" s="91">
        <v>19984</v>
      </c>
      <c r="E38" s="62">
        <v>4.43</v>
      </c>
      <c r="F38" s="62">
        <v>8.39</v>
      </c>
      <c r="G38" s="62">
        <f t="shared" si="29"/>
        <v>885.2912</v>
      </c>
      <c r="H38" s="72">
        <f t="shared" si="30"/>
        <v>1676.6576</v>
      </c>
      <c r="I38" s="203">
        <v>8404.2999999999993</v>
      </c>
      <c r="J38" s="203">
        <v>8656.4290000000001</v>
      </c>
      <c r="K38" s="203">
        <v>4.3846876003950364</v>
      </c>
      <c r="L38" s="203">
        <v>8.269564389657674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5"/>
        <v>8656.4290000000001</v>
      </c>
      <c r="S38" s="62">
        <f t="shared" si="16"/>
        <v>379.55736899999999</v>
      </c>
      <c r="T38" s="63">
        <f t="shared" si="17"/>
        <v>715.84896999999989</v>
      </c>
      <c r="U38" s="64" t="s">
        <v>286</v>
      </c>
      <c r="V38" s="65" t="s">
        <v>653</v>
      </c>
      <c r="W38" s="66" t="s">
        <v>217</v>
      </c>
      <c r="X38" s="67">
        <v>9900</v>
      </c>
      <c r="Y38" s="68">
        <v>4.4000000000000004</v>
      </c>
      <c r="Z38" s="68">
        <v>8.5399999999999991</v>
      </c>
      <c r="AA38" s="62">
        <f t="shared" si="32"/>
        <v>435.6</v>
      </c>
      <c r="AB38" s="63">
        <f t="shared" si="33"/>
        <v>845.45999999999992</v>
      </c>
      <c r="AC38" s="226">
        <v>9900</v>
      </c>
      <c r="AD38" s="227">
        <v>4.4000000000000004</v>
      </c>
      <c r="AE38" s="227">
        <v>8.5399999999999991</v>
      </c>
      <c r="AF38" s="62">
        <f t="shared" si="34"/>
        <v>435.6</v>
      </c>
      <c r="AG38" s="63">
        <f t="shared" si="35"/>
        <v>845.45999999999992</v>
      </c>
      <c r="AH38" s="97">
        <v>18740</v>
      </c>
      <c r="AI38" s="71">
        <v>4.41</v>
      </c>
      <c r="AJ38" s="71">
        <v>8.35</v>
      </c>
      <c r="AK38" s="62">
        <f t="shared" si="18"/>
        <v>826.43399999999997</v>
      </c>
      <c r="AL38" s="72">
        <f t="shared" si="19"/>
        <v>1564.7899999999997</v>
      </c>
      <c r="AM38" s="73">
        <f t="shared" si="20"/>
        <v>0.42900000000008731</v>
      </c>
      <c r="AN38" s="74">
        <f t="shared" si="21"/>
        <v>2.8145690000000059</v>
      </c>
      <c r="AO38" s="74">
        <f t="shared" si="22"/>
        <v>-17.743429999999762</v>
      </c>
      <c r="AP38" s="75">
        <f t="shared" si="23"/>
        <v>-1.3628605631065056E-2</v>
      </c>
      <c r="AQ38" s="76">
        <f t="shared" si="24"/>
        <v>-4046.6472710765929</v>
      </c>
      <c r="AR38" s="90">
        <f t="shared" si="31"/>
        <v>0.42900000000008731</v>
      </c>
    </row>
    <row r="39" spans="1:49" x14ac:dyDescent="0.25">
      <c r="A39" t="str">
        <f t="shared" si="14"/>
        <v>46191E</v>
      </c>
      <c r="B39" s="51">
        <f t="shared" si="26"/>
        <v>46191</v>
      </c>
      <c r="C39" s="52" t="s">
        <v>88</v>
      </c>
      <c r="D39" s="91">
        <v>18740</v>
      </c>
      <c r="E39" s="62">
        <v>4.41</v>
      </c>
      <c r="F39" s="62">
        <v>8.35</v>
      </c>
      <c r="G39" s="62">
        <f t="shared" si="29"/>
        <v>826.43399999999997</v>
      </c>
      <c r="H39" s="72">
        <f t="shared" si="30"/>
        <v>1564.7899999999997</v>
      </c>
      <c r="I39" s="203">
        <v>9711.0999999999985</v>
      </c>
      <c r="J39" s="203">
        <v>10002.432999999999</v>
      </c>
      <c r="K39" s="203">
        <v>4.370713925301974</v>
      </c>
      <c r="L39" s="203">
        <v>8.3683588882824829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5"/>
        <v>10002.432999999999</v>
      </c>
      <c r="S39" s="62">
        <f t="shared" si="16"/>
        <v>437.17773199999999</v>
      </c>
      <c r="T39" s="63">
        <f t="shared" si="17"/>
        <v>837.03949100000011</v>
      </c>
      <c r="U39" s="64" t="s">
        <v>280</v>
      </c>
      <c r="V39" s="65" t="s">
        <v>654</v>
      </c>
      <c r="W39" s="66" t="s">
        <v>208</v>
      </c>
      <c r="X39" s="67">
        <v>7200</v>
      </c>
      <c r="Y39" s="68">
        <v>4.47</v>
      </c>
      <c r="Z39" s="68">
        <v>8.42</v>
      </c>
      <c r="AA39" s="62">
        <f t="shared" si="32"/>
        <v>321.83999999999997</v>
      </c>
      <c r="AB39" s="63">
        <f t="shared" si="33"/>
        <v>606.24</v>
      </c>
      <c r="AC39" s="226">
        <v>7200</v>
      </c>
      <c r="AD39" s="227">
        <v>4.47</v>
      </c>
      <c r="AE39" s="227">
        <v>8.42</v>
      </c>
      <c r="AF39" s="62">
        <f t="shared" si="34"/>
        <v>321.83999999999997</v>
      </c>
      <c r="AG39" s="63">
        <f t="shared" si="35"/>
        <v>606.24</v>
      </c>
      <c r="AH39" s="97">
        <v>21542</v>
      </c>
      <c r="AI39" s="71">
        <v>4.4000000000000004</v>
      </c>
      <c r="AJ39" s="71">
        <v>8.36</v>
      </c>
      <c r="AK39" s="62">
        <f t="shared" si="18"/>
        <v>947.84800000000007</v>
      </c>
      <c r="AL39" s="72">
        <f t="shared" si="19"/>
        <v>1800.9111999999998</v>
      </c>
      <c r="AM39" s="73">
        <f t="shared" si="20"/>
        <v>0.43299999999726424</v>
      </c>
      <c r="AN39" s="74">
        <f t="shared" si="21"/>
        <v>-6.076268000000141</v>
      </c>
      <c r="AO39" s="74">
        <f t="shared" si="22"/>
        <v>-5.3217089999998279</v>
      </c>
      <c r="AP39" s="75">
        <f t="shared" si="23"/>
        <v>-8.9450815718568957E-3</v>
      </c>
      <c r="AQ39" s="76">
        <f t="shared" si="24"/>
        <v>-4320.3430593400117</v>
      </c>
      <c r="AR39" s="90">
        <f t="shared" si="31"/>
        <v>0.43299999999726424</v>
      </c>
    </row>
    <row r="40" spans="1:49" x14ac:dyDescent="0.25">
      <c r="A40" t="str">
        <f t="shared" si="14"/>
        <v>46192M</v>
      </c>
      <c r="B40" s="51">
        <f t="shared" si="26"/>
        <v>46192</v>
      </c>
      <c r="C40" s="52" t="s">
        <v>87</v>
      </c>
      <c r="D40" s="91"/>
      <c r="E40" s="62"/>
      <c r="F40" s="62"/>
      <c r="G40" s="62">
        <f t="shared" si="29"/>
        <v>0</v>
      </c>
      <c r="H40" s="72">
        <f t="shared" si="30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5"/>
        <v>0</v>
      </c>
      <c r="S40" s="62">
        <f t="shared" si="16"/>
        <v>0</v>
      </c>
      <c r="T40" s="63">
        <f t="shared" si="17"/>
        <v>0</v>
      </c>
      <c r="U40" s="64"/>
      <c r="V40" s="65"/>
      <c r="W40" s="66"/>
      <c r="X40" s="67"/>
      <c r="Y40" s="68"/>
      <c r="Z40" s="68"/>
      <c r="AA40" s="62">
        <f t="shared" si="32"/>
        <v>0</v>
      </c>
      <c r="AB40" s="63">
        <f t="shared" si="33"/>
        <v>0</v>
      </c>
      <c r="AC40" s="69"/>
      <c r="AD40" s="70"/>
      <c r="AE40" s="70"/>
      <c r="AF40" s="62">
        <f t="shared" si="34"/>
        <v>0</v>
      </c>
      <c r="AG40" s="63">
        <f t="shared" si="35"/>
        <v>0</v>
      </c>
      <c r="AH40" s="97"/>
      <c r="AI40" s="66"/>
      <c r="AJ40" s="66"/>
      <c r="AK40" s="62">
        <f t="shared" si="18"/>
        <v>0</v>
      </c>
      <c r="AL40" s="72">
        <f t="shared" si="19"/>
        <v>0</v>
      </c>
      <c r="AM40" s="73">
        <f t="shared" si="20"/>
        <v>0</v>
      </c>
      <c r="AN40" s="74">
        <f t="shared" si="21"/>
        <v>0</v>
      </c>
      <c r="AO40" s="74">
        <f t="shared" si="22"/>
        <v>0</v>
      </c>
      <c r="AP40" s="75" t="e">
        <f t="shared" si="23"/>
        <v>#DIV/0!</v>
      </c>
      <c r="AQ40" s="76">
        <f t="shared" si="24"/>
        <v>0</v>
      </c>
      <c r="AR40" s="90">
        <f t="shared" si="31"/>
        <v>0</v>
      </c>
    </row>
    <row r="41" spans="1:49" x14ac:dyDescent="0.25">
      <c r="A41" t="str">
        <f t="shared" si="14"/>
        <v>46192E</v>
      </c>
      <c r="B41" s="51">
        <f t="shared" si="26"/>
        <v>46192</v>
      </c>
      <c r="C41" s="52" t="s">
        <v>88</v>
      </c>
      <c r="D41" s="91"/>
      <c r="E41" s="62"/>
      <c r="F41" s="62"/>
      <c r="G41" s="62">
        <f t="shared" si="29"/>
        <v>0</v>
      </c>
      <c r="H41" s="72">
        <f t="shared" si="30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5"/>
        <v>0</v>
      </c>
      <c r="S41" s="62">
        <f t="shared" si="16"/>
        <v>0</v>
      </c>
      <c r="T41" s="63">
        <f t="shared" si="17"/>
        <v>0</v>
      </c>
      <c r="U41" s="64"/>
      <c r="V41" s="65"/>
      <c r="W41" s="66"/>
      <c r="X41" s="67"/>
      <c r="Y41" s="68"/>
      <c r="Z41" s="68"/>
      <c r="AA41" s="62">
        <f t="shared" si="32"/>
        <v>0</v>
      </c>
      <c r="AB41" s="63">
        <f t="shared" si="33"/>
        <v>0</v>
      </c>
      <c r="AC41" s="69"/>
      <c r="AD41" s="70"/>
      <c r="AE41" s="70"/>
      <c r="AF41" s="62">
        <f t="shared" si="34"/>
        <v>0</v>
      </c>
      <c r="AG41" s="63">
        <f t="shared" si="35"/>
        <v>0</v>
      </c>
      <c r="AH41" s="97"/>
      <c r="AI41" s="66"/>
      <c r="AJ41" s="66"/>
      <c r="AK41" s="62">
        <f t="shared" si="18"/>
        <v>0</v>
      </c>
      <c r="AL41" s="72">
        <f t="shared" si="19"/>
        <v>0</v>
      </c>
      <c r="AM41" s="73">
        <f t="shared" si="20"/>
        <v>0</v>
      </c>
      <c r="AN41" s="74">
        <f t="shared" si="21"/>
        <v>0</v>
      </c>
      <c r="AO41" s="74">
        <f t="shared" si="22"/>
        <v>0</v>
      </c>
      <c r="AP41" s="75" t="e">
        <f t="shared" si="23"/>
        <v>#DIV/0!</v>
      </c>
      <c r="AQ41" s="76">
        <f t="shared" si="24"/>
        <v>0</v>
      </c>
      <c r="AR41" s="90">
        <f t="shared" si="31"/>
        <v>0</v>
      </c>
      <c r="AS41" s="90">
        <f>SUM(J28:J41)</f>
        <v>91905.046000000017</v>
      </c>
      <c r="AT41" s="83">
        <f>SUM(AM28:AM41)</f>
        <v>477.04599999999846</v>
      </c>
      <c r="AU41" s="83">
        <f>SUM(AN28:AN41)</f>
        <v>102.700152</v>
      </c>
      <c r="AV41" s="83">
        <f>SUM(AO28:AO41)</f>
        <v>24.706554999999412</v>
      </c>
      <c r="AW41" s="83">
        <f>-SUM(AQ28:AQ41)</f>
        <v>-53497.138304353168</v>
      </c>
    </row>
    <row r="42" spans="1:49" x14ac:dyDescent="0.25">
      <c r="A42" t="str">
        <f t="shared" si="14"/>
        <v>46193M</v>
      </c>
      <c r="B42" s="51">
        <f t="shared" si="26"/>
        <v>46193</v>
      </c>
      <c r="C42" s="52" t="s">
        <v>87</v>
      </c>
      <c r="D42" s="91"/>
      <c r="E42" s="62"/>
      <c r="F42" s="62"/>
      <c r="G42" s="62">
        <f t="shared" si="29"/>
        <v>0</v>
      </c>
      <c r="H42" s="72">
        <f t="shared" si="30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5"/>
        <v>0</v>
      </c>
      <c r="S42" s="62">
        <f t="shared" si="16"/>
        <v>0</v>
      </c>
      <c r="T42" s="63">
        <f t="shared" si="17"/>
        <v>0</v>
      </c>
      <c r="U42" s="64"/>
      <c r="V42" s="65"/>
      <c r="W42" s="66"/>
      <c r="X42" s="67"/>
      <c r="Y42" s="68"/>
      <c r="Z42" s="68"/>
      <c r="AA42" s="62">
        <f t="shared" si="32"/>
        <v>0</v>
      </c>
      <c r="AB42" s="63">
        <f t="shared" si="33"/>
        <v>0</v>
      </c>
      <c r="AC42" s="69"/>
      <c r="AD42" s="70"/>
      <c r="AE42" s="70"/>
      <c r="AF42" s="62">
        <f t="shared" si="34"/>
        <v>0</v>
      </c>
      <c r="AG42" s="63">
        <f t="shared" si="35"/>
        <v>0</v>
      </c>
      <c r="AH42" s="97"/>
      <c r="AI42" s="66"/>
      <c r="AJ42" s="66"/>
      <c r="AK42" s="62">
        <f t="shared" si="18"/>
        <v>0</v>
      </c>
      <c r="AL42" s="72">
        <f t="shared" si="19"/>
        <v>0</v>
      </c>
      <c r="AM42" s="73">
        <f t="shared" si="20"/>
        <v>0</v>
      </c>
      <c r="AN42" s="74">
        <f t="shared" si="21"/>
        <v>0</v>
      </c>
      <c r="AO42" s="74">
        <f t="shared" si="22"/>
        <v>0</v>
      </c>
      <c r="AP42" s="75" t="e">
        <f t="shared" si="23"/>
        <v>#DIV/0!</v>
      </c>
      <c r="AQ42" s="76">
        <f t="shared" si="24"/>
        <v>0</v>
      </c>
      <c r="AR42" s="90">
        <f t="shared" si="31"/>
        <v>0</v>
      </c>
    </row>
    <row r="43" spans="1:49" x14ac:dyDescent="0.25">
      <c r="A43" t="str">
        <f t="shared" si="14"/>
        <v>46193E</v>
      </c>
      <c r="B43" s="51">
        <f t="shared" si="26"/>
        <v>46193</v>
      </c>
      <c r="C43" s="52" t="s">
        <v>88</v>
      </c>
      <c r="D43" s="91"/>
      <c r="E43" s="62"/>
      <c r="F43" s="62"/>
      <c r="G43" s="62">
        <f t="shared" si="29"/>
        <v>0</v>
      </c>
      <c r="H43" s="72">
        <f t="shared" si="30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5"/>
        <v>0</v>
      </c>
      <c r="S43" s="62">
        <f t="shared" si="16"/>
        <v>0</v>
      </c>
      <c r="T43" s="63">
        <f t="shared" si="17"/>
        <v>0</v>
      </c>
      <c r="U43" s="64"/>
      <c r="V43" s="65"/>
      <c r="W43" s="66"/>
      <c r="X43" s="67"/>
      <c r="Y43" s="68"/>
      <c r="Z43" s="68"/>
      <c r="AA43" s="62">
        <f t="shared" si="32"/>
        <v>0</v>
      </c>
      <c r="AB43" s="63">
        <f t="shared" si="33"/>
        <v>0</v>
      </c>
      <c r="AC43" s="69"/>
      <c r="AD43" s="70"/>
      <c r="AE43" s="70"/>
      <c r="AF43" s="62">
        <f t="shared" si="34"/>
        <v>0</v>
      </c>
      <c r="AG43" s="63">
        <f t="shared" si="35"/>
        <v>0</v>
      </c>
      <c r="AH43" s="97"/>
      <c r="AI43" s="71"/>
      <c r="AJ43" s="71"/>
      <c r="AK43" s="62">
        <f t="shared" si="18"/>
        <v>0</v>
      </c>
      <c r="AL43" s="72">
        <f t="shared" si="19"/>
        <v>0</v>
      </c>
      <c r="AM43" s="73">
        <f t="shared" si="20"/>
        <v>0</v>
      </c>
      <c r="AN43" s="74">
        <f t="shared" si="21"/>
        <v>0</v>
      </c>
      <c r="AO43" s="74">
        <f t="shared" si="22"/>
        <v>0</v>
      </c>
      <c r="AP43" s="75" t="e">
        <f t="shared" si="23"/>
        <v>#DIV/0!</v>
      </c>
      <c r="AQ43" s="76">
        <f t="shared" si="24"/>
        <v>0</v>
      </c>
      <c r="AR43" s="90">
        <f t="shared" si="31"/>
        <v>0</v>
      </c>
    </row>
    <row r="44" spans="1:49" x14ac:dyDescent="0.25">
      <c r="A44" t="str">
        <f t="shared" si="14"/>
        <v>46194M</v>
      </c>
      <c r="B44" s="51">
        <f t="shared" si="26"/>
        <v>46194</v>
      </c>
      <c r="C44" s="52" t="s">
        <v>87</v>
      </c>
      <c r="D44" s="91"/>
      <c r="E44" s="62"/>
      <c r="F44" s="62"/>
      <c r="G44" s="62">
        <f t="shared" si="29"/>
        <v>0</v>
      </c>
      <c r="H44" s="72">
        <f t="shared" si="30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5"/>
        <v>0</v>
      </c>
      <c r="S44" s="62">
        <f t="shared" si="16"/>
        <v>0</v>
      </c>
      <c r="T44" s="63">
        <f t="shared" si="17"/>
        <v>0</v>
      </c>
      <c r="U44" s="64"/>
      <c r="V44" s="65"/>
      <c r="W44" s="66"/>
      <c r="X44" s="67"/>
      <c r="Y44" s="68"/>
      <c r="Z44" s="68"/>
      <c r="AA44" s="62">
        <f t="shared" ref="AA44:AA63" si="36">X44*Y44%</f>
        <v>0</v>
      </c>
      <c r="AB44" s="63">
        <f t="shared" ref="AB44:AB63" si="37">X44*Z44%</f>
        <v>0</v>
      </c>
      <c r="AC44" s="69"/>
      <c r="AD44" s="70"/>
      <c r="AE44" s="70"/>
      <c r="AF44" s="62">
        <f t="shared" si="34"/>
        <v>0</v>
      </c>
      <c r="AG44" s="63">
        <f t="shared" si="35"/>
        <v>0</v>
      </c>
      <c r="AH44" s="97"/>
      <c r="AI44" s="66"/>
      <c r="AJ44" s="66"/>
      <c r="AK44" s="62">
        <f t="shared" si="18"/>
        <v>0</v>
      </c>
      <c r="AL44" s="72">
        <f t="shared" si="19"/>
        <v>0</v>
      </c>
      <c r="AM44" s="73">
        <f t="shared" si="20"/>
        <v>0</v>
      </c>
      <c r="AN44" s="74">
        <f t="shared" si="21"/>
        <v>0</v>
      </c>
      <c r="AO44" s="74">
        <f t="shared" si="22"/>
        <v>0</v>
      </c>
      <c r="AP44" s="75" t="e">
        <f t="shared" si="23"/>
        <v>#DIV/0!</v>
      </c>
      <c r="AQ44" s="76">
        <f t="shared" si="24"/>
        <v>0</v>
      </c>
      <c r="AR44" s="90">
        <f t="shared" si="31"/>
        <v>0</v>
      </c>
    </row>
    <row r="45" spans="1:49" x14ac:dyDescent="0.25">
      <c r="A45" t="str">
        <f t="shared" si="14"/>
        <v>46194E</v>
      </c>
      <c r="B45" s="51">
        <f t="shared" si="26"/>
        <v>46194</v>
      </c>
      <c r="C45" s="52" t="s">
        <v>88</v>
      </c>
      <c r="D45" s="91"/>
      <c r="E45" s="62"/>
      <c r="F45" s="62"/>
      <c r="G45" s="62">
        <f t="shared" si="29"/>
        <v>0</v>
      </c>
      <c r="H45" s="72">
        <f t="shared" si="30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5"/>
        <v>0</v>
      </c>
      <c r="S45" s="62">
        <f t="shared" si="16"/>
        <v>0</v>
      </c>
      <c r="T45" s="63">
        <f t="shared" si="17"/>
        <v>0</v>
      </c>
      <c r="U45" s="64"/>
      <c r="V45" s="65"/>
      <c r="W45" s="66"/>
      <c r="X45" s="67"/>
      <c r="Y45" s="68"/>
      <c r="Z45" s="68"/>
      <c r="AA45" s="62">
        <f t="shared" si="36"/>
        <v>0</v>
      </c>
      <c r="AB45" s="63">
        <f t="shared" si="37"/>
        <v>0</v>
      </c>
      <c r="AC45" s="69"/>
      <c r="AD45" s="70"/>
      <c r="AE45" s="70"/>
      <c r="AF45" s="62">
        <f t="shared" si="34"/>
        <v>0</v>
      </c>
      <c r="AG45" s="63">
        <f t="shared" si="35"/>
        <v>0</v>
      </c>
      <c r="AH45" s="97"/>
      <c r="AI45" s="66"/>
      <c r="AJ45" s="66"/>
      <c r="AK45" s="62">
        <f t="shared" si="18"/>
        <v>0</v>
      </c>
      <c r="AL45" s="72">
        <f t="shared" si="19"/>
        <v>0</v>
      </c>
      <c r="AM45" s="73">
        <f t="shared" si="20"/>
        <v>0</v>
      </c>
      <c r="AN45" s="74">
        <f t="shared" si="21"/>
        <v>0</v>
      </c>
      <c r="AO45" s="74">
        <f t="shared" si="22"/>
        <v>0</v>
      </c>
      <c r="AP45" s="75" t="e">
        <f t="shared" si="23"/>
        <v>#DIV/0!</v>
      </c>
      <c r="AQ45" s="76">
        <f t="shared" si="24"/>
        <v>0</v>
      </c>
      <c r="AR45" s="90">
        <f t="shared" si="31"/>
        <v>0</v>
      </c>
    </row>
    <row r="46" spans="1:49" x14ac:dyDescent="0.25">
      <c r="A46" t="str">
        <f t="shared" si="14"/>
        <v>46195M</v>
      </c>
      <c r="B46" s="51">
        <f t="shared" si="26"/>
        <v>46195</v>
      </c>
      <c r="C46" s="52" t="s">
        <v>87</v>
      </c>
      <c r="D46" s="91"/>
      <c r="E46" s="62"/>
      <c r="F46" s="62"/>
      <c r="G46" s="62">
        <f t="shared" si="29"/>
        <v>0</v>
      </c>
      <c r="H46" s="72">
        <f t="shared" si="30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5"/>
        <v>0</v>
      </c>
      <c r="S46" s="62">
        <f t="shared" si="16"/>
        <v>0</v>
      </c>
      <c r="T46" s="63">
        <f t="shared" si="17"/>
        <v>0</v>
      </c>
      <c r="U46" s="64"/>
      <c r="V46" s="65"/>
      <c r="W46" s="66"/>
      <c r="X46" s="67"/>
      <c r="Y46" s="68"/>
      <c r="Z46" s="68"/>
      <c r="AA46" s="62">
        <f t="shared" si="36"/>
        <v>0</v>
      </c>
      <c r="AB46" s="63">
        <f t="shared" si="37"/>
        <v>0</v>
      </c>
      <c r="AC46" s="69"/>
      <c r="AD46" s="70"/>
      <c r="AE46" s="70"/>
      <c r="AF46" s="62">
        <f t="shared" si="34"/>
        <v>0</v>
      </c>
      <c r="AG46" s="63">
        <f t="shared" si="35"/>
        <v>0</v>
      </c>
      <c r="AH46" s="97"/>
      <c r="AI46" s="66"/>
      <c r="AJ46" s="66"/>
      <c r="AK46" s="62">
        <f t="shared" si="18"/>
        <v>0</v>
      </c>
      <c r="AL46" s="72">
        <f t="shared" si="19"/>
        <v>0</v>
      </c>
      <c r="AM46" s="73">
        <f t="shared" si="20"/>
        <v>0</v>
      </c>
      <c r="AN46" s="74">
        <f t="shared" si="21"/>
        <v>0</v>
      </c>
      <c r="AO46" s="74">
        <f t="shared" si="22"/>
        <v>0</v>
      </c>
      <c r="AP46" s="75" t="e">
        <f t="shared" si="23"/>
        <v>#DIV/0!</v>
      </c>
      <c r="AQ46" s="76">
        <f t="shared" si="24"/>
        <v>0</v>
      </c>
      <c r="AR46" s="90">
        <f t="shared" si="31"/>
        <v>0</v>
      </c>
    </row>
    <row r="47" spans="1:49" x14ac:dyDescent="0.25">
      <c r="A47" t="str">
        <f t="shared" si="14"/>
        <v>46195E</v>
      </c>
      <c r="B47" s="51">
        <f t="shared" si="26"/>
        <v>46195</v>
      </c>
      <c r="C47" s="52" t="s">
        <v>88</v>
      </c>
      <c r="D47" s="91"/>
      <c r="E47" s="62"/>
      <c r="F47" s="62"/>
      <c r="G47" s="62">
        <f t="shared" si="29"/>
        <v>0</v>
      </c>
      <c r="H47" s="72">
        <f t="shared" si="30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5"/>
        <v>0</v>
      </c>
      <c r="S47" s="62">
        <f t="shared" si="16"/>
        <v>0</v>
      </c>
      <c r="T47" s="63">
        <f t="shared" si="17"/>
        <v>0</v>
      </c>
      <c r="U47" s="64"/>
      <c r="V47" s="65"/>
      <c r="W47" s="66"/>
      <c r="X47" s="67"/>
      <c r="Y47" s="68"/>
      <c r="Z47" s="68"/>
      <c r="AA47" s="62">
        <f t="shared" si="36"/>
        <v>0</v>
      </c>
      <c r="AB47" s="63">
        <f t="shared" si="37"/>
        <v>0</v>
      </c>
      <c r="AC47" s="69"/>
      <c r="AD47" s="70"/>
      <c r="AE47" s="70"/>
      <c r="AF47" s="62">
        <f t="shared" si="34"/>
        <v>0</v>
      </c>
      <c r="AG47" s="63">
        <f t="shared" si="35"/>
        <v>0</v>
      </c>
      <c r="AH47" s="97"/>
      <c r="AI47" s="66"/>
      <c r="AJ47" s="66"/>
      <c r="AK47" s="62">
        <f t="shared" si="18"/>
        <v>0</v>
      </c>
      <c r="AL47" s="72">
        <f t="shared" si="19"/>
        <v>0</v>
      </c>
      <c r="AM47" s="73">
        <f t="shared" si="20"/>
        <v>0</v>
      </c>
      <c r="AN47" s="74">
        <f t="shared" si="21"/>
        <v>0</v>
      </c>
      <c r="AO47" s="74">
        <f t="shared" si="22"/>
        <v>0</v>
      </c>
      <c r="AP47" s="75" t="e">
        <f t="shared" si="23"/>
        <v>#DIV/0!</v>
      </c>
      <c r="AQ47" s="76">
        <f t="shared" si="24"/>
        <v>0</v>
      </c>
      <c r="AR47" s="90">
        <f t="shared" si="31"/>
        <v>0</v>
      </c>
    </row>
    <row r="48" spans="1:49" x14ac:dyDescent="0.25">
      <c r="A48" t="str">
        <f t="shared" si="14"/>
        <v>46196M</v>
      </c>
      <c r="B48" s="51">
        <f t="shared" si="26"/>
        <v>46196</v>
      </c>
      <c r="C48" s="52" t="s">
        <v>87</v>
      </c>
      <c r="D48" s="91"/>
      <c r="E48" s="62"/>
      <c r="F48" s="62"/>
      <c r="G48" s="62">
        <f t="shared" si="29"/>
        <v>0</v>
      </c>
      <c r="H48" s="72">
        <f t="shared" si="30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5"/>
        <v>0</v>
      </c>
      <c r="S48" s="62">
        <f t="shared" si="16"/>
        <v>0</v>
      </c>
      <c r="T48" s="63">
        <f t="shared" si="17"/>
        <v>0</v>
      </c>
      <c r="U48" s="64"/>
      <c r="V48" s="65"/>
      <c r="W48" s="66"/>
      <c r="X48" s="67"/>
      <c r="Y48" s="68"/>
      <c r="Z48" s="68"/>
      <c r="AA48" s="62">
        <f t="shared" si="36"/>
        <v>0</v>
      </c>
      <c r="AB48" s="63">
        <f t="shared" si="37"/>
        <v>0</v>
      </c>
      <c r="AC48" s="69"/>
      <c r="AD48" s="70"/>
      <c r="AE48" s="70"/>
      <c r="AF48" s="62">
        <f t="shared" si="34"/>
        <v>0</v>
      </c>
      <c r="AG48" s="63">
        <f t="shared" si="35"/>
        <v>0</v>
      </c>
      <c r="AH48" s="97"/>
      <c r="AI48" s="66"/>
      <c r="AJ48" s="66"/>
      <c r="AK48" s="62">
        <f t="shared" si="18"/>
        <v>0</v>
      </c>
      <c r="AL48" s="72">
        <f t="shared" si="19"/>
        <v>0</v>
      </c>
      <c r="AM48" s="73">
        <f t="shared" si="20"/>
        <v>0</v>
      </c>
      <c r="AN48" s="74">
        <f t="shared" si="21"/>
        <v>0</v>
      </c>
      <c r="AO48" s="74">
        <f t="shared" si="22"/>
        <v>0</v>
      </c>
      <c r="AP48" s="75" t="e">
        <f t="shared" si="23"/>
        <v>#DIV/0!</v>
      </c>
      <c r="AQ48" s="76">
        <f t="shared" si="24"/>
        <v>0</v>
      </c>
      <c r="AR48" s="90">
        <f t="shared" si="31"/>
        <v>0</v>
      </c>
    </row>
    <row r="49" spans="1:49" x14ac:dyDescent="0.25">
      <c r="A49" t="str">
        <f t="shared" si="14"/>
        <v>46196E</v>
      </c>
      <c r="B49" s="51">
        <f t="shared" si="26"/>
        <v>46196</v>
      </c>
      <c r="C49" s="52" t="s">
        <v>88</v>
      </c>
      <c r="D49" s="91"/>
      <c r="E49" s="62"/>
      <c r="F49" s="62"/>
      <c r="G49" s="62">
        <f t="shared" si="29"/>
        <v>0</v>
      </c>
      <c r="H49" s="72">
        <f t="shared" si="30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5"/>
        <v>0</v>
      </c>
      <c r="S49" s="62">
        <f t="shared" si="16"/>
        <v>0</v>
      </c>
      <c r="T49" s="63">
        <f t="shared" si="17"/>
        <v>0</v>
      </c>
      <c r="U49" s="64"/>
      <c r="V49" s="65"/>
      <c r="W49" s="66"/>
      <c r="X49" s="67"/>
      <c r="Y49" s="68"/>
      <c r="Z49" s="68"/>
      <c r="AA49" s="62">
        <f t="shared" si="36"/>
        <v>0</v>
      </c>
      <c r="AB49" s="63">
        <f t="shared" si="37"/>
        <v>0</v>
      </c>
      <c r="AC49" s="69"/>
      <c r="AD49" s="70"/>
      <c r="AE49" s="70"/>
      <c r="AF49" s="62">
        <f t="shared" si="34"/>
        <v>0</v>
      </c>
      <c r="AG49" s="63">
        <f t="shared" si="35"/>
        <v>0</v>
      </c>
      <c r="AH49" s="97"/>
      <c r="AI49" s="66"/>
      <c r="AJ49" s="66"/>
      <c r="AK49" s="62">
        <f t="shared" si="18"/>
        <v>0</v>
      </c>
      <c r="AL49" s="72">
        <f t="shared" si="19"/>
        <v>0</v>
      </c>
      <c r="AM49" s="73">
        <f t="shared" si="20"/>
        <v>0</v>
      </c>
      <c r="AN49" s="74">
        <f t="shared" si="21"/>
        <v>0</v>
      </c>
      <c r="AO49" s="74">
        <f t="shared" si="22"/>
        <v>0</v>
      </c>
      <c r="AP49" s="75" t="e">
        <f t="shared" si="23"/>
        <v>#DIV/0!</v>
      </c>
      <c r="AQ49" s="76">
        <f t="shared" si="24"/>
        <v>0</v>
      </c>
      <c r="AR49" s="90">
        <f t="shared" si="13"/>
        <v>0</v>
      </c>
      <c r="AS49" s="90">
        <f>SUM(J36:J49)</f>
        <v>31365.044999999998</v>
      </c>
      <c r="AT49" s="83">
        <f>SUM(AM36:AM49)</f>
        <v>2.0449999999982538</v>
      </c>
      <c r="AU49" s="83">
        <f>SUM(AN36:AN49)</f>
        <v>-3.4300510000001623</v>
      </c>
      <c r="AV49" s="83">
        <f>SUM(AO36:AO49)</f>
        <v>-23.64268799999968</v>
      </c>
      <c r="AW49" s="83">
        <f>-SUM(AQ36:AQ49)</f>
        <v>8615.4102411299773</v>
      </c>
    </row>
    <row r="50" spans="1:49" x14ac:dyDescent="0.25">
      <c r="A50" t="str">
        <f t="shared" si="14"/>
        <v>46197M</v>
      </c>
      <c r="B50" s="51">
        <f t="shared" si="26"/>
        <v>46197</v>
      </c>
      <c r="C50" s="52" t="s">
        <v>87</v>
      </c>
      <c r="D50" s="91"/>
      <c r="E50" s="62"/>
      <c r="F50" s="62"/>
      <c r="G50" s="62">
        <f t="shared" si="29"/>
        <v>0</v>
      </c>
      <c r="H50" s="72">
        <f t="shared" si="30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5"/>
        <v>0</v>
      </c>
      <c r="S50" s="62">
        <f t="shared" si="16"/>
        <v>0</v>
      </c>
      <c r="T50" s="63">
        <f t="shared" si="17"/>
        <v>0</v>
      </c>
      <c r="U50" s="64"/>
      <c r="V50" s="65"/>
      <c r="W50" s="66"/>
      <c r="X50" s="67"/>
      <c r="Y50" s="68"/>
      <c r="Z50" s="68"/>
      <c r="AA50" s="62">
        <f t="shared" si="36"/>
        <v>0</v>
      </c>
      <c r="AB50" s="63">
        <f t="shared" si="37"/>
        <v>0</v>
      </c>
      <c r="AC50" s="69"/>
      <c r="AD50" s="70"/>
      <c r="AE50" s="70"/>
      <c r="AF50" s="62">
        <f t="shared" ref="AF50:AF63" si="38">AC50*AD50%</f>
        <v>0</v>
      </c>
      <c r="AG50" s="63">
        <f t="shared" ref="AG50:AG63" si="39">AC50*AE50%</f>
        <v>0</v>
      </c>
      <c r="AH50" s="97"/>
      <c r="AI50" s="66"/>
      <c r="AJ50" s="66"/>
      <c r="AK50" s="62">
        <f t="shared" si="18"/>
        <v>0</v>
      </c>
      <c r="AL50" s="72">
        <f t="shared" si="19"/>
        <v>0</v>
      </c>
      <c r="AM50" s="73">
        <f t="shared" si="20"/>
        <v>0</v>
      </c>
      <c r="AN50" s="74">
        <f t="shared" si="21"/>
        <v>0</v>
      </c>
      <c r="AO50" s="74">
        <f t="shared" si="22"/>
        <v>0</v>
      </c>
      <c r="AP50" s="75" t="e">
        <f t="shared" si="23"/>
        <v>#DIV/0!</v>
      </c>
      <c r="AQ50" s="76">
        <f t="shared" si="24"/>
        <v>0</v>
      </c>
      <c r="AR50" s="90">
        <v>0.40899999999965075</v>
      </c>
    </row>
    <row r="51" spans="1:49" x14ac:dyDescent="0.25">
      <c r="A51" t="str">
        <f t="shared" si="14"/>
        <v>46197E</v>
      </c>
      <c r="B51" s="51">
        <f t="shared" si="26"/>
        <v>46197</v>
      </c>
      <c r="C51" s="52" t="s">
        <v>88</v>
      </c>
      <c r="D51" s="91"/>
      <c r="E51" s="62"/>
      <c r="F51" s="62"/>
      <c r="G51" s="62">
        <f t="shared" si="29"/>
        <v>0</v>
      </c>
      <c r="H51" s="72">
        <f t="shared" si="30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5"/>
        <v>0</v>
      </c>
      <c r="S51" s="62">
        <f t="shared" si="16"/>
        <v>0</v>
      </c>
      <c r="T51" s="63">
        <f t="shared" si="17"/>
        <v>0</v>
      </c>
      <c r="U51" s="64"/>
      <c r="V51" s="85"/>
      <c r="W51" s="66"/>
      <c r="X51" s="67"/>
      <c r="Y51" s="68"/>
      <c r="Z51" s="68"/>
      <c r="AA51" s="62">
        <f t="shared" si="36"/>
        <v>0</v>
      </c>
      <c r="AB51" s="63">
        <f t="shared" si="37"/>
        <v>0</v>
      </c>
      <c r="AC51" s="69"/>
      <c r="AD51" s="70"/>
      <c r="AE51" s="70"/>
      <c r="AF51" s="62">
        <f t="shared" si="38"/>
        <v>0</v>
      </c>
      <c r="AG51" s="63">
        <f t="shared" si="39"/>
        <v>0</v>
      </c>
      <c r="AH51" s="97"/>
      <c r="AI51" s="66"/>
      <c r="AJ51" s="66"/>
      <c r="AK51" s="62">
        <f t="shared" si="18"/>
        <v>0</v>
      </c>
      <c r="AL51" s="72">
        <f t="shared" si="19"/>
        <v>0</v>
      </c>
      <c r="AM51" s="73">
        <f t="shared" si="20"/>
        <v>0</v>
      </c>
      <c r="AN51" s="74">
        <f t="shared" si="21"/>
        <v>0</v>
      </c>
      <c r="AO51" s="74">
        <f t="shared" si="22"/>
        <v>0</v>
      </c>
      <c r="AP51" s="75" t="e">
        <f t="shared" si="23"/>
        <v>#DIV/0!</v>
      </c>
      <c r="AQ51" s="76">
        <f t="shared" si="24"/>
        <v>0</v>
      </c>
      <c r="AR51" s="90">
        <v>8.1999999998515705E-2</v>
      </c>
    </row>
    <row r="52" spans="1:49" x14ac:dyDescent="0.25">
      <c r="A52" t="str">
        <f t="shared" si="14"/>
        <v>46198M</v>
      </c>
      <c r="B52" s="51">
        <f t="shared" si="26"/>
        <v>46198</v>
      </c>
      <c r="C52" s="52" t="s">
        <v>87</v>
      </c>
      <c r="D52" s="91"/>
      <c r="E52" s="62"/>
      <c r="F52" s="62"/>
      <c r="G52" s="62">
        <f t="shared" si="29"/>
        <v>0</v>
      </c>
      <c r="H52" s="72">
        <f t="shared" si="30"/>
        <v>0</v>
      </c>
      <c r="I52" s="119"/>
      <c r="J52" s="120"/>
      <c r="K52" s="121"/>
      <c r="L52" s="193"/>
      <c r="M52" s="58"/>
      <c r="N52" s="58"/>
      <c r="O52" s="59"/>
      <c r="P52" s="56"/>
      <c r="Q52" s="60"/>
      <c r="R52" s="61">
        <f t="shared" si="15"/>
        <v>0</v>
      </c>
      <c r="S52" s="62">
        <f t="shared" si="16"/>
        <v>0</v>
      </c>
      <c r="T52" s="63">
        <f t="shared" si="17"/>
        <v>0</v>
      </c>
      <c r="U52" s="64"/>
      <c r="V52" s="65"/>
      <c r="W52" s="66"/>
      <c r="X52" s="67"/>
      <c r="Y52" s="68"/>
      <c r="Z52" s="68"/>
      <c r="AA52" s="62">
        <f t="shared" si="36"/>
        <v>0</v>
      </c>
      <c r="AB52" s="63">
        <f t="shared" si="37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97"/>
      <c r="AI52" s="66"/>
      <c r="AJ52" s="66"/>
      <c r="AK52" s="62">
        <f t="shared" si="18"/>
        <v>0</v>
      </c>
      <c r="AL52" s="72">
        <f t="shared" si="19"/>
        <v>0</v>
      </c>
      <c r="AM52" s="73">
        <f t="shared" si="20"/>
        <v>0</v>
      </c>
      <c r="AN52" s="74">
        <f t="shared" si="21"/>
        <v>0</v>
      </c>
      <c r="AO52" s="74">
        <f t="shared" si="22"/>
        <v>0</v>
      </c>
      <c r="AP52" s="75" t="e">
        <f t="shared" si="23"/>
        <v>#DIV/0!</v>
      </c>
      <c r="AQ52" s="76">
        <f t="shared" si="24"/>
        <v>0</v>
      </c>
      <c r="AR52" s="90">
        <v>0.85900000000037835</v>
      </c>
    </row>
    <row r="53" spans="1:49" x14ac:dyDescent="0.25">
      <c r="A53" t="str">
        <f t="shared" si="14"/>
        <v>46198E</v>
      </c>
      <c r="B53" s="51">
        <f t="shared" si="26"/>
        <v>46198</v>
      </c>
      <c r="C53" s="52" t="s">
        <v>88</v>
      </c>
      <c r="D53" s="91"/>
      <c r="E53" s="62"/>
      <c r="F53" s="62"/>
      <c r="G53" s="62">
        <f t="shared" si="29"/>
        <v>0</v>
      </c>
      <c r="H53" s="72">
        <f t="shared" si="30"/>
        <v>0</v>
      </c>
      <c r="I53" s="119"/>
      <c r="J53" s="120"/>
      <c r="K53" s="121"/>
      <c r="L53" s="193"/>
      <c r="M53" s="58"/>
      <c r="N53" s="58"/>
      <c r="O53" s="59"/>
      <c r="P53" s="56"/>
      <c r="Q53" s="60"/>
      <c r="R53" s="61">
        <f t="shared" si="15"/>
        <v>0</v>
      </c>
      <c r="S53" s="62">
        <f t="shared" si="16"/>
        <v>0</v>
      </c>
      <c r="T53" s="63">
        <f t="shared" si="17"/>
        <v>0</v>
      </c>
      <c r="U53" s="64"/>
      <c r="V53" s="65"/>
      <c r="W53" s="66"/>
      <c r="X53" s="67"/>
      <c r="Y53" s="68"/>
      <c r="Z53" s="68"/>
      <c r="AA53" s="62">
        <f t="shared" si="36"/>
        <v>0</v>
      </c>
      <c r="AB53" s="63">
        <f t="shared" si="37"/>
        <v>0</v>
      </c>
      <c r="AC53" s="69"/>
      <c r="AD53" s="70"/>
      <c r="AE53" s="70"/>
      <c r="AF53" s="62">
        <f t="shared" si="38"/>
        <v>0</v>
      </c>
      <c r="AG53" s="63">
        <f t="shared" si="39"/>
        <v>0</v>
      </c>
      <c r="AH53" s="97"/>
      <c r="AI53" s="71"/>
      <c r="AJ53" s="71"/>
      <c r="AK53" s="62">
        <f t="shared" si="18"/>
        <v>0</v>
      </c>
      <c r="AL53" s="72">
        <f t="shared" si="19"/>
        <v>0</v>
      </c>
      <c r="AM53" s="73">
        <f t="shared" si="20"/>
        <v>0</v>
      </c>
      <c r="AN53" s="74">
        <f t="shared" si="21"/>
        <v>0</v>
      </c>
      <c r="AO53" s="74">
        <f t="shared" si="22"/>
        <v>0</v>
      </c>
      <c r="AP53" s="75" t="e">
        <f t="shared" si="23"/>
        <v>#DIV/0!</v>
      </c>
      <c r="AQ53" s="76">
        <f t="shared" si="24"/>
        <v>0</v>
      </c>
      <c r="AR53" s="90">
        <v>0.88000000000101863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4"/>
        <v>46199M</v>
      </c>
      <c r="B54" s="51">
        <f t="shared" si="26"/>
        <v>46199</v>
      </c>
      <c r="C54" s="52" t="s">
        <v>87</v>
      </c>
      <c r="D54" s="91"/>
      <c r="E54" s="62"/>
      <c r="F54" s="62"/>
      <c r="G54" s="62">
        <f t="shared" si="29"/>
        <v>0</v>
      </c>
      <c r="H54" s="72">
        <f t="shared" si="30"/>
        <v>0</v>
      </c>
      <c r="I54" s="119"/>
      <c r="J54" s="120"/>
      <c r="K54" s="121"/>
      <c r="L54" s="193"/>
      <c r="M54" s="58"/>
      <c r="N54" s="58"/>
      <c r="O54" s="59"/>
      <c r="P54" s="56"/>
      <c r="Q54" s="60"/>
      <c r="R54" s="61">
        <f t="shared" si="15"/>
        <v>0</v>
      </c>
      <c r="S54" s="62">
        <f t="shared" si="16"/>
        <v>0</v>
      </c>
      <c r="T54" s="63">
        <f t="shared" si="17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97"/>
      <c r="AI54" s="66"/>
      <c r="AJ54" s="66"/>
      <c r="AK54" s="62">
        <f t="shared" si="18"/>
        <v>0</v>
      </c>
      <c r="AL54" s="72">
        <f t="shared" si="19"/>
        <v>0</v>
      </c>
      <c r="AM54" s="73">
        <f t="shared" si="20"/>
        <v>0</v>
      </c>
      <c r="AN54" s="74">
        <f t="shared" si="21"/>
        <v>0</v>
      </c>
      <c r="AO54" s="74">
        <f t="shared" si="22"/>
        <v>0</v>
      </c>
      <c r="AP54" s="75" t="e">
        <f t="shared" si="23"/>
        <v>#DIV/0!</v>
      </c>
      <c r="AQ54" s="76">
        <f t="shared" si="24"/>
        <v>0</v>
      </c>
      <c r="AR54" s="90">
        <v>0.49500000000080036</v>
      </c>
    </row>
    <row r="55" spans="1:49" x14ac:dyDescent="0.25">
      <c r="A55" t="str">
        <f t="shared" si="14"/>
        <v>46199E</v>
      </c>
      <c r="B55" s="51">
        <f t="shared" si="26"/>
        <v>46199</v>
      </c>
      <c r="C55" s="52" t="s">
        <v>88</v>
      </c>
      <c r="D55" s="91"/>
      <c r="E55" s="62"/>
      <c r="F55" s="62"/>
      <c r="G55" s="62">
        <f t="shared" si="29"/>
        <v>0</v>
      </c>
      <c r="H55" s="72">
        <f t="shared" si="30"/>
        <v>0</v>
      </c>
      <c r="I55" s="119"/>
      <c r="J55" s="120"/>
      <c r="K55" s="121"/>
      <c r="L55" s="193"/>
      <c r="M55" s="58"/>
      <c r="N55" s="58"/>
      <c r="O55" s="59"/>
      <c r="P55" s="56"/>
      <c r="Q55" s="60"/>
      <c r="R55" s="61">
        <f t="shared" si="15"/>
        <v>0</v>
      </c>
      <c r="S55" s="62">
        <f t="shared" si="16"/>
        <v>0</v>
      </c>
      <c r="T55" s="63">
        <f t="shared" si="17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97"/>
      <c r="AI55" s="71"/>
      <c r="AJ55" s="71"/>
      <c r="AK55" s="62">
        <f t="shared" si="18"/>
        <v>0</v>
      </c>
      <c r="AL55" s="72">
        <f t="shared" si="19"/>
        <v>0</v>
      </c>
      <c r="AM55" s="73">
        <f t="shared" si="20"/>
        <v>0</v>
      </c>
      <c r="AN55" s="74">
        <f t="shared" si="21"/>
        <v>0</v>
      </c>
      <c r="AO55" s="74">
        <f t="shared" si="22"/>
        <v>0</v>
      </c>
      <c r="AP55" s="75" t="e">
        <f t="shared" si="23"/>
        <v>#DIV/0!</v>
      </c>
      <c r="AQ55" s="76">
        <f t="shared" si="24"/>
        <v>0</v>
      </c>
      <c r="AR55" s="90">
        <v>0.87800000000061118</v>
      </c>
    </row>
    <row r="56" spans="1:49" x14ac:dyDescent="0.25">
      <c r="A56" t="str">
        <f t="shared" si="14"/>
        <v>46200M</v>
      </c>
      <c r="B56" s="51">
        <f t="shared" si="26"/>
        <v>46200</v>
      </c>
      <c r="C56" s="52" t="s">
        <v>87</v>
      </c>
      <c r="D56" s="91"/>
      <c r="E56" s="62"/>
      <c r="F56" s="62"/>
      <c r="G56" s="62">
        <f t="shared" si="29"/>
        <v>0</v>
      </c>
      <c r="H56" s="72">
        <f t="shared" si="30"/>
        <v>0</v>
      </c>
      <c r="I56" s="119"/>
      <c r="J56" s="120"/>
      <c r="K56" s="121"/>
      <c r="L56" s="193"/>
      <c r="M56" s="58"/>
      <c r="N56" s="58"/>
      <c r="O56" s="59"/>
      <c r="P56" s="56"/>
      <c r="Q56" s="60"/>
      <c r="R56" s="61">
        <f t="shared" si="15"/>
        <v>0</v>
      </c>
      <c r="S56" s="62">
        <f t="shared" si="16"/>
        <v>0</v>
      </c>
      <c r="T56" s="63">
        <f t="shared" si="17"/>
        <v>0</v>
      </c>
      <c r="U56" s="64"/>
      <c r="V56" s="65"/>
      <c r="W56" s="66"/>
      <c r="X56" s="67"/>
      <c r="Y56" s="68"/>
      <c r="Z56" s="68"/>
      <c r="AA56" s="62">
        <f t="shared" si="36"/>
        <v>0</v>
      </c>
      <c r="AB56" s="63">
        <f t="shared" si="37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97"/>
      <c r="AI56" s="71"/>
      <c r="AJ56" s="71"/>
      <c r="AK56" s="62">
        <f t="shared" si="18"/>
        <v>0</v>
      </c>
      <c r="AL56" s="72">
        <f t="shared" si="19"/>
        <v>0</v>
      </c>
      <c r="AM56" s="73">
        <f t="shared" si="20"/>
        <v>0</v>
      </c>
      <c r="AN56" s="74">
        <f t="shared" si="21"/>
        <v>0</v>
      </c>
      <c r="AO56" s="74">
        <f t="shared" si="22"/>
        <v>0</v>
      </c>
      <c r="AP56" s="75" t="e">
        <f t="shared" si="23"/>
        <v>#DIV/0!</v>
      </c>
      <c r="AQ56" s="76">
        <f t="shared" si="24"/>
        <v>0</v>
      </c>
      <c r="AR56" s="90">
        <v>0.52599999999802094</v>
      </c>
    </row>
    <row r="57" spans="1:49" x14ac:dyDescent="0.25">
      <c r="A57" t="str">
        <f t="shared" si="14"/>
        <v>46200E</v>
      </c>
      <c r="B57" s="51">
        <f t="shared" si="26"/>
        <v>46200</v>
      </c>
      <c r="C57" s="52" t="s">
        <v>88</v>
      </c>
      <c r="D57" s="91"/>
      <c r="E57" s="62"/>
      <c r="F57" s="62"/>
      <c r="G57" s="62">
        <f t="shared" si="29"/>
        <v>0</v>
      </c>
      <c r="H57" s="72">
        <f t="shared" si="30"/>
        <v>0</v>
      </c>
      <c r="I57" s="119"/>
      <c r="J57" s="120"/>
      <c r="K57" s="121"/>
      <c r="L57" s="193"/>
      <c r="M57" s="58"/>
      <c r="N57" s="58"/>
      <c r="O57" s="59"/>
      <c r="P57" s="56"/>
      <c r="Q57" s="60"/>
      <c r="R57" s="61">
        <f t="shared" si="15"/>
        <v>0</v>
      </c>
      <c r="S57" s="62">
        <f t="shared" si="16"/>
        <v>0</v>
      </c>
      <c r="T57" s="63">
        <f t="shared" si="17"/>
        <v>0</v>
      </c>
      <c r="U57" s="64"/>
      <c r="V57" s="65"/>
      <c r="W57" s="66"/>
      <c r="X57" s="67"/>
      <c r="Y57" s="68"/>
      <c r="Z57" s="68"/>
      <c r="AA57" s="62">
        <f t="shared" si="36"/>
        <v>0</v>
      </c>
      <c r="AB57" s="63">
        <f t="shared" si="37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97"/>
      <c r="AI57" s="66"/>
      <c r="AJ57" s="66"/>
      <c r="AK57" s="62">
        <f t="shared" si="18"/>
        <v>0</v>
      </c>
      <c r="AL57" s="72">
        <f t="shared" si="19"/>
        <v>0</v>
      </c>
      <c r="AM57" s="73">
        <f t="shared" si="20"/>
        <v>0</v>
      </c>
      <c r="AN57" s="74">
        <f t="shared" si="21"/>
        <v>0</v>
      </c>
      <c r="AO57" s="74">
        <f t="shared" si="22"/>
        <v>0</v>
      </c>
      <c r="AP57" s="75" t="e">
        <f t="shared" si="23"/>
        <v>#DIV/0!</v>
      </c>
      <c r="AQ57" s="76">
        <f t="shared" si="24"/>
        <v>0</v>
      </c>
      <c r="AR57" s="90">
        <v>0.88300000000162981</v>
      </c>
    </row>
    <row r="58" spans="1:49" x14ac:dyDescent="0.25">
      <c r="A58" t="str">
        <f t="shared" si="14"/>
        <v>46201M</v>
      </c>
      <c r="B58" s="51">
        <f t="shared" si="26"/>
        <v>46201</v>
      </c>
      <c r="C58" s="52" t="s">
        <v>87</v>
      </c>
      <c r="D58" s="91"/>
      <c r="E58" s="62"/>
      <c r="F58" s="62"/>
      <c r="G58" s="62">
        <f t="shared" si="29"/>
        <v>0</v>
      </c>
      <c r="H58" s="72">
        <f t="shared" si="30"/>
        <v>0</v>
      </c>
      <c r="I58" s="119"/>
      <c r="J58" s="120"/>
      <c r="K58" s="121"/>
      <c r="L58" s="193"/>
      <c r="M58" s="58"/>
      <c r="N58" s="58"/>
      <c r="O58" s="59"/>
      <c r="P58" s="56"/>
      <c r="Q58" s="60"/>
      <c r="R58" s="61">
        <f t="shared" si="15"/>
        <v>0</v>
      </c>
      <c r="S58" s="62">
        <f t="shared" si="16"/>
        <v>0</v>
      </c>
      <c r="T58" s="63">
        <f t="shared" si="17"/>
        <v>0</v>
      </c>
      <c r="U58" s="64"/>
      <c r="V58" s="65"/>
      <c r="W58" s="66"/>
      <c r="X58" s="67"/>
      <c r="Y58" s="68"/>
      <c r="Z58" s="68"/>
      <c r="AA58" s="62">
        <f t="shared" si="36"/>
        <v>0</v>
      </c>
      <c r="AB58" s="63">
        <f t="shared" si="37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97"/>
      <c r="AI58" s="66"/>
      <c r="AJ58" s="66"/>
      <c r="AK58" s="62">
        <f t="shared" si="18"/>
        <v>0</v>
      </c>
      <c r="AL58" s="72">
        <f t="shared" si="19"/>
        <v>0</v>
      </c>
      <c r="AM58" s="73">
        <f t="shared" si="20"/>
        <v>0</v>
      </c>
      <c r="AN58" s="74">
        <f t="shared" si="21"/>
        <v>0</v>
      </c>
      <c r="AO58" s="74">
        <f t="shared" si="22"/>
        <v>0</v>
      </c>
      <c r="AP58" s="75" t="e">
        <f t="shared" si="23"/>
        <v>#DIV/0!</v>
      </c>
      <c r="AQ58" s="76">
        <f t="shared" si="24"/>
        <v>0</v>
      </c>
      <c r="AR58" s="90">
        <v>0.21500000000014552</v>
      </c>
    </row>
    <row r="59" spans="1:49" x14ac:dyDescent="0.25">
      <c r="A59" t="str">
        <f t="shared" si="14"/>
        <v>46201E</v>
      </c>
      <c r="B59" s="51">
        <f t="shared" si="26"/>
        <v>46201</v>
      </c>
      <c r="C59" s="52" t="s">
        <v>88</v>
      </c>
      <c r="D59" s="91"/>
      <c r="E59" s="62"/>
      <c r="F59" s="62"/>
      <c r="G59" s="62">
        <f t="shared" si="29"/>
        <v>0</v>
      </c>
      <c r="H59" s="72">
        <f t="shared" si="30"/>
        <v>0</v>
      </c>
      <c r="I59" s="119"/>
      <c r="J59" s="120"/>
      <c r="K59" s="121"/>
      <c r="L59" s="193"/>
      <c r="M59" s="58"/>
      <c r="N59" s="58"/>
      <c r="O59" s="59"/>
      <c r="P59" s="56"/>
      <c r="Q59" s="60"/>
      <c r="R59" s="61">
        <f t="shared" si="15"/>
        <v>0</v>
      </c>
      <c r="S59" s="62">
        <f t="shared" si="16"/>
        <v>0</v>
      </c>
      <c r="T59" s="63">
        <f t="shared" si="17"/>
        <v>0</v>
      </c>
      <c r="U59" s="64"/>
      <c r="V59" s="65"/>
      <c r="W59" s="66"/>
      <c r="X59" s="67"/>
      <c r="Y59" s="68"/>
      <c r="Z59" s="68"/>
      <c r="AA59" s="62">
        <f t="shared" si="36"/>
        <v>0</v>
      </c>
      <c r="AB59" s="63">
        <f t="shared" si="37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97"/>
      <c r="AI59" s="66"/>
      <c r="AJ59" s="66"/>
      <c r="AK59" s="62">
        <f t="shared" si="18"/>
        <v>0</v>
      </c>
      <c r="AL59" s="72">
        <f t="shared" si="19"/>
        <v>0</v>
      </c>
      <c r="AM59" s="73">
        <f t="shared" si="20"/>
        <v>0</v>
      </c>
      <c r="AN59" s="74">
        <f t="shared" si="21"/>
        <v>0</v>
      </c>
      <c r="AO59" s="74">
        <f t="shared" si="22"/>
        <v>0</v>
      </c>
      <c r="AP59" s="75" t="e">
        <f t="shared" si="23"/>
        <v>#DIV/0!</v>
      </c>
      <c r="AQ59" s="76">
        <f t="shared" si="24"/>
        <v>0</v>
      </c>
      <c r="AR59" s="90">
        <v>0.15099999999983993</v>
      </c>
    </row>
    <row r="60" spans="1:49" x14ac:dyDescent="0.25">
      <c r="A60" t="str">
        <f t="shared" si="14"/>
        <v>46202M</v>
      </c>
      <c r="B60" s="51">
        <f t="shared" si="26"/>
        <v>46202</v>
      </c>
      <c r="C60" s="52" t="s">
        <v>87</v>
      </c>
      <c r="D60" s="91"/>
      <c r="E60" s="62"/>
      <c r="F60" s="62"/>
      <c r="G60" s="62">
        <f t="shared" si="29"/>
        <v>0</v>
      </c>
      <c r="H60" s="72">
        <f t="shared" si="30"/>
        <v>0</v>
      </c>
      <c r="I60" s="119"/>
      <c r="J60" s="120"/>
      <c r="K60" s="121"/>
      <c r="L60" s="193"/>
      <c r="M60" s="58"/>
      <c r="N60" s="58"/>
      <c r="O60" s="59"/>
      <c r="P60" s="56"/>
      <c r="Q60" s="60"/>
      <c r="R60" s="61">
        <f t="shared" si="15"/>
        <v>0</v>
      </c>
      <c r="S60" s="62">
        <f t="shared" si="16"/>
        <v>0</v>
      </c>
      <c r="T60" s="63">
        <f t="shared" si="17"/>
        <v>0</v>
      </c>
      <c r="U60" s="64"/>
      <c r="V60" s="65"/>
      <c r="W60" s="66"/>
      <c r="X60" s="67"/>
      <c r="Y60" s="68"/>
      <c r="Z60" s="68"/>
      <c r="AA60" s="62">
        <f t="shared" si="36"/>
        <v>0</v>
      </c>
      <c r="AB60" s="63">
        <f t="shared" si="37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97"/>
      <c r="AI60" s="66"/>
      <c r="AJ60" s="66"/>
      <c r="AK60" s="62">
        <f t="shared" si="18"/>
        <v>0</v>
      </c>
      <c r="AL60" s="72">
        <f t="shared" si="19"/>
        <v>0</v>
      </c>
      <c r="AM60" s="73">
        <f t="shared" si="20"/>
        <v>0</v>
      </c>
      <c r="AN60" s="74">
        <f t="shared" si="21"/>
        <v>0</v>
      </c>
      <c r="AO60" s="74">
        <f t="shared" si="22"/>
        <v>0</v>
      </c>
      <c r="AP60" s="75" t="e">
        <f t="shared" si="23"/>
        <v>#DIV/0!</v>
      </c>
      <c r="AQ60" s="76">
        <f t="shared" si="24"/>
        <v>0</v>
      </c>
      <c r="AR60" s="90">
        <v>0.66500000000087311</v>
      </c>
    </row>
    <row r="61" spans="1:49" x14ac:dyDescent="0.25">
      <c r="A61" t="str">
        <f t="shared" si="14"/>
        <v>46202E</v>
      </c>
      <c r="B61" s="51">
        <f t="shared" si="26"/>
        <v>46202</v>
      </c>
      <c r="C61" s="52" t="s">
        <v>88</v>
      </c>
      <c r="D61" s="91"/>
      <c r="E61" s="62"/>
      <c r="F61" s="62"/>
      <c r="G61" s="62">
        <f t="shared" si="29"/>
        <v>0</v>
      </c>
      <c r="H61" s="72">
        <f t="shared" si="30"/>
        <v>0</v>
      </c>
      <c r="I61" s="119"/>
      <c r="J61" s="120"/>
      <c r="K61" s="121"/>
      <c r="L61" s="193"/>
      <c r="M61" s="58"/>
      <c r="N61" s="58"/>
      <c r="O61" s="59"/>
      <c r="P61" s="56"/>
      <c r="Q61" s="60"/>
      <c r="R61" s="61">
        <f t="shared" si="15"/>
        <v>0</v>
      </c>
      <c r="S61" s="62">
        <f t="shared" si="16"/>
        <v>0</v>
      </c>
      <c r="T61" s="63">
        <f t="shared" si="17"/>
        <v>0</v>
      </c>
      <c r="U61" s="64"/>
      <c r="V61" s="65"/>
      <c r="W61" s="66"/>
      <c r="X61" s="67"/>
      <c r="Y61" s="68"/>
      <c r="Z61" s="68"/>
      <c r="AA61" s="62">
        <f t="shared" si="36"/>
        <v>0</v>
      </c>
      <c r="AB61" s="63">
        <f t="shared" si="37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97"/>
      <c r="AI61" s="66"/>
      <c r="AJ61" s="66"/>
      <c r="AK61" s="62">
        <f t="shared" si="18"/>
        <v>0</v>
      </c>
      <c r="AL61" s="72">
        <f t="shared" si="19"/>
        <v>0</v>
      </c>
      <c r="AM61" s="73">
        <f t="shared" si="20"/>
        <v>0</v>
      </c>
      <c r="AN61" s="74">
        <f t="shared" si="21"/>
        <v>0</v>
      </c>
      <c r="AO61" s="74">
        <f t="shared" si="22"/>
        <v>0</v>
      </c>
      <c r="AP61" s="75" t="e">
        <f t="shared" si="23"/>
        <v>#DIV/0!</v>
      </c>
      <c r="AQ61" s="76">
        <f t="shared" si="24"/>
        <v>0</v>
      </c>
      <c r="AR61" s="90">
        <v>0.37300000000141154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4"/>
        <v>46203M</v>
      </c>
      <c r="B62" s="51">
        <f t="shared" si="26"/>
        <v>46203</v>
      </c>
      <c r="C62" s="52" t="s">
        <v>87</v>
      </c>
      <c r="D62" s="91"/>
      <c r="E62" s="62"/>
      <c r="F62" s="62"/>
      <c r="G62" s="62">
        <f t="shared" si="29"/>
        <v>0</v>
      </c>
      <c r="H62" s="72">
        <f t="shared" si="30"/>
        <v>0</v>
      </c>
      <c r="I62" s="119"/>
      <c r="J62" s="120"/>
      <c r="K62" s="121"/>
      <c r="L62" s="193"/>
      <c r="M62" s="58"/>
      <c r="N62" s="58"/>
      <c r="O62" s="59"/>
      <c r="P62" s="56"/>
      <c r="Q62" s="60"/>
      <c r="R62" s="61">
        <f t="shared" si="15"/>
        <v>0</v>
      </c>
      <c r="S62" s="62">
        <f t="shared" si="16"/>
        <v>0</v>
      </c>
      <c r="T62" s="63">
        <f t="shared" si="17"/>
        <v>0</v>
      </c>
      <c r="U62" s="64"/>
      <c r="V62" s="65"/>
      <c r="W62" s="66"/>
      <c r="X62" s="67"/>
      <c r="Y62" s="68"/>
      <c r="Z62" s="68"/>
      <c r="AA62" s="62">
        <f t="shared" si="36"/>
        <v>0</v>
      </c>
      <c r="AB62" s="63">
        <f t="shared" si="37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97"/>
      <c r="AI62" s="66"/>
      <c r="AJ62" s="66"/>
      <c r="AK62" s="62">
        <f t="shared" si="18"/>
        <v>0</v>
      </c>
      <c r="AL62" s="72">
        <f t="shared" si="19"/>
        <v>0</v>
      </c>
      <c r="AM62" s="73">
        <f t="shared" si="20"/>
        <v>0</v>
      </c>
      <c r="AN62" s="74">
        <f t="shared" si="21"/>
        <v>0</v>
      </c>
      <c r="AO62" s="74">
        <f t="shared" si="22"/>
        <v>0</v>
      </c>
      <c r="AP62" s="75" t="e">
        <f t="shared" si="23"/>
        <v>#DIV/0!</v>
      </c>
      <c r="AQ62" s="76">
        <f t="shared" si="24"/>
        <v>0</v>
      </c>
      <c r="AR62" s="90">
        <v>0.79000000000087311</v>
      </c>
    </row>
    <row r="63" spans="1:49" x14ac:dyDescent="0.25">
      <c r="A63" t="str">
        <f t="shared" si="14"/>
        <v>46203E</v>
      </c>
      <c r="B63" s="51">
        <f t="shared" si="26"/>
        <v>46203</v>
      </c>
      <c r="C63" s="52" t="s">
        <v>88</v>
      </c>
      <c r="D63" s="91"/>
      <c r="E63" s="62"/>
      <c r="F63" s="62"/>
      <c r="G63" s="62">
        <f t="shared" si="29"/>
        <v>0</v>
      </c>
      <c r="H63" s="72">
        <f t="shared" si="30"/>
        <v>0</v>
      </c>
      <c r="I63" s="119"/>
      <c r="J63" s="120"/>
      <c r="K63" s="121"/>
      <c r="L63" s="193"/>
      <c r="M63" s="58"/>
      <c r="N63" s="58"/>
      <c r="O63" s="59"/>
      <c r="P63" s="56"/>
      <c r="Q63" s="60"/>
      <c r="R63" s="61">
        <f t="shared" si="15"/>
        <v>0</v>
      </c>
      <c r="S63" s="62">
        <f t="shared" si="16"/>
        <v>0</v>
      </c>
      <c r="T63" s="63">
        <f t="shared" si="17"/>
        <v>0</v>
      </c>
      <c r="U63" s="64"/>
      <c r="V63" s="65"/>
      <c r="W63" s="66"/>
      <c r="X63" s="67"/>
      <c r="Y63" s="68"/>
      <c r="Z63" s="68"/>
      <c r="AA63" s="62">
        <f t="shared" si="36"/>
        <v>0</v>
      </c>
      <c r="AB63" s="63">
        <f t="shared" si="37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97"/>
      <c r="AI63" s="66"/>
      <c r="AJ63" s="66"/>
      <c r="AK63" s="62">
        <f t="shared" si="18"/>
        <v>0</v>
      </c>
      <c r="AL63" s="72">
        <f t="shared" si="19"/>
        <v>0</v>
      </c>
      <c r="AM63" s="73">
        <f t="shared" si="20"/>
        <v>0</v>
      </c>
      <c r="AN63" s="74">
        <f t="shared" si="21"/>
        <v>0</v>
      </c>
      <c r="AO63" s="74">
        <f t="shared" si="22"/>
        <v>0</v>
      </c>
      <c r="AP63" s="75" t="e">
        <f t="shared" si="23"/>
        <v>#DIV/0!</v>
      </c>
      <c r="AQ63" s="76">
        <f t="shared" si="24"/>
        <v>0</v>
      </c>
      <c r="AR63" s="90">
        <v>1200.5440000000017</v>
      </c>
    </row>
    <row r="64" spans="1:49" x14ac:dyDescent="0.25">
      <c r="A64" t="str">
        <f t="shared" si="14"/>
        <v>46204M</v>
      </c>
      <c r="B64" s="51">
        <f t="shared" si="26"/>
        <v>46204</v>
      </c>
      <c r="C64" s="52" t="s">
        <v>87</v>
      </c>
      <c r="D64" s="91"/>
      <c r="E64" s="62"/>
      <c r="F64" s="62"/>
      <c r="G64" s="62">
        <f t="shared" si="29"/>
        <v>0</v>
      </c>
      <c r="H64" s="72">
        <f t="shared" si="30"/>
        <v>0</v>
      </c>
      <c r="I64" s="119"/>
      <c r="J64" s="120"/>
      <c r="K64" s="121"/>
      <c r="L64" s="193"/>
      <c r="M64" s="58"/>
      <c r="N64" s="58"/>
      <c r="O64" s="59"/>
      <c r="P64" s="56"/>
      <c r="Q64" s="60"/>
      <c r="R64" s="61">
        <f t="shared" si="15"/>
        <v>0</v>
      </c>
      <c r="S64" s="62">
        <f t="shared" si="16"/>
        <v>0</v>
      </c>
      <c r="T64" s="63">
        <f t="shared" si="17"/>
        <v>0</v>
      </c>
      <c r="U64" s="64"/>
      <c r="V64" s="65"/>
      <c r="W64" s="66"/>
      <c r="X64" s="67"/>
      <c r="Y64" s="68"/>
      <c r="Z64" s="68"/>
      <c r="AA64" s="62">
        <f t="shared" ref="AA64" si="40">X64*Y64%</f>
        <v>0</v>
      </c>
      <c r="AB64" s="63">
        <f t="shared" ref="AB64" si="41">X64*Z64%</f>
        <v>0</v>
      </c>
      <c r="AC64" s="69"/>
      <c r="AD64" s="70"/>
      <c r="AE64" s="70"/>
      <c r="AF64" s="62">
        <f t="shared" ref="AF64:AF65" si="42">AC64*AD64%</f>
        <v>0</v>
      </c>
      <c r="AG64" s="63">
        <f t="shared" ref="AG64:AG65" si="43">AC64*AE64%</f>
        <v>0</v>
      </c>
      <c r="AH64" s="97"/>
      <c r="AI64" s="66"/>
      <c r="AJ64" s="66"/>
      <c r="AK64" s="62">
        <f t="shared" si="18"/>
        <v>0</v>
      </c>
      <c r="AL64" s="72">
        <f t="shared" si="19"/>
        <v>0</v>
      </c>
      <c r="AM64" s="73">
        <f t="shared" si="20"/>
        <v>0</v>
      </c>
      <c r="AN64" s="74">
        <f t="shared" si="21"/>
        <v>0</v>
      </c>
      <c r="AO64" s="74">
        <f t="shared" si="22"/>
        <v>0</v>
      </c>
      <c r="AP64" s="75" t="e">
        <f t="shared" si="23"/>
        <v>#DIV/0!</v>
      </c>
      <c r="AQ64" s="76">
        <f t="shared" si="24"/>
        <v>0</v>
      </c>
      <c r="AR64" s="90">
        <f t="shared" si="13"/>
        <v>0</v>
      </c>
    </row>
    <row r="65" spans="1:44" x14ac:dyDescent="0.25">
      <c r="A65" t="str">
        <f t="shared" si="14"/>
        <v>46204E</v>
      </c>
      <c r="B65" s="51">
        <f t="shared" si="26"/>
        <v>46204</v>
      </c>
      <c r="C65" s="52" t="s">
        <v>88</v>
      </c>
      <c r="D65" s="91"/>
      <c r="E65" s="62"/>
      <c r="F65" s="62"/>
      <c r="G65" s="62">
        <f t="shared" si="29"/>
        <v>0</v>
      </c>
      <c r="H65" s="72">
        <f t="shared" si="30"/>
        <v>0</v>
      </c>
      <c r="I65" s="119"/>
      <c r="J65" s="120"/>
      <c r="K65" s="121"/>
      <c r="L65" s="193"/>
      <c r="M65" s="58"/>
      <c r="N65" s="58"/>
      <c r="O65" s="59"/>
      <c r="P65" s="56"/>
      <c r="Q65" s="60"/>
      <c r="R65" s="61">
        <f t="shared" si="15"/>
        <v>0</v>
      </c>
      <c r="S65" s="62">
        <f t="shared" si="16"/>
        <v>0</v>
      </c>
      <c r="T65" s="63">
        <f t="shared" si="17"/>
        <v>0</v>
      </c>
      <c r="U65" s="64"/>
      <c r="V65" s="65"/>
      <c r="W65" s="66"/>
      <c r="X65" s="67"/>
      <c r="Y65" s="68"/>
      <c r="Z65" s="68"/>
      <c r="AA65" s="62">
        <f t="shared" ref="AA65" si="44">X65*Y65%</f>
        <v>0</v>
      </c>
      <c r="AB65" s="63">
        <f t="shared" ref="AB65" si="45">X65*Z65%</f>
        <v>0</v>
      </c>
      <c r="AC65" s="69"/>
      <c r="AD65" s="70"/>
      <c r="AE65" s="70"/>
      <c r="AF65" s="62">
        <f t="shared" si="42"/>
        <v>0</v>
      </c>
      <c r="AG65" s="63">
        <f t="shared" si="43"/>
        <v>0</v>
      </c>
      <c r="AH65" s="97"/>
      <c r="AI65" s="66"/>
      <c r="AJ65" s="66"/>
      <c r="AK65" s="62">
        <f t="shared" si="18"/>
        <v>0</v>
      </c>
      <c r="AL65" s="72">
        <f t="shared" si="19"/>
        <v>0</v>
      </c>
      <c r="AM65" s="73">
        <f t="shared" si="20"/>
        <v>0</v>
      </c>
      <c r="AN65" s="74">
        <f t="shared" si="21"/>
        <v>0</v>
      </c>
      <c r="AO65" s="74">
        <f t="shared" si="22"/>
        <v>0</v>
      </c>
      <c r="AP65" s="75" t="e">
        <f t="shared" si="23"/>
        <v>#DIV/0!</v>
      </c>
      <c r="AQ65" s="76">
        <f t="shared" si="24"/>
        <v>0</v>
      </c>
      <c r="AR65" s="90">
        <f t="shared" si="13"/>
        <v>0</v>
      </c>
    </row>
    <row r="66" spans="1:44" ht="15.75" thickBot="1" x14ac:dyDescent="0.3">
      <c r="J66" s="83">
        <f>SUM(J4:J65)</f>
        <v>268615.81150000007</v>
      </c>
      <c r="AM66" s="94">
        <f>-SUM(AM4:AM65)</f>
        <v>-1063.8115000000034</v>
      </c>
      <c r="AN66" s="94">
        <f>-SUM(AN4:AN65)</f>
        <v>-48.340041999999556</v>
      </c>
      <c r="AO66" s="94">
        <f>-SUM(AO4:AO65)</f>
        <v>-128.41061219999901</v>
      </c>
      <c r="AP66" s="95"/>
      <c r="AQ66" s="128">
        <f>-SUM(AQ4:AQ65)</f>
        <v>-60130.200202687527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4" priority="2" operator="lessThan">
      <formula>0.1</formula>
    </cfRule>
    <cfRule type="cellIs" dxfId="43" priority="3" operator="greaterThan">
      <formula>0.1</formula>
    </cfRule>
  </conditionalFormatting>
  <conditionalFormatting sqref="AP1:AQ1">
    <cfRule type="cellIs" dxfId="42" priority="1" operator="lessThan">
      <formula>1</formula>
    </cfRule>
  </conditionalFormatting>
  <conditionalFormatting sqref="AQ4:AQ65">
    <cfRule type="cellIs" dxfId="41" priority="8" operator="lessThan">
      <formula>0</formula>
    </cfRule>
    <cfRule type="cellIs" dxfId="40" priority="9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66"/>
  <sheetViews>
    <sheetView zoomScale="80" zoomScaleNormal="80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AH26" sqref="AH26:AJ39"/>
    </sheetView>
  </sheetViews>
  <sheetFormatPr defaultRowHeight="15" x14ac:dyDescent="0.25"/>
  <cols>
    <col min="1" max="1" width="2.5703125" customWidth="1"/>
    <col min="2" max="2" width="9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140625" bestFit="1" customWidth="1"/>
  </cols>
  <sheetData>
    <row r="1" spans="1:44" ht="15.75" thickBot="1" x14ac:dyDescent="0.3">
      <c r="B1" s="111" t="s">
        <v>155</v>
      </c>
      <c r="C1" s="44"/>
      <c r="I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56" t="s">
        <v>68</v>
      </c>
      <c r="N2" s="257"/>
      <c r="O2" s="257"/>
      <c r="P2" s="257"/>
      <c r="Q2" s="258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2" t="s">
        <v>11</v>
      </c>
    </row>
    <row r="4" spans="1:44" ht="15.75" x14ac:dyDescent="0.25">
      <c r="A4" t="str">
        <f>CONCATENATE(B4,C4)</f>
        <v>46174M</v>
      </c>
      <c r="B4" s="51">
        <v>46174</v>
      </c>
      <c r="C4" s="100" t="s">
        <v>87</v>
      </c>
      <c r="D4" s="101">
        <v>5260</v>
      </c>
      <c r="E4" s="102">
        <v>4.68</v>
      </c>
      <c r="F4" s="102">
        <v>8.14</v>
      </c>
      <c r="G4" s="62">
        <f t="shared" ref="G4:G65" si="0">+D4*E4%</f>
        <v>246.16799999999998</v>
      </c>
      <c r="H4" s="72">
        <f t="shared" ref="H4:H65" si="1">+D4*F4%</f>
        <v>428.16399999999999</v>
      </c>
      <c r="I4" s="121">
        <v>7723.2000000000007</v>
      </c>
      <c r="J4" s="121">
        <v>7954.8960000000006</v>
      </c>
      <c r="K4" s="121">
        <v>4.2865159519370213</v>
      </c>
      <c r="L4" s="121">
        <v>8.0192951108348876</v>
      </c>
      <c r="M4" s="58" t="s">
        <v>151</v>
      </c>
      <c r="N4" s="58" t="s">
        <v>295</v>
      </c>
      <c r="O4" s="59">
        <v>10000</v>
      </c>
      <c r="P4" s="56">
        <v>4.68</v>
      </c>
      <c r="Q4" s="60">
        <v>8.35</v>
      </c>
      <c r="R4" s="61">
        <f t="shared" ref="R4:R65" si="2">+J4+O4</f>
        <v>17954.896000000001</v>
      </c>
      <c r="S4" s="62">
        <f t="shared" ref="S4:S65" si="3">+J4*K4%+O4*P4%</f>
        <v>808.987886</v>
      </c>
      <c r="T4" s="63">
        <f t="shared" ref="T4:T65" si="4">+J4*L4%+O4*Q4%</f>
        <v>1472.926586</v>
      </c>
      <c r="U4" s="137" t="s">
        <v>296</v>
      </c>
      <c r="V4" s="138" t="s">
        <v>297</v>
      </c>
      <c r="W4" s="139" t="s">
        <v>191</v>
      </c>
      <c r="X4" s="140">
        <v>19870</v>
      </c>
      <c r="Y4" s="141">
        <v>4.58</v>
      </c>
      <c r="Z4" s="141">
        <v>8.35</v>
      </c>
      <c r="AA4" s="62">
        <f t="shared" ref="AA4:AA65" si="5">X4*Y4%</f>
        <v>910.04600000000005</v>
      </c>
      <c r="AB4" s="63">
        <f t="shared" ref="AB4:AB65" si="6">X4*Z4%</f>
        <v>1659.1449999999998</v>
      </c>
      <c r="AC4" s="69">
        <v>19750</v>
      </c>
      <c r="AD4" s="70">
        <v>4.5016202531645577</v>
      </c>
      <c r="AE4" s="70">
        <v>8.1829772151898723</v>
      </c>
      <c r="AF4" s="62">
        <f t="shared" ref="AF4:AF65" si="7">AC4*AD4%</f>
        <v>889.07000000000016</v>
      </c>
      <c r="AG4" s="63">
        <f t="shared" ref="AG4:AG65" si="8">AC4*AE4%</f>
        <v>1616.1379999999999</v>
      </c>
      <c r="AH4" s="142">
        <v>3345</v>
      </c>
      <c r="AI4" s="139">
        <v>4.5599999999999996</v>
      </c>
      <c r="AJ4" s="139">
        <v>8.18</v>
      </c>
      <c r="AK4" s="62">
        <f t="shared" ref="AK4:AK65" si="9">AH4*AI4%</f>
        <v>152.53199999999998</v>
      </c>
      <c r="AL4" s="72">
        <f t="shared" ref="AL4:AL65" si="10">AH4*AJ4%</f>
        <v>273.62099999999998</v>
      </c>
      <c r="AM4" s="81">
        <f>+D4+R4-AC4-AH4</f>
        <v>119.89600000000064</v>
      </c>
      <c r="AN4" s="80">
        <f t="shared" ref="AN4:AO19" si="11">+G4+S4-AF4-AK4</f>
        <v>13.553885999999864</v>
      </c>
      <c r="AO4" s="80">
        <f t="shared" si="11"/>
        <v>11.331586000000129</v>
      </c>
      <c r="AP4" s="115">
        <f>(AN4+AO4)/(S4+T4)</f>
        <v>1.0905523544091881E-2</v>
      </c>
      <c r="AQ4" s="116">
        <f t="shared" ref="AQ4:AQ65" si="12">($AP$1*AN4+$AQ$1*AO4)</f>
        <v>9475.7164784333108</v>
      </c>
      <c r="AR4" s="90">
        <f>(D4+J4+O4)-(X4+AH4)</f>
        <v>-0.10399999999935972</v>
      </c>
    </row>
    <row r="5" spans="1:44" ht="15.75" x14ac:dyDescent="0.25">
      <c r="A5" t="str">
        <f t="shared" ref="A5:A65" si="13">CONCATENATE(B5,C5)</f>
        <v>46174E</v>
      </c>
      <c r="B5" s="51">
        <f>+B4</f>
        <v>46174</v>
      </c>
      <c r="C5" s="100" t="s">
        <v>88</v>
      </c>
      <c r="D5" s="106">
        <v>3345</v>
      </c>
      <c r="E5" s="107">
        <v>4.5599999999999996</v>
      </c>
      <c r="F5" s="107">
        <v>8.18</v>
      </c>
      <c r="G5" s="62">
        <f t="shared" si="0"/>
        <v>152.53199999999998</v>
      </c>
      <c r="H5" s="72">
        <f t="shared" si="1"/>
        <v>273.62099999999998</v>
      </c>
      <c r="I5" s="121">
        <v>3243.5</v>
      </c>
      <c r="J5" s="121">
        <v>3340.8050000000003</v>
      </c>
      <c r="K5" s="121">
        <v>4.4029227686141521</v>
      </c>
      <c r="L5" s="121">
        <v>8.1104208416833696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3340.8050000000003</v>
      </c>
      <c r="S5" s="62">
        <f t="shared" si="3"/>
        <v>147.09306400000006</v>
      </c>
      <c r="T5" s="63">
        <f t="shared" si="4"/>
        <v>270.95334500000007</v>
      </c>
      <c r="U5" s="103" t="s">
        <v>167</v>
      </c>
      <c r="V5" s="104" t="s">
        <v>167</v>
      </c>
      <c r="W5" s="105">
        <v>0</v>
      </c>
      <c r="X5" s="113">
        <v>0</v>
      </c>
      <c r="Y5" s="114">
        <v>0</v>
      </c>
      <c r="Z5" s="114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3">
        <f t="shared" si="8"/>
        <v>0</v>
      </c>
      <c r="AH5" s="142">
        <v>6685</v>
      </c>
      <c r="AI5" s="139">
        <v>4.4800000000000004</v>
      </c>
      <c r="AJ5" s="139">
        <v>8.14</v>
      </c>
      <c r="AK5" s="62">
        <f t="shared" si="9"/>
        <v>299.48800000000006</v>
      </c>
      <c r="AL5" s="72">
        <f t="shared" si="10"/>
        <v>544.15899999999999</v>
      </c>
      <c r="AM5" s="81">
        <f t="shared" ref="AM5:AM65" si="14">+D5+R5-AC5-AH5</f>
        <v>0.80500000000029104</v>
      </c>
      <c r="AN5" s="80">
        <f t="shared" si="11"/>
        <v>0.1370640000000094</v>
      </c>
      <c r="AO5" s="80">
        <f t="shared" si="11"/>
        <v>0.41534500000000207</v>
      </c>
      <c r="AP5" s="115">
        <f t="shared" ref="AP5:AP65" si="15">(AN5+AO5)/(S5+T5)</f>
        <v>1.3214059207479313E-3</v>
      </c>
      <c r="AQ5" s="116">
        <f t="shared" si="12"/>
        <v>185.83108287333818</v>
      </c>
      <c r="AR5" s="90">
        <f t="shared" ref="AR5:AR19" si="16">(D5+J5+O5)-(X5+AH5)</f>
        <v>0.80500000000029104</v>
      </c>
    </row>
    <row r="6" spans="1:44" ht="15.75" x14ac:dyDescent="0.25">
      <c r="A6" t="str">
        <f t="shared" si="13"/>
        <v>46175M</v>
      </c>
      <c r="B6" s="51">
        <f>+B4+1</f>
        <v>46175</v>
      </c>
      <c r="C6" s="100" t="s">
        <v>87</v>
      </c>
      <c r="D6" s="106">
        <v>6685</v>
      </c>
      <c r="E6" s="107">
        <v>4.4800000000000004</v>
      </c>
      <c r="F6" s="107">
        <v>8.14</v>
      </c>
      <c r="G6" s="62">
        <f t="shared" si="0"/>
        <v>299.48800000000006</v>
      </c>
      <c r="H6" s="72">
        <f t="shared" si="1"/>
        <v>544.15899999999999</v>
      </c>
      <c r="I6" s="121">
        <v>5114.7</v>
      </c>
      <c r="J6" s="121">
        <v>5268.1409999999996</v>
      </c>
      <c r="K6" s="121">
        <v>4.2545193266467249</v>
      </c>
      <c r="L6" s="121">
        <v>7.9609869591569407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5268.1409999999996</v>
      </c>
      <c r="S6" s="62">
        <f t="shared" si="3"/>
        <v>224.13407700000002</v>
      </c>
      <c r="T6" s="63">
        <f t="shared" si="4"/>
        <v>419.39601800000003</v>
      </c>
      <c r="U6" s="103" t="s">
        <v>232</v>
      </c>
      <c r="V6" s="104" t="s">
        <v>298</v>
      </c>
      <c r="W6" s="105" t="s">
        <v>159</v>
      </c>
      <c r="X6" s="113">
        <v>5000</v>
      </c>
      <c r="Y6" s="114">
        <v>4.3499999999999996</v>
      </c>
      <c r="Z6" s="114">
        <v>8.15</v>
      </c>
      <c r="AA6" s="62">
        <f t="shared" si="5"/>
        <v>217.49999999999997</v>
      </c>
      <c r="AB6" s="63">
        <f t="shared" si="6"/>
        <v>407.5</v>
      </c>
      <c r="AC6" s="69">
        <v>5000</v>
      </c>
      <c r="AD6" s="70">
        <v>4.1500000000000004</v>
      </c>
      <c r="AE6" s="70">
        <v>7.99</v>
      </c>
      <c r="AF6" s="62">
        <f t="shared" si="7"/>
        <v>207.5</v>
      </c>
      <c r="AG6" s="63">
        <f t="shared" si="8"/>
        <v>399.5</v>
      </c>
      <c r="AH6" s="142">
        <v>6953</v>
      </c>
      <c r="AI6" s="139">
        <v>4.4000000000000004</v>
      </c>
      <c r="AJ6" s="139">
        <v>8.08</v>
      </c>
      <c r="AK6" s="62">
        <f t="shared" si="9"/>
        <v>305.93200000000002</v>
      </c>
      <c r="AL6" s="72">
        <f t="shared" si="10"/>
        <v>561.80240000000003</v>
      </c>
      <c r="AM6" s="81">
        <f t="shared" si="14"/>
        <v>0.14099999999962165</v>
      </c>
      <c r="AN6" s="80">
        <f t="shared" si="11"/>
        <v>10.190077000000088</v>
      </c>
      <c r="AO6" s="80">
        <f t="shared" si="11"/>
        <v>2.252617999999984</v>
      </c>
      <c r="AP6" s="115">
        <f t="shared" si="15"/>
        <v>1.9335063109985666E-2</v>
      </c>
      <c r="AQ6" s="116">
        <f t="shared" si="12"/>
        <v>5248.5759636567018</v>
      </c>
      <c r="AR6" s="90">
        <f t="shared" si="16"/>
        <v>0.14099999999962165</v>
      </c>
    </row>
    <row r="7" spans="1:44" ht="15.75" x14ac:dyDescent="0.25">
      <c r="A7" t="str">
        <f t="shared" si="13"/>
        <v>46175E</v>
      </c>
      <c r="B7" s="51">
        <f>+B5+1</f>
        <v>46175</v>
      </c>
      <c r="C7" s="100" t="s">
        <v>88</v>
      </c>
      <c r="D7" s="106">
        <v>6953</v>
      </c>
      <c r="E7" s="107">
        <v>4.4000000000000004</v>
      </c>
      <c r="F7" s="107">
        <v>8.08</v>
      </c>
      <c r="G7" s="62">
        <f t="shared" si="0"/>
        <v>305.93200000000002</v>
      </c>
      <c r="H7" s="72">
        <f t="shared" si="1"/>
        <v>561.80240000000003</v>
      </c>
      <c r="I7" s="121">
        <v>1942.8000000000002</v>
      </c>
      <c r="J7" s="121">
        <v>2001.0840000000003</v>
      </c>
      <c r="K7" s="121">
        <v>4.5810428247889643</v>
      </c>
      <c r="L7" s="121">
        <v>8.1312023883055389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2001.0840000000003</v>
      </c>
      <c r="S7" s="62">
        <f t="shared" si="3"/>
        <v>91.670515000000009</v>
      </c>
      <c r="T7" s="63">
        <f t="shared" si="4"/>
        <v>162.71219000000002</v>
      </c>
      <c r="U7" s="103" t="s">
        <v>167</v>
      </c>
      <c r="V7" s="104" t="s">
        <v>167</v>
      </c>
      <c r="W7" s="139">
        <v>0</v>
      </c>
      <c r="X7" s="113">
        <v>0</v>
      </c>
      <c r="Y7" s="114">
        <v>0</v>
      </c>
      <c r="Z7" s="114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142">
        <v>8954</v>
      </c>
      <c r="AI7" s="139">
        <v>4.4400000000000004</v>
      </c>
      <c r="AJ7" s="139">
        <v>8.08</v>
      </c>
      <c r="AK7" s="62">
        <f t="shared" si="9"/>
        <v>397.55760000000004</v>
      </c>
      <c r="AL7" s="72">
        <f t="shared" si="10"/>
        <v>723.48320000000001</v>
      </c>
      <c r="AM7" s="81">
        <f t="shared" si="14"/>
        <v>8.4000000000742148E-2</v>
      </c>
      <c r="AN7" s="80">
        <f t="shared" si="11"/>
        <v>4.4915000000003147E-2</v>
      </c>
      <c r="AO7" s="80">
        <f t="shared" si="11"/>
        <v>1.0313899999999876</v>
      </c>
      <c r="AP7" s="115">
        <f t="shared" si="15"/>
        <v>4.2310462890941839E-3</v>
      </c>
      <c r="AQ7" s="116">
        <f t="shared" si="12"/>
        <v>328.8303159166644</v>
      </c>
      <c r="AR7" s="90">
        <f t="shared" si="16"/>
        <v>8.4000000000742148E-2</v>
      </c>
    </row>
    <row r="8" spans="1:44" ht="15.75" x14ac:dyDescent="0.25">
      <c r="A8" t="str">
        <f t="shared" si="13"/>
        <v>46176M</v>
      </c>
      <c r="B8" s="51">
        <f>+B6+1</f>
        <v>46176</v>
      </c>
      <c r="C8" s="100" t="s">
        <v>87</v>
      </c>
      <c r="D8" s="106">
        <v>8954</v>
      </c>
      <c r="E8" s="107">
        <v>4.4400000000000004</v>
      </c>
      <c r="F8" s="107">
        <v>8.08</v>
      </c>
      <c r="G8" s="62">
        <f t="shared" si="0"/>
        <v>397.55760000000004</v>
      </c>
      <c r="H8" s="72">
        <f t="shared" si="1"/>
        <v>723.48320000000001</v>
      </c>
      <c r="I8" s="121">
        <v>4458</v>
      </c>
      <c r="J8" s="121">
        <v>4591.74</v>
      </c>
      <c r="K8" s="121">
        <v>4.2010812023328858</v>
      </c>
      <c r="L8" s="121">
        <v>7.9013705697622258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4591.74</v>
      </c>
      <c r="S8" s="62">
        <f t="shared" si="3"/>
        <v>192.90272600000006</v>
      </c>
      <c r="T8" s="63">
        <f t="shared" si="4"/>
        <v>362.81039299999998</v>
      </c>
      <c r="U8" s="103" t="s">
        <v>170</v>
      </c>
      <c r="V8" s="104" t="s">
        <v>299</v>
      </c>
      <c r="W8" s="105" t="s">
        <v>191</v>
      </c>
      <c r="X8" s="113">
        <v>10050</v>
      </c>
      <c r="Y8" s="114">
        <v>4.3499999999999996</v>
      </c>
      <c r="Z8" s="114">
        <v>8.2799999999999994</v>
      </c>
      <c r="AA8" s="62">
        <f t="shared" si="5"/>
        <v>437.17499999999995</v>
      </c>
      <c r="AB8" s="63">
        <f t="shared" si="6"/>
        <v>832.14</v>
      </c>
      <c r="AC8" s="69">
        <v>10020</v>
      </c>
      <c r="AD8" s="70">
        <v>4.2970059880239528</v>
      </c>
      <c r="AE8" s="70">
        <v>8.2024550898203579</v>
      </c>
      <c r="AF8" s="62">
        <f t="shared" si="7"/>
        <v>430.56000000000006</v>
      </c>
      <c r="AG8" s="63">
        <f t="shared" si="8"/>
        <v>821.88599999999985</v>
      </c>
      <c r="AH8" s="142">
        <v>3496</v>
      </c>
      <c r="AI8" s="139">
        <v>4.3600000000000003</v>
      </c>
      <c r="AJ8" s="139">
        <v>8.02</v>
      </c>
      <c r="AK8" s="62">
        <f t="shared" si="9"/>
        <v>152.4256</v>
      </c>
      <c r="AL8" s="72">
        <f t="shared" si="10"/>
        <v>280.37919999999997</v>
      </c>
      <c r="AM8" s="81">
        <f t="shared" si="14"/>
        <v>29.739999999999782</v>
      </c>
      <c r="AN8" s="80">
        <f t="shared" si="11"/>
        <v>7.4747260000000608</v>
      </c>
      <c r="AO8" s="80">
        <f t="shared" si="11"/>
        <v>-15.971606999999949</v>
      </c>
      <c r="AP8" s="115">
        <f t="shared" si="15"/>
        <v>-1.5290049324892559E-2</v>
      </c>
      <c r="AQ8" s="116">
        <f t="shared" si="12"/>
        <v>-1424.3968169199575</v>
      </c>
      <c r="AR8" s="90">
        <f t="shared" si="16"/>
        <v>-0.26000000000021828</v>
      </c>
    </row>
    <row r="9" spans="1:44" ht="15.75" x14ac:dyDescent="0.25">
      <c r="A9" t="str">
        <f t="shared" si="13"/>
        <v>46176E</v>
      </c>
      <c r="B9" s="51">
        <f t="shared" ref="B9:B65" si="17">+B7+1</f>
        <v>46176</v>
      </c>
      <c r="C9" s="100" t="s">
        <v>88</v>
      </c>
      <c r="D9" s="106">
        <v>3496</v>
      </c>
      <c r="E9" s="107">
        <v>4.3600000000000003</v>
      </c>
      <c r="F9" s="107">
        <v>8.02</v>
      </c>
      <c r="G9" s="62">
        <f t="shared" si="0"/>
        <v>152.4256</v>
      </c>
      <c r="H9" s="72">
        <f t="shared" si="1"/>
        <v>280.37919999999997</v>
      </c>
      <c r="I9" s="121">
        <v>1967.5</v>
      </c>
      <c r="J9" s="121">
        <v>2026.5250000000001</v>
      </c>
      <c r="K9" s="121">
        <v>4.5361880559085144</v>
      </c>
      <c r="L9" s="121">
        <v>8.116289707750953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2026.5250000000001</v>
      </c>
      <c r="S9" s="62">
        <f t="shared" si="3"/>
        <v>91.92698500000003</v>
      </c>
      <c r="T9" s="63">
        <f t="shared" si="4"/>
        <v>164.47863999999998</v>
      </c>
      <c r="U9" s="103" t="s">
        <v>167</v>
      </c>
      <c r="V9" s="104" t="s">
        <v>167</v>
      </c>
      <c r="W9" s="139">
        <v>0</v>
      </c>
      <c r="X9" s="113">
        <v>0</v>
      </c>
      <c r="Y9" s="114">
        <v>0</v>
      </c>
      <c r="Z9" s="114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42">
        <v>5522</v>
      </c>
      <c r="AI9" s="139">
        <v>4.41</v>
      </c>
      <c r="AJ9" s="139">
        <v>8.0500000000000007</v>
      </c>
      <c r="AK9" s="62">
        <f t="shared" si="9"/>
        <v>243.52019999999999</v>
      </c>
      <c r="AL9" s="72">
        <f t="shared" si="10"/>
        <v>444.52100000000002</v>
      </c>
      <c r="AM9" s="81">
        <f t="shared" si="14"/>
        <v>0.5249999999996362</v>
      </c>
      <c r="AN9" s="80">
        <f t="shared" si="11"/>
        <v>0.83238500000004478</v>
      </c>
      <c r="AO9" s="80">
        <f t="shared" si="11"/>
        <v>0.3368399999999383</v>
      </c>
      <c r="AP9" s="115">
        <f t="shared" si="15"/>
        <v>4.5600598660812657E-3</v>
      </c>
      <c r="AQ9" s="116">
        <f t="shared" si="12"/>
        <v>474.47317995000168</v>
      </c>
      <c r="AR9" s="90">
        <f t="shared" si="16"/>
        <v>0.5249999999996362</v>
      </c>
    </row>
    <row r="10" spans="1:44" ht="15.75" x14ac:dyDescent="0.25">
      <c r="A10" t="str">
        <f t="shared" si="13"/>
        <v>46177M</v>
      </c>
      <c r="B10" s="51">
        <f t="shared" si="17"/>
        <v>46177</v>
      </c>
      <c r="C10" s="100" t="s">
        <v>87</v>
      </c>
      <c r="D10" s="106">
        <v>5522</v>
      </c>
      <c r="E10" s="107">
        <v>4.41</v>
      </c>
      <c r="F10" s="107">
        <v>8.0500000000000007</v>
      </c>
      <c r="G10" s="62">
        <f t="shared" si="0"/>
        <v>243.52019999999999</v>
      </c>
      <c r="H10" s="72">
        <f t="shared" si="1"/>
        <v>444.52100000000002</v>
      </c>
      <c r="I10" s="121">
        <v>6459.8</v>
      </c>
      <c r="J10" s="121">
        <v>6653.5940000000001</v>
      </c>
      <c r="K10" s="121">
        <v>4.0706229295024627</v>
      </c>
      <c r="L10" s="121">
        <v>7.9617387535217814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6653.5940000000001</v>
      </c>
      <c r="S10" s="62">
        <f t="shared" si="3"/>
        <v>270.84272300000009</v>
      </c>
      <c r="T10" s="63">
        <f t="shared" si="4"/>
        <v>529.74177200000008</v>
      </c>
      <c r="U10" s="103" t="s">
        <v>170</v>
      </c>
      <c r="V10" s="104" t="s">
        <v>300</v>
      </c>
      <c r="W10" s="105" t="s">
        <v>191</v>
      </c>
      <c r="X10" s="113">
        <v>10050</v>
      </c>
      <c r="Y10" s="114">
        <v>4.2699999999999996</v>
      </c>
      <c r="Z10" s="114">
        <v>8.26</v>
      </c>
      <c r="AA10" s="62">
        <f t="shared" si="5"/>
        <v>429.13499999999993</v>
      </c>
      <c r="AB10" s="63">
        <f t="shared" si="6"/>
        <v>830.12999999999988</v>
      </c>
      <c r="AC10" s="69">
        <v>10080</v>
      </c>
      <c r="AD10" s="70">
        <v>4.2242063492063497</v>
      </c>
      <c r="AE10" s="70">
        <v>8.1248412698412693</v>
      </c>
      <c r="AF10" s="62">
        <f t="shared" si="7"/>
        <v>425.80000000000007</v>
      </c>
      <c r="AG10" s="63">
        <f t="shared" si="8"/>
        <v>818.98399999999992</v>
      </c>
      <c r="AH10" s="142">
        <v>2125</v>
      </c>
      <c r="AI10" s="139">
        <v>4.24</v>
      </c>
      <c r="AJ10" s="139">
        <v>8.02</v>
      </c>
      <c r="AK10" s="62">
        <f t="shared" si="9"/>
        <v>90.1</v>
      </c>
      <c r="AL10" s="72">
        <f t="shared" si="10"/>
        <v>170.42499999999998</v>
      </c>
      <c r="AM10" s="81">
        <f t="shared" si="14"/>
        <v>-29.40599999999904</v>
      </c>
      <c r="AN10" s="80">
        <f t="shared" si="11"/>
        <v>-1.5370769999999254</v>
      </c>
      <c r="AO10" s="80">
        <f t="shared" si="11"/>
        <v>-15.146227999999866</v>
      </c>
      <c r="AP10" s="115">
        <f t="shared" si="15"/>
        <v>-2.0838905954579833E-2</v>
      </c>
      <c r="AQ10" s="116">
        <f t="shared" si="12"/>
        <v>-5222.8713770565937</v>
      </c>
      <c r="AR10" s="90">
        <f t="shared" si="16"/>
        <v>0.59400000000096043</v>
      </c>
    </row>
    <row r="11" spans="1:44" ht="15.75" x14ac:dyDescent="0.25">
      <c r="A11" t="str">
        <f t="shared" si="13"/>
        <v>46177E</v>
      </c>
      <c r="B11" s="51">
        <f t="shared" si="17"/>
        <v>46177</v>
      </c>
      <c r="C11" s="100" t="s">
        <v>88</v>
      </c>
      <c r="D11" s="106">
        <v>2125</v>
      </c>
      <c r="E11" s="107">
        <v>4.24</v>
      </c>
      <c r="F11" s="107">
        <v>8.02</v>
      </c>
      <c r="G11" s="62">
        <f t="shared" si="0"/>
        <v>90.1</v>
      </c>
      <c r="H11" s="72">
        <f t="shared" si="1"/>
        <v>170.42499999999998</v>
      </c>
      <c r="I11" s="121">
        <v>2168.6999999999998</v>
      </c>
      <c r="J11" s="121">
        <v>2233.761</v>
      </c>
      <c r="K11" s="121">
        <v>4.7224051274957342</v>
      </c>
      <c r="L11" s="121">
        <v>8.2082814589385329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2233.761</v>
      </c>
      <c r="S11" s="62">
        <f t="shared" si="3"/>
        <v>105.48724399999999</v>
      </c>
      <c r="T11" s="63">
        <f t="shared" si="4"/>
        <v>183.35338999999993</v>
      </c>
      <c r="U11" s="103" t="s">
        <v>167</v>
      </c>
      <c r="V11" s="104" t="s">
        <v>167</v>
      </c>
      <c r="W11" s="139" t="s">
        <v>167</v>
      </c>
      <c r="X11" s="113">
        <v>0</v>
      </c>
      <c r="Y11" s="114">
        <v>0</v>
      </c>
      <c r="Z11" s="114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142">
        <v>4540</v>
      </c>
      <c r="AI11" s="139">
        <v>4.4800000000000004</v>
      </c>
      <c r="AJ11" s="139">
        <v>8.11</v>
      </c>
      <c r="AK11" s="62">
        <f t="shared" si="9"/>
        <v>203.39200000000002</v>
      </c>
      <c r="AL11" s="72">
        <f t="shared" si="10"/>
        <v>368.19399999999996</v>
      </c>
      <c r="AM11" s="81">
        <f t="shared" si="14"/>
        <v>-181.23899999999958</v>
      </c>
      <c r="AN11" s="80">
        <f t="shared" si="11"/>
        <v>-7.804756000000026</v>
      </c>
      <c r="AO11" s="80">
        <f t="shared" si="11"/>
        <v>-14.415610000000015</v>
      </c>
      <c r="AP11" s="115">
        <f t="shared" si="15"/>
        <v>-7.6929501546517343E-2</v>
      </c>
      <c r="AQ11" s="116">
        <f t="shared" si="12"/>
        <v>-7817.8406726933508</v>
      </c>
      <c r="AR11" s="90">
        <f t="shared" si="16"/>
        <v>-181.23899999999958</v>
      </c>
    </row>
    <row r="12" spans="1:44" ht="15.75" x14ac:dyDescent="0.25">
      <c r="A12" t="str">
        <f t="shared" si="13"/>
        <v>46178M</v>
      </c>
      <c r="B12" s="51">
        <f t="shared" si="17"/>
        <v>46178</v>
      </c>
      <c r="C12" s="100" t="s">
        <v>87</v>
      </c>
      <c r="D12" s="106">
        <v>4540</v>
      </c>
      <c r="E12" s="107">
        <v>4.4800000000000004</v>
      </c>
      <c r="F12" s="107">
        <v>8.11</v>
      </c>
      <c r="G12" s="62">
        <f t="shared" si="0"/>
        <v>203.39200000000002</v>
      </c>
      <c r="H12" s="72">
        <f t="shared" si="1"/>
        <v>368.19399999999996</v>
      </c>
      <c r="I12" s="121">
        <v>2036.0000000000002</v>
      </c>
      <c r="J12" s="121">
        <v>2097.0800000000004</v>
      </c>
      <c r="K12" s="121">
        <v>5.1766895874263268</v>
      </c>
      <c r="L12" s="121">
        <v>8.4117190569744587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2097.0800000000004</v>
      </c>
      <c r="S12" s="62">
        <f t="shared" si="3"/>
        <v>108.55932200000004</v>
      </c>
      <c r="T12" s="63">
        <f t="shared" si="4"/>
        <v>176.40047800000002</v>
      </c>
      <c r="U12" s="103" t="s">
        <v>167</v>
      </c>
      <c r="V12" s="104" t="s">
        <v>167</v>
      </c>
      <c r="W12" s="105">
        <v>0</v>
      </c>
      <c r="X12" s="113">
        <v>0</v>
      </c>
      <c r="Y12" s="114">
        <v>0</v>
      </c>
      <c r="Z12" s="114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142">
        <v>6637</v>
      </c>
      <c r="AI12" s="139">
        <v>4.7</v>
      </c>
      <c r="AJ12" s="139">
        <v>8.1999999999999993</v>
      </c>
      <c r="AK12" s="62">
        <f t="shared" si="9"/>
        <v>311.93900000000002</v>
      </c>
      <c r="AL12" s="72">
        <f t="shared" si="10"/>
        <v>544.23399999999992</v>
      </c>
      <c r="AM12" s="81">
        <f t="shared" si="14"/>
        <v>7.999999999992724E-2</v>
      </c>
      <c r="AN12" s="80">
        <f t="shared" si="11"/>
        <v>1.2322000000040134E-2</v>
      </c>
      <c r="AO12" s="80">
        <f t="shared" si="11"/>
        <v>0.36047800000005736</v>
      </c>
      <c r="AP12" s="115">
        <f t="shared" si="15"/>
        <v>1.3082547082083065E-3</v>
      </c>
      <c r="AQ12" s="116">
        <f t="shared" si="12"/>
        <v>113.41292167336853</v>
      </c>
      <c r="AR12" s="90">
        <f t="shared" si="16"/>
        <v>7.999999999992724E-2</v>
      </c>
    </row>
    <row r="13" spans="1:44" ht="15.75" x14ac:dyDescent="0.25">
      <c r="A13" t="str">
        <f t="shared" si="13"/>
        <v>46178E</v>
      </c>
      <c r="B13" s="51">
        <f t="shared" si="17"/>
        <v>46178</v>
      </c>
      <c r="C13" s="100" t="s">
        <v>88</v>
      </c>
      <c r="D13" s="106">
        <v>6637</v>
      </c>
      <c r="E13" s="107">
        <v>4.7</v>
      </c>
      <c r="F13" s="107">
        <v>8.1999999999999993</v>
      </c>
      <c r="G13" s="62">
        <f t="shared" si="0"/>
        <v>311.93900000000002</v>
      </c>
      <c r="H13" s="72">
        <f t="shared" si="1"/>
        <v>544.23399999999992</v>
      </c>
      <c r="I13" s="121">
        <v>1775.7999999999997</v>
      </c>
      <c r="J13" s="121">
        <v>1829.0739999999998</v>
      </c>
      <c r="K13" s="121">
        <v>4.4874760671246756</v>
      </c>
      <c r="L13" s="121">
        <v>8.1115159364793321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1829.0739999999998</v>
      </c>
      <c r="S13" s="62">
        <f t="shared" si="3"/>
        <v>82.079257999999982</v>
      </c>
      <c r="T13" s="63">
        <f t="shared" si="4"/>
        <v>148.36562899999998</v>
      </c>
      <c r="U13" s="103" t="s">
        <v>167</v>
      </c>
      <c r="V13" s="104" t="s">
        <v>167</v>
      </c>
      <c r="W13" s="139" t="s">
        <v>167</v>
      </c>
      <c r="X13" s="113">
        <v>0</v>
      </c>
      <c r="Y13" s="114">
        <v>0</v>
      </c>
      <c r="Z13" s="114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142">
        <v>8466</v>
      </c>
      <c r="AI13" s="139">
        <v>4.66</v>
      </c>
      <c r="AJ13" s="139">
        <v>8.18</v>
      </c>
      <c r="AK13" s="62">
        <f t="shared" si="9"/>
        <v>394.51560000000001</v>
      </c>
      <c r="AL13" s="72">
        <f t="shared" si="10"/>
        <v>692.51879999999994</v>
      </c>
      <c r="AM13" s="81">
        <f t="shared" si="14"/>
        <v>7.4000000000523869E-2</v>
      </c>
      <c r="AN13" s="80">
        <f t="shared" si="11"/>
        <v>-0.49734200000000328</v>
      </c>
      <c r="AO13" s="80">
        <f t="shared" si="11"/>
        <v>8.0828999999994267E-2</v>
      </c>
      <c r="AP13" s="115">
        <f t="shared" si="15"/>
        <v>-1.8074299908420579E-3</v>
      </c>
      <c r="AQ13" s="116">
        <f t="shared" si="12"/>
        <v>-199.07183296000321</v>
      </c>
      <c r="AR13" s="90">
        <f t="shared" si="16"/>
        <v>7.4000000000523869E-2</v>
      </c>
    </row>
    <row r="14" spans="1:44" ht="15.75" x14ac:dyDescent="0.25">
      <c r="A14" t="str">
        <f t="shared" si="13"/>
        <v>46179M</v>
      </c>
      <c r="B14" s="51">
        <f t="shared" si="17"/>
        <v>46179</v>
      </c>
      <c r="C14" s="100" t="s">
        <v>87</v>
      </c>
      <c r="D14" s="91">
        <v>8466</v>
      </c>
      <c r="E14" s="62">
        <v>4.66</v>
      </c>
      <c r="F14" s="62">
        <v>8.18</v>
      </c>
      <c r="G14" s="62">
        <f t="shared" si="0"/>
        <v>394.51560000000001</v>
      </c>
      <c r="H14" s="72">
        <f t="shared" si="1"/>
        <v>692.51879999999994</v>
      </c>
      <c r="I14" s="121">
        <v>5758.4</v>
      </c>
      <c r="J14" s="121">
        <v>5931.152</v>
      </c>
      <c r="K14" s="121">
        <v>4.3329310225062523</v>
      </c>
      <c r="L14" s="121">
        <v>7.9795759238677419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5931.152</v>
      </c>
      <c r="S14" s="62">
        <f t="shared" si="3"/>
        <v>256.99272500000001</v>
      </c>
      <c r="T14" s="63">
        <f t="shared" si="4"/>
        <v>473.28077700000006</v>
      </c>
      <c r="U14" s="64" t="s">
        <v>232</v>
      </c>
      <c r="V14" s="65" t="s">
        <v>450</v>
      </c>
      <c r="W14" s="139" t="s">
        <v>225</v>
      </c>
      <c r="X14" s="67">
        <v>10000</v>
      </c>
      <c r="Y14" s="68">
        <v>4.4000000000000004</v>
      </c>
      <c r="Z14" s="68">
        <v>8.2899999999999991</v>
      </c>
      <c r="AA14" s="62">
        <f t="shared" si="5"/>
        <v>440.00000000000006</v>
      </c>
      <c r="AB14" s="63">
        <f t="shared" si="6"/>
        <v>828.99999999999989</v>
      </c>
      <c r="AC14" s="69">
        <v>9910</v>
      </c>
      <c r="AD14" s="70">
        <v>4.3250756811301718</v>
      </c>
      <c r="AE14" s="70">
        <v>8.0898183652875897</v>
      </c>
      <c r="AF14" s="62">
        <f t="shared" si="7"/>
        <v>428.61500000000007</v>
      </c>
      <c r="AG14" s="63">
        <f t="shared" si="8"/>
        <v>801.70100000000002</v>
      </c>
      <c r="AH14" s="142">
        <v>4397</v>
      </c>
      <c r="AI14" s="139">
        <v>4.5</v>
      </c>
      <c r="AJ14" s="139">
        <v>8.11</v>
      </c>
      <c r="AK14" s="62">
        <f t="shared" si="9"/>
        <v>197.86499999999998</v>
      </c>
      <c r="AL14" s="72">
        <f t="shared" si="10"/>
        <v>356.59669999999994</v>
      </c>
      <c r="AM14" s="81">
        <f t="shared" si="14"/>
        <v>90.152000000000044</v>
      </c>
      <c r="AN14" s="80">
        <f t="shared" si="11"/>
        <v>25.028324999999967</v>
      </c>
      <c r="AO14" s="80">
        <f t="shared" si="11"/>
        <v>7.5018770000000359</v>
      </c>
      <c r="AP14" s="115">
        <f t="shared" si="15"/>
        <v>4.4545231219412368E-2</v>
      </c>
      <c r="AQ14" s="116">
        <f t="shared" si="12"/>
        <v>13480.577111796663</v>
      </c>
      <c r="AR14" s="90">
        <f t="shared" si="16"/>
        <v>0.15200000000004366</v>
      </c>
    </row>
    <row r="15" spans="1:44" ht="15.75" x14ac:dyDescent="0.25">
      <c r="A15" t="str">
        <f t="shared" si="13"/>
        <v>46179E</v>
      </c>
      <c r="B15" s="51">
        <f t="shared" si="17"/>
        <v>46179</v>
      </c>
      <c r="C15" s="100" t="s">
        <v>88</v>
      </c>
      <c r="D15" s="91">
        <v>4397</v>
      </c>
      <c r="E15" s="62">
        <v>4.5</v>
      </c>
      <c r="F15" s="62">
        <v>8.11</v>
      </c>
      <c r="G15" s="62">
        <f t="shared" si="0"/>
        <v>197.86499999999998</v>
      </c>
      <c r="H15" s="72">
        <f t="shared" si="1"/>
        <v>356.59669999999994</v>
      </c>
      <c r="I15" s="121">
        <v>1968.6000000000001</v>
      </c>
      <c r="J15" s="121">
        <v>2027.6580000000001</v>
      </c>
      <c r="K15" s="121">
        <v>4.660352534796302</v>
      </c>
      <c r="L15" s="121">
        <v>8.1203037691760649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2027.6580000000001</v>
      </c>
      <c r="S15" s="62">
        <f t="shared" si="3"/>
        <v>94.49601100000001</v>
      </c>
      <c r="T15" s="63">
        <f t="shared" si="4"/>
        <v>164.65198900000004</v>
      </c>
      <c r="U15" s="64" t="s">
        <v>167</v>
      </c>
      <c r="V15" s="65" t="s">
        <v>167</v>
      </c>
      <c r="W15" s="139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3">
        <f t="shared" si="8"/>
        <v>0</v>
      </c>
      <c r="AH15" s="142">
        <v>6425</v>
      </c>
      <c r="AI15" s="139">
        <v>4.5599999999999996</v>
      </c>
      <c r="AJ15" s="139">
        <v>8.11</v>
      </c>
      <c r="AK15" s="62">
        <f t="shared" si="9"/>
        <v>292.97999999999996</v>
      </c>
      <c r="AL15" s="72">
        <f t="shared" si="10"/>
        <v>521.0675</v>
      </c>
      <c r="AM15" s="81">
        <f t="shared" si="14"/>
        <v>-0.34199999999964348</v>
      </c>
      <c r="AN15" s="80">
        <f t="shared" si="11"/>
        <v>-0.61898899999999912</v>
      </c>
      <c r="AO15" s="80">
        <f t="shared" si="11"/>
        <v>0.18118900000001759</v>
      </c>
      <c r="AP15" s="115">
        <f t="shared" si="15"/>
        <v>-1.6893821291307728E-3</v>
      </c>
      <c r="AQ15" s="116">
        <f t="shared" si="12"/>
        <v>-223.64531599666103</v>
      </c>
      <c r="AR15" s="90">
        <f t="shared" si="16"/>
        <v>-0.34199999999964348</v>
      </c>
    </row>
    <row r="16" spans="1:44" ht="15.75" x14ac:dyDescent="0.25">
      <c r="A16" t="str">
        <f t="shared" si="13"/>
        <v>46180M</v>
      </c>
      <c r="B16" s="51">
        <f t="shared" si="17"/>
        <v>46180</v>
      </c>
      <c r="C16" s="100" t="s">
        <v>87</v>
      </c>
      <c r="D16" s="91">
        <v>6425</v>
      </c>
      <c r="E16" s="62">
        <v>4.5599999999999996</v>
      </c>
      <c r="F16" s="62">
        <v>8.11</v>
      </c>
      <c r="G16" s="62">
        <f t="shared" si="0"/>
        <v>292.97999999999996</v>
      </c>
      <c r="H16" s="72">
        <f t="shared" si="1"/>
        <v>521.0675</v>
      </c>
      <c r="I16" s="121">
        <v>4349.7</v>
      </c>
      <c r="J16" s="121">
        <v>4480.1909999999998</v>
      </c>
      <c r="K16" s="121">
        <v>4.6669862289353281</v>
      </c>
      <c r="L16" s="121">
        <v>8.1197967675931668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4480.1909999999998</v>
      </c>
      <c r="S16" s="62">
        <f t="shared" si="3"/>
        <v>209.08989699999998</v>
      </c>
      <c r="T16" s="63">
        <f t="shared" si="4"/>
        <v>363.78240399999999</v>
      </c>
      <c r="U16" s="64" t="s">
        <v>170</v>
      </c>
      <c r="V16" s="65" t="s">
        <v>451</v>
      </c>
      <c r="W16" s="139" t="s">
        <v>191</v>
      </c>
      <c r="X16" s="67">
        <v>4850</v>
      </c>
      <c r="Y16" s="68">
        <v>4.5999999999999996</v>
      </c>
      <c r="Z16" s="68">
        <v>8.25</v>
      </c>
      <c r="AA16" s="62">
        <f t="shared" si="5"/>
        <v>223.1</v>
      </c>
      <c r="AB16" s="63">
        <f t="shared" si="6"/>
        <v>400.125</v>
      </c>
      <c r="AC16" s="69">
        <v>4850</v>
      </c>
      <c r="AD16" s="70">
        <v>4.5</v>
      </c>
      <c r="AE16" s="70">
        <v>8.18</v>
      </c>
      <c r="AF16" s="62">
        <f t="shared" si="7"/>
        <v>218.25</v>
      </c>
      <c r="AG16" s="63">
        <f t="shared" si="8"/>
        <v>396.72999999999996</v>
      </c>
      <c r="AH16" s="142">
        <v>6055</v>
      </c>
      <c r="AI16" s="139">
        <v>4.62</v>
      </c>
      <c r="AJ16" s="139">
        <v>8.11</v>
      </c>
      <c r="AK16" s="62">
        <f t="shared" si="9"/>
        <v>279.74099999999999</v>
      </c>
      <c r="AL16" s="72">
        <f t="shared" si="10"/>
        <v>491.06049999999993</v>
      </c>
      <c r="AM16" s="81">
        <f t="shared" si="14"/>
        <v>0.19099999999889405</v>
      </c>
      <c r="AN16" s="80">
        <f t="shared" si="11"/>
        <v>4.0788969999999836</v>
      </c>
      <c r="AO16" s="80">
        <f t="shared" si="11"/>
        <v>-2.9405959999999709</v>
      </c>
      <c r="AP16" s="115">
        <f t="shared" si="15"/>
        <v>1.9870065248625323E-3</v>
      </c>
      <c r="AQ16" s="116">
        <f t="shared" si="12"/>
        <v>951.01568536333468</v>
      </c>
      <c r="AR16" s="90">
        <f t="shared" si="16"/>
        <v>0.19099999999889405</v>
      </c>
    </row>
    <row r="17" spans="1:49" ht="15.75" x14ac:dyDescent="0.25">
      <c r="A17" t="str">
        <f t="shared" si="13"/>
        <v>46180E</v>
      </c>
      <c r="B17" s="51">
        <f t="shared" si="17"/>
        <v>46180</v>
      </c>
      <c r="C17" s="100" t="s">
        <v>88</v>
      </c>
      <c r="D17" s="91">
        <v>6055</v>
      </c>
      <c r="E17" s="62">
        <v>4.62</v>
      </c>
      <c r="F17" s="62">
        <v>8.11</v>
      </c>
      <c r="G17" s="62">
        <f t="shared" si="0"/>
        <v>279.74099999999999</v>
      </c>
      <c r="H17" s="72">
        <f t="shared" si="1"/>
        <v>491.06049999999993</v>
      </c>
      <c r="I17" s="121">
        <v>1926.6999999999998</v>
      </c>
      <c r="J17" s="121">
        <v>1984.501</v>
      </c>
      <c r="K17" s="121">
        <v>4.5701769865573265</v>
      </c>
      <c r="L17" s="121">
        <v>8.174474490060728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1984.501</v>
      </c>
      <c r="S17" s="62">
        <f t="shared" si="3"/>
        <v>90.695208000000008</v>
      </c>
      <c r="T17" s="63">
        <f t="shared" si="4"/>
        <v>162.22252800000004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142">
        <v>8039</v>
      </c>
      <c r="AI17" s="139">
        <v>4.62</v>
      </c>
      <c r="AJ17" s="139">
        <v>8.1300000000000008</v>
      </c>
      <c r="AK17" s="62">
        <f t="shared" si="9"/>
        <v>371.40179999999998</v>
      </c>
      <c r="AL17" s="72">
        <f t="shared" si="10"/>
        <v>653.5707000000001</v>
      </c>
      <c r="AM17" s="81">
        <f t="shared" si="14"/>
        <v>0.50100000000020373</v>
      </c>
      <c r="AN17" s="80">
        <f t="shared" si="11"/>
        <v>-0.9655920000000151</v>
      </c>
      <c r="AO17" s="80">
        <f t="shared" si="11"/>
        <v>-0.28767200000015691</v>
      </c>
      <c r="AP17" s="115">
        <f t="shared" si="15"/>
        <v>-4.9552238598252031E-3</v>
      </c>
      <c r="AQ17" s="116">
        <f t="shared" si="12"/>
        <v>-519.55646306672043</v>
      </c>
      <c r="AR17" s="90">
        <f t="shared" si="16"/>
        <v>0.50100000000020373</v>
      </c>
    </row>
    <row r="18" spans="1:49" ht="15.75" x14ac:dyDescent="0.25">
      <c r="A18" t="str">
        <f t="shared" si="13"/>
        <v>46181M</v>
      </c>
      <c r="B18" s="51">
        <f t="shared" si="17"/>
        <v>46181</v>
      </c>
      <c r="C18" s="100" t="s">
        <v>87</v>
      </c>
      <c r="D18" s="91">
        <v>8039</v>
      </c>
      <c r="E18" s="62">
        <v>4.62</v>
      </c>
      <c r="F18" s="62">
        <v>8.1300000000000008</v>
      </c>
      <c r="G18" s="62">
        <f t="shared" si="0"/>
        <v>371.40179999999998</v>
      </c>
      <c r="H18" s="72">
        <f t="shared" si="1"/>
        <v>653.5707000000001</v>
      </c>
      <c r="I18" s="121">
        <v>7121.6</v>
      </c>
      <c r="J18" s="121">
        <v>7335.2480000000005</v>
      </c>
      <c r="K18" s="121">
        <v>4.3892411817569084</v>
      </c>
      <c r="L18" s="121">
        <v>7.9283924960682981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7335.2480000000005</v>
      </c>
      <c r="S18" s="62">
        <f t="shared" si="3"/>
        <v>321.961726</v>
      </c>
      <c r="T18" s="63">
        <f t="shared" si="4"/>
        <v>581.56725199999994</v>
      </c>
      <c r="U18" s="64" t="s">
        <v>232</v>
      </c>
      <c r="V18" s="65" t="s">
        <v>452</v>
      </c>
      <c r="W18" s="139" t="s">
        <v>191</v>
      </c>
      <c r="X18" s="67">
        <v>10000</v>
      </c>
      <c r="Y18" s="68">
        <v>4.3499999999999996</v>
      </c>
      <c r="Z18" s="68">
        <v>8.2100000000000009</v>
      </c>
      <c r="AA18" s="62">
        <f t="shared" si="5"/>
        <v>434.99999999999994</v>
      </c>
      <c r="AB18" s="63">
        <f t="shared" si="6"/>
        <v>821.00000000000011</v>
      </c>
      <c r="AC18" s="69">
        <v>9980</v>
      </c>
      <c r="AD18" s="70">
        <v>4.2997995991983968</v>
      </c>
      <c r="AE18" s="70">
        <v>8.0100000000000016</v>
      </c>
      <c r="AF18" s="62">
        <f t="shared" si="7"/>
        <v>429.12000000000006</v>
      </c>
      <c r="AG18" s="63">
        <f t="shared" si="8"/>
        <v>799.39800000000014</v>
      </c>
      <c r="AH18" s="142">
        <v>5374</v>
      </c>
      <c r="AI18" s="139">
        <v>4.5199999999999996</v>
      </c>
      <c r="AJ18" s="139">
        <v>8.02</v>
      </c>
      <c r="AK18" s="62">
        <f t="shared" si="9"/>
        <v>242.90479999999999</v>
      </c>
      <c r="AL18" s="72">
        <f t="shared" si="10"/>
        <v>430.99479999999994</v>
      </c>
      <c r="AM18" s="81">
        <f t="shared" si="14"/>
        <v>20.247999999999593</v>
      </c>
      <c r="AN18" s="80">
        <f t="shared" si="11"/>
        <v>21.338725999999923</v>
      </c>
      <c r="AO18" s="80">
        <f t="shared" si="11"/>
        <v>4.7451519999999618</v>
      </c>
      <c r="AP18" s="115">
        <f t="shared" si="15"/>
        <v>2.8868889249947096E-2</v>
      </c>
      <c r="AQ18" s="116">
        <f t="shared" si="12"/>
        <v>10999.264944873288</v>
      </c>
      <c r="AR18" s="90">
        <f t="shared" si="16"/>
        <v>0.24799999999959255</v>
      </c>
    </row>
    <row r="19" spans="1:49" ht="15.75" x14ac:dyDescent="0.25">
      <c r="A19" t="str">
        <f t="shared" si="13"/>
        <v>46181E</v>
      </c>
      <c r="B19" s="51">
        <f t="shared" si="17"/>
        <v>46181</v>
      </c>
      <c r="C19" s="100" t="s">
        <v>88</v>
      </c>
      <c r="D19" s="91">
        <v>5374</v>
      </c>
      <c r="E19" s="62">
        <v>4.5199999999999996</v>
      </c>
      <c r="F19" s="62">
        <v>8.02</v>
      </c>
      <c r="G19" s="62">
        <f t="shared" si="0"/>
        <v>242.90479999999999</v>
      </c>
      <c r="H19" s="72">
        <f t="shared" si="1"/>
        <v>430.99479999999994</v>
      </c>
      <c r="I19" s="121">
        <v>4568.3</v>
      </c>
      <c r="J19" s="121">
        <v>4705.3490000000002</v>
      </c>
      <c r="K19" s="121">
        <v>4.2783135958671714</v>
      </c>
      <c r="L19" s="121">
        <v>7.9153799006194863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4705.3490000000002</v>
      </c>
      <c r="S19" s="62">
        <f t="shared" si="3"/>
        <v>201.309586</v>
      </c>
      <c r="T19" s="63">
        <f t="shared" si="4"/>
        <v>372.44624900000002</v>
      </c>
      <c r="U19" s="64" t="s">
        <v>175</v>
      </c>
      <c r="V19" s="65" t="s">
        <v>453</v>
      </c>
      <c r="W19" s="66" t="s">
        <v>191</v>
      </c>
      <c r="X19" s="67">
        <v>7100</v>
      </c>
      <c r="Y19" s="68">
        <v>4.4000000000000004</v>
      </c>
      <c r="Z19" s="68">
        <v>8.16</v>
      </c>
      <c r="AA19" s="62">
        <f t="shared" si="5"/>
        <v>312.40000000000003</v>
      </c>
      <c r="AB19" s="63">
        <f t="shared" si="6"/>
        <v>579.36</v>
      </c>
      <c r="AC19" s="69">
        <v>7070</v>
      </c>
      <c r="AD19" s="70">
        <v>4.351060820367751</v>
      </c>
      <c r="AE19" s="70">
        <v>8.0302121640735482</v>
      </c>
      <c r="AF19" s="62">
        <f t="shared" si="7"/>
        <v>307.62</v>
      </c>
      <c r="AG19" s="63">
        <f t="shared" si="8"/>
        <v>567.73599999999988</v>
      </c>
      <c r="AH19" s="142">
        <v>2979</v>
      </c>
      <c r="AI19" s="139">
        <v>4.42</v>
      </c>
      <c r="AJ19" s="139">
        <v>8</v>
      </c>
      <c r="AK19" s="62">
        <f t="shared" si="9"/>
        <v>131.67179999999999</v>
      </c>
      <c r="AL19" s="72">
        <f t="shared" si="10"/>
        <v>238.32</v>
      </c>
      <c r="AM19" s="81">
        <f t="shared" si="14"/>
        <v>30.34900000000016</v>
      </c>
      <c r="AN19" s="80">
        <f t="shared" si="11"/>
        <v>4.9225859999999955</v>
      </c>
      <c r="AO19" s="80">
        <f t="shared" si="11"/>
        <v>-2.6149509999998486</v>
      </c>
      <c r="AP19" s="115">
        <f t="shared" si="15"/>
        <v>4.0219808832099224E-3</v>
      </c>
      <c r="AQ19" s="116">
        <f t="shared" si="12"/>
        <v>1427.2129789867099</v>
      </c>
      <c r="AR19" s="90">
        <f t="shared" si="16"/>
        <v>0.34900000000016007</v>
      </c>
    </row>
    <row r="20" spans="1:49" ht="15.75" x14ac:dyDescent="0.25">
      <c r="A20" t="str">
        <f t="shared" si="13"/>
        <v>46182M</v>
      </c>
      <c r="B20" s="51">
        <f t="shared" si="17"/>
        <v>46182</v>
      </c>
      <c r="C20" s="100" t="s">
        <v>87</v>
      </c>
      <c r="D20" s="91">
        <v>2979</v>
      </c>
      <c r="E20" s="62">
        <v>4.42</v>
      </c>
      <c r="F20" s="62">
        <v>8</v>
      </c>
      <c r="G20" s="62">
        <f t="shared" si="0"/>
        <v>131.67179999999999</v>
      </c>
      <c r="H20" s="72">
        <f t="shared" si="1"/>
        <v>238.32</v>
      </c>
      <c r="I20" s="121">
        <v>2344.1000000000004</v>
      </c>
      <c r="J20" s="121">
        <v>2414.4230000000002</v>
      </c>
      <c r="K20" s="121">
        <v>5.2342818139157892</v>
      </c>
      <c r="L20" s="121">
        <v>8.4600699628855409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2414.4230000000002</v>
      </c>
      <c r="S20" s="62">
        <f t="shared" si="3"/>
        <v>126.37770400000002</v>
      </c>
      <c r="T20" s="63">
        <f t="shared" si="4"/>
        <v>204.261875</v>
      </c>
      <c r="U20" s="64" t="s">
        <v>167</v>
      </c>
      <c r="V20" s="65" t="s">
        <v>167</v>
      </c>
      <c r="W20" s="139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142">
        <v>5393</v>
      </c>
      <c r="AI20" s="139">
        <v>4.7699999999999996</v>
      </c>
      <c r="AJ20" s="139">
        <v>8.2200000000000006</v>
      </c>
      <c r="AK20" s="62">
        <f t="shared" si="9"/>
        <v>257.24609999999996</v>
      </c>
      <c r="AL20" s="72">
        <f t="shared" si="10"/>
        <v>443.30460000000005</v>
      </c>
      <c r="AM20" s="81">
        <f t="shared" si="14"/>
        <v>0.42300000000068394</v>
      </c>
      <c r="AN20" s="80">
        <f t="shared" ref="AN20:AO65" si="18">+G20+S20-AF20-AK20</f>
        <v>0.80340400000005729</v>
      </c>
      <c r="AO20" s="80">
        <f t="shared" si="18"/>
        <v>-0.72272500000008222</v>
      </c>
      <c r="AP20" s="115">
        <f t="shared" si="15"/>
        <v>2.4400890009594123E-4</v>
      </c>
      <c r="AQ20" s="116">
        <f t="shared" si="12"/>
        <v>144.36376980666779</v>
      </c>
      <c r="AR20" s="90">
        <f>(D20+J20+O20)-(X20+AH20)</f>
        <v>0.42300000000068394</v>
      </c>
    </row>
    <row r="21" spans="1:49" ht="15.75" x14ac:dyDescent="0.25">
      <c r="A21" t="str">
        <f t="shared" si="13"/>
        <v>46182E</v>
      </c>
      <c r="B21" s="51">
        <f t="shared" si="17"/>
        <v>46182</v>
      </c>
      <c r="C21" s="100" t="s">
        <v>88</v>
      </c>
      <c r="D21" s="91">
        <v>5393</v>
      </c>
      <c r="E21" s="62">
        <v>4.7699999999999996</v>
      </c>
      <c r="F21" s="62">
        <v>8.2200000000000006</v>
      </c>
      <c r="G21" s="62">
        <f t="shared" si="0"/>
        <v>257.24609999999996</v>
      </c>
      <c r="H21" s="72">
        <f t="shared" si="1"/>
        <v>443.30460000000005</v>
      </c>
      <c r="I21" s="121">
        <v>1986.3999999999999</v>
      </c>
      <c r="J21" s="121">
        <v>2045.992</v>
      </c>
      <c r="K21" s="121">
        <v>4.6591018928715267</v>
      </c>
      <c r="L21" s="121">
        <v>8.1377567458719291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2045.992</v>
      </c>
      <c r="S21" s="62">
        <f t="shared" si="3"/>
        <v>95.324852000000007</v>
      </c>
      <c r="T21" s="63">
        <f t="shared" si="4"/>
        <v>166.49785199999999</v>
      </c>
      <c r="U21" s="64" t="s">
        <v>170</v>
      </c>
      <c r="V21" s="65" t="s">
        <v>454</v>
      </c>
      <c r="W21" s="105" t="s">
        <v>191</v>
      </c>
      <c r="X21" s="67">
        <v>4850</v>
      </c>
      <c r="Y21" s="68">
        <v>4.4000000000000004</v>
      </c>
      <c r="Z21" s="68">
        <v>8.16</v>
      </c>
      <c r="AA21" s="62">
        <f t="shared" si="5"/>
        <v>213.40000000000003</v>
      </c>
      <c r="AB21" s="63">
        <f t="shared" si="6"/>
        <v>395.76000000000005</v>
      </c>
      <c r="AC21" s="69">
        <v>4860</v>
      </c>
      <c r="AD21" s="70">
        <v>4.3</v>
      </c>
      <c r="AE21" s="70">
        <v>8.02</v>
      </c>
      <c r="AF21" s="62">
        <f t="shared" si="7"/>
        <v>208.98</v>
      </c>
      <c r="AG21" s="63">
        <f t="shared" si="8"/>
        <v>389.77199999999999</v>
      </c>
      <c r="AH21" s="142">
        <v>2589</v>
      </c>
      <c r="AI21" s="139">
        <v>4.75</v>
      </c>
      <c r="AJ21" s="139">
        <v>8.19</v>
      </c>
      <c r="AK21" s="62">
        <f t="shared" si="9"/>
        <v>122.97750000000001</v>
      </c>
      <c r="AL21" s="72">
        <f t="shared" si="10"/>
        <v>212.03909999999999</v>
      </c>
      <c r="AM21" s="81">
        <f t="shared" si="14"/>
        <v>-10.007999999999811</v>
      </c>
      <c r="AN21" s="80">
        <f t="shared" si="18"/>
        <v>20.613451999999981</v>
      </c>
      <c r="AO21" s="80">
        <f t="shared" si="18"/>
        <v>7.9913520000000346</v>
      </c>
      <c r="AP21" s="115">
        <f t="shared" si="15"/>
        <v>0.10925257268750847</v>
      </c>
      <c r="AQ21" s="116">
        <f t="shared" si="12"/>
        <v>11645.183288200004</v>
      </c>
      <c r="AR21" s="90">
        <f>(D21+J21+O21)-(X21+AH21)</f>
        <v>-7.9999999998108251E-3</v>
      </c>
      <c r="AS21" s="90">
        <f>SUM(J8:J21)</f>
        <v>50356.288</v>
      </c>
      <c r="AT21" s="83">
        <f>SUM(AM8:AM21)</f>
        <v>-48.711999999998625</v>
      </c>
      <c r="AU21" s="83">
        <f>SUM(AN8:AN21)</f>
        <v>73.681067000000084</v>
      </c>
      <c r="AV21" s="83">
        <f>SUM(AO8:AO21)</f>
        <v>-30.901671999999849</v>
      </c>
      <c r="AW21" s="83">
        <f>-SUM(AQ8:AQ21)</f>
        <v>-23828.121401956752</v>
      </c>
    </row>
    <row r="22" spans="1:49" ht="15.75" x14ac:dyDescent="0.25">
      <c r="A22" t="str">
        <f t="shared" si="13"/>
        <v>46183M</v>
      </c>
      <c r="B22" s="51">
        <f t="shared" si="17"/>
        <v>46183</v>
      </c>
      <c r="C22" s="100" t="s">
        <v>87</v>
      </c>
      <c r="D22" s="91">
        <v>2589</v>
      </c>
      <c r="E22" s="62">
        <v>4.75</v>
      </c>
      <c r="F22" s="62">
        <v>8.19</v>
      </c>
      <c r="G22" s="62">
        <f t="shared" si="0"/>
        <v>122.97750000000001</v>
      </c>
      <c r="H22" s="72">
        <f t="shared" si="1"/>
        <v>212.03909999999999</v>
      </c>
      <c r="I22" s="121">
        <v>3860.3</v>
      </c>
      <c r="J22" s="121">
        <v>3976.1090000000004</v>
      </c>
      <c r="K22" s="121">
        <v>4.4894334637204363</v>
      </c>
      <c r="L22" s="121">
        <v>8.0425951350931264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3976.1090000000004</v>
      </c>
      <c r="S22" s="62">
        <f t="shared" si="3"/>
        <v>178.50476800000001</v>
      </c>
      <c r="T22" s="63">
        <f t="shared" si="4"/>
        <v>319.78234900000001</v>
      </c>
      <c r="U22" s="64" t="s">
        <v>167</v>
      </c>
      <c r="V22" s="65" t="s">
        <v>167</v>
      </c>
      <c r="W22" s="139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142">
        <v>6565</v>
      </c>
      <c r="AI22" s="139">
        <v>4.5999999999999996</v>
      </c>
      <c r="AJ22" s="139">
        <v>8.07</v>
      </c>
      <c r="AK22" s="62">
        <f t="shared" si="9"/>
        <v>301.99</v>
      </c>
      <c r="AL22" s="72">
        <f t="shared" si="10"/>
        <v>529.79550000000006</v>
      </c>
      <c r="AM22" s="81">
        <f t="shared" si="14"/>
        <v>0.10900000000037835</v>
      </c>
      <c r="AN22" s="80">
        <f t="shared" si="18"/>
        <v>-0.50773199999997587</v>
      </c>
      <c r="AO22" s="80">
        <f t="shared" si="18"/>
        <v>2.0259489999999687</v>
      </c>
      <c r="AP22" s="115">
        <f t="shared" si="15"/>
        <v>3.0468718700587894E-3</v>
      </c>
      <c r="AQ22" s="116">
        <f t="shared" si="12"/>
        <v>378.38653827333485</v>
      </c>
      <c r="AR22" s="90">
        <f t="shared" ref="AR22:AR63" si="19">(D22+J22+O22)-(X22+AH22)</f>
        <v>0.10900000000037835</v>
      </c>
    </row>
    <row r="23" spans="1:49" ht="15.75" x14ac:dyDescent="0.25">
      <c r="A23" t="str">
        <f t="shared" si="13"/>
        <v>46183E</v>
      </c>
      <c r="B23" s="51">
        <f t="shared" si="17"/>
        <v>46183</v>
      </c>
      <c r="C23" s="100" t="s">
        <v>88</v>
      </c>
      <c r="D23" s="91">
        <v>6565</v>
      </c>
      <c r="E23" s="62">
        <v>4.5999999999999996</v>
      </c>
      <c r="F23" s="62">
        <v>8.07</v>
      </c>
      <c r="G23" s="62">
        <f t="shared" si="0"/>
        <v>301.99</v>
      </c>
      <c r="H23" s="72">
        <f t="shared" si="1"/>
        <v>529.79550000000006</v>
      </c>
      <c r="I23" s="121">
        <v>5755.2</v>
      </c>
      <c r="J23" s="121">
        <v>5927.8559999999998</v>
      </c>
      <c r="K23" s="121">
        <v>4.0423599527383924</v>
      </c>
      <c r="L23" s="121">
        <v>7.9213007367250485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5927.8559999999998</v>
      </c>
      <c r="S23" s="62">
        <f t="shared" si="3"/>
        <v>239.62527699999995</v>
      </c>
      <c r="T23" s="63">
        <f t="shared" si="4"/>
        <v>469.56330099999997</v>
      </c>
      <c r="U23" s="64" t="s">
        <v>232</v>
      </c>
      <c r="V23" s="65" t="s">
        <v>455</v>
      </c>
      <c r="W23" s="105" t="s">
        <v>191</v>
      </c>
      <c r="X23" s="67">
        <v>10000</v>
      </c>
      <c r="Y23" s="68">
        <v>4.4000000000000004</v>
      </c>
      <c r="Z23" s="68">
        <v>8.2200000000000006</v>
      </c>
      <c r="AA23" s="62">
        <f t="shared" si="5"/>
        <v>440.00000000000006</v>
      </c>
      <c r="AB23" s="63">
        <f t="shared" si="6"/>
        <v>822.00000000000011</v>
      </c>
      <c r="AC23" s="69">
        <v>10000</v>
      </c>
      <c r="AD23" s="70">
        <v>4.3499999999999996</v>
      </c>
      <c r="AE23" s="70">
        <v>8.15</v>
      </c>
      <c r="AF23" s="62">
        <f t="shared" si="7"/>
        <v>434.99999999999994</v>
      </c>
      <c r="AG23" s="63">
        <f t="shared" si="8"/>
        <v>815</v>
      </c>
      <c r="AH23" s="142">
        <v>2493</v>
      </c>
      <c r="AI23" s="139">
        <v>4.32</v>
      </c>
      <c r="AJ23" s="139">
        <v>8</v>
      </c>
      <c r="AK23" s="62">
        <f t="shared" si="9"/>
        <v>107.69760000000001</v>
      </c>
      <c r="AL23" s="72">
        <f t="shared" si="10"/>
        <v>199.44</v>
      </c>
      <c r="AM23" s="81">
        <f t="shared" si="14"/>
        <v>-0.14400000000023283</v>
      </c>
      <c r="AN23" s="80">
        <f t="shared" si="18"/>
        <v>-1.0823229999999597</v>
      </c>
      <c r="AO23" s="80">
        <f t="shared" si="18"/>
        <v>-15.081198999999913</v>
      </c>
      <c r="AP23" s="115">
        <f t="shared" si="15"/>
        <v>-2.2791571242705314E-2</v>
      </c>
      <c r="AQ23" s="116">
        <f t="shared" si="12"/>
        <v>-4999.26631332329</v>
      </c>
      <c r="AR23" s="90">
        <f t="shared" si="19"/>
        <v>-0.14400000000023283</v>
      </c>
    </row>
    <row r="24" spans="1:49" ht="15.75" x14ac:dyDescent="0.25">
      <c r="A24" t="str">
        <f t="shared" si="13"/>
        <v>46184M</v>
      </c>
      <c r="B24" s="51">
        <f t="shared" si="17"/>
        <v>46184</v>
      </c>
      <c r="C24" s="100" t="s">
        <v>87</v>
      </c>
      <c r="D24" s="91">
        <v>2493</v>
      </c>
      <c r="E24" s="62">
        <v>4.32</v>
      </c>
      <c r="F24" s="62">
        <v>8</v>
      </c>
      <c r="G24" s="62">
        <f t="shared" si="0"/>
        <v>107.69760000000001</v>
      </c>
      <c r="H24" s="72">
        <f t="shared" si="1"/>
        <v>199.44</v>
      </c>
      <c r="I24" s="121">
        <v>2562.1999999999998</v>
      </c>
      <c r="J24" s="121">
        <v>2639.0659999999998</v>
      </c>
      <c r="K24" s="121">
        <v>5.2279915697447521</v>
      </c>
      <c r="L24" s="121">
        <v>8.4363398641792244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2639.0659999999998</v>
      </c>
      <c r="S24" s="62">
        <f t="shared" si="3"/>
        <v>137.97014800000002</v>
      </c>
      <c r="T24" s="63">
        <f t="shared" si="4"/>
        <v>222.64057700000009</v>
      </c>
      <c r="U24" s="64" t="s">
        <v>167</v>
      </c>
      <c r="V24" s="65" t="s">
        <v>167</v>
      </c>
      <c r="W24" s="105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142">
        <v>5132</v>
      </c>
      <c r="AI24" s="139">
        <v>4.7699999999999996</v>
      </c>
      <c r="AJ24" s="139">
        <v>8.2100000000000009</v>
      </c>
      <c r="AK24" s="62">
        <f t="shared" si="9"/>
        <v>244.79639999999995</v>
      </c>
      <c r="AL24" s="72">
        <f t="shared" si="10"/>
        <v>421.33720000000005</v>
      </c>
      <c r="AM24" s="81">
        <f t="shared" si="14"/>
        <v>6.5999999999803549E-2</v>
      </c>
      <c r="AN24" s="80">
        <f t="shared" si="18"/>
        <v>0.87134800000006862</v>
      </c>
      <c r="AO24" s="80">
        <f t="shared" si="18"/>
        <v>0.7433770000000095</v>
      </c>
      <c r="AP24" s="115">
        <f t="shared" si="15"/>
        <v>4.4777509043861016E-3</v>
      </c>
      <c r="AQ24" s="116">
        <f t="shared" si="12"/>
        <v>613.62974339336711</v>
      </c>
      <c r="AR24" s="90">
        <f t="shared" si="19"/>
        <v>6.5999999999803549E-2</v>
      </c>
    </row>
    <row r="25" spans="1:49" ht="15.75" x14ac:dyDescent="0.25">
      <c r="A25" t="str">
        <f t="shared" si="13"/>
        <v>46184E</v>
      </c>
      <c r="B25" s="51">
        <f t="shared" si="17"/>
        <v>46184</v>
      </c>
      <c r="C25" s="100" t="s">
        <v>88</v>
      </c>
      <c r="D25" s="91">
        <v>5132</v>
      </c>
      <c r="E25" s="62">
        <v>4.7699999999999996</v>
      </c>
      <c r="F25" s="62">
        <v>8.2100000000000009</v>
      </c>
      <c r="G25" s="62">
        <f t="shared" si="0"/>
        <v>244.79639999999995</v>
      </c>
      <c r="H25" s="72">
        <f t="shared" si="1"/>
        <v>421.33720000000005</v>
      </c>
      <c r="I25" s="121">
        <v>2247.2000000000003</v>
      </c>
      <c r="J25" s="121">
        <v>2314.6160000000004</v>
      </c>
      <c r="K25" s="121">
        <v>4.8000711997152017</v>
      </c>
      <c r="L25" s="121">
        <v>8.237455500178001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2314.6160000000004</v>
      </c>
      <c r="S25" s="62">
        <f t="shared" si="3"/>
        <v>111.10321600000003</v>
      </c>
      <c r="T25" s="63">
        <f t="shared" si="4"/>
        <v>190.66546300000007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142">
        <v>8130</v>
      </c>
      <c r="AI25" s="139">
        <v>4.8</v>
      </c>
      <c r="AJ25" s="139">
        <v>8.2100000000000009</v>
      </c>
      <c r="AK25" s="62">
        <f t="shared" si="9"/>
        <v>390.24</v>
      </c>
      <c r="AL25" s="72">
        <f t="shared" si="10"/>
        <v>667.47300000000007</v>
      </c>
      <c r="AM25" s="81">
        <f t="shared" si="14"/>
        <v>-683.38400000000001</v>
      </c>
      <c r="AN25" s="80">
        <f t="shared" si="18"/>
        <v>-34.340384000000029</v>
      </c>
      <c r="AO25" s="80">
        <f t="shared" si="18"/>
        <v>-55.470336999999972</v>
      </c>
      <c r="AP25" s="115">
        <f t="shared" si="15"/>
        <v>-0.29761445520991248</v>
      </c>
      <c r="AQ25" s="116">
        <f t="shared" si="12"/>
        <v>-32016.534436553342</v>
      </c>
      <c r="AR25" s="90">
        <f t="shared" si="19"/>
        <v>-683.38400000000001</v>
      </c>
    </row>
    <row r="26" spans="1:49" ht="15.75" x14ac:dyDescent="0.25">
      <c r="A26" t="str">
        <f t="shared" si="13"/>
        <v>46185M</v>
      </c>
      <c r="B26" s="51">
        <f t="shared" si="17"/>
        <v>46185</v>
      </c>
      <c r="C26" s="100" t="s">
        <v>87</v>
      </c>
      <c r="D26" s="91">
        <v>8130</v>
      </c>
      <c r="E26" s="62">
        <v>4.8</v>
      </c>
      <c r="F26" s="62">
        <v>8.2100000000000009</v>
      </c>
      <c r="G26" s="62">
        <f t="shared" si="0"/>
        <v>390.24</v>
      </c>
      <c r="H26" s="72">
        <f t="shared" si="1"/>
        <v>667.47300000000007</v>
      </c>
      <c r="I26" s="121">
        <v>5739.6</v>
      </c>
      <c r="J26" s="121">
        <v>5911.7880000000005</v>
      </c>
      <c r="K26" s="121">
        <v>4.2606976095895188</v>
      </c>
      <c r="L26" s="121">
        <v>8.04200118475155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5911.7880000000005</v>
      </c>
      <c r="S26" s="62">
        <f t="shared" si="3"/>
        <v>251.88341000000003</v>
      </c>
      <c r="T26" s="63">
        <f t="shared" si="4"/>
        <v>475.426061</v>
      </c>
      <c r="U26" s="64" t="s">
        <v>167</v>
      </c>
      <c r="V26" s="65" t="s">
        <v>167</v>
      </c>
      <c r="W26" s="139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142">
        <v>14042</v>
      </c>
      <c r="AI26" s="139">
        <v>4.5999999999999996</v>
      </c>
      <c r="AJ26" s="139">
        <v>8.1199999999999992</v>
      </c>
      <c r="AK26" s="62">
        <f t="shared" si="9"/>
        <v>645.93200000000002</v>
      </c>
      <c r="AL26" s="72">
        <f t="shared" si="10"/>
        <v>1140.2103999999999</v>
      </c>
      <c r="AM26" s="81">
        <f t="shared" si="14"/>
        <v>-0.21199999999953434</v>
      </c>
      <c r="AN26" s="80">
        <f t="shared" si="18"/>
        <v>-3.808589999999981</v>
      </c>
      <c r="AO26" s="80">
        <f t="shared" si="18"/>
        <v>2.6886610000001383</v>
      </c>
      <c r="AP26" s="115">
        <f t="shared" si="15"/>
        <v>-1.539824579020012E-3</v>
      </c>
      <c r="AQ26" s="116">
        <f t="shared" si="12"/>
        <v>-905.06959722661691</v>
      </c>
      <c r="AR26" s="90">
        <f t="shared" si="19"/>
        <v>-0.21199999999953434</v>
      </c>
    </row>
    <row r="27" spans="1:49" ht="15.75" x14ac:dyDescent="0.25">
      <c r="A27" t="str">
        <f t="shared" si="13"/>
        <v>46185E</v>
      </c>
      <c r="B27" s="51">
        <f t="shared" si="17"/>
        <v>46185</v>
      </c>
      <c r="C27" s="100" t="s">
        <v>88</v>
      </c>
      <c r="D27" s="91">
        <v>14042</v>
      </c>
      <c r="E27" s="62">
        <v>4.5999999999999996</v>
      </c>
      <c r="F27" s="62">
        <v>8.1199999999999992</v>
      </c>
      <c r="G27" s="62">
        <f t="shared" si="0"/>
        <v>645.93200000000002</v>
      </c>
      <c r="H27" s="72">
        <f t="shared" si="1"/>
        <v>1140.2103999999999</v>
      </c>
      <c r="I27" s="121">
        <v>1832.1</v>
      </c>
      <c r="J27" s="121">
        <v>1887.0629999999999</v>
      </c>
      <c r="K27" s="121">
        <v>4.5931390207958085</v>
      </c>
      <c r="L27" s="121">
        <v>8.1519895202226955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1887.0629999999999</v>
      </c>
      <c r="S27" s="62">
        <f t="shared" si="3"/>
        <v>86.675426999999999</v>
      </c>
      <c r="T27" s="63">
        <f t="shared" si="4"/>
        <v>153.83317799999998</v>
      </c>
      <c r="U27" s="64" t="s">
        <v>175</v>
      </c>
      <c r="V27" s="65" t="s">
        <v>603</v>
      </c>
      <c r="W27" s="105" t="s">
        <v>191</v>
      </c>
      <c r="X27" s="67">
        <v>7120</v>
      </c>
      <c r="Y27" s="68">
        <v>4.2699999999999996</v>
      </c>
      <c r="Z27" s="68">
        <v>8.16</v>
      </c>
      <c r="AA27" s="62">
        <f t="shared" si="5"/>
        <v>304.02399999999994</v>
      </c>
      <c r="AB27" s="63">
        <f t="shared" si="6"/>
        <v>580.99200000000008</v>
      </c>
      <c r="AC27" s="69">
        <v>7080</v>
      </c>
      <c r="AD27" s="70">
        <v>4.248870056497176</v>
      </c>
      <c r="AE27" s="70">
        <v>8.1297740112994354</v>
      </c>
      <c r="AF27" s="62">
        <f t="shared" si="7"/>
        <v>300.82000000000005</v>
      </c>
      <c r="AG27" s="63">
        <f t="shared" si="8"/>
        <v>575.58800000000008</v>
      </c>
      <c r="AH27" s="142">
        <v>8809</v>
      </c>
      <c r="AI27" s="139">
        <v>4.5999999999999996</v>
      </c>
      <c r="AJ27" s="139">
        <v>8.1300000000000008</v>
      </c>
      <c r="AK27" s="62">
        <f t="shared" si="9"/>
        <v>405.214</v>
      </c>
      <c r="AL27" s="72">
        <f t="shared" si="10"/>
        <v>716.1717000000001</v>
      </c>
      <c r="AM27" s="81">
        <f t="shared" si="14"/>
        <v>40.063000000000102</v>
      </c>
      <c r="AN27" s="80">
        <f t="shared" si="18"/>
        <v>26.573426999999981</v>
      </c>
      <c r="AO27" s="80">
        <f t="shared" si="18"/>
        <v>2.2838779999996177</v>
      </c>
      <c r="AP27" s="115">
        <f t="shared" si="15"/>
        <v>0.119984501178241</v>
      </c>
      <c r="AQ27" s="116">
        <f t="shared" si="12"/>
        <v>12612.580896556545</v>
      </c>
      <c r="AR27" s="90">
        <f>(D27+J27+O27)-(X27+AH27)</f>
        <v>6.3000000000101863E-2</v>
      </c>
    </row>
    <row r="28" spans="1:49" ht="15.75" x14ac:dyDescent="0.25">
      <c r="A28" t="str">
        <f t="shared" si="13"/>
        <v>46186M</v>
      </c>
      <c r="B28" s="51">
        <f t="shared" si="17"/>
        <v>46186</v>
      </c>
      <c r="C28" s="100" t="s">
        <v>87</v>
      </c>
      <c r="D28" s="91">
        <v>8809</v>
      </c>
      <c r="E28" s="62">
        <v>4.5999999999999996</v>
      </c>
      <c r="F28" s="62">
        <v>8.1300000000000008</v>
      </c>
      <c r="G28" s="62">
        <f t="shared" si="0"/>
        <v>405.214</v>
      </c>
      <c r="H28" s="72">
        <f t="shared" si="1"/>
        <v>716.1717000000001</v>
      </c>
      <c r="I28" s="121">
        <v>5855.1</v>
      </c>
      <c r="J28" s="121">
        <v>6030.7530000000006</v>
      </c>
      <c r="K28" s="121">
        <v>4.4783402503800103</v>
      </c>
      <c r="L28" s="121">
        <v>8.1525729705726615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6030.7530000000006</v>
      </c>
      <c r="S28" s="62">
        <f t="shared" si="3"/>
        <v>270.07763900000003</v>
      </c>
      <c r="T28" s="63">
        <f t="shared" si="4"/>
        <v>491.661539</v>
      </c>
      <c r="U28" s="64" t="s">
        <v>232</v>
      </c>
      <c r="V28" s="65" t="s">
        <v>604</v>
      </c>
      <c r="W28" s="139" t="s">
        <v>191</v>
      </c>
      <c r="X28" s="67">
        <v>10000</v>
      </c>
      <c r="Y28" s="68">
        <v>4.5999999999999996</v>
      </c>
      <c r="Z28" s="68">
        <v>8.4499999999999993</v>
      </c>
      <c r="AA28" s="62">
        <f t="shared" si="5"/>
        <v>460</v>
      </c>
      <c r="AB28" s="63">
        <f t="shared" si="6"/>
        <v>844.99999999999989</v>
      </c>
      <c r="AC28" s="69">
        <v>10020</v>
      </c>
      <c r="AD28" s="70">
        <v>4.55</v>
      </c>
      <c r="AE28" s="70">
        <v>8.32</v>
      </c>
      <c r="AF28" s="62">
        <f t="shared" si="7"/>
        <v>455.90999999999997</v>
      </c>
      <c r="AG28" s="63">
        <f t="shared" si="8"/>
        <v>833.66399999999999</v>
      </c>
      <c r="AH28" s="142">
        <v>4840</v>
      </c>
      <c r="AI28" s="139">
        <v>4.5599999999999996</v>
      </c>
      <c r="AJ28" s="139">
        <v>8.16</v>
      </c>
      <c r="AK28" s="62">
        <f t="shared" si="9"/>
        <v>220.70399999999998</v>
      </c>
      <c r="AL28" s="72">
        <f t="shared" si="10"/>
        <v>394.94400000000002</v>
      </c>
      <c r="AM28" s="81">
        <f t="shared" si="14"/>
        <v>-20.246999999999389</v>
      </c>
      <c r="AN28" s="80">
        <f t="shared" si="18"/>
        <v>-1.3223609999999155</v>
      </c>
      <c r="AO28" s="80">
        <f t="shared" si="18"/>
        <v>-20.774760999999955</v>
      </c>
      <c r="AP28" s="115">
        <f t="shared" si="15"/>
        <v>-2.9008777069885552E-2</v>
      </c>
      <c r="AQ28" s="116">
        <f t="shared" si="12"/>
        <v>-6810.9530501832833</v>
      </c>
      <c r="AR28" s="90">
        <f>(D28+J28+O28)-(X28+AH28)</f>
        <v>-0.24699999999938882</v>
      </c>
    </row>
    <row r="29" spans="1:49" ht="15.75" x14ac:dyDescent="0.25">
      <c r="A29" t="str">
        <f t="shared" si="13"/>
        <v>46186E</v>
      </c>
      <c r="B29" s="51">
        <f t="shared" si="17"/>
        <v>46186</v>
      </c>
      <c r="C29" s="100" t="s">
        <v>88</v>
      </c>
      <c r="D29" s="91">
        <v>4840</v>
      </c>
      <c r="E29" s="62">
        <v>4.5599999999999996</v>
      </c>
      <c r="F29" s="62">
        <v>8.16</v>
      </c>
      <c r="G29" s="62">
        <f t="shared" si="0"/>
        <v>220.70399999999998</v>
      </c>
      <c r="H29" s="72">
        <f t="shared" si="1"/>
        <v>394.94400000000002</v>
      </c>
      <c r="I29" s="121">
        <v>1536.3000000000002</v>
      </c>
      <c r="J29" s="121">
        <v>1582.3890000000001</v>
      </c>
      <c r="K29" s="121">
        <v>4.3288290047516753</v>
      </c>
      <c r="L29" s="121">
        <v>8.0925991017379406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1582.3890000000001</v>
      </c>
      <c r="S29" s="62">
        <f t="shared" si="3"/>
        <v>68.498913999999999</v>
      </c>
      <c r="T29" s="63">
        <f t="shared" si="4"/>
        <v>128.056398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142">
        <v>6422</v>
      </c>
      <c r="AI29" s="139">
        <v>4.5</v>
      </c>
      <c r="AJ29" s="139">
        <v>8.15</v>
      </c>
      <c r="AK29" s="62">
        <f t="shared" si="9"/>
        <v>288.99</v>
      </c>
      <c r="AL29" s="72">
        <f t="shared" si="10"/>
        <v>523.39300000000003</v>
      </c>
      <c r="AM29" s="81">
        <f t="shared" si="14"/>
        <v>0.38900000000012369</v>
      </c>
      <c r="AN29" s="80">
        <f t="shared" si="18"/>
        <v>0.21291399999995519</v>
      </c>
      <c r="AO29" s="80">
        <f t="shared" si="18"/>
        <v>-0.39260200000001078</v>
      </c>
      <c r="AP29" s="115">
        <f t="shared" si="15"/>
        <v>-9.1418541769074937E-4</v>
      </c>
      <c r="AQ29" s="116">
        <f t="shared" si="12"/>
        <v>-21.916085473356674</v>
      </c>
      <c r="AR29" s="90">
        <f t="shared" si="19"/>
        <v>0.38900000000012369</v>
      </c>
    </row>
    <row r="30" spans="1:49" ht="15.75" x14ac:dyDescent="0.25">
      <c r="A30" t="str">
        <f t="shared" si="13"/>
        <v>46187M</v>
      </c>
      <c r="B30" s="51">
        <f t="shared" si="17"/>
        <v>46187</v>
      </c>
      <c r="C30" s="100" t="s">
        <v>87</v>
      </c>
      <c r="D30" s="91">
        <v>6422</v>
      </c>
      <c r="E30" s="62">
        <v>4.5</v>
      </c>
      <c r="F30" s="62">
        <v>8.15</v>
      </c>
      <c r="G30" s="62">
        <f t="shared" si="0"/>
        <v>288.99</v>
      </c>
      <c r="H30" s="72">
        <f t="shared" si="1"/>
        <v>523.39300000000003</v>
      </c>
      <c r="I30" s="121">
        <v>2528.7000000000003</v>
      </c>
      <c r="J30" s="121">
        <v>2604.5610000000001</v>
      </c>
      <c r="K30" s="121">
        <v>5.2869774983192954</v>
      </c>
      <c r="L30" s="121">
        <v>8.4741685451022271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2604.5610000000001</v>
      </c>
      <c r="S30" s="62">
        <f t="shared" si="3"/>
        <v>137.70255400000002</v>
      </c>
      <c r="T30" s="63">
        <f t="shared" si="4"/>
        <v>220.71488900000003</v>
      </c>
      <c r="U30" s="64" t="s">
        <v>167</v>
      </c>
      <c r="V30" s="65" t="s">
        <v>167</v>
      </c>
      <c r="W30" s="139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142">
        <v>9026</v>
      </c>
      <c r="AI30" s="139">
        <v>4.7300000000000004</v>
      </c>
      <c r="AJ30" s="139">
        <v>8.25</v>
      </c>
      <c r="AK30" s="62">
        <f t="shared" si="9"/>
        <v>426.9298</v>
      </c>
      <c r="AL30" s="72">
        <f t="shared" si="10"/>
        <v>744.64499999999998</v>
      </c>
      <c r="AM30" s="81">
        <f t="shared" si="14"/>
        <v>0.56099999999969441</v>
      </c>
      <c r="AN30" s="80">
        <f t="shared" si="18"/>
        <v>-0.23724599999997054</v>
      </c>
      <c r="AO30" s="80">
        <f t="shared" si="18"/>
        <v>-0.537110999999868</v>
      </c>
      <c r="AP30" s="115">
        <f t="shared" si="15"/>
        <v>-2.1604891590051279E-3</v>
      </c>
      <c r="AQ30" s="116">
        <f t="shared" si="12"/>
        <v>-267.24510119994727</v>
      </c>
      <c r="AR30" s="90">
        <f t="shared" si="19"/>
        <v>0.56099999999969441</v>
      </c>
    </row>
    <row r="31" spans="1:49" ht="15.75" x14ac:dyDescent="0.25">
      <c r="A31" t="str">
        <f t="shared" si="13"/>
        <v>46187E</v>
      </c>
      <c r="B31" s="51">
        <f t="shared" si="17"/>
        <v>46187</v>
      </c>
      <c r="C31" s="100" t="s">
        <v>88</v>
      </c>
      <c r="D31" s="91">
        <v>9026</v>
      </c>
      <c r="E31" s="62">
        <v>4.7300000000000004</v>
      </c>
      <c r="F31" s="62">
        <v>8.25</v>
      </c>
      <c r="G31" s="62">
        <f t="shared" si="0"/>
        <v>426.9298</v>
      </c>
      <c r="H31" s="72">
        <f t="shared" si="1"/>
        <v>744.64499999999998</v>
      </c>
      <c r="I31" s="121">
        <v>6999.4</v>
      </c>
      <c r="J31" s="121">
        <v>7209.3819999999996</v>
      </c>
      <c r="K31" s="121">
        <v>3.9099051347258338</v>
      </c>
      <c r="L31" s="121">
        <v>7.8677458067834394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7209.3819999999996</v>
      </c>
      <c r="S31" s="62">
        <f t="shared" si="3"/>
        <v>281.879997</v>
      </c>
      <c r="T31" s="63">
        <f t="shared" si="4"/>
        <v>567.21585000000005</v>
      </c>
      <c r="U31" s="64" t="s">
        <v>577</v>
      </c>
      <c r="V31" s="85" t="s">
        <v>605</v>
      </c>
      <c r="W31" s="66" t="s">
        <v>191</v>
      </c>
      <c r="X31" s="67">
        <v>10000</v>
      </c>
      <c r="Y31" s="68">
        <v>4.33</v>
      </c>
      <c r="Z31" s="68">
        <v>8.2799999999999994</v>
      </c>
      <c r="AA31" s="62">
        <f t="shared" si="5"/>
        <v>433</v>
      </c>
      <c r="AB31" s="63">
        <f t="shared" si="6"/>
        <v>828</v>
      </c>
      <c r="AC31" s="69">
        <v>10110</v>
      </c>
      <c r="AD31" s="70">
        <v>4.2741345202769541</v>
      </c>
      <c r="AE31" s="70">
        <v>8.2648269040553899</v>
      </c>
      <c r="AF31" s="62">
        <f t="shared" si="7"/>
        <v>432.11500000000001</v>
      </c>
      <c r="AG31" s="63">
        <f t="shared" si="8"/>
        <v>835.57399999999996</v>
      </c>
      <c r="AH31" s="142">
        <v>6235</v>
      </c>
      <c r="AI31" s="139">
        <v>4.3600000000000003</v>
      </c>
      <c r="AJ31" s="139">
        <v>8.1</v>
      </c>
      <c r="AK31" s="62">
        <f t="shared" si="9"/>
        <v>271.846</v>
      </c>
      <c r="AL31" s="72">
        <f t="shared" si="10"/>
        <v>505.03500000000003</v>
      </c>
      <c r="AM31" s="81">
        <f t="shared" si="14"/>
        <v>-109.61800000000039</v>
      </c>
      <c r="AN31" s="80">
        <f t="shared" si="18"/>
        <v>4.8487969999999905</v>
      </c>
      <c r="AO31" s="80">
        <f t="shared" si="18"/>
        <v>-28.748149999999953</v>
      </c>
      <c r="AP31" s="115">
        <f t="shared" si="15"/>
        <v>-2.8146825926001685E-2</v>
      </c>
      <c r="AQ31" s="116">
        <f t="shared" si="12"/>
        <v>-6426.8812163966586</v>
      </c>
      <c r="AR31" s="90">
        <f t="shared" si="19"/>
        <v>0.3819999999996071</v>
      </c>
    </row>
    <row r="32" spans="1:49" ht="15.75" x14ac:dyDescent="0.25">
      <c r="A32" t="str">
        <f t="shared" si="13"/>
        <v>46188M</v>
      </c>
      <c r="B32" s="51">
        <f t="shared" si="17"/>
        <v>46188</v>
      </c>
      <c r="C32" s="100" t="s">
        <v>87</v>
      </c>
      <c r="D32" s="91">
        <v>6235</v>
      </c>
      <c r="E32" s="62">
        <v>4.3600000000000003</v>
      </c>
      <c r="F32" s="62">
        <v>8.1</v>
      </c>
      <c r="G32" s="62">
        <f t="shared" si="0"/>
        <v>271.846</v>
      </c>
      <c r="H32" s="72">
        <f t="shared" si="1"/>
        <v>505.03500000000003</v>
      </c>
      <c r="I32" s="121">
        <v>4637.3999999999996</v>
      </c>
      <c r="J32" s="121">
        <v>4776.5219999999999</v>
      </c>
      <c r="K32" s="121">
        <v>4.5317311424505107</v>
      </c>
      <c r="L32" s="121">
        <v>8.1578837279510061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2"/>
        <v>4776.5219999999999</v>
      </c>
      <c r="S32" s="62">
        <f t="shared" si="3"/>
        <v>216.45913499999997</v>
      </c>
      <c r="T32" s="63">
        <f t="shared" si="4"/>
        <v>389.6631109999999</v>
      </c>
      <c r="U32" s="64" t="s">
        <v>170</v>
      </c>
      <c r="V32" s="65" t="s">
        <v>606</v>
      </c>
      <c r="W32" s="105" t="s">
        <v>191</v>
      </c>
      <c r="X32" s="67">
        <v>4850</v>
      </c>
      <c r="Y32" s="68">
        <v>4.4000000000000004</v>
      </c>
      <c r="Z32" s="68">
        <v>8.16</v>
      </c>
      <c r="AA32" s="62">
        <f t="shared" si="5"/>
        <v>213.40000000000003</v>
      </c>
      <c r="AB32" s="63">
        <f t="shared" si="6"/>
        <v>395.76000000000005</v>
      </c>
      <c r="AC32" s="69">
        <v>4860</v>
      </c>
      <c r="AD32" s="70">
        <v>4.2</v>
      </c>
      <c r="AE32" s="70">
        <v>8</v>
      </c>
      <c r="AF32" s="62">
        <f t="shared" si="7"/>
        <v>204.12</v>
      </c>
      <c r="AG32" s="63">
        <f t="shared" si="8"/>
        <v>388.8</v>
      </c>
      <c r="AH32" s="142">
        <v>6161</v>
      </c>
      <c r="AI32" s="139">
        <v>4.42</v>
      </c>
      <c r="AJ32" s="139">
        <v>8.14</v>
      </c>
      <c r="AK32" s="62">
        <f t="shared" si="9"/>
        <v>272.31619999999998</v>
      </c>
      <c r="AL32" s="72">
        <f t="shared" si="10"/>
        <v>501.50540000000001</v>
      </c>
      <c r="AM32" s="81">
        <f t="shared" si="14"/>
        <v>-9.477999999999156</v>
      </c>
      <c r="AN32" s="80">
        <f t="shared" si="18"/>
        <v>11.868934999999965</v>
      </c>
      <c r="AO32" s="80">
        <f t="shared" si="18"/>
        <v>4.3927109999999061</v>
      </c>
      <c r="AP32" s="115">
        <f t="shared" si="15"/>
        <v>2.6828987233707097E-2</v>
      </c>
      <c r="AQ32" s="116">
        <f t="shared" si="12"/>
        <v>6642.7048741899562</v>
      </c>
      <c r="AR32" s="90">
        <f t="shared" si="19"/>
        <v>0.52200000000084401</v>
      </c>
    </row>
    <row r="33" spans="1:49" ht="15.75" x14ac:dyDescent="0.25">
      <c r="A33" t="str">
        <f t="shared" si="13"/>
        <v>46188E</v>
      </c>
      <c r="B33" s="51">
        <f t="shared" si="17"/>
        <v>46188</v>
      </c>
      <c r="C33" s="100" t="s">
        <v>88</v>
      </c>
      <c r="D33" s="91">
        <v>6161</v>
      </c>
      <c r="E33" s="62">
        <v>4.42</v>
      </c>
      <c r="F33" s="62">
        <v>8.14</v>
      </c>
      <c r="G33" s="62">
        <f t="shared" si="0"/>
        <v>272.31619999999998</v>
      </c>
      <c r="H33" s="72">
        <f t="shared" si="1"/>
        <v>501.50540000000001</v>
      </c>
      <c r="I33" s="121">
        <v>1740.8000000000002</v>
      </c>
      <c r="J33" s="121">
        <v>1793.0240000000003</v>
      </c>
      <c r="K33" s="121">
        <v>4.240441176470588</v>
      </c>
      <c r="L33" s="121">
        <v>8.0438361672794123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1793.0240000000003</v>
      </c>
      <c r="S33" s="62">
        <f t="shared" si="3"/>
        <v>76.032128</v>
      </c>
      <c r="T33" s="63">
        <f t="shared" si="4"/>
        <v>144.22791300000003</v>
      </c>
      <c r="U33" s="64" t="s">
        <v>167</v>
      </c>
      <c r="V33" s="65" t="s">
        <v>167</v>
      </c>
      <c r="W33" s="139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142">
        <v>7954</v>
      </c>
      <c r="AI33" s="139">
        <v>4.37</v>
      </c>
      <c r="AJ33" s="139">
        <v>8.11</v>
      </c>
      <c r="AK33" s="62">
        <f t="shared" si="9"/>
        <v>347.58980000000003</v>
      </c>
      <c r="AL33" s="72">
        <f t="shared" si="10"/>
        <v>645.06939999999997</v>
      </c>
      <c r="AM33" s="81">
        <f t="shared" si="14"/>
        <v>2.400000000034197E-2</v>
      </c>
      <c r="AN33" s="80">
        <f t="shared" si="18"/>
        <v>0.75852799999995568</v>
      </c>
      <c r="AO33" s="80">
        <f t="shared" si="18"/>
        <v>0.66391300000009323</v>
      </c>
      <c r="AP33" s="115">
        <f t="shared" si="15"/>
        <v>6.4580075148539936E-3</v>
      </c>
      <c r="AQ33" s="116">
        <f t="shared" si="12"/>
        <v>539.20226103334141</v>
      </c>
      <c r="AR33" s="90">
        <f t="shared" si="19"/>
        <v>2.400000000034197E-2</v>
      </c>
    </row>
    <row r="34" spans="1:49" ht="15.75" x14ac:dyDescent="0.25">
      <c r="A34" t="str">
        <f t="shared" si="13"/>
        <v>46189M</v>
      </c>
      <c r="B34" s="51">
        <f t="shared" si="17"/>
        <v>46189</v>
      </c>
      <c r="C34" s="100" t="s">
        <v>87</v>
      </c>
      <c r="D34" s="91">
        <v>7954</v>
      </c>
      <c r="E34" s="62">
        <v>4.37</v>
      </c>
      <c r="F34" s="62">
        <v>8.11</v>
      </c>
      <c r="G34" s="62">
        <f t="shared" si="0"/>
        <v>347.58980000000003</v>
      </c>
      <c r="H34" s="72">
        <f t="shared" si="1"/>
        <v>645.06939999999997</v>
      </c>
      <c r="I34" s="121">
        <v>5093.5</v>
      </c>
      <c r="J34" s="121">
        <v>5246.3050000000003</v>
      </c>
      <c r="K34" s="121">
        <v>4.3617335820162957</v>
      </c>
      <c r="L34" s="121">
        <v>8.0186610385785801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5246.3050000000003</v>
      </c>
      <c r="S34" s="62">
        <f t="shared" si="3"/>
        <v>228.82984700000003</v>
      </c>
      <c r="T34" s="63">
        <f t="shared" si="4"/>
        <v>420.68341499999997</v>
      </c>
      <c r="U34" s="64" t="s">
        <v>232</v>
      </c>
      <c r="V34" s="65" t="s">
        <v>607</v>
      </c>
      <c r="W34" s="105" t="s">
        <v>191</v>
      </c>
      <c r="X34" s="67">
        <v>10000</v>
      </c>
      <c r="Y34" s="68">
        <v>4.45</v>
      </c>
      <c r="Z34" s="68">
        <v>8.3000000000000007</v>
      </c>
      <c r="AA34" s="62">
        <f t="shared" si="5"/>
        <v>445.00000000000006</v>
      </c>
      <c r="AB34" s="63">
        <f t="shared" si="6"/>
        <v>830</v>
      </c>
      <c r="AC34" s="226">
        <v>10000</v>
      </c>
      <c r="AD34" s="227">
        <v>4.45</v>
      </c>
      <c r="AE34" s="227">
        <v>8.3000000000000007</v>
      </c>
      <c r="AF34" s="62">
        <f t="shared" si="7"/>
        <v>445.00000000000006</v>
      </c>
      <c r="AG34" s="63">
        <f t="shared" si="8"/>
        <v>830</v>
      </c>
      <c r="AH34" s="142">
        <v>3200</v>
      </c>
      <c r="AI34" s="139">
        <v>4.38</v>
      </c>
      <c r="AJ34" s="139">
        <v>8.07</v>
      </c>
      <c r="AK34" s="62">
        <f t="shared" si="9"/>
        <v>140.16</v>
      </c>
      <c r="AL34" s="72">
        <f t="shared" si="10"/>
        <v>258.24</v>
      </c>
      <c r="AM34" s="81">
        <f t="shared" si="14"/>
        <v>0.30500000000029104</v>
      </c>
      <c r="AN34" s="80">
        <f t="shared" si="18"/>
        <v>-8.7403529999999989</v>
      </c>
      <c r="AO34" s="80">
        <f t="shared" si="18"/>
        <v>-22.487185000000181</v>
      </c>
      <c r="AP34" s="115">
        <f t="shared" si="15"/>
        <v>-4.8078368567630855E-2</v>
      </c>
      <c r="AQ34" s="116">
        <f t="shared" si="12"/>
        <v>-10653.446677463387</v>
      </c>
      <c r="AR34" s="90">
        <f t="shared" si="19"/>
        <v>0.30500000000029104</v>
      </c>
    </row>
    <row r="35" spans="1:49" ht="15.75" x14ac:dyDescent="0.25">
      <c r="A35" t="str">
        <f t="shared" si="13"/>
        <v>46189E</v>
      </c>
      <c r="B35" s="51">
        <f t="shared" si="17"/>
        <v>46189</v>
      </c>
      <c r="C35" s="100" t="s">
        <v>88</v>
      </c>
      <c r="D35" s="91">
        <v>3200</v>
      </c>
      <c r="E35" s="62">
        <v>4.38</v>
      </c>
      <c r="F35" s="62">
        <v>8.07</v>
      </c>
      <c r="G35" s="62">
        <f t="shared" si="0"/>
        <v>140.16</v>
      </c>
      <c r="H35" s="72">
        <f t="shared" si="1"/>
        <v>258.24</v>
      </c>
      <c r="I35" s="121">
        <v>1662.8000000000002</v>
      </c>
      <c r="J35" s="121">
        <v>1712.6840000000002</v>
      </c>
      <c r="K35" s="121">
        <v>4.2482679817175848</v>
      </c>
      <c r="L35" s="121">
        <v>8.0545345200866016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1712.6840000000002</v>
      </c>
      <c r="S35" s="62">
        <f t="shared" si="3"/>
        <v>72.759406000000013</v>
      </c>
      <c r="T35" s="63">
        <f t="shared" si="4"/>
        <v>137.94872400000003</v>
      </c>
      <c r="U35" s="64" t="s">
        <v>167</v>
      </c>
      <c r="V35" s="65" t="s">
        <v>167</v>
      </c>
      <c r="W35" s="105">
        <v>0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142">
        <v>4913</v>
      </c>
      <c r="AI35" s="139">
        <v>4.3499999999999996</v>
      </c>
      <c r="AJ35" s="139">
        <v>8.08</v>
      </c>
      <c r="AK35" s="62">
        <f t="shared" si="9"/>
        <v>213.71549999999999</v>
      </c>
      <c r="AL35" s="72">
        <f t="shared" si="10"/>
        <v>396.97039999999998</v>
      </c>
      <c r="AM35" s="81">
        <f t="shared" si="14"/>
        <v>-0.31599999999980355</v>
      </c>
      <c r="AN35" s="80">
        <f t="shared" si="18"/>
        <v>-0.79609399999998232</v>
      </c>
      <c r="AO35" s="80">
        <f t="shared" si="18"/>
        <v>-0.78167599999994763</v>
      </c>
      <c r="AP35" s="115">
        <f t="shared" si="15"/>
        <v>-7.4879407833002443E-3</v>
      </c>
      <c r="AQ35" s="116">
        <f t="shared" si="12"/>
        <v>-591.30933964664314</v>
      </c>
      <c r="AR35" s="90">
        <f t="shared" si="19"/>
        <v>-0.31599999999980355</v>
      </c>
      <c r="AS35" s="90">
        <f>SUM(J22:J35)</f>
        <v>53612.117999999988</v>
      </c>
      <c r="AT35" s="83">
        <f>SUM(AM22:AM35)</f>
        <v>-781.88199999999779</v>
      </c>
      <c r="AU35" s="83">
        <f>SUM(AN22:AN35)</f>
        <v>-5.7011339999998967</v>
      </c>
      <c r="AV35" s="83">
        <f>SUM(AO22:AO35)</f>
        <v>-131.47453200000007</v>
      </c>
      <c r="AW35" s="83">
        <f>-SUM(AQ22:AQ35)</f>
        <v>41906.117504019989</v>
      </c>
    </row>
    <row r="36" spans="1:49" ht="15.75" x14ac:dyDescent="0.25">
      <c r="A36" t="str">
        <f t="shared" si="13"/>
        <v>46190M</v>
      </c>
      <c r="B36" s="51">
        <f t="shared" si="17"/>
        <v>46190</v>
      </c>
      <c r="C36" s="100" t="s">
        <v>87</v>
      </c>
      <c r="D36" s="91">
        <v>4913</v>
      </c>
      <c r="E36" s="62">
        <v>4.3499999999999996</v>
      </c>
      <c r="F36" s="62">
        <v>8.08</v>
      </c>
      <c r="G36" s="62">
        <f t="shared" si="0"/>
        <v>213.71549999999999</v>
      </c>
      <c r="H36" s="72">
        <f t="shared" si="1"/>
        <v>396.97039999999998</v>
      </c>
      <c r="I36" s="121">
        <v>2497.9</v>
      </c>
      <c r="J36" s="121">
        <v>2572.837</v>
      </c>
      <c r="K36" s="121">
        <v>5.4725129108451105</v>
      </c>
      <c r="L36" s="121">
        <v>8.5822170623323615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2572.837</v>
      </c>
      <c r="S36" s="62">
        <f t="shared" si="3"/>
        <v>140.79883700000002</v>
      </c>
      <c r="T36" s="63">
        <f t="shared" si="4"/>
        <v>220.80645600000005</v>
      </c>
      <c r="U36" s="64" t="s">
        <v>167</v>
      </c>
      <c r="V36" s="85" t="s">
        <v>167</v>
      </c>
      <c r="W36" s="105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142">
        <v>7486</v>
      </c>
      <c r="AI36" s="139">
        <v>4.75</v>
      </c>
      <c r="AJ36" s="139">
        <v>8.26</v>
      </c>
      <c r="AK36" s="62">
        <f t="shared" si="9"/>
        <v>355.58499999999998</v>
      </c>
      <c r="AL36" s="72">
        <f t="shared" si="10"/>
        <v>618.34359999999992</v>
      </c>
      <c r="AM36" s="81">
        <f t="shared" si="14"/>
        <v>-0.16300000000046566</v>
      </c>
      <c r="AN36" s="80">
        <f t="shared" si="18"/>
        <v>-1.0706629999999677</v>
      </c>
      <c r="AO36" s="80">
        <f t="shared" si="18"/>
        <v>-0.56674399999985781</v>
      </c>
      <c r="AP36" s="115">
        <f t="shared" si="15"/>
        <v>-4.5281610410493221E-3</v>
      </c>
      <c r="AQ36" s="116">
        <f t="shared" si="12"/>
        <v>-650.24269335660961</v>
      </c>
      <c r="AR36" s="90">
        <f t="shared" si="19"/>
        <v>-0.16300000000046566</v>
      </c>
    </row>
    <row r="37" spans="1:49" ht="15.75" x14ac:dyDescent="0.25">
      <c r="A37" t="str">
        <f t="shared" si="13"/>
        <v>46190E</v>
      </c>
      <c r="B37" s="51">
        <f t="shared" si="17"/>
        <v>46190</v>
      </c>
      <c r="C37" s="100" t="s">
        <v>88</v>
      </c>
      <c r="D37" s="91">
        <v>7486</v>
      </c>
      <c r="E37" s="62">
        <v>4.75</v>
      </c>
      <c r="F37" s="62">
        <v>8.26</v>
      </c>
      <c r="G37" s="62">
        <f t="shared" si="0"/>
        <v>355.58499999999998</v>
      </c>
      <c r="H37" s="72">
        <f t="shared" si="1"/>
        <v>618.34359999999992</v>
      </c>
      <c r="I37" s="121">
        <v>6229.2</v>
      </c>
      <c r="J37" s="121">
        <v>6416.076</v>
      </c>
      <c r="K37" s="121">
        <v>3.9579994220766732</v>
      </c>
      <c r="L37" s="121">
        <v>7.8393501573235742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6416.076</v>
      </c>
      <c r="S37" s="62">
        <f t="shared" si="3"/>
        <v>253.94825100000014</v>
      </c>
      <c r="T37" s="63">
        <f t="shared" si="4"/>
        <v>502.97866400000009</v>
      </c>
      <c r="U37" s="64" t="s">
        <v>577</v>
      </c>
      <c r="V37" s="65" t="s">
        <v>608</v>
      </c>
      <c r="W37" s="66" t="s">
        <v>191</v>
      </c>
      <c r="X37" s="67">
        <v>9950</v>
      </c>
      <c r="Y37" s="68">
        <v>4.37</v>
      </c>
      <c r="Z37" s="68">
        <v>8.15</v>
      </c>
      <c r="AA37" s="62">
        <f t="shared" si="5"/>
        <v>434.81500000000005</v>
      </c>
      <c r="AB37" s="63">
        <f t="shared" si="6"/>
        <v>810.92500000000007</v>
      </c>
      <c r="AC37" s="226">
        <v>9950</v>
      </c>
      <c r="AD37" s="227">
        <v>4.37</v>
      </c>
      <c r="AE37" s="227">
        <v>8.15</v>
      </c>
      <c r="AF37" s="62">
        <f t="shared" si="7"/>
        <v>434.81500000000005</v>
      </c>
      <c r="AG37" s="63">
        <f t="shared" si="8"/>
        <v>810.92500000000007</v>
      </c>
      <c r="AH37" s="142">
        <v>3952</v>
      </c>
      <c r="AI37" s="139">
        <v>4.4000000000000004</v>
      </c>
      <c r="AJ37" s="139">
        <v>8.0500000000000007</v>
      </c>
      <c r="AK37" s="62">
        <f t="shared" si="9"/>
        <v>173.88800000000001</v>
      </c>
      <c r="AL37" s="72">
        <f t="shared" si="10"/>
        <v>318.13600000000002</v>
      </c>
      <c r="AM37" s="81">
        <f t="shared" si="14"/>
        <v>7.6000000000931323E-2</v>
      </c>
      <c r="AN37" s="80">
        <f t="shared" si="18"/>
        <v>0.83025100000000407</v>
      </c>
      <c r="AO37" s="80">
        <f t="shared" si="18"/>
        <v>-7.7387360000001877</v>
      </c>
      <c r="AP37" s="115">
        <f t="shared" si="15"/>
        <v>-9.1270172365322498E-3</v>
      </c>
      <c r="AQ37" s="116">
        <f t="shared" si="12"/>
        <v>-1943.2893420967216</v>
      </c>
      <c r="AR37" s="90">
        <f t="shared" si="19"/>
        <v>7.6000000000931323E-2</v>
      </c>
    </row>
    <row r="38" spans="1:49" ht="15.75" x14ac:dyDescent="0.25">
      <c r="A38" t="str">
        <f t="shared" si="13"/>
        <v>46191M</v>
      </c>
      <c r="B38" s="51">
        <f t="shared" si="17"/>
        <v>46191</v>
      </c>
      <c r="C38" s="100" t="s">
        <v>87</v>
      </c>
      <c r="D38" s="91">
        <v>3952</v>
      </c>
      <c r="E38" s="62">
        <v>4.4000000000000004</v>
      </c>
      <c r="F38" s="62">
        <v>8.0500000000000007</v>
      </c>
      <c r="G38" s="62">
        <f t="shared" si="0"/>
        <v>173.88800000000001</v>
      </c>
      <c r="H38" s="72">
        <f t="shared" si="1"/>
        <v>318.13600000000002</v>
      </c>
      <c r="I38" s="121">
        <v>2461.6999999999998</v>
      </c>
      <c r="J38" s="121">
        <v>2535.5509999999999</v>
      </c>
      <c r="K38" s="121">
        <v>5.1973473615793973</v>
      </c>
      <c r="L38" s="121">
        <v>8.4376934638664345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2535.5509999999999</v>
      </c>
      <c r="S38" s="62">
        <f t="shared" si="3"/>
        <v>131.78139300000001</v>
      </c>
      <c r="T38" s="63">
        <f t="shared" si="4"/>
        <v>213.94202100000001</v>
      </c>
      <c r="U38" s="64" t="s">
        <v>167</v>
      </c>
      <c r="V38" s="65" t="s">
        <v>167</v>
      </c>
      <c r="W38" s="139" t="s">
        <v>167</v>
      </c>
      <c r="X38" s="67">
        <v>0</v>
      </c>
      <c r="Y38" s="68">
        <v>0</v>
      </c>
      <c r="Z38" s="68">
        <v>0</v>
      </c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142">
        <v>6487</v>
      </c>
      <c r="AI38" s="139">
        <v>4.71</v>
      </c>
      <c r="AJ38" s="139">
        <v>8.19</v>
      </c>
      <c r="AK38" s="62">
        <f t="shared" si="9"/>
        <v>305.53770000000003</v>
      </c>
      <c r="AL38" s="72">
        <f t="shared" si="10"/>
        <v>531.28530000000001</v>
      </c>
      <c r="AM38" s="81">
        <f t="shared" si="14"/>
        <v>0.55099999999947613</v>
      </c>
      <c r="AN38" s="80">
        <f t="shared" si="18"/>
        <v>0.13169299999998429</v>
      </c>
      <c r="AO38" s="80">
        <f t="shared" si="18"/>
        <v>0.79272100000002865</v>
      </c>
      <c r="AP38" s="115">
        <f t="shared" si="15"/>
        <v>2.673854192588798E-3</v>
      </c>
      <c r="AQ38" s="116">
        <f t="shared" si="12"/>
        <v>296.35856070333489</v>
      </c>
      <c r="AR38" s="90">
        <f t="shared" si="19"/>
        <v>0.55099999999947613</v>
      </c>
    </row>
    <row r="39" spans="1:49" ht="15.75" x14ac:dyDescent="0.25">
      <c r="A39" t="str">
        <f t="shared" si="13"/>
        <v>46191E</v>
      </c>
      <c r="B39" s="51">
        <f t="shared" si="17"/>
        <v>46191</v>
      </c>
      <c r="C39" s="100" t="s">
        <v>88</v>
      </c>
      <c r="D39" s="91">
        <v>6487</v>
      </c>
      <c r="E39" s="62">
        <v>4.71</v>
      </c>
      <c r="F39" s="62">
        <v>8.19</v>
      </c>
      <c r="G39" s="62">
        <f t="shared" si="0"/>
        <v>305.53770000000003</v>
      </c>
      <c r="H39" s="72">
        <f t="shared" si="1"/>
        <v>531.28530000000001</v>
      </c>
      <c r="I39" s="121">
        <v>2102.1</v>
      </c>
      <c r="J39" s="121">
        <v>2165.163</v>
      </c>
      <c r="K39" s="121">
        <v>4.4626944484087332</v>
      </c>
      <c r="L39" s="121">
        <v>8.0948099519528096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2165.163</v>
      </c>
      <c r="S39" s="62">
        <f t="shared" si="3"/>
        <v>96.624608999999992</v>
      </c>
      <c r="T39" s="63">
        <f t="shared" si="4"/>
        <v>175.26583000000002</v>
      </c>
      <c r="U39" s="64" t="s">
        <v>167</v>
      </c>
      <c r="V39" s="65" t="s">
        <v>167</v>
      </c>
      <c r="W39" s="139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142">
        <v>8652</v>
      </c>
      <c r="AI39" s="139">
        <v>4.66</v>
      </c>
      <c r="AJ39" s="139">
        <v>8.17</v>
      </c>
      <c r="AK39" s="62">
        <f t="shared" si="9"/>
        <v>403.1832</v>
      </c>
      <c r="AL39" s="72">
        <f t="shared" si="10"/>
        <v>706.86839999999995</v>
      </c>
      <c r="AM39" s="81">
        <f t="shared" si="14"/>
        <v>0.16300000000046566</v>
      </c>
      <c r="AN39" s="80">
        <f t="shared" si="18"/>
        <v>-1.0208909999999491</v>
      </c>
      <c r="AO39" s="80">
        <f t="shared" si="18"/>
        <v>-0.31726999999989403</v>
      </c>
      <c r="AP39" s="115">
        <f t="shared" si="15"/>
        <v>-4.9216920055060965E-3</v>
      </c>
      <c r="AQ39" s="116">
        <f t="shared" si="12"/>
        <v>-553.23862927661219</v>
      </c>
      <c r="AR39" s="90">
        <f t="shared" si="19"/>
        <v>0.16300000000046566</v>
      </c>
      <c r="AS39" s="90">
        <f>SUM(J26:J39)</f>
        <v>52444.098000000005</v>
      </c>
      <c r="AT39" s="83">
        <f>SUM(AM26:AM39)</f>
        <v>-97.901999999997315</v>
      </c>
      <c r="AU39" s="83">
        <f>SUM(AN26:AN39)</f>
        <v>28.22834700000007</v>
      </c>
      <c r="AV39" s="83">
        <f>SUM(AO26:AO39)</f>
        <v>-71.522351000000072</v>
      </c>
      <c r="AW39" s="83">
        <f>-SUM(AQ26:AQ39)</f>
        <v>8732.7451398366575</v>
      </c>
    </row>
    <row r="40" spans="1:49" ht="15.75" x14ac:dyDescent="0.25">
      <c r="A40" t="str">
        <f t="shared" si="13"/>
        <v>46192M</v>
      </c>
      <c r="B40" s="51">
        <f t="shared" si="17"/>
        <v>46192</v>
      </c>
      <c r="C40" s="100" t="s">
        <v>87</v>
      </c>
      <c r="D40" s="91"/>
      <c r="E40" s="62"/>
      <c r="F40" s="62"/>
      <c r="G40" s="62">
        <f t="shared" si="0"/>
        <v>0</v>
      </c>
      <c r="H40" s="72">
        <f t="shared" si="1"/>
        <v>0</v>
      </c>
      <c r="I40" s="121"/>
      <c r="J40" s="121"/>
      <c r="K40" s="121"/>
      <c r="L40" s="121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105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142"/>
      <c r="AI40" s="139"/>
      <c r="AJ40" s="139"/>
      <c r="AK40" s="62">
        <f t="shared" si="9"/>
        <v>0</v>
      </c>
      <c r="AL40" s="72">
        <f t="shared" si="10"/>
        <v>0</v>
      </c>
      <c r="AM40" s="81">
        <f t="shared" si="14"/>
        <v>0</v>
      </c>
      <c r="AN40" s="80">
        <f t="shared" si="18"/>
        <v>0</v>
      </c>
      <c r="AO40" s="80">
        <f t="shared" si="18"/>
        <v>0</v>
      </c>
      <c r="AP40" s="115" t="e">
        <f t="shared" si="15"/>
        <v>#DIV/0!</v>
      </c>
      <c r="AQ40" s="116">
        <f t="shared" si="12"/>
        <v>0</v>
      </c>
      <c r="AR40" s="90">
        <f t="shared" si="19"/>
        <v>0</v>
      </c>
    </row>
    <row r="41" spans="1:49" ht="15.75" x14ac:dyDescent="0.25">
      <c r="A41" t="str">
        <f t="shared" si="13"/>
        <v>46192E</v>
      </c>
      <c r="B41" s="51">
        <f t="shared" si="17"/>
        <v>46192</v>
      </c>
      <c r="C41" s="100" t="s">
        <v>88</v>
      </c>
      <c r="D41" s="91"/>
      <c r="E41" s="62"/>
      <c r="F41" s="62"/>
      <c r="G41" s="62">
        <f t="shared" si="0"/>
        <v>0</v>
      </c>
      <c r="H41" s="72">
        <f t="shared" si="1"/>
        <v>0</v>
      </c>
      <c r="I41" s="121"/>
      <c r="J41" s="121"/>
      <c r="K41" s="121"/>
      <c r="L41" s="121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139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142"/>
      <c r="AI41" s="139"/>
      <c r="AJ41" s="139"/>
      <c r="AK41" s="62">
        <f t="shared" si="9"/>
        <v>0</v>
      </c>
      <c r="AL41" s="72">
        <f t="shared" si="10"/>
        <v>0</v>
      </c>
      <c r="AM41" s="81">
        <f t="shared" si="14"/>
        <v>0</v>
      </c>
      <c r="AN41" s="80">
        <f t="shared" si="18"/>
        <v>0</v>
      </c>
      <c r="AO41" s="80">
        <f t="shared" si="18"/>
        <v>0</v>
      </c>
      <c r="AP41" s="115" t="e">
        <f t="shared" si="15"/>
        <v>#DIV/0!</v>
      </c>
      <c r="AQ41" s="116">
        <f t="shared" si="12"/>
        <v>0</v>
      </c>
      <c r="AR41" s="90">
        <f t="shared" si="19"/>
        <v>0</v>
      </c>
      <c r="AS41" s="90">
        <f>SUM(J28:J41)</f>
        <v>44645.247000000003</v>
      </c>
      <c r="AT41" s="83">
        <f>SUM(AM28:AM41)</f>
        <v>-137.75299999999788</v>
      </c>
      <c r="AU41" s="83">
        <f>SUM(AN28:AN41)</f>
        <v>5.4635100000000705</v>
      </c>
      <c r="AV41" s="83">
        <f>SUM(AO28:AO41)</f>
        <v>-76.494889999999828</v>
      </c>
      <c r="AW41" s="83">
        <f>-SUM(AQ28:AQ41)</f>
        <v>20440.256439166591</v>
      </c>
    </row>
    <row r="42" spans="1:49" ht="15.75" x14ac:dyDescent="0.25">
      <c r="A42" t="str">
        <f t="shared" si="13"/>
        <v>46193M</v>
      </c>
      <c r="B42" s="51">
        <f t="shared" si="17"/>
        <v>46193</v>
      </c>
      <c r="C42" s="100" t="s">
        <v>87</v>
      </c>
      <c r="D42" s="91"/>
      <c r="E42" s="62"/>
      <c r="F42" s="62"/>
      <c r="G42" s="62">
        <f t="shared" si="0"/>
        <v>0</v>
      </c>
      <c r="H42" s="72">
        <f t="shared" si="1"/>
        <v>0</v>
      </c>
      <c r="I42" s="121"/>
      <c r="J42" s="121"/>
      <c r="K42" s="121"/>
      <c r="L42" s="121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142"/>
      <c r="AI42" s="139"/>
      <c r="AJ42" s="139"/>
      <c r="AK42" s="62">
        <f t="shared" si="9"/>
        <v>0</v>
      </c>
      <c r="AL42" s="72">
        <f t="shared" si="10"/>
        <v>0</v>
      </c>
      <c r="AM42" s="81">
        <f t="shared" si="14"/>
        <v>0</v>
      </c>
      <c r="AN42" s="80">
        <f t="shared" si="18"/>
        <v>0</v>
      </c>
      <c r="AO42" s="80">
        <f t="shared" si="18"/>
        <v>0</v>
      </c>
      <c r="AP42" s="115" t="e">
        <f t="shared" si="15"/>
        <v>#DIV/0!</v>
      </c>
      <c r="AQ42" s="116">
        <f t="shared" si="12"/>
        <v>0</v>
      </c>
      <c r="AR42" s="90">
        <f t="shared" si="19"/>
        <v>0</v>
      </c>
    </row>
    <row r="43" spans="1:49" ht="15.75" x14ac:dyDescent="0.25">
      <c r="A43" t="str">
        <f t="shared" si="13"/>
        <v>46193E</v>
      </c>
      <c r="B43" s="51">
        <f t="shared" si="17"/>
        <v>46193</v>
      </c>
      <c r="C43" s="100" t="s">
        <v>88</v>
      </c>
      <c r="D43" s="91"/>
      <c r="E43" s="62"/>
      <c r="F43" s="62"/>
      <c r="G43" s="62">
        <f t="shared" si="0"/>
        <v>0</v>
      </c>
      <c r="H43" s="72">
        <f t="shared" si="1"/>
        <v>0</v>
      </c>
      <c r="I43" s="121"/>
      <c r="J43" s="121"/>
      <c r="K43" s="121"/>
      <c r="L43" s="121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139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142"/>
      <c r="AI43" s="139"/>
      <c r="AJ43" s="139"/>
      <c r="AK43" s="62">
        <f t="shared" si="9"/>
        <v>0</v>
      </c>
      <c r="AL43" s="72">
        <f t="shared" si="10"/>
        <v>0</v>
      </c>
      <c r="AM43" s="81">
        <f t="shared" si="14"/>
        <v>0</v>
      </c>
      <c r="AN43" s="80">
        <f t="shared" si="18"/>
        <v>0</v>
      </c>
      <c r="AO43" s="80">
        <f t="shared" si="18"/>
        <v>0</v>
      </c>
      <c r="AP43" s="115" t="e">
        <f t="shared" si="15"/>
        <v>#DIV/0!</v>
      </c>
      <c r="AQ43" s="116">
        <f t="shared" si="12"/>
        <v>0</v>
      </c>
      <c r="AR43" s="90">
        <f t="shared" si="19"/>
        <v>0</v>
      </c>
    </row>
    <row r="44" spans="1:49" ht="15.75" x14ac:dyDescent="0.25">
      <c r="A44" t="str">
        <f t="shared" si="13"/>
        <v>46194M</v>
      </c>
      <c r="B44" s="51">
        <f t="shared" si="17"/>
        <v>46194</v>
      </c>
      <c r="C44" s="100" t="s">
        <v>87</v>
      </c>
      <c r="D44" s="91"/>
      <c r="E44" s="62"/>
      <c r="F44" s="62"/>
      <c r="G44" s="62">
        <f t="shared" si="0"/>
        <v>0</v>
      </c>
      <c r="H44" s="72">
        <f t="shared" si="1"/>
        <v>0</v>
      </c>
      <c r="I44" s="121"/>
      <c r="J44" s="121"/>
      <c r="K44" s="121"/>
      <c r="L44" s="121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139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142"/>
      <c r="AI44" s="139"/>
      <c r="AJ44" s="139"/>
      <c r="AK44" s="62">
        <f t="shared" si="9"/>
        <v>0</v>
      </c>
      <c r="AL44" s="72">
        <f t="shared" si="10"/>
        <v>0</v>
      </c>
      <c r="AM44" s="81">
        <f t="shared" si="14"/>
        <v>0</v>
      </c>
      <c r="AN44" s="80">
        <f t="shared" si="18"/>
        <v>0</v>
      </c>
      <c r="AO44" s="80">
        <f t="shared" si="18"/>
        <v>0</v>
      </c>
      <c r="AP44" s="115" t="e">
        <f t="shared" si="15"/>
        <v>#DIV/0!</v>
      </c>
      <c r="AQ44" s="116">
        <f t="shared" si="12"/>
        <v>0</v>
      </c>
      <c r="AR44" s="90">
        <f t="shared" si="19"/>
        <v>0</v>
      </c>
    </row>
    <row r="45" spans="1:49" ht="15.75" x14ac:dyDescent="0.25">
      <c r="A45" t="str">
        <f t="shared" si="13"/>
        <v>46194E</v>
      </c>
      <c r="B45" s="51">
        <f t="shared" si="17"/>
        <v>46194</v>
      </c>
      <c r="C45" s="100" t="s">
        <v>88</v>
      </c>
      <c r="D45" s="91"/>
      <c r="E45" s="62"/>
      <c r="F45" s="62"/>
      <c r="G45" s="62">
        <f t="shared" si="0"/>
        <v>0</v>
      </c>
      <c r="H45" s="72">
        <f t="shared" si="1"/>
        <v>0</v>
      </c>
      <c r="I45" s="121"/>
      <c r="J45" s="121"/>
      <c r="K45" s="121"/>
      <c r="L45" s="121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139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142"/>
      <c r="AI45" s="139"/>
      <c r="AJ45" s="139"/>
      <c r="AK45" s="62">
        <f t="shared" si="9"/>
        <v>0</v>
      </c>
      <c r="AL45" s="72">
        <f t="shared" si="10"/>
        <v>0</v>
      </c>
      <c r="AM45" s="81">
        <f t="shared" si="14"/>
        <v>0</v>
      </c>
      <c r="AN45" s="80">
        <f t="shared" si="18"/>
        <v>0</v>
      </c>
      <c r="AO45" s="80">
        <f t="shared" si="18"/>
        <v>0</v>
      </c>
      <c r="AP45" s="115" t="e">
        <f t="shared" si="15"/>
        <v>#DIV/0!</v>
      </c>
      <c r="AQ45" s="116">
        <f t="shared" si="12"/>
        <v>0</v>
      </c>
      <c r="AR45" s="90">
        <f t="shared" si="19"/>
        <v>0</v>
      </c>
    </row>
    <row r="46" spans="1:49" ht="15.75" x14ac:dyDescent="0.25">
      <c r="A46" t="str">
        <f t="shared" si="13"/>
        <v>46195M</v>
      </c>
      <c r="B46" s="51">
        <f t="shared" si="17"/>
        <v>46195</v>
      </c>
      <c r="C46" s="100" t="s">
        <v>87</v>
      </c>
      <c r="D46" s="91"/>
      <c r="E46" s="62"/>
      <c r="F46" s="62"/>
      <c r="G46" s="62">
        <f t="shared" si="0"/>
        <v>0</v>
      </c>
      <c r="H46" s="72">
        <f t="shared" si="1"/>
        <v>0</v>
      </c>
      <c r="I46" s="121"/>
      <c r="J46" s="121"/>
      <c r="K46" s="121"/>
      <c r="L46" s="121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139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142"/>
      <c r="AI46" s="139"/>
      <c r="AJ46" s="139"/>
      <c r="AK46" s="62">
        <f t="shared" si="9"/>
        <v>0</v>
      </c>
      <c r="AL46" s="72">
        <f t="shared" si="10"/>
        <v>0</v>
      </c>
      <c r="AM46" s="81">
        <f t="shared" si="14"/>
        <v>0</v>
      </c>
      <c r="AN46" s="80">
        <f t="shared" si="18"/>
        <v>0</v>
      </c>
      <c r="AO46" s="80">
        <f t="shared" si="18"/>
        <v>0</v>
      </c>
      <c r="AP46" s="115" t="e">
        <f t="shared" si="15"/>
        <v>#DIV/0!</v>
      </c>
      <c r="AQ46" s="116">
        <f t="shared" si="12"/>
        <v>0</v>
      </c>
      <c r="AR46" s="90">
        <f t="shared" si="19"/>
        <v>0</v>
      </c>
    </row>
    <row r="47" spans="1:49" ht="15.75" x14ac:dyDescent="0.25">
      <c r="A47" t="str">
        <f t="shared" si="13"/>
        <v>46195E</v>
      </c>
      <c r="B47" s="51">
        <f t="shared" si="17"/>
        <v>46195</v>
      </c>
      <c r="C47" s="100" t="s">
        <v>88</v>
      </c>
      <c r="D47" s="91"/>
      <c r="E47" s="62"/>
      <c r="F47" s="62"/>
      <c r="G47" s="62">
        <f t="shared" si="0"/>
        <v>0</v>
      </c>
      <c r="H47" s="72">
        <f t="shared" si="1"/>
        <v>0</v>
      </c>
      <c r="I47" s="121"/>
      <c r="J47" s="121"/>
      <c r="K47" s="121"/>
      <c r="L47" s="121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142"/>
      <c r="AI47" s="139"/>
      <c r="AJ47" s="139"/>
      <c r="AK47" s="62">
        <f t="shared" si="9"/>
        <v>0</v>
      </c>
      <c r="AL47" s="72">
        <f t="shared" si="10"/>
        <v>0</v>
      </c>
      <c r="AM47" s="81">
        <f t="shared" si="14"/>
        <v>0</v>
      </c>
      <c r="AN47" s="80">
        <f t="shared" si="18"/>
        <v>0</v>
      </c>
      <c r="AO47" s="80">
        <f t="shared" si="18"/>
        <v>0</v>
      </c>
      <c r="AP47" s="115" t="e">
        <f t="shared" si="15"/>
        <v>#DIV/0!</v>
      </c>
      <c r="AQ47" s="116">
        <f t="shared" si="12"/>
        <v>0</v>
      </c>
      <c r="AR47" s="90">
        <f t="shared" si="19"/>
        <v>0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46196M</v>
      </c>
      <c r="B48" s="51">
        <f t="shared" si="17"/>
        <v>46196</v>
      </c>
      <c r="C48" s="100" t="s">
        <v>87</v>
      </c>
      <c r="D48" s="106"/>
      <c r="E48" s="107"/>
      <c r="F48" s="107"/>
      <c r="G48" s="62">
        <f t="shared" si="0"/>
        <v>0</v>
      </c>
      <c r="H48" s="72">
        <f t="shared" si="1"/>
        <v>0</v>
      </c>
      <c r="I48" s="121"/>
      <c r="J48" s="121"/>
      <c r="K48" s="121"/>
      <c r="L48" s="121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103"/>
      <c r="V48" s="85"/>
      <c r="W48" s="105"/>
      <c r="X48" s="113"/>
      <c r="Y48" s="114"/>
      <c r="Z48" s="114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142"/>
      <c r="AI48" s="139"/>
      <c r="AJ48" s="139"/>
      <c r="AK48" s="62">
        <f t="shared" si="9"/>
        <v>0</v>
      </c>
      <c r="AL48" s="72">
        <f t="shared" si="10"/>
        <v>0</v>
      </c>
      <c r="AM48" s="81">
        <f t="shared" si="14"/>
        <v>0</v>
      </c>
      <c r="AN48" s="80">
        <f t="shared" si="18"/>
        <v>0</v>
      </c>
      <c r="AO48" s="80">
        <f t="shared" si="18"/>
        <v>0</v>
      </c>
      <c r="AP48" s="115" t="e">
        <f t="shared" si="15"/>
        <v>#DIV/0!</v>
      </c>
      <c r="AQ48" s="116">
        <f t="shared" si="12"/>
        <v>0</v>
      </c>
      <c r="AR48" s="90">
        <f t="shared" si="19"/>
        <v>0</v>
      </c>
    </row>
    <row r="49" spans="1:49" ht="15.75" x14ac:dyDescent="0.25">
      <c r="A49" t="str">
        <f t="shared" si="13"/>
        <v>46196E</v>
      </c>
      <c r="B49" s="51">
        <f t="shared" si="17"/>
        <v>46196</v>
      </c>
      <c r="C49" s="100" t="s">
        <v>88</v>
      </c>
      <c r="D49" s="106"/>
      <c r="E49" s="107"/>
      <c r="F49" s="107"/>
      <c r="G49" s="62">
        <f t="shared" si="0"/>
        <v>0</v>
      </c>
      <c r="H49" s="72">
        <f t="shared" si="1"/>
        <v>0</v>
      </c>
      <c r="I49" s="121"/>
      <c r="J49" s="121"/>
      <c r="K49" s="121"/>
      <c r="L49" s="121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103"/>
      <c r="V49" s="104"/>
      <c r="W49" s="105"/>
      <c r="X49" s="113"/>
      <c r="Y49" s="114"/>
      <c r="Z49" s="114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142"/>
      <c r="AI49" s="139"/>
      <c r="AJ49" s="139"/>
      <c r="AK49" s="62">
        <f t="shared" si="9"/>
        <v>0</v>
      </c>
      <c r="AL49" s="72">
        <f t="shared" si="10"/>
        <v>0</v>
      </c>
      <c r="AM49" s="81">
        <f t="shared" si="14"/>
        <v>0</v>
      </c>
      <c r="AN49" s="80">
        <f t="shared" si="18"/>
        <v>0</v>
      </c>
      <c r="AO49" s="80">
        <f t="shared" si="18"/>
        <v>0</v>
      </c>
      <c r="AP49" s="115" t="e">
        <f t="shared" si="15"/>
        <v>#DIV/0!</v>
      </c>
      <c r="AQ49" s="116">
        <f t="shared" si="12"/>
        <v>0</v>
      </c>
      <c r="AR49" s="90">
        <f t="shared" si="19"/>
        <v>0</v>
      </c>
    </row>
    <row r="50" spans="1:49" ht="15.75" x14ac:dyDescent="0.25">
      <c r="A50" t="str">
        <f t="shared" si="13"/>
        <v>46197M</v>
      </c>
      <c r="B50" s="51">
        <f t="shared" si="17"/>
        <v>46197</v>
      </c>
      <c r="C50" s="100" t="s">
        <v>87</v>
      </c>
      <c r="D50" s="91"/>
      <c r="E50" s="62"/>
      <c r="F50" s="62"/>
      <c r="G50" s="62">
        <f t="shared" si="0"/>
        <v>0</v>
      </c>
      <c r="H50" s="72">
        <f t="shared" si="1"/>
        <v>0</v>
      </c>
      <c r="I50" s="121"/>
      <c r="J50" s="121"/>
      <c r="K50" s="121"/>
      <c r="L50" s="121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142"/>
      <c r="AI50" s="139"/>
      <c r="AJ50" s="139"/>
      <c r="AK50" s="62">
        <f t="shared" si="9"/>
        <v>0</v>
      </c>
      <c r="AL50" s="72">
        <f t="shared" si="10"/>
        <v>0</v>
      </c>
      <c r="AM50" s="81">
        <f t="shared" si="14"/>
        <v>0</v>
      </c>
      <c r="AN50" s="80">
        <f t="shared" si="18"/>
        <v>0</v>
      </c>
      <c r="AO50" s="80">
        <f t="shared" si="18"/>
        <v>0</v>
      </c>
      <c r="AP50" s="115" t="e">
        <f t="shared" si="15"/>
        <v>#DIV/0!</v>
      </c>
      <c r="AQ50" s="116">
        <f t="shared" si="12"/>
        <v>0</v>
      </c>
      <c r="AR50" s="90">
        <f t="shared" si="19"/>
        <v>0</v>
      </c>
    </row>
    <row r="51" spans="1:49" ht="15.75" x14ac:dyDescent="0.25">
      <c r="A51" t="str">
        <f t="shared" si="13"/>
        <v>46197E</v>
      </c>
      <c r="B51" s="51">
        <f t="shared" si="17"/>
        <v>46197</v>
      </c>
      <c r="C51" s="100" t="s">
        <v>88</v>
      </c>
      <c r="D51" s="91"/>
      <c r="E51" s="62"/>
      <c r="F51" s="62"/>
      <c r="G51" s="62">
        <f t="shared" si="0"/>
        <v>0</v>
      </c>
      <c r="H51" s="72">
        <f t="shared" si="1"/>
        <v>0</v>
      </c>
      <c r="I51" s="121"/>
      <c r="J51" s="121"/>
      <c r="K51" s="121"/>
      <c r="L51" s="121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142"/>
      <c r="AI51" s="139"/>
      <c r="AJ51" s="139"/>
      <c r="AK51" s="62">
        <f t="shared" si="9"/>
        <v>0</v>
      </c>
      <c r="AL51" s="72">
        <f t="shared" si="10"/>
        <v>0</v>
      </c>
      <c r="AM51" s="81">
        <f t="shared" si="14"/>
        <v>0</v>
      </c>
      <c r="AN51" s="80">
        <f t="shared" si="18"/>
        <v>0</v>
      </c>
      <c r="AO51" s="80">
        <f t="shared" si="18"/>
        <v>0</v>
      </c>
      <c r="AP51" s="115" t="e">
        <f t="shared" si="15"/>
        <v>#DIV/0!</v>
      </c>
      <c r="AQ51" s="116">
        <f t="shared" si="12"/>
        <v>0</v>
      </c>
      <c r="AR51" s="90">
        <f t="shared" si="19"/>
        <v>0</v>
      </c>
    </row>
    <row r="52" spans="1:49" ht="15.75" x14ac:dyDescent="0.25">
      <c r="A52" t="str">
        <f t="shared" si="13"/>
        <v>46198M</v>
      </c>
      <c r="B52" s="51">
        <f t="shared" si="17"/>
        <v>46198</v>
      </c>
      <c r="C52" s="100" t="s">
        <v>87</v>
      </c>
      <c r="D52" s="91"/>
      <c r="E52" s="62"/>
      <c r="F52" s="62"/>
      <c r="G52" s="62">
        <f t="shared" si="0"/>
        <v>0</v>
      </c>
      <c r="H52" s="72">
        <f t="shared" si="1"/>
        <v>0</v>
      </c>
      <c r="I52" s="121"/>
      <c r="J52" s="121"/>
      <c r="K52" s="121"/>
      <c r="L52" s="121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142"/>
      <c r="AI52" s="139"/>
      <c r="AJ52" s="139"/>
      <c r="AK52" s="62">
        <f t="shared" si="9"/>
        <v>0</v>
      </c>
      <c r="AL52" s="72">
        <f t="shared" si="10"/>
        <v>0</v>
      </c>
      <c r="AM52" s="81">
        <f t="shared" si="14"/>
        <v>0</v>
      </c>
      <c r="AN52" s="80">
        <f t="shared" si="18"/>
        <v>0</v>
      </c>
      <c r="AO52" s="80">
        <f t="shared" si="18"/>
        <v>0</v>
      </c>
      <c r="AP52" s="115" t="e">
        <f t="shared" si="15"/>
        <v>#DIV/0!</v>
      </c>
      <c r="AQ52" s="116">
        <f t="shared" si="12"/>
        <v>0</v>
      </c>
      <c r="AR52" s="90">
        <f t="shared" si="19"/>
        <v>0</v>
      </c>
    </row>
    <row r="53" spans="1:49" ht="15.75" x14ac:dyDescent="0.25">
      <c r="A53" t="str">
        <f t="shared" si="13"/>
        <v>46198E</v>
      </c>
      <c r="B53" s="51">
        <f t="shared" si="17"/>
        <v>46198</v>
      </c>
      <c r="C53" s="100" t="s">
        <v>88</v>
      </c>
      <c r="D53" s="91"/>
      <c r="E53" s="62"/>
      <c r="F53" s="62"/>
      <c r="G53" s="62">
        <f t="shared" si="0"/>
        <v>0</v>
      </c>
      <c r="H53" s="72">
        <f t="shared" si="1"/>
        <v>0</v>
      </c>
      <c r="I53" s="121"/>
      <c r="J53" s="121"/>
      <c r="K53" s="121"/>
      <c r="L53" s="121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142"/>
      <c r="AI53" s="139"/>
      <c r="AJ53" s="139"/>
      <c r="AK53" s="62">
        <f t="shared" si="9"/>
        <v>0</v>
      </c>
      <c r="AL53" s="72">
        <f t="shared" si="10"/>
        <v>0</v>
      </c>
      <c r="AM53" s="81">
        <f t="shared" si="14"/>
        <v>0</v>
      </c>
      <c r="AN53" s="80">
        <f t="shared" si="18"/>
        <v>0</v>
      </c>
      <c r="AO53" s="80">
        <f t="shared" si="18"/>
        <v>0</v>
      </c>
      <c r="AP53" s="115" t="e">
        <f t="shared" si="15"/>
        <v>#DIV/0!</v>
      </c>
      <c r="AQ53" s="116">
        <f t="shared" si="12"/>
        <v>0</v>
      </c>
      <c r="AR53" s="90">
        <f t="shared" si="19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ht="15.75" x14ac:dyDescent="0.25">
      <c r="A54" t="str">
        <f t="shared" si="13"/>
        <v>46199M</v>
      </c>
      <c r="B54" s="51">
        <f t="shared" si="17"/>
        <v>46199</v>
      </c>
      <c r="C54" s="100" t="s">
        <v>87</v>
      </c>
      <c r="D54" s="91"/>
      <c r="E54" s="62"/>
      <c r="F54" s="62"/>
      <c r="G54" s="62">
        <f t="shared" si="0"/>
        <v>0</v>
      </c>
      <c r="H54" s="72">
        <f t="shared" si="1"/>
        <v>0</v>
      </c>
      <c r="I54" s="121"/>
      <c r="J54" s="121"/>
      <c r="K54" s="121"/>
      <c r="L54" s="121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105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142"/>
      <c r="AI54" s="139"/>
      <c r="AJ54" s="139"/>
      <c r="AK54" s="62">
        <f t="shared" si="9"/>
        <v>0</v>
      </c>
      <c r="AL54" s="72">
        <f t="shared" si="10"/>
        <v>0</v>
      </c>
      <c r="AM54" s="81">
        <f t="shared" si="14"/>
        <v>0</v>
      </c>
      <c r="AN54" s="80">
        <f t="shared" si="18"/>
        <v>0</v>
      </c>
      <c r="AO54" s="80">
        <f t="shared" si="18"/>
        <v>0</v>
      </c>
      <c r="AP54" s="115" t="e">
        <f t="shared" si="15"/>
        <v>#DIV/0!</v>
      </c>
      <c r="AQ54" s="116">
        <f t="shared" si="12"/>
        <v>0</v>
      </c>
      <c r="AR54" s="90">
        <f t="shared" si="19"/>
        <v>0</v>
      </c>
    </row>
    <row r="55" spans="1:49" ht="15.75" x14ac:dyDescent="0.25">
      <c r="A55" t="str">
        <f t="shared" si="13"/>
        <v>46199E</v>
      </c>
      <c r="B55" s="51">
        <f t="shared" si="17"/>
        <v>46199</v>
      </c>
      <c r="C55" s="100" t="s">
        <v>88</v>
      </c>
      <c r="D55" s="91"/>
      <c r="E55" s="62"/>
      <c r="F55" s="62"/>
      <c r="G55" s="62">
        <f t="shared" si="0"/>
        <v>0</v>
      </c>
      <c r="H55" s="72">
        <f t="shared" si="1"/>
        <v>0</v>
      </c>
      <c r="I55" s="121"/>
      <c r="J55" s="121"/>
      <c r="K55" s="121"/>
      <c r="L55" s="121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105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142"/>
      <c r="AI55" s="139"/>
      <c r="AJ55" s="139"/>
      <c r="AK55" s="62">
        <f t="shared" si="9"/>
        <v>0</v>
      </c>
      <c r="AL55" s="72">
        <f t="shared" si="10"/>
        <v>0</v>
      </c>
      <c r="AM55" s="81">
        <f t="shared" si="14"/>
        <v>0</v>
      </c>
      <c r="AN55" s="80">
        <f t="shared" si="18"/>
        <v>0</v>
      </c>
      <c r="AO55" s="80">
        <f t="shared" si="18"/>
        <v>0</v>
      </c>
      <c r="AP55" s="115" t="e">
        <f t="shared" si="15"/>
        <v>#DIV/0!</v>
      </c>
      <c r="AQ55" s="116">
        <f t="shared" si="12"/>
        <v>0</v>
      </c>
      <c r="AR55" s="90">
        <f t="shared" si="19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ht="15.75" x14ac:dyDescent="0.25">
      <c r="A56" t="str">
        <f t="shared" si="13"/>
        <v>46200M</v>
      </c>
      <c r="B56" s="51">
        <f t="shared" si="17"/>
        <v>46200</v>
      </c>
      <c r="C56" s="100" t="s">
        <v>87</v>
      </c>
      <c r="D56" s="91"/>
      <c r="E56" s="62"/>
      <c r="F56" s="62"/>
      <c r="G56" s="62">
        <f t="shared" si="0"/>
        <v>0</v>
      </c>
      <c r="H56" s="72">
        <f t="shared" si="1"/>
        <v>0</v>
      </c>
      <c r="I56" s="121"/>
      <c r="J56" s="121"/>
      <c r="K56" s="121"/>
      <c r="L56" s="121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142"/>
      <c r="AI56" s="139"/>
      <c r="AJ56" s="139"/>
      <c r="AK56" s="62">
        <f t="shared" si="9"/>
        <v>0</v>
      </c>
      <c r="AL56" s="72">
        <f t="shared" si="10"/>
        <v>0</v>
      </c>
      <c r="AM56" s="81">
        <f t="shared" si="14"/>
        <v>0</v>
      </c>
      <c r="AN56" s="80">
        <f t="shared" si="18"/>
        <v>0</v>
      </c>
      <c r="AO56" s="80">
        <f t="shared" si="18"/>
        <v>0</v>
      </c>
      <c r="AP56" s="115" t="e">
        <f t="shared" si="15"/>
        <v>#DIV/0!</v>
      </c>
      <c r="AQ56" s="116">
        <f t="shared" si="12"/>
        <v>0</v>
      </c>
      <c r="AR56" s="90">
        <f t="shared" si="19"/>
        <v>0</v>
      </c>
    </row>
    <row r="57" spans="1:49" ht="15.75" x14ac:dyDescent="0.25">
      <c r="A57" t="str">
        <f t="shared" si="13"/>
        <v>46200E</v>
      </c>
      <c r="B57" s="51">
        <f t="shared" si="17"/>
        <v>46200</v>
      </c>
      <c r="C57" s="100" t="s">
        <v>88</v>
      </c>
      <c r="D57" s="91"/>
      <c r="E57" s="62"/>
      <c r="F57" s="62"/>
      <c r="G57" s="62">
        <f t="shared" si="0"/>
        <v>0</v>
      </c>
      <c r="H57" s="72">
        <f t="shared" si="1"/>
        <v>0</v>
      </c>
      <c r="I57" s="121"/>
      <c r="J57" s="121"/>
      <c r="K57" s="121"/>
      <c r="L57" s="121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105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142"/>
      <c r="AI57" s="139"/>
      <c r="AJ57" s="139"/>
      <c r="AK57" s="62">
        <f t="shared" si="9"/>
        <v>0</v>
      </c>
      <c r="AL57" s="72">
        <f t="shared" si="10"/>
        <v>0</v>
      </c>
      <c r="AM57" s="81">
        <f t="shared" si="14"/>
        <v>0</v>
      </c>
      <c r="AN57" s="80">
        <f t="shared" si="18"/>
        <v>0</v>
      </c>
      <c r="AO57" s="80">
        <f t="shared" si="18"/>
        <v>0</v>
      </c>
      <c r="AP57" s="115" t="e">
        <f t="shared" si="15"/>
        <v>#DIV/0!</v>
      </c>
      <c r="AQ57" s="116">
        <f t="shared" si="12"/>
        <v>0</v>
      </c>
      <c r="AR57" s="90">
        <f t="shared" si="19"/>
        <v>0</v>
      </c>
    </row>
    <row r="58" spans="1:49" ht="15.75" x14ac:dyDescent="0.25">
      <c r="A58" t="str">
        <f t="shared" si="13"/>
        <v>46201M</v>
      </c>
      <c r="B58" s="51">
        <f t="shared" si="17"/>
        <v>46201</v>
      </c>
      <c r="C58" s="100" t="s">
        <v>87</v>
      </c>
      <c r="D58" s="91"/>
      <c r="E58" s="62"/>
      <c r="F58" s="62"/>
      <c r="G58" s="62">
        <f t="shared" si="0"/>
        <v>0</v>
      </c>
      <c r="H58" s="72">
        <f t="shared" si="1"/>
        <v>0</v>
      </c>
      <c r="I58" s="121"/>
      <c r="J58" s="121"/>
      <c r="K58" s="121"/>
      <c r="L58" s="121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142"/>
      <c r="AI58" s="139"/>
      <c r="AJ58" s="139"/>
      <c r="AK58" s="62">
        <f t="shared" si="9"/>
        <v>0</v>
      </c>
      <c r="AL58" s="72">
        <f t="shared" si="10"/>
        <v>0</v>
      </c>
      <c r="AM58" s="81">
        <f t="shared" si="14"/>
        <v>0</v>
      </c>
      <c r="AN58" s="80">
        <f t="shared" si="18"/>
        <v>0</v>
      </c>
      <c r="AO58" s="80">
        <f t="shared" si="18"/>
        <v>0</v>
      </c>
      <c r="AP58" s="115" t="e">
        <f t="shared" si="15"/>
        <v>#DIV/0!</v>
      </c>
      <c r="AQ58" s="116">
        <f t="shared" si="12"/>
        <v>0</v>
      </c>
      <c r="AR58" s="90">
        <f t="shared" si="19"/>
        <v>0</v>
      </c>
    </row>
    <row r="59" spans="1:49" ht="15.75" x14ac:dyDescent="0.25">
      <c r="A59" t="str">
        <f t="shared" si="13"/>
        <v>46201E</v>
      </c>
      <c r="B59" s="51">
        <f t="shared" si="17"/>
        <v>46201</v>
      </c>
      <c r="C59" s="100" t="s">
        <v>88</v>
      </c>
      <c r="D59" s="91"/>
      <c r="E59" s="62"/>
      <c r="F59" s="62"/>
      <c r="G59" s="62">
        <f t="shared" si="0"/>
        <v>0</v>
      </c>
      <c r="H59" s="72">
        <f t="shared" si="1"/>
        <v>0</v>
      </c>
      <c r="I59" s="121"/>
      <c r="J59" s="121"/>
      <c r="K59" s="121"/>
      <c r="L59" s="121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142"/>
      <c r="AI59" s="139"/>
      <c r="AJ59" s="139"/>
      <c r="AK59" s="62">
        <f t="shared" si="9"/>
        <v>0</v>
      </c>
      <c r="AL59" s="72">
        <f t="shared" si="10"/>
        <v>0</v>
      </c>
      <c r="AM59" s="81">
        <f t="shared" si="14"/>
        <v>0</v>
      </c>
      <c r="AN59" s="80">
        <f t="shared" si="18"/>
        <v>0</v>
      </c>
      <c r="AO59" s="80">
        <f t="shared" si="18"/>
        <v>0</v>
      </c>
      <c r="AP59" s="115" t="e">
        <f t="shared" si="15"/>
        <v>#DIV/0!</v>
      </c>
      <c r="AQ59" s="116">
        <f t="shared" si="12"/>
        <v>0</v>
      </c>
      <c r="AR59" s="90">
        <f t="shared" si="19"/>
        <v>0</v>
      </c>
    </row>
    <row r="60" spans="1:49" ht="15.75" x14ac:dyDescent="0.25">
      <c r="A60" t="str">
        <f t="shared" si="13"/>
        <v>46202M</v>
      </c>
      <c r="B60" s="51">
        <f t="shared" si="17"/>
        <v>46202</v>
      </c>
      <c r="C60" s="100" t="s">
        <v>87</v>
      </c>
      <c r="D60" s="91"/>
      <c r="E60" s="62"/>
      <c r="F60" s="62"/>
      <c r="G60" s="62">
        <f t="shared" si="0"/>
        <v>0</v>
      </c>
      <c r="H60" s="72">
        <f t="shared" si="1"/>
        <v>0</v>
      </c>
      <c r="I60" s="121"/>
      <c r="J60" s="121"/>
      <c r="K60" s="121"/>
      <c r="L60" s="121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142"/>
      <c r="AI60" s="139"/>
      <c r="AJ60" s="139"/>
      <c r="AK60" s="62">
        <f t="shared" si="9"/>
        <v>0</v>
      </c>
      <c r="AL60" s="72">
        <f t="shared" si="10"/>
        <v>0</v>
      </c>
      <c r="AM60" s="81">
        <f t="shared" si="14"/>
        <v>0</v>
      </c>
      <c r="AN60" s="80">
        <f t="shared" si="18"/>
        <v>0</v>
      </c>
      <c r="AO60" s="80">
        <f t="shared" si="18"/>
        <v>0</v>
      </c>
      <c r="AP60" s="115" t="e">
        <f t="shared" si="15"/>
        <v>#DIV/0!</v>
      </c>
      <c r="AQ60" s="116">
        <f t="shared" si="12"/>
        <v>0</v>
      </c>
      <c r="AR60" s="90">
        <f t="shared" si="19"/>
        <v>0</v>
      </c>
    </row>
    <row r="61" spans="1:49" ht="15.75" x14ac:dyDescent="0.25">
      <c r="A61" t="str">
        <f t="shared" si="13"/>
        <v>46202E</v>
      </c>
      <c r="B61" s="51">
        <f t="shared" si="17"/>
        <v>46202</v>
      </c>
      <c r="C61" s="100" t="s">
        <v>88</v>
      </c>
      <c r="D61" s="91"/>
      <c r="E61" s="62"/>
      <c r="F61" s="62"/>
      <c r="G61" s="62">
        <f t="shared" si="0"/>
        <v>0</v>
      </c>
      <c r="H61" s="72">
        <f t="shared" si="1"/>
        <v>0</v>
      </c>
      <c r="I61" s="121"/>
      <c r="J61" s="121"/>
      <c r="K61" s="121"/>
      <c r="L61" s="121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105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142"/>
      <c r="AI61" s="139"/>
      <c r="AJ61" s="139"/>
      <c r="AK61" s="62">
        <f t="shared" si="9"/>
        <v>0</v>
      </c>
      <c r="AL61" s="72">
        <f t="shared" si="10"/>
        <v>0</v>
      </c>
      <c r="AM61" s="81">
        <f t="shared" si="14"/>
        <v>0</v>
      </c>
      <c r="AN61" s="80">
        <f t="shared" si="18"/>
        <v>0</v>
      </c>
      <c r="AO61" s="80">
        <f t="shared" si="18"/>
        <v>0</v>
      </c>
      <c r="AP61" s="115" t="e">
        <f t="shared" si="15"/>
        <v>#DIV/0!</v>
      </c>
      <c r="AQ61" s="116">
        <f t="shared" si="12"/>
        <v>0</v>
      </c>
      <c r="AR61" s="90">
        <f t="shared" si="19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ht="15.75" x14ac:dyDescent="0.25">
      <c r="A62" t="str">
        <f t="shared" si="13"/>
        <v>46203M</v>
      </c>
      <c r="B62" s="51">
        <f t="shared" si="17"/>
        <v>46203</v>
      </c>
      <c r="C62" s="100" t="s">
        <v>87</v>
      </c>
      <c r="D62" s="91"/>
      <c r="E62" s="62"/>
      <c r="F62" s="62"/>
      <c r="G62" s="62">
        <f t="shared" si="0"/>
        <v>0</v>
      </c>
      <c r="H62" s="72">
        <f t="shared" si="1"/>
        <v>0</v>
      </c>
      <c r="I62" s="121"/>
      <c r="J62" s="121"/>
      <c r="K62" s="121"/>
      <c r="L62" s="121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105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142"/>
      <c r="AI62" s="139"/>
      <c r="AJ62" s="139"/>
      <c r="AK62" s="62">
        <f t="shared" si="9"/>
        <v>0</v>
      </c>
      <c r="AL62" s="72">
        <f t="shared" si="10"/>
        <v>0</v>
      </c>
      <c r="AM62" s="81">
        <f t="shared" si="14"/>
        <v>0</v>
      </c>
      <c r="AN62" s="80">
        <f t="shared" si="18"/>
        <v>0</v>
      </c>
      <c r="AO62" s="80">
        <f t="shared" si="18"/>
        <v>0</v>
      </c>
      <c r="AP62" s="115" t="e">
        <f t="shared" si="15"/>
        <v>#DIV/0!</v>
      </c>
      <c r="AQ62" s="116">
        <f t="shared" si="12"/>
        <v>0</v>
      </c>
      <c r="AR62" s="90">
        <f t="shared" si="19"/>
        <v>0</v>
      </c>
    </row>
    <row r="63" spans="1:49" ht="15.75" x14ac:dyDescent="0.25">
      <c r="A63" t="str">
        <f t="shared" si="13"/>
        <v>46203E</v>
      </c>
      <c r="B63" s="51">
        <f t="shared" si="17"/>
        <v>46203</v>
      </c>
      <c r="C63" s="100" t="s">
        <v>88</v>
      </c>
      <c r="D63" s="91"/>
      <c r="E63" s="62"/>
      <c r="F63" s="62"/>
      <c r="G63" s="62">
        <f t="shared" si="0"/>
        <v>0</v>
      </c>
      <c r="H63" s="72">
        <f t="shared" si="1"/>
        <v>0</v>
      </c>
      <c r="I63" s="121"/>
      <c r="J63" s="121"/>
      <c r="K63" s="121"/>
      <c r="L63" s="121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105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142"/>
      <c r="AI63" s="139"/>
      <c r="AJ63" s="139"/>
      <c r="AK63" s="62">
        <f t="shared" si="9"/>
        <v>0</v>
      </c>
      <c r="AL63" s="72">
        <f t="shared" si="10"/>
        <v>0</v>
      </c>
      <c r="AM63" s="81">
        <f t="shared" si="14"/>
        <v>0</v>
      </c>
      <c r="AN63" s="80">
        <f t="shared" si="18"/>
        <v>0</v>
      </c>
      <c r="AO63" s="80">
        <f t="shared" si="18"/>
        <v>0</v>
      </c>
      <c r="AP63" s="115" t="e">
        <f t="shared" si="15"/>
        <v>#DIV/0!</v>
      </c>
      <c r="AQ63" s="116">
        <f t="shared" si="12"/>
        <v>0</v>
      </c>
      <c r="AR63" s="90">
        <f t="shared" si="19"/>
        <v>0</v>
      </c>
    </row>
    <row r="64" spans="1:49" ht="15.75" x14ac:dyDescent="0.25">
      <c r="A64" t="str">
        <f t="shared" si="13"/>
        <v>46204M</v>
      </c>
      <c r="B64" s="51">
        <f t="shared" si="17"/>
        <v>46204</v>
      </c>
      <c r="C64" s="100" t="s">
        <v>87</v>
      </c>
      <c r="D64" s="106"/>
      <c r="E64" s="107"/>
      <c r="F64" s="107"/>
      <c r="G64" s="62">
        <f t="shared" si="0"/>
        <v>0</v>
      </c>
      <c r="H64" s="72">
        <f t="shared" si="1"/>
        <v>0</v>
      </c>
      <c r="I64" s="121"/>
      <c r="J64" s="121"/>
      <c r="K64" s="121"/>
      <c r="L64" s="121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103"/>
      <c r="V64" s="65"/>
      <c r="W64" s="105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142"/>
      <c r="AI64" s="139"/>
      <c r="AJ64" s="139"/>
      <c r="AK64" s="62">
        <f t="shared" si="9"/>
        <v>0</v>
      </c>
      <c r="AL64" s="72">
        <f t="shared" si="10"/>
        <v>0</v>
      </c>
      <c r="AM64" s="81">
        <f t="shared" si="14"/>
        <v>0</v>
      </c>
      <c r="AN64" s="80">
        <f t="shared" si="18"/>
        <v>0</v>
      </c>
      <c r="AO64" s="80">
        <f t="shared" si="18"/>
        <v>0</v>
      </c>
      <c r="AP64" s="115" t="e">
        <f t="shared" si="15"/>
        <v>#DIV/0!</v>
      </c>
      <c r="AQ64" s="116">
        <f t="shared" si="12"/>
        <v>0</v>
      </c>
    </row>
    <row r="65" spans="1:43" ht="15.75" x14ac:dyDescent="0.25">
      <c r="A65" t="str">
        <f t="shared" si="13"/>
        <v>46204E</v>
      </c>
      <c r="B65" s="51">
        <f t="shared" si="17"/>
        <v>46204</v>
      </c>
      <c r="C65" s="100" t="s">
        <v>88</v>
      </c>
      <c r="D65" s="106"/>
      <c r="E65" s="107"/>
      <c r="F65" s="107"/>
      <c r="G65" s="62">
        <f t="shared" si="0"/>
        <v>0</v>
      </c>
      <c r="H65" s="72">
        <f t="shared" si="1"/>
        <v>0</v>
      </c>
      <c r="I65" s="121"/>
      <c r="J65" s="121"/>
      <c r="K65" s="121"/>
      <c r="L65" s="121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103"/>
      <c r="V65" s="104"/>
      <c r="W65" s="105"/>
      <c r="X65" s="113"/>
      <c r="Y65" s="114"/>
      <c r="Z65" s="114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142"/>
      <c r="AI65" s="139"/>
      <c r="AJ65" s="139"/>
      <c r="AK65" s="62">
        <f t="shared" si="9"/>
        <v>0</v>
      </c>
      <c r="AL65" s="72">
        <f t="shared" si="10"/>
        <v>0</v>
      </c>
      <c r="AM65" s="81">
        <f t="shared" si="14"/>
        <v>0</v>
      </c>
      <c r="AN65" s="80">
        <f t="shared" si="18"/>
        <v>0</v>
      </c>
      <c r="AO65" s="80">
        <f t="shared" si="18"/>
        <v>0</v>
      </c>
      <c r="AP65" s="115" t="e">
        <f t="shared" si="15"/>
        <v>#DIV/0!</v>
      </c>
      <c r="AQ65" s="116">
        <f t="shared" si="12"/>
        <v>0</v>
      </c>
    </row>
    <row r="66" spans="1:43" x14ac:dyDescent="0.25">
      <c r="J66" s="83">
        <f>SUM(J4:J65)</f>
        <v>136222.95899999997</v>
      </c>
      <c r="AM66" s="98">
        <f t="shared" ref="AM66:AO66" si="20">-SUM(AM4:AM65)</f>
        <v>709.04099999999471</v>
      </c>
      <c r="AN66" s="98">
        <f>-SUM(AN4:AN65)</f>
        <v>-90.776265000000222</v>
      </c>
      <c r="AO66" s="98">
        <f t="shared" si="20"/>
        <v>155.17529399999972</v>
      </c>
      <c r="AP66" s="98"/>
      <c r="AQ66" s="98">
        <f>-SUM(AQ4:AQ65)</f>
        <v>5689.45436520983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9" priority="2" operator="lessThan">
      <formula>0.1</formula>
    </cfRule>
    <cfRule type="cellIs" dxfId="38" priority="3" operator="greaterThan">
      <formula>0.1</formula>
    </cfRule>
  </conditionalFormatting>
  <conditionalFormatting sqref="AP1:AQ1">
    <cfRule type="cellIs" dxfId="37" priority="1" operator="lessThan">
      <formula>1</formula>
    </cfRule>
  </conditionalFormatting>
  <conditionalFormatting sqref="AQ4:AQ65">
    <cfRule type="cellIs" dxfId="36" priority="4" operator="lessThan">
      <formula>0</formula>
    </cfRule>
    <cfRule type="cellIs" dxfId="35" priority="5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66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C38" sqref="AC38:AE38"/>
    </sheetView>
  </sheetViews>
  <sheetFormatPr defaultRowHeight="15" x14ac:dyDescent="0.25"/>
  <cols>
    <col min="1" max="1" width="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140625" customWidth="1"/>
    <col min="23" max="23" width="9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5.5703125" bestFit="1" customWidth="1"/>
    <col min="45" max="45" width="6.5703125" bestFit="1" customWidth="1"/>
    <col min="46" max="46" width="8.140625" bestFit="1" customWidth="1"/>
    <col min="47" max="47" width="6" bestFit="1" customWidth="1"/>
    <col min="48" max="48" width="7.140625" bestFit="1" customWidth="1"/>
    <col min="49" max="49" width="10" bestFit="1" customWidth="1"/>
  </cols>
  <sheetData>
    <row r="1" spans="1:44" ht="15.75" thickBot="1" x14ac:dyDescent="0.3">
      <c r="B1" s="43" t="s">
        <v>156</v>
      </c>
      <c r="C1" s="44"/>
      <c r="L1">
        <v>2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1470</v>
      </c>
      <c r="E4" s="109">
        <v>8.1999999999999993</v>
      </c>
      <c r="F4" s="109">
        <v>8.9</v>
      </c>
      <c r="G4" s="55">
        <f t="shared" ref="G4:G65" si="0">+D4*E4%</f>
        <v>120.53999999999998</v>
      </c>
      <c r="H4" s="143">
        <f>D4*F4%</f>
        <v>130.83000000000001</v>
      </c>
      <c r="I4" s="144">
        <v>1229</v>
      </c>
      <c r="J4" s="145">
        <v>1265.8700000000001</v>
      </c>
      <c r="K4" s="146">
        <v>5.4082912937347443</v>
      </c>
      <c r="L4" s="147">
        <v>8.6761676159479268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1265.8700000000001</v>
      </c>
      <c r="S4" s="62">
        <f>+J4*K4%+O4*P4%</f>
        <v>68.461937000000006</v>
      </c>
      <c r="T4" s="63">
        <f>+J4*L4%+O4*Q4%</f>
        <v>109.82900300000004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>X4*Y4%</f>
        <v>0</v>
      </c>
      <c r="AB4" s="63">
        <f t="shared" ref="AB4" si="1">X4*Z4%</f>
        <v>0</v>
      </c>
      <c r="AC4" s="69"/>
      <c r="AD4" s="70"/>
      <c r="AE4" s="70"/>
      <c r="AF4" s="62">
        <f t="shared" ref="AF4" si="2">AC4*AD4%</f>
        <v>0</v>
      </c>
      <c r="AG4" s="63">
        <f t="shared" ref="AG4" si="3">AC4*AE4%</f>
        <v>0</v>
      </c>
      <c r="AH4" s="89">
        <v>2752</v>
      </c>
      <c r="AI4" s="66">
        <v>6.9</v>
      </c>
      <c r="AJ4" s="66">
        <v>8.6999999999999993</v>
      </c>
      <c r="AK4" s="62">
        <f t="shared" ref="AK4:AK65" si="4">AH4*AI4%</f>
        <v>189.88800000000001</v>
      </c>
      <c r="AL4" s="72">
        <f t="shared" ref="AL4:AL65" si="5">AH4*AJ4%</f>
        <v>239.42399999999998</v>
      </c>
      <c r="AM4" s="73">
        <f t="shared" ref="AM4:AM65" si="6">+D4+R4-AC4-AH4</f>
        <v>-16.130000000000109</v>
      </c>
      <c r="AN4" s="74">
        <f t="shared" ref="AN4:AO19" si="7">+G4+S4-AF4-AK4</f>
        <v>-0.88606300000000715</v>
      </c>
      <c r="AO4" s="74">
        <f t="shared" si="7"/>
        <v>1.2350030000000629</v>
      </c>
      <c r="AP4" s="75">
        <f>(AN4+AO4)/(S4+T4)</f>
        <v>1.9571381473453206E-3</v>
      </c>
      <c r="AQ4" s="76">
        <f t="shared" ref="AQ4:AQ65" si="8">($AP$1*AN4+$AQ$1*AO4)</f>
        <v>-28.159076843317678</v>
      </c>
      <c r="AR4" s="90">
        <f t="shared" ref="AR4:AR65" si="9">(D4+J4+O4)-(X4+AH4)</f>
        <v>-16.130000000000109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2752</v>
      </c>
      <c r="E5" s="62">
        <v>6.9</v>
      </c>
      <c r="F5" s="62">
        <v>8.6999999999999993</v>
      </c>
      <c r="G5" s="62">
        <f t="shared" si="0"/>
        <v>189.88800000000001</v>
      </c>
      <c r="H5" s="72">
        <f t="shared" ref="H5:H65" si="11">+D5*F5%</f>
        <v>239.42399999999998</v>
      </c>
      <c r="I5" s="144">
        <v>1178.3999999999999</v>
      </c>
      <c r="J5" s="145">
        <v>1213.752</v>
      </c>
      <c r="K5" s="146">
        <v>5.014137813985065</v>
      </c>
      <c r="L5" s="147">
        <v>8.5161659877800417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1213.752</v>
      </c>
      <c r="S5" s="62">
        <f t="shared" ref="S5:S65" si="13">+J5*K5%+O5*P5%</f>
        <v>60.859198000000006</v>
      </c>
      <c r="T5" s="63">
        <f t="shared" ref="T5:T65" si="14">+J5*L5%+O5*Q5%</f>
        <v>103.36513500000001</v>
      </c>
      <c r="U5" s="64" t="s">
        <v>301</v>
      </c>
      <c r="V5" s="65" t="s">
        <v>302</v>
      </c>
      <c r="W5" s="66" t="s">
        <v>303</v>
      </c>
      <c r="X5" s="67">
        <v>2493</v>
      </c>
      <c r="Y5" s="68">
        <v>5.2</v>
      </c>
      <c r="Z5" s="68">
        <v>8.4</v>
      </c>
      <c r="AA5" s="62">
        <f t="shared" ref="AA5:AA65" si="15">X5*Y5%</f>
        <v>129.63600000000002</v>
      </c>
      <c r="AB5" s="63">
        <f t="shared" ref="AB5:AB65" si="16">X5*Z5%</f>
        <v>209.41200000000001</v>
      </c>
      <c r="AC5" s="69">
        <v>2490</v>
      </c>
      <c r="AD5" s="70">
        <v>5.2</v>
      </c>
      <c r="AE5" s="70">
        <v>8.4</v>
      </c>
      <c r="AF5" s="62">
        <f t="shared" ref="AF5:AF65" si="17">AC5*AD5%</f>
        <v>129.48000000000002</v>
      </c>
      <c r="AG5" s="63">
        <f t="shared" ref="AG5:AG65" si="18">AC5*AE5%</f>
        <v>209.16000000000003</v>
      </c>
      <c r="AH5" s="89">
        <v>1492</v>
      </c>
      <c r="AI5" s="66">
        <v>8.1</v>
      </c>
      <c r="AJ5" s="66">
        <v>9</v>
      </c>
      <c r="AK5" s="62">
        <f t="shared" si="4"/>
        <v>120.852</v>
      </c>
      <c r="AL5" s="72">
        <f t="shared" si="5"/>
        <v>134.28</v>
      </c>
      <c r="AM5" s="73">
        <f t="shared" si="6"/>
        <v>-16.248000000000047</v>
      </c>
      <c r="AN5" s="74">
        <f t="shared" si="7"/>
        <v>0.41519800000000373</v>
      </c>
      <c r="AO5" s="74">
        <f t="shared" si="7"/>
        <v>-0.65086500000003866</v>
      </c>
      <c r="AP5" s="75">
        <f t="shared" ref="AP5:AP65" si="19">(AN5+AO5)/(S5+T5)</f>
        <v>-1.4350309463582046E-3</v>
      </c>
      <c r="AQ5" s="76">
        <f t="shared" si="8"/>
        <v>-8.4000039200099081</v>
      </c>
      <c r="AR5" s="90">
        <f t="shared" si="9"/>
        <v>-19.248000000000047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1492</v>
      </c>
      <c r="E6" s="62">
        <v>8.1</v>
      </c>
      <c r="F6" s="62">
        <v>9</v>
      </c>
      <c r="G6" s="62">
        <f t="shared" si="0"/>
        <v>120.852</v>
      </c>
      <c r="H6" s="72">
        <f t="shared" si="11"/>
        <v>134.28</v>
      </c>
      <c r="I6" s="144">
        <v>1163</v>
      </c>
      <c r="J6" s="145">
        <v>1197.8900000000001</v>
      </c>
      <c r="K6" s="146">
        <v>5.4900945829750647</v>
      </c>
      <c r="L6" s="147">
        <v>8.6612209802235558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1197.8900000000001</v>
      </c>
      <c r="S6" s="62">
        <f t="shared" si="13"/>
        <v>65.765294000000011</v>
      </c>
      <c r="T6" s="63">
        <f t="shared" si="14"/>
        <v>103.75189999999995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89">
        <v>2706</v>
      </c>
      <c r="AI6" s="66">
        <v>6.9</v>
      </c>
      <c r="AJ6" s="66">
        <v>8.8000000000000007</v>
      </c>
      <c r="AK6" s="62">
        <f t="shared" si="4"/>
        <v>186.71400000000003</v>
      </c>
      <c r="AL6" s="72">
        <f t="shared" si="5"/>
        <v>238.12800000000001</v>
      </c>
      <c r="AM6" s="73">
        <f t="shared" si="6"/>
        <v>-16.109999999999673</v>
      </c>
      <c r="AN6" s="74">
        <f t="shared" si="7"/>
        <v>-9.6706000000011727E-2</v>
      </c>
      <c r="AO6" s="74">
        <f t="shared" si="7"/>
        <v>-9.6100000000063801E-2</v>
      </c>
      <c r="AP6" s="75">
        <f t="shared" si="19"/>
        <v>-1.1373831494643286E-3</v>
      </c>
      <c r="AQ6" s="76">
        <f t="shared" si="8"/>
        <v>-72.172457793357694</v>
      </c>
      <c r="AR6" s="90">
        <f t="shared" si="9"/>
        <v>-16.109999999999673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2706</v>
      </c>
      <c r="E7" s="62">
        <v>6.9</v>
      </c>
      <c r="F7" s="62">
        <v>8.8000000000000007</v>
      </c>
      <c r="G7" s="62">
        <f t="shared" si="0"/>
        <v>186.71400000000003</v>
      </c>
      <c r="H7" s="72">
        <f t="shared" si="11"/>
        <v>238.12800000000001</v>
      </c>
      <c r="I7" s="144">
        <v>1113.7999999999997</v>
      </c>
      <c r="J7" s="145">
        <v>1147.2139999999997</v>
      </c>
      <c r="K7" s="146">
        <v>5.0422248159454135</v>
      </c>
      <c r="L7" s="147">
        <v>8.5091309032142206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1147.2139999999997</v>
      </c>
      <c r="S7" s="62">
        <f t="shared" si="13"/>
        <v>57.845109000000001</v>
      </c>
      <c r="T7" s="63">
        <f t="shared" si="14"/>
        <v>97.617940999999973</v>
      </c>
      <c r="U7" s="64" t="s">
        <v>301</v>
      </c>
      <c r="V7" s="65" t="s">
        <v>304</v>
      </c>
      <c r="W7" s="66" t="s">
        <v>303</v>
      </c>
      <c r="X7" s="67">
        <v>2458</v>
      </c>
      <c r="Y7" s="68">
        <v>5.2</v>
      </c>
      <c r="Z7" s="68">
        <v>8.4</v>
      </c>
      <c r="AA7" s="62">
        <f t="shared" si="15"/>
        <v>127.81600000000002</v>
      </c>
      <c r="AB7" s="63">
        <f t="shared" si="16"/>
        <v>206.47200000000001</v>
      </c>
      <c r="AC7" s="69">
        <v>2450</v>
      </c>
      <c r="AD7" s="70">
        <v>5.2</v>
      </c>
      <c r="AE7" s="70">
        <v>8.4</v>
      </c>
      <c r="AF7" s="62">
        <f t="shared" si="17"/>
        <v>127.4</v>
      </c>
      <c r="AG7" s="63">
        <f t="shared" si="18"/>
        <v>205.8</v>
      </c>
      <c r="AH7" s="89">
        <v>1430</v>
      </c>
      <c r="AI7" s="66">
        <v>8.3000000000000007</v>
      </c>
      <c r="AJ7" s="66">
        <v>8.9</v>
      </c>
      <c r="AK7" s="62">
        <f t="shared" si="4"/>
        <v>118.69000000000001</v>
      </c>
      <c r="AL7" s="72">
        <f t="shared" si="5"/>
        <v>127.27000000000001</v>
      </c>
      <c r="AM7" s="73">
        <f t="shared" si="6"/>
        <v>-26.786000000000058</v>
      </c>
      <c r="AN7" s="74">
        <f t="shared" si="7"/>
        <v>-1.5308909999999827</v>
      </c>
      <c r="AO7" s="74">
        <f t="shared" si="7"/>
        <v>2.6759409999999946</v>
      </c>
      <c r="AP7" s="75">
        <f t="shared" si="19"/>
        <v>7.3654157692134049E-3</v>
      </c>
      <c r="AQ7" s="76">
        <f t="shared" si="8"/>
        <v>113.60550406333948</v>
      </c>
      <c r="AR7" s="90">
        <f t="shared" si="9"/>
        <v>-34.786000000000058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1430</v>
      </c>
      <c r="E8" s="62">
        <v>8.3000000000000007</v>
      </c>
      <c r="F8" s="62">
        <v>8.9</v>
      </c>
      <c r="G8" s="62">
        <f t="shared" si="0"/>
        <v>118.69000000000001</v>
      </c>
      <c r="H8" s="72">
        <f t="shared" si="11"/>
        <v>127.27000000000001</v>
      </c>
      <c r="I8" s="144">
        <v>1197.2</v>
      </c>
      <c r="J8" s="145">
        <v>1233.116</v>
      </c>
      <c r="K8" s="146">
        <v>5.6454310056799173</v>
      </c>
      <c r="L8" s="147">
        <v>8.6268626795856989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1233.116</v>
      </c>
      <c r="S8" s="62">
        <f t="shared" si="13"/>
        <v>69.614712999999966</v>
      </c>
      <c r="T8" s="63">
        <f t="shared" si="14"/>
        <v>106.37922399999999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5"/>
        <v>0</v>
      </c>
      <c r="AB8" s="63">
        <f t="shared" si="16"/>
        <v>0</v>
      </c>
      <c r="AC8" s="69"/>
      <c r="AD8" s="70"/>
      <c r="AE8" s="70"/>
      <c r="AF8" s="62">
        <f t="shared" si="17"/>
        <v>0</v>
      </c>
      <c r="AG8" s="63">
        <f t="shared" si="18"/>
        <v>0</v>
      </c>
      <c r="AH8" s="89">
        <v>2675</v>
      </c>
      <c r="AI8" s="66">
        <v>7</v>
      </c>
      <c r="AJ8" s="66">
        <v>8.8000000000000007</v>
      </c>
      <c r="AK8" s="62">
        <f t="shared" si="4"/>
        <v>187.25000000000003</v>
      </c>
      <c r="AL8" s="72">
        <f t="shared" si="5"/>
        <v>235.40000000000003</v>
      </c>
      <c r="AM8" s="73">
        <f t="shared" si="6"/>
        <v>-11.884000000000015</v>
      </c>
      <c r="AN8" s="74">
        <f t="shared" si="7"/>
        <v>1.054712999999964</v>
      </c>
      <c r="AO8" s="74">
        <f t="shared" si="7"/>
        <v>-1.7507760000000303</v>
      </c>
      <c r="AP8" s="75">
        <f t="shared" si="19"/>
        <v>-3.9550396557130624E-3</v>
      </c>
      <c r="AQ8" s="76">
        <f t="shared" si="8"/>
        <v>-50.489356610025311</v>
      </c>
      <c r="AR8" s="90">
        <f t="shared" si="9"/>
        <v>-11.884000000000015</v>
      </c>
    </row>
    <row r="9" spans="1:44" x14ac:dyDescent="0.25">
      <c r="A9" t="str">
        <f t="shared" si="10"/>
        <v>46176E</v>
      </c>
      <c r="B9" s="51">
        <f t="shared" ref="B9:B65" si="20">+B7+1</f>
        <v>46176</v>
      </c>
      <c r="C9" s="52" t="s">
        <v>88</v>
      </c>
      <c r="D9" s="91">
        <v>2675</v>
      </c>
      <c r="E9" s="62">
        <v>7</v>
      </c>
      <c r="F9" s="62">
        <v>8.8000000000000007</v>
      </c>
      <c r="G9" s="62">
        <f t="shared" si="0"/>
        <v>187.25000000000003</v>
      </c>
      <c r="H9" s="72">
        <f t="shared" si="11"/>
        <v>235.40000000000003</v>
      </c>
      <c r="I9" s="144">
        <v>1103.0999999999999</v>
      </c>
      <c r="J9" s="145">
        <v>1136.193</v>
      </c>
      <c r="K9" s="146">
        <v>5.0435499954673189</v>
      </c>
      <c r="L9" s="147">
        <v>8.546215211676186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1136.193</v>
      </c>
      <c r="S9" s="62">
        <f t="shared" si="13"/>
        <v>57.304461999999994</v>
      </c>
      <c r="T9" s="63">
        <f t="shared" si="14"/>
        <v>97.101499000000004</v>
      </c>
      <c r="U9" s="64" t="s">
        <v>301</v>
      </c>
      <c r="V9" s="65" t="s">
        <v>305</v>
      </c>
      <c r="W9" s="66" t="s">
        <v>303</v>
      </c>
      <c r="X9" s="67">
        <v>2545</v>
      </c>
      <c r="Y9" s="68">
        <v>5.2</v>
      </c>
      <c r="Z9" s="68">
        <v>8.5</v>
      </c>
      <c r="AA9" s="62">
        <f t="shared" si="15"/>
        <v>132.34</v>
      </c>
      <c r="AB9" s="63">
        <f t="shared" si="16"/>
        <v>216.32500000000002</v>
      </c>
      <c r="AC9" s="69">
        <v>2545</v>
      </c>
      <c r="AD9" s="70">
        <v>5.2</v>
      </c>
      <c r="AE9" s="70">
        <v>8.5</v>
      </c>
      <c r="AF9" s="62">
        <f t="shared" si="17"/>
        <v>132.34</v>
      </c>
      <c r="AG9" s="63">
        <f t="shared" si="18"/>
        <v>216.32500000000002</v>
      </c>
      <c r="AH9" s="89">
        <v>1282</v>
      </c>
      <c r="AI9" s="66">
        <v>8.8000000000000007</v>
      </c>
      <c r="AJ9" s="66">
        <v>9</v>
      </c>
      <c r="AK9" s="62">
        <f t="shared" si="4"/>
        <v>112.81600000000002</v>
      </c>
      <c r="AL9" s="72">
        <f t="shared" si="5"/>
        <v>115.38</v>
      </c>
      <c r="AM9" s="73">
        <f t="shared" si="6"/>
        <v>-15.806999999999789</v>
      </c>
      <c r="AN9" s="74">
        <f t="shared" si="7"/>
        <v>-0.6015379999999908</v>
      </c>
      <c r="AO9" s="74">
        <f t="shared" si="7"/>
        <v>0.79649900000001139</v>
      </c>
      <c r="AP9" s="75">
        <f t="shared" si="19"/>
        <v>1.2626520293476274E-3</v>
      </c>
      <c r="AQ9" s="76">
        <f t="shared" si="8"/>
        <v>-31.665512853325765</v>
      </c>
      <c r="AR9" s="90">
        <f t="shared" si="9"/>
        <v>-15.806999999999789</v>
      </c>
    </row>
    <row r="10" spans="1:44" x14ac:dyDescent="0.25">
      <c r="A10" t="str">
        <f t="shared" si="10"/>
        <v>46177M</v>
      </c>
      <c r="B10" s="51">
        <f t="shared" si="20"/>
        <v>46177</v>
      </c>
      <c r="C10" s="52" t="s">
        <v>87</v>
      </c>
      <c r="D10" s="91">
        <v>1282</v>
      </c>
      <c r="E10" s="62">
        <v>8.8000000000000007</v>
      </c>
      <c r="F10" s="62">
        <v>9</v>
      </c>
      <c r="G10" s="62">
        <f t="shared" si="0"/>
        <v>112.81600000000002</v>
      </c>
      <c r="H10" s="72">
        <f t="shared" si="11"/>
        <v>115.38</v>
      </c>
      <c r="I10" s="144">
        <v>1272.2</v>
      </c>
      <c r="J10" s="145">
        <v>1310.366</v>
      </c>
      <c r="K10" s="146">
        <v>5.4778808363464853</v>
      </c>
      <c r="L10" s="147">
        <v>8.6347193837446916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1310.366</v>
      </c>
      <c r="S10" s="62">
        <f t="shared" si="13"/>
        <v>71.780287999999985</v>
      </c>
      <c r="T10" s="63">
        <f t="shared" si="14"/>
        <v>113.14642699999997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5"/>
        <v>0</v>
      </c>
      <c r="AB10" s="63">
        <f t="shared" si="16"/>
        <v>0</v>
      </c>
      <c r="AC10" s="69"/>
      <c r="AD10" s="70"/>
      <c r="AE10" s="70"/>
      <c r="AF10" s="62">
        <f t="shared" si="17"/>
        <v>0</v>
      </c>
      <c r="AG10" s="63">
        <f t="shared" si="18"/>
        <v>0</v>
      </c>
      <c r="AH10" s="89">
        <v>2605</v>
      </c>
      <c r="AI10" s="66">
        <v>7</v>
      </c>
      <c r="AJ10" s="66">
        <v>8.8000000000000007</v>
      </c>
      <c r="AK10" s="62">
        <f t="shared" si="4"/>
        <v>182.35000000000002</v>
      </c>
      <c r="AL10" s="72">
        <f t="shared" si="5"/>
        <v>229.24</v>
      </c>
      <c r="AM10" s="73">
        <f t="shared" si="6"/>
        <v>-12.634000000000015</v>
      </c>
      <c r="AN10" s="74">
        <f t="shared" si="7"/>
        <v>2.2462879999999927</v>
      </c>
      <c r="AO10" s="74">
        <f t="shared" si="7"/>
        <v>-0.71357300000005353</v>
      </c>
      <c r="AP10" s="75">
        <f t="shared" si="19"/>
        <v>8.2882292047416709E-3</v>
      </c>
      <c r="AQ10" s="76">
        <f t="shared" si="8"/>
        <v>794.82777579331412</v>
      </c>
      <c r="AR10" s="90">
        <f t="shared" si="9"/>
        <v>-12.634000000000015</v>
      </c>
    </row>
    <row r="11" spans="1:44" x14ac:dyDescent="0.25">
      <c r="A11" t="str">
        <f t="shared" si="10"/>
        <v>46177E</v>
      </c>
      <c r="B11" s="51">
        <f t="shared" si="20"/>
        <v>46177</v>
      </c>
      <c r="C11" s="52" t="s">
        <v>88</v>
      </c>
      <c r="D11" s="91">
        <v>2605</v>
      </c>
      <c r="E11" s="62">
        <v>7</v>
      </c>
      <c r="F11" s="62">
        <v>8.8000000000000007</v>
      </c>
      <c r="G11" s="62">
        <f t="shared" si="0"/>
        <v>182.35000000000002</v>
      </c>
      <c r="H11" s="72">
        <f t="shared" si="11"/>
        <v>229.24</v>
      </c>
      <c r="I11" s="144">
        <v>1931.6000000000001</v>
      </c>
      <c r="J11" s="145">
        <v>1989.5480000000002</v>
      </c>
      <c r="K11" s="146">
        <v>4.7016825429695599</v>
      </c>
      <c r="L11" s="147">
        <v>8.4636208324704896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1989.5480000000002</v>
      </c>
      <c r="S11" s="62">
        <f t="shared" si="13"/>
        <v>93.542231000000029</v>
      </c>
      <c r="T11" s="63">
        <f t="shared" si="14"/>
        <v>168.387799</v>
      </c>
      <c r="U11" s="64" t="s">
        <v>301</v>
      </c>
      <c r="V11" s="65" t="s">
        <v>306</v>
      </c>
      <c r="W11" s="66" t="s">
        <v>303</v>
      </c>
      <c r="X11" s="67">
        <v>2351</v>
      </c>
      <c r="Y11" s="68">
        <v>5.2</v>
      </c>
      <c r="Z11" s="68">
        <v>8.4</v>
      </c>
      <c r="AA11" s="62">
        <f t="shared" si="15"/>
        <v>122.25200000000001</v>
      </c>
      <c r="AB11" s="63">
        <f t="shared" si="16"/>
        <v>197.48400000000001</v>
      </c>
      <c r="AC11" s="69">
        <v>2350</v>
      </c>
      <c r="AD11" s="70">
        <v>5.2</v>
      </c>
      <c r="AE11" s="70">
        <v>8.4</v>
      </c>
      <c r="AF11" s="62">
        <f t="shared" si="17"/>
        <v>122.20000000000002</v>
      </c>
      <c r="AG11" s="63">
        <f t="shared" si="18"/>
        <v>197.4</v>
      </c>
      <c r="AH11" s="89">
        <v>2260</v>
      </c>
      <c r="AI11" s="66">
        <v>6.8</v>
      </c>
      <c r="AJ11" s="66">
        <v>8.9</v>
      </c>
      <c r="AK11" s="62">
        <f t="shared" si="4"/>
        <v>153.68</v>
      </c>
      <c r="AL11" s="72">
        <f t="shared" si="5"/>
        <v>201.14000000000001</v>
      </c>
      <c r="AM11" s="73">
        <f t="shared" si="6"/>
        <v>-15.451999999999316</v>
      </c>
      <c r="AN11" s="74">
        <f t="shared" si="7"/>
        <v>1.2231000000014092E-2</v>
      </c>
      <c r="AO11" s="74">
        <f t="shared" si="7"/>
        <v>-0.91220100000003868</v>
      </c>
      <c r="AP11" s="75">
        <f t="shared" si="19"/>
        <v>-3.435917599826276E-3</v>
      </c>
      <c r="AQ11" s="76">
        <f t="shared" si="8"/>
        <v>-267.50681573000526</v>
      </c>
      <c r="AR11" s="90">
        <f t="shared" si="9"/>
        <v>-16.451999999999316</v>
      </c>
    </row>
    <row r="12" spans="1:44" x14ac:dyDescent="0.25">
      <c r="A12" t="str">
        <f t="shared" si="10"/>
        <v>46178M</v>
      </c>
      <c r="B12" s="51">
        <f t="shared" si="20"/>
        <v>46178</v>
      </c>
      <c r="C12" s="52" t="s">
        <v>87</v>
      </c>
      <c r="D12" s="91">
        <v>2260</v>
      </c>
      <c r="E12" s="62">
        <v>6.8</v>
      </c>
      <c r="F12" s="62">
        <v>8.9</v>
      </c>
      <c r="G12" s="62">
        <f t="shared" si="0"/>
        <v>153.68</v>
      </c>
      <c r="H12" s="72">
        <f t="shared" si="11"/>
        <v>201.14000000000001</v>
      </c>
      <c r="I12" s="144">
        <v>1138.5000000000002</v>
      </c>
      <c r="J12" s="145">
        <v>1172.6550000000002</v>
      </c>
      <c r="K12" s="146">
        <v>5.5737900746596365</v>
      </c>
      <c r="L12" s="147">
        <v>8.6519367588932798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1172.6550000000002</v>
      </c>
      <c r="S12" s="62">
        <f t="shared" si="13"/>
        <v>65.361327999999972</v>
      </c>
      <c r="T12" s="63">
        <f t="shared" si="14"/>
        <v>101.45736900000001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3430</v>
      </c>
      <c r="AI12" s="66">
        <v>6.4</v>
      </c>
      <c r="AJ12" s="66">
        <v>8.8000000000000007</v>
      </c>
      <c r="AK12" s="62">
        <f t="shared" si="4"/>
        <v>219.52</v>
      </c>
      <c r="AL12" s="72">
        <f t="shared" si="5"/>
        <v>301.84000000000003</v>
      </c>
      <c r="AM12" s="73">
        <f t="shared" si="6"/>
        <v>2.6550000000002001</v>
      </c>
      <c r="AN12" s="74">
        <f t="shared" si="7"/>
        <v>-0.47867200000004573</v>
      </c>
      <c r="AO12" s="74">
        <f t="shared" si="7"/>
        <v>0.75736899999998286</v>
      </c>
      <c r="AP12" s="75">
        <f t="shared" si="19"/>
        <v>1.6706580557929735E-3</v>
      </c>
      <c r="AQ12" s="76">
        <f t="shared" si="8"/>
        <v>11.77969767330768</v>
      </c>
      <c r="AR12" s="90">
        <f t="shared" si="9"/>
        <v>2.6550000000002001</v>
      </c>
    </row>
    <row r="13" spans="1:44" x14ac:dyDescent="0.25">
      <c r="A13" t="str">
        <f t="shared" si="10"/>
        <v>46178E</v>
      </c>
      <c r="B13" s="51">
        <f t="shared" si="20"/>
        <v>46178</v>
      </c>
      <c r="C13" s="52" t="s">
        <v>88</v>
      </c>
      <c r="D13" s="91">
        <v>3430</v>
      </c>
      <c r="E13" s="62">
        <v>6.4</v>
      </c>
      <c r="F13" s="62">
        <v>8.8000000000000007</v>
      </c>
      <c r="G13" s="62">
        <f t="shared" si="0"/>
        <v>219.52</v>
      </c>
      <c r="H13" s="72">
        <f t="shared" si="11"/>
        <v>301.84000000000003</v>
      </c>
      <c r="I13" s="144">
        <v>1038</v>
      </c>
      <c r="J13" s="145">
        <v>1069.1400000000001</v>
      </c>
      <c r="K13" s="146">
        <v>5.12097302504817</v>
      </c>
      <c r="L13" s="147">
        <v>8.5375722543352577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1069.1400000000001</v>
      </c>
      <c r="S13" s="62">
        <f t="shared" si="13"/>
        <v>54.750371000000008</v>
      </c>
      <c r="T13" s="63">
        <f t="shared" si="14"/>
        <v>91.278599999999983</v>
      </c>
      <c r="U13" s="64" t="s">
        <v>301</v>
      </c>
      <c r="V13" s="65" t="s">
        <v>373</v>
      </c>
      <c r="W13" s="66" t="s">
        <v>303</v>
      </c>
      <c r="X13" s="67">
        <v>2379</v>
      </c>
      <c r="Y13" s="68">
        <v>5.2</v>
      </c>
      <c r="Z13" s="68">
        <v>8.4</v>
      </c>
      <c r="AA13" s="62">
        <f t="shared" si="15"/>
        <v>123.70800000000001</v>
      </c>
      <c r="AB13" s="63">
        <f t="shared" si="16"/>
        <v>199.83600000000001</v>
      </c>
      <c r="AC13" s="69">
        <v>2380</v>
      </c>
      <c r="AD13" s="70">
        <v>5.2</v>
      </c>
      <c r="AE13" s="70">
        <v>8.4</v>
      </c>
      <c r="AF13" s="62">
        <f t="shared" si="17"/>
        <v>123.76</v>
      </c>
      <c r="AG13" s="63">
        <f t="shared" si="18"/>
        <v>199.92000000000002</v>
      </c>
      <c r="AH13" s="89">
        <v>2145</v>
      </c>
      <c r="AI13" s="66">
        <v>7</v>
      </c>
      <c r="AJ13" s="66">
        <v>9</v>
      </c>
      <c r="AK13" s="62">
        <f t="shared" si="4"/>
        <v>150.15</v>
      </c>
      <c r="AL13" s="72">
        <f t="shared" si="5"/>
        <v>193.04999999999998</v>
      </c>
      <c r="AM13" s="73">
        <f t="shared" si="6"/>
        <v>-25.859999999999673</v>
      </c>
      <c r="AN13" s="74">
        <f t="shared" si="7"/>
        <v>0.36037100000001487</v>
      </c>
      <c r="AO13" s="74">
        <f t="shared" si="7"/>
        <v>0.14860000000001605</v>
      </c>
      <c r="AP13" s="75">
        <f t="shared" si="19"/>
        <v>3.4854111243448464E-3</v>
      </c>
      <c r="AQ13" s="76">
        <f t="shared" si="8"/>
        <v>206.24616294334481</v>
      </c>
      <c r="AR13" s="90">
        <f t="shared" si="9"/>
        <v>-24.859999999999673</v>
      </c>
    </row>
    <row r="14" spans="1:44" x14ac:dyDescent="0.25">
      <c r="A14" t="str">
        <f t="shared" si="10"/>
        <v>46179M</v>
      </c>
      <c r="B14" s="51">
        <f t="shared" si="20"/>
        <v>46179</v>
      </c>
      <c r="C14" s="52" t="s">
        <v>87</v>
      </c>
      <c r="D14" s="91">
        <v>2145</v>
      </c>
      <c r="E14" s="62">
        <v>7</v>
      </c>
      <c r="F14" s="62">
        <v>9</v>
      </c>
      <c r="G14" s="62">
        <f t="shared" si="0"/>
        <v>150.15</v>
      </c>
      <c r="H14" s="72">
        <f t="shared" si="11"/>
        <v>193.04999999999998</v>
      </c>
      <c r="I14" s="144">
        <v>1201.4000000000001</v>
      </c>
      <c r="J14" s="145">
        <v>1237.4420000000002</v>
      </c>
      <c r="K14" s="146">
        <v>5.6374063592475441</v>
      </c>
      <c r="L14" s="147">
        <v>8.6317629432328946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1237.4420000000002</v>
      </c>
      <c r="S14" s="62">
        <f t="shared" si="13"/>
        <v>69.759634000000005</v>
      </c>
      <c r="T14" s="63">
        <f t="shared" si="14"/>
        <v>106.81306000000001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3398</v>
      </c>
      <c r="AI14" s="66">
        <v>6.5</v>
      </c>
      <c r="AJ14" s="66">
        <v>8.8000000000000007</v>
      </c>
      <c r="AK14" s="62">
        <f t="shared" si="4"/>
        <v>220.87</v>
      </c>
      <c r="AL14" s="72">
        <f t="shared" si="5"/>
        <v>299.02400000000006</v>
      </c>
      <c r="AM14" s="73">
        <f t="shared" si="6"/>
        <v>-15.557999999999993</v>
      </c>
      <c r="AN14" s="74">
        <f t="shared" si="7"/>
        <v>-0.96036599999999339</v>
      </c>
      <c r="AO14" s="74">
        <f t="shared" si="7"/>
        <v>0.83905999999996084</v>
      </c>
      <c r="AP14" s="75">
        <f t="shared" si="19"/>
        <v>-6.8700316709237352E-4</v>
      </c>
      <c r="AQ14" s="76">
        <f t="shared" si="8"/>
        <v>-180.00961799334209</v>
      </c>
      <c r="AR14" s="90">
        <f t="shared" si="9"/>
        <v>-15.557999999999993</v>
      </c>
    </row>
    <row r="15" spans="1:44" x14ac:dyDescent="0.25">
      <c r="A15" t="str">
        <f t="shared" si="10"/>
        <v>46179E</v>
      </c>
      <c r="B15" s="51">
        <f t="shared" si="20"/>
        <v>46179</v>
      </c>
      <c r="C15" s="52" t="s">
        <v>88</v>
      </c>
      <c r="D15" s="91">
        <v>3398</v>
      </c>
      <c r="E15" s="62">
        <v>6.5</v>
      </c>
      <c r="F15" s="62">
        <v>8.8000000000000007</v>
      </c>
      <c r="G15" s="62">
        <f t="shared" si="0"/>
        <v>220.87</v>
      </c>
      <c r="H15" s="72">
        <f t="shared" si="11"/>
        <v>299.02400000000006</v>
      </c>
      <c r="I15" s="144">
        <v>1094.8999999999999</v>
      </c>
      <c r="J15" s="145">
        <v>1127.7469999999998</v>
      </c>
      <c r="K15" s="146">
        <v>5.1442506164946566</v>
      </c>
      <c r="L15" s="147">
        <v>8.5684902730842989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1127.7469999999998</v>
      </c>
      <c r="S15" s="62">
        <f t="shared" si="13"/>
        <v>58.014131999999989</v>
      </c>
      <c r="T15" s="63">
        <f t="shared" si="14"/>
        <v>96.630891999999974</v>
      </c>
      <c r="U15" s="64" t="s">
        <v>301</v>
      </c>
      <c r="V15" s="65" t="s">
        <v>374</v>
      </c>
      <c r="W15" s="66" t="s">
        <v>303</v>
      </c>
      <c r="X15" s="67">
        <v>2433</v>
      </c>
      <c r="Y15" s="68">
        <v>5.2</v>
      </c>
      <c r="Z15" s="68">
        <v>8.4</v>
      </c>
      <c r="AA15" s="62">
        <f t="shared" si="15"/>
        <v>126.51600000000001</v>
      </c>
      <c r="AB15" s="63">
        <f t="shared" si="16"/>
        <v>204.37200000000001</v>
      </c>
      <c r="AC15" s="69">
        <v>2430</v>
      </c>
      <c r="AD15" s="70">
        <v>5.2</v>
      </c>
      <c r="AE15" s="70">
        <v>8.5</v>
      </c>
      <c r="AF15" s="62">
        <f t="shared" si="17"/>
        <v>126.36000000000001</v>
      </c>
      <c r="AG15" s="63">
        <f t="shared" si="18"/>
        <v>206.55</v>
      </c>
      <c r="AH15" s="89">
        <v>2155</v>
      </c>
      <c r="AI15" s="66">
        <v>7</v>
      </c>
      <c r="AJ15" s="66">
        <v>9</v>
      </c>
      <c r="AK15" s="62">
        <f t="shared" si="4"/>
        <v>150.85000000000002</v>
      </c>
      <c r="AL15" s="72">
        <f t="shared" si="5"/>
        <v>193.95</v>
      </c>
      <c r="AM15" s="73">
        <f t="shared" si="6"/>
        <v>-59.253000000000611</v>
      </c>
      <c r="AN15" s="74">
        <f t="shared" si="7"/>
        <v>1.674131999999986</v>
      </c>
      <c r="AO15" s="74">
        <f t="shared" si="7"/>
        <v>-4.845107999999982</v>
      </c>
      <c r="AP15" s="75">
        <f t="shared" si="19"/>
        <v>-2.0504869267568521E-2</v>
      </c>
      <c r="AQ15" s="76">
        <f t="shared" si="8"/>
        <v>-698.47702540000114</v>
      </c>
      <c r="AR15" s="90">
        <f t="shared" si="9"/>
        <v>-62.253000000000611</v>
      </c>
    </row>
    <row r="16" spans="1:44" x14ac:dyDescent="0.25">
      <c r="A16" t="str">
        <f t="shared" si="10"/>
        <v>46180M</v>
      </c>
      <c r="B16" s="51">
        <f t="shared" si="20"/>
        <v>46180</v>
      </c>
      <c r="C16" s="52" t="s">
        <v>87</v>
      </c>
      <c r="D16" s="91">
        <v>2155</v>
      </c>
      <c r="E16" s="62">
        <v>7</v>
      </c>
      <c r="F16" s="62">
        <v>9</v>
      </c>
      <c r="G16" s="62">
        <f t="shared" si="0"/>
        <v>150.85000000000002</v>
      </c>
      <c r="H16" s="72">
        <f t="shared" si="11"/>
        <v>193.95</v>
      </c>
      <c r="I16" s="144">
        <v>1200.9000000000001</v>
      </c>
      <c r="J16" s="145">
        <v>1236.9270000000001</v>
      </c>
      <c r="K16" s="146">
        <v>5.5274627362811222</v>
      </c>
      <c r="L16" s="147">
        <v>8.6267049712715433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1236.9270000000001</v>
      </c>
      <c r="S16" s="62">
        <f t="shared" si="13"/>
        <v>68.370678999999996</v>
      </c>
      <c r="T16" s="63">
        <f t="shared" si="14"/>
        <v>106.70604299999997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5"/>
        <v>0</v>
      </c>
      <c r="AB16" s="63">
        <f t="shared" si="1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89">
        <v>3408</v>
      </c>
      <c r="AI16" s="66">
        <v>6.45</v>
      </c>
      <c r="AJ16" s="66">
        <v>8.8000000000000007</v>
      </c>
      <c r="AK16" s="62">
        <f t="shared" si="4"/>
        <v>219.816</v>
      </c>
      <c r="AL16" s="72">
        <f t="shared" si="5"/>
        <v>299.90400000000005</v>
      </c>
      <c r="AM16" s="73">
        <f t="shared" si="6"/>
        <v>-16.072999999999865</v>
      </c>
      <c r="AN16" s="74">
        <f t="shared" si="7"/>
        <v>-0.59532099999998422</v>
      </c>
      <c r="AO16" s="74">
        <f t="shared" si="7"/>
        <v>0.75204299999990099</v>
      </c>
      <c r="AP16" s="75">
        <f t="shared" si="19"/>
        <v>8.9516183653425268E-4</v>
      </c>
      <c r="AQ16" s="76">
        <f t="shared" si="8"/>
        <v>-42.179134690022522</v>
      </c>
      <c r="AR16" s="90">
        <f t="shared" si="9"/>
        <v>-16.072999999999865</v>
      </c>
    </row>
    <row r="17" spans="1:49" x14ac:dyDescent="0.25">
      <c r="A17" t="str">
        <f t="shared" si="10"/>
        <v>46180E</v>
      </c>
      <c r="B17" s="51">
        <f t="shared" si="20"/>
        <v>46180</v>
      </c>
      <c r="C17" s="52" t="s">
        <v>88</v>
      </c>
      <c r="D17" s="91">
        <v>3408</v>
      </c>
      <c r="E17" s="62">
        <v>6.45</v>
      </c>
      <c r="F17" s="62">
        <v>8.8000000000000007</v>
      </c>
      <c r="G17" s="62">
        <f t="shared" si="0"/>
        <v>219.816</v>
      </c>
      <c r="H17" s="72">
        <f t="shared" si="11"/>
        <v>299.90400000000005</v>
      </c>
      <c r="I17" s="144">
        <v>1097.8</v>
      </c>
      <c r="J17" s="145">
        <v>1130.7339999999999</v>
      </c>
      <c r="K17" s="146">
        <v>5.0874840590271448</v>
      </c>
      <c r="L17" s="147">
        <v>8.5570413554381464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1130.7339999999999</v>
      </c>
      <c r="S17" s="62">
        <f t="shared" si="13"/>
        <v>57.525911999999991</v>
      </c>
      <c r="T17" s="63">
        <f t="shared" si="14"/>
        <v>96.757375999999965</v>
      </c>
      <c r="U17" s="64" t="s">
        <v>301</v>
      </c>
      <c r="V17" s="65" t="s">
        <v>402</v>
      </c>
      <c r="W17" s="66" t="s">
        <v>303</v>
      </c>
      <c r="X17" s="67">
        <v>2387</v>
      </c>
      <c r="Y17" s="68">
        <v>5.2</v>
      </c>
      <c r="Z17" s="68">
        <v>8.4</v>
      </c>
      <c r="AA17" s="62">
        <f t="shared" si="15"/>
        <v>124.12400000000001</v>
      </c>
      <c r="AB17" s="63">
        <f t="shared" si="16"/>
        <v>200.50800000000001</v>
      </c>
      <c r="AC17" s="69">
        <v>2390</v>
      </c>
      <c r="AD17" s="70">
        <v>5.2</v>
      </c>
      <c r="AE17" s="70">
        <v>8.4</v>
      </c>
      <c r="AF17" s="62">
        <f t="shared" si="17"/>
        <v>124.28000000000002</v>
      </c>
      <c r="AG17" s="63">
        <f t="shared" si="18"/>
        <v>200.76000000000002</v>
      </c>
      <c r="AH17" s="89">
        <v>2165</v>
      </c>
      <c r="AI17" s="66">
        <v>7.1</v>
      </c>
      <c r="AJ17" s="66">
        <v>9</v>
      </c>
      <c r="AK17" s="62">
        <f t="shared" si="4"/>
        <v>153.71499999999997</v>
      </c>
      <c r="AL17" s="72">
        <f t="shared" si="5"/>
        <v>194.85</v>
      </c>
      <c r="AM17" s="73">
        <f t="shared" si="6"/>
        <v>-16.265999999999622</v>
      </c>
      <c r="AN17" s="74">
        <f t="shared" si="7"/>
        <v>-0.6530880000000252</v>
      </c>
      <c r="AO17" s="74">
        <f t="shared" si="7"/>
        <v>1.0513760000000048</v>
      </c>
      <c r="AP17" s="75">
        <f t="shared" si="19"/>
        <v>2.5815368933541243E-3</v>
      </c>
      <c r="AQ17" s="76">
        <f t="shared" si="8"/>
        <v>21.471066026656842</v>
      </c>
      <c r="AR17" s="90">
        <f t="shared" si="9"/>
        <v>-13.265999999999622</v>
      </c>
    </row>
    <row r="18" spans="1:49" x14ac:dyDescent="0.25">
      <c r="A18" t="str">
        <f t="shared" si="10"/>
        <v>46181M</v>
      </c>
      <c r="B18" s="51">
        <f t="shared" si="20"/>
        <v>46181</v>
      </c>
      <c r="C18" s="99" t="s">
        <v>87</v>
      </c>
      <c r="D18" s="91">
        <v>2165</v>
      </c>
      <c r="E18" s="62">
        <v>7.1</v>
      </c>
      <c r="F18" s="62">
        <v>9</v>
      </c>
      <c r="G18" s="62">
        <f t="shared" si="0"/>
        <v>153.71499999999997</v>
      </c>
      <c r="H18" s="72">
        <f t="shared" si="11"/>
        <v>194.85</v>
      </c>
      <c r="I18" s="144">
        <v>1154.7000000000003</v>
      </c>
      <c r="J18" s="145">
        <v>1189.3410000000003</v>
      </c>
      <c r="K18" s="146">
        <v>5.558716549753183</v>
      </c>
      <c r="L18" s="147">
        <v>8.68327704165584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1189.3410000000003</v>
      </c>
      <c r="S18" s="62">
        <f t="shared" si="13"/>
        <v>66.112095000000025</v>
      </c>
      <c r="T18" s="63">
        <f t="shared" si="14"/>
        <v>103.27377400000002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89">
        <v>3372</v>
      </c>
      <c r="AI18" s="66">
        <v>6.5</v>
      </c>
      <c r="AJ18" s="66">
        <v>8.8000000000000007</v>
      </c>
      <c r="AK18" s="62">
        <f t="shared" si="4"/>
        <v>219.18</v>
      </c>
      <c r="AL18" s="72">
        <f t="shared" si="5"/>
        <v>296.73600000000005</v>
      </c>
      <c r="AM18" s="73">
        <f t="shared" si="6"/>
        <v>-17.658999999999651</v>
      </c>
      <c r="AN18" s="74">
        <f t="shared" si="7"/>
        <v>0.64709499999997888</v>
      </c>
      <c r="AO18" s="74">
        <f t="shared" si="7"/>
        <v>1.387773999999979</v>
      </c>
      <c r="AP18" s="75">
        <f t="shared" si="19"/>
        <v>1.2013215813179537E-2</v>
      </c>
      <c r="AQ18" s="76">
        <f t="shared" si="8"/>
        <v>705.81116734331761</v>
      </c>
      <c r="AR18" s="90">
        <f t="shared" si="9"/>
        <v>-17.658999999999651</v>
      </c>
    </row>
    <row r="19" spans="1:49" x14ac:dyDescent="0.25">
      <c r="A19" t="str">
        <f t="shared" si="10"/>
        <v>46181E</v>
      </c>
      <c r="B19" s="51">
        <f t="shared" si="20"/>
        <v>46181</v>
      </c>
      <c r="C19" s="52" t="s">
        <v>88</v>
      </c>
      <c r="D19" s="91">
        <v>3372</v>
      </c>
      <c r="E19" s="62">
        <v>6.5</v>
      </c>
      <c r="F19" s="62">
        <v>8.8000000000000007</v>
      </c>
      <c r="G19" s="62">
        <f t="shared" si="0"/>
        <v>219.18</v>
      </c>
      <c r="H19" s="72">
        <f t="shared" si="11"/>
        <v>296.73600000000005</v>
      </c>
      <c r="I19" s="144">
        <v>1088.0999999999997</v>
      </c>
      <c r="J19" s="145">
        <v>1120.7429999999997</v>
      </c>
      <c r="K19" s="146">
        <v>5.2934381031155233</v>
      </c>
      <c r="L19" s="147">
        <v>8.5737707931256324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1120.7429999999997</v>
      </c>
      <c r="S19" s="62">
        <f t="shared" si="13"/>
        <v>59.325836999999993</v>
      </c>
      <c r="T19" s="63">
        <f t="shared" si="14"/>
        <v>96.08993599999998</v>
      </c>
      <c r="U19" s="64" t="s">
        <v>301</v>
      </c>
      <c r="V19" s="65" t="s">
        <v>403</v>
      </c>
      <c r="W19" s="66" t="s">
        <v>303</v>
      </c>
      <c r="X19" s="67">
        <v>2422</v>
      </c>
      <c r="Y19" s="68">
        <v>5.3</v>
      </c>
      <c r="Z19" s="68">
        <v>8.5</v>
      </c>
      <c r="AA19" s="62">
        <f t="shared" si="15"/>
        <v>128.36599999999999</v>
      </c>
      <c r="AB19" s="63">
        <f t="shared" si="16"/>
        <v>205.87</v>
      </c>
      <c r="AC19" s="69">
        <v>2420</v>
      </c>
      <c r="AD19" s="70">
        <v>5.3</v>
      </c>
      <c r="AE19" s="70">
        <v>8.5</v>
      </c>
      <c r="AF19" s="62">
        <f t="shared" si="17"/>
        <v>128.26</v>
      </c>
      <c r="AG19" s="63">
        <f t="shared" si="18"/>
        <v>205.70000000000002</v>
      </c>
      <c r="AH19" s="89">
        <v>2090</v>
      </c>
      <c r="AI19" s="66">
        <v>7.2</v>
      </c>
      <c r="AJ19" s="66">
        <v>8.9</v>
      </c>
      <c r="AK19" s="62">
        <f t="shared" si="4"/>
        <v>150.48000000000002</v>
      </c>
      <c r="AL19" s="72">
        <f t="shared" si="5"/>
        <v>186.01000000000002</v>
      </c>
      <c r="AM19" s="73">
        <f t="shared" si="6"/>
        <v>-17.257000000000517</v>
      </c>
      <c r="AN19" s="74">
        <f t="shared" si="7"/>
        <v>-0.23416300000002366</v>
      </c>
      <c r="AO19" s="74">
        <f t="shared" si="7"/>
        <v>1.1159359999999765</v>
      </c>
      <c r="AP19" s="75">
        <f t="shared" si="19"/>
        <v>5.673639058501179E-3</v>
      </c>
      <c r="AQ19" s="76">
        <f t="shared" si="8"/>
        <v>228.85177417664906</v>
      </c>
      <c r="AR19" s="90">
        <f t="shared" si="9"/>
        <v>-19.257000000000517</v>
      </c>
      <c r="AS19" s="90">
        <f>SUM(J6:J19)</f>
        <v>17299.056</v>
      </c>
      <c r="AT19" s="83">
        <f>SUM(AM6:AM19)</f>
        <v>-263.9439999999986</v>
      </c>
      <c r="AU19" s="83">
        <f>SUM(AN6:AN19)</f>
        <v>0.84408499999989317</v>
      </c>
      <c r="AV19" s="83">
        <f>SUM(AO6:AO19)</f>
        <v>1.2068399999996586</v>
      </c>
      <c r="AW19" s="83">
        <f>-SUM(AQ6:AQ19)</f>
        <v>-740.09322694984985</v>
      </c>
    </row>
    <row r="20" spans="1:49" x14ac:dyDescent="0.25">
      <c r="A20" t="str">
        <f t="shared" si="10"/>
        <v>46182M</v>
      </c>
      <c r="B20" s="51">
        <f t="shared" si="20"/>
        <v>46182</v>
      </c>
      <c r="C20" s="52" t="s">
        <v>87</v>
      </c>
      <c r="D20" s="91">
        <v>2090</v>
      </c>
      <c r="E20" s="62">
        <v>7.2</v>
      </c>
      <c r="F20" s="62">
        <v>8.9</v>
      </c>
      <c r="G20" s="62">
        <f t="shared" si="0"/>
        <v>150.48000000000002</v>
      </c>
      <c r="H20" s="72">
        <f t="shared" si="11"/>
        <v>186.01000000000002</v>
      </c>
      <c r="I20" s="144">
        <v>1150.1999999999998</v>
      </c>
      <c r="J20" s="145">
        <v>1184.7059999999999</v>
      </c>
      <c r="K20" s="146">
        <v>5.778864545296468</v>
      </c>
      <c r="L20" s="147">
        <v>8.695183446357154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1184.7059999999999</v>
      </c>
      <c r="S20" s="62">
        <f t="shared" si="13"/>
        <v>68.462554999999966</v>
      </c>
      <c r="T20" s="63">
        <f t="shared" si="14"/>
        <v>103.01235999999997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5"/>
        <v>0</v>
      </c>
      <c r="AB20" s="63">
        <f t="shared" si="16"/>
        <v>0</v>
      </c>
      <c r="AC20" s="69"/>
      <c r="AD20" s="70"/>
      <c r="AE20" s="70"/>
      <c r="AF20" s="62">
        <f t="shared" si="17"/>
        <v>0</v>
      </c>
      <c r="AG20" s="63">
        <f t="shared" si="18"/>
        <v>0</v>
      </c>
      <c r="AH20" s="89">
        <v>3280</v>
      </c>
      <c r="AI20" s="66">
        <v>6.7</v>
      </c>
      <c r="AJ20" s="66">
        <v>8.8000000000000007</v>
      </c>
      <c r="AK20" s="62">
        <f t="shared" si="4"/>
        <v>219.76000000000002</v>
      </c>
      <c r="AL20" s="72">
        <f t="shared" si="5"/>
        <v>288.64000000000004</v>
      </c>
      <c r="AM20" s="73">
        <f t="shared" si="6"/>
        <v>-5.293999999999869</v>
      </c>
      <c r="AN20" s="74">
        <f t="shared" ref="AN20:AO35" si="21">+G20+S20-AF20-AK20</f>
        <v>-0.81744500000004905</v>
      </c>
      <c r="AO20" s="74">
        <f t="shared" si="21"/>
        <v>0.38235999999994874</v>
      </c>
      <c r="AP20" s="75">
        <f t="shared" si="19"/>
        <v>-2.5373099033179311E-3</v>
      </c>
      <c r="AQ20" s="76">
        <f t="shared" si="8"/>
        <v>-252.52908321670404</v>
      </c>
      <c r="AR20" s="90">
        <f t="shared" si="9"/>
        <v>-5.293999999999869</v>
      </c>
    </row>
    <row r="21" spans="1:49" x14ac:dyDescent="0.25">
      <c r="A21" t="str">
        <f t="shared" si="10"/>
        <v>46182E</v>
      </c>
      <c r="B21" s="51">
        <f t="shared" si="20"/>
        <v>46182</v>
      </c>
      <c r="C21" s="52" t="s">
        <v>88</v>
      </c>
      <c r="D21" s="91">
        <v>3280</v>
      </c>
      <c r="E21" s="62">
        <v>6.7</v>
      </c>
      <c r="F21" s="62">
        <v>8.8000000000000007</v>
      </c>
      <c r="G21" s="62">
        <f t="shared" si="0"/>
        <v>219.76000000000002</v>
      </c>
      <c r="H21" s="72">
        <f t="shared" si="11"/>
        <v>288.64000000000004</v>
      </c>
      <c r="I21" s="144">
        <v>1047.1000000000001</v>
      </c>
      <c r="J21" s="145">
        <v>1078.5130000000001</v>
      </c>
      <c r="K21" s="146">
        <v>5.274806608728869</v>
      </c>
      <c r="L21" s="147">
        <v>8.6256709005825556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1078.5130000000001</v>
      </c>
      <c r="S21" s="62">
        <f t="shared" si="13"/>
        <v>56.88947499999999</v>
      </c>
      <c r="T21" s="63">
        <f t="shared" si="14"/>
        <v>93.028981999999942</v>
      </c>
      <c r="U21" s="64" t="s">
        <v>301</v>
      </c>
      <c r="V21" s="65" t="s">
        <v>456</v>
      </c>
      <c r="W21" s="66" t="s">
        <v>303</v>
      </c>
      <c r="X21" s="67">
        <v>2227</v>
      </c>
      <c r="Y21" s="68">
        <v>5.3</v>
      </c>
      <c r="Z21" s="68">
        <v>8.5</v>
      </c>
      <c r="AA21" s="62">
        <f t="shared" si="15"/>
        <v>118.03099999999999</v>
      </c>
      <c r="AB21" s="63">
        <f t="shared" si="16"/>
        <v>189.29500000000002</v>
      </c>
      <c r="AC21" s="69">
        <v>2230</v>
      </c>
      <c r="AD21" s="70">
        <v>5.3</v>
      </c>
      <c r="AE21" s="70">
        <v>8.5</v>
      </c>
      <c r="AF21" s="62">
        <f t="shared" si="17"/>
        <v>118.19</v>
      </c>
      <c r="AG21" s="63">
        <f t="shared" si="18"/>
        <v>189.55</v>
      </c>
      <c r="AH21" s="89">
        <v>2145</v>
      </c>
      <c r="AI21" s="66">
        <v>7.4</v>
      </c>
      <c r="AJ21" s="66">
        <v>9</v>
      </c>
      <c r="AK21" s="62">
        <f t="shared" si="4"/>
        <v>158.73000000000002</v>
      </c>
      <c r="AL21" s="72">
        <f t="shared" si="5"/>
        <v>193.04999999999998</v>
      </c>
      <c r="AM21" s="73">
        <f t="shared" si="6"/>
        <v>-16.48700000000008</v>
      </c>
      <c r="AN21" s="74">
        <f t="shared" si="21"/>
        <v>-0.27052500000002055</v>
      </c>
      <c r="AO21" s="74">
        <f t="shared" si="21"/>
        <v>-0.93101800000002299</v>
      </c>
      <c r="AP21" s="75">
        <f t="shared" si="19"/>
        <v>-8.0146435872138419E-3</v>
      </c>
      <c r="AQ21" s="76">
        <f t="shared" si="8"/>
        <v>-400.07023800334946</v>
      </c>
      <c r="AR21" s="90">
        <f t="shared" si="9"/>
        <v>-13.48700000000008</v>
      </c>
    </row>
    <row r="22" spans="1:49" x14ac:dyDescent="0.25">
      <c r="A22" t="str">
        <f t="shared" si="10"/>
        <v>46183M</v>
      </c>
      <c r="B22" s="51">
        <f t="shared" si="20"/>
        <v>46183</v>
      </c>
      <c r="C22" s="52" t="s">
        <v>87</v>
      </c>
      <c r="D22" s="91">
        <v>2145</v>
      </c>
      <c r="E22" s="62">
        <v>7.4</v>
      </c>
      <c r="F22" s="62">
        <v>9</v>
      </c>
      <c r="G22" s="62">
        <f t="shared" si="0"/>
        <v>158.73000000000002</v>
      </c>
      <c r="H22" s="72">
        <f t="shared" si="11"/>
        <v>193.04999999999998</v>
      </c>
      <c r="I22" s="144">
        <v>1075.8000000000002</v>
      </c>
      <c r="J22" s="145">
        <v>1108.0740000000003</v>
      </c>
      <c r="K22" s="146">
        <v>5.7437348949618894</v>
      </c>
      <c r="L22" s="147">
        <v>8.7330916527235534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1108.0740000000003</v>
      </c>
      <c r="S22" s="62">
        <f t="shared" si="13"/>
        <v>63.644833000000027</v>
      </c>
      <c r="T22" s="63">
        <f t="shared" si="14"/>
        <v>96.769118000000006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89">
        <v>3265</v>
      </c>
      <c r="AI22" s="66">
        <v>6.8</v>
      </c>
      <c r="AJ22" s="66">
        <v>8.9</v>
      </c>
      <c r="AK22" s="62">
        <f t="shared" si="4"/>
        <v>222.02</v>
      </c>
      <c r="AL22" s="72">
        <f t="shared" si="5"/>
        <v>290.58500000000004</v>
      </c>
      <c r="AM22" s="73">
        <f t="shared" si="6"/>
        <v>-11.925999999999476</v>
      </c>
      <c r="AN22" s="80">
        <f t="shared" si="21"/>
        <v>0.35483300000004192</v>
      </c>
      <c r="AO22" s="80">
        <f t="shared" si="21"/>
        <v>-0.76588200000003326</v>
      </c>
      <c r="AP22" s="75">
        <f t="shared" si="19"/>
        <v>-2.5624267555132488E-3</v>
      </c>
      <c r="AQ22" s="76">
        <f t="shared" si="8"/>
        <v>-69.919977049991161</v>
      </c>
      <c r="AR22" s="90">
        <f t="shared" si="9"/>
        <v>-11.925999999999476</v>
      </c>
    </row>
    <row r="23" spans="1:49" x14ac:dyDescent="0.25">
      <c r="A23" t="str">
        <f t="shared" si="10"/>
        <v>46183E</v>
      </c>
      <c r="B23" s="51">
        <f t="shared" si="20"/>
        <v>46183</v>
      </c>
      <c r="C23" s="52" t="s">
        <v>88</v>
      </c>
      <c r="D23" s="91">
        <v>3265</v>
      </c>
      <c r="E23" s="62">
        <v>6.8</v>
      </c>
      <c r="F23" s="62">
        <v>8.9</v>
      </c>
      <c r="G23" s="62">
        <f t="shared" si="0"/>
        <v>222.02</v>
      </c>
      <c r="H23" s="72">
        <f t="shared" si="11"/>
        <v>290.58500000000004</v>
      </c>
      <c r="I23" s="144">
        <v>1215.8999999999999</v>
      </c>
      <c r="J23" s="145">
        <v>1252.377</v>
      </c>
      <c r="K23" s="146">
        <v>5.2642158072209888</v>
      </c>
      <c r="L23" s="147">
        <v>8.6325520190805172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1252.377</v>
      </c>
      <c r="S23" s="62">
        <f t="shared" si="13"/>
        <v>65.927827999999991</v>
      </c>
      <c r="T23" s="63">
        <f t="shared" si="14"/>
        <v>108.11209599999999</v>
      </c>
      <c r="U23" s="64" t="s">
        <v>301</v>
      </c>
      <c r="V23" s="65" t="s">
        <v>457</v>
      </c>
      <c r="W23" s="66" t="s">
        <v>303</v>
      </c>
      <c r="X23" s="67">
        <v>2519</v>
      </c>
      <c r="Y23" s="68">
        <v>5.2</v>
      </c>
      <c r="Z23" s="68">
        <v>8.4</v>
      </c>
      <c r="AA23" s="62">
        <f t="shared" si="15"/>
        <v>130.988</v>
      </c>
      <c r="AB23" s="63">
        <f t="shared" si="16"/>
        <v>211.596</v>
      </c>
      <c r="AC23" s="69">
        <v>2510</v>
      </c>
      <c r="AD23" s="70">
        <v>5.2</v>
      </c>
      <c r="AE23" s="70">
        <v>8.5</v>
      </c>
      <c r="AF23" s="62">
        <f t="shared" si="17"/>
        <v>130.52000000000001</v>
      </c>
      <c r="AG23" s="63">
        <f t="shared" si="18"/>
        <v>213.35000000000002</v>
      </c>
      <c r="AH23" s="89">
        <v>2023</v>
      </c>
      <c r="AI23" s="66">
        <v>7.9</v>
      </c>
      <c r="AJ23" s="66">
        <v>9</v>
      </c>
      <c r="AK23" s="62">
        <f t="shared" si="4"/>
        <v>159.81700000000001</v>
      </c>
      <c r="AL23" s="72">
        <f t="shared" si="5"/>
        <v>182.07</v>
      </c>
      <c r="AM23" s="73">
        <f t="shared" si="6"/>
        <v>-15.622999999999593</v>
      </c>
      <c r="AN23" s="80">
        <f t="shared" si="21"/>
        <v>-2.3891720000000021</v>
      </c>
      <c r="AO23" s="80">
        <f t="shared" si="21"/>
        <v>3.2770960000000287</v>
      </c>
      <c r="AP23" s="75">
        <f t="shared" si="19"/>
        <v>5.1018408856580901E-3</v>
      </c>
      <c r="AQ23" s="76">
        <f t="shared" si="8"/>
        <v>-91.775758946658925</v>
      </c>
      <c r="AR23" s="90">
        <f t="shared" si="9"/>
        <v>-24.622999999999593</v>
      </c>
    </row>
    <row r="24" spans="1:49" x14ac:dyDescent="0.25">
      <c r="A24" t="str">
        <f t="shared" si="10"/>
        <v>46184M</v>
      </c>
      <c r="B24" s="51">
        <f t="shared" si="20"/>
        <v>46184</v>
      </c>
      <c r="C24" s="99" t="s">
        <v>87</v>
      </c>
      <c r="D24" s="91">
        <v>2023</v>
      </c>
      <c r="E24" s="62">
        <v>7.9</v>
      </c>
      <c r="F24" s="62">
        <v>9</v>
      </c>
      <c r="G24" s="62">
        <f t="shared" si="0"/>
        <v>159.81700000000001</v>
      </c>
      <c r="H24" s="72">
        <f t="shared" si="11"/>
        <v>182.07</v>
      </c>
      <c r="I24" s="144">
        <v>1152.6000000000001</v>
      </c>
      <c r="J24" s="145">
        <v>1187.1780000000001</v>
      </c>
      <c r="K24" s="146">
        <v>5.753314246052402</v>
      </c>
      <c r="L24" s="147">
        <v>8.6835415582162057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1187.1780000000001</v>
      </c>
      <c r="S24" s="62">
        <f t="shared" si="13"/>
        <v>68.302080999999987</v>
      </c>
      <c r="T24" s="63">
        <f t="shared" si="14"/>
        <v>103.08909499999999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89">
        <v>3226</v>
      </c>
      <c r="AI24" s="66">
        <v>7.1</v>
      </c>
      <c r="AJ24" s="66">
        <v>8.8000000000000007</v>
      </c>
      <c r="AK24" s="62">
        <f t="shared" si="4"/>
        <v>229.04599999999999</v>
      </c>
      <c r="AL24" s="72">
        <f t="shared" si="5"/>
        <v>283.88800000000003</v>
      </c>
      <c r="AM24" s="73">
        <f t="shared" si="6"/>
        <v>-15.822000000000116</v>
      </c>
      <c r="AN24" s="80">
        <f t="shared" si="21"/>
        <v>-0.92691899999999805</v>
      </c>
      <c r="AO24" s="80">
        <f t="shared" si="21"/>
        <v>1.2710949999999457</v>
      </c>
      <c r="AP24" s="75">
        <f t="shared" si="19"/>
        <v>2.008131387113813E-3</v>
      </c>
      <c r="AQ24" s="76">
        <f t="shared" si="8"/>
        <v>-35.698370656682016</v>
      </c>
      <c r="AR24" s="90">
        <f t="shared" si="9"/>
        <v>-15.822000000000116</v>
      </c>
    </row>
    <row r="25" spans="1:49" x14ac:dyDescent="0.25">
      <c r="A25" t="str">
        <f t="shared" si="10"/>
        <v>46184E</v>
      </c>
      <c r="B25" s="51">
        <f t="shared" si="20"/>
        <v>46184</v>
      </c>
      <c r="C25" s="52" t="s">
        <v>88</v>
      </c>
      <c r="D25" s="91">
        <v>3226</v>
      </c>
      <c r="E25" s="62">
        <v>7.1</v>
      </c>
      <c r="F25" s="62">
        <v>8.8000000000000007</v>
      </c>
      <c r="G25" s="62">
        <f t="shared" si="0"/>
        <v>229.04599999999999</v>
      </c>
      <c r="H25" s="72">
        <f t="shared" si="11"/>
        <v>283.88800000000003</v>
      </c>
      <c r="I25" s="144">
        <v>1622.2000000000007</v>
      </c>
      <c r="J25" s="145">
        <v>1670.8660000000009</v>
      </c>
      <c r="K25" s="146">
        <v>4.8943656762421437</v>
      </c>
      <c r="L25" s="147">
        <v>8.4812538527925021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1670.8660000000009</v>
      </c>
      <c r="S25" s="62">
        <f t="shared" si="13"/>
        <v>81.778292000000093</v>
      </c>
      <c r="T25" s="63">
        <f t="shared" si="14"/>
        <v>141.71038700000003</v>
      </c>
      <c r="U25" s="64" t="s">
        <v>485</v>
      </c>
      <c r="V25" s="65" t="s">
        <v>486</v>
      </c>
      <c r="W25" s="66" t="s">
        <v>303</v>
      </c>
      <c r="X25" s="67">
        <v>2200</v>
      </c>
      <c r="Y25" s="68">
        <v>5.3</v>
      </c>
      <c r="Z25" s="68">
        <v>8.6</v>
      </c>
      <c r="AA25" s="62">
        <f t="shared" si="15"/>
        <v>116.6</v>
      </c>
      <c r="AB25" s="63">
        <f t="shared" si="16"/>
        <v>189.2</v>
      </c>
      <c r="AC25" s="69">
        <v>2200</v>
      </c>
      <c r="AD25" s="70">
        <v>5.3</v>
      </c>
      <c r="AE25" s="70">
        <v>8.6</v>
      </c>
      <c r="AF25" s="62">
        <f t="shared" si="17"/>
        <v>116.6</v>
      </c>
      <c r="AG25" s="63">
        <f t="shared" si="18"/>
        <v>189.2</v>
      </c>
      <c r="AH25" s="89">
        <v>2705</v>
      </c>
      <c r="AI25" s="66">
        <v>7.2</v>
      </c>
      <c r="AJ25" s="66">
        <v>8.6999999999999993</v>
      </c>
      <c r="AK25" s="62">
        <f t="shared" si="4"/>
        <v>194.76000000000002</v>
      </c>
      <c r="AL25" s="72">
        <f t="shared" si="5"/>
        <v>235.33499999999998</v>
      </c>
      <c r="AM25" s="73">
        <f t="shared" si="6"/>
        <v>-8.1339999999991051</v>
      </c>
      <c r="AN25" s="80">
        <f t="shared" si="21"/>
        <v>-0.53570799999994279</v>
      </c>
      <c r="AO25" s="80">
        <f t="shared" si="21"/>
        <v>1.0633870000000911</v>
      </c>
      <c r="AP25" s="75">
        <f t="shared" si="19"/>
        <v>2.3610994631193291E-3</v>
      </c>
      <c r="AQ25" s="76">
        <f t="shared" si="8"/>
        <v>77.758693833386303</v>
      </c>
      <c r="AR25" s="90">
        <f t="shared" si="9"/>
        <v>-8.1339999999991051</v>
      </c>
    </row>
    <row r="26" spans="1:49" x14ac:dyDescent="0.25">
      <c r="A26" t="str">
        <f t="shared" si="10"/>
        <v>46185M</v>
      </c>
      <c r="B26" s="51">
        <f t="shared" si="20"/>
        <v>46185</v>
      </c>
      <c r="C26" s="52" t="s">
        <v>87</v>
      </c>
      <c r="D26" s="91">
        <v>2705</v>
      </c>
      <c r="E26" s="62">
        <v>7.2</v>
      </c>
      <c r="F26" s="62">
        <v>8.6999999999999993</v>
      </c>
      <c r="G26" s="62">
        <f t="shared" si="0"/>
        <v>194.76000000000002</v>
      </c>
      <c r="H26" s="72">
        <f t="shared" si="11"/>
        <v>235.33499999999998</v>
      </c>
      <c r="I26" s="144">
        <v>1145.1000000000001</v>
      </c>
      <c r="J26" s="145">
        <v>1179.4530000000002</v>
      </c>
      <c r="K26" s="146">
        <v>5.7348965155881571</v>
      </c>
      <c r="L26" s="147">
        <v>8.7563094926207334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1179.4530000000002</v>
      </c>
      <c r="S26" s="62">
        <f t="shared" si="13"/>
        <v>67.640409000000005</v>
      </c>
      <c r="T26" s="63">
        <f t="shared" si="14"/>
        <v>103.27655500000004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89">
        <v>3904</v>
      </c>
      <c r="AI26" s="66">
        <v>6.7</v>
      </c>
      <c r="AJ26" s="66">
        <v>8.6999999999999993</v>
      </c>
      <c r="AK26" s="62">
        <f t="shared" si="4"/>
        <v>261.56800000000004</v>
      </c>
      <c r="AL26" s="72">
        <f t="shared" si="5"/>
        <v>339.64799999999997</v>
      </c>
      <c r="AM26" s="73">
        <f t="shared" si="6"/>
        <v>-19.546999999999571</v>
      </c>
      <c r="AN26" s="80">
        <f t="shared" si="21"/>
        <v>0.83240899999998419</v>
      </c>
      <c r="AO26" s="80">
        <f t="shared" si="21"/>
        <v>-1.0364449999999579</v>
      </c>
      <c r="AP26" s="75">
        <f t="shared" si="19"/>
        <v>-1.1937726672934209E-3</v>
      </c>
      <c r="AQ26" s="76">
        <f t="shared" si="8"/>
        <v>63.496374223338819</v>
      </c>
      <c r="AR26" s="90">
        <f t="shared" si="9"/>
        <v>-19.546999999999571</v>
      </c>
    </row>
    <row r="27" spans="1:49" x14ac:dyDescent="0.25">
      <c r="A27" t="str">
        <f t="shared" si="10"/>
        <v>46185E</v>
      </c>
      <c r="B27" s="51">
        <f t="shared" si="20"/>
        <v>46185</v>
      </c>
      <c r="C27" s="52" t="s">
        <v>88</v>
      </c>
      <c r="D27" s="91">
        <v>3904</v>
      </c>
      <c r="E27" s="62">
        <v>6.7</v>
      </c>
      <c r="F27" s="62">
        <v>8.6999999999999993</v>
      </c>
      <c r="G27" s="62">
        <f t="shared" si="0"/>
        <v>261.56800000000004</v>
      </c>
      <c r="H27" s="72">
        <f t="shared" si="11"/>
        <v>339.64799999999997</v>
      </c>
      <c r="I27" s="144">
        <v>1194.4000000000001</v>
      </c>
      <c r="J27" s="145">
        <v>1230.2320000000002</v>
      </c>
      <c r="K27" s="146">
        <v>5.2388060951105153</v>
      </c>
      <c r="L27" s="147">
        <v>8.4713161419959793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1230.2320000000002</v>
      </c>
      <c r="S27" s="62">
        <f t="shared" si="13"/>
        <v>64.449469000000008</v>
      </c>
      <c r="T27" s="63">
        <f t="shared" si="14"/>
        <v>104.216842</v>
      </c>
      <c r="U27" s="64" t="s">
        <v>301</v>
      </c>
      <c r="V27" s="65" t="s">
        <v>535</v>
      </c>
      <c r="W27" s="66" t="s">
        <v>303</v>
      </c>
      <c r="X27" s="67">
        <v>2626</v>
      </c>
      <c r="Y27" s="68">
        <v>5.2</v>
      </c>
      <c r="Z27" s="68">
        <v>8.4</v>
      </c>
      <c r="AA27" s="62">
        <f t="shared" si="15"/>
        <v>136.55200000000002</v>
      </c>
      <c r="AB27" s="63">
        <f t="shared" si="16"/>
        <v>220.584</v>
      </c>
      <c r="AC27" s="69">
        <v>2625</v>
      </c>
      <c r="AD27" s="70">
        <v>5.2</v>
      </c>
      <c r="AE27" s="70">
        <v>8.4</v>
      </c>
      <c r="AF27" s="62">
        <f t="shared" si="17"/>
        <v>136.5</v>
      </c>
      <c r="AG27" s="63">
        <f t="shared" si="18"/>
        <v>220.5</v>
      </c>
      <c r="AH27" s="89">
        <v>2530</v>
      </c>
      <c r="AI27" s="66">
        <v>7.5</v>
      </c>
      <c r="AJ27" s="66">
        <v>8.8000000000000007</v>
      </c>
      <c r="AK27" s="62">
        <f t="shared" si="4"/>
        <v>189.75</v>
      </c>
      <c r="AL27" s="72">
        <f t="shared" si="5"/>
        <v>222.64000000000001</v>
      </c>
      <c r="AM27" s="73">
        <f t="shared" si="6"/>
        <v>-20.768000000000029</v>
      </c>
      <c r="AN27" s="80">
        <f t="shared" si="21"/>
        <v>-0.23253099999993765</v>
      </c>
      <c r="AO27" s="80">
        <f t="shared" si="21"/>
        <v>0.72484199999993848</v>
      </c>
      <c r="AP27" s="75">
        <f t="shared" si="19"/>
        <v>2.9188460759066509E-3</v>
      </c>
      <c r="AQ27" s="76">
        <f t="shared" si="8"/>
        <v>112.54039027000961</v>
      </c>
      <c r="AR27" s="90">
        <f t="shared" si="9"/>
        <v>-21.768000000000029</v>
      </c>
    </row>
    <row r="28" spans="1:49" x14ac:dyDescent="0.25">
      <c r="A28" t="str">
        <f t="shared" si="10"/>
        <v>46186M</v>
      </c>
      <c r="B28" s="51">
        <f t="shared" si="20"/>
        <v>46186</v>
      </c>
      <c r="C28" s="52" t="s">
        <v>87</v>
      </c>
      <c r="D28" s="91">
        <v>2530</v>
      </c>
      <c r="E28" s="62">
        <v>7.5</v>
      </c>
      <c r="F28" s="62">
        <v>8.8000000000000007</v>
      </c>
      <c r="G28" s="62">
        <f t="shared" si="0"/>
        <v>189.75</v>
      </c>
      <c r="H28" s="72">
        <f t="shared" si="11"/>
        <v>222.64000000000001</v>
      </c>
      <c r="I28" s="144">
        <v>1108.2</v>
      </c>
      <c r="J28" s="145">
        <v>1141.4460000000001</v>
      </c>
      <c r="K28" s="146">
        <v>5.6663057209889915</v>
      </c>
      <c r="L28" s="147">
        <v>8.6048456957227941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1141.4460000000001</v>
      </c>
      <c r="S28" s="62">
        <f t="shared" si="13"/>
        <v>64.677820000000011</v>
      </c>
      <c r="T28" s="63">
        <f t="shared" si="14"/>
        <v>98.219667000000015</v>
      </c>
      <c r="U28" s="64" t="s">
        <v>187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89">
        <v>3687</v>
      </c>
      <c r="AI28" s="66">
        <v>6.9</v>
      </c>
      <c r="AJ28" s="66">
        <v>8.6999999999999993</v>
      </c>
      <c r="AK28" s="62">
        <f t="shared" si="4"/>
        <v>254.40300000000002</v>
      </c>
      <c r="AL28" s="72">
        <f t="shared" si="5"/>
        <v>320.76900000000001</v>
      </c>
      <c r="AM28" s="73">
        <f t="shared" si="6"/>
        <v>-15.554000000000087</v>
      </c>
      <c r="AN28" s="80">
        <f t="shared" si="21"/>
        <v>2.4819999999976972E-2</v>
      </c>
      <c r="AO28" s="80">
        <f t="shared" si="21"/>
        <v>9.0667000000053122E-2</v>
      </c>
      <c r="AP28" s="75">
        <f t="shared" si="19"/>
        <v>7.0895507430406273E-4</v>
      </c>
      <c r="AQ28" s="76">
        <f t="shared" si="8"/>
        <v>38.276161513338899</v>
      </c>
      <c r="AR28" s="90">
        <f t="shared" si="9"/>
        <v>-15.554000000000087</v>
      </c>
    </row>
    <row r="29" spans="1:49" x14ac:dyDescent="0.25">
      <c r="A29" t="str">
        <f t="shared" si="10"/>
        <v>46186E</v>
      </c>
      <c r="B29" s="51">
        <f t="shared" si="20"/>
        <v>46186</v>
      </c>
      <c r="C29" s="52" t="s">
        <v>88</v>
      </c>
      <c r="D29" s="91">
        <v>3687</v>
      </c>
      <c r="E29" s="62">
        <v>6.9</v>
      </c>
      <c r="F29" s="62">
        <v>8.6999999999999993</v>
      </c>
      <c r="G29" s="62">
        <f t="shared" si="0"/>
        <v>254.40300000000002</v>
      </c>
      <c r="H29" s="72">
        <f t="shared" si="11"/>
        <v>320.76900000000001</v>
      </c>
      <c r="I29" s="144">
        <v>1167.8999999999999</v>
      </c>
      <c r="J29" s="145">
        <v>1202.9369999999999</v>
      </c>
      <c r="K29" s="146">
        <v>4.9798527271170485</v>
      </c>
      <c r="L29" s="147">
        <v>8.3814795787310565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1202.9369999999999</v>
      </c>
      <c r="S29" s="62">
        <f t="shared" si="13"/>
        <v>59.904491</v>
      </c>
      <c r="T29" s="63">
        <f t="shared" si="14"/>
        <v>100.82391899999999</v>
      </c>
      <c r="U29" s="64" t="s">
        <v>301</v>
      </c>
      <c r="V29" s="65" t="s">
        <v>609</v>
      </c>
      <c r="W29" s="66" t="s">
        <v>303</v>
      </c>
      <c r="X29" s="67">
        <v>2559</v>
      </c>
      <c r="Y29" s="68">
        <v>5.0999999999999996</v>
      </c>
      <c r="Z29" s="68">
        <v>8.4</v>
      </c>
      <c r="AA29" s="62">
        <f t="shared" si="15"/>
        <v>130.50899999999999</v>
      </c>
      <c r="AB29" s="63">
        <f t="shared" si="16"/>
        <v>214.95600000000002</v>
      </c>
      <c r="AC29" s="69">
        <v>2560</v>
      </c>
      <c r="AD29" s="70">
        <v>5.0999999999999996</v>
      </c>
      <c r="AE29" s="70">
        <v>8.4</v>
      </c>
      <c r="AF29" s="62">
        <f t="shared" si="17"/>
        <v>130.56</v>
      </c>
      <c r="AG29" s="63">
        <f t="shared" si="18"/>
        <v>215.04000000000002</v>
      </c>
      <c r="AH29" s="89">
        <v>2350</v>
      </c>
      <c r="AI29" s="66">
        <v>7.8</v>
      </c>
      <c r="AJ29" s="66">
        <v>8.8000000000000007</v>
      </c>
      <c r="AK29" s="62">
        <f t="shared" si="4"/>
        <v>183.3</v>
      </c>
      <c r="AL29" s="72">
        <f t="shared" si="5"/>
        <v>206.8</v>
      </c>
      <c r="AM29" s="73">
        <f t="shared" si="6"/>
        <v>-20.063000000000102</v>
      </c>
      <c r="AN29" s="80">
        <f t="shared" si="21"/>
        <v>0.44749100000001363</v>
      </c>
      <c r="AO29" s="80">
        <f t="shared" si="21"/>
        <v>-0.24708100000003697</v>
      </c>
      <c r="AP29" s="75">
        <f t="shared" si="19"/>
        <v>1.2468859736743283E-3</v>
      </c>
      <c r="AQ29" s="76">
        <f t="shared" si="8"/>
        <v>126.93843033666172</v>
      </c>
      <c r="AR29" s="90">
        <f t="shared" si="9"/>
        <v>-19.063000000000102</v>
      </c>
    </row>
    <row r="30" spans="1:49" x14ac:dyDescent="0.25">
      <c r="A30" t="str">
        <f t="shared" si="10"/>
        <v>46187M</v>
      </c>
      <c r="B30" s="51">
        <f t="shared" si="20"/>
        <v>46187</v>
      </c>
      <c r="C30" s="52" t="s">
        <v>87</v>
      </c>
      <c r="D30" s="91">
        <v>2350</v>
      </c>
      <c r="E30" s="62">
        <v>7.8</v>
      </c>
      <c r="F30" s="62">
        <v>8.8000000000000007</v>
      </c>
      <c r="G30" s="62">
        <f t="shared" si="0"/>
        <v>183.3</v>
      </c>
      <c r="H30" s="72">
        <f t="shared" si="11"/>
        <v>206.8</v>
      </c>
      <c r="I30" s="144">
        <v>1294.6999999999998</v>
      </c>
      <c r="J30" s="145">
        <v>1333.5409999999999</v>
      </c>
      <c r="K30" s="146">
        <v>5.3861744033366783</v>
      </c>
      <c r="L30" s="147">
        <v>8.5208619757472714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1333.5409999999999</v>
      </c>
      <c r="S30" s="62">
        <f t="shared" si="13"/>
        <v>71.826843999999966</v>
      </c>
      <c r="T30" s="63">
        <f t="shared" si="14"/>
        <v>113.62918799999991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89">
        <v>3692</v>
      </c>
      <c r="AI30" s="66">
        <v>6.9</v>
      </c>
      <c r="AJ30" s="66">
        <v>8.6999999999999993</v>
      </c>
      <c r="AK30" s="62">
        <f t="shared" si="4"/>
        <v>254.74800000000002</v>
      </c>
      <c r="AL30" s="72">
        <f t="shared" si="5"/>
        <v>321.20399999999995</v>
      </c>
      <c r="AM30" s="73">
        <f t="shared" si="6"/>
        <v>-8.4589999999998327</v>
      </c>
      <c r="AN30" s="80">
        <f t="shared" si="21"/>
        <v>0.37884399999995821</v>
      </c>
      <c r="AO30" s="80">
        <f t="shared" si="21"/>
        <v>-0.77481199999999717</v>
      </c>
      <c r="AP30" s="75">
        <f t="shared" si="19"/>
        <v>-2.1351044543001935E-3</v>
      </c>
      <c r="AQ30" s="76">
        <f t="shared" si="8"/>
        <v>-61.813709906684579</v>
      </c>
      <c r="AR30" s="90">
        <f t="shared" si="9"/>
        <v>-8.4589999999998327</v>
      </c>
    </row>
    <row r="31" spans="1:49" x14ac:dyDescent="0.25">
      <c r="A31" t="str">
        <f t="shared" si="10"/>
        <v>46187E</v>
      </c>
      <c r="B31" s="51">
        <f t="shared" si="20"/>
        <v>46187</v>
      </c>
      <c r="C31" s="52" t="s">
        <v>88</v>
      </c>
      <c r="D31" s="91">
        <v>3692</v>
      </c>
      <c r="E31" s="62">
        <v>6.9</v>
      </c>
      <c r="F31" s="62">
        <v>8.6999999999999993</v>
      </c>
      <c r="G31" s="62">
        <f t="shared" si="0"/>
        <v>254.74800000000002</v>
      </c>
      <c r="H31" s="72">
        <f t="shared" si="11"/>
        <v>321.20399999999995</v>
      </c>
      <c r="I31" s="144">
        <v>1168.1999999999998</v>
      </c>
      <c r="J31" s="145">
        <v>1203.2459999999999</v>
      </c>
      <c r="K31" s="146">
        <v>4.9762968669748338</v>
      </c>
      <c r="L31" s="147">
        <v>8.3121468926553685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1203.2459999999999</v>
      </c>
      <c r="S31" s="62">
        <f t="shared" si="13"/>
        <v>59.877093000000002</v>
      </c>
      <c r="T31" s="63">
        <f t="shared" si="14"/>
        <v>100.015575</v>
      </c>
      <c r="U31" s="64" t="s">
        <v>301</v>
      </c>
      <c r="V31" s="65" t="s">
        <v>610</v>
      </c>
      <c r="W31" s="66" t="s">
        <v>303</v>
      </c>
      <c r="X31" s="67">
        <v>2391.3000000000002</v>
      </c>
      <c r="Y31" s="68">
        <v>5.0999999999999996</v>
      </c>
      <c r="Z31" s="68">
        <v>8.1</v>
      </c>
      <c r="AA31" s="62">
        <f t="shared" si="15"/>
        <v>121.9563</v>
      </c>
      <c r="AB31" s="63">
        <f t="shared" si="16"/>
        <v>193.69530000000003</v>
      </c>
      <c r="AC31" s="69">
        <v>2390</v>
      </c>
      <c r="AD31" s="70">
        <v>5.0999999999999996</v>
      </c>
      <c r="AE31" s="70">
        <v>8.1</v>
      </c>
      <c r="AF31" s="62">
        <f t="shared" si="17"/>
        <v>121.88999999999999</v>
      </c>
      <c r="AG31" s="63">
        <f t="shared" si="18"/>
        <v>193.59</v>
      </c>
      <c r="AH31" s="89">
        <v>2520</v>
      </c>
      <c r="AI31" s="66">
        <v>7.8</v>
      </c>
      <c r="AJ31" s="66">
        <v>9</v>
      </c>
      <c r="AK31" s="62">
        <f t="shared" si="4"/>
        <v>196.56</v>
      </c>
      <c r="AL31" s="72">
        <f t="shared" si="5"/>
        <v>226.79999999999998</v>
      </c>
      <c r="AM31" s="73">
        <f t="shared" si="6"/>
        <v>-14.753999999999905</v>
      </c>
      <c r="AN31" s="80">
        <f t="shared" si="21"/>
        <v>-3.8249069999999961</v>
      </c>
      <c r="AO31" s="80">
        <f t="shared" si="21"/>
        <v>0.82957499999997708</v>
      </c>
      <c r="AP31" s="75">
        <f t="shared" si="19"/>
        <v>-1.8733391827572849E-2</v>
      </c>
      <c r="AQ31" s="76">
        <f t="shared" si="8"/>
        <v>-1468.7693258700051</v>
      </c>
      <c r="AR31" s="90">
        <f t="shared" si="9"/>
        <v>-16.054000000000087</v>
      </c>
    </row>
    <row r="32" spans="1:49" x14ac:dyDescent="0.25">
      <c r="A32" t="str">
        <f t="shared" si="10"/>
        <v>46188M</v>
      </c>
      <c r="B32" s="51">
        <f t="shared" si="20"/>
        <v>46188</v>
      </c>
      <c r="C32" s="52" t="s">
        <v>87</v>
      </c>
      <c r="D32" s="91">
        <v>2520</v>
      </c>
      <c r="E32" s="62">
        <v>7.8</v>
      </c>
      <c r="F32" s="62">
        <v>9</v>
      </c>
      <c r="G32" s="62">
        <f t="shared" si="0"/>
        <v>196.56</v>
      </c>
      <c r="H32" s="72">
        <f t="shared" si="11"/>
        <v>226.79999999999998</v>
      </c>
      <c r="I32" s="144">
        <v>1196.1000000000001</v>
      </c>
      <c r="J32" s="145">
        <v>1231.9830000000002</v>
      </c>
      <c r="K32" s="146">
        <v>5.6347462586740233</v>
      </c>
      <c r="L32" s="147">
        <v>8.6105007942479688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1231.9830000000002</v>
      </c>
      <c r="S32" s="62">
        <f t="shared" si="13"/>
        <v>69.419116000000002</v>
      </c>
      <c r="T32" s="63">
        <f t="shared" si="14"/>
        <v>106.07990599999997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89">
        <v>3765</v>
      </c>
      <c r="AI32" s="66">
        <v>7.1</v>
      </c>
      <c r="AJ32" s="66">
        <v>8.8000000000000007</v>
      </c>
      <c r="AK32" s="62">
        <f t="shared" si="4"/>
        <v>267.315</v>
      </c>
      <c r="AL32" s="72">
        <f t="shared" si="5"/>
        <v>331.32000000000005</v>
      </c>
      <c r="AM32" s="73">
        <f t="shared" si="6"/>
        <v>-13.016999999999825</v>
      </c>
      <c r="AN32" s="80">
        <f t="shared" si="21"/>
        <v>-1.3358840000000214</v>
      </c>
      <c r="AO32" s="80">
        <f t="shared" si="21"/>
        <v>1.5599059999998985</v>
      </c>
      <c r="AP32" s="75">
        <f t="shared" si="19"/>
        <v>1.2764857458856791E-3</v>
      </c>
      <c r="AQ32" s="76">
        <f t="shared" si="8"/>
        <v>-132.85341813337334</v>
      </c>
      <c r="AR32" s="90">
        <f t="shared" si="9"/>
        <v>-13.016999999999825</v>
      </c>
    </row>
    <row r="33" spans="1:49" x14ac:dyDescent="0.25">
      <c r="A33" t="str">
        <f t="shared" si="10"/>
        <v>46188E</v>
      </c>
      <c r="B33" s="51">
        <f t="shared" si="20"/>
        <v>46188</v>
      </c>
      <c r="C33" s="52" t="s">
        <v>88</v>
      </c>
      <c r="D33" s="91">
        <v>3765</v>
      </c>
      <c r="E33" s="62">
        <v>7.1</v>
      </c>
      <c r="F33" s="62">
        <v>8.8000000000000007</v>
      </c>
      <c r="G33" s="62">
        <f t="shared" si="0"/>
        <v>267.315</v>
      </c>
      <c r="H33" s="72">
        <f t="shared" si="11"/>
        <v>331.32000000000005</v>
      </c>
      <c r="I33" s="144">
        <v>1223.6999999999996</v>
      </c>
      <c r="J33" s="145">
        <v>1260.4109999999996</v>
      </c>
      <c r="K33" s="146">
        <v>5.1257089155838846</v>
      </c>
      <c r="L33" s="147">
        <v>8.4878973604641637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1260.4109999999996</v>
      </c>
      <c r="S33" s="62">
        <f t="shared" si="13"/>
        <v>64.604998999999978</v>
      </c>
      <c r="T33" s="63">
        <f t="shared" si="14"/>
        <v>106.98239199999993</v>
      </c>
      <c r="U33" s="64" t="s">
        <v>187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89">
        <v>4983</v>
      </c>
      <c r="AI33" s="66">
        <v>6.6</v>
      </c>
      <c r="AJ33" s="66">
        <v>8.6999999999999993</v>
      </c>
      <c r="AK33" s="62">
        <f t="shared" si="4"/>
        <v>328.87800000000004</v>
      </c>
      <c r="AL33" s="72">
        <f t="shared" si="5"/>
        <v>433.52099999999996</v>
      </c>
      <c r="AM33" s="73">
        <f t="shared" si="6"/>
        <v>42.411000000000058</v>
      </c>
      <c r="AN33" s="80">
        <f t="shared" si="21"/>
        <v>3.0419989999999189</v>
      </c>
      <c r="AO33" s="80">
        <f t="shared" si="21"/>
        <v>4.7813920000000394</v>
      </c>
      <c r="AP33" s="75">
        <f t="shared" si="19"/>
        <v>4.5594206861038884E-2</v>
      </c>
      <c r="AQ33" s="76">
        <f t="shared" si="8"/>
        <v>2796.5268929033091</v>
      </c>
      <c r="AR33" s="90">
        <f t="shared" si="9"/>
        <v>42.411000000000058</v>
      </c>
      <c r="AS33" s="90">
        <f>SUM(J20:J33)</f>
        <v>17264.963</v>
      </c>
      <c r="AT33" s="83">
        <f t="shared" ref="AT33:AV33" si="22">SUM(AM20:AM33)</f>
        <v>-143.03699999999753</v>
      </c>
      <c r="AU33" s="83">
        <f t="shared" si="22"/>
        <v>-5.2526950000000738</v>
      </c>
      <c r="AV33" s="83">
        <f t="shared" si="22"/>
        <v>10.225081999999873</v>
      </c>
      <c r="AW33" s="83">
        <f>-SUM(AQ20:AQ33)</f>
        <v>-702.10706129659593</v>
      </c>
    </row>
    <row r="34" spans="1:49" x14ac:dyDescent="0.25">
      <c r="A34" t="str">
        <f t="shared" si="10"/>
        <v>46189M</v>
      </c>
      <c r="B34" s="51">
        <f t="shared" si="20"/>
        <v>46189</v>
      </c>
      <c r="C34" s="52" t="s">
        <v>87</v>
      </c>
      <c r="D34" s="91">
        <v>4983</v>
      </c>
      <c r="E34" s="62">
        <v>6.6</v>
      </c>
      <c r="F34" s="62">
        <v>8.6999999999999993</v>
      </c>
      <c r="G34" s="62">
        <f t="shared" si="0"/>
        <v>328.87800000000004</v>
      </c>
      <c r="H34" s="72">
        <f t="shared" si="11"/>
        <v>433.52099999999996</v>
      </c>
      <c r="I34" s="144">
        <v>1166.8</v>
      </c>
      <c r="J34" s="145">
        <v>1201.8040000000001</v>
      </c>
      <c r="K34" s="146">
        <v>5.9794223517312295</v>
      </c>
      <c r="L34" s="147">
        <v>8.4952605416523852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1201.8040000000001</v>
      </c>
      <c r="S34" s="62">
        <f t="shared" si="13"/>
        <v>71.860936999999993</v>
      </c>
      <c r="T34" s="63">
        <f t="shared" si="14"/>
        <v>102.09638100000005</v>
      </c>
      <c r="U34" s="64" t="s">
        <v>310</v>
      </c>
      <c r="V34" s="65" t="s">
        <v>655</v>
      </c>
      <c r="W34" s="66" t="s">
        <v>303</v>
      </c>
      <c r="X34" s="67">
        <v>3500</v>
      </c>
      <c r="Y34" s="68">
        <v>5.2</v>
      </c>
      <c r="Z34" s="68">
        <v>8.4</v>
      </c>
      <c r="AA34" s="62">
        <f t="shared" si="15"/>
        <v>182.00000000000003</v>
      </c>
      <c r="AB34" s="63">
        <f t="shared" si="16"/>
        <v>294</v>
      </c>
      <c r="AC34" s="69">
        <v>3500</v>
      </c>
      <c r="AD34" s="70">
        <v>5.2</v>
      </c>
      <c r="AE34" s="70">
        <v>8.4</v>
      </c>
      <c r="AF34" s="62">
        <f t="shared" si="17"/>
        <v>182.00000000000003</v>
      </c>
      <c r="AG34" s="63">
        <f t="shared" si="18"/>
        <v>294</v>
      </c>
      <c r="AH34" s="89">
        <v>2665</v>
      </c>
      <c r="AI34" s="66">
        <v>8.1</v>
      </c>
      <c r="AJ34" s="66">
        <v>9</v>
      </c>
      <c r="AK34" s="62">
        <f t="shared" si="4"/>
        <v>215.86500000000001</v>
      </c>
      <c r="AL34" s="72">
        <f t="shared" si="5"/>
        <v>239.85</v>
      </c>
      <c r="AM34" s="73">
        <f t="shared" si="6"/>
        <v>19.804000000000087</v>
      </c>
      <c r="AN34" s="80">
        <f t="shared" si="21"/>
        <v>2.8739369999999838</v>
      </c>
      <c r="AO34" s="80">
        <f t="shared" si="21"/>
        <v>1.7673810000000287</v>
      </c>
      <c r="AP34" s="75">
        <f t="shared" si="19"/>
        <v>2.6680786145484327E-2</v>
      </c>
      <c r="AQ34" s="76">
        <f t="shared" si="8"/>
        <v>1819.0690618100016</v>
      </c>
      <c r="AR34" s="90">
        <f t="shared" si="9"/>
        <v>19.804000000000087</v>
      </c>
    </row>
    <row r="35" spans="1:49" x14ac:dyDescent="0.25">
      <c r="A35" t="str">
        <f t="shared" si="10"/>
        <v>46189E</v>
      </c>
      <c r="B35" s="51">
        <f t="shared" si="20"/>
        <v>46189</v>
      </c>
      <c r="C35" s="52" t="s">
        <v>88</v>
      </c>
      <c r="D35" s="91">
        <v>2665</v>
      </c>
      <c r="E35" s="62">
        <v>8.1</v>
      </c>
      <c r="F35" s="62">
        <v>9</v>
      </c>
      <c r="G35" s="62">
        <f t="shared" si="0"/>
        <v>215.86500000000001</v>
      </c>
      <c r="H35" s="72">
        <f t="shared" si="11"/>
        <v>239.85</v>
      </c>
      <c r="I35" s="144">
        <v>1143.08</v>
      </c>
      <c r="J35" s="145">
        <v>1177.3724</v>
      </c>
      <c r="K35" s="146">
        <v>6.0111260804143187</v>
      </c>
      <c r="L35" s="147">
        <v>8.5256709941561386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1177.3724</v>
      </c>
      <c r="S35" s="62">
        <f t="shared" si="13"/>
        <v>70.773339399999998</v>
      </c>
      <c r="T35" s="63">
        <f t="shared" si="14"/>
        <v>100.37889719999998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89">
        <v>3845</v>
      </c>
      <c r="AI35" s="66">
        <v>7.5</v>
      </c>
      <c r="AJ35" s="66">
        <v>8.8000000000000007</v>
      </c>
      <c r="AK35" s="62">
        <f t="shared" si="4"/>
        <v>288.375</v>
      </c>
      <c r="AL35" s="72">
        <f t="shared" si="5"/>
        <v>338.36</v>
      </c>
      <c r="AM35" s="73">
        <f t="shared" si="6"/>
        <v>-2.6275999999998021</v>
      </c>
      <c r="AN35" s="80">
        <f t="shared" si="21"/>
        <v>-1.7366605999999933</v>
      </c>
      <c r="AO35" s="80">
        <f t="shared" si="21"/>
        <v>1.8688971999999922</v>
      </c>
      <c r="AP35" s="75">
        <f t="shared" si="19"/>
        <v>7.7262560295398924E-4</v>
      </c>
      <c r="AQ35" s="76">
        <f t="shared" si="8"/>
        <v>-220.29321524466604</v>
      </c>
      <c r="AR35" s="90">
        <f t="shared" si="9"/>
        <v>-2.6275999999998021</v>
      </c>
    </row>
    <row r="36" spans="1:49" x14ac:dyDescent="0.25">
      <c r="A36" t="str">
        <f t="shared" si="10"/>
        <v>46190M</v>
      </c>
      <c r="B36" s="51">
        <f t="shared" si="20"/>
        <v>46190</v>
      </c>
      <c r="C36" s="99" t="s">
        <v>87</v>
      </c>
      <c r="D36" s="91">
        <v>3845</v>
      </c>
      <c r="E36" s="62">
        <v>7.5</v>
      </c>
      <c r="F36" s="62">
        <v>8.8000000000000007</v>
      </c>
      <c r="G36" s="62">
        <f t="shared" si="0"/>
        <v>288.375</v>
      </c>
      <c r="H36" s="72">
        <f t="shared" si="11"/>
        <v>338.36</v>
      </c>
      <c r="I36" s="144">
        <v>1230.9000000000001</v>
      </c>
      <c r="J36" s="145">
        <v>1267.8270000000002</v>
      </c>
      <c r="K36" s="146">
        <v>6.2115443984076695</v>
      </c>
      <c r="L36" s="147">
        <v>8.6291412787391337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1267.8270000000002</v>
      </c>
      <c r="S36" s="62">
        <f t="shared" si="13"/>
        <v>78.751637000000017</v>
      </c>
      <c r="T36" s="63">
        <f t="shared" si="14"/>
        <v>109.40258300000001</v>
      </c>
      <c r="U36" s="64" t="s">
        <v>301</v>
      </c>
      <c r="V36" s="65" t="s">
        <v>656</v>
      </c>
      <c r="W36" s="66" t="s">
        <v>303</v>
      </c>
      <c r="X36" s="67">
        <v>2430</v>
      </c>
      <c r="Y36" s="68">
        <v>5.3</v>
      </c>
      <c r="Z36" s="68">
        <v>8.59</v>
      </c>
      <c r="AA36" s="62">
        <f t="shared" si="15"/>
        <v>128.79</v>
      </c>
      <c r="AB36" s="63">
        <f t="shared" si="16"/>
        <v>208.73700000000002</v>
      </c>
      <c r="AC36" s="69">
        <v>2430</v>
      </c>
      <c r="AD36" s="70">
        <v>5.3</v>
      </c>
      <c r="AE36" s="70">
        <v>8.6</v>
      </c>
      <c r="AF36" s="62">
        <f t="shared" si="17"/>
        <v>128.79</v>
      </c>
      <c r="AG36" s="63">
        <f t="shared" si="18"/>
        <v>208.98</v>
      </c>
      <c r="AH36" s="89">
        <v>2699</v>
      </c>
      <c r="AI36" s="66">
        <v>8.8000000000000007</v>
      </c>
      <c r="AJ36" s="66">
        <v>8.9</v>
      </c>
      <c r="AK36" s="62">
        <f t="shared" si="4"/>
        <v>237.51200000000003</v>
      </c>
      <c r="AL36" s="72">
        <f t="shared" si="5"/>
        <v>240.21100000000001</v>
      </c>
      <c r="AM36" s="73">
        <f t="shared" si="6"/>
        <v>-16.172999999999774</v>
      </c>
      <c r="AN36" s="80">
        <f t="shared" ref="AN36:AO51" si="23">+G36+S36-AF36-AK36</f>
        <v>0.82463699999999562</v>
      </c>
      <c r="AO36" s="80">
        <f t="shared" si="23"/>
        <v>-1.4284169999999961</v>
      </c>
      <c r="AP36" s="75">
        <f t="shared" si="19"/>
        <v>-3.2089633705797318E-3</v>
      </c>
      <c r="AQ36" s="76">
        <f t="shared" si="8"/>
        <v>-57.299321310000778</v>
      </c>
      <c r="AR36" s="90">
        <f t="shared" si="9"/>
        <v>-16.172999999999774</v>
      </c>
    </row>
    <row r="37" spans="1:49" x14ac:dyDescent="0.25">
      <c r="A37" t="str">
        <f t="shared" si="10"/>
        <v>46190E</v>
      </c>
      <c r="B37" s="51">
        <f t="shared" si="20"/>
        <v>46190</v>
      </c>
      <c r="C37" s="52" t="s">
        <v>88</v>
      </c>
      <c r="D37" s="91">
        <v>2699</v>
      </c>
      <c r="E37" s="62">
        <v>8.8000000000000007</v>
      </c>
      <c r="F37" s="62">
        <v>8.9</v>
      </c>
      <c r="G37" s="62">
        <f t="shared" si="0"/>
        <v>237.51200000000003</v>
      </c>
      <c r="H37" s="72">
        <f t="shared" si="11"/>
        <v>240.21100000000001</v>
      </c>
      <c r="I37" s="144">
        <v>1147.7</v>
      </c>
      <c r="J37" s="145">
        <v>1182.1310000000001</v>
      </c>
      <c r="K37" s="146">
        <v>5.3220702274113432</v>
      </c>
      <c r="L37" s="147">
        <v>8.4611309575673097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1182.1310000000001</v>
      </c>
      <c r="S37" s="62">
        <f t="shared" si="13"/>
        <v>62.913841999999995</v>
      </c>
      <c r="T37" s="63">
        <f t="shared" si="14"/>
        <v>100.02165200000003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89">
        <v>3888</v>
      </c>
      <c r="AI37" s="66">
        <v>7.7</v>
      </c>
      <c r="AJ37" s="66">
        <v>8.8000000000000007</v>
      </c>
      <c r="AK37" s="62">
        <f t="shared" si="4"/>
        <v>299.37599999999998</v>
      </c>
      <c r="AL37" s="72">
        <f t="shared" si="5"/>
        <v>342.14400000000006</v>
      </c>
      <c r="AM37" s="73">
        <f t="shared" si="6"/>
        <v>-6.8689999999996871</v>
      </c>
      <c r="AN37" s="80">
        <f t="shared" si="23"/>
        <v>1.0498420000000692</v>
      </c>
      <c r="AO37" s="80">
        <f t="shared" si="23"/>
        <v>-1.9113480000000322</v>
      </c>
      <c r="AP37" s="75">
        <f t="shared" si="19"/>
        <v>-5.2874053335485198E-3</v>
      </c>
      <c r="AQ37" s="76">
        <f t="shared" si="8"/>
        <v>-100.73091489997864</v>
      </c>
      <c r="AR37" s="90">
        <f t="shared" si="9"/>
        <v>-6.8689999999996871</v>
      </c>
    </row>
    <row r="38" spans="1:49" x14ac:dyDescent="0.25">
      <c r="A38" t="str">
        <f t="shared" si="10"/>
        <v>46191M</v>
      </c>
      <c r="B38" s="51">
        <f t="shared" si="20"/>
        <v>46191</v>
      </c>
      <c r="C38" s="52" t="s">
        <v>87</v>
      </c>
      <c r="D38" s="91">
        <v>3888</v>
      </c>
      <c r="E38" s="62">
        <v>7.7</v>
      </c>
      <c r="F38" s="62">
        <v>8.8000000000000007</v>
      </c>
      <c r="G38" s="62">
        <f t="shared" si="0"/>
        <v>299.37599999999998</v>
      </c>
      <c r="H38" s="72">
        <f t="shared" si="11"/>
        <v>342.14400000000006</v>
      </c>
      <c r="I38" s="144">
        <v>1129.5000000000002</v>
      </c>
      <c r="J38" s="145">
        <v>1163.3850000000002</v>
      </c>
      <c r="K38" s="146">
        <v>5.9201062416998642</v>
      </c>
      <c r="L38" s="147">
        <v>8.5865427180168226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1163.3850000000002</v>
      </c>
      <c r="S38" s="62">
        <f t="shared" si="13"/>
        <v>68.873627999999982</v>
      </c>
      <c r="T38" s="63">
        <f t="shared" si="14"/>
        <v>99.894550000000024</v>
      </c>
      <c r="U38" s="64" t="s">
        <v>301</v>
      </c>
      <c r="V38" s="65" t="s">
        <v>657</v>
      </c>
      <c r="W38" s="66" t="s">
        <v>303</v>
      </c>
      <c r="X38" s="67">
        <v>2329</v>
      </c>
      <c r="Y38" s="68">
        <v>5.2</v>
      </c>
      <c r="Z38" s="68">
        <v>8.6</v>
      </c>
      <c r="AA38" s="62">
        <f t="shared" si="15"/>
        <v>121.108</v>
      </c>
      <c r="AB38" s="63">
        <f t="shared" si="16"/>
        <v>200.29399999999998</v>
      </c>
      <c r="AC38" s="226">
        <v>2329</v>
      </c>
      <c r="AD38" s="227">
        <v>5.2</v>
      </c>
      <c r="AE38" s="227">
        <v>8.6</v>
      </c>
      <c r="AF38" s="62">
        <f t="shared" si="17"/>
        <v>121.108</v>
      </c>
      <c r="AG38" s="63">
        <f t="shared" si="18"/>
        <v>200.29399999999998</v>
      </c>
      <c r="AH38" s="89">
        <v>2737</v>
      </c>
      <c r="AI38" s="66">
        <v>8.9</v>
      </c>
      <c r="AJ38" s="66">
        <v>8.9</v>
      </c>
      <c r="AK38" s="62">
        <f t="shared" si="4"/>
        <v>243.59300000000002</v>
      </c>
      <c r="AL38" s="72">
        <f t="shared" si="5"/>
        <v>243.59300000000002</v>
      </c>
      <c r="AM38" s="73">
        <f t="shared" si="6"/>
        <v>-14.614999999999782</v>
      </c>
      <c r="AN38" s="80">
        <f t="shared" si="23"/>
        <v>3.548627999999951</v>
      </c>
      <c r="AO38" s="80">
        <f t="shared" si="23"/>
        <v>-1.8484499999999002</v>
      </c>
      <c r="AP38" s="75">
        <f t="shared" si="19"/>
        <v>1.0074043697977535E-2</v>
      </c>
      <c r="AQ38" s="76">
        <f t="shared" si="8"/>
        <v>1039.822802480008</v>
      </c>
      <c r="AR38" s="90">
        <f t="shared" si="9"/>
        <v>-14.614999999999782</v>
      </c>
    </row>
    <row r="39" spans="1:49" x14ac:dyDescent="0.25">
      <c r="A39" t="str">
        <f t="shared" si="10"/>
        <v>46191E</v>
      </c>
      <c r="B39" s="51">
        <f t="shared" si="20"/>
        <v>46191</v>
      </c>
      <c r="C39" s="52" t="s">
        <v>88</v>
      </c>
      <c r="D39" s="91">
        <v>2737</v>
      </c>
      <c r="E39" s="62">
        <v>8.9</v>
      </c>
      <c r="F39" s="62">
        <v>8.9</v>
      </c>
      <c r="G39" s="62">
        <f t="shared" si="0"/>
        <v>243.59300000000002</v>
      </c>
      <c r="H39" s="72">
        <f t="shared" si="11"/>
        <v>243.59300000000002</v>
      </c>
      <c r="I39" s="144">
        <v>1346.3999999999996</v>
      </c>
      <c r="J39" s="145">
        <v>1386.7919999999997</v>
      </c>
      <c r="K39" s="146">
        <v>5.1993538324420676</v>
      </c>
      <c r="L39" s="147">
        <v>8.4340834818776003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1386.7919999999997</v>
      </c>
      <c r="S39" s="62">
        <f t="shared" si="13"/>
        <v>72.104222999999976</v>
      </c>
      <c r="T39" s="63">
        <f t="shared" si="14"/>
        <v>116.963195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89">
        <v>4150</v>
      </c>
      <c r="AI39" s="66">
        <v>7.6</v>
      </c>
      <c r="AJ39" s="66">
        <v>8.6999999999999993</v>
      </c>
      <c r="AK39" s="62">
        <f t="shared" si="4"/>
        <v>315.39999999999998</v>
      </c>
      <c r="AL39" s="72">
        <f t="shared" si="5"/>
        <v>361.04999999999995</v>
      </c>
      <c r="AM39" s="73">
        <f t="shared" si="6"/>
        <v>-26.208000000000538</v>
      </c>
      <c r="AN39" s="80">
        <f t="shared" si="23"/>
        <v>0.29722300000003088</v>
      </c>
      <c r="AO39" s="80">
        <f t="shared" si="23"/>
        <v>-0.49380499999995209</v>
      </c>
      <c r="AP39" s="75">
        <f t="shared" si="19"/>
        <v>-1.0397455155383845E-3</v>
      </c>
      <c r="AQ39" s="76">
        <f t="shared" si="8"/>
        <v>-14.356291436638486</v>
      </c>
      <c r="AR39" s="90">
        <f t="shared" si="9"/>
        <v>-26.208000000000538</v>
      </c>
      <c r="AS39" s="90">
        <f>SUM(J26:J39)</f>
        <v>17162.560400000002</v>
      </c>
      <c r="AT39" s="83">
        <f>SUM(AM26:AM39)</f>
        <v>-116.43959999999879</v>
      </c>
      <c r="AU39" s="83">
        <f>SUM(AN26:AN39)</f>
        <v>6.1898473999999339</v>
      </c>
      <c r="AV39" s="83">
        <f>SUM(AO26:AO39)</f>
        <v>3.8823022000000549</v>
      </c>
      <c r="AW39" s="83">
        <f>-SUM(AQ26:AQ39)</f>
        <v>-3940.5539167353209</v>
      </c>
    </row>
    <row r="40" spans="1:49" x14ac:dyDescent="0.25">
      <c r="A40" t="str">
        <f t="shared" si="10"/>
        <v>46192M</v>
      </c>
      <c r="B40" s="51">
        <f t="shared" si="20"/>
        <v>46192</v>
      </c>
      <c r="C40" s="52" t="s">
        <v>87</v>
      </c>
      <c r="D40" s="91"/>
      <c r="E40" s="62"/>
      <c r="F40" s="62"/>
      <c r="G40" s="62">
        <f t="shared" si="0"/>
        <v>0</v>
      </c>
      <c r="H40" s="72">
        <f t="shared" si="11"/>
        <v>0</v>
      </c>
      <c r="I40" s="144"/>
      <c r="J40" s="145"/>
      <c r="K40" s="146"/>
      <c r="L40" s="147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89"/>
      <c r="AI40" s="66"/>
      <c r="AJ40" s="66"/>
      <c r="AK40" s="62">
        <f t="shared" si="4"/>
        <v>0</v>
      </c>
      <c r="AL40" s="72">
        <f t="shared" si="5"/>
        <v>0</v>
      </c>
      <c r="AM40" s="73">
        <f t="shared" si="6"/>
        <v>0</v>
      </c>
      <c r="AN40" s="80">
        <f t="shared" si="23"/>
        <v>0</v>
      </c>
      <c r="AO40" s="80">
        <f t="shared" si="23"/>
        <v>0</v>
      </c>
      <c r="AP40" s="75" t="e">
        <f t="shared" si="19"/>
        <v>#DIV/0!</v>
      </c>
      <c r="AQ40" s="76">
        <f t="shared" si="8"/>
        <v>0</v>
      </c>
      <c r="AR40" s="90">
        <f t="shared" si="9"/>
        <v>0</v>
      </c>
    </row>
    <row r="41" spans="1:49" x14ac:dyDescent="0.25">
      <c r="A41" t="str">
        <f t="shared" si="10"/>
        <v>46192E</v>
      </c>
      <c r="B41" s="51">
        <f t="shared" si="20"/>
        <v>46192</v>
      </c>
      <c r="C41" s="52" t="s">
        <v>88</v>
      </c>
      <c r="D41" s="91"/>
      <c r="E41" s="62"/>
      <c r="F41" s="62"/>
      <c r="G41" s="62">
        <f t="shared" si="0"/>
        <v>0</v>
      </c>
      <c r="H41" s="72">
        <f t="shared" si="11"/>
        <v>0</v>
      </c>
      <c r="I41" s="144"/>
      <c r="J41" s="145"/>
      <c r="K41" s="146"/>
      <c r="L41" s="147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89"/>
      <c r="AI41" s="66"/>
      <c r="AJ41" s="66"/>
      <c r="AK41" s="62">
        <f t="shared" si="4"/>
        <v>0</v>
      </c>
      <c r="AL41" s="72">
        <f t="shared" si="5"/>
        <v>0</v>
      </c>
      <c r="AM41" s="73">
        <f t="shared" si="6"/>
        <v>0</v>
      </c>
      <c r="AN41" s="80">
        <f t="shared" si="23"/>
        <v>0</v>
      </c>
      <c r="AO41" s="80">
        <f t="shared" si="23"/>
        <v>0</v>
      </c>
      <c r="AP41" s="75" t="e">
        <f t="shared" si="19"/>
        <v>#DIV/0!</v>
      </c>
      <c r="AQ41" s="76">
        <f t="shared" si="8"/>
        <v>0</v>
      </c>
      <c r="AR41" s="90">
        <f t="shared" si="9"/>
        <v>0</v>
      </c>
    </row>
    <row r="42" spans="1:49" x14ac:dyDescent="0.25">
      <c r="A42" t="str">
        <f t="shared" si="10"/>
        <v>46193M</v>
      </c>
      <c r="B42" s="51">
        <f t="shared" si="20"/>
        <v>46193</v>
      </c>
      <c r="C42" s="52" t="s">
        <v>87</v>
      </c>
      <c r="D42" s="91"/>
      <c r="E42" s="62"/>
      <c r="F42" s="62"/>
      <c r="G42" s="62">
        <f t="shared" si="0"/>
        <v>0</v>
      </c>
      <c r="H42" s="72">
        <f t="shared" si="11"/>
        <v>0</v>
      </c>
      <c r="I42" s="144"/>
      <c r="J42" s="145"/>
      <c r="K42" s="146"/>
      <c r="L42" s="147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89"/>
      <c r="AI42" s="66"/>
      <c r="AJ42" s="66"/>
      <c r="AK42" s="62">
        <f t="shared" si="4"/>
        <v>0</v>
      </c>
      <c r="AL42" s="72">
        <f t="shared" si="5"/>
        <v>0</v>
      </c>
      <c r="AM42" s="73">
        <f t="shared" si="6"/>
        <v>0</v>
      </c>
      <c r="AN42" s="80">
        <f t="shared" si="23"/>
        <v>0</v>
      </c>
      <c r="AO42" s="80">
        <f t="shared" si="23"/>
        <v>0</v>
      </c>
      <c r="AP42" s="75" t="e">
        <f t="shared" si="19"/>
        <v>#DIV/0!</v>
      </c>
      <c r="AQ42" s="76">
        <f t="shared" si="8"/>
        <v>0</v>
      </c>
      <c r="AR42" s="90">
        <f t="shared" si="9"/>
        <v>0</v>
      </c>
    </row>
    <row r="43" spans="1:49" x14ac:dyDescent="0.25">
      <c r="A43" t="str">
        <f t="shared" si="10"/>
        <v>46193E</v>
      </c>
      <c r="B43" s="51">
        <f t="shared" si="20"/>
        <v>46193</v>
      </c>
      <c r="C43" s="52" t="s">
        <v>88</v>
      </c>
      <c r="D43" s="91"/>
      <c r="E43" s="62"/>
      <c r="F43" s="62"/>
      <c r="G43" s="62">
        <f t="shared" si="0"/>
        <v>0</v>
      </c>
      <c r="H43" s="72">
        <f t="shared" si="11"/>
        <v>0</v>
      </c>
      <c r="I43" s="144"/>
      <c r="J43" s="145"/>
      <c r="K43" s="146"/>
      <c r="L43" s="147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89"/>
      <c r="AI43" s="66"/>
      <c r="AJ43" s="66"/>
      <c r="AK43" s="62">
        <f t="shared" si="4"/>
        <v>0</v>
      </c>
      <c r="AL43" s="72">
        <f t="shared" si="5"/>
        <v>0</v>
      </c>
      <c r="AM43" s="73">
        <f t="shared" si="6"/>
        <v>0</v>
      </c>
      <c r="AN43" s="80">
        <f t="shared" si="23"/>
        <v>0</v>
      </c>
      <c r="AO43" s="80">
        <f t="shared" si="23"/>
        <v>0</v>
      </c>
      <c r="AP43" s="75" t="e">
        <f t="shared" si="19"/>
        <v>#DIV/0!</v>
      </c>
      <c r="AQ43" s="76">
        <f t="shared" si="8"/>
        <v>0</v>
      </c>
      <c r="AR43" s="90">
        <f t="shared" si="9"/>
        <v>0</v>
      </c>
    </row>
    <row r="44" spans="1:49" x14ac:dyDescent="0.25">
      <c r="A44" t="str">
        <f t="shared" si="10"/>
        <v>46194M</v>
      </c>
      <c r="B44" s="51">
        <f t="shared" si="20"/>
        <v>46194</v>
      </c>
      <c r="C44" s="52" t="s">
        <v>87</v>
      </c>
      <c r="D44" s="91"/>
      <c r="E44" s="62"/>
      <c r="F44" s="62"/>
      <c r="G44" s="62">
        <f t="shared" si="0"/>
        <v>0</v>
      </c>
      <c r="H44" s="72">
        <f t="shared" si="11"/>
        <v>0</v>
      </c>
      <c r="I44" s="144"/>
      <c r="J44" s="145"/>
      <c r="K44" s="146"/>
      <c r="L44" s="147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89"/>
      <c r="AI44" s="66"/>
      <c r="AJ44" s="66"/>
      <c r="AK44" s="62">
        <f t="shared" si="4"/>
        <v>0</v>
      </c>
      <c r="AL44" s="72">
        <f t="shared" si="5"/>
        <v>0</v>
      </c>
      <c r="AM44" s="73">
        <f t="shared" si="6"/>
        <v>0</v>
      </c>
      <c r="AN44" s="80">
        <f t="shared" si="23"/>
        <v>0</v>
      </c>
      <c r="AO44" s="80">
        <f t="shared" si="23"/>
        <v>0</v>
      </c>
      <c r="AP44" s="75" t="e">
        <f t="shared" si="19"/>
        <v>#DIV/0!</v>
      </c>
      <c r="AQ44" s="76">
        <f t="shared" si="8"/>
        <v>0</v>
      </c>
      <c r="AR44" s="90">
        <f t="shared" si="9"/>
        <v>0</v>
      </c>
    </row>
    <row r="45" spans="1:49" x14ac:dyDescent="0.25">
      <c r="A45" t="str">
        <f t="shared" si="10"/>
        <v>46194E</v>
      </c>
      <c r="B45" s="51">
        <f t="shared" si="20"/>
        <v>46194</v>
      </c>
      <c r="C45" s="52" t="s">
        <v>88</v>
      </c>
      <c r="D45" s="91"/>
      <c r="E45" s="62"/>
      <c r="F45" s="62"/>
      <c r="G45" s="62">
        <f t="shared" si="0"/>
        <v>0</v>
      </c>
      <c r="H45" s="72">
        <f t="shared" si="11"/>
        <v>0</v>
      </c>
      <c r="I45" s="144"/>
      <c r="J45" s="145"/>
      <c r="K45" s="146"/>
      <c r="L45" s="147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89"/>
      <c r="AI45" s="66"/>
      <c r="AJ45" s="66"/>
      <c r="AK45" s="62">
        <f t="shared" si="4"/>
        <v>0</v>
      </c>
      <c r="AL45" s="72">
        <f t="shared" si="5"/>
        <v>0</v>
      </c>
      <c r="AM45" s="73">
        <f t="shared" si="6"/>
        <v>0</v>
      </c>
      <c r="AN45" s="80">
        <f t="shared" si="23"/>
        <v>0</v>
      </c>
      <c r="AO45" s="80">
        <f t="shared" si="23"/>
        <v>0</v>
      </c>
      <c r="AP45" s="75" t="e">
        <f t="shared" si="19"/>
        <v>#DIV/0!</v>
      </c>
      <c r="AQ45" s="76">
        <f t="shared" si="8"/>
        <v>0</v>
      </c>
      <c r="AR45" s="90">
        <f t="shared" si="9"/>
        <v>0</v>
      </c>
    </row>
    <row r="46" spans="1:49" x14ac:dyDescent="0.25">
      <c r="A46" t="str">
        <f t="shared" si="10"/>
        <v>46195M</v>
      </c>
      <c r="B46" s="51">
        <f t="shared" si="20"/>
        <v>46195</v>
      </c>
      <c r="C46" s="52" t="s">
        <v>87</v>
      </c>
      <c r="D46" s="91"/>
      <c r="E46" s="62"/>
      <c r="F46" s="62"/>
      <c r="G46" s="62">
        <f t="shared" si="0"/>
        <v>0</v>
      </c>
      <c r="H46" s="72">
        <f t="shared" si="11"/>
        <v>0</v>
      </c>
      <c r="I46" s="144"/>
      <c r="J46" s="145"/>
      <c r="K46" s="146"/>
      <c r="L46" s="147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89"/>
      <c r="AI46" s="66"/>
      <c r="AJ46" s="66"/>
      <c r="AK46" s="62">
        <f t="shared" si="4"/>
        <v>0</v>
      </c>
      <c r="AL46" s="72">
        <f t="shared" si="5"/>
        <v>0</v>
      </c>
      <c r="AM46" s="73">
        <f t="shared" si="6"/>
        <v>0</v>
      </c>
      <c r="AN46" s="80">
        <f t="shared" si="23"/>
        <v>0</v>
      </c>
      <c r="AO46" s="80">
        <f t="shared" si="23"/>
        <v>0</v>
      </c>
      <c r="AP46" s="75" t="e">
        <f t="shared" si="19"/>
        <v>#DIV/0!</v>
      </c>
      <c r="AQ46" s="76">
        <f t="shared" si="8"/>
        <v>0</v>
      </c>
      <c r="AR46" s="90">
        <f t="shared" si="9"/>
        <v>0</v>
      </c>
    </row>
    <row r="47" spans="1:49" x14ac:dyDescent="0.25">
      <c r="A47" t="str">
        <f t="shared" si="10"/>
        <v>46195E</v>
      </c>
      <c r="B47" s="51">
        <f t="shared" si="20"/>
        <v>46195</v>
      </c>
      <c r="C47" s="52" t="s">
        <v>88</v>
      </c>
      <c r="D47" s="91"/>
      <c r="E47" s="62"/>
      <c r="F47" s="62"/>
      <c r="G47" s="62">
        <f t="shared" si="0"/>
        <v>0</v>
      </c>
      <c r="H47" s="72">
        <f t="shared" si="11"/>
        <v>0</v>
      </c>
      <c r="I47" s="144"/>
      <c r="J47" s="145"/>
      <c r="K47" s="146"/>
      <c r="L47" s="147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89"/>
      <c r="AI47" s="66"/>
      <c r="AJ47" s="66"/>
      <c r="AK47" s="62">
        <f t="shared" si="4"/>
        <v>0</v>
      </c>
      <c r="AL47" s="72">
        <f t="shared" si="5"/>
        <v>0</v>
      </c>
      <c r="AM47" s="73">
        <f t="shared" si="6"/>
        <v>0</v>
      </c>
      <c r="AN47" s="80">
        <f t="shared" si="23"/>
        <v>0</v>
      </c>
      <c r="AO47" s="80">
        <f t="shared" si="23"/>
        <v>0</v>
      </c>
      <c r="AP47" s="75" t="e">
        <f t="shared" si="19"/>
        <v>#DIV/0!</v>
      </c>
      <c r="AQ47" s="76">
        <f t="shared" si="8"/>
        <v>0</v>
      </c>
      <c r="AR47" s="90">
        <f t="shared" si="9"/>
        <v>0</v>
      </c>
      <c r="AS47" s="90">
        <f>SUM(J34:J47)</f>
        <v>7379.3114000000005</v>
      </c>
      <c r="AT47" s="83">
        <f>SUM(AM34:AM47)</f>
        <v>-46.688599999999497</v>
      </c>
      <c r="AU47" s="83">
        <f>SUM(AN34:AN47)</f>
        <v>6.8576064000000372</v>
      </c>
      <c r="AV47" s="83">
        <f>SUM(AO34:AO47)</f>
        <v>-2.0457417999998597</v>
      </c>
      <c r="AW47" s="83">
        <f>-SUM(AQ34:AQ47)</f>
        <v>-2466.2121213987257</v>
      </c>
    </row>
    <row r="48" spans="1:49" x14ac:dyDescent="0.25">
      <c r="A48" t="str">
        <f t="shared" si="10"/>
        <v>46196M</v>
      </c>
      <c r="B48" s="51">
        <f t="shared" si="20"/>
        <v>46196</v>
      </c>
      <c r="C48" s="99" t="s">
        <v>87</v>
      </c>
      <c r="D48" s="91"/>
      <c r="E48" s="62"/>
      <c r="F48" s="62"/>
      <c r="G48" s="62">
        <f t="shared" si="0"/>
        <v>0</v>
      </c>
      <c r="H48" s="72">
        <f t="shared" si="11"/>
        <v>0</v>
      </c>
      <c r="I48" s="144"/>
      <c r="J48" s="145"/>
      <c r="K48" s="146"/>
      <c r="L48" s="147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89"/>
      <c r="AI48" s="66"/>
      <c r="AJ48" s="66"/>
      <c r="AK48" s="62">
        <f t="shared" si="4"/>
        <v>0</v>
      </c>
      <c r="AL48" s="72">
        <f t="shared" si="5"/>
        <v>0</v>
      </c>
      <c r="AM48" s="73">
        <f t="shared" si="6"/>
        <v>0</v>
      </c>
      <c r="AN48" s="80">
        <f t="shared" si="23"/>
        <v>0</v>
      </c>
      <c r="AO48" s="80">
        <f t="shared" si="23"/>
        <v>0</v>
      </c>
      <c r="AP48" s="75" t="e">
        <f t="shared" si="19"/>
        <v>#DIV/0!</v>
      </c>
      <c r="AQ48" s="76">
        <f t="shared" si="8"/>
        <v>0</v>
      </c>
      <c r="AR48" s="90">
        <f t="shared" si="9"/>
        <v>0</v>
      </c>
    </row>
    <row r="49" spans="1:49" x14ac:dyDescent="0.25">
      <c r="A49" t="str">
        <f t="shared" si="10"/>
        <v>46196E</v>
      </c>
      <c r="B49" s="51">
        <f t="shared" si="20"/>
        <v>46196</v>
      </c>
      <c r="C49" s="52" t="s">
        <v>88</v>
      </c>
      <c r="D49" s="91"/>
      <c r="E49" s="62"/>
      <c r="F49" s="62"/>
      <c r="G49" s="62">
        <f t="shared" si="0"/>
        <v>0</v>
      </c>
      <c r="H49" s="72">
        <f t="shared" si="11"/>
        <v>0</v>
      </c>
      <c r="I49" s="144"/>
      <c r="J49" s="145"/>
      <c r="K49" s="146"/>
      <c r="L49" s="147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89"/>
      <c r="AI49" s="66"/>
      <c r="AJ49" s="66"/>
      <c r="AK49" s="62">
        <f t="shared" si="4"/>
        <v>0</v>
      </c>
      <c r="AL49" s="72">
        <f t="shared" si="5"/>
        <v>0</v>
      </c>
      <c r="AM49" s="73">
        <f t="shared" si="6"/>
        <v>0</v>
      </c>
      <c r="AN49" s="80">
        <f t="shared" si="23"/>
        <v>0</v>
      </c>
      <c r="AO49" s="80">
        <f t="shared" si="23"/>
        <v>0</v>
      </c>
      <c r="AP49" s="75" t="e">
        <f t="shared" si="19"/>
        <v>#DIV/0!</v>
      </c>
      <c r="AQ49" s="76">
        <f t="shared" si="8"/>
        <v>0</v>
      </c>
      <c r="AR49" s="90">
        <f t="shared" si="9"/>
        <v>0</v>
      </c>
      <c r="AS49" s="90">
        <f>SUM(J36:J49)</f>
        <v>5000.1350000000002</v>
      </c>
      <c r="AT49" s="83">
        <f>SUM(AM36:AM49)</f>
        <v>-63.864999999999782</v>
      </c>
      <c r="AU49" s="83">
        <f>SUM(AN36:AN49)</f>
        <v>5.7203300000000468</v>
      </c>
      <c r="AV49" s="83">
        <f>SUM(AO36:AO49)</f>
        <v>-5.6820199999998806</v>
      </c>
      <c r="AW49" s="83">
        <f>-SUM(AQ36:AQ49)</f>
        <v>-867.43627483339014</v>
      </c>
    </row>
    <row r="50" spans="1:49" x14ac:dyDescent="0.25">
      <c r="A50" t="str">
        <f t="shared" si="10"/>
        <v>46197M</v>
      </c>
      <c r="B50" s="51">
        <f t="shared" si="20"/>
        <v>46197</v>
      </c>
      <c r="C50" s="52" t="s">
        <v>87</v>
      </c>
      <c r="D50" s="91"/>
      <c r="E50" s="62"/>
      <c r="F50" s="62"/>
      <c r="G50" s="62">
        <f t="shared" si="0"/>
        <v>0</v>
      </c>
      <c r="H50" s="72">
        <f t="shared" si="11"/>
        <v>0</v>
      </c>
      <c r="I50" s="144"/>
      <c r="J50" s="145"/>
      <c r="K50" s="146"/>
      <c r="L50" s="147"/>
      <c r="M50" s="58"/>
      <c r="N50" s="58"/>
      <c r="O50" s="59"/>
      <c r="P50" s="56"/>
      <c r="Q50" s="60"/>
      <c r="R50" s="61">
        <f t="shared" si="12"/>
        <v>0</v>
      </c>
      <c r="S50" s="62">
        <f t="shared" si="13"/>
        <v>0</v>
      </c>
      <c r="T50" s="63">
        <f t="shared" si="14"/>
        <v>0</v>
      </c>
      <c r="U50" s="64"/>
      <c r="V50" s="65"/>
      <c r="W50" s="66"/>
      <c r="X50" s="67"/>
      <c r="Y50" s="68"/>
      <c r="Z50" s="68"/>
      <c r="AA50" s="62">
        <f t="shared" si="15"/>
        <v>0</v>
      </c>
      <c r="AB50" s="63">
        <f t="shared" si="1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89"/>
      <c r="AI50" s="66"/>
      <c r="AJ50" s="66"/>
      <c r="AK50" s="62">
        <f t="shared" si="4"/>
        <v>0</v>
      </c>
      <c r="AL50" s="72">
        <f t="shared" si="5"/>
        <v>0</v>
      </c>
      <c r="AM50" s="73">
        <f t="shared" si="6"/>
        <v>0</v>
      </c>
      <c r="AN50" s="80">
        <f t="shared" si="23"/>
        <v>0</v>
      </c>
      <c r="AO50" s="80">
        <f t="shared" si="23"/>
        <v>0</v>
      </c>
      <c r="AP50" s="75" t="e">
        <f t="shared" si="19"/>
        <v>#DIV/0!</v>
      </c>
      <c r="AQ50" s="76">
        <f t="shared" si="8"/>
        <v>0</v>
      </c>
      <c r="AR50" s="90">
        <f t="shared" si="9"/>
        <v>0</v>
      </c>
    </row>
    <row r="51" spans="1:49" x14ac:dyDescent="0.25">
      <c r="A51" t="str">
        <f t="shared" si="10"/>
        <v>46197E</v>
      </c>
      <c r="B51" s="51">
        <f t="shared" si="20"/>
        <v>46197</v>
      </c>
      <c r="C51" s="52" t="s">
        <v>88</v>
      </c>
      <c r="D51" s="91"/>
      <c r="E51" s="62"/>
      <c r="F51" s="62"/>
      <c r="G51" s="62">
        <f t="shared" si="0"/>
        <v>0</v>
      </c>
      <c r="H51" s="72">
        <f t="shared" si="11"/>
        <v>0</v>
      </c>
      <c r="I51" s="144"/>
      <c r="J51" s="145"/>
      <c r="K51" s="146"/>
      <c r="L51" s="147"/>
      <c r="M51" s="58"/>
      <c r="N51" s="58"/>
      <c r="O51" s="59"/>
      <c r="P51" s="56"/>
      <c r="Q51" s="60"/>
      <c r="R51" s="61">
        <f t="shared" si="12"/>
        <v>0</v>
      </c>
      <c r="S51" s="62">
        <f t="shared" si="13"/>
        <v>0</v>
      </c>
      <c r="T51" s="63">
        <f t="shared" si="14"/>
        <v>0</v>
      </c>
      <c r="U51" s="64"/>
      <c r="V51" s="65"/>
      <c r="W51" s="66"/>
      <c r="X51" s="67"/>
      <c r="Y51" s="68"/>
      <c r="Z51" s="68"/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89"/>
      <c r="AI51" s="66"/>
      <c r="AJ51" s="66"/>
      <c r="AK51" s="62">
        <f t="shared" si="4"/>
        <v>0</v>
      </c>
      <c r="AL51" s="72">
        <f t="shared" si="5"/>
        <v>0</v>
      </c>
      <c r="AM51" s="73">
        <f t="shared" si="6"/>
        <v>0</v>
      </c>
      <c r="AN51" s="80">
        <f t="shared" si="23"/>
        <v>0</v>
      </c>
      <c r="AO51" s="80">
        <f t="shared" si="23"/>
        <v>0</v>
      </c>
      <c r="AP51" s="75" t="e">
        <f t="shared" si="19"/>
        <v>#DIV/0!</v>
      </c>
      <c r="AQ51" s="76">
        <f t="shared" si="8"/>
        <v>0</v>
      </c>
      <c r="AR51" s="90">
        <f t="shared" si="9"/>
        <v>0</v>
      </c>
    </row>
    <row r="52" spans="1:49" x14ac:dyDescent="0.25">
      <c r="A52" t="str">
        <f t="shared" si="10"/>
        <v>46198M</v>
      </c>
      <c r="B52" s="51">
        <f t="shared" si="20"/>
        <v>46198</v>
      </c>
      <c r="C52" s="52" t="s">
        <v>87</v>
      </c>
      <c r="D52" s="91"/>
      <c r="E52" s="62"/>
      <c r="F52" s="62"/>
      <c r="G52" s="62">
        <f t="shared" si="0"/>
        <v>0</v>
      </c>
      <c r="H52" s="72">
        <f t="shared" si="11"/>
        <v>0</v>
      </c>
      <c r="I52" s="144"/>
      <c r="J52" s="145"/>
      <c r="K52" s="146"/>
      <c r="L52" s="147"/>
      <c r="M52" s="58"/>
      <c r="N52" s="58"/>
      <c r="O52" s="59"/>
      <c r="P52" s="56"/>
      <c r="Q52" s="60"/>
      <c r="R52" s="61">
        <f t="shared" si="12"/>
        <v>0</v>
      </c>
      <c r="S52" s="62">
        <f t="shared" si="13"/>
        <v>0</v>
      </c>
      <c r="T52" s="63">
        <f t="shared" si="14"/>
        <v>0</v>
      </c>
      <c r="U52" s="64"/>
      <c r="V52" s="65"/>
      <c r="W52" s="66"/>
      <c r="X52" s="67"/>
      <c r="Y52" s="68"/>
      <c r="Z52" s="68"/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17"/>
        <v>0</v>
      </c>
      <c r="AG52" s="63">
        <f t="shared" si="18"/>
        <v>0</v>
      </c>
      <c r="AH52" s="89"/>
      <c r="AI52" s="66"/>
      <c r="AJ52" s="66"/>
      <c r="AK52" s="62">
        <f t="shared" si="4"/>
        <v>0</v>
      </c>
      <c r="AL52" s="72">
        <f t="shared" si="5"/>
        <v>0</v>
      </c>
      <c r="AM52" s="73">
        <f t="shared" si="6"/>
        <v>0</v>
      </c>
      <c r="AN52" s="80">
        <f t="shared" ref="AN52:AO65" si="24">+G52+S52-AF52-AK52</f>
        <v>0</v>
      </c>
      <c r="AO52" s="80">
        <f t="shared" si="24"/>
        <v>0</v>
      </c>
      <c r="AP52" s="75" t="e">
        <f t="shared" si="19"/>
        <v>#DIV/0!</v>
      </c>
      <c r="AQ52" s="76">
        <f t="shared" si="8"/>
        <v>0</v>
      </c>
      <c r="AR52" s="90">
        <f t="shared" si="9"/>
        <v>0</v>
      </c>
    </row>
    <row r="53" spans="1:49" x14ac:dyDescent="0.25">
      <c r="A53" t="str">
        <f t="shared" si="10"/>
        <v>46198E</v>
      </c>
      <c r="B53" s="51">
        <f t="shared" si="20"/>
        <v>46198</v>
      </c>
      <c r="C53" s="52" t="s">
        <v>88</v>
      </c>
      <c r="D53" s="91"/>
      <c r="E53" s="62"/>
      <c r="F53" s="62"/>
      <c r="G53" s="62">
        <f t="shared" si="0"/>
        <v>0</v>
      </c>
      <c r="H53" s="72">
        <f t="shared" si="11"/>
        <v>0</v>
      </c>
      <c r="I53" s="144"/>
      <c r="J53" s="145"/>
      <c r="K53" s="146"/>
      <c r="L53" s="147"/>
      <c r="M53" s="58"/>
      <c r="N53" s="58"/>
      <c r="O53" s="59"/>
      <c r="P53" s="56"/>
      <c r="Q53" s="60"/>
      <c r="R53" s="61">
        <f t="shared" si="12"/>
        <v>0</v>
      </c>
      <c r="S53" s="62">
        <f t="shared" si="13"/>
        <v>0</v>
      </c>
      <c r="T53" s="63">
        <f t="shared" si="14"/>
        <v>0</v>
      </c>
      <c r="U53" s="64"/>
      <c r="V53" s="65"/>
      <c r="W53" s="66"/>
      <c r="X53" s="67"/>
      <c r="Y53" s="68"/>
      <c r="Z53" s="68"/>
      <c r="AA53" s="62">
        <f t="shared" si="15"/>
        <v>0</v>
      </c>
      <c r="AB53" s="63">
        <f t="shared" si="16"/>
        <v>0</v>
      </c>
      <c r="AC53" s="69"/>
      <c r="AD53" s="70"/>
      <c r="AE53" s="70"/>
      <c r="AF53" s="62">
        <f t="shared" si="17"/>
        <v>0</v>
      </c>
      <c r="AG53" s="63">
        <f t="shared" si="18"/>
        <v>0</v>
      </c>
      <c r="AH53" s="89"/>
      <c r="AI53" s="66"/>
      <c r="AJ53" s="66"/>
      <c r="AK53" s="62">
        <f t="shared" si="4"/>
        <v>0</v>
      </c>
      <c r="AL53" s="72">
        <f t="shared" si="5"/>
        <v>0</v>
      </c>
      <c r="AM53" s="73">
        <f t="shared" si="6"/>
        <v>0</v>
      </c>
      <c r="AN53" s="80">
        <f t="shared" si="24"/>
        <v>0</v>
      </c>
      <c r="AO53" s="80">
        <f t="shared" si="24"/>
        <v>0</v>
      </c>
      <c r="AP53" s="75" t="e">
        <f t="shared" si="19"/>
        <v>#DIV/0!</v>
      </c>
      <c r="AQ53" s="76">
        <f t="shared" si="8"/>
        <v>0</v>
      </c>
      <c r="AR53" s="90">
        <f t="shared" si="9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0"/>
        <v>46199M</v>
      </c>
      <c r="B54" s="51">
        <f t="shared" si="20"/>
        <v>46199</v>
      </c>
      <c r="C54" s="52" t="s">
        <v>87</v>
      </c>
      <c r="D54" s="91"/>
      <c r="E54" s="62"/>
      <c r="F54" s="62"/>
      <c r="G54" s="62">
        <f t="shared" si="0"/>
        <v>0</v>
      </c>
      <c r="H54" s="72">
        <f t="shared" si="11"/>
        <v>0</v>
      </c>
      <c r="I54" s="144"/>
      <c r="J54" s="145"/>
      <c r="K54" s="146"/>
      <c r="L54" s="147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89"/>
      <c r="AI54" s="66"/>
      <c r="AJ54" s="66"/>
      <c r="AK54" s="62">
        <f t="shared" si="4"/>
        <v>0</v>
      </c>
      <c r="AL54" s="72">
        <f t="shared" si="5"/>
        <v>0</v>
      </c>
      <c r="AM54" s="73">
        <f t="shared" si="6"/>
        <v>0</v>
      </c>
      <c r="AN54" s="80">
        <f t="shared" si="24"/>
        <v>0</v>
      </c>
      <c r="AO54" s="80">
        <f t="shared" si="24"/>
        <v>0</v>
      </c>
      <c r="AP54" s="75" t="e">
        <f t="shared" si="19"/>
        <v>#DIV/0!</v>
      </c>
      <c r="AQ54" s="76">
        <f t="shared" si="8"/>
        <v>0</v>
      </c>
      <c r="AR54" s="90">
        <f t="shared" si="9"/>
        <v>0</v>
      </c>
    </row>
    <row r="55" spans="1:49" x14ac:dyDescent="0.25">
      <c r="A55" t="str">
        <f t="shared" si="10"/>
        <v>46199E</v>
      </c>
      <c r="B55" s="51">
        <f t="shared" si="20"/>
        <v>46199</v>
      </c>
      <c r="C55" s="52" t="s">
        <v>88</v>
      </c>
      <c r="D55" s="91"/>
      <c r="E55" s="62"/>
      <c r="F55" s="62"/>
      <c r="G55" s="62">
        <f t="shared" si="0"/>
        <v>0</v>
      </c>
      <c r="H55" s="72">
        <f t="shared" si="11"/>
        <v>0</v>
      </c>
      <c r="I55" s="144"/>
      <c r="J55" s="145"/>
      <c r="K55" s="146"/>
      <c r="L55" s="147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89"/>
      <c r="AI55" s="66"/>
      <c r="AJ55" s="66"/>
      <c r="AK55" s="62">
        <f t="shared" si="4"/>
        <v>0</v>
      </c>
      <c r="AL55" s="72">
        <f t="shared" si="5"/>
        <v>0</v>
      </c>
      <c r="AM55" s="73">
        <f t="shared" si="6"/>
        <v>0</v>
      </c>
      <c r="AN55" s="80">
        <f t="shared" si="24"/>
        <v>0</v>
      </c>
      <c r="AO55" s="80">
        <f t="shared" si="24"/>
        <v>0</v>
      </c>
      <c r="AP55" s="75" t="e">
        <f t="shared" si="19"/>
        <v>#DIV/0!</v>
      </c>
      <c r="AQ55" s="76">
        <f t="shared" si="8"/>
        <v>0</v>
      </c>
      <c r="AR55" s="90">
        <f t="shared" si="9"/>
        <v>0</v>
      </c>
    </row>
    <row r="56" spans="1:49" x14ac:dyDescent="0.25">
      <c r="A56" t="str">
        <f t="shared" si="10"/>
        <v>46200M</v>
      </c>
      <c r="B56" s="51">
        <f t="shared" si="20"/>
        <v>46200</v>
      </c>
      <c r="C56" s="52" t="s">
        <v>87</v>
      </c>
      <c r="D56" s="91"/>
      <c r="E56" s="62"/>
      <c r="F56" s="62"/>
      <c r="G56" s="62">
        <f t="shared" si="0"/>
        <v>0</v>
      </c>
      <c r="H56" s="72">
        <f t="shared" si="11"/>
        <v>0</v>
      </c>
      <c r="I56" s="144"/>
      <c r="J56" s="145"/>
      <c r="K56" s="146"/>
      <c r="L56" s="147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89"/>
      <c r="AI56" s="66"/>
      <c r="AJ56" s="66"/>
      <c r="AK56" s="62">
        <f t="shared" si="4"/>
        <v>0</v>
      </c>
      <c r="AL56" s="72">
        <f t="shared" si="5"/>
        <v>0</v>
      </c>
      <c r="AM56" s="73">
        <f t="shared" si="6"/>
        <v>0</v>
      </c>
      <c r="AN56" s="80">
        <f t="shared" si="24"/>
        <v>0</v>
      </c>
      <c r="AO56" s="80">
        <f t="shared" si="24"/>
        <v>0</v>
      </c>
      <c r="AP56" s="75" t="e">
        <f t="shared" si="19"/>
        <v>#DIV/0!</v>
      </c>
      <c r="AQ56" s="76">
        <f t="shared" si="8"/>
        <v>0</v>
      </c>
      <c r="AR56" s="90">
        <f t="shared" si="9"/>
        <v>0</v>
      </c>
    </row>
    <row r="57" spans="1:49" x14ac:dyDescent="0.25">
      <c r="A57" t="str">
        <f t="shared" si="10"/>
        <v>46200E</v>
      </c>
      <c r="B57" s="51">
        <f t="shared" si="20"/>
        <v>46200</v>
      </c>
      <c r="C57" s="52" t="s">
        <v>88</v>
      </c>
      <c r="D57" s="91"/>
      <c r="E57" s="62"/>
      <c r="F57" s="62"/>
      <c r="G57" s="62">
        <f t="shared" si="0"/>
        <v>0</v>
      </c>
      <c r="H57" s="72">
        <f t="shared" si="11"/>
        <v>0</v>
      </c>
      <c r="I57" s="144"/>
      <c r="J57" s="145"/>
      <c r="K57" s="146"/>
      <c r="L57" s="147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89"/>
      <c r="AI57" s="66"/>
      <c r="AJ57" s="66"/>
      <c r="AK57" s="62">
        <f t="shared" si="4"/>
        <v>0</v>
      </c>
      <c r="AL57" s="72">
        <f t="shared" si="5"/>
        <v>0</v>
      </c>
      <c r="AM57" s="73">
        <f t="shared" si="6"/>
        <v>0</v>
      </c>
      <c r="AN57" s="80">
        <f t="shared" si="24"/>
        <v>0</v>
      </c>
      <c r="AO57" s="80">
        <f t="shared" si="24"/>
        <v>0</v>
      </c>
      <c r="AP57" s="75" t="e">
        <f t="shared" si="19"/>
        <v>#DIV/0!</v>
      </c>
      <c r="AQ57" s="76">
        <f t="shared" si="8"/>
        <v>0</v>
      </c>
      <c r="AR57" s="90">
        <f t="shared" si="9"/>
        <v>0</v>
      </c>
    </row>
    <row r="58" spans="1:49" x14ac:dyDescent="0.25">
      <c r="A58" t="str">
        <f t="shared" si="10"/>
        <v>46201M</v>
      </c>
      <c r="B58" s="51">
        <f t="shared" si="20"/>
        <v>46201</v>
      </c>
      <c r="C58" s="52" t="s">
        <v>87</v>
      </c>
      <c r="D58" s="91"/>
      <c r="E58" s="62"/>
      <c r="F58" s="62"/>
      <c r="G58" s="62">
        <f t="shared" si="0"/>
        <v>0</v>
      </c>
      <c r="H58" s="72">
        <f t="shared" si="11"/>
        <v>0</v>
      </c>
      <c r="I58" s="144"/>
      <c r="J58" s="145"/>
      <c r="K58" s="146"/>
      <c r="L58" s="147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89"/>
      <c r="AI58" s="66"/>
      <c r="AJ58" s="66"/>
      <c r="AK58" s="62">
        <f t="shared" si="4"/>
        <v>0</v>
      </c>
      <c r="AL58" s="72">
        <f t="shared" si="5"/>
        <v>0</v>
      </c>
      <c r="AM58" s="73">
        <f t="shared" si="6"/>
        <v>0</v>
      </c>
      <c r="AN58" s="80">
        <f t="shared" si="24"/>
        <v>0</v>
      </c>
      <c r="AO58" s="80">
        <f t="shared" si="24"/>
        <v>0</v>
      </c>
      <c r="AP58" s="75" t="e">
        <f t="shared" si="19"/>
        <v>#DIV/0!</v>
      </c>
      <c r="AQ58" s="76">
        <f t="shared" si="8"/>
        <v>0</v>
      </c>
      <c r="AR58" s="90">
        <f t="shared" si="9"/>
        <v>0</v>
      </c>
    </row>
    <row r="59" spans="1:49" x14ac:dyDescent="0.25">
      <c r="A59" t="str">
        <f t="shared" si="10"/>
        <v>46201E</v>
      </c>
      <c r="B59" s="51">
        <f t="shared" si="20"/>
        <v>46201</v>
      </c>
      <c r="C59" s="52" t="s">
        <v>88</v>
      </c>
      <c r="D59" s="91"/>
      <c r="E59" s="62"/>
      <c r="F59" s="62"/>
      <c r="G59" s="62">
        <f t="shared" si="0"/>
        <v>0</v>
      </c>
      <c r="H59" s="72">
        <f t="shared" si="11"/>
        <v>0</v>
      </c>
      <c r="I59" s="144"/>
      <c r="J59" s="145"/>
      <c r="K59" s="146"/>
      <c r="L59" s="147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89"/>
      <c r="AI59" s="66"/>
      <c r="AJ59" s="66"/>
      <c r="AK59" s="62">
        <f t="shared" si="4"/>
        <v>0</v>
      </c>
      <c r="AL59" s="72">
        <f t="shared" si="5"/>
        <v>0</v>
      </c>
      <c r="AM59" s="73">
        <f t="shared" si="6"/>
        <v>0</v>
      </c>
      <c r="AN59" s="80">
        <f t="shared" si="24"/>
        <v>0</v>
      </c>
      <c r="AO59" s="80">
        <f t="shared" si="24"/>
        <v>0</v>
      </c>
      <c r="AP59" s="75" t="e">
        <f t="shared" si="19"/>
        <v>#DIV/0!</v>
      </c>
      <c r="AQ59" s="76">
        <f t="shared" si="8"/>
        <v>0</v>
      </c>
      <c r="AR59" s="90">
        <f t="shared" si="9"/>
        <v>0</v>
      </c>
    </row>
    <row r="60" spans="1:49" x14ac:dyDescent="0.25">
      <c r="A60" t="str">
        <f t="shared" si="10"/>
        <v>46202M</v>
      </c>
      <c r="B60" s="51">
        <f t="shared" si="20"/>
        <v>46202</v>
      </c>
      <c r="C60" s="52" t="s">
        <v>87</v>
      </c>
      <c r="D60" s="91"/>
      <c r="E60" s="62"/>
      <c r="F60" s="62"/>
      <c r="G60" s="62">
        <f t="shared" si="0"/>
        <v>0</v>
      </c>
      <c r="H60" s="72">
        <f t="shared" si="11"/>
        <v>0</v>
      </c>
      <c r="I60" s="144"/>
      <c r="J60" s="145"/>
      <c r="K60" s="146"/>
      <c r="L60" s="147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89"/>
      <c r="AI60" s="66"/>
      <c r="AJ60" s="66"/>
      <c r="AK60" s="62">
        <f t="shared" si="4"/>
        <v>0</v>
      </c>
      <c r="AL60" s="72">
        <f t="shared" si="5"/>
        <v>0</v>
      </c>
      <c r="AM60" s="73">
        <f t="shared" si="6"/>
        <v>0</v>
      </c>
      <c r="AN60" s="80">
        <f t="shared" si="24"/>
        <v>0</v>
      </c>
      <c r="AO60" s="80">
        <f t="shared" si="24"/>
        <v>0</v>
      </c>
      <c r="AP60" s="75" t="e">
        <f t="shared" si="19"/>
        <v>#DIV/0!</v>
      </c>
      <c r="AQ60" s="76">
        <f t="shared" si="8"/>
        <v>0</v>
      </c>
      <c r="AR60" s="90">
        <f t="shared" si="9"/>
        <v>0</v>
      </c>
    </row>
    <row r="61" spans="1:49" x14ac:dyDescent="0.25">
      <c r="A61" t="str">
        <f t="shared" si="10"/>
        <v>46202E</v>
      </c>
      <c r="B61" s="51">
        <f t="shared" si="20"/>
        <v>46202</v>
      </c>
      <c r="C61" s="52" t="s">
        <v>88</v>
      </c>
      <c r="D61" s="91"/>
      <c r="E61" s="62"/>
      <c r="F61" s="62"/>
      <c r="G61" s="62">
        <f t="shared" si="0"/>
        <v>0</v>
      </c>
      <c r="H61" s="72">
        <f t="shared" si="11"/>
        <v>0</v>
      </c>
      <c r="I61" s="144"/>
      <c r="J61" s="145"/>
      <c r="K61" s="146"/>
      <c r="L61" s="147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89"/>
      <c r="AI61" s="66"/>
      <c r="AJ61" s="66"/>
      <c r="AK61" s="62">
        <f t="shared" si="4"/>
        <v>0</v>
      </c>
      <c r="AL61" s="72">
        <f t="shared" si="5"/>
        <v>0</v>
      </c>
      <c r="AM61" s="73">
        <f t="shared" si="6"/>
        <v>0</v>
      </c>
      <c r="AN61" s="80">
        <f t="shared" si="24"/>
        <v>0</v>
      </c>
      <c r="AO61" s="80">
        <f t="shared" si="24"/>
        <v>0</v>
      </c>
      <c r="AP61" s="75" t="e">
        <f t="shared" si="19"/>
        <v>#DIV/0!</v>
      </c>
      <c r="AQ61" s="76">
        <f t="shared" si="8"/>
        <v>0</v>
      </c>
      <c r="AR61" s="90">
        <f t="shared" si="9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0"/>
        <v>46203M</v>
      </c>
      <c r="B62" s="51">
        <f t="shared" si="20"/>
        <v>46203</v>
      </c>
      <c r="C62" s="52" t="s">
        <v>87</v>
      </c>
      <c r="D62" s="91"/>
      <c r="E62" s="62"/>
      <c r="F62" s="62"/>
      <c r="G62" s="62">
        <f t="shared" si="0"/>
        <v>0</v>
      </c>
      <c r="H62" s="72">
        <f t="shared" si="11"/>
        <v>0</v>
      </c>
      <c r="I62" s="144"/>
      <c r="J62" s="145"/>
      <c r="K62" s="146"/>
      <c r="L62" s="147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89"/>
      <c r="AI62" s="66"/>
      <c r="AJ62" s="66"/>
      <c r="AK62" s="62">
        <f t="shared" si="4"/>
        <v>0</v>
      </c>
      <c r="AL62" s="72">
        <f t="shared" si="5"/>
        <v>0</v>
      </c>
      <c r="AM62" s="73">
        <f t="shared" si="6"/>
        <v>0</v>
      </c>
      <c r="AN62" s="80">
        <f t="shared" si="24"/>
        <v>0</v>
      </c>
      <c r="AO62" s="80">
        <f t="shared" si="24"/>
        <v>0</v>
      </c>
      <c r="AP62" s="75" t="e">
        <f t="shared" si="19"/>
        <v>#DIV/0!</v>
      </c>
      <c r="AQ62" s="76">
        <f t="shared" si="8"/>
        <v>0</v>
      </c>
      <c r="AR62" s="90">
        <f t="shared" si="9"/>
        <v>0</v>
      </c>
    </row>
    <row r="63" spans="1:49" x14ac:dyDescent="0.25">
      <c r="A63" t="str">
        <f t="shared" si="10"/>
        <v>46203E</v>
      </c>
      <c r="B63" s="51">
        <f t="shared" si="20"/>
        <v>46203</v>
      </c>
      <c r="C63" s="52" t="s">
        <v>88</v>
      </c>
      <c r="D63" s="91"/>
      <c r="E63" s="62"/>
      <c r="F63" s="62"/>
      <c r="G63" s="62">
        <f t="shared" si="0"/>
        <v>0</v>
      </c>
      <c r="H63" s="72">
        <f t="shared" si="11"/>
        <v>0</v>
      </c>
      <c r="I63" s="144"/>
      <c r="J63" s="145"/>
      <c r="K63" s="146"/>
      <c r="L63" s="147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89"/>
      <c r="AI63" s="66"/>
      <c r="AJ63" s="66"/>
      <c r="AK63" s="62">
        <f t="shared" si="4"/>
        <v>0</v>
      </c>
      <c r="AL63" s="72">
        <f t="shared" si="5"/>
        <v>0</v>
      </c>
      <c r="AM63" s="73">
        <f t="shared" si="6"/>
        <v>0</v>
      </c>
      <c r="AN63" s="80">
        <f t="shared" si="24"/>
        <v>0</v>
      </c>
      <c r="AO63" s="80">
        <f t="shared" si="24"/>
        <v>0</v>
      </c>
      <c r="AP63" s="75" t="e">
        <f t="shared" si="19"/>
        <v>#DIV/0!</v>
      </c>
      <c r="AQ63" s="76">
        <f t="shared" si="8"/>
        <v>0</v>
      </c>
      <c r="AR63" s="90">
        <f t="shared" si="9"/>
        <v>0</v>
      </c>
    </row>
    <row r="64" spans="1:49" x14ac:dyDescent="0.25">
      <c r="A64" t="str">
        <f t="shared" si="10"/>
        <v>46204M</v>
      </c>
      <c r="B64" s="51">
        <f t="shared" si="20"/>
        <v>46204</v>
      </c>
      <c r="C64" s="52" t="s">
        <v>87</v>
      </c>
      <c r="D64" s="91"/>
      <c r="E64" s="62"/>
      <c r="F64" s="62"/>
      <c r="G64" s="62">
        <f t="shared" si="0"/>
        <v>0</v>
      </c>
      <c r="H64" s="72">
        <f t="shared" si="11"/>
        <v>0</v>
      </c>
      <c r="I64" s="144"/>
      <c r="J64" s="145"/>
      <c r="K64" s="146"/>
      <c r="L64" s="147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89"/>
      <c r="AI64" s="66"/>
      <c r="AJ64" s="66"/>
      <c r="AK64" s="62">
        <f t="shared" si="4"/>
        <v>0</v>
      </c>
      <c r="AL64" s="72">
        <f t="shared" si="5"/>
        <v>0</v>
      </c>
      <c r="AM64" s="73">
        <f t="shared" si="6"/>
        <v>0</v>
      </c>
      <c r="AN64" s="80">
        <f t="shared" si="24"/>
        <v>0</v>
      </c>
      <c r="AO64" s="80">
        <f t="shared" si="24"/>
        <v>0</v>
      </c>
      <c r="AP64" s="75" t="e">
        <f t="shared" si="19"/>
        <v>#DIV/0!</v>
      </c>
      <c r="AQ64" s="76">
        <f t="shared" si="8"/>
        <v>0</v>
      </c>
      <c r="AR64" s="90">
        <f t="shared" si="9"/>
        <v>0</v>
      </c>
      <c r="AT64">
        <v>745</v>
      </c>
    </row>
    <row r="65" spans="1:49" x14ac:dyDescent="0.25">
      <c r="A65" t="str">
        <f t="shared" si="10"/>
        <v>46204E</v>
      </c>
      <c r="B65" s="51">
        <f t="shared" si="20"/>
        <v>46204</v>
      </c>
      <c r="C65" s="52" t="s">
        <v>88</v>
      </c>
      <c r="D65" s="91"/>
      <c r="E65" s="62"/>
      <c r="F65" s="62"/>
      <c r="G65" s="62">
        <f t="shared" si="0"/>
        <v>0</v>
      </c>
      <c r="H65" s="72">
        <f t="shared" si="11"/>
        <v>0</v>
      </c>
      <c r="I65" s="144"/>
      <c r="J65" s="145"/>
      <c r="K65" s="146"/>
      <c r="L65" s="147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89"/>
      <c r="AI65" s="66"/>
      <c r="AJ65" s="66"/>
      <c r="AK65" s="62">
        <f t="shared" si="4"/>
        <v>0</v>
      </c>
      <c r="AL65" s="72">
        <f t="shared" si="5"/>
        <v>0</v>
      </c>
      <c r="AM65" s="73">
        <f t="shared" si="6"/>
        <v>0</v>
      </c>
      <c r="AN65" s="80">
        <f t="shared" si="24"/>
        <v>0</v>
      </c>
      <c r="AO65" s="80">
        <f t="shared" si="24"/>
        <v>0</v>
      </c>
      <c r="AP65" s="75" t="e">
        <f t="shared" si="19"/>
        <v>#DIV/0!</v>
      </c>
      <c r="AQ65" s="76">
        <f t="shared" si="8"/>
        <v>0</v>
      </c>
      <c r="AR65" s="90">
        <f t="shared" si="9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44422.952399999995</v>
      </c>
      <c r="AM66" s="94">
        <f>-SUM(AM4:AM65)</f>
        <v>486.04759999999578</v>
      </c>
      <c r="AN66" s="94">
        <f>-SUM(AN4:AN65)</f>
        <v>-1.9781313999998531</v>
      </c>
      <c r="AO66" s="94">
        <f>-SUM(AO4:AO65)</f>
        <v>-9.9703181999996957</v>
      </c>
      <c r="AP66" s="95"/>
      <c r="AQ66" s="94">
        <f>-SUM(AQ4:AQ65)</f>
        <v>-3871.8533288818444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4" priority="2" operator="lessThan">
      <formula>0.1</formula>
    </cfRule>
    <cfRule type="cellIs" dxfId="33" priority="3" operator="greaterThan">
      <formula>0.1</formula>
    </cfRule>
  </conditionalFormatting>
  <conditionalFormatting sqref="AP1:AQ1">
    <cfRule type="cellIs" dxfId="32" priority="1" operator="lessThan">
      <formula>1</formula>
    </cfRule>
  </conditionalFormatting>
  <conditionalFormatting sqref="AQ4:AQ65">
    <cfRule type="cellIs" dxfId="31" priority="4" operator="lessThan">
      <formula>0</formula>
    </cfRule>
    <cfRule type="cellIs" dxfId="30" priority="5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AW66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O38" sqref="O38:Q38"/>
    </sheetView>
  </sheetViews>
  <sheetFormatPr defaultRowHeight="15" x14ac:dyDescent="0.25"/>
  <cols>
    <col min="1" max="1" width="3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9.28515625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2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5.1406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" bestFit="1" customWidth="1"/>
    <col min="49" max="49" width="7.85546875" bestFit="1" customWidth="1"/>
  </cols>
  <sheetData>
    <row r="1" spans="1:44" ht="15.75" thickBot="1" x14ac:dyDescent="0.3">
      <c r="B1" s="43" t="s">
        <v>99</v>
      </c>
      <c r="C1" s="44"/>
      <c r="L1">
        <v>2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16770</v>
      </c>
      <c r="E4" s="109">
        <v>4.8</v>
      </c>
      <c r="F4" s="109">
        <v>8.6</v>
      </c>
      <c r="G4" s="55">
        <f t="shared" ref="G4:G35" si="0">+D4*E4%</f>
        <v>804.96</v>
      </c>
      <c r="H4" s="143">
        <f>D4*F4%</f>
        <v>1442.2199999999998</v>
      </c>
      <c r="I4" s="144">
        <v>3030.8</v>
      </c>
      <c r="J4" s="145">
        <v>3121.7240000000002</v>
      </c>
      <c r="K4" s="146">
        <v>4.3847367031806774</v>
      </c>
      <c r="L4" s="147">
        <v>8.2791507192820344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3121.7240000000002</v>
      </c>
      <c r="S4" s="62">
        <f>+J4*K4%+O4*P4%</f>
        <v>136.87937799999997</v>
      </c>
      <c r="T4" s="63">
        <f>+J4*L4%+O4*Q4%</f>
        <v>258.45223499999992</v>
      </c>
      <c r="U4" s="64" t="s">
        <v>308</v>
      </c>
      <c r="V4" s="65" t="s">
        <v>309</v>
      </c>
      <c r="W4" s="66" t="s">
        <v>208</v>
      </c>
      <c r="X4" s="67">
        <v>9530</v>
      </c>
      <c r="Y4" s="68">
        <v>4.5199999999999996</v>
      </c>
      <c r="Z4" s="68">
        <v>8.56</v>
      </c>
      <c r="AA4" s="62">
        <f>X4*Y4%</f>
        <v>430.75599999999997</v>
      </c>
      <c r="AB4" s="63">
        <f t="shared" ref="AB4" si="1">X4*Z4%</f>
        <v>815.76800000000014</v>
      </c>
      <c r="AC4" s="69">
        <v>9500</v>
      </c>
      <c r="AD4" s="70">
        <v>4.4657894736842101</v>
      </c>
      <c r="AE4" s="70">
        <v>8.4813157894736833</v>
      </c>
      <c r="AF4" s="62">
        <f t="shared" ref="AF4" si="2">AC4*AD4%</f>
        <v>424.24999999999994</v>
      </c>
      <c r="AG4" s="63">
        <f t="shared" ref="AG4" si="3">AC4*AE4%</f>
        <v>805.7249999999998</v>
      </c>
      <c r="AH4" s="89">
        <v>10380</v>
      </c>
      <c r="AI4" s="66">
        <v>5</v>
      </c>
      <c r="AJ4" s="66">
        <v>8.6</v>
      </c>
      <c r="AK4" s="62">
        <f t="shared" ref="AK4" si="4">AH4*AI4%</f>
        <v>519</v>
      </c>
      <c r="AL4" s="72">
        <f t="shared" ref="AL4" si="5">AH4*AJ4%</f>
        <v>892.68</v>
      </c>
      <c r="AM4" s="73">
        <f t="shared" ref="AM4:AM35" si="6">+D4+R4-AC4-AH4</f>
        <v>11.724000000001979</v>
      </c>
      <c r="AN4" s="74">
        <f t="shared" ref="AN4:AO4" si="7">+G4+S4-AF4-AK4</f>
        <v>-1.4106219999998757</v>
      </c>
      <c r="AO4" s="74">
        <f t="shared" si="7"/>
        <v>2.2672350000000279</v>
      </c>
      <c r="AP4" s="75">
        <f>(AN4+AO4)/(S4+T4)</f>
        <v>2.1668214021633336E-3</v>
      </c>
      <c r="AQ4" s="76">
        <f t="shared" ref="AQ4:AQ65" si="8">($AP$1*AN4+$AQ$1*AO4)</f>
        <v>45.280653880064165</v>
      </c>
      <c r="AR4" s="90">
        <f t="shared" ref="AR4:AR35" si="9">(D4+J4+O4)-(X4+AH4)</f>
        <v>-18.275999999998021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10380</v>
      </c>
      <c r="E5" s="62">
        <v>5</v>
      </c>
      <c r="F5" s="62">
        <v>8.6</v>
      </c>
      <c r="G5" s="62">
        <f t="shared" si="0"/>
        <v>519</v>
      </c>
      <c r="H5" s="72">
        <f t="shared" ref="H5:H36" si="11">+D5*F5%</f>
        <v>892.68</v>
      </c>
      <c r="I5" s="119">
        <v>6012.4999999999991</v>
      </c>
      <c r="J5" s="120">
        <v>6192.8749999999991</v>
      </c>
      <c r="K5" s="121">
        <v>4.0520232848232833</v>
      </c>
      <c r="L5" s="122">
        <v>8.3779209979209952</v>
      </c>
      <c r="M5" s="58" t="s">
        <v>307</v>
      </c>
      <c r="N5" s="58">
        <v>83310</v>
      </c>
      <c r="O5" s="59">
        <v>2590</v>
      </c>
      <c r="P5" s="56">
        <v>5.2</v>
      </c>
      <c r="Q5" s="60">
        <v>8.5</v>
      </c>
      <c r="R5" s="61">
        <f t="shared" ref="R5:R65" si="12">+J5+O5</f>
        <v>8782.875</v>
      </c>
      <c r="S5" s="62">
        <f t="shared" ref="S5:S65" si="13">+J5*K5%+O5*P5%</f>
        <v>385.61673699999989</v>
      </c>
      <c r="T5" s="63">
        <f t="shared" ref="T5:T65" si="14">+J5*L5%+O5*Q5%</f>
        <v>738.98417499999971</v>
      </c>
      <c r="U5" s="64" t="s">
        <v>310</v>
      </c>
      <c r="V5" s="65" t="s">
        <v>311</v>
      </c>
      <c r="W5" s="66" t="s">
        <v>208</v>
      </c>
      <c r="X5" s="67">
        <v>8220</v>
      </c>
      <c r="Y5" s="68">
        <v>4.3000000000000007</v>
      </c>
      <c r="Z5" s="68">
        <v>8.51</v>
      </c>
      <c r="AA5" s="62">
        <f t="shared" ref="AA5:AA11" si="15">X5*Y5%</f>
        <v>353.46000000000009</v>
      </c>
      <c r="AB5" s="63">
        <f t="shared" ref="AB5:AB11" si="16">X5*Z5%</f>
        <v>699.52199999999993</v>
      </c>
      <c r="AC5" s="69">
        <v>8100</v>
      </c>
      <c r="AD5" s="70">
        <v>4.2503703703703701</v>
      </c>
      <c r="AE5" s="70">
        <v>8.4449135802469133</v>
      </c>
      <c r="AF5" s="62">
        <f t="shared" ref="AF5:AF18" si="17">AC5*AD5%</f>
        <v>344.28</v>
      </c>
      <c r="AG5" s="63">
        <f t="shared" ref="AG5:AG18" si="18">AC5*AE5%</f>
        <v>684.0379999999999</v>
      </c>
      <c r="AH5" s="89">
        <v>11070</v>
      </c>
      <c r="AI5" s="66">
        <v>5.0999999999999996</v>
      </c>
      <c r="AJ5" s="66">
        <v>8.5</v>
      </c>
      <c r="AK5" s="62">
        <f t="shared" ref="AK5:AK19" si="19">AH5*AI5%</f>
        <v>564.56999999999994</v>
      </c>
      <c r="AL5" s="72">
        <f t="shared" ref="AL5:AL19" si="20">AH5*AJ5%</f>
        <v>940.95</v>
      </c>
      <c r="AM5" s="73">
        <f t="shared" si="6"/>
        <v>-7.125</v>
      </c>
      <c r="AN5" s="74">
        <f t="shared" ref="AN5:AN19" si="21">+G5+S5-AF5-AK5</f>
        <v>-4.233263000000079</v>
      </c>
      <c r="AO5" s="74">
        <f t="shared" ref="AO5:AO19" si="22">+H5+T5-AG5-AL5</f>
        <v>6.6761749999997164</v>
      </c>
      <c r="AP5" s="75">
        <f t="shared" ref="AP5:AP19" si="23">(AN5+AO5)/(S5+T5)</f>
        <v>2.172247927182579E-3</v>
      </c>
      <c r="AQ5" s="76">
        <f t="shared" ref="AQ5:AQ19" si="24">($AP$1*AN5+$AQ$1*AO5)</f>
        <v>97.647052836546436</v>
      </c>
      <c r="AR5" s="90">
        <f t="shared" si="9"/>
        <v>-127.125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11070</v>
      </c>
      <c r="E6" s="62">
        <v>5.0999999999999996</v>
      </c>
      <c r="F6" s="62">
        <v>8.5</v>
      </c>
      <c r="G6" s="62">
        <f t="shared" si="0"/>
        <v>564.56999999999994</v>
      </c>
      <c r="H6" s="72">
        <f t="shared" si="11"/>
        <v>940.95</v>
      </c>
      <c r="I6" s="119">
        <v>3040.6000000000004</v>
      </c>
      <c r="J6" s="120">
        <v>3131.8180000000007</v>
      </c>
      <c r="K6" s="121">
        <v>4.4358876537525491</v>
      </c>
      <c r="L6" s="122">
        <v>8.263753864368871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3131.8180000000007</v>
      </c>
      <c r="S6" s="62">
        <f t="shared" si="13"/>
        <v>138.92392800000002</v>
      </c>
      <c r="T6" s="63">
        <f t="shared" si="14"/>
        <v>258.80573099999992</v>
      </c>
      <c r="U6" s="64" t="s">
        <v>308</v>
      </c>
      <c r="V6" s="65" t="s">
        <v>312</v>
      </c>
      <c r="W6" s="66" t="s">
        <v>208</v>
      </c>
      <c r="X6" s="67">
        <v>9530</v>
      </c>
      <c r="Y6" s="68">
        <v>4.53</v>
      </c>
      <c r="Z6" s="68">
        <v>8.4499999999999993</v>
      </c>
      <c r="AA6" s="62">
        <f t="shared" si="15"/>
        <v>431.709</v>
      </c>
      <c r="AB6" s="63">
        <f t="shared" si="16"/>
        <v>805.28499999999997</v>
      </c>
      <c r="AC6" s="69">
        <v>9500</v>
      </c>
      <c r="AD6" s="70">
        <v>4.479368421052631</v>
      </c>
      <c r="AE6" s="70">
        <v>8.3137684210526324</v>
      </c>
      <c r="AF6" s="62">
        <f t="shared" si="17"/>
        <v>425.53999999999996</v>
      </c>
      <c r="AG6" s="63">
        <f t="shared" si="18"/>
        <v>789.80800000000011</v>
      </c>
      <c r="AH6" s="89">
        <v>4710</v>
      </c>
      <c r="AI6" s="66">
        <v>5.9</v>
      </c>
      <c r="AJ6" s="66">
        <v>8.6999999999999993</v>
      </c>
      <c r="AK6" s="62">
        <f t="shared" si="19"/>
        <v>277.89000000000004</v>
      </c>
      <c r="AL6" s="72">
        <f t="shared" si="20"/>
        <v>409.77</v>
      </c>
      <c r="AM6" s="73">
        <f t="shared" si="6"/>
        <v>-8.1819999999988795</v>
      </c>
      <c r="AN6" s="74">
        <f t="shared" si="21"/>
        <v>6.3927999999975782E-2</v>
      </c>
      <c r="AO6" s="74">
        <f t="shared" si="22"/>
        <v>0.17773099999988062</v>
      </c>
      <c r="AP6" s="75">
        <f t="shared" si="23"/>
        <v>6.0759612599033358E-4</v>
      </c>
      <c r="AQ6" s="76">
        <f t="shared" si="24"/>
        <v>81.888067286620071</v>
      </c>
      <c r="AR6" s="90">
        <f t="shared" si="9"/>
        <v>-38.18199999999888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4710</v>
      </c>
      <c r="E7" s="62">
        <v>5.9</v>
      </c>
      <c r="F7" s="62">
        <v>8.6999999999999993</v>
      </c>
      <c r="G7" s="62">
        <f t="shared" si="0"/>
        <v>277.89000000000004</v>
      </c>
      <c r="H7" s="72">
        <f t="shared" si="11"/>
        <v>409.77</v>
      </c>
      <c r="I7" s="119">
        <v>4387.8999999999996</v>
      </c>
      <c r="J7" s="120">
        <v>4519.5369999999994</v>
      </c>
      <c r="K7" s="121">
        <v>3.8323822329588175</v>
      </c>
      <c r="L7" s="122">
        <v>8.2218396043665543</v>
      </c>
      <c r="M7" s="58" t="s">
        <v>307</v>
      </c>
      <c r="N7" s="58">
        <v>83311</v>
      </c>
      <c r="O7" s="59">
        <v>2490</v>
      </c>
      <c r="P7" s="56">
        <v>5.2</v>
      </c>
      <c r="Q7" s="60">
        <v>8.4</v>
      </c>
      <c r="R7" s="61">
        <f t="shared" si="12"/>
        <v>7009.5369999999994</v>
      </c>
      <c r="S7" s="62">
        <f t="shared" si="13"/>
        <v>302.68593299999998</v>
      </c>
      <c r="T7" s="63">
        <f t="shared" si="14"/>
        <v>580.74908299999993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89">
        <v>11740</v>
      </c>
      <c r="AI7" s="66">
        <v>4.9000000000000004</v>
      </c>
      <c r="AJ7" s="66">
        <v>8.5</v>
      </c>
      <c r="AK7" s="62">
        <f t="shared" si="19"/>
        <v>575.26</v>
      </c>
      <c r="AL7" s="72">
        <f t="shared" si="20"/>
        <v>997.90000000000009</v>
      </c>
      <c r="AM7" s="73">
        <f t="shared" si="6"/>
        <v>-20.462999999999738</v>
      </c>
      <c r="AN7" s="74">
        <f t="shared" si="21"/>
        <v>5.3159330000000864</v>
      </c>
      <c r="AO7" s="74">
        <f t="shared" si="22"/>
        <v>-7.3809170000001814</v>
      </c>
      <c r="AP7" s="75">
        <f t="shared" si="23"/>
        <v>-2.3374486663998106E-3</v>
      </c>
      <c r="AQ7" s="76">
        <f t="shared" si="24"/>
        <v>177.46384938331767</v>
      </c>
      <c r="AR7" s="90">
        <f t="shared" si="9"/>
        <v>-20.462999999999738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11740</v>
      </c>
      <c r="E8" s="62">
        <v>4.9000000000000004</v>
      </c>
      <c r="F8" s="62">
        <v>8.5</v>
      </c>
      <c r="G8" s="62">
        <f t="shared" si="0"/>
        <v>575.26</v>
      </c>
      <c r="H8" s="72">
        <f t="shared" si="11"/>
        <v>997.90000000000009</v>
      </c>
      <c r="I8" s="119">
        <v>3020.1</v>
      </c>
      <c r="J8" s="120">
        <v>3110.703</v>
      </c>
      <c r="K8" s="121">
        <v>4.3632793616105428</v>
      </c>
      <c r="L8" s="122">
        <v>8.2105460084103168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3110.703</v>
      </c>
      <c r="S8" s="62">
        <f t="shared" si="13"/>
        <v>135.72866199999999</v>
      </c>
      <c r="T8" s="63">
        <f t="shared" si="14"/>
        <v>255.40570099999999</v>
      </c>
      <c r="U8" s="64" t="s">
        <v>308</v>
      </c>
      <c r="V8" s="65" t="s">
        <v>313</v>
      </c>
      <c r="W8" s="66" t="s">
        <v>208</v>
      </c>
      <c r="X8" s="67">
        <v>9530</v>
      </c>
      <c r="Y8" s="68">
        <v>4.33</v>
      </c>
      <c r="Z8" s="68">
        <v>8.5299999999999994</v>
      </c>
      <c r="AA8" s="62">
        <f t="shared" si="15"/>
        <v>412.649</v>
      </c>
      <c r="AB8" s="63">
        <f t="shared" si="16"/>
        <v>812.90899999999988</v>
      </c>
      <c r="AC8" s="69">
        <v>9520</v>
      </c>
      <c r="AD8" s="70">
        <v>4.2794117647058822</v>
      </c>
      <c r="AE8" s="70">
        <v>8.3858823529411772</v>
      </c>
      <c r="AF8" s="62">
        <f t="shared" si="17"/>
        <v>407.4</v>
      </c>
      <c r="AG8" s="63">
        <f t="shared" si="18"/>
        <v>798.33600000000013</v>
      </c>
      <c r="AH8" s="89">
        <v>5340</v>
      </c>
      <c r="AI8" s="66">
        <v>5.7</v>
      </c>
      <c r="AJ8" s="66">
        <v>8.5</v>
      </c>
      <c r="AK8" s="62">
        <f t="shared" si="19"/>
        <v>304.38</v>
      </c>
      <c r="AL8" s="72">
        <f t="shared" si="20"/>
        <v>453.90000000000003</v>
      </c>
      <c r="AM8" s="73">
        <f t="shared" si="6"/>
        <v>-9.2970000000004802</v>
      </c>
      <c r="AN8" s="74">
        <f t="shared" si="21"/>
        <v>-0.7913379999999961</v>
      </c>
      <c r="AO8" s="74">
        <f t="shared" si="22"/>
        <v>1.0697009999998386</v>
      </c>
      <c r="AP8" s="75">
        <f t="shared" si="23"/>
        <v>7.1168126948703428E-4</v>
      </c>
      <c r="AQ8" s="76">
        <f t="shared" si="24"/>
        <v>-35.10655764004656</v>
      </c>
      <c r="AR8" s="90">
        <f t="shared" si="9"/>
        <v>-19.29700000000048</v>
      </c>
    </row>
    <row r="9" spans="1:44" x14ac:dyDescent="0.25">
      <c r="A9" t="str">
        <f t="shared" si="10"/>
        <v>46176E</v>
      </c>
      <c r="B9" s="51">
        <f t="shared" ref="B9:B65" si="25">+B7+1</f>
        <v>46176</v>
      </c>
      <c r="C9" s="52" t="s">
        <v>88</v>
      </c>
      <c r="D9" s="91">
        <v>5340</v>
      </c>
      <c r="E9" s="62">
        <v>5.7</v>
      </c>
      <c r="F9" s="62">
        <v>8.5</v>
      </c>
      <c r="G9" s="62">
        <f t="shared" si="0"/>
        <v>304.38</v>
      </c>
      <c r="H9" s="72">
        <f t="shared" si="11"/>
        <v>453.90000000000003</v>
      </c>
      <c r="I9" s="119">
        <v>4545.9999999999991</v>
      </c>
      <c r="J9" s="120">
        <v>4682.3799999999992</v>
      </c>
      <c r="K9" s="121">
        <v>3.8328376594808602</v>
      </c>
      <c r="L9" s="122">
        <v>8.2236031676198831</v>
      </c>
      <c r="M9" s="58" t="s">
        <v>307</v>
      </c>
      <c r="N9" s="58">
        <v>83312</v>
      </c>
      <c r="O9" s="59">
        <v>2450</v>
      </c>
      <c r="P9" s="56">
        <v>5.2</v>
      </c>
      <c r="Q9" s="60">
        <v>8.4</v>
      </c>
      <c r="R9" s="61">
        <f t="shared" si="12"/>
        <v>7132.3799999999992</v>
      </c>
      <c r="S9" s="62">
        <f t="shared" si="13"/>
        <v>306.86802399999988</v>
      </c>
      <c r="T9" s="63">
        <f t="shared" si="14"/>
        <v>590.86034999999993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89">
        <v>12450</v>
      </c>
      <c r="AI9" s="66">
        <v>4.9000000000000004</v>
      </c>
      <c r="AJ9" s="66">
        <v>8.4</v>
      </c>
      <c r="AK9" s="62">
        <f t="shared" si="19"/>
        <v>610.05000000000007</v>
      </c>
      <c r="AL9" s="72">
        <f t="shared" si="20"/>
        <v>1045.8</v>
      </c>
      <c r="AM9" s="73">
        <f t="shared" si="6"/>
        <v>22.3799999999992</v>
      </c>
      <c r="AN9" s="74">
        <f t="shared" si="21"/>
        <v>1.1980239999998048</v>
      </c>
      <c r="AO9" s="74">
        <f t="shared" si="22"/>
        <v>-1.0396499999999378</v>
      </c>
      <c r="AP9" s="75">
        <f t="shared" si="23"/>
        <v>1.7641639117877211E-4</v>
      </c>
      <c r="AQ9" s="76">
        <f t="shared" si="24"/>
        <v>226.66543283993099</v>
      </c>
      <c r="AR9" s="90">
        <f t="shared" si="9"/>
        <v>22.3799999999992</v>
      </c>
    </row>
    <row r="10" spans="1:44" x14ac:dyDescent="0.25">
      <c r="A10" t="str">
        <f t="shared" si="10"/>
        <v>46177M</v>
      </c>
      <c r="B10" s="51">
        <f t="shared" si="25"/>
        <v>46177</v>
      </c>
      <c r="C10" s="52" t="s">
        <v>87</v>
      </c>
      <c r="D10" s="91">
        <v>12450</v>
      </c>
      <c r="E10" s="62">
        <v>4.9000000000000004</v>
      </c>
      <c r="F10" s="62">
        <v>8.4</v>
      </c>
      <c r="G10" s="62">
        <f t="shared" si="0"/>
        <v>610.05000000000007</v>
      </c>
      <c r="H10" s="72">
        <f t="shared" si="11"/>
        <v>1045.8</v>
      </c>
      <c r="I10" s="119">
        <v>3301.6</v>
      </c>
      <c r="J10" s="120">
        <v>3400.6480000000001</v>
      </c>
      <c r="K10" s="121">
        <v>4.3933698812696873</v>
      </c>
      <c r="L10" s="122">
        <v>8.2145747516355705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3400.6480000000001</v>
      </c>
      <c r="S10" s="62">
        <f t="shared" si="13"/>
        <v>149.40304500000002</v>
      </c>
      <c r="T10" s="63">
        <f t="shared" si="14"/>
        <v>279.348772</v>
      </c>
      <c r="U10" s="64" t="s">
        <v>308</v>
      </c>
      <c r="V10" s="65" t="s">
        <v>314</v>
      </c>
      <c r="W10" s="66" t="s">
        <v>208</v>
      </c>
      <c r="X10" s="67">
        <v>9530</v>
      </c>
      <c r="Y10" s="68">
        <v>4.42</v>
      </c>
      <c r="Z10" s="68">
        <v>8.43</v>
      </c>
      <c r="AA10" s="62">
        <f t="shared" si="15"/>
        <v>421.22599999999994</v>
      </c>
      <c r="AB10" s="63">
        <f t="shared" si="16"/>
        <v>803.37900000000002</v>
      </c>
      <c r="AC10" s="69">
        <v>9480</v>
      </c>
      <c r="AD10" s="70">
        <v>4.3378164556962027</v>
      </c>
      <c r="AE10" s="70">
        <v>8.2849578059071725</v>
      </c>
      <c r="AF10" s="62">
        <f t="shared" si="17"/>
        <v>411.22500000000002</v>
      </c>
      <c r="AG10" s="63">
        <f t="shared" si="18"/>
        <v>785.41399999999999</v>
      </c>
      <c r="AH10" s="89">
        <v>6345</v>
      </c>
      <c r="AI10" s="66">
        <v>5.5</v>
      </c>
      <c r="AJ10" s="66">
        <v>8.5</v>
      </c>
      <c r="AK10" s="62">
        <f t="shared" si="19"/>
        <v>348.97500000000002</v>
      </c>
      <c r="AL10" s="72">
        <f t="shared" si="20"/>
        <v>539.32500000000005</v>
      </c>
      <c r="AM10" s="73">
        <f t="shared" si="6"/>
        <v>25.648000000001048</v>
      </c>
      <c r="AN10" s="74">
        <f t="shared" si="21"/>
        <v>-0.74695499999995718</v>
      </c>
      <c r="AO10" s="74">
        <f t="shared" si="22"/>
        <v>0.40977199999997538</v>
      </c>
      <c r="AP10" s="75">
        <f t="shared" si="23"/>
        <v>-7.8642932025167788E-4</v>
      </c>
      <c r="AQ10" s="76">
        <f t="shared" si="24"/>
        <v>-212.68173670332149</v>
      </c>
      <c r="AR10" s="90">
        <f t="shared" si="9"/>
        <v>-24.351999999998952</v>
      </c>
    </row>
    <row r="11" spans="1:44" x14ac:dyDescent="0.25">
      <c r="A11" t="str">
        <f t="shared" si="10"/>
        <v>46177E</v>
      </c>
      <c r="B11" s="51">
        <f t="shared" si="25"/>
        <v>46177</v>
      </c>
      <c r="C11" s="52" t="s">
        <v>88</v>
      </c>
      <c r="D11" s="91">
        <v>6345</v>
      </c>
      <c r="E11" s="62">
        <v>5.5</v>
      </c>
      <c r="F11" s="62">
        <v>8.5</v>
      </c>
      <c r="G11" s="62">
        <f t="shared" si="0"/>
        <v>348.97500000000002</v>
      </c>
      <c r="H11" s="72">
        <f t="shared" si="11"/>
        <v>539.32500000000005</v>
      </c>
      <c r="I11" s="119">
        <v>5438.9999999999991</v>
      </c>
      <c r="J11" s="120">
        <v>5602.1699999999992</v>
      </c>
      <c r="K11" s="121">
        <v>3.8443555800698657</v>
      </c>
      <c r="L11" s="122">
        <v>8.2552105166390888</v>
      </c>
      <c r="M11" s="58" t="s">
        <v>307</v>
      </c>
      <c r="N11" s="58">
        <v>83313</v>
      </c>
      <c r="O11" s="59">
        <v>2545</v>
      </c>
      <c r="P11" s="56">
        <v>5.2</v>
      </c>
      <c r="Q11" s="60">
        <v>8.5</v>
      </c>
      <c r="R11" s="61">
        <f t="shared" si="12"/>
        <v>8147.1699999999992</v>
      </c>
      <c r="S11" s="62">
        <f t="shared" si="13"/>
        <v>347.70733499999994</v>
      </c>
      <c r="T11" s="63">
        <f t="shared" si="14"/>
        <v>678.79592700000001</v>
      </c>
      <c r="U11" s="64" t="s">
        <v>310</v>
      </c>
      <c r="V11" s="65" t="s">
        <v>315</v>
      </c>
      <c r="W11" s="66" t="s">
        <v>208</v>
      </c>
      <c r="X11" s="67">
        <v>8220</v>
      </c>
      <c r="Y11" s="68">
        <v>4.3000000000000007</v>
      </c>
      <c r="Z11" s="68">
        <v>8.5299999999999994</v>
      </c>
      <c r="AA11" s="62">
        <f t="shared" si="15"/>
        <v>353.46000000000009</v>
      </c>
      <c r="AB11" s="63">
        <f t="shared" si="16"/>
        <v>701.16599999999994</v>
      </c>
      <c r="AC11" s="69">
        <v>8150</v>
      </c>
      <c r="AD11" s="70">
        <v>4.2494478527607358</v>
      </c>
      <c r="AE11" s="70">
        <v>8.2598895705521471</v>
      </c>
      <c r="AF11" s="62">
        <f t="shared" si="17"/>
        <v>346.32999999999993</v>
      </c>
      <c r="AG11" s="63">
        <f t="shared" si="18"/>
        <v>673.18099999999993</v>
      </c>
      <c r="AH11" s="89">
        <v>6350</v>
      </c>
      <c r="AI11" s="66">
        <v>5.5</v>
      </c>
      <c r="AJ11" s="66">
        <v>8.6</v>
      </c>
      <c r="AK11" s="62">
        <f t="shared" si="19"/>
        <v>349.25</v>
      </c>
      <c r="AL11" s="72">
        <f t="shared" si="20"/>
        <v>546.09999999999991</v>
      </c>
      <c r="AM11" s="73">
        <f t="shared" si="6"/>
        <v>-7.8300000000017462</v>
      </c>
      <c r="AN11" s="74">
        <f t="shared" si="21"/>
        <v>1.1023350000000391</v>
      </c>
      <c r="AO11" s="74">
        <f t="shared" si="22"/>
        <v>-1.1600729999998975</v>
      </c>
      <c r="AP11" s="75">
        <f t="shared" si="23"/>
        <v>-5.6247264024630452E-5</v>
      </c>
      <c r="AQ11" s="76">
        <f t="shared" si="24"/>
        <v>147.67029123004824</v>
      </c>
      <c r="AR11" s="90">
        <f t="shared" si="9"/>
        <v>-77.830000000001746</v>
      </c>
    </row>
    <row r="12" spans="1:44" x14ac:dyDescent="0.25">
      <c r="A12" t="str">
        <f t="shared" si="10"/>
        <v>46178M</v>
      </c>
      <c r="B12" s="51">
        <f t="shared" si="25"/>
        <v>46178</v>
      </c>
      <c r="C12" s="52" t="s">
        <v>87</v>
      </c>
      <c r="D12" s="91">
        <v>6350</v>
      </c>
      <c r="E12" s="62">
        <v>5.5</v>
      </c>
      <c r="F12" s="62">
        <v>8.6</v>
      </c>
      <c r="G12" s="62">
        <f t="shared" si="0"/>
        <v>349.25</v>
      </c>
      <c r="H12" s="72">
        <f t="shared" si="11"/>
        <v>546.09999999999991</v>
      </c>
      <c r="I12" s="119">
        <v>2916.2999999999993</v>
      </c>
      <c r="J12" s="120">
        <v>3003.7889999999993</v>
      </c>
      <c r="K12" s="121">
        <v>4.4373486952645482</v>
      </c>
      <c r="L12" s="122">
        <v>8.322730857593525</v>
      </c>
      <c r="M12" s="58" t="s">
        <v>307</v>
      </c>
      <c r="N12" s="58">
        <v>83314</v>
      </c>
      <c r="O12" s="59">
        <v>2350</v>
      </c>
      <c r="P12" s="56">
        <v>5.2</v>
      </c>
      <c r="Q12" s="60">
        <v>8.4</v>
      </c>
      <c r="R12" s="61">
        <f t="shared" si="12"/>
        <v>5353.7889999999989</v>
      </c>
      <c r="S12" s="62">
        <f t="shared" si="13"/>
        <v>255.48859200000001</v>
      </c>
      <c r="T12" s="63">
        <f t="shared" si="14"/>
        <v>447.39727399999992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26">X12*Y12%</f>
        <v>0</v>
      </c>
      <c r="AB12" s="63">
        <f t="shared" ref="AB12:AB65" si="27">X12*Z12%</f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11660</v>
      </c>
      <c r="AI12" s="66">
        <v>5.2</v>
      </c>
      <c r="AJ12" s="66">
        <v>8.5</v>
      </c>
      <c r="AK12" s="62">
        <f t="shared" si="19"/>
        <v>606.32000000000005</v>
      </c>
      <c r="AL12" s="72">
        <f t="shared" si="20"/>
        <v>991.1</v>
      </c>
      <c r="AM12" s="73">
        <f t="shared" si="6"/>
        <v>43.78899999999885</v>
      </c>
      <c r="AN12" s="74">
        <f t="shared" si="21"/>
        <v>-1.5814080000000104</v>
      </c>
      <c r="AO12" s="74">
        <f t="shared" si="22"/>
        <v>2.3972739999998112</v>
      </c>
      <c r="AP12" s="75">
        <f t="shared" si="23"/>
        <v>1.1607375243476597E-3</v>
      </c>
      <c r="AQ12" s="76">
        <f t="shared" si="24"/>
        <v>7.5303156132721369</v>
      </c>
      <c r="AR12" s="90">
        <f t="shared" si="9"/>
        <v>43.78899999999885</v>
      </c>
    </row>
    <row r="13" spans="1:44" x14ac:dyDescent="0.25">
      <c r="A13" t="str">
        <f t="shared" si="10"/>
        <v>46178E</v>
      </c>
      <c r="B13" s="51">
        <f t="shared" si="25"/>
        <v>46178</v>
      </c>
      <c r="C13" s="52" t="s">
        <v>88</v>
      </c>
      <c r="D13" s="91">
        <v>11660</v>
      </c>
      <c r="E13" s="62">
        <v>5.2</v>
      </c>
      <c r="F13" s="62">
        <v>8.5</v>
      </c>
      <c r="G13" s="62">
        <f t="shared" si="0"/>
        <v>606.32000000000005</v>
      </c>
      <c r="H13" s="72">
        <f t="shared" si="11"/>
        <v>991.1</v>
      </c>
      <c r="I13" s="119">
        <v>4788.7</v>
      </c>
      <c r="J13" s="120">
        <v>4932.3609999999999</v>
      </c>
      <c r="K13" s="121">
        <v>3.8644078768768146</v>
      </c>
      <c r="L13" s="122">
        <v>8.189494017165412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4932.3609999999999</v>
      </c>
      <c r="S13" s="62">
        <f t="shared" si="13"/>
        <v>190.60654700000001</v>
      </c>
      <c r="T13" s="63">
        <f t="shared" si="14"/>
        <v>403.93540900000011</v>
      </c>
      <c r="U13" s="64" t="s">
        <v>308</v>
      </c>
      <c r="V13" s="65" t="s">
        <v>375</v>
      </c>
      <c r="W13" s="66" t="s">
        <v>208</v>
      </c>
      <c r="X13" s="67">
        <v>9530</v>
      </c>
      <c r="Y13" s="68">
        <v>4.4800000000000004</v>
      </c>
      <c r="Z13" s="68">
        <v>8.49</v>
      </c>
      <c r="AA13" s="62">
        <f t="shared" si="26"/>
        <v>426.94400000000007</v>
      </c>
      <c r="AB13" s="63">
        <f t="shared" si="27"/>
        <v>809.09699999999998</v>
      </c>
      <c r="AC13" s="69">
        <v>9470</v>
      </c>
      <c r="AD13" s="70">
        <v>4.1878035902851103</v>
      </c>
      <c r="AE13" s="70">
        <v>8.3014149947201687</v>
      </c>
      <c r="AF13" s="62">
        <f t="shared" si="17"/>
        <v>396.58499999999992</v>
      </c>
      <c r="AG13" s="63">
        <f t="shared" si="18"/>
        <v>786.14400000000001</v>
      </c>
      <c r="AH13" s="89">
        <v>7150</v>
      </c>
      <c r="AI13" s="66">
        <v>5.6</v>
      </c>
      <c r="AJ13" s="66">
        <v>8.5</v>
      </c>
      <c r="AK13" s="62">
        <f t="shared" si="19"/>
        <v>400.4</v>
      </c>
      <c r="AL13" s="72">
        <f t="shared" si="20"/>
        <v>607.75</v>
      </c>
      <c r="AM13" s="73">
        <f t="shared" si="6"/>
        <v>-27.638999999999214</v>
      </c>
      <c r="AN13" s="74">
        <f t="shared" si="21"/>
        <v>-5.8452999999872191E-2</v>
      </c>
      <c r="AO13" s="74">
        <f t="shared" si="22"/>
        <v>1.141409000000067</v>
      </c>
      <c r="AP13" s="75">
        <f t="shared" si="23"/>
        <v>1.8214963453314209E-3</v>
      </c>
      <c r="AQ13" s="76">
        <f t="shared" si="24"/>
        <v>315.35313989674415</v>
      </c>
      <c r="AR13" s="90">
        <f t="shared" si="9"/>
        <v>-87.638999999999214</v>
      </c>
    </row>
    <row r="14" spans="1:44" x14ac:dyDescent="0.25">
      <c r="A14" t="str">
        <f t="shared" si="10"/>
        <v>46179M</v>
      </c>
      <c r="B14" s="51">
        <f t="shared" si="25"/>
        <v>46179</v>
      </c>
      <c r="C14" s="52" t="s">
        <v>87</v>
      </c>
      <c r="D14" s="91">
        <v>7150</v>
      </c>
      <c r="E14" s="62">
        <v>5.6</v>
      </c>
      <c r="F14" s="62">
        <v>8.5</v>
      </c>
      <c r="G14" s="62">
        <f t="shared" si="0"/>
        <v>400.4</v>
      </c>
      <c r="H14" s="72">
        <f t="shared" si="11"/>
        <v>607.75</v>
      </c>
      <c r="I14" s="119">
        <v>3008.7</v>
      </c>
      <c r="J14" s="120">
        <v>3098.9609999999998</v>
      </c>
      <c r="K14" s="121">
        <v>4.4759796589889316</v>
      </c>
      <c r="L14" s="122">
        <v>8.2929703858809454</v>
      </c>
      <c r="M14" s="58" t="s">
        <v>307</v>
      </c>
      <c r="N14" s="58">
        <v>83315</v>
      </c>
      <c r="O14" s="59">
        <v>2380</v>
      </c>
      <c r="P14" s="56">
        <v>5.2</v>
      </c>
      <c r="Q14" s="60">
        <v>8.4</v>
      </c>
      <c r="R14" s="61">
        <f t="shared" si="12"/>
        <v>5478.9609999999993</v>
      </c>
      <c r="S14" s="62">
        <f t="shared" si="13"/>
        <v>262.468864</v>
      </c>
      <c r="T14" s="63">
        <f t="shared" si="14"/>
        <v>456.91591799999998</v>
      </c>
      <c r="U14" s="64" t="s">
        <v>310</v>
      </c>
      <c r="V14" s="65" t="s">
        <v>376</v>
      </c>
      <c r="W14" s="66" t="s">
        <v>208</v>
      </c>
      <c r="X14" s="67">
        <v>7610</v>
      </c>
      <c r="Y14" s="68">
        <v>4.55</v>
      </c>
      <c r="Z14" s="68">
        <v>8.57</v>
      </c>
      <c r="AA14" s="62">
        <f t="shared" si="26"/>
        <v>346.255</v>
      </c>
      <c r="AB14" s="63">
        <f t="shared" si="27"/>
        <v>652.17700000000002</v>
      </c>
      <c r="AC14" s="69">
        <v>7230</v>
      </c>
      <c r="AD14" s="70">
        <v>4.5500000000000007</v>
      </c>
      <c r="AE14" s="70">
        <v>8.44</v>
      </c>
      <c r="AF14" s="62">
        <f t="shared" si="17"/>
        <v>328.96500000000003</v>
      </c>
      <c r="AG14" s="63">
        <f t="shared" si="18"/>
        <v>610.21199999999988</v>
      </c>
      <c r="AH14" s="89">
        <v>5415</v>
      </c>
      <c r="AI14" s="66">
        <v>6.1</v>
      </c>
      <c r="AJ14" s="66">
        <v>8.5</v>
      </c>
      <c r="AK14" s="62">
        <f t="shared" si="19"/>
        <v>330.315</v>
      </c>
      <c r="AL14" s="72">
        <f t="shared" si="20"/>
        <v>460.27500000000003</v>
      </c>
      <c r="AM14" s="73">
        <f t="shared" si="6"/>
        <v>-16.039000000000669</v>
      </c>
      <c r="AN14" s="74">
        <f t="shared" si="21"/>
        <v>3.5888640000000009</v>
      </c>
      <c r="AO14" s="74">
        <f t="shared" si="22"/>
        <v>-5.8210819999999899</v>
      </c>
      <c r="AP14" s="75">
        <f t="shared" si="23"/>
        <v>-3.1029541572926808E-3</v>
      </c>
      <c r="AQ14" s="76">
        <f t="shared" si="24"/>
        <v>-131.01767550666318</v>
      </c>
      <c r="AR14" s="90">
        <f t="shared" si="9"/>
        <v>-396.03900000000067</v>
      </c>
    </row>
    <row r="15" spans="1:44" x14ac:dyDescent="0.25">
      <c r="A15" t="str">
        <f t="shared" si="10"/>
        <v>46179E</v>
      </c>
      <c r="B15" s="51">
        <f t="shared" si="25"/>
        <v>46179</v>
      </c>
      <c r="C15" s="52" t="s">
        <v>88</v>
      </c>
      <c r="D15" s="91">
        <v>5415</v>
      </c>
      <c r="E15" s="62">
        <v>6.1</v>
      </c>
      <c r="F15" s="62">
        <v>8.5</v>
      </c>
      <c r="G15" s="62">
        <f t="shared" si="0"/>
        <v>330.315</v>
      </c>
      <c r="H15" s="72">
        <f t="shared" si="11"/>
        <v>460.27500000000003</v>
      </c>
      <c r="I15" s="119">
        <v>4369.2</v>
      </c>
      <c r="J15" s="120">
        <v>4500.2759999999998</v>
      </c>
      <c r="K15" s="121">
        <v>3.864416826879062</v>
      </c>
      <c r="L15" s="122">
        <v>8.2032820653666558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4500.2759999999998</v>
      </c>
      <c r="S15" s="62">
        <f t="shared" si="13"/>
        <v>173.90942299999998</v>
      </c>
      <c r="T15" s="63">
        <f t="shared" si="14"/>
        <v>369.17033399999991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6"/>
        <v>0</v>
      </c>
      <c r="AB15" s="63">
        <f t="shared" si="27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9908</v>
      </c>
      <c r="AI15" s="66">
        <v>5</v>
      </c>
      <c r="AJ15" s="66">
        <v>8.5</v>
      </c>
      <c r="AK15" s="62">
        <f t="shared" si="19"/>
        <v>495.40000000000003</v>
      </c>
      <c r="AL15" s="72">
        <f t="shared" si="20"/>
        <v>842.18000000000006</v>
      </c>
      <c r="AM15" s="73">
        <f t="shared" si="6"/>
        <v>7.2759999999998399</v>
      </c>
      <c r="AN15" s="74">
        <f t="shared" si="21"/>
        <v>8.8244229999999675</v>
      </c>
      <c r="AO15" s="74">
        <f t="shared" si="22"/>
        <v>-12.734666000000061</v>
      </c>
      <c r="AP15" s="75">
        <f t="shared" si="23"/>
        <v>-7.2001265920874575E-3</v>
      </c>
      <c r="AQ15" s="76">
        <f t="shared" si="24"/>
        <v>150.22578622330047</v>
      </c>
      <c r="AR15" s="90">
        <f t="shared" si="9"/>
        <v>7.2759999999998399</v>
      </c>
    </row>
    <row r="16" spans="1:44" x14ac:dyDescent="0.25">
      <c r="A16" t="str">
        <f t="shared" si="10"/>
        <v>46180M</v>
      </c>
      <c r="B16" s="51">
        <f t="shared" si="25"/>
        <v>46180</v>
      </c>
      <c r="C16" s="52" t="s">
        <v>87</v>
      </c>
      <c r="D16" s="91">
        <v>9908</v>
      </c>
      <c r="E16" s="62">
        <v>5</v>
      </c>
      <c r="F16" s="62">
        <v>8.5</v>
      </c>
      <c r="G16" s="62">
        <f t="shared" si="0"/>
        <v>495.40000000000003</v>
      </c>
      <c r="H16" s="72">
        <f t="shared" si="11"/>
        <v>842.18000000000006</v>
      </c>
      <c r="I16" s="119">
        <v>3102.6000000000004</v>
      </c>
      <c r="J16" s="120">
        <v>3195.6780000000003</v>
      </c>
      <c r="K16" s="121">
        <v>4.3560046412686155</v>
      </c>
      <c r="L16" s="122">
        <v>8.1947237800554387</v>
      </c>
      <c r="M16" s="58" t="s">
        <v>307</v>
      </c>
      <c r="N16" s="58">
        <v>83316</v>
      </c>
      <c r="O16" s="59">
        <v>2430</v>
      </c>
      <c r="P16" s="56">
        <v>5.2</v>
      </c>
      <c r="Q16" s="60">
        <v>8.5</v>
      </c>
      <c r="R16" s="61">
        <f t="shared" si="12"/>
        <v>5625.6779999999999</v>
      </c>
      <c r="S16" s="62">
        <f t="shared" si="13"/>
        <v>265.56388200000009</v>
      </c>
      <c r="T16" s="63">
        <f t="shared" si="14"/>
        <v>468.42698500000012</v>
      </c>
      <c r="U16" s="64" t="s">
        <v>308</v>
      </c>
      <c r="V16" s="65" t="s">
        <v>404</v>
      </c>
      <c r="W16" s="66" t="s">
        <v>208</v>
      </c>
      <c r="X16" s="67">
        <v>9530</v>
      </c>
      <c r="Y16" s="68">
        <v>4.5199999999999996</v>
      </c>
      <c r="Z16" s="68">
        <v>8.56</v>
      </c>
      <c r="AA16" s="62">
        <f t="shared" si="26"/>
        <v>430.75599999999997</v>
      </c>
      <c r="AB16" s="63">
        <f t="shared" si="27"/>
        <v>815.76800000000014</v>
      </c>
      <c r="AC16" s="69">
        <v>9480</v>
      </c>
      <c r="AD16" s="70">
        <v>4.4896624472573841</v>
      </c>
      <c r="AE16" s="70">
        <v>8.4279324894514769</v>
      </c>
      <c r="AF16" s="62">
        <f t="shared" si="17"/>
        <v>425.62</v>
      </c>
      <c r="AG16" s="63">
        <f t="shared" si="18"/>
        <v>798.96800000000007</v>
      </c>
      <c r="AH16" s="89">
        <v>6070</v>
      </c>
      <c r="AI16" s="66">
        <v>5.4</v>
      </c>
      <c r="AJ16" s="66">
        <v>8.6</v>
      </c>
      <c r="AK16" s="62">
        <f t="shared" si="19"/>
        <v>327.78000000000003</v>
      </c>
      <c r="AL16" s="72">
        <f t="shared" si="20"/>
        <v>522.02</v>
      </c>
      <c r="AM16" s="73">
        <f t="shared" si="6"/>
        <v>-16.322000000000116</v>
      </c>
      <c r="AN16" s="74">
        <f t="shared" si="21"/>
        <v>7.5638820000000919</v>
      </c>
      <c r="AO16" s="74">
        <f t="shared" si="22"/>
        <v>-10.381014999999934</v>
      </c>
      <c r="AP16" s="75">
        <f t="shared" si="23"/>
        <v>-3.8381036149865897E-3</v>
      </c>
      <c r="AQ16" s="76">
        <f t="shared" si="24"/>
        <v>288.74130618672734</v>
      </c>
      <c r="AR16" s="90">
        <f t="shared" si="9"/>
        <v>-66.322000000000116</v>
      </c>
    </row>
    <row r="17" spans="1:49" x14ac:dyDescent="0.25">
      <c r="A17" t="str">
        <f t="shared" si="10"/>
        <v>46180E</v>
      </c>
      <c r="B17" s="51">
        <f t="shared" si="25"/>
        <v>46180</v>
      </c>
      <c r="C17" s="52" t="s">
        <v>88</v>
      </c>
      <c r="D17" s="91">
        <v>6070</v>
      </c>
      <c r="E17" s="62">
        <v>5.4</v>
      </c>
      <c r="F17" s="62">
        <v>8.6</v>
      </c>
      <c r="G17" s="62">
        <f t="shared" si="0"/>
        <v>327.78000000000003</v>
      </c>
      <c r="H17" s="72">
        <f t="shared" si="11"/>
        <v>522.02</v>
      </c>
      <c r="I17" s="119">
        <v>4415.4000000000024</v>
      </c>
      <c r="J17" s="120">
        <v>4547.8620000000028</v>
      </c>
      <c r="K17" s="121">
        <v>3.8752412012501694</v>
      </c>
      <c r="L17" s="122">
        <v>8.1936155274720264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4547.8620000000028</v>
      </c>
      <c r="S17" s="62">
        <f t="shared" si="13"/>
        <v>176.24062200000009</v>
      </c>
      <c r="T17" s="63">
        <f t="shared" si="14"/>
        <v>372.63432700000004</v>
      </c>
      <c r="U17" s="64" t="s">
        <v>310</v>
      </c>
      <c r="V17" s="65" t="s">
        <v>405</v>
      </c>
      <c r="W17" s="66" t="s">
        <v>208</v>
      </c>
      <c r="X17" s="67">
        <v>7610</v>
      </c>
      <c r="Y17" s="68">
        <v>4.63</v>
      </c>
      <c r="Z17" s="68">
        <v>8.59</v>
      </c>
      <c r="AA17" s="62">
        <f t="shared" si="26"/>
        <v>352.34300000000002</v>
      </c>
      <c r="AB17" s="63">
        <f t="shared" si="27"/>
        <v>653.69900000000007</v>
      </c>
      <c r="AC17" s="69">
        <v>7580</v>
      </c>
      <c r="AD17" s="70">
        <v>4.5193931398416893</v>
      </c>
      <c r="AE17" s="70">
        <v>8.493905013192613</v>
      </c>
      <c r="AF17" s="62">
        <f t="shared" si="17"/>
        <v>342.57000000000005</v>
      </c>
      <c r="AG17" s="63">
        <f t="shared" si="18"/>
        <v>643.83800000000008</v>
      </c>
      <c r="AH17" s="89">
        <v>3050</v>
      </c>
      <c r="AI17" s="66">
        <v>5.2</v>
      </c>
      <c r="AJ17" s="66">
        <v>8.4</v>
      </c>
      <c r="AK17" s="62">
        <f t="shared" si="19"/>
        <v>158.60000000000002</v>
      </c>
      <c r="AL17" s="72">
        <f t="shared" si="20"/>
        <v>256.2</v>
      </c>
      <c r="AM17" s="73">
        <f t="shared" si="6"/>
        <v>-12.137999999997191</v>
      </c>
      <c r="AN17" s="74">
        <f t="shared" si="21"/>
        <v>2.850622000000044</v>
      </c>
      <c r="AO17" s="74">
        <f t="shared" si="22"/>
        <v>-5.3836730000001012</v>
      </c>
      <c r="AP17" s="75">
        <f t="shared" si="23"/>
        <v>-4.6149874477147195E-3</v>
      </c>
      <c r="AQ17" s="76">
        <f t="shared" si="24"/>
        <v>-331.51704226667721</v>
      </c>
      <c r="AR17" s="90">
        <f t="shared" si="9"/>
        <v>-42.137999999997191</v>
      </c>
    </row>
    <row r="18" spans="1:49" x14ac:dyDescent="0.25">
      <c r="A18" t="str">
        <f t="shared" si="10"/>
        <v>46181M</v>
      </c>
      <c r="B18" s="51">
        <f t="shared" si="25"/>
        <v>46181</v>
      </c>
      <c r="C18" s="99" t="s">
        <v>87</v>
      </c>
      <c r="D18" s="91">
        <v>3050</v>
      </c>
      <c r="E18" s="62">
        <v>5.2</v>
      </c>
      <c r="F18" s="62">
        <v>8.4</v>
      </c>
      <c r="G18" s="62">
        <f t="shared" si="0"/>
        <v>158.60000000000002</v>
      </c>
      <c r="H18" s="72">
        <f t="shared" si="11"/>
        <v>256.2</v>
      </c>
      <c r="I18" s="119">
        <v>3053.4999999999995</v>
      </c>
      <c r="J18" s="120">
        <v>3145.1049999999996</v>
      </c>
      <c r="K18" s="121">
        <v>4.4617586376289493</v>
      </c>
      <c r="L18" s="122">
        <v>8.2702603569674142</v>
      </c>
      <c r="M18" s="58" t="s">
        <v>307</v>
      </c>
      <c r="N18" s="58">
        <v>83317</v>
      </c>
      <c r="O18" s="59">
        <v>2390</v>
      </c>
      <c r="P18" s="56">
        <v>5.2</v>
      </c>
      <c r="Q18" s="60">
        <v>8.4</v>
      </c>
      <c r="R18" s="61">
        <f t="shared" si="12"/>
        <v>5535.1049999999996</v>
      </c>
      <c r="S18" s="62">
        <f t="shared" si="13"/>
        <v>264.60699399999999</v>
      </c>
      <c r="T18" s="63">
        <f t="shared" si="14"/>
        <v>460.86837200000002</v>
      </c>
      <c r="U18" s="64" t="s">
        <v>187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26"/>
        <v>0</v>
      </c>
      <c r="AB18" s="63">
        <f t="shared" si="27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89">
        <v>8580</v>
      </c>
      <c r="AI18" s="66">
        <v>4.9000000000000004</v>
      </c>
      <c r="AJ18" s="66">
        <v>8.4</v>
      </c>
      <c r="AK18" s="62">
        <f t="shared" si="19"/>
        <v>420.42</v>
      </c>
      <c r="AL18" s="72">
        <f t="shared" si="20"/>
        <v>720.72</v>
      </c>
      <c r="AM18" s="73">
        <f t="shared" si="6"/>
        <v>5.1049999999995634</v>
      </c>
      <c r="AN18" s="74">
        <f t="shared" si="21"/>
        <v>2.7869939999999929</v>
      </c>
      <c r="AO18" s="74">
        <f t="shared" si="22"/>
        <v>-3.6516280000000734</v>
      </c>
      <c r="AP18" s="75">
        <f t="shared" si="23"/>
        <v>-1.1918171732933527E-3</v>
      </c>
      <c r="AQ18" s="76">
        <f t="shared" si="24"/>
        <v>158.27459288664136</v>
      </c>
      <c r="AR18" s="90">
        <f t="shared" si="9"/>
        <v>5.1049999999995634</v>
      </c>
    </row>
    <row r="19" spans="1:49" x14ac:dyDescent="0.25">
      <c r="A19" t="str">
        <f t="shared" si="10"/>
        <v>46181E</v>
      </c>
      <c r="B19" s="51">
        <f t="shared" si="25"/>
        <v>46181</v>
      </c>
      <c r="C19" s="52" t="s">
        <v>88</v>
      </c>
      <c r="D19" s="91">
        <v>8580</v>
      </c>
      <c r="E19" s="62">
        <v>4.9000000000000004</v>
      </c>
      <c r="F19" s="62">
        <v>8.4</v>
      </c>
      <c r="G19" s="62">
        <f t="shared" si="0"/>
        <v>420.42</v>
      </c>
      <c r="H19" s="72">
        <f t="shared" si="11"/>
        <v>720.72</v>
      </c>
      <c r="I19" s="119">
        <v>4304.3</v>
      </c>
      <c r="J19" s="120">
        <v>4433.4290000000001</v>
      </c>
      <c r="K19" s="121">
        <v>3.9623794809841328</v>
      </c>
      <c r="L19" s="122">
        <v>8.2434542201984069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4433.4290000000001</v>
      </c>
      <c r="S19" s="62">
        <f t="shared" si="13"/>
        <v>175.66928100000004</v>
      </c>
      <c r="T19" s="63">
        <f t="shared" si="14"/>
        <v>365.46769</v>
      </c>
      <c r="U19" s="64" t="s">
        <v>308</v>
      </c>
      <c r="V19" s="65" t="s">
        <v>406</v>
      </c>
      <c r="W19" s="66" t="s">
        <v>208</v>
      </c>
      <c r="X19" s="67">
        <v>9530</v>
      </c>
      <c r="Y19" s="68">
        <v>4.29</v>
      </c>
      <c r="Z19" s="68">
        <v>8.52</v>
      </c>
      <c r="AA19" s="62">
        <f t="shared" si="26"/>
        <v>408.83699999999999</v>
      </c>
      <c r="AB19" s="63">
        <f t="shared" si="27"/>
        <v>811.95600000000002</v>
      </c>
      <c r="AC19" s="69">
        <v>9500</v>
      </c>
      <c r="AD19" s="70">
        <v>4.2449473684210526</v>
      </c>
      <c r="AE19" s="70">
        <v>8.3129263157894737</v>
      </c>
      <c r="AF19" s="62">
        <f t="shared" ref="AF19:AF31" si="28">AC19*AD19%</f>
        <v>403.27</v>
      </c>
      <c r="AG19" s="63">
        <f t="shared" ref="AG19:AG31" si="29">AC19*AE19%</f>
        <v>789.72799999999995</v>
      </c>
      <c r="AH19" s="89">
        <v>3510</v>
      </c>
      <c r="AI19" s="66">
        <v>5.5</v>
      </c>
      <c r="AJ19" s="66">
        <v>8.4</v>
      </c>
      <c r="AK19" s="62">
        <f t="shared" si="19"/>
        <v>193.05</v>
      </c>
      <c r="AL19" s="72">
        <f t="shared" si="20"/>
        <v>294.84000000000003</v>
      </c>
      <c r="AM19" s="73">
        <f t="shared" si="6"/>
        <v>3.4290000000000873</v>
      </c>
      <c r="AN19" s="74">
        <f t="shared" si="21"/>
        <v>-0.23071899999996504</v>
      </c>
      <c r="AO19" s="74">
        <f t="shared" si="22"/>
        <v>1.6196899999999914</v>
      </c>
      <c r="AP19" s="75">
        <f t="shared" si="23"/>
        <v>2.5667641917595505E-3</v>
      </c>
      <c r="AQ19" s="76">
        <f t="shared" si="24"/>
        <v>381.15795897667982</v>
      </c>
      <c r="AR19" s="90">
        <f t="shared" si="9"/>
        <v>-26.570999999999913</v>
      </c>
      <c r="AS19" s="90">
        <f>SUM(J6:J19)</f>
        <v>55304.717000000004</v>
      </c>
      <c r="AT19" s="83">
        <f>SUM(AM6:AM19)</f>
        <v>-10.282999999999447</v>
      </c>
      <c r="AU19" s="83">
        <f>SUM(AN6:AN19)</f>
        <v>29.886132000000202</v>
      </c>
      <c r="AV19" s="83">
        <f>SUM(AO6:AO19)</f>
        <v>-40.737127000000612</v>
      </c>
      <c r="AW19" s="83">
        <f>-SUM(AQ6:AQ19)</f>
        <v>-1224.6477284065738</v>
      </c>
    </row>
    <row r="20" spans="1:49" x14ac:dyDescent="0.25">
      <c r="A20" t="str">
        <f t="shared" si="10"/>
        <v>46182M</v>
      </c>
      <c r="B20" s="51">
        <f t="shared" si="25"/>
        <v>46182</v>
      </c>
      <c r="C20" s="52" t="s">
        <v>87</v>
      </c>
      <c r="D20" s="91">
        <v>3510</v>
      </c>
      <c r="E20" s="62">
        <v>5.5</v>
      </c>
      <c r="F20" s="62">
        <v>8.4</v>
      </c>
      <c r="G20" s="62">
        <f t="shared" si="0"/>
        <v>193.05</v>
      </c>
      <c r="H20" s="72">
        <f t="shared" si="11"/>
        <v>294.84000000000003</v>
      </c>
      <c r="I20" s="119">
        <v>3083.2</v>
      </c>
      <c r="J20" s="120">
        <v>3175.6959999999999</v>
      </c>
      <c r="K20" s="121">
        <v>4.1933575505967831</v>
      </c>
      <c r="L20" s="122">
        <v>8.1787558380902965</v>
      </c>
      <c r="M20" s="58" t="s">
        <v>458</v>
      </c>
      <c r="N20" s="58" t="s">
        <v>459</v>
      </c>
      <c r="O20" s="59">
        <v>5920</v>
      </c>
      <c r="P20" s="56">
        <v>5.09</v>
      </c>
      <c r="Q20" s="60">
        <v>8.59</v>
      </c>
      <c r="R20" s="61">
        <f t="shared" si="12"/>
        <v>9095.6959999999999</v>
      </c>
      <c r="S20" s="62">
        <f t="shared" si="13"/>
        <v>434.49628800000005</v>
      </c>
      <c r="T20" s="63">
        <f t="shared" si="14"/>
        <v>768.26042200000006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6"/>
        <v>0</v>
      </c>
      <c r="AB20" s="63">
        <f t="shared" si="27"/>
        <v>0</v>
      </c>
      <c r="AC20" s="69"/>
      <c r="AD20" s="70"/>
      <c r="AE20" s="70"/>
      <c r="AF20" s="62">
        <f t="shared" si="28"/>
        <v>0</v>
      </c>
      <c r="AG20" s="63">
        <f t="shared" si="29"/>
        <v>0</v>
      </c>
      <c r="AH20" s="89">
        <v>12600</v>
      </c>
      <c r="AI20" s="66">
        <v>5</v>
      </c>
      <c r="AJ20" s="66">
        <v>8.4</v>
      </c>
      <c r="AK20" s="62">
        <f t="shared" ref="AK20:AK22" si="30">AH20*AI20%</f>
        <v>630</v>
      </c>
      <c r="AL20" s="72">
        <f t="shared" ref="AL20:AL22" si="31">AH20*AJ20%</f>
        <v>1058.4000000000001</v>
      </c>
      <c r="AM20" s="73">
        <f t="shared" si="6"/>
        <v>5.6959999999999127</v>
      </c>
      <c r="AN20" s="74">
        <f t="shared" ref="AN20:AN21" si="32">+G20+S20-AF20-AK20</f>
        <v>-2.4537119999999959</v>
      </c>
      <c r="AO20" s="74">
        <f t="shared" ref="AO20:AO21" si="33">+H20+T20-AG20-AL20</f>
        <v>4.7004219999998895</v>
      </c>
      <c r="AP20" s="75">
        <f t="shared" ref="AP20:AP65" si="34">(AN20+AO20)/(S20+T20)</f>
        <v>1.8679671302768233E-3</v>
      </c>
      <c r="AQ20" s="76">
        <f t="shared" si="8"/>
        <v>305.21510609330221</v>
      </c>
      <c r="AR20" s="90">
        <f t="shared" si="9"/>
        <v>5.6959999999999127</v>
      </c>
    </row>
    <row r="21" spans="1:49" x14ac:dyDescent="0.25">
      <c r="A21" t="str">
        <f t="shared" si="10"/>
        <v>46182E</v>
      </c>
      <c r="B21" s="51">
        <f t="shared" si="25"/>
        <v>46182</v>
      </c>
      <c r="C21" s="52" t="s">
        <v>88</v>
      </c>
      <c r="D21" s="91">
        <v>12600</v>
      </c>
      <c r="E21" s="62">
        <v>5</v>
      </c>
      <c r="F21" s="62">
        <v>8.4</v>
      </c>
      <c r="G21" s="62">
        <f t="shared" si="0"/>
        <v>630</v>
      </c>
      <c r="H21" s="72">
        <f t="shared" si="11"/>
        <v>1058.4000000000001</v>
      </c>
      <c r="I21" s="119">
        <v>5217.3</v>
      </c>
      <c r="J21" s="120">
        <v>5373.8190000000004</v>
      </c>
      <c r="K21" s="121">
        <v>4.1839323021486203</v>
      </c>
      <c r="L21" s="122">
        <v>8.3843022252889412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2"/>
        <v>5373.8190000000004</v>
      </c>
      <c r="S21" s="62">
        <f t="shared" si="13"/>
        <v>224.836949</v>
      </c>
      <c r="T21" s="63">
        <f t="shared" si="14"/>
        <v>450.55722599999996</v>
      </c>
      <c r="U21" s="64" t="s">
        <v>308</v>
      </c>
      <c r="V21" s="65" t="s">
        <v>460</v>
      </c>
      <c r="W21" s="66" t="s">
        <v>208</v>
      </c>
      <c r="X21" s="67">
        <v>9530</v>
      </c>
      <c r="Y21" s="68">
        <v>4.6500000000000004</v>
      </c>
      <c r="Z21" s="68">
        <v>8.7200000000000006</v>
      </c>
      <c r="AA21" s="62">
        <f t="shared" si="26"/>
        <v>443.14500000000004</v>
      </c>
      <c r="AB21" s="63">
        <f t="shared" si="27"/>
        <v>831.01599999999996</v>
      </c>
      <c r="AC21" s="69">
        <v>9440</v>
      </c>
      <c r="AD21" s="70">
        <v>4.5999999999999996</v>
      </c>
      <c r="AE21" s="70">
        <v>8.4499999999999975</v>
      </c>
      <c r="AF21" s="62">
        <f t="shared" si="28"/>
        <v>434.24</v>
      </c>
      <c r="AG21" s="63">
        <f t="shared" si="29"/>
        <v>797.67999999999984</v>
      </c>
      <c r="AH21" s="89">
        <v>8525</v>
      </c>
      <c r="AI21" s="66">
        <v>4.9000000000000004</v>
      </c>
      <c r="AJ21" s="66">
        <v>8.4</v>
      </c>
      <c r="AK21" s="62">
        <f t="shared" si="30"/>
        <v>417.72500000000002</v>
      </c>
      <c r="AL21" s="72">
        <f t="shared" si="31"/>
        <v>716.1</v>
      </c>
      <c r="AM21" s="73">
        <f t="shared" si="6"/>
        <v>8.8189999999995052</v>
      </c>
      <c r="AN21" s="74">
        <f t="shared" si="32"/>
        <v>2.8719489999999723</v>
      </c>
      <c r="AO21" s="74">
        <f t="shared" si="33"/>
        <v>-4.8227739999998676</v>
      </c>
      <c r="AP21" s="75">
        <f t="shared" si="34"/>
        <v>-2.8884243782527374E-3</v>
      </c>
      <c r="AQ21" s="76">
        <f t="shared" si="8"/>
        <v>-154.08102530330621</v>
      </c>
      <c r="AR21" s="90">
        <f t="shared" si="9"/>
        <v>-81.181000000000495</v>
      </c>
    </row>
    <row r="22" spans="1:49" x14ac:dyDescent="0.25">
      <c r="A22" t="str">
        <f t="shared" si="10"/>
        <v>46183M</v>
      </c>
      <c r="B22" s="51">
        <f t="shared" si="25"/>
        <v>46183</v>
      </c>
      <c r="C22" s="52" t="s">
        <v>87</v>
      </c>
      <c r="D22" s="91">
        <v>8525</v>
      </c>
      <c r="E22" s="62">
        <v>4.9000000000000004</v>
      </c>
      <c r="F22" s="62">
        <v>8.4</v>
      </c>
      <c r="G22" s="62">
        <f t="shared" si="0"/>
        <v>417.72500000000002</v>
      </c>
      <c r="H22" s="72">
        <f t="shared" si="11"/>
        <v>716.1</v>
      </c>
      <c r="I22" s="119">
        <v>3162.7</v>
      </c>
      <c r="J22" s="120">
        <v>3257.5809999999997</v>
      </c>
      <c r="K22" s="121">
        <v>4.4386979479558617</v>
      </c>
      <c r="L22" s="122">
        <v>8.3296550415783948</v>
      </c>
      <c r="M22" s="58" t="s">
        <v>487</v>
      </c>
      <c r="N22" s="58" t="s">
        <v>456</v>
      </c>
      <c r="O22" s="59">
        <v>2230</v>
      </c>
      <c r="P22" s="56">
        <v>5.3</v>
      </c>
      <c r="Q22" s="60">
        <v>8.5</v>
      </c>
      <c r="R22" s="61">
        <f t="shared" si="12"/>
        <v>5487.5810000000001</v>
      </c>
      <c r="S22" s="62">
        <f t="shared" si="13"/>
        <v>262.78418099999999</v>
      </c>
      <c r="T22" s="63">
        <f t="shared" si="14"/>
        <v>460.89525999999989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26"/>
        <v>0</v>
      </c>
      <c r="AB22" s="63">
        <f t="shared" si="27"/>
        <v>0</v>
      </c>
      <c r="AC22" s="69"/>
      <c r="AD22" s="70"/>
      <c r="AE22" s="70"/>
      <c r="AF22" s="62">
        <f t="shared" si="28"/>
        <v>0</v>
      </c>
      <c r="AG22" s="63">
        <f t="shared" si="29"/>
        <v>0</v>
      </c>
      <c r="AH22" s="89">
        <v>14000</v>
      </c>
      <c r="AI22" s="66">
        <v>4.8</v>
      </c>
      <c r="AJ22" s="66">
        <v>8.5</v>
      </c>
      <c r="AK22" s="62">
        <f t="shared" si="30"/>
        <v>672</v>
      </c>
      <c r="AL22" s="72">
        <f t="shared" si="31"/>
        <v>1190</v>
      </c>
      <c r="AM22" s="73">
        <f t="shared" si="6"/>
        <v>12.581000000000131</v>
      </c>
      <c r="AN22" s="80">
        <f t="shared" ref="AN22" si="35">+G22+S22-AF22-AK22</f>
        <v>8.5091810000000123</v>
      </c>
      <c r="AO22" s="80">
        <f t="shared" ref="AO22" si="36">+H22+T22-AG22-AL22</f>
        <v>-13.004740000000083</v>
      </c>
      <c r="AP22" s="75">
        <f t="shared" si="34"/>
        <v>-6.2120861051240947E-3</v>
      </c>
      <c r="AQ22" s="76">
        <f t="shared" si="8"/>
        <v>-72.115446223353047</v>
      </c>
      <c r="AR22" s="90">
        <f t="shared" si="9"/>
        <v>12.581000000000131</v>
      </c>
    </row>
    <row r="23" spans="1:49" x14ac:dyDescent="0.25">
      <c r="A23" t="str">
        <f t="shared" si="10"/>
        <v>46183E</v>
      </c>
      <c r="B23" s="51">
        <f t="shared" si="25"/>
        <v>46183</v>
      </c>
      <c r="C23" s="52" t="s">
        <v>88</v>
      </c>
      <c r="D23" s="91">
        <v>14000</v>
      </c>
      <c r="E23" s="62">
        <v>4.8</v>
      </c>
      <c r="F23" s="62">
        <v>8.5</v>
      </c>
      <c r="G23" s="62">
        <f t="shared" si="0"/>
        <v>672</v>
      </c>
      <c r="H23" s="72">
        <f t="shared" si="11"/>
        <v>1190</v>
      </c>
      <c r="I23" s="119">
        <v>4198.2000000000007</v>
      </c>
      <c r="J23" s="120">
        <v>4324.1460000000006</v>
      </c>
      <c r="K23" s="121">
        <v>3.8201205278452663</v>
      </c>
      <c r="L23" s="122">
        <v>8.1270925634795876</v>
      </c>
      <c r="M23" s="58">
        <v>0</v>
      </c>
      <c r="N23" s="58" t="s">
        <v>167</v>
      </c>
      <c r="O23" s="59">
        <v>0</v>
      </c>
      <c r="P23" s="56">
        <v>0</v>
      </c>
      <c r="Q23" s="60">
        <v>0</v>
      </c>
      <c r="R23" s="61">
        <f t="shared" si="12"/>
        <v>4324.1460000000006</v>
      </c>
      <c r="S23" s="62">
        <f t="shared" si="13"/>
        <v>165.187589</v>
      </c>
      <c r="T23" s="63">
        <f t="shared" si="14"/>
        <v>351.42734800000011</v>
      </c>
      <c r="U23" s="64" t="s">
        <v>308</v>
      </c>
      <c r="V23" s="65" t="s">
        <v>488</v>
      </c>
      <c r="W23" s="66" t="s">
        <v>208</v>
      </c>
      <c r="X23" s="67">
        <v>9530</v>
      </c>
      <c r="Y23" s="68">
        <v>4.5199999999999996</v>
      </c>
      <c r="Z23" s="68">
        <v>8.44</v>
      </c>
      <c r="AA23" s="62">
        <f t="shared" si="26"/>
        <v>430.75599999999997</v>
      </c>
      <c r="AB23" s="63">
        <f t="shared" si="27"/>
        <v>804.33199999999988</v>
      </c>
      <c r="AC23" s="228">
        <v>9520</v>
      </c>
      <c r="AD23" s="227">
        <v>4.4930147058823522</v>
      </c>
      <c r="AE23" s="227">
        <v>8.4341176470588231</v>
      </c>
      <c r="AF23" s="62">
        <f t="shared" si="28"/>
        <v>427.7349999999999</v>
      </c>
      <c r="AG23" s="63">
        <f t="shared" si="29"/>
        <v>802.92799999999988</v>
      </c>
      <c r="AH23" s="89">
        <v>8790</v>
      </c>
      <c r="AI23" s="66">
        <v>4.5999999999999996</v>
      </c>
      <c r="AJ23" s="66">
        <v>8.5</v>
      </c>
      <c r="AK23" s="62">
        <f t="shared" ref="AK23:AK36" si="37">AH23*AI23%</f>
        <v>404.34</v>
      </c>
      <c r="AL23" s="72">
        <f t="shared" ref="AL23:AL36" si="38">AH23*AJ23%</f>
        <v>747.15000000000009</v>
      </c>
      <c r="AM23" s="73">
        <f t="shared" si="6"/>
        <v>14.14600000000064</v>
      </c>
      <c r="AN23" s="80">
        <f t="shared" ref="AN23:AN35" si="39">+G23+S23-AF23-AK23</f>
        <v>5.1125890000001277</v>
      </c>
      <c r="AO23" s="80">
        <f t="shared" ref="AO23:AO35" si="40">+H23+T23-AG23-AL23</f>
        <v>-8.650651999999809</v>
      </c>
      <c r="AP23" s="75">
        <f t="shared" si="34"/>
        <v>-6.8485495610044293E-3</v>
      </c>
      <c r="AQ23" s="76">
        <f t="shared" si="8"/>
        <v>-293.81713155655234</v>
      </c>
      <c r="AR23" s="90">
        <f t="shared" si="9"/>
        <v>4.1460000000006403</v>
      </c>
    </row>
    <row r="24" spans="1:49" x14ac:dyDescent="0.25">
      <c r="A24" t="str">
        <f t="shared" si="10"/>
        <v>46184M</v>
      </c>
      <c r="B24" s="51">
        <f t="shared" si="25"/>
        <v>46184</v>
      </c>
      <c r="C24" s="99" t="s">
        <v>87</v>
      </c>
      <c r="D24" s="91">
        <v>8790</v>
      </c>
      <c r="E24" s="62">
        <v>4.5999999999999996</v>
      </c>
      <c r="F24" s="62">
        <v>8.5</v>
      </c>
      <c r="G24" s="62">
        <f t="shared" si="0"/>
        <v>404.34</v>
      </c>
      <c r="H24" s="72">
        <f t="shared" si="11"/>
        <v>747.15000000000009</v>
      </c>
      <c r="I24" s="119">
        <v>4684.5999999999976</v>
      </c>
      <c r="J24" s="120">
        <v>4825.1379999999981</v>
      </c>
      <c r="K24" s="121">
        <v>4.2130064466549975</v>
      </c>
      <c r="L24" s="122">
        <v>8.4074136532468096</v>
      </c>
      <c r="M24" s="58" t="s">
        <v>307</v>
      </c>
      <c r="N24" s="58" t="s">
        <v>457</v>
      </c>
      <c r="O24" s="59">
        <v>2510</v>
      </c>
      <c r="P24" s="56">
        <v>5.2</v>
      </c>
      <c r="Q24" s="60">
        <v>8.5</v>
      </c>
      <c r="R24" s="61">
        <f t="shared" si="12"/>
        <v>7335.1379999999981</v>
      </c>
      <c r="S24" s="62">
        <f t="shared" si="13"/>
        <v>333.80337499999996</v>
      </c>
      <c r="T24" s="63">
        <f t="shared" si="14"/>
        <v>619.0193109999999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26"/>
        <v>0</v>
      </c>
      <c r="AB24" s="63">
        <f t="shared" si="27"/>
        <v>0</v>
      </c>
      <c r="AC24" s="69"/>
      <c r="AD24" s="70"/>
      <c r="AE24" s="70"/>
      <c r="AF24" s="62">
        <f t="shared" si="28"/>
        <v>0</v>
      </c>
      <c r="AG24" s="63">
        <f t="shared" si="29"/>
        <v>0</v>
      </c>
      <c r="AH24" s="89">
        <v>16055</v>
      </c>
      <c r="AI24" s="66">
        <v>4.5999999999999996</v>
      </c>
      <c r="AJ24" s="66">
        <v>8.5</v>
      </c>
      <c r="AK24" s="62">
        <f t="shared" si="37"/>
        <v>738.53</v>
      </c>
      <c r="AL24" s="72">
        <f t="shared" si="38"/>
        <v>1364.6750000000002</v>
      </c>
      <c r="AM24" s="73">
        <f t="shared" si="6"/>
        <v>70.13799999999901</v>
      </c>
      <c r="AN24" s="80">
        <f t="shared" si="39"/>
        <v>-0.38662500000009459</v>
      </c>
      <c r="AO24" s="80">
        <f t="shared" si="40"/>
        <v>1.4943109999999251</v>
      </c>
      <c r="AP24" s="75">
        <f t="shared" si="34"/>
        <v>1.1625310944788218E-3</v>
      </c>
      <c r="AQ24" s="76">
        <f t="shared" si="8"/>
        <v>273.64760525660182</v>
      </c>
      <c r="AR24" s="90">
        <f t="shared" si="9"/>
        <v>70.13799999999901</v>
      </c>
    </row>
    <row r="25" spans="1:49" x14ac:dyDescent="0.25">
      <c r="A25" t="str">
        <f t="shared" si="10"/>
        <v>46184E</v>
      </c>
      <c r="B25" s="51">
        <f t="shared" si="25"/>
        <v>46184</v>
      </c>
      <c r="C25" s="52" t="s">
        <v>88</v>
      </c>
      <c r="D25" s="91">
        <v>16055</v>
      </c>
      <c r="E25" s="62">
        <v>4.5999999999999996</v>
      </c>
      <c r="F25" s="62">
        <v>8.5</v>
      </c>
      <c r="G25" s="62">
        <f t="shared" si="0"/>
        <v>738.53</v>
      </c>
      <c r="H25" s="72">
        <f t="shared" si="11"/>
        <v>1364.6750000000002</v>
      </c>
      <c r="I25" s="119">
        <v>4537.5000000000018</v>
      </c>
      <c r="J25" s="120">
        <v>4673.6250000000018</v>
      </c>
      <c r="K25" s="121">
        <v>3.9931129476584033</v>
      </c>
      <c r="L25" s="122">
        <v>8.3102942148760341</v>
      </c>
      <c r="M25" s="58">
        <v>0</v>
      </c>
      <c r="N25" s="58" t="s">
        <v>167</v>
      </c>
      <c r="O25" s="59">
        <v>0</v>
      </c>
      <c r="P25" s="56">
        <v>0</v>
      </c>
      <c r="Q25" s="60">
        <v>0</v>
      </c>
      <c r="R25" s="61">
        <f t="shared" si="12"/>
        <v>4673.6250000000018</v>
      </c>
      <c r="S25" s="62">
        <f t="shared" si="13"/>
        <v>186.62312500000013</v>
      </c>
      <c r="T25" s="63">
        <f t="shared" si="14"/>
        <v>388.3919880000002</v>
      </c>
      <c r="U25" s="64" t="s">
        <v>301</v>
      </c>
      <c r="V25" s="65" t="s">
        <v>489</v>
      </c>
      <c r="W25" s="66" t="s">
        <v>208</v>
      </c>
      <c r="X25" s="67">
        <v>6000</v>
      </c>
      <c r="Y25" s="68">
        <v>4.45</v>
      </c>
      <c r="Z25" s="68">
        <v>8.6</v>
      </c>
      <c r="AA25" s="62">
        <f t="shared" si="26"/>
        <v>267.00000000000006</v>
      </c>
      <c r="AB25" s="63">
        <f t="shared" si="27"/>
        <v>516</v>
      </c>
      <c r="AC25" s="69">
        <v>5940</v>
      </c>
      <c r="AD25" s="70">
        <v>4.2</v>
      </c>
      <c r="AE25" s="70">
        <v>8.370000000000001</v>
      </c>
      <c r="AF25" s="62">
        <f t="shared" si="28"/>
        <v>249.48000000000002</v>
      </c>
      <c r="AG25" s="63">
        <f t="shared" si="29"/>
        <v>497.17800000000005</v>
      </c>
      <c r="AH25" s="89">
        <v>14705</v>
      </c>
      <c r="AI25" s="66">
        <v>4.5999999999999996</v>
      </c>
      <c r="AJ25" s="66">
        <v>8.5</v>
      </c>
      <c r="AK25" s="62">
        <f t="shared" si="37"/>
        <v>676.43</v>
      </c>
      <c r="AL25" s="72">
        <f t="shared" si="38"/>
        <v>1249.9250000000002</v>
      </c>
      <c r="AM25" s="73">
        <f t="shared" si="6"/>
        <v>83.625</v>
      </c>
      <c r="AN25" s="80">
        <f t="shared" si="39"/>
        <v>-0.75687499999992269</v>
      </c>
      <c r="AO25" s="80">
        <f t="shared" si="40"/>
        <v>5.9639880000001995</v>
      </c>
      <c r="AP25" s="75">
        <f t="shared" si="34"/>
        <v>9.0556106827061316E-3</v>
      </c>
      <c r="AQ25" s="76">
        <f t="shared" si="8"/>
        <v>1445.0938124700947</v>
      </c>
      <c r="AR25" s="90">
        <f t="shared" si="9"/>
        <v>23.625</v>
      </c>
    </row>
    <row r="26" spans="1:49" x14ac:dyDescent="0.25">
      <c r="A26" t="str">
        <f t="shared" si="10"/>
        <v>46185M</v>
      </c>
      <c r="B26" s="51">
        <f t="shared" si="25"/>
        <v>46185</v>
      </c>
      <c r="C26" s="52" t="s">
        <v>87</v>
      </c>
      <c r="D26" s="91">
        <v>14705</v>
      </c>
      <c r="E26" s="62">
        <v>4.5999999999999996</v>
      </c>
      <c r="F26" s="62">
        <v>8.5</v>
      </c>
      <c r="G26" s="62">
        <f t="shared" si="0"/>
        <v>676.43</v>
      </c>
      <c r="H26" s="72">
        <f t="shared" si="11"/>
        <v>1249.9250000000002</v>
      </c>
      <c r="I26" s="119">
        <v>2584.6999999999998</v>
      </c>
      <c r="J26" s="120">
        <v>2662.241</v>
      </c>
      <c r="K26" s="121">
        <v>4.4344140519209212</v>
      </c>
      <c r="L26" s="122">
        <v>8.3995357294850486</v>
      </c>
      <c r="M26" s="58" t="s">
        <v>307</v>
      </c>
      <c r="N26" s="58" t="s">
        <v>486</v>
      </c>
      <c r="O26" s="59">
        <v>2200</v>
      </c>
      <c r="P26" s="56">
        <v>5.3</v>
      </c>
      <c r="Q26" s="60">
        <v>8.6</v>
      </c>
      <c r="R26" s="61">
        <f t="shared" si="12"/>
        <v>4862.241</v>
      </c>
      <c r="S26" s="62">
        <f t="shared" si="13"/>
        <v>234.65478900000005</v>
      </c>
      <c r="T26" s="63">
        <f t="shared" si="14"/>
        <v>412.81588400000004</v>
      </c>
      <c r="U26" s="64" t="s">
        <v>308</v>
      </c>
      <c r="V26" s="65" t="s">
        <v>536</v>
      </c>
      <c r="W26" s="66" t="s">
        <v>208</v>
      </c>
      <c r="X26" s="67">
        <v>9530</v>
      </c>
      <c r="Y26" s="68">
        <v>4.4400000000000004</v>
      </c>
      <c r="Z26" s="68">
        <v>8.48</v>
      </c>
      <c r="AA26" s="62">
        <f t="shared" si="26"/>
        <v>423.13200000000001</v>
      </c>
      <c r="AB26" s="63">
        <f t="shared" si="27"/>
        <v>808.14400000000001</v>
      </c>
      <c r="AC26" s="69">
        <v>9470</v>
      </c>
      <c r="AD26" s="70">
        <v>4.3671594508975708</v>
      </c>
      <c r="AE26" s="70">
        <v>8.3371594508975715</v>
      </c>
      <c r="AF26" s="62">
        <f t="shared" si="28"/>
        <v>413.57</v>
      </c>
      <c r="AG26" s="63">
        <f t="shared" si="29"/>
        <v>789.529</v>
      </c>
      <c r="AH26" s="89">
        <v>10090</v>
      </c>
      <c r="AI26" s="66">
        <v>4.9000000000000004</v>
      </c>
      <c r="AJ26" s="66">
        <v>8.6999999999999993</v>
      </c>
      <c r="AK26" s="62">
        <f t="shared" si="37"/>
        <v>494.41</v>
      </c>
      <c r="AL26" s="72">
        <f t="shared" si="38"/>
        <v>877.82999999999993</v>
      </c>
      <c r="AM26" s="73">
        <f t="shared" si="6"/>
        <v>7.2410000000018044</v>
      </c>
      <c r="AN26" s="80">
        <f t="shared" si="39"/>
        <v>3.1047889999999825</v>
      </c>
      <c r="AO26" s="80">
        <f t="shared" si="40"/>
        <v>-4.6181159999996453</v>
      </c>
      <c r="AP26" s="75">
        <f t="shared" si="34"/>
        <v>-2.3372904180938288E-3</v>
      </c>
      <c r="AQ26" s="76">
        <f t="shared" si="8"/>
        <v>11.691860950098317</v>
      </c>
      <c r="AR26" s="90">
        <f t="shared" si="9"/>
        <v>-52.758999999998196</v>
      </c>
    </row>
    <row r="27" spans="1:49" x14ac:dyDescent="0.25">
      <c r="A27" t="str">
        <f t="shared" si="10"/>
        <v>46185E</v>
      </c>
      <c r="B27" s="51">
        <f t="shared" si="25"/>
        <v>46185</v>
      </c>
      <c r="C27" s="52" t="s">
        <v>88</v>
      </c>
      <c r="D27" s="91">
        <v>10090</v>
      </c>
      <c r="E27" s="62">
        <v>4.9000000000000004</v>
      </c>
      <c r="F27" s="62">
        <v>8.6999999999999993</v>
      </c>
      <c r="G27" s="62">
        <f t="shared" si="0"/>
        <v>494.41</v>
      </c>
      <c r="H27" s="72">
        <f t="shared" si="11"/>
        <v>877.82999999999993</v>
      </c>
      <c r="I27" s="119">
        <v>4311.3999999999996</v>
      </c>
      <c r="J27" s="120">
        <v>4440.7420000000002</v>
      </c>
      <c r="K27" s="121">
        <v>3.803460592846871</v>
      </c>
      <c r="L27" s="122">
        <v>8.2697801178271551</v>
      </c>
      <c r="M27" s="58" t="s">
        <v>534</v>
      </c>
      <c r="N27" s="58" t="s">
        <v>488</v>
      </c>
      <c r="O27" s="59">
        <v>5250</v>
      </c>
      <c r="P27" s="56">
        <v>4.6500000000000004</v>
      </c>
      <c r="Q27" s="60">
        <v>8.4700000000000006</v>
      </c>
      <c r="R27" s="61">
        <f t="shared" si="12"/>
        <v>9690.7420000000002</v>
      </c>
      <c r="S27" s="62">
        <f t="shared" si="13"/>
        <v>413.02687200000003</v>
      </c>
      <c r="T27" s="63">
        <f t="shared" si="14"/>
        <v>811.91459900000007</v>
      </c>
      <c r="U27" s="64" t="s">
        <v>310</v>
      </c>
      <c r="V27" s="65" t="s">
        <v>537</v>
      </c>
      <c r="W27" s="66" t="s">
        <v>208</v>
      </c>
      <c r="X27" s="67">
        <v>8220</v>
      </c>
      <c r="Y27" s="68">
        <v>4.1500000000000004</v>
      </c>
      <c r="Z27" s="68">
        <v>8.56</v>
      </c>
      <c r="AA27" s="62">
        <f t="shared" si="26"/>
        <v>341.13</v>
      </c>
      <c r="AB27" s="63">
        <f t="shared" si="27"/>
        <v>703.63200000000006</v>
      </c>
      <c r="AC27" s="69">
        <v>8160</v>
      </c>
      <c r="AD27" s="70">
        <v>4.0999999999999996</v>
      </c>
      <c r="AE27" s="70">
        <v>8.35</v>
      </c>
      <c r="AF27" s="62">
        <f t="shared" si="28"/>
        <v>334.55999999999995</v>
      </c>
      <c r="AG27" s="63">
        <f t="shared" si="29"/>
        <v>681.3599999999999</v>
      </c>
      <c r="AH27" s="89">
        <v>11637</v>
      </c>
      <c r="AI27" s="66">
        <v>4.9000000000000004</v>
      </c>
      <c r="AJ27" s="66">
        <v>8.6999999999999993</v>
      </c>
      <c r="AK27" s="62">
        <f t="shared" si="37"/>
        <v>570.21299999999997</v>
      </c>
      <c r="AL27" s="72">
        <f t="shared" si="38"/>
        <v>1012.419</v>
      </c>
      <c r="AM27" s="73">
        <f t="shared" si="6"/>
        <v>-16.25800000000163</v>
      </c>
      <c r="AN27" s="80">
        <f t="shared" si="39"/>
        <v>2.6638720000000831</v>
      </c>
      <c r="AO27" s="80">
        <f t="shared" si="40"/>
        <v>-4.0344009999997752</v>
      </c>
      <c r="AP27" s="75">
        <f t="shared" si="34"/>
        <v>-1.1188526410823854E-3</v>
      </c>
      <c r="AQ27" s="76">
        <f t="shared" si="8"/>
        <v>-11.549855753228712</v>
      </c>
      <c r="AR27" s="90">
        <f t="shared" si="9"/>
        <v>-76.25800000000163</v>
      </c>
      <c r="AS27" s="90">
        <f>SUM(J14:J27)</f>
        <v>55654.298999999999</v>
      </c>
      <c r="AT27" s="83">
        <f>SUM(AM14:AM27)</f>
        <v>157.29900000000089</v>
      </c>
      <c r="AU27" s="83">
        <f>SUM(AN14:AN27)</f>
        <v>44.049234000000297</v>
      </c>
      <c r="AV27" s="83">
        <f>SUM(AO14:AO27)</f>
        <v>-59.324335999999334</v>
      </c>
      <c r="AW27" s="83">
        <f>-SUM(AQ14:AQ27)</f>
        <v>-2019.9498524336652</v>
      </c>
    </row>
    <row r="28" spans="1:49" x14ac:dyDescent="0.25">
      <c r="A28" t="str">
        <f t="shared" si="10"/>
        <v>46186M</v>
      </c>
      <c r="B28" s="51">
        <f t="shared" si="25"/>
        <v>46186</v>
      </c>
      <c r="C28" s="52" t="s">
        <v>87</v>
      </c>
      <c r="D28" s="91">
        <v>11637</v>
      </c>
      <c r="E28" s="62">
        <v>4.9000000000000004</v>
      </c>
      <c r="F28" s="62">
        <v>8.6999999999999993</v>
      </c>
      <c r="G28" s="62">
        <f t="shared" si="0"/>
        <v>570.21299999999997</v>
      </c>
      <c r="H28" s="72">
        <f t="shared" si="11"/>
        <v>1012.419</v>
      </c>
      <c r="I28" s="119">
        <v>2796.3000000000006</v>
      </c>
      <c r="J28" s="120">
        <v>2880.1890000000008</v>
      </c>
      <c r="K28" s="121">
        <v>4.6950148410399466</v>
      </c>
      <c r="L28" s="122">
        <v>8.2827128705789814</v>
      </c>
      <c r="M28" s="58" t="s">
        <v>307</v>
      </c>
      <c r="N28" s="58" t="s">
        <v>535</v>
      </c>
      <c r="O28" s="59">
        <v>2625</v>
      </c>
      <c r="P28" s="56">
        <v>5.2</v>
      </c>
      <c r="Q28" s="60">
        <v>8.4</v>
      </c>
      <c r="R28" s="61">
        <f t="shared" si="12"/>
        <v>5505.1890000000003</v>
      </c>
      <c r="S28" s="62">
        <f t="shared" si="13"/>
        <v>271.72530100000006</v>
      </c>
      <c r="T28" s="63">
        <f t="shared" si="14"/>
        <v>459.05778500000014</v>
      </c>
      <c r="U28" s="64" t="s">
        <v>308</v>
      </c>
      <c r="V28" s="65" t="s">
        <v>538</v>
      </c>
      <c r="W28" s="66" t="s">
        <v>208</v>
      </c>
      <c r="X28" s="67">
        <v>9530</v>
      </c>
      <c r="Y28" s="68">
        <v>4.6900000000000004</v>
      </c>
      <c r="Z28" s="68">
        <v>8.5299999999999994</v>
      </c>
      <c r="AA28" s="62">
        <f t="shared" si="26"/>
        <v>446.95700000000005</v>
      </c>
      <c r="AB28" s="63">
        <f t="shared" si="27"/>
        <v>812.90899999999988</v>
      </c>
      <c r="AC28" s="228">
        <v>9530</v>
      </c>
      <c r="AD28" s="229">
        <v>4.6900000000000004</v>
      </c>
      <c r="AE28" s="229">
        <v>8.5299999999999994</v>
      </c>
      <c r="AF28" s="62">
        <f t="shared" si="28"/>
        <v>446.95700000000005</v>
      </c>
      <c r="AG28" s="63">
        <f t="shared" si="29"/>
        <v>812.90899999999988</v>
      </c>
      <c r="AH28" s="89">
        <v>7628</v>
      </c>
      <c r="AI28" s="66">
        <v>5.2</v>
      </c>
      <c r="AJ28" s="66">
        <v>8.6</v>
      </c>
      <c r="AK28" s="62">
        <f t="shared" si="37"/>
        <v>396.65600000000006</v>
      </c>
      <c r="AL28" s="72">
        <f t="shared" si="38"/>
        <v>656.00799999999992</v>
      </c>
      <c r="AM28" s="73">
        <f t="shared" si="6"/>
        <v>-15.811000000001513</v>
      </c>
      <c r="AN28" s="80">
        <f t="shared" si="39"/>
        <v>-1.6746990000000892</v>
      </c>
      <c r="AO28" s="80">
        <f t="shared" si="40"/>
        <v>2.5597850000002609</v>
      </c>
      <c r="AP28" s="75">
        <f t="shared" si="34"/>
        <v>1.2111473526908798E-3</v>
      </c>
      <c r="AQ28" s="76">
        <f t="shared" si="8"/>
        <v>14.286261476704794</v>
      </c>
      <c r="AR28" s="90">
        <f t="shared" si="9"/>
        <v>-15.811000000001513</v>
      </c>
    </row>
    <row r="29" spans="1:49" x14ac:dyDescent="0.25">
      <c r="A29" t="str">
        <f t="shared" si="10"/>
        <v>46186E</v>
      </c>
      <c r="B29" s="51">
        <f t="shared" si="25"/>
        <v>46186</v>
      </c>
      <c r="C29" s="52" t="s">
        <v>88</v>
      </c>
      <c r="D29" s="91">
        <v>7628</v>
      </c>
      <c r="E29" s="62">
        <v>5.2</v>
      </c>
      <c r="F29" s="62">
        <v>8.6</v>
      </c>
      <c r="G29" s="62">
        <f t="shared" si="0"/>
        <v>396.65600000000006</v>
      </c>
      <c r="H29" s="72">
        <f t="shared" si="11"/>
        <v>656.00799999999992</v>
      </c>
      <c r="I29" s="119">
        <v>4185.2</v>
      </c>
      <c r="J29" s="120">
        <v>4310.7560000000003</v>
      </c>
      <c r="K29" s="121">
        <v>3.8945880722546109</v>
      </c>
      <c r="L29" s="122">
        <v>8.2536485711554981</v>
      </c>
      <c r="M29" s="58">
        <v>0</v>
      </c>
      <c r="N29" s="58" t="s">
        <v>167</v>
      </c>
      <c r="O29" s="59">
        <v>0</v>
      </c>
      <c r="P29" s="56">
        <v>0</v>
      </c>
      <c r="Q29" s="60">
        <v>0</v>
      </c>
      <c r="R29" s="61">
        <f t="shared" si="12"/>
        <v>4310.7560000000003</v>
      </c>
      <c r="S29" s="62">
        <f t="shared" si="13"/>
        <v>167.88618899999997</v>
      </c>
      <c r="T29" s="63">
        <f t="shared" si="14"/>
        <v>355.79465099999987</v>
      </c>
      <c r="U29" s="64" t="s">
        <v>310</v>
      </c>
      <c r="V29" s="65" t="s">
        <v>539</v>
      </c>
      <c r="W29" s="66" t="s">
        <v>208</v>
      </c>
      <c r="X29" s="67">
        <v>8220</v>
      </c>
      <c r="Y29" s="68">
        <v>4.1000000000000005</v>
      </c>
      <c r="Z29" s="68">
        <v>8.48</v>
      </c>
      <c r="AA29" s="62">
        <f t="shared" si="26"/>
        <v>337.0200000000001</v>
      </c>
      <c r="AB29" s="63">
        <f t="shared" si="27"/>
        <v>697.05600000000004</v>
      </c>
      <c r="AC29" s="69">
        <v>8150</v>
      </c>
      <c r="AD29" s="70">
        <v>3.9987116564417176</v>
      </c>
      <c r="AE29" s="70">
        <v>8.394981595092025</v>
      </c>
      <c r="AF29" s="62">
        <f t="shared" si="28"/>
        <v>325.89499999999998</v>
      </c>
      <c r="AG29" s="63">
        <f t="shared" si="29"/>
        <v>684.19100000000014</v>
      </c>
      <c r="AH29" s="89">
        <v>3800</v>
      </c>
      <c r="AI29" s="66">
        <v>6.3</v>
      </c>
      <c r="AJ29" s="66">
        <v>8.6</v>
      </c>
      <c r="AK29" s="62">
        <f t="shared" si="37"/>
        <v>239.4</v>
      </c>
      <c r="AL29" s="72">
        <f t="shared" si="38"/>
        <v>326.79999999999995</v>
      </c>
      <c r="AM29" s="73">
        <f t="shared" si="6"/>
        <v>-11.243999999998778</v>
      </c>
      <c r="AN29" s="80">
        <f t="shared" si="39"/>
        <v>-0.75281099999997991</v>
      </c>
      <c r="AO29" s="80">
        <f t="shared" si="40"/>
        <v>0.81165099999964241</v>
      </c>
      <c r="AP29" s="75">
        <f t="shared" si="34"/>
        <v>1.1235851210378922E-4</v>
      </c>
      <c r="AQ29" s="76">
        <f t="shared" si="8"/>
        <v>-95.038885736764627</v>
      </c>
      <c r="AR29" s="90">
        <f t="shared" si="9"/>
        <v>-81.243999999998778</v>
      </c>
    </row>
    <row r="30" spans="1:49" x14ac:dyDescent="0.25">
      <c r="A30" t="str">
        <f t="shared" si="10"/>
        <v>46187M</v>
      </c>
      <c r="B30" s="51">
        <f t="shared" si="25"/>
        <v>46187</v>
      </c>
      <c r="C30" s="52" t="s">
        <v>87</v>
      </c>
      <c r="D30" s="91">
        <v>3800</v>
      </c>
      <c r="E30" s="62">
        <v>6.3</v>
      </c>
      <c r="F30" s="62">
        <v>8.6</v>
      </c>
      <c r="G30" s="62">
        <f t="shared" si="0"/>
        <v>239.4</v>
      </c>
      <c r="H30" s="72">
        <f t="shared" si="11"/>
        <v>326.79999999999995</v>
      </c>
      <c r="I30" s="119">
        <v>3085.5</v>
      </c>
      <c r="J30" s="120">
        <v>3178.0650000000001</v>
      </c>
      <c r="K30" s="121">
        <v>4.6162242748339004</v>
      </c>
      <c r="L30" s="122">
        <v>8.2817566034678318</v>
      </c>
      <c r="M30" s="58">
        <v>0</v>
      </c>
      <c r="N30" s="58" t="s">
        <v>167</v>
      </c>
      <c r="O30" s="59">
        <v>0</v>
      </c>
      <c r="P30" s="56">
        <v>0</v>
      </c>
      <c r="Q30" s="60">
        <v>0</v>
      </c>
      <c r="R30" s="61">
        <f t="shared" si="12"/>
        <v>3178.0650000000001</v>
      </c>
      <c r="S30" s="62">
        <f t="shared" si="13"/>
        <v>146.70660799999999</v>
      </c>
      <c r="T30" s="63">
        <f t="shared" si="14"/>
        <v>263.19960799999996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26"/>
        <v>0</v>
      </c>
      <c r="AB30" s="63">
        <f t="shared" si="27"/>
        <v>0</v>
      </c>
      <c r="AC30" s="69"/>
      <c r="AD30" s="70"/>
      <c r="AE30" s="70"/>
      <c r="AF30" s="62">
        <f t="shared" si="28"/>
        <v>0</v>
      </c>
      <c r="AG30" s="63">
        <f t="shared" si="29"/>
        <v>0</v>
      </c>
      <c r="AH30" s="89">
        <v>6980</v>
      </c>
      <c r="AI30" s="66">
        <v>5.5</v>
      </c>
      <c r="AJ30" s="66">
        <v>8.5</v>
      </c>
      <c r="AK30" s="62">
        <f t="shared" si="37"/>
        <v>383.9</v>
      </c>
      <c r="AL30" s="72">
        <f t="shared" si="38"/>
        <v>593.30000000000007</v>
      </c>
      <c r="AM30" s="73">
        <f t="shared" si="6"/>
        <v>-1.9349999999994907</v>
      </c>
      <c r="AN30" s="80">
        <f t="shared" si="39"/>
        <v>2.206608000000017</v>
      </c>
      <c r="AO30" s="80">
        <f t="shared" si="40"/>
        <v>-3.3003920000002154</v>
      </c>
      <c r="AP30" s="75">
        <f t="shared" si="34"/>
        <v>-2.6683762219409683E-3</v>
      </c>
      <c r="AQ30" s="76">
        <f t="shared" si="8"/>
        <v>2.8490821332765108</v>
      </c>
      <c r="AR30" s="90">
        <f t="shared" si="9"/>
        <v>-1.9349999999994907</v>
      </c>
    </row>
    <row r="31" spans="1:49" x14ac:dyDescent="0.25">
      <c r="A31" t="str">
        <f t="shared" si="10"/>
        <v>46187E</v>
      </c>
      <c r="B31" s="51">
        <f t="shared" si="25"/>
        <v>46187</v>
      </c>
      <c r="C31" s="52" t="s">
        <v>88</v>
      </c>
      <c r="D31" s="91">
        <v>6980</v>
      </c>
      <c r="E31" s="62">
        <v>5.5</v>
      </c>
      <c r="F31" s="62">
        <v>8.5</v>
      </c>
      <c r="G31" s="62">
        <f t="shared" si="0"/>
        <v>383.9</v>
      </c>
      <c r="H31" s="72">
        <f t="shared" si="11"/>
        <v>593.30000000000007</v>
      </c>
      <c r="I31" s="119">
        <v>3944.1</v>
      </c>
      <c r="J31" s="120">
        <v>4062.4230000000002</v>
      </c>
      <c r="K31" s="121">
        <v>4.0070890697497523</v>
      </c>
      <c r="L31" s="122">
        <v>8.2495347481047627</v>
      </c>
      <c r="M31" s="58" t="s">
        <v>307</v>
      </c>
      <c r="N31" s="58" t="s">
        <v>609</v>
      </c>
      <c r="O31" s="59">
        <v>2560</v>
      </c>
      <c r="P31" s="56">
        <v>5.0999999999999996</v>
      </c>
      <c r="Q31" s="60">
        <v>8.4</v>
      </c>
      <c r="R31" s="61">
        <f t="shared" si="12"/>
        <v>6622.4230000000007</v>
      </c>
      <c r="S31" s="62">
        <f t="shared" si="13"/>
        <v>293.34490800000003</v>
      </c>
      <c r="T31" s="63">
        <f t="shared" si="14"/>
        <v>550.17099699999994</v>
      </c>
      <c r="U31" s="64" t="s">
        <v>310</v>
      </c>
      <c r="V31" s="65" t="s">
        <v>611</v>
      </c>
      <c r="W31" s="66" t="s">
        <v>208</v>
      </c>
      <c r="X31" s="67">
        <v>8220</v>
      </c>
      <c r="Y31" s="68">
        <v>4.2</v>
      </c>
      <c r="Z31" s="68">
        <v>8.6300000000000008</v>
      </c>
      <c r="AA31" s="62">
        <f t="shared" si="26"/>
        <v>345.24</v>
      </c>
      <c r="AB31" s="63">
        <f t="shared" si="27"/>
        <v>709.38599999999997</v>
      </c>
      <c r="AC31" s="69">
        <v>8150</v>
      </c>
      <c r="AD31" s="70">
        <v>4.1501840490797548</v>
      </c>
      <c r="AE31" s="70">
        <v>8.4851901840490793</v>
      </c>
      <c r="AF31" s="62">
        <f t="shared" si="28"/>
        <v>338.24</v>
      </c>
      <c r="AG31" s="63">
        <f t="shared" si="29"/>
        <v>691.54300000000001</v>
      </c>
      <c r="AH31" s="89">
        <v>5455</v>
      </c>
      <c r="AI31" s="66">
        <v>6</v>
      </c>
      <c r="AJ31" s="66">
        <v>8.6</v>
      </c>
      <c r="AK31" s="62">
        <f t="shared" si="37"/>
        <v>327.3</v>
      </c>
      <c r="AL31" s="72">
        <f t="shared" si="38"/>
        <v>469.12999999999994</v>
      </c>
      <c r="AM31" s="73">
        <f t="shared" si="6"/>
        <v>-2.5769999999993161</v>
      </c>
      <c r="AN31" s="80">
        <f t="shared" si="39"/>
        <v>11.704907999999989</v>
      </c>
      <c r="AO31" s="80">
        <f t="shared" si="40"/>
        <v>-17.202003000000047</v>
      </c>
      <c r="AP31" s="75">
        <f t="shared" si="34"/>
        <v>-6.5168836383708243E-3</v>
      </c>
      <c r="AQ31" s="76">
        <f t="shared" si="8"/>
        <v>106.34947245998046</v>
      </c>
      <c r="AR31" s="90">
        <f t="shared" si="9"/>
        <v>-72.576999999999316</v>
      </c>
    </row>
    <row r="32" spans="1:49" x14ac:dyDescent="0.25">
      <c r="A32" t="str">
        <f t="shared" si="10"/>
        <v>46188M</v>
      </c>
      <c r="B32" s="51">
        <f t="shared" si="25"/>
        <v>46188</v>
      </c>
      <c r="C32" s="52" t="s">
        <v>87</v>
      </c>
      <c r="D32" s="91">
        <v>5455</v>
      </c>
      <c r="E32" s="62">
        <v>6</v>
      </c>
      <c r="F32" s="62">
        <v>8.6</v>
      </c>
      <c r="G32" s="62">
        <f t="shared" si="0"/>
        <v>327.3</v>
      </c>
      <c r="H32" s="72">
        <f t="shared" si="11"/>
        <v>469.12999999999994</v>
      </c>
      <c r="I32" s="119">
        <v>3005.0000000000005</v>
      </c>
      <c r="J32" s="120">
        <v>3095.1500000000005</v>
      </c>
      <c r="K32" s="121">
        <v>4.5608352745424297</v>
      </c>
      <c r="L32" s="122">
        <v>8.3104359400998309</v>
      </c>
      <c r="M32" s="58" t="s">
        <v>534</v>
      </c>
      <c r="N32" s="58" t="s">
        <v>538</v>
      </c>
      <c r="O32" s="59">
        <v>9530</v>
      </c>
      <c r="P32" s="56">
        <v>4.6900000000000004</v>
      </c>
      <c r="Q32" s="60">
        <v>8.5299999999999994</v>
      </c>
      <c r="R32" s="61">
        <f t="shared" si="12"/>
        <v>12625.150000000001</v>
      </c>
      <c r="S32" s="62">
        <f t="shared" si="13"/>
        <v>588.12169300000005</v>
      </c>
      <c r="T32" s="63">
        <f t="shared" si="14"/>
        <v>1070.1294579999999</v>
      </c>
      <c r="U32" s="64" t="s">
        <v>301</v>
      </c>
      <c r="V32" s="65" t="s">
        <v>612</v>
      </c>
      <c r="W32" s="66" t="s">
        <v>208</v>
      </c>
      <c r="X32" s="67">
        <v>6000</v>
      </c>
      <c r="Y32" s="68">
        <v>4.72</v>
      </c>
      <c r="Z32" s="68">
        <v>8.6499999999999986</v>
      </c>
      <c r="AA32" s="62">
        <f t="shared" si="26"/>
        <v>283.2</v>
      </c>
      <c r="AB32" s="63">
        <f t="shared" si="27"/>
        <v>518.99999999999989</v>
      </c>
      <c r="AC32" s="226">
        <v>6000</v>
      </c>
      <c r="AD32" s="227">
        <v>4.72</v>
      </c>
      <c r="AE32" s="227">
        <v>8.6499999999999986</v>
      </c>
      <c r="AF32" s="62">
        <f t="shared" ref="AF32:AF36" si="41">AC32*AD32%</f>
        <v>283.2</v>
      </c>
      <c r="AG32" s="63">
        <f t="shared" ref="AG32:AG36" si="42">AC32*AE32%</f>
        <v>518.99999999999989</v>
      </c>
      <c r="AH32" s="89">
        <v>12120</v>
      </c>
      <c r="AI32" s="66">
        <v>5.2</v>
      </c>
      <c r="AJ32" s="66">
        <v>8.6</v>
      </c>
      <c r="AK32" s="62">
        <f t="shared" si="37"/>
        <v>630.24</v>
      </c>
      <c r="AL32" s="72">
        <f t="shared" si="38"/>
        <v>1042.32</v>
      </c>
      <c r="AM32" s="73">
        <f t="shared" si="6"/>
        <v>-39.849999999998545</v>
      </c>
      <c r="AN32" s="80">
        <f t="shared" si="39"/>
        <v>1.9816929999999502</v>
      </c>
      <c r="AO32" s="80">
        <f t="shared" si="40"/>
        <v>-22.060542000000055</v>
      </c>
      <c r="AP32" s="75">
        <f t="shared" si="34"/>
        <v>-1.2108448703859881E-2</v>
      </c>
      <c r="AQ32" s="76">
        <f t="shared" si="8"/>
        <v>-5712.5301348500398</v>
      </c>
      <c r="AR32" s="90">
        <f t="shared" si="9"/>
        <v>-39.849999999998545</v>
      </c>
    </row>
    <row r="33" spans="1:49" x14ac:dyDescent="0.25">
      <c r="A33" t="str">
        <f t="shared" si="10"/>
        <v>46188E</v>
      </c>
      <c r="B33" s="51">
        <f t="shared" si="25"/>
        <v>46188</v>
      </c>
      <c r="C33" s="52" t="s">
        <v>88</v>
      </c>
      <c r="D33" s="91">
        <v>12120</v>
      </c>
      <c r="E33" s="62">
        <v>5.2</v>
      </c>
      <c r="F33" s="62">
        <v>8.6</v>
      </c>
      <c r="G33" s="62">
        <f t="shared" si="0"/>
        <v>630.24</v>
      </c>
      <c r="H33" s="72">
        <f t="shared" si="11"/>
        <v>1042.32</v>
      </c>
      <c r="I33" s="119">
        <v>4984.4999999999991</v>
      </c>
      <c r="J33" s="120">
        <v>5134.0349999999989</v>
      </c>
      <c r="K33" s="121">
        <v>4.5597973718527456</v>
      </c>
      <c r="L33" s="122">
        <v>8.4421667168221539</v>
      </c>
      <c r="M33" s="58" t="s">
        <v>307</v>
      </c>
      <c r="N33" s="58" t="s">
        <v>610</v>
      </c>
      <c r="O33" s="59">
        <v>2390</v>
      </c>
      <c r="P33" s="56">
        <v>5.0999999999999996</v>
      </c>
      <c r="Q33" s="60">
        <v>8.1</v>
      </c>
      <c r="R33" s="61">
        <f t="shared" si="12"/>
        <v>7524.0349999999989</v>
      </c>
      <c r="S33" s="62">
        <f t="shared" si="13"/>
        <v>355.99159300000002</v>
      </c>
      <c r="T33" s="63">
        <f t="shared" si="14"/>
        <v>627.01379400000019</v>
      </c>
      <c r="U33" s="64" t="s">
        <v>308</v>
      </c>
      <c r="V33" s="65" t="s">
        <v>613</v>
      </c>
      <c r="W33" s="66" t="s">
        <v>208</v>
      </c>
      <c r="X33" s="67">
        <v>9530</v>
      </c>
      <c r="Y33" s="68">
        <v>4.4400000000000004</v>
      </c>
      <c r="Z33" s="68">
        <v>8.48</v>
      </c>
      <c r="AA33" s="62">
        <f t="shared" si="26"/>
        <v>423.13200000000001</v>
      </c>
      <c r="AB33" s="63">
        <f t="shared" si="27"/>
        <v>808.14400000000001</v>
      </c>
      <c r="AC33" s="226">
        <v>9530</v>
      </c>
      <c r="AD33" s="227">
        <v>4.4400000000000004</v>
      </c>
      <c r="AE33" s="227">
        <v>8.48</v>
      </c>
      <c r="AF33" s="62">
        <f t="shared" si="41"/>
        <v>423.13200000000001</v>
      </c>
      <c r="AG33" s="63">
        <f t="shared" si="42"/>
        <v>808.14400000000001</v>
      </c>
      <c r="AH33" s="89">
        <v>10210</v>
      </c>
      <c r="AI33" s="66">
        <v>5.6</v>
      </c>
      <c r="AJ33" s="66">
        <v>8.6</v>
      </c>
      <c r="AK33" s="62">
        <f t="shared" si="37"/>
        <v>571.76</v>
      </c>
      <c r="AL33" s="72">
        <f t="shared" si="38"/>
        <v>878.06</v>
      </c>
      <c r="AM33" s="73">
        <f t="shared" si="6"/>
        <v>-95.965000000000146</v>
      </c>
      <c r="AN33" s="80">
        <f t="shared" si="39"/>
        <v>-8.6604070000000775</v>
      </c>
      <c r="AO33" s="80">
        <f t="shared" si="40"/>
        <v>-16.870205999999826</v>
      </c>
      <c r="AP33" s="75">
        <f t="shared" si="34"/>
        <v>-2.5971997038506462E-2</v>
      </c>
      <c r="AQ33" s="76">
        <f t="shared" si="8"/>
        <v>-8936.5460900099843</v>
      </c>
      <c r="AR33" s="90">
        <f t="shared" si="9"/>
        <v>-95.965000000000146</v>
      </c>
    </row>
    <row r="34" spans="1:49" x14ac:dyDescent="0.25">
      <c r="A34" t="str">
        <f t="shared" si="10"/>
        <v>46189M</v>
      </c>
      <c r="B34" s="51">
        <f t="shared" si="25"/>
        <v>46189</v>
      </c>
      <c r="C34" s="52" t="s">
        <v>87</v>
      </c>
      <c r="D34" s="91">
        <v>10210</v>
      </c>
      <c r="E34" s="62">
        <v>5.6</v>
      </c>
      <c r="F34" s="62">
        <v>8.6</v>
      </c>
      <c r="G34" s="62">
        <f t="shared" si="0"/>
        <v>571.76</v>
      </c>
      <c r="H34" s="72">
        <f t="shared" si="11"/>
        <v>878.06</v>
      </c>
      <c r="I34" s="119">
        <v>2982.7000000000007</v>
      </c>
      <c r="J34" s="120">
        <v>3072.1810000000009</v>
      </c>
      <c r="K34" s="121">
        <v>4.7435042075971463</v>
      </c>
      <c r="L34" s="122">
        <v>8.2696952425654633</v>
      </c>
      <c r="M34" s="58">
        <v>0</v>
      </c>
      <c r="N34" s="58" t="s">
        <v>167</v>
      </c>
      <c r="O34" s="59">
        <v>0</v>
      </c>
      <c r="P34" s="56">
        <v>0</v>
      </c>
      <c r="Q34" s="60">
        <v>0</v>
      </c>
      <c r="R34" s="61">
        <f t="shared" si="12"/>
        <v>3072.1810000000009</v>
      </c>
      <c r="S34" s="62">
        <f t="shared" si="13"/>
        <v>145.72903500000012</v>
      </c>
      <c r="T34" s="63">
        <f t="shared" si="14"/>
        <v>254.06000600000013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6"/>
        <v>0</v>
      </c>
      <c r="AB34" s="63">
        <f t="shared" si="27"/>
        <v>0</v>
      </c>
      <c r="AC34" s="69"/>
      <c r="AD34" s="70"/>
      <c r="AE34" s="70"/>
      <c r="AF34" s="62">
        <f t="shared" si="41"/>
        <v>0</v>
      </c>
      <c r="AG34" s="63">
        <f t="shared" si="42"/>
        <v>0</v>
      </c>
      <c r="AH34" s="89">
        <v>13305</v>
      </c>
      <c r="AI34" s="66">
        <v>5.4</v>
      </c>
      <c r="AJ34" s="66">
        <v>8.5</v>
      </c>
      <c r="AK34" s="62">
        <f t="shared" si="37"/>
        <v>718.47000000000014</v>
      </c>
      <c r="AL34" s="72">
        <f t="shared" si="38"/>
        <v>1130.9250000000002</v>
      </c>
      <c r="AM34" s="73">
        <f t="shared" si="6"/>
        <v>-22.818999999999505</v>
      </c>
      <c r="AN34" s="80">
        <f t="shared" si="39"/>
        <v>-0.98096500000008291</v>
      </c>
      <c r="AO34" s="80">
        <f t="shared" si="40"/>
        <v>1.1950059999999212</v>
      </c>
      <c r="AP34" s="75">
        <f t="shared" si="34"/>
        <v>5.35384860636633E-4</v>
      </c>
      <c r="AQ34" s="76">
        <f t="shared" si="8"/>
        <v>-82.731569176727476</v>
      </c>
      <c r="AR34" s="90">
        <f t="shared" si="9"/>
        <v>-22.818999999999505</v>
      </c>
    </row>
    <row r="35" spans="1:49" x14ac:dyDescent="0.25">
      <c r="A35" t="str">
        <f t="shared" si="10"/>
        <v>46189E</v>
      </c>
      <c r="B35" s="51">
        <f t="shared" si="25"/>
        <v>46189</v>
      </c>
      <c r="C35" s="52" t="s">
        <v>88</v>
      </c>
      <c r="D35" s="91">
        <v>13305</v>
      </c>
      <c r="E35" s="62">
        <v>5.4</v>
      </c>
      <c r="F35" s="62">
        <v>8.5</v>
      </c>
      <c r="G35" s="62">
        <f t="shared" si="0"/>
        <v>718.47000000000014</v>
      </c>
      <c r="H35" s="72">
        <f t="shared" si="11"/>
        <v>1130.9250000000002</v>
      </c>
      <c r="I35" s="119">
        <v>3513.7999999999997</v>
      </c>
      <c r="J35" s="120">
        <v>3619.2139999999999</v>
      </c>
      <c r="K35" s="121">
        <v>4.090619841766749</v>
      </c>
      <c r="L35" s="122">
        <v>8.2743070180431442</v>
      </c>
      <c r="M35" s="58">
        <v>0</v>
      </c>
      <c r="N35" s="58" t="s">
        <v>167</v>
      </c>
      <c r="O35" s="59">
        <v>0</v>
      </c>
      <c r="P35" s="56">
        <v>0</v>
      </c>
      <c r="Q35" s="60">
        <v>0</v>
      </c>
      <c r="R35" s="61">
        <f t="shared" si="12"/>
        <v>3619.2139999999999</v>
      </c>
      <c r="S35" s="62">
        <f t="shared" si="13"/>
        <v>148.04828600000002</v>
      </c>
      <c r="T35" s="63">
        <f t="shared" si="14"/>
        <v>299.464878</v>
      </c>
      <c r="U35" s="64" t="s">
        <v>308</v>
      </c>
      <c r="V35" s="65" t="s">
        <v>659</v>
      </c>
      <c r="W35" s="66" t="s">
        <v>208</v>
      </c>
      <c r="X35" s="67">
        <v>9530</v>
      </c>
      <c r="Y35" s="68">
        <v>4.6399999999999997</v>
      </c>
      <c r="Z35" s="68">
        <v>8.4700000000000006</v>
      </c>
      <c r="AA35" s="62">
        <f t="shared" si="26"/>
        <v>442.19199999999995</v>
      </c>
      <c r="AB35" s="63">
        <f t="shared" si="27"/>
        <v>807.19100000000014</v>
      </c>
      <c r="AC35" s="226">
        <v>9530</v>
      </c>
      <c r="AD35" s="227">
        <v>4.6399999999999997</v>
      </c>
      <c r="AE35" s="227">
        <v>8.4700000000000006</v>
      </c>
      <c r="AF35" s="62">
        <f t="shared" si="41"/>
        <v>442.19199999999995</v>
      </c>
      <c r="AG35" s="63">
        <f t="shared" si="42"/>
        <v>807.19100000000014</v>
      </c>
      <c r="AH35" s="89">
        <v>7475</v>
      </c>
      <c r="AI35" s="66">
        <v>5.8</v>
      </c>
      <c r="AJ35" s="66">
        <v>8.6</v>
      </c>
      <c r="AK35" s="62">
        <f t="shared" si="37"/>
        <v>433.54999999999995</v>
      </c>
      <c r="AL35" s="72">
        <f t="shared" si="38"/>
        <v>642.84999999999991</v>
      </c>
      <c r="AM35" s="73">
        <f t="shared" si="6"/>
        <v>-80.786000000000058</v>
      </c>
      <c r="AN35" s="80">
        <f t="shared" si="39"/>
        <v>-9.2237139999996884</v>
      </c>
      <c r="AO35" s="80">
        <f t="shared" si="40"/>
        <v>-19.651121999999873</v>
      </c>
      <c r="AP35" s="75">
        <f t="shared" si="34"/>
        <v>-6.452287513043875E-2</v>
      </c>
      <c r="AQ35" s="76">
        <f t="shared" si="8"/>
        <v>-10021.674236419824</v>
      </c>
      <c r="AR35" s="90">
        <f t="shared" si="9"/>
        <v>-80.786000000000058</v>
      </c>
    </row>
    <row r="36" spans="1:49" x14ac:dyDescent="0.25">
      <c r="A36" t="str">
        <f t="shared" si="10"/>
        <v>46190M</v>
      </c>
      <c r="B36" s="51">
        <f t="shared" si="25"/>
        <v>46190</v>
      </c>
      <c r="C36" s="99" t="s">
        <v>87</v>
      </c>
      <c r="D36" s="91">
        <v>7475</v>
      </c>
      <c r="E36" s="62">
        <v>5.8</v>
      </c>
      <c r="F36" s="62">
        <v>8.6</v>
      </c>
      <c r="G36" s="62">
        <f t="shared" ref="G36:G65" si="43">+D36*E36%</f>
        <v>433.54999999999995</v>
      </c>
      <c r="H36" s="72">
        <f t="shared" si="11"/>
        <v>642.84999999999991</v>
      </c>
      <c r="I36" s="119">
        <v>4075.1000000000004</v>
      </c>
      <c r="J36" s="120">
        <v>4197.3530000000001</v>
      </c>
      <c r="K36" s="121">
        <v>4.3486736521803149</v>
      </c>
      <c r="L36" s="122">
        <v>8.2507791219847366</v>
      </c>
      <c r="M36" s="58" t="s">
        <v>307</v>
      </c>
      <c r="N36" s="58" t="s">
        <v>655</v>
      </c>
      <c r="O36" s="59">
        <v>3500</v>
      </c>
      <c r="P36" s="56">
        <v>5.2</v>
      </c>
      <c r="Q36" s="60">
        <v>8.4</v>
      </c>
      <c r="R36" s="61">
        <f t="shared" si="12"/>
        <v>7697.3530000000001</v>
      </c>
      <c r="S36" s="62">
        <f t="shared" si="13"/>
        <v>364.52918400000004</v>
      </c>
      <c r="T36" s="63">
        <f t="shared" si="14"/>
        <v>640.31432500000005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26"/>
        <v>0</v>
      </c>
      <c r="AB36" s="63">
        <f t="shared" si="27"/>
        <v>0</v>
      </c>
      <c r="AC36" s="69"/>
      <c r="AD36" s="70"/>
      <c r="AE36" s="70"/>
      <c r="AF36" s="62">
        <f t="shared" si="41"/>
        <v>0</v>
      </c>
      <c r="AG36" s="63">
        <f t="shared" si="42"/>
        <v>0</v>
      </c>
      <c r="AH36" s="89">
        <v>15080</v>
      </c>
      <c r="AI36" s="66">
        <v>5.3</v>
      </c>
      <c r="AJ36" s="66">
        <v>8.5</v>
      </c>
      <c r="AK36" s="62">
        <f t="shared" si="37"/>
        <v>799.24</v>
      </c>
      <c r="AL36" s="72">
        <f t="shared" si="38"/>
        <v>1281.8000000000002</v>
      </c>
      <c r="AM36" s="73">
        <f t="shared" ref="AM36:AM65" si="44">+D36+R36-AC36-AH36</f>
        <v>92.352999999999156</v>
      </c>
      <c r="AN36" s="80">
        <f t="shared" ref="AN36:AO36" si="45">+G36+S36-AF36-AK36</f>
        <v>-1.160816000000068</v>
      </c>
      <c r="AO36" s="80">
        <f t="shared" si="45"/>
        <v>1.3643249999997806</v>
      </c>
      <c r="AP36" s="75">
        <f t="shared" si="34"/>
        <v>2.0252805354959268E-4</v>
      </c>
      <c r="AQ36" s="76">
        <f t="shared" si="8"/>
        <v>-112.79582006009616</v>
      </c>
      <c r="AR36" s="90">
        <f t="shared" ref="AR36:AR65" si="46">(D36+J36+O36)-(X36+AH36)</f>
        <v>92.352999999999156</v>
      </c>
    </row>
    <row r="37" spans="1:49" x14ac:dyDescent="0.25">
      <c r="A37" t="str">
        <f t="shared" si="10"/>
        <v>46190E</v>
      </c>
      <c r="B37" s="51">
        <f t="shared" si="25"/>
        <v>46190</v>
      </c>
      <c r="C37" s="52" t="s">
        <v>88</v>
      </c>
      <c r="D37" s="91">
        <v>15080</v>
      </c>
      <c r="E37" s="62">
        <v>5.3</v>
      </c>
      <c r="F37" s="62">
        <v>8.5</v>
      </c>
      <c r="G37" s="62">
        <f t="shared" si="43"/>
        <v>799.24</v>
      </c>
      <c r="H37" s="72">
        <f t="shared" ref="H37:H65" si="47">+D37*F37%</f>
        <v>1281.8000000000002</v>
      </c>
      <c r="I37" s="119">
        <v>3571.4999999999991</v>
      </c>
      <c r="J37" s="120">
        <v>3678.6449999999991</v>
      </c>
      <c r="K37" s="121">
        <v>4.1904661906761831</v>
      </c>
      <c r="L37" s="122">
        <v>8.2704465910681808</v>
      </c>
      <c r="M37" s="58">
        <v>0</v>
      </c>
      <c r="N37" s="58" t="s">
        <v>167</v>
      </c>
      <c r="O37" s="59">
        <v>0</v>
      </c>
      <c r="P37" s="56">
        <v>0</v>
      </c>
      <c r="Q37" s="60">
        <v>0</v>
      </c>
      <c r="R37" s="61">
        <f t="shared" si="12"/>
        <v>3678.6449999999991</v>
      </c>
      <c r="S37" s="62">
        <f t="shared" si="13"/>
        <v>154.15237499999984</v>
      </c>
      <c r="T37" s="63">
        <f t="shared" si="14"/>
        <v>304.24037000000004</v>
      </c>
      <c r="U37" s="64" t="s">
        <v>310</v>
      </c>
      <c r="V37" s="65" t="s">
        <v>660</v>
      </c>
      <c r="W37" s="66" t="s">
        <v>208</v>
      </c>
      <c r="X37" s="67">
        <v>8220</v>
      </c>
      <c r="Y37" s="68">
        <v>4.45</v>
      </c>
      <c r="Z37" s="68">
        <v>8.5050000000000008</v>
      </c>
      <c r="AA37" s="62">
        <f t="shared" si="26"/>
        <v>365.79</v>
      </c>
      <c r="AB37" s="63">
        <f t="shared" si="27"/>
        <v>699.1110000000001</v>
      </c>
      <c r="AC37" s="226">
        <v>8220</v>
      </c>
      <c r="AD37" s="227">
        <v>4.45</v>
      </c>
      <c r="AE37" s="227">
        <v>8.5050000000000008</v>
      </c>
      <c r="AF37" s="62">
        <f t="shared" ref="AF37:AF55" si="48">AC37*AD37%</f>
        <v>365.79</v>
      </c>
      <c r="AG37" s="63">
        <f t="shared" ref="AG37:AG55" si="49">AC37*AE37%</f>
        <v>699.1110000000001</v>
      </c>
      <c r="AH37" s="89">
        <v>10565</v>
      </c>
      <c r="AI37" s="66">
        <v>5.6</v>
      </c>
      <c r="AJ37" s="66">
        <v>8.5</v>
      </c>
      <c r="AK37" s="62">
        <f t="shared" ref="AK37:AK49" si="50">AH37*AI37%</f>
        <v>591.64</v>
      </c>
      <c r="AL37" s="72">
        <f t="shared" ref="AL37:AL49" si="51">AH37*AJ37%</f>
        <v>898.02500000000009</v>
      </c>
      <c r="AM37" s="73">
        <f t="shared" si="44"/>
        <v>-26.354999999999563</v>
      </c>
      <c r="AN37" s="80">
        <f t="shared" ref="AN37:AN49" si="52">+G37+S37-AF37-AK37</f>
        <v>-4.0376250000000482</v>
      </c>
      <c r="AO37" s="80">
        <f t="shared" ref="AO37:AO49" si="53">+H37+T37-AG37-AL37</f>
        <v>-11.095630000000028</v>
      </c>
      <c r="AP37" s="75">
        <f t="shared" si="34"/>
        <v>-3.3013731489140566E-2</v>
      </c>
      <c r="AQ37" s="76">
        <f t="shared" si="8"/>
        <v>-5133.156414283364</v>
      </c>
      <c r="AR37" s="90">
        <f t="shared" si="46"/>
        <v>-26.354999999999563</v>
      </c>
    </row>
    <row r="38" spans="1:49" x14ac:dyDescent="0.25">
      <c r="A38" t="str">
        <f t="shared" si="10"/>
        <v>46191M</v>
      </c>
      <c r="B38" s="51">
        <f t="shared" si="25"/>
        <v>46191</v>
      </c>
      <c r="C38" s="52" t="s">
        <v>87</v>
      </c>
      <c r="D38" s="91">
        <v>10565</v>
      </c>
      <c r="E38" s="62">
        <v>5.6</v>
      </c>
      <c r="F38" s="62">
        <v>8.5</v>
      </c>
      <c r="G38" s="62">
        <f t="shared" si="43"/>
        <v>591.64</v>
      </c>
      <c r="H38" s="72">
        <f t="shared" si="47"/>
        <v>898.02500000000009</v>
      </c>
      <c r="I38" s="119">
        <v>3267.3000000000006</v>
      </c>
      <c r="J38" s="120">
        <v>3365.3190000000009</v>
      </c>
      <c r="K38" s="121">
        <v>4.4346585866005563</v>
      </c>
      <c r="L38" s="122">
        <v>8.2514124812536345</v>
      </c>
      <c r="M38" s="58" t="s">
        <v>307</v>
      </c>
      <c r="N38" s="58" t="s">
        <v>656</v>
      </c>
      <c r="O38" s="59">
        <v>2430</v>
      </c>
      <c r="P38" s="56">
        <v>5.3</v>
      </c>
      <c r="Q38" s="60">
        <v>8.6</v>
      </c>
      <c r="R38" s="61">
        <f t="shared" si="12"/>
        <v>5795.3190000000013</v>
      </c>
      <c r="S38" s="62">
        <f t="shared" si="13"/>
        <v>278.03040800000002</v>
      </c>
      <c r="T38" s="63">
        <f t="shared" si="14"/>
        <v>486.66635200000007</v>
      </c>
      <c r="U38" s="64" t="s">
        <v>308</v>
      </c>
      <c r="V38" s="65" t="s">
        <v>661</v>
      </c>
      <c r="W38" s="66" t="s">
        <v>208</v>
      </c>
      <c r="X38" s="67">
        <v>9530</v>
      </c>
      <c r="Y38" s="68">
        <v>4.5999999999999996</v>
      </c>
      <c r="Z38" s="68">
        <v>8.65</v>
      </c>
      <c r="AA38" s="62">
        <f t="shared" si="26"/>
        <v>438.38</v>
      </c>
      <c r="AB38" s="63">
        <f t="shared" si="27"/>
        <v>824.34500000000003</v>
      </c>
      <c r="AC38" s="226">
        <v>9530</v>
      </c>
      <c r="AD38" s="227">
        <v>4.5999999999999996</v>
      </c>
      <c r="AE38" s="227">
        <v>8.65</v>
      </c>
      <c r="AF38" s="62">
        <f t="shared" si="48"/>
        <v>438.38</v>
      </c>
      <c r="AG38" s="63">
        <f t="shared" si="49"/>
        <v>824.34500000000003</v>
      </c>
      <c r="AH38" s="89">
        <v>7095</v>
      </c>
      <c r="AI38" s="66">
        <v>6.3</v>
      </c>
      <c r="AJ38" s="66">
        <v>8.5</v>
      </c>
      <c r="AK38" s="62">
        <f t="shared" si="50"/>
        <v>446.98500000000001</v>
      </c>
      <c r="AL38" s="72">
        <f t="shared" si="51"/>
        <v>603.07500000000005</v>
      </c>
      <c r="AM38" s="73">
        <f t="shared" si="44"/>
        <v>-264.68099999999868</v>
      </c>
      <c r="AN38" s="80">
        <f t="shared" si="52"/>
        <v>-15.694592000000057</v>
      </c>
      <c r="AO38" s="80">
        <f t="shared" si="53"/>
        <v>-42.728647999999794</v>
      </c>
      <c r="AP38" s="75">
        <f t="shared" si="34"/>
        <v>-7.6400532938049645E-2</v>
      </c>
      <c r="AQ38" s="76">
        <f t="shared" si="8"/>
        <v>-19833.004210506631</v>
      </c>
      <c r="AR38" s="90">
        <f t="shared" si="46"/>
        <v>-264.68099999999868</v>
      </c>
    </row>
    <row r="39" spans="1:49" x14ac:dyDescent="0.25">
      <c r="A39" t="str">
        <f t="shared" si="10"/>
        <v>46191E</v>
      </c>
      <c r="B39" s="51">
        <f t="shared" si="25"/>
        <v>46191</v>
      </c>
      <c r="C39" s="52" t="s">
        <v>88</v>
      </c>
      <c r="D39" s="91">
        <v>7095</v>
      </c>
      <c r="E39" s="62">
        <v>6.3</v>
      </c>
      <c r="F39" s="62">
        <v>8.5</v>
      </c>
      <c r="G39" s="62">
        <f t="shared" si="43"/>
        <v>446.98500000000001</v>
      </c>
      <c r="H39" s="72">
        <f t="shared" si="47"/>
        <v>603.07500000000005</v>
      </c>
      <c r="I39" s="119">
        <v>3832.4000000000005</v>
      </c>
      <c r="J39" s="120">
        <v>3947.3720000000008</v>
      </c>
      <c r="K39" s="121">
        <v>4.055247364575723</v>
      </c>
      <c r="L39" s="122">
        <v>8.23065442020666</v>
      </c>
      <c r="M39" s="58" t="s">
        <v>658</v>
      </c>
      <c r="N39" s="58"/>
      <c r="O39" s="59">
        <v>10070</v>
      </c>
      <c r="P39" s="56">
        <v>4.25</v>
      </c>
      <c r="Q39" s="60">
        <v>8.1</v>
      </c>
      <c r="R39" s="61">
        <f t="shared" si="12"/>
        <v>14017.372000000001</v>
      </c>
      <c r="S39" s="62">
        <f t="shared" si="13"/>
        <v>588.05069900000012</v>
      </c>
      <c r="T39" s="63">
        <f t="shared" si="14"/>
        <v>1140.5645480000003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6"/>
        <v>0</v>
      </c>
      <c r="AB39" s="63">
        <f t="shared" si="27"/>
        <v>0</v>
      </c>
      <c r="AC39" s="69"/>
      <c r="AD39" s="70"/>
      <c r="AE39" s="70"/>
      <c r="AF39" s="62">
        <f t="shared" si="48"/>
        <v>0</v>
      </c>
      <c r="AG39" s="63">
        <f t="shared" si="49"/>
        <v>0</v>
      </c>
      <c r="AH39" s="89">
        <v>21128</v>
      </c>
      <c r="AI39" s="66">
        <v>4.8</v>
      </c>
      <c r="AJ39" s="66">
        <v>8.4</v>
      </c>
      <c r="AK39" s="62">
        <f t="shared" si="50"/>
        <v>1014.144</v>
      </c>
      <c r="AL39" s="72">
        <f t="shared" si="51"/>
        <v>1774.7520000000002</v>
      </c>
      <c r="AM39" s="73">
        <f t="shared" si="44"/>
        <v>-15.627999999996973</v>
      </c>
      <c r="AN39" s="80">
        <f t="shared" si="52"/>
        <v>20.891699000000017</v>
      </c>
      <c r="AO39" s="80">
        <f t="shared" si="53"/>
        <v>-31.112451999999848</v>
      </c>
      <c r="AP39" s="75">
        <f t="shared" si="34"/>
        <v>-5.9126824304817837E-3</v>
      </c>
      <c r="AQ39" s="76">
        <f t="shared" si="8"/>
        <v>67.365379876719089</v>
      </c>
      <c r="AR39" s="90">
        <f t="shared" si="46"/>
        <v>-15.627999999996973</v>
      </c>
    </row>
    <row r="40" spans="1:49" x14ac:dyDescent="0.25">
      <c r="A40" t="str">
        <f t="shared" si="10"/>
        <v>46192M</v>
      </c>
      <c r="B40" s="51">
        <f t="shared" si="25"/>
        <v>46192</v>
      </c>
      <c r="C40" s="52" t="s">
        <v>87</v>
      </c>
      <c r="D40" s="91"/>
      <c r="E40" s="62"/>
      <c r="F40" s="62"/>
      <c r="G40" s="62">
        <f t="shared" si="43"/>
        <v>0</v>
      </c>
      <c r="H40" s="72">
        <f t="shared" si="47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26"/>
        <v>0</v>
      </c>
      <c r="AB40" s="63">
        <f t="shared" si="27"/>
        <v>0</v>
      </c>
      <c r="AC40" s="69"/>
      <c r="AD40" s="70"/>
      <c r="AE40" s="70"/>
      <c r="AF40" s="62">
        <f t="shared" si="48"/>
        <v>0</v>
      </c>
      <c r="AG40" s="63">
        <f t="shared" si="49"/>
        <v>0</v>
      </c>
      <c r="AH40" s="89"/>
      <c r="AI40" s="66"/>
      <c r="AJ40" s="66"/>
      <c r="AK40" s="62">
        <f t="shared" si="50"/>
        <v>0</v>
      </c>
      <c r="AL40" s="72">
        <f t="shared" si="51"/>
        <v>0</v>
      </c>
      <c r="AM40" s="73">
        <f t="shared" si="44"/>
        <v>0</v>
      </c>
      <c r="AN40" s="80">
        <f t="shared" si="52"/>
        <v>0</v>
      </c>
      <c r="AO40" s="80">
        <f t="shared" si="53"/>
        <v>0</v>
      </c>
      <c r="AP40" s="75" t="e">
        <f t="shared" si="34"/>
        <v>#DIV/0!</v>
      </c>
      <c r="AQ40" s="76">
        <f t="shared" si="8"/>
        <v>0</v>
      </c>
      <c r="AR40" s="90">
        <f t="shared" si="46"/>
        <v>0</v>
      </c>
    </row>
    <row r="41" spans="1:49" x14ac:dyDescent="0.25">
      <c r="A41" t="str">
        <f t="shared" si="10"/>
        <v>46192E</v>
      </c>
      <c r="B41" s="51">
        <f t="shared" si="25"/>
        <v>46192</v>
      </c>
      <c r="C41" s="52" t="s">
        <v>88</v>
      </c>
      <c r="D41" s="91"/>
      <c r="E41" s="62"/>
      <c r="F41" s="62"/>
      <c r="G41" s="62">
        <f t="shared" si="43"/>
        <v>0</v>
      </c>
      <c r="H41" s="72">
        <f t="shared" si="47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26"/>
        <v>0</v>
      </c>
      <c r="AB41" s="63">
        <f t="shared" si="27"/>
        <v>0</v>
      </c>
      <c r="AC41" s="69"/>
      <c r="AD41" s="70"/>
      <c r="AE41" s="70"/>
      <c r="AF41" s="62">
        <f t="shared" si="48"/>
        <v>0</v>
      </c>
      <c r="AG41" s="63">
        <f t="shared" si="49"/>
        <v>0</v>
      </c>
      <c r="AH41" s="89"/>
      <c r="AI41" s="66"/>
      <c r="AJ41" s="66"/>
      <c r="AK41" s="62">
        <f t="shared" si="50"/>
        <v>0</v>
      </c>
      <c r="AL41" s="72">
        <f t="shared" si="51"/>
        <v>0</v>
      </c>
      <c r="AM41" s="73">
        <f t="shared" si="44"/>
        <v>0</v>
      </c>
      <c r="AN41" s="80">
        <f t="shared" si="52"/>
        <v>0</v>
      </c>
      <c r="AO41" s="80">
        <f t="shared" si="53"/>
        <v>0</v>
      </c>
      <c r="AP41" s="75" t="e">
        <f t="shared" si="34"/>
        <v>#DIV/0!</v>
      </c>
      <c r="AQ41" s="76">
        <f t="shared" si="8"/>
        <v>0</v>
      </c>
      <c r="AR41" s="90">
        <f t="shared" si="46"/>
        <v>0</v>
      </c>
      <c r="AS41" s="90">
        <f>SUM(J28:J41)</f>
        <v>44540.702000000005</v>
      </c>
      <c r="AT41" s="83">
        <f t="shared" ref="AT41" si="54">SUM(AM28:AM41)</f>
        <v>-485.29799999999341</v>
      </c>
      <c r="AU41" s="83">
        <f t="shared" ref="AU41" si="55">SUM(AN28:AN41)</f>
        <v>-5.400721000000118</v>
      </c>
      <c r="AV41" s="83">
        <f t="shared" ref="AV41" si="56">SUM(AO28:AO41)</f>
        <v>-158.09022800000008</v>
      </c>
      <c r="AW41" s="83">
        <f>-SUM(AQ28:AQ41)</f>
        <v>49736.627165096746</v>
      </c>
    </row>
    <row r="42" spans="1:49" x14ac:dyDescent="0.25">
      <c r="A42" t="str">
        <f t="shared" si="10"/>
        <v>46193M</v>
      </c>
      <c r="B42" s="51">
        <f t="shared" si="25"/>
        <v>46193</v>
      </c>
      <c r="C42" s="52" t="s">
        <v>87</v>
      </c>
      <c r="D42" s="91"/>
      <c r="E42" s="62"/>
      <c r="F42" s="62"/>
      <c r="G42" s="62">
        <f t="shared" si="43"/>
        <v>0</v>
      </c>
      <c r="H42" s="72">
        <f t="shared" si="47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26"/>
        <v>0</v>
      </c>
      <c r="AB42" s="63">
        <f t="shared" si="27"/>
        <v>0</v>
      </c>
      <c r="AC42" s="69"/>
      <c r="AD42" s="70"/>
      <c r="AE42" s="70"/>
      <c r="AF42" s="62">
        <f t="shared" si="48"/>
        <v>0</v>
      </c>
      <c r="AG42" s="63">
        <f t="shared" si="49"/>
        <v>0</v>
      </c>
      <c r="AH42" s="89"/>
      <c r="AI42" s="66"/>
      <c r="AJ42" s="66"/>
      <c r="AK42" s="62">
        <f t="shared" si="50"/>
        <v>0</v>
      </c>
      <c r="AL42" s="72">
        <f t="shared" si="51"/>
        <v>0</v>
      </c>
      <c r="AM42" s="73">
        <f t="shared" si="44"/>
        <v>0</v>
      </c>
      <c r="AN42" s="80">
        <f t="shared" si="52"/>
        <v>0</v>
      </c>
      <c r="AO42" s="80">
        <f t="shared" si="53"/>
        <v>0</v>
      </c>
      <c r="AP42" s="75" t="e">
        <f t="shared" si="34"/>
        <v>#DIV/0!</v>
      </c>
      <c r="AQ42" s="76">
        <f t="shared" si="8"/>
        <v>0</v>
      </c>
      <c r="AR42" s="90">
        <f t="shared" si="46"/>
        <v>0</v>
      </c>
    </row>
    <row r="43" spans="1:49" x14ac:dyDescent="0.25">
      <c r="A43" t="str">
        <f t="shared" si="10"/>
        <v>46193E</v>
      </c>
      <c r="B43" s="51">
        <f t="shared" si="25"/>
        <v>46193</v>
      </c>
      <c r="C43" s="52" t="s">
        <v>88</v>
      </c>
      <c r="D43" s="91"/>
      <c r="E43" s="62"/>
      <c r="F43" s="62"/>
      <c r="G43" s="62">
        <f t="shared" si="43"/>
        <v>0</v>
      </c>
      <c r="H43" s="72">
        <f t="shared" si="47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26"/>
        <v>0</v>
      </c>
      <c r="AB43" s="63">
        <f t="shared" si="27"/>
        <v>0</v>
      </c>
      <c r="AC43" s="69"/>
      <c r="AD43" s="70"/>
      <c r="AE43" s="70"/>
      <c r="AF43" s="62">
        <f t="shared" si="48"/>
        <v>0</v>
      </c>
      <c r="AG43" s="63">
        <f t="shared" si="49"/>
        <v>0</v>
      </c>
      <c r="AH43" s="89"/>
      <c r="AI43" s="66"/>
      <c r="AJ43" s="66"/>
      <c r="AK43" s="62">
        <f t="shared" si="50"/>
        <v>0</v>
      </c>
      <c r="AL43" s="72">
        <f t="shared" si="51"/>
        <v>0</v>
      </c>
      <c r="AM43" s="73">
        <f t="shared" si="44"/>
        <v>0</v>
      </c>
      <c r="AN43" s="80">
        <f t="shared" si="52"/>
        <v>0</v>
      </c>
      <c r="AO43" s="80">
        <f t="shared" si="53"/>
        <v>0</v>
      </c>
      <c r="AP43" s="75" t="e">
        <f t="shared" si="34"/>
        <v>#DIV/0!</v>
      </c>
      <c r="AQ43" s="76">
        <f t="shared" si="8"/>
        <v>0</v>
      </c>
      <c r="AR43" s="90">
        <f t="shared" si="46"/>
        <v>0</v>
      </c>
    </row>
    <row r="44" spans="1:49" x14ac:dyDescent="0.25">
      <c r="A44" t="str">
        <f t="shared" si="10"/>
        <v>46194M</v>
      </c>
      <c r="B44" s="51">
        <f t="shared" si="25"/>
        <v>46194</v>
      </c>
      <c r="C44" s="52" t="s">
        <v>87</v>
      </c>
      <c r="D44" s="91"/>
      <c r="E44" s="62"/>
      <c r="F44" s="62"/>
      <c r="G44" s="62">
        <f t="shared" si="43"/>
        <v>0</v>
      </c>
      <c r="H44" s="72">
        <f t="shared" si="47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26"/>
        <v>0</v>
      </c>
      <c r="AB44" s="63">
        <f t="shared" si="27"/>
        <v>0</v>
      </c>
      <c r="AC44" s="69"/>
      <c r="AD44" s="70"/>
      <c r="AE44" s="70"/>
      <c r="AF44" s="62">
        <f t="shared" si="48"/>
        <v>0</v>
      </c>
      <c r="AG44" s="63">
        <f t="shared" si="49"/>
        <v>0</v>
      </c>
      <c r="AH44" s="89"/>
      <c r="AI44" s="66"/>
      <c r="AJ44" s="66"/>
      <c r="AK44" s="62">
        <f t="shared" si="50"/>
        <v>0</v>
      </c>
      <c r="AL44" s="72">
        <f t="shared" si="51"/>
        <v>0</v>
      </c>
      <c r="AM44" s="73">
        <f t="shared" si="44"/>
        <v>0</v>
      </c>
      <c r="AN44" s="80">
        <f t="shared" si="52"/>
        <v>0</v>
      </c>
      <c r="AO44" s="80">
        <f t="shared" si="53"/>
        <v>0</v>
      </c>
      <c r="AP44" s="75" t="e">
        <f t="shared" si="34"/>
        <v>#DIV/0!</v>
      </c>
      <c r="AQ44" s="76">
        <f t="shared" si="8"/>
        <v>0</v>
      </c>
      <c r="AR44" s="90">
        <f t="shared" si="46"/>
        <v>0</v>
      </c>
    </row>
    <row r="45" spans="1:49" x14ac:dyDescent="0.25">
      <c r="A45" t="str">
        <f t="shared" si="10"/>
        <v>46194E</v>
      </c>
      <c r="B45" s="51">
        <f t="shared" si="25"/>
        <v>46194</v>
      </c>
      <c r="C45" s="52" t="s">
        <v>88</v>
      </c>
      <c r="D45" s="91"/>
      <c r="E45" s="62"/>
      <c r="F45" s="62"/>
      <c r="G45" s="62">
        <f t="shared" si="43"/>
        <v>0</v>
      </c>
      <c r="H45" s="72">
        <f t="shared" si="47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26"/>
        <v>0</v>
      </c>
      <c r="AB45" s="63">
        <f t="shared" si="27"/>
        <v>0</v>
      </c>
      <c r="AC45" s="69"/>
      <c r="AD45" s="70"/>
      <c r="AE45" s="70"/>
      <c r="AF45" s="62">
        <f t="shared" si="48"/>
        <v>0</v>
      </c>
      <c r="AG45" s="63">
        <f t="shared" si="49"/>
        <v>0</v>
      </c>
      <c r="AH45" s="89"/>
      <c r="AI45" s="66"/>
      <c r="AJ45" s="66"/>
      <c r="AK45" s="62">
        <f t="shared" si="50"/>
        <v>0</v>
      </c>
      <c r="AL45" s="72">
        <f t="shared" si="51"/>
        <v>0</v>
      </c>
      <c r="AM45" s="73">
        <f t="shared" si="44"/>
        <v>0</v>
      </c>
      <c r="AN45" s="80">
        <f t="shared" si="52"/>
        <v>0</v>
      </c>
      <c r="AO45" s="80">
        <f t="shared" si="53"/>
        <v>0</v>
      </c>
      <c r="AP45" s="75" t="e">
        <f t="shared" si="34"/>
        <v>#DIV/0!</v>
      </c>
      <c r="AQ45" s="76">
        <f t="shared" si="8"/>
        <v>0</v>
      </c>
      <c r="AR45" s="90">
        <f t="shared" si="46"/>
        <v>0</v>
      </c>
    </row>
    <row r="46" spans="1:49" x14ac:dyDescent="0.25">
      <c r="A46" t="str">
        <f t="shared" si="10"/>
        <v>46195M</v>
      </c>
      <c r="B46" s="51">
        <f t="shared" si="25"/>
        <v>46195</v>
      </c>
      <c r="C46" s="52" t="s">
        <v>87</v>
      </c>
      <c r="D46" s="91"/>
      <c r="E46" s="62"/>
      <c r="F46" s="62"/>
      <c r="G46" s="62">
        <f t="shared" si="43"/>
        <v>0</v>
      </c>
      <c r="H46" s="72">
        <f t="shared" si="47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26"/>
        <v>0</v>
      </c>
      <c r="AB46" s="63">
        <f t="shared" si="27"/>
        <v>0</v>
      </c>
      <c r="AC46" s="69"/>
      <c r="AD46" s="70"/>
      <c r="AE46" s="70"/>
      <c r="AF46" s="62">
        <f t="shared" si="48"/>
        <v>0</v>
      </c>
      <c r="AG46" s="63">
        <f t="shared" si="49"/>
        <v>0</v>
      </c>
      <c r="AH46" s="89"/>
      <c r="AI46" s="66"/>
      <c r="AJ46" s="66"/>
      <c r="AK46" s="62">
        <f t="shared" si="50"/>
        <v>0</v>
      </c>
      <c r="AL46" s="72">
        <f t="shared" si="51"/>
        <v>0</v>
      </c>
      <c r="AM46" s="73">
        <f t="shared" si="44"/>
        <v>0</v>
      </c>
      <c r="AN46" s="80">
        <f t="shared" si="52"/>
        <v>0</v>
      </c>
      <c r="AO46" s="80">
        <f t="shared" si="53"/>
        <v>0</v>
      </c>
      <c r="AP46" s="75" t="e">
        <f t="shared" si="34"/>
        <v>#DIV/0!</v>
      </c>
      <c r="AQ46" s="76">
        <f t="shared" si="8"/>
        <v>0</v>
      </c>
      <c r="AR46" s="90">
        <f t="shared" si="46"/>
        <v>0</v>
      </c>
    </row>
    <row r="47" spans="1:49" x14ac:dyDescent="0.25">
      <c r="A47" t="str">
        <f t="shared" si="10"/>
        <v>46195E</v>
      </c>
      <c r="B47" s="51">
        <f t="shared" si="25"/>
        <v>46195</v>
      </c>
      <c r="C47" s="52" t="s">
        <v>88</v>
      </c>
      <c r="D47" s="91"/>
      <c r="E47" s="62"/>
      <c r="F47" s="62"/>
      <c r="G47" s="62">
        <f t="shared" si="43"/>
        <v>0</v>
      </c>
      <c r="H47" s="72">
        <f t="shared" si="47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26"/>
        <v>0</v>
      </c>
      <c r="AB47" s="63">
        <f t="shared" si="27"/>
        <v>0</v>
      </c>
      <c r="AC47" s="69"/>
      <c r="AD47" s="70"/>
      <c r="AE47" s="70"/>
      <c r="AF47" s="62">
        <f t="shared" si="48"/>
        <v>0</v>
      </c>
      <c r="AG47" s="63">
        <f t="shared" si="49"/>
        <v>0</v>
      </c>
      <c r="AH47" s="89"/>
      <c r="AI47" s="66"/>
      <c r="AJ47" s="66"/>
      <c r="AK47" s="62">
        <f t="shared" si="50"/>
        <v>0</v>
      </c>
      <c r="AL47" s="72">
        <f t="shared" si="51"/>
        <v>0</v>
      </c>
      <c r="AM47" s="73">
        <f t="shared" si="44"/>
        <v>0</v>
      </c>
      <c r="AN47" s="80">
        <f t="shared" si="52"/>
        <v>0</v>
      </c>
      <c r="AO47" s="80">
        <f t="shared" si="53"/>
        <v>0</v>
      </c>
      <c r="AP47" s="75" t="e">
        <f t="shared" si="34"/>
        <v>#DIV/0!</v>
      </c>
      <c r="AQ47" s="76">
        <f t="shared" si="8"/>
        <v>0</v>
      </c>
      <c r="AR47" s="90">
        <f t="shared" si="46"/>
        <v>0</v>
      </c>
    </row>
    <row r="48" spans="1:49" x14ac:dyDescent="0.25">
      <c r="A48" t="str">
        <f t="shared" si="10"/>
        <v>46196M</v>
      </c>
      <c r="B48" s="51">
        <f t="shared" si="25"/>
        <v>46196</v>
      </c>
      <c r="C48" s="99" t="s">
        <v>87</v>
      </c>
      <c r="D48" s="91"/>
      <c r="E48" s="62"/>
      <c r="F48" s="62"/>
      <c r="G48" s="62">
        <f t="shared" si="43"/>
        <v>0</v>
      </c>
      <c r="H48" s="72">
        <f t="shared" si="47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26"/>
        <v>0</v>
      </c>
      <c r="AB48" s="63">
        <f t="shared" si="27"/>
        <v>0</v>
      </c>
      <c r="AC48" s="69"/>
      <c r="AD48" s="70"/>
      <c r="AE48" s="70"/>
      <c r="AF48" s="62">
        <f t="shared" si="48"/>
        <v>0</v>
      </c>
      <c r="AG48" s="63">
        <f t="shared" si="49"/>
        <v>0</v>
      </c>
      <c r="AH48" s="89"/>
      <c r="AI48" s="66"/>
      <c r="AJ48" s="66"/>
      <c r="AK48" s="62">
        <f t="shared" si="50"/>
        <v>0</v>
      </c>
      <c r="AL48" s="72">
        <f t="shared" si="51"/>
        <v>0</v>
      </c>
      <c r="AM48" s="73">
        <f t="shared" si="44"/>
        <v>0</v>
      </c>
      <c r="AN48" s="80">
        <f t="shared" si="52"/>
        <v>0</v>
      </c>
      <c r="AO48" s="80">
        <f t="shared" si="53"/>
        <v>0</v>
      </c>
      <c r="AP48" s="75" t="e">
        <f t="shared" si="34"/>
        <v>#DIV/0!</v>
      </c>
      <c r="AQ48" s="76">
        <f t="shared" si="8"/>
        <v>0</v>
      </c>
      <c r="AR48" s="90">
        <f t="shared" si="46"/>
        <v>0</v>
      </c>
    </row>
    <row r="49" spans="1:49" x14ac:dyDescent="0.25">
      <c r="A49" t="str">
        <f t="shared" si="10"/>
        <v>46196E</v>
      </c>
      <c r="B49" s="51">
        <f t="shared" si="25"/>
        <v>46196</v>
      </c>
      <c r="C49" s="52" t="s">
        <v>88</v>
      </c>
      <c r="D49" s="91"/>
      <c r="E49" s="62"/>
      <c r="F49" s="62"/>
      <c r="G49" s="62">
        <f t="shared" si="43"/>
        <v>0</v>
      </c>
      <c r="H49" s="72">
        <f t="shared" si="47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26"/>
        <v>0</v>
      </c>
      <c r="AB49" s="63">
        <f t="shared" si="27"/>
        <v>0</v>
      </c>
      <c r="AC49" s="69"/>
      <c r="AD49" s="70"/>
      <c r="AE49" s="70"/>
      <c r="AF49" s="62">
        <f t="shared" si="48"/>
        <v>0</v>
      </c>
      <c r="AG49" s="63">
        <f t="shared" si="49"/>
        <v>0</v>
      </c>
      <c r="AH49" s="89"/>
      <c r="AI49" s="66"/>
      <c r="AJ49" s="66"/>
      <c r="AK49" s="62">
        <f t="shared" si="50"/>
        <v>0</v>
      </c>
      <c r="AL49" s="72">
        <f t="shared" si="51"/>
        <v>0</v>
      </c>
      <c r="AM49" s="73">
        <f t="shared" si="44"/>
        <v>0</v>
      </c>
      <c r="AN49" s="80">
        <f t="shared" si="52"/>
        <v>0</v>
      </c>
      <c r="AO49" s="80">
        <f t="shared" si="53"/>
        <v>0</v>
      </c>
      <c r="AP49" s="75" t="e">
        <f t="shared" si="34"/>
        <v>#DIV/0!</v>
      </c>
      <c r="AQ49" s="76">
        <f t="shared" si="8"/>
        <v>0</v>
      </c>
      <c r="AR49" s="90">
        <f t="shared" si="46"/>
        <v>0</v>
      </c>
      <c r="AS49" s="90">
        <f>SUM(J36:J49)</f>
        <v>15188.689000000002</v>
      </c>
      <c r="AT49" s="83">
        <f>SUM(AM36:AM49)</f>
        <v>-214.31099999999606</v>
      </c>
      <c r="AU49" s="83">
        <f>SUM(AN36:AN49)</f>
        <v>-1.3340000001562657E-3</v>
      </c>
      <c r="AV49" s="83">
        <f>SUM(AO36:AO49)</f>
        <v>-83.57240499999989</v>
      </c>
      <c r="AW49" s="83">
        <f>-SUM(AQ36:AQ49)</f>
        <v>25011.591064973371</v>
      </c>
    </row>
    <row r="50" spans="1:49" x14ac:dyDescent="0.25">
      <c r="A50" t="str">
        <f t="shared" si="10"/>
        <v>46197M</v>
      </c>
      <c r="B50" s="51">
        <f t="shared" si="25"/>
        <v>46197</v>
      </c>
      <c r="C50" s="52" t="s">
        <v>87</v>
      </c>
      <c r="D50" s="91"/>
      <c r="E50" s="62"/>
      <c r="F50" s="62"/>
      <c r="G50" s="62">
        <f t="shared" si="43"/>
        <v>0</v>
      </c>
      <c r="H50" s="72">
        <f t="shared" si="47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12"/>
        <v>0</v>
      </c>
      <c r="S50" s="62">
        <f t="shared" si="13"/>
        <v>0</v>
      </c>
      <c r="T50" s="63">
        <f t="shared" si="14"/>
        <v>0</v>
      </c>
      <c r="U50" s="64"/>
      <c r="V50" s="65"/>
      <c r="W50" s="66"/>
      <c r="X50" s="67"/>
      <c r="Y50" s="68"/>
      <c r="Z50" s="68"/>
      <c r="AA50" s="62">
        <f t="shared" si="26"/>
        <v>0</v>
      </c>
      <c r="AB50" s="63">
        <f t="shared" si="27"/>
        <v>0</v>
      </c>
      <c r="AC50" s="69"/>
      <c r="AD50" s="70"/>
      <c r="AE50" s="70"/>
      <c r="AF50" s="62">
        <f t="shared" si="48"/>
        <v>0</v>
      </c>
      <c r="AG50" s="63">
        <f t="shared" si="49"/>
        <v>0</v>
      </c>
      <c r="AH50" s="89"/>
      <c r="AI50" s="66"/>
      <c r="AJ50" s="66"/>
      <c r="AK50" s="62">
        <f t="shared" ref="AK50" si="57">AH50*AI50%</f>
        <v>0</v>
      </c>
      <c r="AL50" s="72">
        <f t="shared" ref="AL50" si="58">AH50*AJ50%</f>
        <v>0</v>
      </c>
      <c r="AM50" s="73">
        <f t="shared" si="44"/>
        <v>0</v>
      </c>
      <c r="AN50" s="80">
        <f t="shared" ref="AN50" si="59">+G50+S50-AF50-AK50</f>
        <v>0</v>
      </c>
      <c r="AO50" s="80">
        <f t="shared" ref="AO50" si="60">+H50+T50-AG50-AL50</f>
        <v>0</v>
      </c>
      <c r="AP50" s="75" t="e">
        <f t="shared" si="34"/>
        <v>#DIV/0!</v>
      </c>
      <c r="AQ50" s="76">
        <f t="shared" si="8"/>
        <v>0</v>
      </c>
      <c r="AR50" s="90">
        <f t="shared" si="46"/>
        <v>0</v>
      </c>
    </row>
    <row r="51" spans="1:49" x14ac:dyDescent="0.25">
      <c r="A51" t="str">
        <f t="shared" si="10"/>
        <v>46197E</v>
      </c>
      <c r="B51" s="51">
        <f t="shared" si="25"/>
        <v>46197</v>
      </c>
      <c r="C51" s="52" t="s">
        <v>88</v>
      </c>
      <c r="D51" s="91"/>
      <c r="E51" s="62"/>
      <c r="F51" s="62"/>
      <c r="G51" s="62">
        <f t="shared" si="43"/>
        <v>0</v>
      </c>
      <c r="H51" s="72">
        <f t="shared" si="47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12"/>
        <v>0</v>
      </c>
      <c r="S51" s="62">
        <f t="shared" si="13"/>
        <v>0</v>
      </c>
      <c r="T51" s="63">
        <f t="shared" si="14"/>
        <v>0</v>
      </c>
      <c r="U51" s="64"/>
      <c r="V51" s="85"/>
      <c r="W51" s="66"/>
      <c r="X51" s="67"/>
      <c r="Y51" s="68"/>
      <c r="Z51" s="68"/>
      <c r="AA51" s="62">
        <f t="shared" si="26"/>
        <v>0</v>
      </c>
      <c r="AB51" s="63">
        <f t="shared" si="27"/>
        <v>0</v>
      </c>
      <c r="AC51" s="69"/>
      <c r="AD51" s="70"/>
      <c r="AE51" s="70"/>
      <c r="AF51" s="62">
        <f t="shared" si="48"/>
        <v>0</v>
      </c>
      <c r="AG51" s="63">
        <f t="shared" si="49"/>
        <v>0</v>
      </c>
      <c r="AH51" s="89"/>
      <c r="AI51" s="66"/>
      <c r="AJ51" s="66"/>
      <c r="AK51" s="62">
        <f t="shared" ref="AK51:AK63" si="61">AH51*AI51%</f>
        <v>0</v>
      </c>
      <c r="AL51" s="72">
        <f t="shared" ref="AL51:AL63" si="62">AH51*AJ51%</f>
        <v>0</v>
      </c>
      <c r="AM51" s="73">
        <f t="shared" si="44"/>
        <v>0</v>
      </c>
      <c r="AN51" s="80">
        <f t="shared" ref="AN51:AN63" si="63">+G51+S51-AF51-AK51</f>
        <v>0</v>
      </c>
      <c r="AO51" s="80">
        <f t="shared" ref="AO51:AO63" si="64">+H51+T51-AG51-AL51</f>
        <v>0</v>
      </c>
      <c r="AP51" s="75" t="e">
        <f t="shared" si="34"/>
        <v>#DIV/0!</v>
      </c>
      <c r="AQ51" s="76">
        <f t="shared" si="8"/>
        <v>0</v>
      </c>
      <c r="AR51" s="90">
        <f t="shared" si="46"/>
        <v>0</v>
      </c>
    </row>
    <row r="52" spans="1:49" x14ac:dyDescent="0.25">
      <c r="A52" t="str">
        <f t="shared" si="10"/>
        <v>46198M</v>
      </c>
      <c r="B52" s="51">
        <f t="shared" si="25"/>
        <v>46198</v>
      </c>
      <c r="C52" s="52" t="s">
        <v>87</v>
      </c>
      <c r="D52" s="91"/>
      <c r="E52" s="62"/>
      <c r="F52" s="62"/>
      <c r="G52" s="62">
        <f t="shared" si="43"/>
        <v>0</v>
      </c>
      <c r="H52" s="72">
        <f t="shared" si="47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2"/>
        <v>0</v>
      </c>
      <c r="S52" s="62">
        <f t="shared" si="13"/>
        <v>0</v>
      </c>
      <c r="T52" s="63">
        <f t="shared" si="14"/>
        <v>0</v>
      </c>
      <c r="U52" s="64"/>
      <c r="V52" s="65"/>
      <c r="W52" s="66"/>
      <c r="X52" s="67"/>
      <c r="Y52" s="68"/>
      <c r="Z52" s="68"/>
      <c r="AA52" s="62">
        <f t="shared" si="26"/>
        <v>0</v>
      </c>
      <c r="AB52" s="63">
        <f t="shared" si="27"/>
        <v>0</v>
      </c>
      <c r="AC52" s="69"/>
      <c r="AD52" s="70"/>
      <c r="AE52" s="70"/>
      <c r="AF52" s="62">
        <f t="shared" si="48"/>
        <v>0</v>
      </c>
      <c r="AG52" s="63">
        <f t="shared" si="49"/>
        <v>0</v>
      </c>
      <c r="AH52" s="89"/>
      <c r="AI52" s="66"/>
      <c r="AJ52" s="66"/>
      <c r="AK52" s="62">
        <f t="shared" si="61"/>
        <v>0</v>
      </c>
      <c r="AL52" s="72">
        <f t="shared" si="62"/>
        <v>0</v>
      </c>
      <c r="AM52" s="73">
        <f t="shared" si="44"/>
        <v>0</v>
      </c>
      <c r="AN52" s="80">
        <f t="shared" si="63"/>
        <v>0</v>
      </c>
      <c r="AO52" s="80">
        <f t="shared" si="64"/>
        <v>0</v>
      </c>
      <c r="AP52" s="75" t="e">
        <f t="shared" si="34"/>
        <v>#DIV/0!</v>
      </c>
      <c r="AQ52" s="76">
        <f t="shared" si="8"/>
        <v>0</v>
      </c>
      <c r="AR52" s="90">
        <f t="shared" si="46"/>
        <v>0</v>
      </c>
    </row>
    <row r="53" spans="1:49" x14ac:dyDescent="0.25">
      <c r="A53" t="str">
        <f t="shared" si="10"/>
        <v>46198E</v>
      </c>
      <c r="B53" s="51">
        <f t="shared" si="25"/>
        <v>46198</v>
      </c>
      <c r="C53" s="52" t="s">
        <v>88</v>
      </c>
      <c r="D53" s="91"/>
      <c r="E53" s="62"/>
      <c r="F53" s="62"/>
      <c r="G53" s="62">
        <f t="shared" si="43"/>
        <v>0</v>
      </c>
      <c r="H53" s="72">
        <f t="shared" si="47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2"/>
        <v>0</v>
      </c>
      <c r="S53" s="62">
        <f t="shared" si="13"/>
        <v>0</v>
      </c>
      <c r="T53" s="63">
        <f t="shared" si="14"/>
        <v>0</v>
      </c>
      <c r="U53" s="64"/>
      <c r="V53" s="65"/>
      <c r="W53" s="66"/>
      <c r="X53" s="67"/>
      <c r="Y53" s="68"/>
      <c r="Z53" s="68"/>
      <c r="AA53" s="62">
        <f t="shared" si="26"/>
        <v>0</v>
      </c>
      <c r="AB53" s="63">
        <f t="shared" si="27"/>
        <v>0</v>
      </c>
      <c r="AC53" s="69"/>
      <c r="AD53" s="70"/>
      <c r="AE53" s="70"/>
      <c r="AF53" s="62">
        <f t="shared" si="48"/>
        <v>0</v>
      </c>
      <c r="AG53" s="63">
        <f t="shared" si="49"/>
        <v>0</v>
      </c>
      <c r="AH53" s="89"/>
      <c r="AI53" s="66"/>
      <c r="AJ53" s="66"/>
      <c r="AK53" s="62">
        <f t="shared" si="61"/>
        <v>0</v>
      </c>
      <c r="AL53" s="72">
        <f t="shared" si="62"/>
        <v>0</v>
      </c>
      <c r="AM53" s="73">
        <f t="shared" si="44"/>
        <v>0</v>
      </c>
      <c r="AN53" s="80">
        <f t="shared" si="63"/>
        <v>0</v>
      </c>
      <c r="AO53" s="80">
        <f t="shared" si="64"/>
        <v>0</v>
      </c>
      <c r="AP53" s="75" t="e">
        <f t="shared" si="34"/>
        <v>#DIV/0!</v>
      </c>
      <c r="AQ53" s="76">
        <f t="shared" si="8"/>
        <v>0</v>
      </c>
      <c r="AR53" s="90">
        <f t="shared" si="46"/>
        <v>0</v>
      </c>
    </row>
    <row r="54" spans="1:49" x14ac:dyDescent="0.25">
      <c r="A54" t="str">
        <f t="shared" si="10"/>
        <v>46199M</v>
      </c>
      <c r="B54" s="51">
        <f t="shared" si="25"/>
        <v>46199</v>
      </c>
      <c r="C54" s="52" t="s">
        <v>87</v>
      </c>
      <c r="D54" s="91"/>
      <c r="E54" s="62"/>
      <c r="F54" s="62"/>
      <c r="G54" s="62">
        <f t="shared" si="43"/>
        <v>0</v>
      </c>
      <c r="H54" s="72">
        <f t="shared" si="4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26"/>
        <v>0</v>
      </c>
      <c r="AB54" s="63">
        <f t="shared" si="27"/>
        <v>0</v>
      </c>
      <c r="AC54" s="69"/>
      <c r="AD54" s="70"/>
      <c r="AE54" s="70"/>
      <c r="AF54" s="62">
        <f t="shared" si="48"/>
        <v>0</v>
      </c>
      <c r="AG54" s="63">
        <f>AC54*AE54%</f>
        <v>0</v>
      </c>
      <c r="AH54" s="89"/>
      <c r="AI54" s="66"/>
      <c r="AJ54" s="66"/>
      <c r="AK54" s="62">
        <f t="shared" si="61"/>
        <v>0</v>
      </c>
      <c r="AL54" s="72">
        <f t="shared" si="62"/>
        <v>0</v>
      </c>
      <c r="AM54" s="73">
        <f t="shared" si="44"/>
        <v>0</v>
      </c>
      <c r="AN54" s="80">
        <f t="shared" si="63"/>
        <v>0</v>
      </c>
      <c r="AO54" s="80">
        <f t="shared" si="64"/>
        <v>0</v>
      </c>
      <c r="AP54" s="75" t="e">
        <f t="shared" si="34"/>
        <v>#DIV/0!</v>
      </c>
      <c r="AQ54" s="76">
        <f t="shared" si="8"/>
        <v>0</v>
      </c>
      <c r="AR54" s="90">
        <f t="shared" si="46"/>
        <v>0</v>
      </c>
    </row>
    <row r="55" spans="1:49" x14ac:dyDescent="0.25">
      <c r="A55" t="str">
        <f t="shared" si="10"/>
        <v>46199E</v>
      </c>
      <c r="B55" s="51">
        <f t="shared" si="25"/>
        <v>46199</v>
      </c>
      <c r="C55" s="52" t="s">
        <v>88</v>
      </c>
      <c r="D55" s="91"/>
      <c r="E55" s="62"/>
      <c r="F55" s="62"/>
      <c r="G55" s="62">
        <f t="shared" si="43"/>
        <v>0</v>
      </c>
      <c r="H55" s="72">
        <f t="shared" si="4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26"/>
        <v>0</v>
      </c>
      <c r="AB55" s="63">
        <f t="shared" si="2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89"/>
      <c r="AI55" s="66"/>
      <c r="AJ55" s="66"/>
      <c r="AK55" s="62">
        <f t="shared" si="61"/>
        <v>0</v>
      </c>
      <c r="AL55" s="72">
        <f t="shared" si="62"/>
        <v>0</v>
      </c>
      <c r="AM55" s="73">
        <f t="shared" si="44"/>
        <v>0</v>
      </c>
      <c r="AN55" s="80">
        <f t="shared" si="63"/>
        <v>0</v>
      </c>
      <c r="AO55" s="80">
        <f t="shared" si="64"/>
        <v>0</v>
      </c>
      <c r="AP55" s="75" t="e">
        <f t="shared" si="34"/>
        <v>#DIV/0!</v>
      </c>
      <c r="AQ55" s="76">
        <f t="shared" si="8"/>
        <v>0</v>
      </c>
      <c r="AR55" s="90">
        <f t="shared" si="46"/>
        <v>0</v>
      </c>
    </row>
    <row r="56" spans="1:49" x14ac:dyDescent="0.25">
      <c r="A56" t="str">
        <f t="shared" si="10"/>
        <v>46200M</v>
      </c>
      <c r="B56" s="51">
        <f t="shared" si="25"/>
        <v>46200</v>
      </c>
      <c r="C56" s="52" t="s">
        <v>87</v>
      </c>
      <c r="D56" s="91"/>
      <c r="E56" s="62"/>
      <c r="F56" s="62"/>
      <c r="G56" s="62">
        <f t="shared" si="43"/>
        <v>0</v>
      </c>
      <c r="H56" s="72">
        <f t="shared" si="47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26"/>
        <v>0</v>
      </c>
      <c r="AB56" s="63">
        <f t="shared" si="27"/>
        <v>0</v>
      </c>
      <c r="AC56" s="69"/>
      <c r="AD56" s="70"/>
      <c r="AE56" s="70"/>
      <c r="AF56" s="62">
        <f t="shared" ref="AF56:AF63" si="65">AC56*AD56%</f>
        <v>0</v>
      </c>
      <c r="AG56" s="63">
        <f t="shared" ref="AG56:AG63" si="66">AC56*AE56%</f>
        <v>0</v>
      </c>
      <c r="AH56" s="89"/>
      <c r="AI56" s="66"/>
      <c r="AJ56" s="66"/>
      <c r="AK56" s="62">
        <f t="shared" si="61"/>
        <v>0</v>
      </c>
      <c r="AL56" s="72">
        <f t="shared" si="62"/>
        <v>0</v>
      </c>
      <c r="AM56" s="73">
        <f t="shared" si="44"/>
        <v>0</v>
      </c>
      <c r="AN56" s="80">
        <f t="shared" si="63"/>
        <v>0</v>
      </c>
      <c r="AO56" s="80">
        <f t="shared" si="64"/>
        <v>0</v>
      </c>
      <c r="AP56" s="75" t="e">
        <f t="shared" si="34"/>
        <v>#DIV/0!</v>
      </c>
      <c r="AQ56" s="76">
        <f t="shared" si="8"/>
        <v>0</v>
      </c>
      <c r="AR56" s="90">
        <f t="shared" si="46"/>
        <v>0</v>
      </c>
    </row>
    <row r="57" spans="1:49" x14ac:dyDescent="0.25">
      <c r="A57" t="str">
        <f t="shared" si="10"/>
        <v>46200E</v>
      </c>
      <c r="B57" s="51">
        <f t="shared" si="25"/>
        <v>46200</v>
      </c>
      <c r="C57" s="52" t="s">
        <v>88</v>
      </c>
      <c r="D57" s="91"/>
      <c r="E57" s="62"/>
      <c r="F57" s="62"/>
      <c r="G57" s="62">
        <f t="shared" si="43"/>
        <v>0</v>
      </c>
      <c r="H57" s="72">
        <f t="shared" si="47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26"/>
        <v>0</v>
      </c>
      <c r="AB57" s="63">
        <f t="shared" si="27"/>
        <v>0</v>
      </c>
      <c r="AC57" s="69"/>
      <c r="AD57" s="70"/>
      <c r="AE57" s="70"/>
      <c r="AF57" s="62">
        <f t="shared" si="65"/>
        <v>0</v>
      </c>
      <c r="AG57" s="63">
        <f t="shared" si="66"/>
        <v>0</v>
      </c>
      <c r="AH57" s="89"/>
      <c r="AI57" s="66"/>
      <c r="AJ57" s="66"/>
      <c r="AK57" s="62">
        <f t="shared" si="61"/>
        <v>0</v>
      </c>
      <c r="AL57" s="72">
        <f t="shared" si="62"/>
        <v>0</v>
      </c>
      <c r="AM57" s="73">
        <f t="shared" si="44"/>
        <v>0</v>
      </c>
      <c r="AN57" s="80">
        <f t="shared" si="63"/>
        <v>0</v>
      </c>
      <c r="AO57" s="80">
        <f t="shared" si="64"/>
        <v>0</v>
      </c>
      <c r="AP57" s="75" t="e">
        <f t="shared" si="34"/>
        <v>#DIV/0!</v>
      </c>
      <c r="AQ57" s="76">
        <f t="shared" si="8"/>
        <v>0</v>
      </c>
      <c r="AR57" s="90">
        <f t="shared" si="46"/>
        <v>0</v>
      </c>
    </row>
    <row r="58" spans="1:49" x14ac:dyDescent="0.25">
      <c r="A58" t="str">
        <f t="shared" si="10"/>
        <v>46201M</v>
      </c>
      <c r="B58" s="51">
        <f t="shared" si="25"/>
        <v>46201</v>
      </c>
      <c r="C58" s="52" t="s">
        <v>87</v>
      </c>
      <c r="D58" s="91"/>
      <c r="E58" s="62"/>
      <c r="F58" s="62"/>
      <c r="G58" s="62">
        <f t="shared" si="43"/>
        <v>0</v>
      </c>
      <c r="H58" s="72">
        <f t="shared" si="47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26"/>
        <v>0</v>
      </c>
      <c r="AB58" s="63">
        <f t="shared" si="27"/>
        <v>0</v>
      </c>
      <c r="AC58" s="69"/>
      <c r="AD58" s="70"/>
      <c r="AE58" s="70"/>
      <c r="AF58" s="62">
        <f t="shared" si="65"/>
        <v>0</v>
      </c>
      <c r="AG58" s="63">
        <f t="shared" si="66"/>
        <v>0</v>
      </c>
      <c r="AH58" s="89"/>
      <c r="AI58" s="66"/>
      <c r="AJ58" s="66"/>
      <c r="AK58" s="62">
        <f t="shared" si="61"/>
        <v>0</v>
      </c>
      <c r="AL58" s="72">
        <f t="shared" si="62"/>
        <v>0</v>
      </c>
      <c r="AM58" s="73">
        <f t="shared" si="44"/>
        <v>0</v>
      </c>
      <c r="AN58" s="80">
        <f t="shared" si="63"/>
        <v>0</v>
      </c>
      <c r="AO58" s="80">
        <f t="shared" si="64"/>
        <v>0</v>
      </c>
      <c r="AP58" s="75" t="e">
        <f t="shared" si="34"/>
        <v>#DIV/0!</v>
      </c>
      <c r="AQ58" s="76">
        <f t="shared" si="8"/>
        <v>0</v>
      </c>
      <c r="AR58" s="90">
        <f t="shared" si="46"/>
        <v>0</v>
      </c>
    </row>
    <row r="59" spans="1:49" x14ac:dyDescent="0.25">
      <c r="A59" t="str">
        <f t="shared" si="10"/>
        <v>46201E</v>
      </c>
      <c r="B59" s="51">
        <f t="shared" si="25"/>
        <v>46201</v>
      </c>
      <c r="C59" s="52" t="s">
        <v>88</v>
      </c>
      <c r="D59" s="91"/>
      <c r="E59" s="62"/>
      <c r="F59" s="62"/>
      <c r="G59" s="62">
        <f t="shared" si="43"/>
        <v>0</v>
      </c>
      <c r="H59" s="72">
        <f t="shared" si="47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26"/>
        <v>0</v>
      </c>
      <c r="AB59" s="63">
        <f t="shared" si="27"/>
        <v>0</v>
      </c>
      <c r="AC59" s="69"/>
      <c r="AD59" s="70"/>
      <c r="AE59" s="70"/>
      <c r="AF59" s="62">
        <f t="shared" si="65"/>
        <v>0</v>
      </c>
      <c r="AG59" s="63">
        <f t="shared" si="66"/>
        <v>0</v>
      </c>
      <c r="AH59" s="89"/>
      <c r="AI59" s="66"/>
      <c r="AJ59" s="66"/>
      <c r="AK59" s="62">
        <f t="shared" si="61"/>
        <v>0</v>
      </c>
      <c r="AL59" s="72">
        <f t="shared" si="62"/>
        <v>0</v>
      </c>
      <c r="AM59" s="73">
        <f t="shared" si="44"/>
        <v>0</v>
      </c>
      <c r="AN59" s="80">
        <f t="shared" si="63"/>
        <v>0</v>
      </c>
      <c r="AO59" s="80">
        <f t="shared" si="64"/>
        <v>0</v>
      </c>
      <c r="AP59" s="75" t="e">
        <f t="shared" si="34"/>
        <v>#DIV/0!</v>
      </c>
      <c r="AQ59" s="76">
        <f t="shared" si="8"/>
        <v>0</v>
      </c>
      <c r="AR59" s="90">
        <f t="shared" si="46"/>
        <v>0</v>
      </c>
    </row>
    <row r="60" spans="1:49" x14ac:dyDescent="0.25">
      <c r="A60" t="str">
        <f t="shared" si="10"/>
        <v>46202M</v>
      </c>
      <c r="B60" s="51">
        <f t="shared" si="25"/>
        <v>46202</v>
      </c>
      <c r="C60" s="52" t="s">
        <v>87</v>
      </c>
      <c r="D60" s="91"/>
      <c r="E60" s="62"/>
      <c r="F60" s="62"/>
      <c r="G60" s="62">
        <f t="shared" si="43"/>
        <v>0</v>
      </c>
      <c r="H60" s="72">
        <f t="shared" si="47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26"/>
        <v>0</v>
      </c>
      <c r="AB60" s="63">
        <f t="shared" si="27"/>
        <v>0</v>
      </c>
      <c r="AC60" s="69"/>
      <c r="AD60" s="70"/>
      <c r="AE60" s="70"/>
      <c r="AF60" s="62">
        <f t="shared" si="65"/>
        <v>0</v>
      </c>
      <c r="AG60" s="63">
        <f t="shared" si="66"/>
        <v>0</v>
      </c>
      <c r="AH60" s="89"/>
      <c r="AI60" s="66"/>
      <c r="AJ60" s="66"/>
      <c r="AK60" s="62">
        <f t="shared" si="61"/>
        <v>0</v>
      </c>
      <c r="AL60" s="72">
        <f t="shared" si="62"/>
        <v>0</v>
      </c>
      <c r="AM60" s="73">
        <f t="shared" si="44"/>
        <v>0</v>
      </c>
      <c r="AN60" s="80">
        <f t="shared" si="63"/>
        <v>0</v>
      </c>
      <c r="AO60" s="80">
        <f t="shared" si="64"/>
        <v>0</v>
      </c>
      <c r="AP60" s="75" t="e">
        <f t="shared" si="34"/>
        <v>#DIV/0!</v>
      </c>
      <c r="AQ60" s="76">
        <f t="shared" si="8"/>
        <v>0</v>
      </c>
      <c r="AR60" s="90">
        <f t="shared" si="46"/>
        <v>0</v>
      </c>
    </row>
    <row r="61" spans="1:49" x14ac:dyDescent="0.25">
      <c r="A61" t="str">
        <f t="shared" si="10"/>
        <v>46202E</v>
      </c>
      <c r="B61" s="51">
        <f t="shared" si="25"/>
        <v>46202</v>
      </c>
      <c r="C61" s="52" t="s">
        <v>88</v>
      </c>
      <c r="D61" s="91"/>
      <c r="E61" s="62"/>
      <c r="F61" s="62"/>
      <c r="G61" s="62">
        <f t="shared" si="43"/>
        <v>0</v>
      </c>
      <c r="H61" s="72">
        <f t="shared" si="47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26"/>
        <v>0</v>
      </c>
      <c r="AB61" s="63">
        <f t="shared" si="27"/>
        <v>0</v>
      </c>
      <c r="AC61" s="69"/>
      <c r="AD61" s="70"/>
      <c r="AE61" s="70"/>
      <c r="AF61" s="62">
        <f t="shared" si="65"/>
        <v>0</v>
      </c>
      <c r="AG61" s="63">
        <f t="shared" si="66"/>
        <v>0</v>
      </c>
      <c r="AH61" s="89"/>
      <c r="AI61" s="66"/>
      <c r="AJ61" s="66"/>
      <c r="AK61" s="62">
        <f t="shared" si="61"/>
        <v>0</v>
      </c>
      <c r="AL61" s="72">
        <f t="shared" si="62"/>
        <v>0</v>
      </c>
      <c r="AM61" s="73">
        <f t="shared" si="44"/>
        <v>0</v>
      </c>
      <c r="AN61" s="80">
        <f t="shared" si="63"/>
        <v>0</v>
      </c>
      <c r="AO61" s="80">
        <f t="shared" si="64"/>
        <v>0</v>
      </c>
      <c r="AP61" s="75" t="e">
        <f t="shared" si="34"/>
        <v>#DIV/0!</v>
      </c>
      <c r="AQ61" s="76">
        <f t="shared" si="8"/>
        <v>0</v>
      </c>
      <c r="AR61" s="90">
        <f t="shared" si="46"/>
        <v>0</v>
      </c>
    </row>
    <row r="62" spans="1:49" x14ac:dyDescent="0.25">
      <c r="A62" t="str">
        <f t="shared" si="10"/>
        <v>46203M</v>
      </c>
      <c r="B62" s="51">
        <f t="shared" si="25"/>
        <v>46203</v>
      </c>
      <c r="C62" s="52" t="s">
        <v>87</v>
      </c>
      <c r="D62" s="91"/>
      <c r="E62" s="62"/>
      <c r="F62" s="62"/>
      <c r="G62" s="62">
        <f t="shared" si="43"/>
        <v>0</v>
      </c>
      <c r="H62" s="72">
        <f t="shared" si="47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26"/>
        <v>0</v>
      </c>
      <c r="AB62" s="63">
        <f t="shared" si="27"/>
        <v>0</v>
      </c>
      <c r="AC62" s="69"/>
      <c r="AD62" s="70"/>
      <c r="AE62" s="70"/>
      <c r="AF62" s="62">
        <f t="shared" si="65"/>
        <v>0</v>
      </c>
      <c r="AG62" s="63">
        <f t="shared" si="66"/>
        <v>0</v>
      </c>
      <c r="AH62" s="89"/>
      <c r="AI62" s="66"/>
      <c r="AJ62" s="66"/>
      <c r="AK62" s="62">
        <f t="shared" si="61"/>
        <v>0</v>
      </c>
      <c r="AL62" s="72">
        <f t="shared" si="62"/>
        <v>0</v>
      </c>
      <c r="AM62" s="73">
        <f t="shared" si="44"/>
        <v>0</v>
      </c>
      <c r="AN62" s="80">
        <f t="shared" si="63"/>
        <v>0</v>
      </c>
      <c r="AO62" s="80">
        <f t="shared" si="64"/>
        <v>0</v>
      </c>
      <c r="AP62" s="75" t="e">
        <f t="shared" si="34"/>
        <v>#DIV/0!</v>
      </c>
      <c r="AQ62" s="76">
        <f t="shared" si="8"/>
        <v>0</v>
      </c>
      <c r="AR62" s="90">
        <f t="shared" si="46"/>
        <v>0</v>
      </c>
    </row>
    <row r="63" spans="1:49" x14ac:dyDescent="0.25">
      <c r="A63" t="str">
        <f t="shared" si="10"/>
        <v>46203E</v>
      </c>
      <c r="B63" s="51">
        <f t="shared" si="25"/>
        <v>46203</v>
      </c>
      <c r="C63" s="52" t="s">
        <v>88</v>
      </c>
      <c r="D63" s="91"/>
      <c r="E63" s="62"/>
      <c r="F63" s="62"/>
      <c r="G63" s="62">
        <f t="shared" si="43"/>
        <v>0</v>
      </c>
      <c r="H63" s="72">
        <f t="shared" si="47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26"/>
        <v>0</v>
      </c>
      <c r="AB63" s="63">
        <f t="shared" si="27"/>
        <v>0</v>
      </c>
      <c r="AC63" s="69"/>
      <c r="AD63" s="70"/>
      <c r="AE63" s="70"/>
      <c r="AF63" s="62">
        <f t="shared" si="65"/>
        <v>0</v>
      </c>
      <c r="AG63" s="63">
        <f t="shared" si="66"/>
        <v>0</v>
      </c>
      <c r="AH63" s="89"/>
      <c r="AI63" s="66"/>
      <c r="AJ63" s="66"/>
      <c r="AK63" s="62">
        <f t="shared" si="61"/>
        <v>0</v>
      </c>
      <c r="AL63" s="72">
        <f t="shared" si="62"/>
        <v>0</v>
      </c>
      <c r="AM63" s="73">
        <f t="shared" si="44"/>
        <v>0</v>
      </c>
      <c r="AN63" s="80">
        <f t="shared" si="63"/>
        <v>0</v>
      </c>
      <c r="AO63" s="80">
        <f t="shared" si="64"/>
        <v>0</v>
      </c>
      <c r="AP63" s="75" t="e">
        <f t="shared" si="34"/>
        <v>#DIV/0!</v>
      </c>
      <c r="AQ63" s="76">
        <f t="shared" si="8"/>
        <v>0</v>
      </c>
      <c r="AR63" s="90">
        <f t="shared" si="46"/>
        <v>0</v>
      </c>
      <c r="AS63" s="90">
        <f>SUM(J50:J63)</f>
        <v>0</v>
      </c>
      <c r="AT63" s="83">
        <f>SUM(AM50:AM63)</f>
        <v>0</v>
      </c>
      <c r="AU63" s="83">
        <f>SUM(AN50:AN63)</f>
        <v>0</v>
      </c>
      <c r="AV63" s="83">
        <f>SUM(AO50:AO63)</f>
        <v>0</v>
      </c>
      <c r="AW63" s="83">
        <f>-SUM(AQ50:AQ63)</f>
        <v>0</v>
      </c>
    </row>
    <row r="64" spans="1:49" x14ac:dyDescent="0.25">
      <c r="A64" t="str">
        <f t="shared" si="10"/>
        <v>46204M</v>
      </c>
      <c r="B64" s="51">
        <f t="shared" si="25"/>
        <v>46204</v>
      </c>
      <c r="C64" s="52" t="s">
        <v>87</v>
      </c>
      <c r="D64" s="91"/>
      <c r="E64" s="62"/>
      <c r="F64" s="62"/>
      <c r="G64" s="62">
        <f t="shared" si="43"/>
        <v>0</v>
      </c>
      <c r="H64" s="72">
        <f t="shared" si="47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26"/>
        <v>0</v>
      </c>
      <c r="AB64" s="63">
        <f t="shared" si="27"/>
        <v>0</v>
      </c>
      <c r="AC64" s="69"/>
      <c r="AD64" s="70"/>
      <c r="AE64" s="70"/>
      <c r="AF64" s="62">
        <f t="shared" ref="AF64:AF65" si="67">AC64*AD64%</f>
        <v>0</v>
      </c>
      <c r="AG64" s="63">
        <f t="shared" ref="AG64:AG65" si="68">AC64*AE64%</f>
        <v>0</v>
      </c>
      <c r="AH64" s="89"/>
      <c r="AI64" s="66"/>
      <c r="AJ64" s="66"/>
      <c r="AK64" s="62">
        <f t="shared" ref="AK64:AK65" si="69">AH64*AI64%</f>
        <v>0</v>
      </c>
      <c r="AL64" s="72">
        <f t="shared" ref="AL64:AL65" si="70">AH64*AJ64%</f>
        <v>0</v>
      </c>
      <c r="AM64" s="73">
        <f t="shared" si="44"/>
        <v>0</v>
      </c>
      <c r="AN64" s="80">
        <f t="shared" ref="AN64:AN65" si="71">+G64+S64-AF64-AK64</f>
        <v>0</v>
      </c>
      <c r="AO64" s="80">
        <f t="shared" ref="AO64:AO65" si="72">+H64+T64-AG64-AL64</f>
        <v>0</v>
      </c>
      <c r="AP64" s="75" t="e">
        <f t="shared" si="34"/>
        <v>#DIV/0!</v>
      </c>
      <c r="AQ64" s="76">
        <f t="shared" si="8"/>
        <v>0</v>
      </c>
      <c r="AR64" s="90">
        <f t="shared" si="46"/>
        <v>0</v>
      </c>
      <c r="AT64">
        <v>745</v>
      </c>
    </row>
    <row r="65" spans="1:49" x14ac:dyDescent="0.25">
      <c r="A65" t="str">
        <f t="shared" si="10"/>
        <v>46204E</v>
      </c>
      <c r="B65" s="51">
        <f t="shared" si="25"/>
        <v>46204</v>
      </c>
      <c r="C65" s="52" t="s">
        <v>88</v>
      </c>
      <c r="D65" s="91"/>
      <c r="E65" s="62"/>
      <c r="F65" s="62"/>
      <c r="G65" s="62">
        <f t="shared" si="43"/>
        <v>0</v>
      </c>
      <c r="H65" s="72">
        <f t="shared" si="47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26"/>
        <v>0</v>
      </c>
      <c r="AB65" s="63">
        <f t="shared" si="27"/>
        <v>0</v>
      </c>
      <c r="AC65" s="69"/>
      <c r="AD65" s="70"/>
      <c r="AE65" s="70"/>
      <c r="AF65" s="62">
        <f t="shared" si="67"/>
        <v>0</v>
      </c>
      <c r="AG65" s="63">
        <f t="shared" si="68"/>
        <v>0</v>
      </c>
      <c r="AH65" s="89"/>
      <c r="AI65" s="66"/>
      <c r="AJ65" s="66"/>
      <c r="AK65" s="62">
        <f t="shared" si="69"/>
        <v>0</v>
      </c>
      <c r="AL65" s="72">
        <f t="shared" si="70"/>
        <v>0</v>
      </c>
      <c r="AM65" s="73">
        <f t="shared" si="44"/>
        <v>0</v>
      </c>
      <c r="AN65" s="80">
        <f t="shared" si="71"/>
        <v>0</v>
      </c>
      <c r="AO65" s="80">
        <f t="shared" si="72"/>
        <v>0</v>
      </c>
      <c r="AP65" s="75" t="e">
        <f t="shared" si="34"/>
        <v>#DIV/0!</v>
      </c>
      <c r="AQ65" s="76">
        <f t="shared" si="8"/>
        <v>0</v>
      </c>
      <c r="AR65" s="90">
        <f t="shared" si="46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141893.00599999994</v>
      </c>
      <c r="AM66" s="94">
        <f>-SUM(AM4:AM65)</f>
        <v>304.9939999999915</v>
      </c>
      <c r="AN66" s="94">
        <f>-SUM(AN4:AN65)</f>
        <v>-37.506694000000294</v>
      </c>
      <c r="AO66" s="94">
        <f>-SUM(AO4:AO65)</f>
        <v>212.85590700000012</v>
      </c>
      <c r="AP66" s="95"/>
      <c r="AQ66" s="94">
        <f>-SUM(AQ4:AQ65)</f>
        <v>46864.966804039905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9" priority="2" operator="lessThan">
      <formula>0.1</formula>
    </cfRule>
    <cfRule type="cellIs" dxfId="28" priority="3" operator="greaterThan">
      <formula>0.1</formula>
    </cfRule>
  </conditionalFormatting>
  <conditionalFormatting sqref="AP1:AQ1">
    <cfRule type="cellIs" dxfId="27" priority="1" operator="lessThan">
      <formula>1</formula>
    </cfRule>
  </conditionalFormatting>
  <conditionalFormatting sqref="AQ4:AQ65">
    <cfRule type="cellIs" dxfId="26" priority="8" operator="lessThan">
      <formula>0</formula>
    </cfRule>
    <cfRule type="cellIs" dxfId="25" priority="9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A1:AW66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H26" sqref="AH26:AJ39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7109375" customWidth="1"/>
    <col min="23" max="23" width="8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3.42578125" bestFit="1" customWidth="1"/>
    <col min="45" max="45" width="5.5703125" bestFit="1" customWidth="1"/>
    <col min="46" max="48" width="3.85546875" bestFit="1" customWidth="1"/>
    <col min="49" max="49" width="7.85546875" bestFit="1" customWidth="1"/>
  </cols>
  <sheetData>
    <row r="1" spans="1:44" ht="15.75" thickBot="1" x14ac:dyDescent="0.3">
      <c r="B1" s="43" t="s">
        <v>98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1790</v>
      </c>
      <c r="E4" s="88">
        <v>3.82</v>
      </c>
      <c r="F4" s="88">
        <v>8.09</v>
      </c>
      <c r="G4" s="62">
        <f t="shared" ref="G4" si="0">+D4*E4%</f>
        <v>68.378</v>
      </c>
      <c r="H4" s="63">
        <f t="shared" ref="H4" si="1">+D4*F4%</f>
        <v>144.81100000000001</v>
      </c>
      <c r="I4" s="144">
        <v>554.70000000000005</v>
      </c>
      <c r="J4" s="145">
        <v>571.34100000000001</v>
      </c>
      <c r="K4" s="146">
        <v>4.1729583558680359</v>
      </c>
      <c r="L4" s="147">
        <v>8.1283035875247869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571.34100000000001</v>
      </c>
      <c r="S4" s="62">
        <f>+J4*K4%+O4*P4%</f>
        <v>23.841821999999997</v>
      </c>
      <c r="T4" s="63">
        <f>+J4*L4%+O4*Q4%</f>
        <v>46.440330999999993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2">X4*Y4%</f>
        <v>0</v>
      </c>
      <c r="AB4" s="63">
        <f t="shared" ref="AB4" si="3">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66">
        <v>2361</v>
      </c>
      <c r="AI4" s="66">
        <v>3.9</v>
      </c>
      <c r="AJ4" s="66">
        <v>8.09</v>
      </c>
      <c r="AK4" s="62">
        <f t="shared" ref="AK4" si="6">AH4*AI4%</f>
        <v>92.078999999999994</v>
      </c>
      <c r="AL4" s="72">
        <f t="shared" ref="AL4" si="7">AH4*AJ4%</f>
        <v>191.00489999999999</v>
      </c>
      <c r="AM4" s="73">
        <f>+D4+R4-AC4-AH4</f>
        <v>0.3409999999998945</v>
      </c>
      <c r="AN4" s="74">
        <f t="shared" ref="AN4:AO4" si="8">+G4+S4-AF4-AK4</f>
        <v>0.140822</v>
      </c>
      <c r="AO4" s="74">
        <f t="shared" si="8"/>
        <v>0.24643100000000118</v>
      </c>
      <c r="AP4" s="75">
        <f>(AN4+AO4)/(S4+T4)</f>
        <v>5.5099763378051499E-3</v>
      </c>
      <c r="AQ4" s="76">
        <f t="shared" ref="AQ4:AQ65" si="9">($AP$1*AN4+$AQ$1*AO4)</f>
        <v>136.96663082666703</v>
      </c>
      <c r="AR4" s="90">
        <f>(D4+J4+O4)-(X4+AH4)</f>
        <v>0.3409999999998945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2361</v>
      </c>
      <c r="E5" s="62">
        <v>3.9</v>
      </c>
      <c r="F5" s="62">
        <v>8.09</v>
      </c>
      <c r="G5" s="62">
        <f t="shared" ref="G5:G65" si="11">+D5*E5%</f>
        <v>92.078999999999994</v>
      </c>
      <c r="H5" s="63">
        <f t="shared" ref="H5:H65" si="12">+D5*F5%</f>
        <v>191.00489999999999</v>
      </c>
      <c r="I5" s="144">
        <v>642.20000000000005</v>
      </c>
      <c r="J5" s="145">
        <v>661.46600000000001</v>
      </c>
      <c r="K5" s="146">
        <v>3.7226720647773286</v>
      </c>
      <c r="L5" s="147">
        <v>7.9459669884771111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661.46600000000001</v>
      </c>
      <c r="S5" s="62">
        <f t="shared" ref="S5:S65" si="14">+J5*K5%+O5*P5%</f>
        <v>24.624210000000005</v>
      </c>
      <c r="T5" s="63">
        <f t="shared" ref="T5:T65" si="15">+J5*L5%+O5*Q5%</f>
        <v>52.559870000000011</v>
      </c>
      <c r="U5" s="64" t="s">
        <v>316</v>
      </c>
      <c r="V5" s="65" t="s">
        <v>317</v>
      </c>
      <c r="W5" s="66" t="s">
        <v>183</v>
      </c>
      <c r="X5" s="67">
        <v>2455</v>
      </c>
      <c r="Y5" s="68">
        <v>3.8</v>
      </c>
      <c r="Z5" s="68">
        <v>7.92</v>
      </c>
      <c r="AA5" s="62">
        <f t="shared" ref="AA5:AA65" si="16">X5*Y5%</f>
        <v>93.289999999999992</v>
      </c>
      <c r="AB5" s="63">
        <f t="shared" ref="AB5:AB65" si="17">X5*Z5%</f>
        <v>194.43599999999998</v>
      </c>
      <c r="AC5" s="69">
        <v>2455</v>
      </c>
      <c r="AD5" s="70">
        <v>3.8</v>
      </c>
      <c r="AE5" s="70">
        <v>7.93</v>
      </c>
      <c r="AF5" s="62">
        <f t="shared" ref="AF5:AF65" si="18">AC5*AD5%</f>
        <v>93.289999999999992</v>
      </c>
      <c r="AG5" s="63">
        <f t="shared" ref="AG5:AG65" si="19">AC5*AE5%</f>
        <v>194.6815</v>
      </c>
      <c r="AH5" s="66">
        <v>567</v>
      </c>
      <c r="AI5" s="66">
        <v>3.86</v>
      </c>
      <c r="AJ5" s="66">
        <v>8.0500000000000007</v>
      </c>
      <c r="AK5" s="62">
        <f t="shared" ref="AK5:AK65" si="20">AH5*AI5%</f>
        <v>21.886199999999999</v>
      </c>
      <c r="AL5" s="72">
        <f t="shared" ref="AL5:AL65" si="21">AH5*AJ5%</f>
        <v>45.643500000000003</v>
      </c>
      <c r="AM5" s="73">
        <f t="shared" ref="AM5:AM65" si="22">+D5+R5-AC5-AH5</f>
        <v>0.4659999999998945</v>
      </c>
      <c r="AN5" s="74">
        <f t="shared" ref="AN5:AN65" si="23">+G5+S5-AF5-AK5</f>
        <v>1.5270100000000078</v>
      </c>
      <c r="AO5" s="74">
        <f t="shared" ref="AO5:AO65" si="24">+H5+T5-AG5-AL5</f>
        <v>3.2397700000000071</v>
      </c>
      <c r="AP5" s="75">
        <f t="shared" ref="AP5:AP65" si="25">(AN5+AO5)/(S5+T5)</f>
        <v>6.1758590631643386E-2</v>
      </c>
      <c r="AQ5" s="76">
        <f t="shared" si="9"/>
        <v>1655.066826233339</v>
      </c>
      <c r="AR5" s="90">
        <f t="shared" ref="AR5:AR65" si="26">(D5+J5+O5)-(X5+AH5)</f>
        <v>0.4659999999998945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567</v>
      </c>
      <c r="E6" s="62">
        <v>3.86</v>
      </c>
      <c r="F6" s="62">
        <v>8.0500000000000007</v>
      </c>
      <c r="G6" s="62">
        <f t="shared" si="11"/>
        <v>21.886199999999999</v>
      </c>
      <c r="H6" s="63">
        <f t="shared" si="12"/>
        <v>45.643500000000003</v>
      </c>
      <c r="I6" s="144">
        <v>527.30000000000007</v>
      </c>
      <c r="J6" s="145">
        <v>543.11900000000003</v>
      </c>
      <c r="K6" s="146">
        <v>4.0760477906315193</v>
      </c>
      <c r="L6" s="147">
        <v>8.1225867627536505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543.11900000000003</v>
      </c>
      <c r="S6" s="62">
        <f t="shared" si="14"/>
        <v>22.137790000000003</v>
      </c>
      <c r="T6" s="63">
        <f t="shared" si="15"/>
        <v>44.115312000000003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1110</v>
      </c>
      <c r="AI6" s="66">
        <v>3.96</v>
      </c>
      <c r="AJ6" s="66">
        <v>8.08</v>
      </c>
      <c r="AK6" s="62">
        <f t="shared" si="20"/>
        <v>43.955999999999996</v>
      </c>
      <c r="AL6" s="72">
        <f t="shared" si="21"/>
        <v>89.688000000000002</v>
      </c>
      <c r="AM6" s="73">
        <f t="shared" si="22"/>
        <v>0.11900000000014188</v>
      </c>
      <c r="AN6" s="74">
        <f t="shared" si="23"/>
        <v>6.7990000000001771E-2</v>
      </c>
      <c r="AO6" s="74">
        <f t="shared" si="24"/>
        <v>7.081200000000365E-2</v>
      </c>
      <c r="AP6" s="75">
        <f t="shared" si="25"/>
        <v>2.0950264336303133E-3</v>
      </c>
      <c r="AQ6" s="76">
        <f t="shared" si="9"/>
        <v>51.713534180001886</v>
      </c>
      <c r="AR6" s="90">
        <f t="shared" si="26"/>
        <v>0.11900000000014188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1110</v>
      </c>
      <c r="E7" s="62">
        <v>3.96</v>
      </c>
      <c r="F7" s="62">
        <v>8.08</v>
      </c>
      <c r="G7" s="62">
        <f t="shared" si="11"/>
        <v>43.955999999999996</v>
      </c>
      <c r="H7" s="63">
        <f t="shared" si="12"/>
        <v>89.688000000000002</v>
      </c>
      <c r="I7" s="144">
        <v>640.79999999999995</v>
      </c>
      <c r="J7" s="145">
        <v>660.024</v>
      </c>
      <c r="K7" s="146">
        <v>3.7163857677902623</v>
      </c>
      <c r="L7" s="147">
        <v>7.9709737827715355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660.024</v>
      </c>
      <c r="S7" s="62">
        <f t="shared" si="14"/>
        <v>24.529038000000003</v>
      </c>
      <c r="T7" s="63">
        <f t="shared" si="15"/>
        <v>52.610340000000001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1770</v>
      </c>
      <c r="AI7" s="66">
        <v>3.86</v>
      </c>
      <c r="AJ7" s="66">
        <v>8.0299999999999994</v>
      </c>
      <c r="AK7" s="62">
        <f t="shared" si="20"/>
        <v>68.321999999999989</v>
      </c>
      <c r="AL7" s="72">
        <f t="shared" si="21"/>
        <v>142.131</v>
      </c>
      <c r="AM7" s="73">
        <f t="shared" si="22"/>
        <v>2.3999999999887223E-2</v>
      </c>
      <c r="AN7" s="74">
        <f t="shared" si="23"/>
        <v>0.16303800000001445</v>
      </c>
      <c r="AO7" s="74">
        <f t="shared" si="24"/>
        <v>0.16733999999999583</v>
      </c>
      <c r="AP7" s="75">
        <f t="shared" si="25"/>
        <v>4.2828709352570908E-3</v>
      </c>
      <c r="AQ7" s="76">
        <f t="shared" si="9"/>
        <v>123.26978818000525</v>
      </c>
      <c r="AR7" s="90">
        <f t="shared" si="26"/>
        <v>2.3999999999887223E-2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1770</v>
      </c>
      <c r="E8" s="62">
        <v>3.86</v>
      </c>
      <c r="F8" s="62">
        <v>8.0299999999999994</v>
      </c>
      <c r="G8" s="62">
        <f t="shared" si="11"/>
        <v>68.321999999999989</v>
      </c>
      <c r="H8" s="63">
        <f t="shared" si="12"/>
        <v>142.131</v>
      </c>
      <c r="I8" s="144">
        <v>498.40000000000009</v>
      </c>
      <c r="J8" s="145">
        <v>513.35200000000009</v>
      </c>
      <c r="K8" s="146">
        <v>4.0746990369181377</v>
      </c>
      <c r="L8" s="147">
        <v>7.9695626003210256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513.35200000000009</v>
      </c>
      <c r="S8" s="62">
        <f t="shared" si="14"/>
        <v>20.917549000000001</v>
      </c>
      <c r="T8" s="63">
        <f t="shared" si="15"/>
        <v>40.911909000000001</v>
      </c>
      <c r="U8" s="64" t="s">
        <v>167</v>
      </c>
      <c r="V8" s="65" t="s">
        <v>187</v>
      </c>
      <c r="W8" s="66">
        <v>0</v>
      </c>
      <c r="X8" s="67">
        <v>0</v>
      </c>
      <c r="Y8" s="68">
        <v>0</v>
      </c>
      <c r="Z8" s="68">
        <v>0</v>
      </c>
      <c r="AA8" s="62">
        <f t="shared" si="16"/>
        <v>0</v>
      </c>
      <c r="AB8" s="63">
        <f t="shared" si="17"/>
        <v>0</v>
      </c>
      <c r="AC8" s="69"/>
      <c r="AD8" s="70"/>
      <c r="AE8" s="70"/>
      <c r="AF8" s="62">
        <f t="shared" si="18"/>
        <v>0</v>
      </c>
      <c r="AG8" s="63">
        <f t="shared" si="19"/>
        <v>0</v>
      </c>
      <c r="AH8" s="66">
        <v>2283</v>
      </c>
      <c r="AI8" s="66">
        <v>3.9</v>
      </c>
      <c r="AJ8" s="66">
        <v>8.01</v>
      </c>
      <c r="AK8" s="62">
        <f t="shared" si="20"/>
        <v>89.037000000000006</v>
      </c>
      <c r="AL8" s="72">
        <f t="shared" si="21"/>
        <v>182.8683</v>
      </c>
      <c r="AM8" s="73">
        <f t="shared" si="22"/>
        <v>0.35199999999986176</v>
      </c>
      <c r="AN8" s="74">
        <f t="shared" si="23"/>
        <v>0.20254899999997633</v>
      </c>
      <c r="AO8" s="74">
        <f t="shared" si="24"/>
        <v>0.17460900000000379</v>
      </c>
      <c r="AP8" s="75">
        <f t="shared" si="25"/>
        <v>6.0999726052908326E-3</v>
      </c>
      <c r="AQ8" s="76">
        <f t="shared" si="9"/>
        <v>143.18208904999051</v>
      </c>
      <c r="AR8" s="90">
        <f t="shared" si="26"/>
        <v>0.35199999999986176</v>
      </c>
    </row>
    <row r="9" spans="1:44" x14ac:dyDescent="0.25">
      <c r="A9" t="str">
        <f t="shared" si="10"/>
        <v>46176E</v>
      </c>
      <c r="B9" s="51">
        <f t="shared" ref="B9:B65" si="27">+B7+1</f>
        <v>46176</v>
      </c>
      <c r="C9" s="52" t="s">
        <v>88</v>
      </c>
      <c r="D9" s="91">
        <v>2283</v>
      </c>
      <c r="E9" s="62">
        <v>3.9</v>
      </c>
      <c r="F9" s="62">
        <v>8.01</v>
      </c>
      <c r="G9" s="62">
        <f t="shared" si="11"/>
        <v>89.037000000000006</v>
      </c>
      <c r="H9" s="63">
        <f t="shared" si="12"/>
        <v>182.8683</v>
      </c>
      <c r="I9" s="144">
        <v>569.90000000000009</v>
      </c>
      <c r="J9" s="145">
        <v>586.99700000000007</v>
      </c>
      <c r="K9" s="146">
        <v>3.7334795578171613</v>
      </c>
      <c r="L9" s="147">
        <v>7.9620986137918921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586.99700000000007</v>
      </c>
      <c r="S9" s="62">
        <f t="shared" si="14"/>
        <v>21.915413000000004</v>
      </c>
      <c r="T9" s="63">
        <f t="shared" si="15"/>
        <v>46.737279999999998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2870</v>
      </c>
      <c r="AI9" s="66">
        <v>3.86</v>
      </c>
      <c r="AJ9" s="66">
        <v>7.99</v>
      </c>
      <c r="AK9" s="62">
        <f t="shared" si="20"/>
        <v>110.78199999999998</v>
      </c>
      <c r="AL9" s="72">
        <f t="shared" si="21"/>
        <v>229.31299999999999</v>
      </c>
      <c r="AM9" s="73">
        <f t="shared" si="22"/>
        <v>-2.9999999997016857E-3</v>
      </c>
      <c r="AN9" s="74">
        <f t="shared" si="23"/>
        <v>0.17041300000002479</v>
      </c>
      <c r="AO9" s="74">
        <f t="shared" si="24"/>
        <v>0.29258000000001516</v>
      </c>
      <c r="AP9" s="75">
        <f t="shared" si="25"/>
        <v>6.7439889065974432E-3</v>
      </c>
      <c r="AQ9" s="76">
        <f t="shared" si="9"/>
        <v>164.06149169668237</v>
      </c>
      <c r="AR9" s="90">
        <f t="shared" si="26"/>
        <v>-2.9999999997016857E-3</v>
      </c>
    </row>
    <row r="10" spans="1:44" x14ac:dyDescent="0.25">
      <c r="A10" t="str">
        <f t="shared" si="10"/>
        <v>46177M</v>
      </c>
      <c r="B10" s="51">
        <f t="shared" si="27"/>
        <v>46177</v>
      </c>
      <c r="C10" s="52" t="s">
        <v>87</v>
      </c>
      <c r="D10" s="91">
        <v>2870</v>
      </c>
      <c r="E10" s="62">
        <v>3.86</v>
      </c>
      <c r="F10" s="62">
        <v>7.99</v>
      </c>
      <c r="G10" s="62">
        <f t="shared" si="11"/>
        <v>110.78199999999998</v>
      </c>
      <c r="H10" s="63">
        <f t="shared" si="12"/>
        <v>229.31299999999999</v>
      </c>
      <c r="I10" s="144">
        <v>517.4</v>
      </c>
      <c r="J10" s="145">
        <v>532.92200000000003</v>
      </c>
      <c r="K10" s="146">
        <v>4.0720332431387698</v>
      </c>
      <c r="L10" s="147">
        <v>8.0077116350985698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532.92200000000003</v>
      </c>
      <c r="S10" s="62">
        <f t="shared" si="14"/>
        <v>21.700760999999996</v>
      </c>
      <c r="T10" s="63">
        <f t="shared" si="15"/>
        <v>42.674857000000003</v>
      </c>
      <c r="U10" s="64" t="s">
        <v>316</v>
      </c>
      <c r="V10" s="65" t="s">
        <v>318</v>
      </c>
      <c r="W10" s="66" t="s">
        <v>183</v>
      </c>
      <c r="X10" s="67">
        <v>3363</v>
      </c>
      <c r="Y10" s="68">
        <v>4</v>
      </c>
      <c r="Z10" s="68">
        <v>8</v>
      </c>
      <c r="AA10" s="62">
        <f t="shared" si="16"/>
        <v>134.52000000000001</v>
      </c>
      <c r="AB10" s="63">
        <f t="shared" si="17"/>
        <v>269.04000000000002</v>
      </c>
      <c r="AC10" s="69">
        <v>3353</v>
      </c>
      <c r="AD10" s="70">
        <v>3.9</v>
      </c>
      <c r="AE10" s="70">
        <v>8</v>
      </c>
      <c r="AF10" s="62">
        <f t="shared" si="18"/>
        <v>130.767</v>
      </c>
      <c r="AG10" s="63">
        <f t="shared" si="19"/>
        <v>268.24</v>
      </c>
      <c r="AH10" s="66">
        <v>40</v>
      </c>
      <c r="AI10" s="66">
        <v>3.89</v>
      </c>
      <c r="AJ10" s="66">
        <v>7.99</v>
      </c>
      <c r="AK10" s="62">
        <f t="shared" si="20"/>
        <v>1.556</v>
      </c>
      <c r="AL10" s="72">
        <f t="shared" si="21"/>
        <v>3.1959999999999997</v>
      </c>
      <c r="AM10" s="73">
        <f t="shared" si="22"/>
        <v>9.9220000000000255</v>
      </c>
      <c r="AN10" s="74">
        <f t="shared" si="23"/>
        <v>0.15976099999998628</v>
      </c>
      <c r="AO10" s="74">
        <f t="shared" si="24"/>
        <v>0.55185699999995386</v>
      </c>
      <c r="AP10" s="75">
        <f t="shared" si="25"/>
        <v>1.1054154074294713E-2</v>
      </c>
      <c r="AQ10" s="76">
        <f t="shared" si="9"/>
        <v>236.87439442331339</v>
      </c>
      <c r="AR10" s="90">
        <f t="shared" si="26"/>
        <v>-7.7999999999974534E-2</v>
      </c>
    </row>
    <row r="11" spans="1:44" x14ac:dyDescent="0.25">
      <c r="A11" t="str">
        <f t="shared" si="10"/>
        <v>46177E</v>
      </c>
      <c r="B11" s="51">
        <f t="shared" si="27"/>
        <v>46177</v>
      </c>
      <c r="C11" s="52" t="s">
        <v>88</v>
      </c>
      <c r="D11" s="91">
        <v>40</v>
      </c>
      <c r="E11" s="62">
        <v>3.89</v>
      </c>
      <c r="F11" s="62">
        <v>7.99</v>
      </c>
      <c r="G11" s="62">
        <f t="shared" si="11"/>
        <v>1.556</v>
      </c>
      <c r="H11" s="63">
        <f t="shared" si="12"/>
        <v>3.1959999999999997</v>
      </c>
      <c r="I11" s="144">
        <v>701.4</v>
      </c>
      <c r="J11" s="145">
        <v>722.44200000000001</v>
      </c>
      <c r="K11" s="146">
        <v>3.9337040205303686</v>
      </c>
      <c r="L11" s="147">
        <v>7.9718990590248078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722.44200000000001</v>
      </c>
      <c r="S11" s="62">
        <f t="shared" si="14"/>
        <v>28.418730000000007</v>
      </c>
      <c r="T11" s="63">
        <f t="shared" si="15"/>
        <v>57.592347000000004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66">
        <v>762</v>
      </c>
      <c r="AI11" s="66">
        <v>3.91</v>
      </c>
      <c r="AJ11" s="66">
        <v>7.97</v>
      </c>
      <c r="AK11" s="62">
        <f t="shared" si="20"/>
        <v>29.794200000000004</v>
      </c>
      <c r="AL11" s="72">
        <f t="shared" si="21"/>
        <v>60.731399999999994</v>
      </c>
      <c r="AM11" s="73">
        <f t="shared" si="22"/>
        <v>0.44200000000000728</v>
      </c>
      <c r="AN11" s="74">
        <f t="shared" si="23"/>
        <v>0.18053000000000452</v>
      </c>
      <c r="AO11" s="74">
        <f t="shared" si="24"/>
        <v>5.6947000000008074E-2</v>
      </c>
      <c r="AP11" s="75">
        <f t="shared" si="25"/>
        <v>2.7610048412719276E-3</v>
      </c>
      <c r="AQ11" s="76">
        <f t="shared" si="9"/>
        <v>98.084440813337793</v>
      </c>
      <c r="AR11" s="90">
        <f t="shared" si="26"/>
        <v>0.44200000000000728</v>
      </c>
    </row>
    <row r="12" spans="1:44" x14ac:dyDescent="0.25">
      <c r="A12" t="str">
        <f t="shared" si="10"/>
        <v>46178M</v>
      </c>
      <c r="B12" s="51">
        <f t="shared" si="27"/>
        <v>46178</v>
      </c>
      <c r="C12" s="52" t="s">
        <v>87</v>
      </c>
      <c r="D12" s="91">
        <v>762</v>
      </c>
      <c r="E12" s="62">
        <v>3.91</v>
      </c>
      <c r="F12" s="62">
        <v>7.97</v>
      </c>
      <c r="G12" s="62">
        <f t="shared" si="11"/>
        <v>29.794200000000004</v>
      </c>
      <c r="H12" s="63">
        <f t="shared" si="12"/>
        <v>60.731399999999994</v>
      </c>
      <c r="I12" s="144">
        <v>501.00000000000006</v>
      </c>
      <c r="J12" s="145">
        <v>516.03000000000009</v>
      </c>
      <c r="K12" s="146">
        <v>4.2687624750499005</v>
      </c>
      <c r="L12" s="147">
        <v>8.0137524950099799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516.03000000000009</v>
      </c>
      <c r="S12" s="62">
        <f t="shared" si="14"/>
        <v>22.028095000000004</v>
      </c>
      <c r="T12" s="63">
        <f t="shared" si="15"/>
        <v>41.353367000000006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1278</v>
      </c>
      <c r="AI12" s="66">
        <v>4.0599999999999996</v>
      </c>
      <c r="AJ12" s="66">
        <v>7.98</v>
      </c>
      <c r="AK12" s="62">
        <f t="shared" si="20"/>
        <v>51.886799999999994</v>
      </c>
      <c r="AL12" s="72">
        <f t="shared" si="21"/>
        <v>101.98440000000001</v>
      </c>
      <c r="AM12" s="73">
        <f t="shared" si="22"/>
        <v>3.0000000000200089E-2</v>
      </c>
      <c r="AN12" s="74">
        <f t="shared" si="23"/>
        <v>-6.4504999999982715E-2</v>
      </c>
      <c r="AO12" s="74">
        <f t="shared" si="24"/>
        <v>0.10036699999999144</v>
      </c>
      <c r="AP12" s="75">
        <f t="shared" si="25"/>
        <v>5.6581212973611612E-4</v>
      </c>
      <c r="AQ12" s="76">
        <f t="shared" si="9"/>
        <v>1.0802270966718659</v>
      </c>
      <c r="AR12" s="90">
        <f t="shared" si="26"/>
        <v>3.0000000000200089E-2</v>
      </c>
    </row>
    <row r="13" spans="1:44" x14ac:dyDescent="0.25">
      <c r="A13" t="str">
        <f t="shared" si="10"/>
        <v>46178E</v>
      </c>
      <c r="B13" s="51">
        <f t="shared" si="27"/>
        <v>46178</v>
      </c>
      <c r="C13" s="52" t="s">
        <v>88</v>
      </c>
      <c r="D13" s="91">
        <v>1278</v>
      </c>
      <c r="E13" s="62">
        <v>4.0599999999999996</v>
      </c>
      <c r="F13" s="62">
        <v>7.98</v>
      </c>
      <c r="G13" s="62">
        <f t="shared" si="11"/>
        <v>51.886799999999994</v>
      </c>
      <c r="H13" s="63">
        <f t="shared" si="12"/>
        <v>101.98440000000001</v>
      </c>
      <c r="I13" s="144">
        <v>607.1</v>
      </c>
      <c r="J13" s="145">
        <v>625.31299999999999</v>
      </c>
      <c r="K13" s="146">
        <v>3.8529237357931136</v>
      </c>
      <c r="L13" s="147">
        <v>8.0191731181024544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625.31299999999999</v>
      </c>
      <c r="S13" s="62">
        <f t="shared" si="14"/>
        <v>24.092832999999992</v>
      </c>
      <c r="T13" s="63">
        <f t="shared" si="15"/>
        <v>50.144931999999997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1903</v>
      </c>
      <c r="AI13" s="66">
        <v>4.01</v>
      </c>
      <c r="AJ13" s="66">
        <v>7.98</v>
      </c>
      <c r="AK13" s="62">
        <f t="shared" si="20"/>
        <v>76.310299999999998</v>
      </c>
      <c r="AL13" s="72">
        <f t="shared" si="21"/>
        <v>151.85940000000002</v>
      </c>
      <c r="AM13" s="73">
        <f t="shared" si="22"/>
        <v>0.31300000000010186</v>
      </c>
      <c r="AN13" s="74">
        <f t="shared" si="23"/>
        <v>-0.33066700000001958</v>
      </c>
      <c r="AO13" s="74">
        <f t="shared" si="24"/>
        <v>0.26993199999998296</v>
      </c>
      <c r="AP13" s="75">
        <f t="shared" si="25"/>
        <v>-8.1811460784193357E-4</v>
      </c>
      <c r="AQ13" s="76">
        <f t="shared" si="9"/>
        <v>-67.65627355668056</v>
      </c>
      <c r="AR13" s="90">
        <f t="shared" si="26"/>
        <v>0.31300000000010186</v>
      </c>
    </row>
    <row r="14" spans="1:44" x14ac:dyDescent="0.25">
      <c r="A14" t="str">
        <f t="shared" si="10"/>
        <v>46179M</v>
      </c>
      <c r="B14" s="51">
        <f t="shared" si="27"/>
        <v>46179</v>
      </c>
      <c r="C14" s="52" t="s">
        <v>87</v>
      </c>
      <c r="D14" s="91">
        <v>1903</v>
      </c>
      <c r="E14" s="62">
        <v>4.01</v>
      </c>
      <c r="F14" s="62">
        <v>7.98</v>
      </c>
      <c r="G14" s="62">
        <f t="shared" si="11"/>
        <v>76.310299999999998</v>
      </c>
      <c r="H14" s="63">
        <f t="shared" si="12"/>
        <v>151.85940000000002</v>
      </c>
      <c r="I14" s="144">
        <v>587.5</v>
      </c>
      <c r="J14" s="145">
        <v>605.125</v>
      </c>
      <c r="K14" s="146">
        <v>4.2546042553191494</v>
      </c>
      <c r="L14" s="147">
        <v>8.1945191489361697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605.125</v>
      </c>
      <c r="S14" s="62">
        <f t="shared" si="14"/>
        <v>25.745674000000001</v>
      </c>
      <c r="T14" s="63">
        <f t="shared" si="15"/>
        <v>49.58708399999999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66">
        <v>2508</v>
      </c>
      <c r="AI14" s="66">
        <v>4.07</v>
      </c>
      <c r="AJ14" s="66">
        <v>8.0299999999999994</v>
      </c>
      <c r="AK14" s="62">
        <f t="shared" si="20"/>
        <v>102.07559999999999</v>
      </c>
      <c r="AL14" s="72">
        <f t="shared" si="21"/>
        <v>201.39239999999998</v>
      </c>
      <c r="AM14" s="73">
        <f t="shared" si="22"/>
        <v>0.125</v>
      </c>
      <c r="AN14" s="74">
        <f t="shared" si="23"/>
        <v>-1.9626000000002364E-2</v>
      </c>
      <c r="AO14" s="74">
        <f t="shared" si="24"/>
        <v>5.408400000001734E-2</v>
      </c>
      <c r="AP14" s="75">
        <f t="shared" si="25"/>
        <v>4.5741057296767211E-4</v>
      </c>
      <c r="AQ14" s="76">
        <f t="shared" si="9"/>
        <v>7.3755913000041282</v>
      </c>
      <c r="AR14" s="90">
        <f t="shared" si="26"/>
        <v>0.125</v>
      </c>
    </row>
    <row r="15" spans="1:44" x14ac:dyDescent="0.25">
      <c r="A15" t="str">
        <f t="shared" si="10"/>
        <v>46179E</v>
      </c>
      <c r="B15" s="51">
        <f t="shared" si="27"/>
        <v>46179</v>
      </c>
      <c r="C15" s="52" t="s">
        <v>88</v>
      </c>
      <c r="D15" s="91">
        <v>2508</v>
      </c>
      <c r="E15" s="62">
        <v>4.07</v>
      </c>
      <c r="F15" s="62">
        <v>8.0299999999999994</v>
      </c>
      <c r="G15" s="62">
        <f t="shared" si="11"/>
        <v>102.07559999999999</v>
      </c>
      <c r="H15" s="63">
        <f t="shared" si="12"/>
        <v>201.39239999999998</v>
      </c>
      <c r="I15" s="144">
        <v>547.6</v>
      </c>
      <c r="J15" s="145">
        <v>564.02800000000002</v>
      </c>
      <c r="K15" s="146">
        <v>3.8378378378378382</v>
      </c>
      <c r="L15" s="147">
        <v>7.9392804967129287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564.02800000000002</v>
      </c>
      <c r="S15" s="62">
        <f t="shared" si="14"/>
        <v>21.646480000000004</v>
      </c>
      <c r="T15" s="63">
        <f t="shared" si="15"/>
        <v>44.779765000000005</v>
      </c>
      <c r="U15" s="64" t="s">
        <v>316</v>
      </c>
      <c r="V15" s="65" t="s">
        <v>377</v>
      </c>
      <c r="W15" s="66" t="s">
        <v>183</v>
      </c>
      <c r="X15" s="67">
        <v>2379</v>
      </c>
      <c r="Y15" s="68">
        <v>4</v>
      </c>
      <c r="Z15" s="68">
        <v>7.9</v>
      </c>
      <c r="AA15" s="62">
        <f t="shared" si="16"/>
        <v>95.16</v>
      </c>
      <c r="AB15" s="63">
        <f t="shared" si="17"/>
        <v>187.941</v>
      </c>
      <c r="AC15" s="69">
        <v>2379</v>
      </c>
      <c r="AD15" s="70">
        <v>4</v>
      </c>
      <c r="AE15" s="70">
        <v>7.9</v>
      </c>
      <c r="AF15" s="62">
        <f t="shared" si="18"/>
        <v>95.16</v>
      </c>
      <c r="AG15" s="63">
        <f t="shared" si="19"/>
        <v>187.941</v>
      </c>
      <c r="AH15" s="66">
        <v>693</v>
      </c>
      <c r="AI15" s="66">
        <v>4.0199999999999996</v>
      </c>
      <c r="AJ15" s="66">
        <v>8.01</v>
      </c>
      <c r="AK15" s="62">
        <f t="shared" si="20"/>
        <v>27.858599999999996</v>
      </c>
      <c r="AL15" s="72">
        <f t="shared" si="21"/>
        <v>55.509300000000003</v>
      </c>
      <c r="AM15" s="73">
        <f t="shared" si="22"/>
        <v>2.8000000000247383E-2</v>
      </c>
      <c r="AN15" s="74">
        <f t="shared" si="23"/>
        <v>0.70348000000001321</v>
      </c>
      <c r="AO15" s="74">
        <f t="shared" si="24"/>
        <v>2.7218649999999727</v>
      </c>
      <c r="AP15" s="75">
        <f t="shared" si="25"/>
        <v>5.1566139257156349E-2</v>
      </c>
      <c r="AQ15" s="76">
        <f t="shared" si="9"/>
        <v>1130.3808182333312</v>
      </c>
      <c r="AR15" s="90">
        <f t="shared" si="26"/>
        <v>2.8000000000247383E-2</v>
      </c>
    </row>
    <row r="16" spans="1:44" x14ac:dyDescent="0.25">
      <c r="A16" t="str">
        <f t="shared" si="10"/>
        <v>46180M</v>
      </c>
      <c r="B16" s="51">
        <f t="shared" si="27"/>
        <v>46180</v>
      </c>
      <c r="C16" s="52" t="s">
        <v>87</v>
      </c>
      <c r="D16" s="91">
        <v>693</v>
      </c>
      <c r="E16" s="62">
        <v>4.0199999999999996</v>
      </c>
      <c r="F16" s="62">
        <v>8.01</v>
      </c>
      <c r="G16" s="62">
        <f t="shared" si="11"/>
        <v>27.858599999999996</v>
      </c>
      <c r="H16" s="63">
        <f t="shared" si="12"/>
        <v>55.509300000000003</v>
      </c>
      <c r="I16" s="144">
        <v>469.09999999999997</v>
      </c>
      <c r="J16" s="145">
        <v>483.173</v>
      </c>
      <c r="K16" s="146">
        <v>4.0095502025154559</v>
      </c>
      <c r="L16" s="147">
        <v>8.0118311660626738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483.173</v>
      </c>
      <c r="S16" s="62">
        <f t="shared" si="14"/>
        <v>19.373064000000003</v>
      </c>
      <c r="T16" s="63">
        <f t="shared" si="15"/>
        <v>38.711005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6"/>
        <v>0</v>
      </c>
      <c r="AB16" s="63">
        <f t="shared" si="17"/>
        <v>0</v>
      </c>
      <c r="AC16" s="69"/>
      <c r="AD16" s="70"/>
      <c r="AE16" s="70"/>
      <c r="AF16" s="62">
        <f t="shared" si="18"/>
        <v>0</v>
      </c>
      <c r="AG16" s="63">
        <f t="shared" si="19"/>
        <v>0</v>
      </c>
      <c r="AH16" s="66">
        <v>1176</v>
      </c>
      <c r="AI16" s="66">
        <v>4.01</v>
      </c>
      <c r="AJ16" s="66">
        <v>8.01</v>
      </c>
      <c r="AK16" s="62">
        <f t="shared" si="20"/>
        <v>47.157599999999995</v>
      </c>
      <c r="AL16" s="72">
        <f t="shared" si="21"/>
        <v>94.197600000000008</v>
      </c>
      <c r="AM16" s="73">
        <f t="shared" si="22"/>
        <v>0.17300000000000182</v>
      </c>
      <c r="AN16" s="74">
        <f t="shared" si="23"/>
        <v>7.4063999999999908E-2</v>
      </c>
      <c r="AO16" s="74">
        <f t="shared" si="24"/>
        <v>2.2704999999987763E-2</v>
      </c>
      <c r="AP16" s="75">
        <f t="shared" si="25"/>
        <v>1.6660162014473826E-3</v>
      </c>
      <c r="AQ16" s="76">
        <f t="shared" si="9"/>
        <v>40.04307127332963</v>
      </c>
      <c r="AR16" s="90">
        <f t="shared" si="26"/>
        <v>0.17300000000000182</v>
      </c>
    </row>
    <row r="17" spans="1:49" x14ac:dyDescent="0.25">
      <c r="A17" t="str">
        <f t="shared" si="10"/>
        <v>46180E</v>
      </c>
      <c r="B17" s="51">
        <f t="shared" si="27"/>
        <v>46180</v>
      </c>
      <c r="C17" s="52" t="s">
        <v>88</v>
      </c>
      <c r="D17" s="91">
        <v>1176</v>
      </c>
      <c r="E17" s="62">
        <v>4.01</v>
      </c>
      <c r="F17" s="62">
        <v>8.01</v>
      </c>
      <c r="G17" s="62">
        <f t="shared" si="11"/>
        <v>47.157599999999995</v>
      </c>
      <c r="H17" s="63">
        <f t="shared" si="12"/>
        <v>94.197600000000008</v>
      </c>
      <c r="I17" s="144">
        <v>580.70000000000005</v>
      </c>
      <c r="J17" s="145">
        <v>598.12100000000009</v>
      </c>
      <c r="K17" s="146">
        <v>3.8367315309109702</v>
      </c>
      <c r="L17" s="147">
        <v>8.0309454107112117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598.12100000000009</v>
      </c>
      <c r="S17" s="62">
        <f t="shared" si="14"/>
        <v>22.948297000000007</v>
      </c>
      <c r="T17" s="63">
        <f t="shared" si="15"/>
        <v>48.034771000000013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1774</v>
      </c>
      <c r="AI17" s="66">
        <v>3.95</v>
      </c>
      <c r="AJ17" s="66">
        <v>8.01</v>
      </c>
      <c r="AK17" s="62">
        <f t="shared" si="20"/>
        <v>70.073000000000008</v>
      </c>
      <c r="AL17" s="72">
        <f t="shared" si="21"/>
        <v>142.09740000000002</v>
      </c>
      <c r="AM17" s="73">
        <f t="shared" si="22"/>
        <v>0.12100000000009459</v>
      </c>
      <c r="AN17" s="74">
        <f t="shared" si="23"/>
        <v>3.2896999999991294E-2</v>
      </c>
      <c r="AO17" s="74">
        <f t="shared" si="24"/>
        <v>0.13497100000000728</v>
      </c>
      <c r="AP17" s="75">
        <f t="shared" si="25"/>
        <v>2.3649020073350244E-3</v>
      </c>
      <c r="AQ17" s="76">
        <f t="shared" si="9"/>
        <v>55.161013343331611</v>
      </c>
      <c r="AR17" s="90">
        <f t="shared" si="26"/>
        <v>0.12100000000009459</v>
      </c>
    </row>
    <row r="18" spans="1:49" x14ac:dyDescent="0.25">
      <c r="A18" t="str">
        <f t="shared" si="10"/>
        <v>46181M</v>
      </c>
      <c r="B18" s="51">
        <f t="shared" si="27"/>
        <v>46181</v>
      </c>
      <c r="C18" s="52" t="s">
        <v>87</v>
      </c>
      <c r="D18" s="91">
        <v>1774</v>
      </c>
      <c r="E18" s="62">
        <v>3.95</v>
      </c>
      <c r="F18" s="62">
        <v>8.01</v>
      </c>
      <c r="G18" s="62">
        <f t="shared" si="11"/>
        <v>70.073000000000008</v>
      </c>
      <c r="H18" s="63">
        <f t="shared" si="12"/>
        <v>142.09740000000002</v>
      </c>
      <c r="I18" s="144">
        <v>561.69999999999993</v>
      </c>
      <c r="J18" s="145">
        <v>578.55099999999993</v>
      </c>
      <c r="K18" s="146">
        <v>4.1937511126936089</v>
      </c>
      <c r="L18" s="147">
        <v>8.0634324372440815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578.55099999999993</v>
      </c>
      <c r="S18" s="62">
        <f t="shared" si="14"/>
        <v>24.262988999999997</v>
      </c>
      <c r="T18" s="63">
        <f t="shared" si="15"/>
        <v>46.651069000000007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2352</v>
      </c>
      <c r="AI18" s="66">
        <v>4</v>
      </c>
      <c r="AJ18" s="66">
        <v>8.02</v>
      </c>
      <c r="AK18" s="62">
        <f t="shared" si="20"/>
        <v>94.08</v>
      </c>
      <c r="AL18" s="72">
        <f t="shared" si="21"/>
        <v>188.63039999999998</v>
      </c>
      <c r="AM18" s="73">
        <f t="shared" si="22"/>
        <v>0.55099999999993088</v>
      </c>
      <c r="AN18" s="74">
        <f t="shared" si="23"/>
        <v>0.25598900000001379</v>
      </c>
      <c r="AO18" s="74">
        <f t="shared" si="24"/>
        <v>0.11806900000004816</v>
      </c>
      <c r="AP18" s="75">
        <f t="shared" si="25"/>
        <v>5.2748074295799275E-3</v>
      </c>
      <c r="AQ18" s="76">
        <f t="shared" si="9"/>
        <v>150.25092518335396</v>
      </c>
      <c r="AR18" s="90">
        <f t="shared" si="26"/>
        <v>0.55099999999993088</v>
      </c>
    </row>
    <row r="19" spans="1:49" x14ac:dyDescent="0.25">
      <c r="A19" t="str">
        <f t="shared" si="10"/>
        <v>46181E</v>
      </c>
      <c r="B19" s="51">
        <f t="shared" si="27"/>
        <v>46181</v>
      </c>
      <c r="C19" s="52" t="s">
        <v>88</v>
      </c>
      <c r="D19" s="91">
        <v>2352</v>
      </c>
      <c r="E19" s="62">
        <v>4</v>
      </c>
      <c r="F19" s="62">
        <v>8.02</v>
      </c>
      <c r="G19" s="62">
        <f t="shared" si="11"/>
        <v>94.08</v>
      </c>
      <c r="H19" s="63">
        <f t="shared" si="12"/>
        <v>188.63039999999998</v>
      </c>
      <c r="I19" s="144">
        <v>595.20000000000005</v>
      </c>
      <c r="J19" s="145">
        <v>613.05600000000004</v>
      </c>
      <c r="K19" s="146">
        <v>3.9442540322580646</v>
      </c>
      <c r="L19" s="147">
        <v>7.9765961021505376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613.05600000000004</v>
      </c>
      <c r="S19" s="62">
        <f t="shared" si="14"/>
        <v>24.180486000000002</v>
      </c>
      <c r="T19" s="63">
        <f t="shared" si="15"/>
        <v>48.901001000000001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2965</v>
      </c>
      <c r="AI19" s="66">
        <v>3.99</v>
      </c>
      <c r="AJ19" s="66">
        <v>8</v>
      </c>
      <c r="AK19" s="62">
        <f t="shared" si="20"/>
        <v>118.30350000000001</v>
      </c>
      <c r="AL19" s="72">
        <f t="shared" si="21"/>
        <v>237.20000000000002</v>
      </c>
      <c r="AM19" s="73">
        <f t="shared" si="22"/>
        <v>5.6000000000040018E-2</v>
      </c>
      <c r="AN19" s="74">
        <f t="shared" si="23"/>
        <v>-4.3014000000013652E-2</v>
      </c>
      <c r="AO19" s="74">
        <f t="shared" si="24"/>
        <v>0.33140099999997119</v>
      </c>
      <c r="AP19" s="75">
        <f t="shared" si="25"/>
        <v>3.9461019724456002E-3</v>
      </c>
      <c r="AQ19" s="76">
        <f t="shared" si="9"/>
        <v>79.870067199985257</v>
      </c>
      <c r="AR19" s="90">
        <f t="shared" si="26"/>
        <v>5.6000000000040018E-2</v>
      </c>
    </row>
    <row r="20" spans="1:49" x14ac:dyDescent="0.25">
      <c r="A20" t="str">
        <f t="shared" si="10"/>
        <v>46182M</v>
      </c>
      <c r="B20" s="51">
        <f t="shared" si="27"/>
        <v>46182</v>
      </c>
      <c r="C20" s="52" t="s">
        <v>87</v>
      </c>
      <c r="D20" s="91">
        <v>2965</v>
      </c>
      <c r="E20" s="62">
        <v>3.99</v>
      </c>
      <c r="F20" s="62">
        <v>8</v>
      </c>
      <c r="G20" s="62">
        <f t="shared" si="11"/>
        <v>118.30350000000001</v>
      </c>
      <c r="H20" s="63">
        <f t="shared" si="12"/>
        <v>237.20000000000002</v>
      </c>
      <c r="I20" s="144">
        <v>540.70000000000005</v>
      </c>
      <c r="J20" s="145">
        <v>556.92100000000005</v>
      </c>
      <c r="K20" s="146">
        <v>4.0454595894211209</v>
      </c>
      <c r="L20" s="147">
        <v>8.043961531348252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556.92100000000005</v>
      </c>
      <c r="S20" s="62">
        <f t="shared" si="14"/>
        <v>22.530014000000001</v>
      </c>
      <c r="T20" s="63">
        <f t="shared" si="15"/>
        <v>44.798511000000005</v>
      </c>
      <c r="U20" s="64" t="s">
        <v>316</v>
      </c>
      <c r="V20" s="65" t="s">
        <v>407</v>
      </c>
      <c r="W20" s="66" t="s">
        <v>183</v>
      </c>
      <c r="X20" s="67">
        <v>2904</v>
      </c>
      <c r="Y20" s="68">
        <v>4</v>
      </c>
      <c r="Z20" s="68">
        <v>7.96</v>
      </c>
      <c r="AA20" s="62">
        <f t="shared" si="16"/>
        <v>116.16</v>
      </c>
      <c r="AB20" s="63">
        <f t="shared" si="17"/>
        <v>231.1584</v>
      </c>
      <c r="AC20" s="69">
        <v>2899</v>
      </c>
      <c r="AD20" s="70">
        <v>4</v>
      </c>
      <c r="AE20" s="70">
        <v>7.94</v>
      </c>
      <c r="AF20" s="62">
        <f t="shared" si="18"/>
        <v>115.96000000000001</v>
      </c>
      <c r="AG20" s="63">
        <f t="shared" si="19"/>
        <v>230.1806</v>
      </c>
      <c r="AH20" s="66">
        <v>617</v>
      </c>
      <c r="AI20" s="66">
        <v>3.99</v>
      </c>
      <c r="AJ20" s="66">
        <v>8</v>
      </c>
      <c r="AK20" s="62">
        <f t="shared" si="20"/>
        <v>24.618300000000001</v>
      </c>
      <c r="AL20" s="72">
        <f t="shared" si="21"/>
        <v>49.36</v>
      </c>
      <c r="AM20" s="73">
        <f t="shared" si="22"/>
        <v>5.9210000000002765</v>
      </c>
      <c r="AN20" s="74">
        <f t="shared" si="23"/>
        <v>0.25521399999999872</v>
      </c>
      <c r="AO20" s="74">
        <f t="shared" si="24"/>
        <v>2.4579110000000099</v>
      </c>
      <c r="AP20" s="75">
        <f t="shared" si="25"/>
        <v>4.0296813274908493E-2</v>
      </c>
      <c r="AQ20" s="76">
        <f t="shared" si="9"/>
        <v>850.15533474666927</v>
      </c>
      <c r="AR20" s="90">
        <f t="shared" si="26"/>
        <v>0.92100000000027649</v>
      </c>
    </row>
    <row r="21" spans="1:49" x14ac:dyDescent="0.25">
      <c r="A21" t="str">
        <f t="shared" si="10"/>
        <v>46182E</v>
      </c>
      <c r="B21" s="51">
        <f t="shared" si="27"/>
        <v>46182</v>
      </c>
      <c r="C21" s="52" t="s">
        <v>88</v>
      </c>
      <c r="D21" s="91">
        <v>617</v>
      </c>
      <c r="E21" s="62">
        <v>3.99</v>
      </c>
      <c r="F21" s="62">
        <v>8</v>
      </c>
      <c r="G21" s="62">
        <f t="shared" si="11"/>
        <v>24.618300000000001</v>
      </c>
      <c r="H21" s="63">
        <f t="shared" si="12"/>
        <v>49.36</v>
      </c>
      <c r="I21" s="144">
        <v>603.80000000000007</v>
      </c>
      <c r="J21" s="145">
        <v>621.9140000000001</v>
      </c>
      <c r="K21" s="146">
        <v>3.8897151374627357</v>
      </c>
      <c r="L21" s="147">
        <v>7.9580490228552501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621.9140000000001</v>
      </c>
      <c r="S21" s="62">
        <f t="shared" si="14"/>
        <v>24.190683</v>
      </c>
      <c r="T21" s="63">
        <f t="shared" si="15"/>
        <v>49.492221000000008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1238</v>
      </c>
      <c r="AI21" s="66">
        <v>3.94</v>
      </c>
      <c r="AJ21" s="66">
        <v>7.98</v>
      </c>
      <c r="AK21" s="62">
        <f t="shared" si="20"/>
        <v>48.777199999999993</v>
      </c>
      <c r="AL21" s="72">
        <f t="shared" si="21"/>
        <v>98.792400000000015</v>
      </c>
      <c r="AM21" s="73">
        <f t="shared" si="22"/>
        <v>0.91400000000021464</v>
      </c>
      <c r="AN21" s="74">
        <f t="shared" si="23"/>
        <v>3.1783000000004336E-2</v>
      </c>
      <c r="AO21" s="74">
        <f t="shared" si="24"/>
        <v>5.9820999999999458E-2</v>
      </c>
      <c r="AP21" s="75">
        <f t="shared" si="25"/>
        <v>1.2432191869094055E-3</v>
      </c>
      <c r="AQ21" s="76">
        <f t="shared" si="9"/>
        <v>32.170536603335123</v>
      </c>
      <c r="AR21" s="90">
        <f t="shared" si="26"/>
        <v>0.91400000000021464</v>
      </c>
    </row>
    <row r="22" spans="1:49" x14ac:dyDescent="0.25">
      <c r="A22" t="str">
        <f t="shared" si="10"/>
        <v>46183M</v>
      </c>
      <c r="B22" s="51">
        <f t="shared" si="27"/>
        <v>46183</v>
      </c>
      <c r="C22" s="52" t="s">
        <v>87</v>
      </c>
      <c r="D22" s="91">
        <v>1238</v>
      </c>
      <c r="E22" s="62">
        <v>3.94</v>
      </c>
      <c r="F22" s="62">
        <v>7.98</v>
      </c>
      <c r="G22" s="62">
        <f t="shared" si="11"/>
        <v>48.777199999999993</v>
      </c>
      <c r="H22" s="63">
        <f t="shared" si="12"/>
        <v>98.792400000000015</v>
      </c>
      <c r="I22" s="144">
        <v>553.29999999999995</v>
      </c>
      <c r="J22" s="145">
        <v>569.899</v>
      </c>
      <c r="K22" s="146">
        <v>4.2370865714802095</v>
      </c>
      <c r="L22" s="147">
        <v>8.0924272546538933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569.899</v>
      </c>
      <c r="S22" s="62">
        <f t="shared" si="14"/>
        <v>24.147113999999998</v>
      </c>
      <c r="T22" s="63">
        <f t="shared" si="15"/>
        <v>46.118661999999993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66">
        <v>1808</v>
      </c>
      <c r="AI22" s="66">
        <v>4.04</v>
      </c>
      <c r="AJ22" s="66">
        <v>8.01</v>
      </c>
      <c r="AK22" s="62">
        <f t="shared" si="20"/>
        <v>73.043199999999999</v>
      </c>
      <c r="AL22" s="72">
        <f t="shared" si="21"/>
        <v>144.82080000000002</v>
      </c>
      <c r="AM22" s="73">
        <f t="shared" si="22"/>
        <v>-0.10100000000011278</v>
      </c>
      <c r="AN22" s="74">
        <f t="shared" si="23"/>
        <v>-0.11888600000000338</v>
      </c>
      <c r="AO22" s="74">
        <f t="shared" si="24"/>
        <v>9.0261999999995624E-2</v>
      </c>
      <c r="AP22" s="75">
        <f t="shared" si="25"/>
        <v>-4.0736759243942256E-4</v>
      </c>
      <c r="AQ22" s="76">
        <f t="shared" si="9"/>
        <v>-26.35610464666949</v>
      </c>
      <c r="AR22" s="90">
        <f t="shared" si="26"/>
        <v>-0.10100000000011278</v>
      </c>
    </row>
    <row r="23" spans="1:49" x14ac:dyDescent="0.25">
      <c r="A23" t="str">
        <f t="shared" si="10"/>
        <v>46183E</v>
      </c>
      <c r="B23" s="51">
        <f t="shared" si="27"/>
        <v>46183</v>
      </c>
      <c r="C23" s="52" t="s">
        <v>88</v>
      </c>
      <c r="D23" s="91">
        <v>1808</v>
      </c>
      <c r="E23" s="62">
        <v>4.04</v>
      </c>
      <c r="F23" s="62">
        <v>8.01</v>
      </c>
      <c r="G23" s="62">
        <f t="shared" si="11"/>
        <v>73.043199999999999</v>
      </c>
      <c r="H23" s="63">
        <f t="shared" si="12"/>
        <v>144.82080000000002</v>
      </c>
      <c r="I23" s="144">
        <v>586.5</v>
      </c>
      <c r="J23" s="145">
        <v>604.09500000000003</v>
      </c>
      <c r="K23" s="146">
        <v>3.6770843989769828</v>
      </c>
      <c r="L23" s="147">
        <v>8.0146803069053707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604.09500000000003</v>
      </c>
      <c r="S23" s="62">
        <f t="shared" si="14"/>
        <v>22.213083000000005</v>
      </c>
      <c r="T23" s="63">
        <f t="shared" si="15"/>
        <v>48.416283</v>
      </c>
      <c r="U23" s="64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2412</v>
      </c>
      <c r="AI23" s="66">
        <v>3.94</v>
      </c>
      <c r="AJ23" s="66">
        <v>8.01</v>
      </c>
      <c r="AK23" s="62">
        <f t="shared" si="20"/>
        <v>95.032799999999995</v>
      </c>
      <c r="AL23" s="72">
        <f t="shared" si="21"/>
        <v>193.2012</v>
      </c>
      <c r="AM23" s="73">
        <f t="shared" si="22"/>
        <v>9.5000000000254659E-2</v>
      </c>
      <c r="AN23" s="74">
        <f t="shared" si="23"/>
        <v>0.22348300000000165</v>
      </c>
      <c r="AO23" s="74">
        <f t="shared" si="24"/>
        <v>3.5883000000012544E-2</v>
      </c>
      <c r="AP23" s="75">
        <f t="shared" si="25"/>
        <v>3.6722119238620119E-3</v>
      </c>
      <c r="AQ23" s="76">
        <f t="shared" si="9"/>
        <v>111.0625785500045</v>
      </c>
      <c r="AR23" s="90">
        <f t="shared" si="26"/>
        <v>9.5000000000254659E-2</v>
      </c>
    </row>
    <row r="24" spans="1:49" x14ac:dyDescent="0.25">
      <c r="A24" t="str">
        <f t="shared" si="10"/>
        <v>46184M</v>
      </c>
      <c r="B24" s="51">
        <f t="shared" si="27"/>
        <v>46184</v>
      </c>
      <c r="C24" s="52" t="s">
        <v>87</v>
      </c>
      <c r="D24" s="91">
        <v>2412</v>
      </c>
      <c r="E24" s="62">
        <v>3.94</v>
      </c>
      <c r="F24" s="62">
        <v>8.01</v>
      </c>
      <c r="G24" s="62">
        <f t="shared" si="11"/>
        <v>95.032799999999995</v>
      </c>
      <c r="H24" s="63">
        <f t="shared" si="12"/>
        <v>193.2012</v>
      </c>
      <c r="I24" s="144">
        <v>569.6</v>
      </c>
      <c r="J24" s="145">
        <v>586.68799999999999</v>
      </c>
      <c r="K24" s="146">
        <v>4.1398525280898868</v>
      </c>
      <c r="L24" s="147">
        <v>8.0239115168539321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586.68799999999999</v>
      </c>
      <c r="S24" s="62">
        <f t="shared" si="14"/>
        <v>24.288017999999994</v>
      </c>
      <c r="T24" s="63">
        <f t="shared" si="15"/>
        <v>47.075325999999997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66">
        <v>2998</v>
      </c>
      <c r="AI24" s="66">
        <v>3.98</v>
      </c>
      <c r="AJ24" s="66">
        <v>8.01</v>
      </c>
      <c r="AK24" s="62">
        <f t="shared" si="20"/>
        <v>119.32040000000001</v>
      </c>
      <c r="AL24" s="72">
        <f t="shared" si="21"/>
        <v>240.13980000000001</v>
      </c>
      <c r="AM24" s="73">
        <f t="shared" si="22"/>
        <v>0.68800000000010186</v>
      </c>
      <c r="AN24" s="74">
        <f t="shared" si="23"/>
        <v>4.1799999998204385E-4</v>
      </c>
      <c r="AO24" s="74">
        <f t="shared" si="24"/>
        <v>0.1367259999999817</v>
      </c>
      <c r="AP24" s="75">
        <f t="shared" si="25"/>
        <v>1.9217709304648583E-3</v>
      </c>
      <c r="AQ24" s="76">
        <f t="shared" si="9"/>
        <v>41.106090153319798</v>
      </c>
      <c r="AR24" s="90">
        <f t="shared" si="26"/>
        <v>0.68800000000010186</v>
      </c>
    </row>
    <row r="25" spans="1:49" x14ac:dyDescent="0.25">
      <c r="A25" t="str">
        <f t="shared" si="10"/>
        <v>46184E</v>
      </c>
      <c r="B25" s="51">
        <f t="shared" si="27"/>
        <v>46184</v>
      </c>
      <c r="C25" s="52" t="s">
        <v>88</v>
      </c>
      <c r="D25" s="91">
        <v>2998</v>
      </c>
      <c r="E25" s="62">
        <v>3.98</v>
      </c>
      <c r="F25" s="62">
        <v>8.01</v>
      </c>
      <c r="G25" s="62">
        <f t="shared" si="11"/>
        <v>119.32040000000001</v>
      </c>
      <c r="H25" s="63">
        <f t="shared" si="12"/>
        <v>240.13980000000001</v>
      </c>
      <c r="I25" s="144">
        <v>647.69999999999993</v>
      </c>
      <c r="J25" s="145">
        <v>667.13099999999997</v>
      </c>
      <c r="K25" s="146">
        <v>3.8309248108692304</v>
      </c>
      <c r="L25" s="147">
        <v>7.9789099891925286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667.13099999999997</v>
      </c>
      <c r="S25" s="62">
        <f t="shared" si="14"/>
        <v>25.557287000000002</v>
      </c>
      <c r="T25" s="63">
        <f t="shared" si="15"/>
        <v>53.229782000000007</v>
      </c>
      <c r="U25" s="64" t="s">
        <v>316</v>
      </c>
      <c r="V25" s="65" t="s">
        <v>461</v>
      </c>
      <c r="W25" s="66" t="s">
        <v>183</v>
      </c>
      <c r="X25" s="67">
        <v>2931</v>
      </c>
      <c r="Y25" s="68">
        <v>4</v>
      </c>
      <c r="Z25" s="68">
        <v>8</v>
      </c>
      <c r="AA25" s="62">
        <f t="shared" si="16"/>
        <v>117.24000000000001</v>
      </c>
      <c r="AB25" s="63">
        <f t="shared" si="17"/>
        <v>234.48000000000002</v>
      </c>
      <c r="AC25" s="69">
        <v>2930</v>
      </c>
      <c r="AD25" s="70">
        <v>4</v>
      </c>
      <c r="AE25" s="70">
        <v>7.95</v>
      </c>
      <c r="AF25" s="62">
        <f t="shared" si="18"/>
        <v>117.2</v>
      </c>
      <c r="AG25" s="63">
        <f t="shared" si="19"/>
        <v>232.935</v>
      </c>
      <c r="AH25" s="66">
        <v>734</v>
      </c>
      <c r="AI25" s="66">
        <v>3.95</v>
      </c>
      <c r="AJ25" s="66">
        <v>8</v>
      </c>
      <c r="AK25" s="62">
        <f t="shared" si="20"/>
        <v>28.992999999999999</v>
      </c>
      <c r="AL25" s="72">
        <f t="shared" si="21"/>
        <v>58.72</v>
      </c>
      <c r="AM25" s="73">
        <f t="shared" si="22"/>
        <v>1.1309999999998581</v>
      </c>
      <c r="AN25" s="74">
        <f t="shared" si="23"/>
        <v>-1.3153129999999926</v>
      </c>
      <c r="AO25" s="74">
        <f t="shared" si="24"/>
        <v>1.7145820000000356</v>
      </c>
      <c r="AP25" s="75">
        <f t="shared" si="25"/>
        <v>5.0676970861810193E-3</v>
      </c>
      <c r="AQ25" s="76">
        <f t="shared" si="9"/>
        <v>-77.328488416652704</v>
      </c>
      <c r="AR25" s="90">
        <f t="shared" si="26"/>
        <v>0.13099999999985812</v>
      </c>
    </row>
    <row r="26" spans="1:49" x14ac:dyDescent="0.25">
      <c r="A26" t="str">
        <f t="shared" si="10"/>
        <v>46185M</v>
      </c>
      <c r="B26" s="51">
        <f t="shared" si="27"/>
        <v>46185</v>
      </c>
      <c r="C26" s="52" t="s">
        <v>87</v>
      </c>
      <c r="D26" s="91">
        <v>734</v>
      </c>
      <c r="E26" s="62">
        <v>3.95</v>
      </c>
      <c r="F26" s="62">
        <v>8</v>
      </c>
      <c r="G26" s="62">
        <f t="shared" si="11"/>
        <v>28.992999999999999</v>
      </c>
      <c r="H26" s="63">
        <f t="shared" si="12"/>
        <v>58.72</v>
      </c>
      <c r="I26" s="144">
        <v>578.29999999999995</v>
      </c>
      <c r="J26" s="145">
        <v>595.649</v>
      </c>
      <c r="K26" s="146">
        <v>4.1750475531730942</v>
      </c>
      <c r="L26" s="147">
        <v>8.0368839702576516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595.649</v>
      </c>
      <c r="S26" s="62">
        <f t="shared" si="14"/>
        <v>24.868629000000002</v>
      </c>
      <c r="T26" s="63">
        <f t="shared" si="15"/>
        <v>47.871619000000003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>
        <v>1329</v>
      </c>
      <c r="AI26" s="66">
        <v>4.04</v>
      </c>
      <c r="AJ26" s="66">
        <v>8.02</v>
      </c>
      <c r="AK26" s="62">
        <f t="shared" si="20"/>
        <v>53.691600000000001</v>
      </c>
      <c r="AL26" s="72">
        <f t="shared" si="21"/>
        <v>106.58579999999999</v>
      </c>
      <c r="AM26" s="73">
        <f t="shared" si="22"/>
        <v>0.64899999999988722</v>
      </c>
      <c r="AN26" s="74">
        <f t="shared" si="23"/>
        <v>0.17002899999999954</v>
      </c>
      <c r="AO26" s="74">
        <f t="shared" si="24"/>
        <v>5.8190000000166719E-3</v>
      </c>
      <c r="AP26" s="75">
        <f t="shared" si="25"/>
        <v>2.4174786976257794E-3</v>
      </c>
      <c r="AQ26" s="76">
        <f t="shared" si="9"/>
        <v>78.069189916671462</v>
      </c>
      <c r="AR26" s="90">
        <f t="shared" si="26"/>
        <v>0.64899999999988722</v>
      </c>
    </row>
    <row r="27" spans="1:49" x14ac:dyDescent="0.25">
      <c r="A27" t="str">
        <f t="shared" si="10"/>
        <v>46185E</v>
      </c>
      <c r="B27" s="51">
        <f t="shared" si="27"/>
        <v>46185</v>
      </c>
      <c r="C27" s="52" t="s">
        <v>88</v>
      </c>
      <c r="D27" s="91">
        <v>1329</v>
      </c>
      <c r="E27" s="62">
        <v>4.04</v>
      </c>
      <c r="F27" s="62">
        <v>8.02</v>
      </c>
      <c r="G27" s="62">
        <f t="shared" si="11"/>
        <v>53.691600000000001</v>
      </c>
      <c r="H27" s="63">
        <f t="shared" si="12"/>
        <v>106.58579999999999</v>
      </c>
      <c r="I27" s="144">
        <v>639.90000000000009</v>
      </c>
      <c r="J27" s="145">
        <v>659.09700000000009</v>
      </c>
      <c r="K27" s="146">
        <v>3.6753086419753092</v>
      </c>
      <c r="L27" s="147">
        <v>7.886701047038601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659.09700000000009</v>
      </c>
      <c r="S27" s="62">
        <f t="shared" si="14"/>
        <v>24.223849000000005</v>
      </c>
      <c r="T27" s="63">
        <f t="shared" si="15"/>
        <v>51.981010000000012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>
        <v>1988</v>
      </c>
      <c r="AI27" s="66">
        <v>3.92</v>
      </c>
      <c r="AJ27" s="66">
        <v>7.98</v>
      </c>
      <c r="AK27" s="62">
        <f t="shared" si="20"/>
        <v>77.929599999999994</v>
      </c>
      <c r="AL27" s="72">
        <f t="shared" si="21"/>
        <v>158.64240000000001</v>
      </c>
      <c r="AM27" s="73">
        <f t="shared" si="22"/>
        <v>9.7000000000207365E-2</v>
      </c>
      <c r="AN27" s="74">
        <f t="shared" si="23"/>
        <v>-1.4150999999984037E-2</v>
      </c>
      <c r="AO27" s="74">
        <f t="shared" si="24"/>
        <v>-7.5590000000005375E-2</v>
      </c>
      <c r="AP27" s="75">
        <f t="shared" si="25"/>
        <v>-1.1776283189499687E-3</v>
      </c>
      <c r="AQ27" s="76">
        <f t="shared" si="9"/>
        <v>-28.974596676661115</v>
      </c>
      <c r="AR27" s="90">
        <f t="shared" si="26"/>
        <v>9.7000000000207365E-2</v>
      </c>
    </row>
    <row r="28" spans="1:49" x14ac:dyDescent="0.25">
      <c r="A28" t="str">
        <f t="shared" si="10"/>
        <v>46186M</v>
      </c>
      <c r="B28" s="51">
        <f t="shared" si="27"/>
        <v>46186</v>
      </c>
      <c r="C28" s="52" t="s">
        <v>87</v>
      </c>
      <c r="D28" s="91">
        <v>1988</v>
      </c>
      <c r="E28" s="62">
        <v>3.92</v>
      </c>
      <c r="F28" s="62">
        <v>7.98</v>
      </c>
      <c r="G28" s="62">
        <f t="shared" si="11"/>
        <v>77.929599999999994</v>
      </c>
      <c r="H28" s="63">
        <f t="shared" si="12"/>
        <v>158.64240000000001</v>
      </c>
      <c r="I28" s="144">
        <v>542.30000000000007</v>
      </c>
      <c r="J28" s="145">
        <v>558.56900000000007</v>
      </c>
      <c r="K28" s="146">
        <v>4.2014751982297618</v>
      </c>
      <c r="L28" s="147">
        <v>8.1227180527383371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558.56900000000007</v>
      </c>
      <c r="S28" s="62">
        <f t="shared" si="14"/>
        <v>23.468138000000003</v>
      </c>
      <c r="T28" s="63">
        <f t="shared" si="15"/>
        <v>45.370985000000005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>
        <v>2546</v>
      </c>
      <c r="AI28" s="66">
        <v>3.98</v>
      </c>
      <c r="AJ28" s="66">
        <v>8.01</v>
      </c>
      <c r="AK28" s="62">
        <f t="shared" si="20"/>
        <v>101.33080000000001</v>
      </c>
      <c r="AL28" s="72">
        <f t="shared" si="21"/>
        <v>203.93460000000002</v>
      </c>
      <c r="AM28" s="73">
        <f t="shared" si="22"/>
        <v>0.56899999999995998</v>
      </c>
      <c r="AN28" s="74">
        <f t="shared" si="23"/>
        <v>6.6937999999993281E-2</v>
      </c>
      <c r="AO28" s="74">
        <f t="shared" si="24"/>
        <v>7.8785000000010541E-2</v>
      </c>
      <c r="AP28" s="75">
        <f t="shared" si="25"/>
        <v>2.1168631099499017E-3</v>
      </c>
      <c r="AQ28" s="76">
        <f t="shared" si="9"/>
        <v>53.627387146666806</v>
      </c>
      <c r="AR28" s="90">
        <f t="shared" si="26"/>
        <v>0.56899999999995998</v>
      </c>
    </row>
    <row r="29" spans="1:49" x14ac:dyDescent="0.25">
      <c r="A29" t="str">
        <f t="shared" si="10"/>
        <v>46186E</v>
      </c>
      <c r="B29" s="51">
        <f t="shared" si="27"/>
        <v>46186</v>
      </c>
      <c r="C29" s="52" t="s">
        <v>88</v>
      </c>
      <c r="D29" s="91">
        <v>2546</v>
      </c>
      <c r="E29" s="62">
        <v>3.98</v>
      </c>
      <c r="F29" s="62">
        <v>8.01</v>
      </c>
      <c r="G29" s="62">
        <f t="shared" si="11"/>
        <v>101.33080000000001</v>
      </c>
      <c r="H29" s="63">
        <f t="shared" si="12"/>
        <v>203.93460000000002</v>
      </c>
      <c r="I29" s="144">
        <v>657.5</v>
      </c>
      <c r="J29" s="145">
        <v>677.22500000000002</v>
      </c>
      <c r="K29" s="146">
        <v>3.7843498098859314</v>
      </c>
      <c r="L29" s="147">
        <v>7.9308897338403028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677.22500000000002</v>
      </c>
      <c r="S29" s="62">
        <f t="shared" si="14"/>
        <v>25.628563</v>
      </c>
      <c r="T29" s="63">
        <f t="shared" si="15"/>
        <v>53.709967999999996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>
        <v>3223</v>
      </c>
      <c r="AI29" s="66">
        <v>3.93</v>
      </c>
      <c r="AJ29" s="66">
        <v>7.99</v>
      </c>
      <c r="AK29" s="62">
        <f t="shared" si="20"/>
        <v>126.6639</v>
      </c>
      <c r="AL29" s="72">
        <f t="shared" si="21"/>
        <v>257.51769999999999</v>
      </c>
      <c r="AM29" s="73">
        <f t="shared" si="22"/>
        <v>0.22499999999990905</v>
      </c>
      <c r="AN29" s="74">
        <f t="shared" si="23"/>
        <v>0.29546300000001224</v>
      </c>
      <c r="AO29" s="74">
        <f t="shared" si="24"/>
        <v>0.12686800000000176</v>
      </c>
      <c r="AP29" s="75">
        <f t="shared" si="25"/>
        <v>5.32315124412896E-3</v>
      </c>
      <c r="AQ29" s="76">
        <f t="shared" si="9"/>
        <v>170.60450458333938</v>
      </c>
      <c r="AR29" s="90">
        <f t="shared" si="26"/>
        <v>0.22499999999990905</v>
      </c>
      <c r="AS29" s="90">
        <f>SUM(J16:J29)</f>
        <v>8370.0890000000018</v>
      </c>
      <c r="AT29" s="83">
        <f>SUM(AM16:AM29)</f>
        <v>11.089000000000624</v>
      </c>
      <c r="AU29" s="83">
        <f>SUM(AN16:AN29)</f>
        <v>-8.5085999999996886E-2</v>
      </c>
      <c r="AV29" s="83">
        <f>SUM(AO16:AO29)</f>
        <v>5.2382130000000728</v>
      </c>
      <c r="AW29" s="83">
        <f>-SUM(AQ16:AQ29)</f>
        <v>-1529.4615089600234</v>
      </c>
    </row>
    <row r="30" spans="1:49" x14ac:dyDescent="0.25">
      <c r="A30" t="str">
        <f t="shared" si="10"/>
        <v>46187M</v>
      </c>
      <c r="B30" s="51">
        <f t="shared" si="27"/>
        <v>46187</v>
      </c>
      <c r="C30" s="52" t="s">
        <v>87</v>
      </c>
      <c r="D30" s="79">
        <v>3223</v>
      </c>
      <c r="E30" s="62">
        <v>3.93</v>
      </c>
      <c r="F30" s="62">
        <v>7.99</v>
      </c>
      <c r="G30" s="62">
        <f t="shared" si="11"/>
        <v>126.6639</v>
      </c>
      <c r="H30" s="63">
        <f t="shared" si="12"/>
        <v>257.51769999999999</v>
      </c>
      <c r="I30" s="144">
        <v>461.1</v>
      </c>
      <c r="J30" s="145">
        <v>474.93300000000005</v>
      </c>
      <c r="K30" s="146">
        <v>4.1472565603990468</v>
      </c>
      <c r="L30" s="147">
        <v>8.1666666666666679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474.93300000000005</v>
      </c>
      <c r="S30" s="62">
        <f t="shared" si="14"/>
        <v>19.696690000000004</v>
      </c>
      <c r="T30" s="63">
        <f t="shared" si="15"/>
        <v>38.786195000000006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66">
        <v>3698</v>
      </c>
      <c r="AI30" s="66">
        <v>3.95</v>
      </c>
      <c r="AJ30" s="66">
        <v>8.01</v>
      </c>
      <c r="AK30" s="62">
        <f t="shared" si="20"/>
        <v>146.071</v>
      </c>
      <c r="AL30" s="72">
        <f t="shared" si="21"/>
        <v>296.20980000000003</v>
      </c>
      <c r="AM30" s="73">
        <f t="shared" si="22"/>
        <v>-6.7000000000007276E-2</v>
      </c>
      <c r="AN30" s="74">
        <f t="shared" si="23"/>
        <v>0.28959000000000401</v>
      </c>
      <c r="AO30" s="74">
        <f t="shared" si="24"/>
        <v>9.409499999998161E-2</v>
      </c>
      <c r="AP30" s="75">
        <f t="shared" si="25"/>
        <v>6.5606373556979201E-3</v>
      </c>
      <c r="AQ30" s="76">
        <f t="shared" si="9"/>
        <v>158.15997119999631</v>
      </c>
      <c r="AR30" s="90">
        <f t="shared" si="26"/>
        <v>-6.7000000000007276E-2</v>
      </c>
    </row>
    <row r="31" spans="1:49" x14ac:dyDescent="0.25">
      <c r="A31" t="str">
        <f t="shared" si="10"/>
        <v>46187E</v>
      </c>
      <c r="B31" s="51">
        <f t="shared" si="27"/>
        <v>46187</v>
      </c>
      <c r="C31" s="52" t="s">
        <v>88</v>
      </c>
      <c r="D31" s="79">
        <v>3698</v>
      </c>
      <c r="E31" s="62">
        <v>3.95</v>
      </c>
      <c r="F31" s="62">
        <v>8.01</v>
      </c>
      <c r="G31" s="62">
        <f t="shared" si="11"/>
        <v>146.071</v>
      </c>
      <c r="H31" s="63">
        <f t="shared" si="12"/>
        <v>296.20980000000003</v>
      </c>
      <c r="I31" s="144">
        <v>607.6</v>
      </c>
      <c r="J31" s="145">
        <v>625.82800000000009</v>
      </c>
      <c r="K31" s="146">
        <v>3.7333607636603032</v>
      </c>
      <c r="L31" s="147">
        <v>7.9691737985516795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625.82800000000009</v>
      </c>
      <c r="S31" s="62">
        <f t="shared" si="14"/>
        <v>23.364417000000007</v>
      </c>
      <c r="T31" s="63">
        <f t="shared" si="15"/>
        <v>49.873321000000011</v>
      </c>
      <c r="U31" s="64" t="s">
        <v>179</v>
      </c>
      <c r="V31" s="65" t="s">
        <v>540</v>
      </c>
      <c r="W31" s="66" t="s">
        <v>183</v>
      </c>
      <c r="X31" s="67">
        <v>3516</v>
      </c>
      <c r="Y31" s="68">
        <v>3.95</v>
      </c>
      <c r="Z31" s="68">
        <v>8</v>
      </c>
      <c r="AA31" s="62">
        <f t="shared" si="16"/>
        <v>138.88200000000001</v>
      </c>
      <c r="AB31" s="63">
        <f t="shared" si="17"/>
        <v>281.28000000000003</v>
      </c>
      <c r="AC31" s="69">
        <v>3513</v>
      </c>
      <c r="AD31" s="70">
        <v>3.9</v>
      </c>
      <c r="AE31" s="70">
        <v>8</v>
      </c>
      <c r="AF31" s="62">
        <f t="shared" si="18"/>
        <v>137.00700000000001</v>
      </c>
      <c r="AG31" s="63">
        <f t="shared" si="19"/>
        <v>281.04000000000002</v>
      </c>
      <c r="AH31" s="66">
        <v>807</v>
      </c>
      <c r="AI31" s="66">
        <v>3.92</v>
      </c>
      <c r="AJ31" s="66">
        <v>8</v>
      </c>
      <c r="AK31" s="62">
        <f t="shared" si="20"/>
        <v>31.634399999999999</v>
      </c>
      <c r="AL31" s="72">
        <f t="shared" si="21"/>
        <v>64.56</v>
      </c>
      <c r="AM31" s="73">
        <f t="shared" si="22"/>
        <v>3.8280000000004293</v>
      </c>
      <c r="AN31" s="74">
        <f t="shared" si="23"/>
        <v>0.79401699999999664</v>
      </c>
      <c r="AO31" s="74">
        <f t="shared" si="24"/>
        <v>0.48312100000003966</v>
      </c>
      <c r="AP31" s="75">
        <f t="shared" si="25"/>
        <v>1.7438250209202748E-2</v>
      </c>
      <c r="AQ31" s="76">
        <f t="shared" si="9"/>
        <v>501.02740354334378</v>
      </c>
      <c r="AR31" s="90">
        <f t="shared" si="26"/>
        <v>0.82800000000042928</v>
      </c>
    </row>
    <row r="32" spans="1:49" x14ac:dyDescent="0.25">
      <c r="A32" t="str">
        <f t="shared" si="10"/>
        <v>46188M</v>
      </c>
      <c r="B32" s="51">
        <f t="shared" si="27"/>
        <v>46188</v>
      </c>
      <c r="C32" s="52" t="s">
        <v>87</v>
      </c>
      <c r="D32" s="79">
        <v>807</v>
      </c>
      <c r="E32" s="62">
        <v>3.92</v>
      </c>
      <c r="F32" s="62">
        <v>8</v>
      </c>
      <c r="G32" s="62">
        <f t="shared" si="11"/>
        <v>31.634399999999999</v>
      </c>
      <c r="H32" s="63">
        <f t="shared" si="12"/>
        <v>64.56</v>
      </c>
      <c r="I32" s="144">
        <v>474.40000000000003</v>
      </c>
      <c r="J32" s="145">
        <v>488.63200000000006</v>
      </c>
      <c r="K32" s="146">
        <v>4.2556492411467115</v>
      </c>
      <c r="L32" s="147">
        <v>8.1140177065767283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488.63200000000006</v>
      </c>
      <c r="S32" s="62">
        <f t="shared" si="14"/>
        <v>20.794464000000001</v>
      </c>
      <c r="T32" s="63">
        <f t="shared" si="15"/>
        <v>39.647687000000005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>
        <v>1295</v>
      </c>
      <c r="AI32" s="66">
        <v>4.04</v>
      </c>
      <c r="AJ32" s="66">
        <v>8.0399999999999991</v>
      </c>
      <c r="AK32" s="62">
        <f t="shared" si="20"/>
        <v>52.317999999999998</v>
      </c>
      <c r="AL32" s="72">
        <f t="shared" si="21"/>
        <v>104.11799999999998</v>
      </c>
      <c r="AM32" s="73">
        <f t="shared" si="22"/>
        <v>0.63200000000006185</v>
      </c>
      <c r="AN32" s="74">
        <f t="shared" si="23"/>
        <v>0.11086400000000651</v>
      </c>
      <c r="AO32" s="74">
        <f t="shared" si="24"/>
        <v>8.9687000000026273E-2</v>
      </c>
      <c r="AP32" s="75">
        <f t="shared" si="25"/>
        <v>3.3180652356338668E-3</v>
      </c>
      <c r="AQ32" s="76">
        <f t="shared" si="9"/>
        <v>76.608885686677468</v>
      </c>
      <c r="AR32" s="90">
        <f t="shared" si="26"/>
        <v>0.63200000000006185</v>
      </c>
    </row>
    <row r="33" spans="1:44" x14ac:dyDescent="0.25">
      <c r="A33" t="str">
        <f t="shared" si="10"/>
        <v>46188E</v>
      </c>
      <c r="B33" s="51">
        <f t="shared" si="27"/>
        <v>46188</v>
      </c>
      <c r="C33" s="52" t="s">
        <v>88</v>
      </c>
      <c r="D33" s="79">
        <v>1295</v>
      </c>
      <c r="E33" s="62">
        <v>4.04</v>
      </c>
      <c r="F33" s="62">
        <v>8.0399999999999991</v>
      </c>
      <c r="G33" s="62">
        <f t="shared" si="11"/>
        <v>52.317999999999998</v>
      </c>
      <c r="H33" s="63">
        <f t="shared" si="12"/>
        <v>104.11799999999998</v>
      </c>
      <c r="I33" s="144">
        <v>675</v>
      </c>
      <c r="J33" s="145">
        <v>695.25</v>
      </c>
      <c r="K33" s="146">
        <v>3.6951259259259261</v>
      </c>
      <c r="L33" s="147">
        <v>7.898681481481483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695.25</v>
      </c>
      <c r="S33" s="62">
        <f t="shared" si="14"/>
        <v>25.690363000000001</v>
      </c>
      <c r="T33" s="63">
        <f t="shared" si="15"/>
        <v>54.915583000000012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>
        <v>1990</v>
      </c>
      <c r="AI33" s="66">
        <v>3.92</v>
      </c>
      <c r="AJ33" s="66">
        <v>7.99</v>
      </c>
      <c r="AK33" s="62">
        <f t="shared" si="20"/>
        <v>78.007999999999996</v>
      </c>
      <c r="AL33" s="72">
        <f t="shared" si="21"/>
        <v>159.001</v>
      </c>
      <c r="AM33" s="73">
        <f t="shared" si="22"/>
        <v>0.25</v>
      </c>
      <c r="AN33" s="74">
        <f t="shared" si="23"/>
        <v>3.6300000000721866E-4</v>
      </c>
      <c r="AO33" s="74">
        <f t="shared" si="24"/>
        <v>3.258299999998826E-2</v>
      </c>
      <c r="AP33" s="75">
        <f t="shared" si="25"/>
        <v>4.0872915256146827E-4</v>
      </c>
      <c r="AQ33" s="76">
        <f t="shared" si="9"/>
        <v>9.9141773499997274</v>
      </c>
      <c r="AR33" s="90">
        <f t="shared" si="26"/>
        <v>0.25</v>
      </c>
    </row>
    <row r="34" spans="1:44" x14ac:dyDescent="0.25">
      <c r="A34" t="str">
        <f t="shared" si="10"/>
        <v>46189M</v>
      </c>
      <c r="B34" s="51">
        <f t="shared" si="27"/>
        <v>46189</v>
      </c>
      <c r="C34" s="52" t="s">
        <v>87</v>
      </c>
      <c r="D34" s="79">
        <v>1990</v>
      </c>
      <c r="E34" s="62">
        <v>3.92</v>
      </c>
      <c r="F34" s="62">
        <v>7.99</v>
      </c>
      <c r="G34" s="62">
        <f t="shared" si="11"/>
        <v>78.007999999999996</v>
      </c>
      <c r="H34" s="63">
        <f t="shared" si="12"/>
        <v>159.001</v>
      </c>
      <c r="I34" s="144">
        <v>536.6</v>
      </c>
      <c r="J34" s="145">
        <v>552.69800000000009</v>
      </c>
      <c r="K34" s="146">
        <v>4.3064852776742448</v>
      </c>
      <c r="L34" s="147">
        <v>8.0503354453969411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552.69800000000009</v>
      </c>
      <c r="S34" s="62">
        <f t="shared" si="14"/>
        <v>23.801858000000003</v>
      </c>
      <c r="T34" s="63">
        <f t="shared" si="15"/>
        <v>44.494042999999998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>
        <v>2542</v>
      </c>
      <c r="AI34" s="66">
        <v>4</v>
      </c>
      <c r="AJ34" s="66">
        <v>8</v>
      </c>
      <c r="AK34" s="62">
        <f t="shared" si="20"/>
        <v>101.68</v>
      </c>
      <c r="AL34" s="72">
        <f t="shared" si="21"/>
        <v>203.36</v>
      </c>
      <c r="AM34" s="73">
        <f t="shared" si="22"/>
        <v>0.69800000000032014</v>
      </c>
      <c r="AN34" s="74">
        <f t="shared" si="23"/>
        <v>0.12985799999998449</v>
      </c>
      <c r="AO34" s="74">
        <f t="shared" si="24"/>
        <v>0.13504299999999603</v>
      </c>
      <c r="AP34" s="75">
        <f t="shared" si="25"/>
        <v>3.8787247275642576E-3</v>
      </c>
      <c r="AQ34" s="76">
        <f t="shared" si="9"/>
        <v>98.709323533325176</v>
      </c>
      <c r="AR34" s="90">
        <f t="shared" si="26"/>
        <v>0.69800000000032014</v>
      </c>
    </row>
    <row r="35" spans="1:44" x14ac:dyDescent="0.25">
      <c r="A35" t="str">
        <f t="shared" si="10"/>
        <v>46189E</v>
      </c>
      <c r="B35" s="51">
        <f t="shared" si="27"/>
        <v>46189</v>
      </c>
      <c r="C35" s="52" t="s">
        <v>88</v>
      </c>
      <c r="D35" s="79">
        <v>2542</v>
      </c>
      <c r="E35" s="62">
        <v>4</v>
      </c>
      <c r="F35" s="62">
        <v>8</v>
      </c>
      <c r="G35" s="62">
        <f t="shared" si="11"/>
        <v>101.68</v>
      </c>
      <c r="H35" s="63">
        <f t="shared" si="12"/>
        <v>203.36</v>
      </c>
      <c r="I35" s="144">
        <v>606.4</v>
      </c>
      <c r="J35" s="145">
        <v>624.59199999999998</v>
      </c>
      <c r="K35" s="146">
        <v>3.8423812664907651</v>
      </c>
      <c r="L35" s="147">
        <v>7.9668535620052774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624.59199999999998</v>
      </c>
      <c r="S35" s="62">
        <f t="shared" si="14"/>
        <v>23.999206000000001</v>
      </c>
      <c r="T35" s="63">
        <f t="shared" si="15"/>
        <v>49.760329999999996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3166</v>
      </c>
      <c r="AI35" s="66">
        <v>3.97</v>
      </c>
      <c r="AJ35" s="66">
        <v>7.99</v>
      </c>
      <c r="AK35" s="62">
        <f t="shared" si="20"/>
        <v>125.6902</v>
      </c>
      <c r="AL35" s="72">
        <f t="shared" si="21"/>
        <v>252.96340000000001</v>
      </c>
      <c r="AM35" s="73">
        <f t="shared" si="22"/>
        <v>0.59200000000009823</v>
      </c>
      <c r="AN35" s="74">
        <f t="shared" si="23"/>
        <v>-1.0993999999996618E-2</v>
      </c>
      <c r="AO35" s="74">
        <f t="shared" si="24"/>
        <v>0.15693000000001689</v>
      </c>
      <c r="AP35" s="75">
        <f t="shared" si="25"/>
        <v>1.978537392101006E-3</v>
      </c>
      <c r="AQ35" s="76">
        <f t="shared" si="9"/>
        <v>42.029647660006582</v>
      </c>
      <c r="AR35" s="90">
        <f t="shared" si="26"/>
        <v>0.59200000000009823</v>
      </c>
    </row>
    <row r="36" spans="1:44" x14ac:dyDescent="0.25">
      <c r="A36" t="str">
        <f t="shared" si="10"/>
        <v>46190M</v>
      </c>
      <c r="B36" s="51">
        <f t="shared" si="27"/>
        <v>46190</v>
      </c>
      <c r="C36" s="52" t="s">
        <v>87</v>
      </c>
      <c r="D36" s="79">
        <v>3166</v>
      </c>
      <c r="E36" s="62">
        <v>3.97</v>
      </c>
      <c r="F36" s="62">
        <v>7.99</v>
      </c>
      <c r="G36" s="62">
        <f t="shared" si="11"/>
        <v>125.6902</v>
      </c>
      <c r="H36" s="63">
        <f t="shared" si="12"/>
        <v>252.96340000000001</v>
      </c>
      <c r="I36" s="144">
        <v>503.3</v>
      </c>
      <c r="J36" s="145">
        <v>518.399</v>
      </c>
      <c r="K36" s="146">
        <v>4.2990264255910988</v>
      </c>
      <c r="L36" s="147">
        <v>8.0587323663818768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518.399</v>
      </c>
      <c r="S36" s="62">
        <f t="shared" si="14"/>
        <v>22.286110000000001</v>
      </c>
      <c r="T36" s="63">
        <f t="shared" si="15"/>
        <v>41.776387999999983</v>
      </c>
      <c r="U36" s="64" t="s">
        <v>179</v>
      </c>
      <c r="V36" s="65" t="s">
        <v>614</v>
      </c>
      <c r="W36" s="66" t="s">
        <v>183</v>
      </c>
      <c r="X36" s="67">
        <v>2977</v>
      </c>
      <c r="Y36" s="68">
        <v>3.95</v>
      </c>
      <c r="Z36" s="68">
        <v>8</v>
      </c>
      <c r="AA36" s="62">
        <f t="shared" si="16"/>
        <v>117.5915</v>
      </c>
      <c r="AB36" s="63">
        <f t="shared" si="17"/>
        <v>238.16</v>
      </c>
      <c r="AC36" s="69">
        <v>2974</v>
      </c>
      <c r="AD36" s="70">
        <v>3.9</v>
      </c>
      <c r="AE36" s="70">
        <v>8</v>
      </c>
      <c r="AF36" s="62">
        <f t="shared" si="18"/>
        <v>115.986</v>
      </c>
      <c r="AG36" s="63">
        <f t="shared" si="19"/>
        <v>237.92000000000002</v>
      </c>
      <c r="AH36" s="66">
        <v>707</v>
      </c>
      <c r="AI36" s="66">
        <v>4.01</v>
      </c>
      <c r="AJ36" s="66">
        <v>7.99</v>
      </c>
      <c r="AK36" s="62">
        <f t="shared" si="20"/>
        <v>28.350699999999996</v>
      </c>
      <c r="AL36" s="72">
        <f t="shared" si="21"/>
        <v>56.4893</v>
      </c>
      <c r="AM36" s="73">
        <f t="shared" si="22"/>
        <v>3.3989999999998872</v>
      </c>
      <c r="AN36" s="74">
        <f t="shared" si="23"/>
        <v>3.6396100000000118</v>
      </c>
      <c r="AO36" s="74">
        <f t="shared" si="24"/>
        <v>0.33048799999995992</v>
      </c>
      <c r="AP36" s="75">
        <f t="shared" si="25"/>
        <v>6.1972263398158048E-2</v>
      </c>
      <c r="AQ36" s="76">
        <f t="shared" si="9"/>
        <v>1732.7635704866602</v>
      </c>
      <c r="AR36" s="90">
        <f t="shared" si="26"/>
        <v>0.39899999999988722</v>
      </c>
    </row>
    <row r="37" spans="1:44" x14ac:dyDescent="0.25">
      <c r="A37" t="str">
        <f t="shared" si="10"/>
        <v>46190E</v>
      </c>
      <c r="B37" s="51">
        <f t="shared" si="27"/>
        <v>46190</v>
      </c>
      <c r="C37" s="52" t="s">
        <v>88</v>
      </c>
      <c r="D37" s="79">
        <v>707</v>
      </c>
      <c r="E37" s="62">
        <v>4.01</v>
      </c>
      <c r="F37" s="62">
        <v>7.99</v>
      </c>
      <c r="G37" s="62">
        <f t="shared" si="11"/>
        <v>28.350699999999996</v>
      </c>
      <c r="H37" s="63">
        <f t="shared" si="12"/>
        <v>56.4893</v>
      </c>
      <c r="I37" s="144">
        <v>535</v>
      </c>
      <c r="J37" s="145">
        <v>551.05000000000007</v>
      </c>
      <c r="K37" s="146">
        <v>3.7947850467289719</v>
      </c>
      <c r="L37" s="147">
        <v>7.9531775700934588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551.05000000000007</v>
      </c>
      <c r="S37" s="62">
        <f t="shared" si="14"/>
        <v>20.911163000000002</v>
      </c>
      <c r="T37" s="63">
        <f t="shared" si="15"/>
        <v>43.82598500000001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>
        <v>1258</v>
      </c>
      <c r="AI37" s="66">
        <v>3.91</v>
      </c>
      <c r="AJ37" s="66">
        <v>7.97</v>
      </c>
      <c r="AK37" s="62">
        <f t="shared" si="20"/>
        <v>49.187800000000003</v>
      </c>
      <c r="AL37" s="72">
        <f t="shared" si="21"/>
        <v>100.26259999999999</v>
      </c>
      <c r="AM37" s="73">
        <f t="shared" si="22"/>
        <v>5.0000000000181899E-2</v>
      </c>
      <c r="AN37" s="74">
        <f t="shared" si="23"/>
        <v>7.4062999999995327E-2</v>
      </c>
      <c r="AO37" s="74">
        <f t="shared" si="24"/>
        <v>5.2685000000025184E-2</v>
      </c>
      <c r="AP37" s="75">
        <f t="shared" si="25"/>
        <v>1.9578866835471415E-3</v>
      </c>
      <c r="AQ37" s="76">
        <f t="shared" si="9"/>
        <v>49.014836896672108</v>
      </c>
      <c r="AR37" s="90">
        <f t="shared" si="26"/>
        <v>5.0000000000181899E-2</v>
      </c>
    </row>
    <row r="38" spans="1:44" x14ac:dyDescent="0.25">
      <c r="A38" t="str">
        <f t="shared" si="10"/>
        <v>46191M</v>
      </c>
      <c r="B38" s="51">
        <f t="shared" si="27"/>
        <v>46191</v>
      </c>
      <c r="C38" s="52" t="s">
        <v>87</v>
      </c>
      <c r="D38" s="79">
        <v>1258</v>
      </c>
      <c r="E38" s="62">
        <v>3.91</v>
      </c>
      <c r="F38" s="62">
        <v>7.97</v>
      </c>
      <c r="G38" s="62">
        <f t="shared" si="11"/>
        <v>49.187800000000003</v>
      </c>
      <c r="H38" s="63">
        <f t="shared" si="12"/>
        <v>100.26259999999999</v>
      </c>
      <c r="I38" s="144">
        <v>481.20000000000005</v>
      </c>
      <c r="J38" s="145">
        <v>495.63600000000008</v>
      </c>
      <c r="K38" s="146">
        <v>4.2840814630091435</v>
      </c>
      <c r="L38" s="147">
        <v>8.1294056525353291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3"/>
        <v>495.63600000000008</v>
      </c>
      <c r="S38" s="62">
        <f t="shared" si="14"/>
        <v>21.233450000000001</v>
      </c>
      <c r="T38" s="63">
        <f t="shared" si="15"/>
        <v>40.292261000000011</v>
      </c>
      <c r="U38" s="64" t="s">
        <v>187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>
        <v>1753</v>
      </c>
      <c r="AI38" s="66">
        <v>4.01</v>
      </c>
      <c r="AJ38" s="66">
        <v>8.01</v>
      </c>
      <c r="AK38" s="62">
        <f t="shared" si="20"/>
        <v>70.295299999999997</v>
      </c>
      <c r="AL38" s="72">
        <f t="shared" si="21"/>
        <v>140.4153</v>
      </c>
      <c r="AM38" s="73">
        <f t="shared" si="22"/>
        <v>0.63599999999996726</v>
      </c>
      <c r="AN38" s="74">
        <f t="shared" si="23"/>
        <v>0.12595000000000312</v>
      </c>
      <c r="AO38" s="74">
        <f t="shared" si="24"/>
        <v>0.1395610000000147</v>
      </c>
      <c r="AP38" s="75">
        <f t="shared" si="25"/>
        <v>4.3154478946211246E-3</v>
      </c>
      <c r="AQ38" s="76">
        <f t="shared" si="9"/>
        <v>98.307100173339137</v>
      </c>
      <c r="AR38" s="90">
        <f t="shared" si="26"/>
        <v>0.63599999999996726</v>
      </c>
    </row>
    <row r="39" spans="1:44" x14ac:dyDescent="0.25">
      <c r="A39" t="str">
        <f t="shared" si="10"/>
        <v>46191E</v>
      </c>
      <c r="B39" s="51">
        <f t="shared" si="27"/>
        <v>46191</v>
      </c>
      <c r="C39" s="52" t="s">
        <v>88</v>
      </c>
      <c r="D39" s="79">
        <v>1753</v>
      </c>
      <c r="E39" s="62">
        <v>4.01</v>
      </c>
      <c r="F39" s="62">
        <v>8.01</v>
      </c>
      <c r="G39" s="62">
        <f t="shared" si="11"/>
        <v>70.295299999999997</v>
      </c>
      <c r="H39" s="63">
        <f t="shared" si="12"/>
        <v>140.4153</v>
      </c>
      <c r="I39" s="144">
        <v>650.79999999999995</v>
      </c>
      <c r="J39" s="145">
        <v>670.32399999999996</v>
      </c>
      <c r="K39" s="146">
        <v>3.7773509526736331</v>
      </c>
      <c r="L39" s="147">
        <v>8.0147971727105105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3"/>
        <v>670.32399999999996</v>
      </c>
      <c r="S39" s="62">
        <f t="shared" si="14"/>
        <v>25.320490000000003</v>
      </c>
      <c r="T39" s="63">
        <f t="shared" si="15"/>
        <v>53.725109000000003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2423</v>
      </c>
      <c r="AI39" s="66">
        <v>3.94</v>
      </c>
      <c r="AJ39" s="66">
        <v>8</v>
      </c>
      <c r="AK39" s="62">
        <f t="shared" si="20"/>
        <v>95.466200000000001</v>
      </c>
      <c r="AL39" s="72">
        <f t="shared" si="21"/>
        <v>193.84</v>
      </c>
      <c r="AM39" s="73">
        <f t="shared" si="22"/>
        <v>0.32400000000006912</v>
      </c>
      <c r="AN39" s="74">
        <f t="shared" si="23"/>
        <v>0.14959000000000344</v>
      </c>
      <c r="AO39" s="74">
        <f t="shared" si="24"/>
        <v>0.30040900000000192</v>
      </c>
      <c r="AP39" s="75">
        <f t="shared" si="25"/>
        <v>5.6929039148657136E-3</v>
      </c>
      <c r="AQ39" s="76">
        <f t="shared" si="9"/>
        <v>157.05684969333547</v>
      </c>
      <c r="AR39" s="90">
        <f t="shared" si="26"/>
        <v>0.32400000000006912</v>
      </c>
    </row>
    <row r="40" spans="1:44" x14ac:dyDescent="0.25">
      <c r="A40" t="str">
        <f t="shared" si="10"/>
        <v>46192M</v>
      </c>
      <c r="B40" s="51">
        <f t="shared" si="27"/>
        <v>46192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144"/>
      <c r="J40" s="145"/>
      <c r="K40" s="146"/>
      <c r="L40" s="147"/>
      <c r="M40" s="58"/>
      <c r="N40" s="58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9"/>
        <v>0</v>
      </c>
      <c r="AR40" s="90">
        <f t="shared" si="26"/>
        <v>0</v>
      </c>
    </row>
    <row r="41" spans="1:44" x14ac:dyDescent="0.25">
      <c r="A41" t="str">
        <f t="shared" si="10"/>
        <v>46192E</v>
      </c>
      <c r="B41" s="51">
        <f t="shared" si="27"/>
        <v>46192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144"/>
      <c r="J41" s="145"/>
      <c r="K41" s="146"/>
      <c r="L41" s="147"/>
      <c r="M41" s="58"/>
      <c r="N41" s="58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9"/>
        <v>0</v>
      </c>
      <c r="AR41" s="90">
        <f t="shared" si="26"/>
        <v>0</v>
      </c>
    </row>
    <row r="42" spans="1:44" x14ac:dyDescent="0.25">
      <c r="A42" t="str">
        <f t="shared" si="10"/>
        <v>46193M</v>
      </c>
      <c r="B42" s="51">
        <f t="shared" si="27"/>
        <v>46193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144"/>
      <c r="J42" s="145"/>
      <c r="K42" s="146"/>
      <c r="L42" s="147"/>
      <c r="M42" s="58"/>
      <c r="N42" s="58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9"/>
        <v>0</v>
      </c>
      <c r="AR42" s="90">
        <f t="shared" si="26"/>
        <v>0</v>
      </c>
    </row>
    <row r="43" spans="1:44" x14ac:dyDescent="0.25">
      <c r="A43" t="str">
        <f t="shared" si="10"/>
        <v>46193E</v>
      </c>
      <c r="B43" s="51">
        <f t="shared" si="27"/>
        <v>46193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144"/>
      <c r="J43" s="145"/>
      <c r="K43" s="146"/>
      <c r="L43" s="147"/>
      <c r="M43" s="58"/>
      <c r="N43" s="58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9"/>
        <v>0</v>
      </c>
      <c r="AR43" s="90">
        <f t="shared" si="26"/>
        <v>0</v>
      </c>
    </row>
    <row r="44" spans="1:44" x14ac:dyDescent="0.25">
      <c r="A44" t="str">
        <f t="shared" si="10"/>
        <v>46194M</v>
      </c>
      <c r="B44" s="51">
        <f t="shared" si="27"/>
        <v>46194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144"/>
      <c r="J44" s="145"/>
      <c r="K44" s="146"/>
      <c r="L44" s="147"/>
      <c r="M44" s="58"/>
      <c r="N44" s="58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9"/>
        <v>0</v>
      </c>
      <c r="AR44" s="90">
        <f t="shared" si="26"/>
        <v>0</v>
      </c>
    </row>
    <row r="45" spans="1:44" x14ac:dyDescent="0.25">
      <c r="A45" t="str">
        <f t="shared" si="10"/>
        <v>46194E</v>
      </c>
      <c r="B45" s="51">
        <f t="shared" si="27"/>
        <v>46194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144"/>
      <c r="J45" s="145"/>
      <c r="K45" s="146"/>
      <c r="L45" s="147"/>
      <c r="M45" s="58"/>
      <c r="N45" s="58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9"/>
        <v>0</v>
      </c>
      <c r="AR45" s="90">
        <f t="shared" si="26"/>
        <v>0</v>
      </c>
    </row>
    <row r="46" spans="1:44" x14ac:dyDescent="0.25">
      <c r="A46" t="str">
        <f t="shared" si="10"/>
        <v>46195M</v>
      </c>
      <c r="B46" s="51">
        <f t="shared" si="27"/>
        <v>46195</v>
      </c>
      <c r="C46" s="52" t="s">
        <v>87</v>
      </c>
      <c r="D46" s="79"/>
      <c r="E46" s="62"/>
      <c r="F46" s="62"/>
      <c r="G46" s="62">
        <f t="shared" si="11"/>
        <v>0</v>
      </c>
      <c r="H46" s="63">
        <f t="shared" si="12"/>
        <v>0</v>
      </c>
      <c r="I46" s="144"/>
      <c r="J46" s="145"/>
      <c r="K46" s="146"/>
      <c r="L46" s="147"/>
      <c r="M46" s="58"/>
      <c r="N46" s="58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9"/>
        <v>0</v>
      </c>
      <c r="AR46" s="90">
        <f>(D46+J46+O46)-(X46+AH46)</f>
        <v>0</v>
      </c>
    </row>
    <row r="47" spans="1:44" x14ac:dyDescent="0.25">
      <c r="A47" t="str">
        <f t="shared" si="10"/>
        <v>46195E</v>
      </c>
      <c r="B47" s="51">
        <f t="shared" si="27"/>
        <v>46195</v>
      </c>
      <c r="C47" s="52" t="s">
        <v>88</v>
      </c>
      <c r="D47" s="79"/>
      <c r="E47" s="62"/>
      <c r="F47" s="62"/>
      <c r="G47" s="62">
        <f t="shared" si="11"/>
        <v>0</v>
      </c>
      <c r="H47" s="63">
        <f t="shared" si="12"/>
        <v>0</v>
      </c>
      <c r="I47" s="144"/>
      <c r="J47" s="145"/>
      <c r="K47" s="146"/>
      <c r="L47" s="147"/>
      <c r="M47" s="58"/>
      <c r="N47" s="58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9"/>
        <v>0</v>
      </c>
      <c r="AR47" s="90">
        <f t="shared" si="26"/>
        <v>0</v>
      </c>
    </row>
    <row r="48" spans="1:44" x14ac:dyDescent="0.25">
      <c r="A48" t="str">
        <f t="shared" si="10"/>
        <v>46196M</v>
      </c>
      <c r="B48" s="51">
        <f t="shared" si="27"/>
        <v>46196</v>
      </c>
      <c r="C48" s="52" t="s">
        <v>87</v>
      </c>
      <c r="D48" s="79"/>
      <c r="E48" s="62"/>
      <c r="F48" s="62"/>
      <c r="G48" s="62">
        <f t="shared" si="11"/>
        <v>0</v>
      </c>
      <c r="H48" s="63">
        <f t="shared" si="12"/>
        <v>0</v>
      </c>
      <c r="I48" s="144"/>
      <c r="J48" s="145"/>
      <c r="K48" s="146"/>
      <c r="L48" s="147"/>
      <c r="M48" s="58"/>
      <c r="N48" s="58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9"/>
        <v>0</v>
      </c>
      <c r="AR48" s="90">
        <f t="shared" si="26"/>
        <v>0</v>
      </c>
    </row>
    <row r="49" spans="1:49" x14ac:dyDescent="0.25">
      <c r="A49" t="str">
        <f t="shared" si="10"/>
        <v>46196E</v>
      </c>
      <c r="B49" s="51">
        <f t="shared" si="27"/>
        <v>46196</v>
      </c>
      <c r="C49" s="52" t="s">
        <v>88</v>
      </c>
      <c r="D49" s="79"/>
      <c r="E49" s="62"/>
      <c r="F49" s="62"/>
      <c r="G49" s="62">
        <f t="shared" si="11"/>
        <v>0</v>
      </c>
      <c r="H49" s="63">
        <f t="shared" si="12"/>
        <v>0</v>
      </c>
      <c r="I49" s="144"/>
      <c r="J49" s="145"/>
      <c r="K49" s="146"/>
      <c r="L49" s="147"/>
      <c r="M49" s="58"/>
      <c r="N49" s="58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9"/>
        <v>0</v>
      </c>
      <c r="AR49" s="90">
        <f t="shared" si="26"/>
        <v>0</v>
      </c>
    </row>
    <row r="50" spans="1:49" x14ac:dyDescent="0.25">
      <c r="A50" t="str">
        <f t="shared" si="10"/>
        <v>46197M</v>
      </c>
      <c r="B50" s="51">
        <f t="shared" si="27"/>
        <v>46197</v>
      </c>
      <c r="C50" s="52" t="s">
        <v>87</v>
      </c>
      <c r="D50" s="79"/>
      <c r="E50" s="62"/>
      <c r="F50" s="62"/>
      <c r="G50" s="62">
        <f t="shared" si="11"/>
        <v>0</v>
      </c>
      <c r="H50" s="63">
        <f t="shared" si="12"/>
        <v>0</v>
      </c>
      <c r="I50" s="144"/>
      <c r="J50" s="145"/>
      <c r="K50" s="146"/>
      <c r="L50" s="147"/>
      <c r="M50" s="58"/>
      <c r="N50" s="58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9"/>
        <v>0</v>
      </c>
      <c r="AR50" s="90">
        <f t="shared" ref="AR50:AR59" si="28">(D50+J50+O50)-(X50+AH50)</f>
        <v>0</v>
      </c>
    </row>
    <row r="51" spans="1:49" x14ac:dyDescent="0.25">
      <c r="A51" t="str">
        <f t="shared" si="10"/>
        <v>46197E</v>
      </c>
      <c r="B51" s="51">
        <f t="shared" si="27"/>
        <v>46197</v>
      </c>
      <c r="C51" s="52" t="s">
        <v>88</v>
      </c>
      <c r="D51" s="79"/>
      <c r="E51" s="62"/>
      <c r="F51" s="62"/>
      <c r="G51" s="62">
        <f t="shared" si="11"/>
        <v>0</v>
      </c>
      <c r="H51" s="63">
        <f t="shared" si="12"/>
        <v>0</v>
      </c>
      <c r="I51" s="144"/>
      <c r="J51" s="145"/>
      <c r="K51" s="146"/>
      <c r="L51" s="147"/>
      <c r="M51" s="58"/>
      <c r="N51" s="58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6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9"/>
        <v>0</v>
      </c>
      <c r="AR51" s="90">
        <f t="shared" si="28"/>
        <v>0</v>
      </c>
      <c r="AS51" s="90">
        <f>SUM(J38:J51)</f>
        <v>1165.96</v>
      </c>
      <c r="AT51" s="83">
        <f>SUM(AM38:AM51)</f>
        <v>0.96000000000003638</v>
      </c>
      <c r="AU51" s="83">
        <f>SUM(AN38:AN51)</f>
        <v>0.27554000000000656</v>
      </c>
      <c r="AV51" s="83">
        <f>SUM(AO38:AO51)</f>
        <v>0.43997000000001663</v>
      </c>
      <c r="AW51" s="83">
        <f>-SUM(AQ38:AQ51)</f>
        <v>-255.3639498666746</v>
      </c>
    </row>
    <row r="52" spans="1:49" x14ac:dyDescent="0.25">
      <c r="A52" t="str">
        <f t="shared" si="10"/>
        <v>46198M</v>
      </c>
      <c r="B52" s="51">
        <f t="shared" si="27"/>
        <v>46198</v>
      </c>
      <c r="C52" s="52" t="s">
        <v>87</v>
      </c>
      <c r="D52" s="79"/>
      <c r="E52" s="62"/>
      <c r="F52" s="62"/>
      <c r="G52" s="62">
        <f t="shared" si="11"/>
        <v>0</v>
      </c>
      <c r="H52" s="63">
        <f t="shared" si="12"/>
        <v>0</v>
      </c>
      <c r="I52" s="144"/>
      <c r="J52" s="145"/>
      <c r="K52" s="146"/>
      <c r="L52" s="147"/>
      <c r="M52" s="58"/>
      <c r="N52" s="58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9"/>
        <v>0</v>
      </c>
      <c r="AR52" s="90">
        <f t="shared" si="28"/>
        <v>0</v>
      </c>
    </row>
    <row r="53" spans="1:49" x14ac:dyDescent="0.25">
      <c r="A53" t="str">
        <f t="shared" si="10"/>
        <v>46198E</v>
      </c>
      <c r="B53" s="51">
        <f t="shared" si="27"/>
        <v>46198</v>
      </c>
      <c r="C53" s="52" t="s">
        <v>88</v>
      </c>
      <c r="D53" s="79"/>
      <c r="E53" s="62"/>
      <c r="F53" s="62"/>
      <c r="G53" s="62">
        <f t="shared" si="11"/>
        <v>0</v>
      </c>
      <c r="H53" s="63">
        <f t="shared" si="12"/>
        <v>0</v>
      </c>
      <c r="I53" s="144"/>
      <c r="J53" s="145"/>
      <c r="K53" s="146"/>
      <c r="L53" s="147"/>
      <c r="M53" s="58"/>
      <c r="N53" s="58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8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9"/>
        <v>0</v>
      </c>
      <c r="AR53" s="90">
        <f t="shared" si="28"/>
        <v>0</v>
      </c>
    </row>
    <row r="54" spans="1:49" x14ac:dyDescent="0.25">
      <c r="A54" t="str">
        <f t="shared" si="10"/>
        <v>46199M</v>
      </c>
      <c r="B54" s="51">
        <f t="shared" si="27"/>
        <v>46199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144"/>
      <c r="J54" s="145"/>
      <c r="K54" s="146"/>
      <c r="L54" s="147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9"/>
        <v>0</v>
      </c>
      <c r="AR54" s="90">
        <f t="shared" si="28"/>
        <v>0</v>
      </c>
    </row>
    <row r="55" spans="1:49" x14ac:dyDescent="0.25">
      <c r="A55" t="str">
        <f t="shared" si="10"/>
        <v>46199E</v>
      </c>
      <c r="B55" s="51">
        <f t="shared" si="27"/>
        <v>46199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144"/>
      <c r="J55" s="145"/>
      <c r="K55" s="146"/>
      <c r="L55" s="147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9"/>
        <v>0</v>
      </c>
      <c r="AR55" s="90">
        <f t="shared" si="28"/>
        <v>0</v>
      </c>
    </row>
    <row r="56" spans="1:49" x14ac:dyDescent="0.25">
      <c r="A56" t="str">
        <f t="shared" si="10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144"/>
      <c r="J56" s="145"/>
      <c r="K56" s="146"/>
      <c r="L56" s="147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9"/>
        <v>0</v>
      </c>
      <c r="AR56" s="90">
        <f t="shared" si="28"/>
        <v>0</v>
      </c>
    </row>
    <row r="57" spans="1:49" x14ac:dyDescent="0.25">
      <c r="A57" t="str">
        <f t="shared" si="10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144"/>
      <c r="J57" s="145"/>
      <c r="K57" s="146"/>
      <c r="L57" s="147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9"/>
        <v>0</v>
      </c>
      <c r="AR57" s="90">
        <f t="shared" si="28"/>
        <v>0</v>
      </c>
    </row>
    <row r="58" spans="1:49" x14ac:dyDescent="0.25">
      <c r="A58" t="str">
        <f t="shared" si="10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144"/>
      <c r="J58" s="145"/>
      <c r="K58" s="146"/>
      <c r="L58" s="147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9"/>
        <v>0</v>
      </c>
      <c r="AR58" s="90">
        <f t="shared" si="28"/>
        <v>0</v>
      </c>
    </row>
    <row r="59" spans="1:49" x14ac:dyDescent="0.25">
      <c r="A59" t="str">
        <f t="shared" si="10"/>
        <v>46201E</v>
      </c>
      <c r="B59" s="51">
        <f t="shared" si="27"/>
        <v>46201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144"/>
      <c r="J59" s="145"/>
      <c r="K59" s="146"/>
      <c r="L59" s="147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9"/>
        <v>0</v>
      </c>
      <c r="AR59" s="90">
        <f t="shared" si="28"/>
        <v>0</v>
      </c>
    </row>
    <row r="60" spans="1:49" x14ac:dyDescent="0.25">
      <c r="A60" t="str">
        <f t="shared" si="10"/>
        <v>46202M</v>
      </c>
      <c r="B60" s="51">
        <f t="shared" si="27"/>
        <v>46202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144"/>
      <c r="J60" s="145"/>
      <c r="K60" s="146"/>
      <c r="L60" s="147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144"/>
      <c r="J61" s="145"/>
      <c r="K61" s="146"/>
      <c r="L61" s="147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144"/>
      <c r="J62" s="145"/>
      <c r="K62" s="146"/>
      <c r="L62" s="147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144"/>
      <c r="J63" s="145"/>
      <c r="K63" s="146"/>
      <c r="L63" s="147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9"/>
        <v>0</v>
      </c>
      <c r="AR63" s="90">
        <f>(D63+J63+O63)-(X63+AH63)</f>
        <v>0</v>
      </c>
    </row>
    <row r="64" spans="1:49" x14ac:dyDescent="0.25">
      <c r="A64" t="str">
        <f t="shared" si="10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44"/>
      <c r="J64" s="145"/>
      <c r="K64" s="146"/>
      <c r="L64" s="147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9"/>
        <v>0</v>
      </c>
      <c r="AR64" s="90">
        <f t="shared" si="26"/>
        <v>0</v>
      </c>
    </row>
    <row r="65" spans="1:44" x14ac:dyDescent="0.25">
      <c r="A65" t="str">
        <f t="shared" si="10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44"/>
      <c r="J65" s="145"/>
      <c r="K65" s="146"/>
      <c r="L65" s="147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9"/>
        <v>0</v>
      </c>
      <c r="AR65" s="90">
        <f t="shared" si="26"/>
        <v>0</v>
      </c>
    </row>
    <row r="66" spans="1:44" x14ac:dyDescent="0.25">
      <c r="J66" s="83">
        <f>SUM(J4:J65)</f>
        <v>21169.590000000004</v>
      </c>
      <c r="AM66" s="127">
        <f>-SUM(AM4:AM65)</f>
        <v>-33.590000000002192</v>
      </c>
      <c r="AN66" s="127">
        <f>-SUM(AN4:AN65)</f>
        <v>-8.1186200000000426</v>
      </c>
      <c r="AO66" s="127">
        <f>-SUM(AO4:AO65)</f>
        <v>-14.999409000000076</v>
      </c>
      <c r="AP66" s="127"/>
      <c r="AQ66" s="127">
        <f>-SUM(AQ4:AQ65)</f>
        <v>-8133.4528336600424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4" priority="2" operator="lessThan">
      <formula>0.1</formula>
    </cfRule>
    <cfRule type="cellIs" dxfId="23" priority="3" operator="greaterThan">
      <formula>0.1</formula>
    </cfRule>
  </conditionalFormatting>
  <conditionalFormatting sqref="AP1:AQ1">
    <cfRule type="cellIs" dxfId="22" priority="1" operator="lessThan">
      <formula>1</formula>
    </cfRule>
  </conditionalFormatting>
  <conditionalFormatting sqref="AQ4:AQ65">
    <cfRule type="cellIs" dxfId="21" priority="12" operator="lessThan">
      <formula>0</formula>
    </cfRule>
    <cfRule type="cellIs" dxfId="20" priority="13" operator="greater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AW68"/>
  <sheetViews>
    <sheetView zoomScale="80" zoomScaleNormal="8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AH26" sqref="AH26:AJ39"/>
    </sheetView>
  </sheetViews>
  <sheetFormatPr defaultRowHeight="15" x14ac:dyDescent="0.25"/>
  <cols>
    <col min="1" max="1" width="3.42578125" customWidth="1"/>
    <col min="2" max="2" width="10.140625" bestFit="1" customWidth="1"/>
    <col min="3" max="3" width="5.7109375" bestFit="1" customWidth="1"/>
    <col min="4" max="4" width="8.14062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140625" bestFit="1" customWidth="1"/>
    <col min="10" max="10" width="9.28515625" bestFit="1" customWidth="1"/>
    <col min="11" max="12" width="5.85546875" bestFit="1" customWidth="1"/>
    <col min="13" max="13" width="8.7109375" customWidth="1"/>
    <col min="14" max="14" width="7.57031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9.140625" customWidth="1"/>
    <col min="22" max="22" width="7.85546875" customWidth="1"/>
    <col min="23" max="23" width="10.855468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.28515625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9.28515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13" bestFit="1" customWidth="1"/>
    <col min="44" max="44" width="5.57031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.5703125" bestFit="1" customWidth="1"/>
    <col min="49" max="49" width="8.85546875" bestFit="1" customWidth="1"/>
  </cols>
  <sheetData>
    <row r="1" spans="1:44" ht="15.75" thickBot="1" x14ac:dyDescent="0.3">
      <c r="B1" s="43" t="s">
        <v>100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5">
        <v>7732.6</v>
      </c>
      <c r="E4" s="54">
        <v>3.93</v>
      </c>
      <c r="F4" s="55">
        <v>8.1999999999999993</v>
      </c>
      <c r="G4" s="62">
        <f t="shared" ref="G4" si="0">+D4*E4%</f>
        <v>303.89118000000002</v>
      </c>
      <c r="H4" s="63">
        <f t="shared" ref="H4" si="1">+D4*F4%</f>
        <v>634.07319999999993</v>
      </c>
      <c r="I4" s="119">
        <v>2981.7</v>
      </c>
      <c r="J4" s="120">
        <v>3071.1509999999998</v>
      </c>
      <c r="K4" s="121">
        <v>4.036163933326625</v>
      </c>
      <c r="L4" s="122">
        <v>8.1672904718784611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3071.1509999999998</v>
      </c>
      <c r="S4" s="62">
        <f>+J4*K4%+O4*P4%</f>
        <v>123.95668899999998</v>
      </c>
      <c r="T4" s="63">
        <f>+J4*L4%+O4*Q4%</f>
        <v>250.82982300000006</v>
      </c>
      <c r="U4" s="64" t="s">
        <v>184</v>
      </c>
      <c r="V4" s="65" t="s">
        <v>198</v>
      </c>
      <c r="W4" s="66" t="s">
        <v>181</v>
      </c>
      <c r="X4" s="67">
        <v>8960</v>
      </c>
      <c r="Y4" s="68">
        <v>4.0599999999999996</v>
      </c>
      <c r="Z4" s="68">
        <v>8.09</v>
      </c>
      <c r="AA4" s="62">
        <f t="shared" ref="AA4" si="2">X4*Y4%</f>
        <v>363.77599999999995</v>
      </c>
      <c r="AB4" s="63">
        <f t="shared" ref="AB4" si="3">X4*Z4%</f>
        <v>724.86400000000003</v>
      </c>
      <c r="AC4" s="69">
        <v>9010</v>
      </c>
      <c r="AD4" s="70">
        <v>3.9570477247502773</v>
      </c>
      <c r="AE4" s="70">
        <v>7.9514095449500566</v>
      </c>
      <c r="AF4" s="62">
        <f t="shared" ref="AF4" si="4">AC4*AD4%</f>
        <v>356.53000000000003</v>
      </c>
      <c r="AG4" s="63">
        <f t="shared" ref="AG4" si="5">AC4*AE4%</f>
        <v>716.42200000000014</v>
      </c>
      <c r="AH4" s="66">
        <v>1843.7</v>
      </c>
      <c r="AI4" s="66">
        <v>3.96</v>
      </c>
      <c r="AJ4" s="66">
        <v>8.19</v>
      </c>
      <c r="AK4" s="62">
        <f t="shared" ref="AK4" si="6">AH4*AI4%</f>
        <v>73.01052</v>
      </c>
      <c r="AL4" s="72">
        <f t="shared" ref="AL4" si="7">AH4*AJ4%</f>
        <v>150.99903</v>
      </c>
      <c r="AM4" s="73">
        <f>+D4+R4-AC4-AH4</f>
        <v>-49.948999999999842</v>
      </c>
      <c r="AN4" s="74">
        <f t="shared" ref="AN4:AO4" si="8">+G4+S4-AF4-AK4</f>
        <v>-1.6926510000000263</v>
      </c>
      <c r="AO4" s="74">
        <f t="shared" si="8"/>
        <v>17.481992999999818</v>
      </c>
      <c r="AP4" s="75">
        <f>(AN4+AO4)/(S4+T4)</f>
        <v>4.2128896036684987E-2</v>
      </c>
      <c r="AQ4" s="76">
        <f t="shared" ref="AQ4" si="9">($AP$1*AN4+$AQ$1*AO4)</f>
        <v>4472.046358009934</v>
      </c>
      <c r="AR4" s="90">
        <f>(D4+J4+O4)-(X4+AH4)</f>
        <v>5.0999999999476131E-2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79">
        <v>1843.7</v>
      </c>
      <c r="E5" s="62">
        <v>3.96</v>
      </c>
      <c r="F5" s="62">
        <v>8.19</v>
      </c>
      <c r="G5" s="62">
        <f t="shared" ref="G5:G45" si="11">+D5*E5%</f>
        <v>73.01052</v>
      </c>
      <c r="H5" s="63">
        <f t="shared" ref="H5:H45" si="12">+D5*F5%</f>
        <v>150.99903</v>
      </c>
      <c r="I5" s="119">
        <v>5283.4</v>
      </c>
      <c r="J5" s="120">
        <v>5441.902</v>
      </c>
      <c r="K5" s="121">
        <v>3.8900688950297155</v>
      </c>
      <c r="L5" s="122">
        <v>8.0702369686186923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6" si="13">+J5+O5</f>
        <v>5441.902</v>
      </c>
      <c r="S5" s="62">
        <f t="shared" ref="S5:S36" si="14">+J5*K5%+O5*P5%</f>
        <v>211.693737</v>
      </c>
      <c r="T5" s="63">
        <f t="shared" ref="T5:T36" si="15">+J5*L5%+O5*Q5%</f>
        <v>439.17438699999997</v>
      </c>
      <c r="U5" s="64" t="s">
        <v>179</v>
      </c>
      <c r="V5" s="65" t="s">
        <v>199</v>
      </c>
      <c r="W5" s="66" t="s">
        <v>136</v>
      </c>
      <c r="X5" s="67">
        <v>3000</v>
      </c>
      <c r="Y5" s="68">
        <v>4.1500000000000004</v>
      </c>
      <c r="Z5" s="68">
        <v>8.11</v>
      </c>
      <c r="AA5" s="62">
        <f t="shared" ref="AA5:AA13" si="16">X5*Y5%</f>
        <v>124.5</v>
      </c>
      <c r="AB5" s="63">
        <f t="shared" ref="AB5:AB13" si="17">X5*Z5%</f>
        <v>243.29999999999998</v>
      </c>
      <c r="AC5" s="69">
        <v>3030</v>
      </c>
      <c r="AD5" s="70">
        <v>4.0999999999999996</v>
      </c>
      <c r="AE5" s="70">
        <v>8.1</v>
      </c>
      <c r="AF5" s="62">
        <f t="shared" ref="AF5:AF65" si="18">AC5*AD5%</f>
        <v>124.22999999999999</v>
      </c>
      <c r="AG5" s="63">
        <f t="shared" ref="AG5:AG65" si="19">AC5*AE5%</f>
        <v>245.43</v>
      </c>
      <c r="AH5" s="66">
        <v>4285.6000000000004</v>
      </c>
      <c r="AI5" s="66">
        <v>3.9</v>
      </c>
      <c r="AJ5" s="66">
        <v>8.1</v>
      </c>
      <c r="AK5" s="62">
        <f t="shared" ref="AK5:AK65" si="20">AH5*AI5%</f>
        <v>167.13840000000002</v>
      </c>
      <c r="AL5" s="72">
        <f t="shared" ref="AL5:AL65" si="21">AH5*AJ5%</f>
        <v>347.13360000000006</v>
      </c>
      <c r="AM5" s="73">
        <f t="shared" ref="AM5:AM65" si="22">+D5+R5-AC5-AH5</f>
        <v>-29.998000000000502</v>
      </c>
      <c r="AN5" s="74">
        <f t="shared" ref="AN5:AN65" si="23">+G5+S5-AF5-AK5</f>
        <v>-6.6641430000000241</v>
      </c>
      <c r="AO5" s="74">
        <f t="shared" ref="AO5:AO65" si="24">+H5+T5-AG5-AL5</f>
        <v>-2.3901830000000928</v>
      </c>
      <c r="AP5" s="75">
        <f t="shared" ref="AP5:AP65" si="25">(AN5+AO5)/(S5+T5)</f>
        <v>-1.3911152914288544E-2</v>
      </c>
      <c r="AQ5" s="76">
        <f t="shared" ref="AQ5:AQ65" si="26">($AP$1*AN5+$AQ$1*AO5)</f>
        <v>-3706.9184678167053</v>
      </c>
      <c r="AR5" s="90">
        <f t="shared" ref="AR5:AR35" si="27">(D5+J5+O5)-(X5+AH5)</f>
        <v>1.9999999994979589E-3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79">
        <v>4285.6000000000004</v>
      </c>
      <c r="E6" s="62">
        <v>3.9</v>
      </c>
      <c r="F6" s="62">
        <v>8.1</v>
      </c>
      <c r="G6" s="62">
        <f t="shared" si="11"/>
        <v>167.13840000000002</v>
      </c>
      <c r="H6" s="63">
        <f t="shared" si="12"/>
        <v>347.13360000000006</v>
      </c>
      <c r="I6" s="119">
        <v>3622.099999999999</v>
      </c>
      <c r="J6" s="120">
        <v>3730.762999999999</v>
      </c>
      <c r="K6" s="121">
        <v>4.0850059357831103</v>
      </c>
      <c r="L6" s="122">
        <v>8.0718975180144135</v>
      </c>
      <c r="M6" s="58">
        <v>0</v>
      </c>
      <c r="N6" s="58" t="s">
        <v>167</v>
      </c>
      <c r="O6" s="59">
        <v>0</v>
      </c>
      <c r="P6" s="56">
        <v>0</v>
      </c>
      <c r="Q6" s="60">
        <v>0</v>
      </c>
      <c r="R6" s="61">
        <f t="shared" si="13"/>
        <v>3730.762999999999</v>
      </c>
      <c r="S6" s="62">
        <f t="shared" si="14"/>
        <v>152.40189000000001</v>
      </c>
      <c r="T6" s="63">
        <f t="shared" si="15"/>
        <v>301.14336600000001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8016.3</v>
      </c>
      <c r="AI6" s="66">
        <v>3.98</v>
      </c>
      <c r="AJ6" s="66">
        <v>8.08</v>
      </c>
      <c r="AK6" s="62">
        <f t="shared" si="20"/>
        <v>319.04874000000001</v>
      </c>
      <c r="AL6" s="72">
        <f t="shared" si="21"/>
        <v>647.71704</v>
      </c>
      <c r="AM6" s="73">
        <f t="shared" si="22"/>
        <v>6.2999999999192369E-2</v>
      </c>
      <c r="AN6" s="74">
        <f t="shared" si="23"/>
        <v>0.49155000000001792</v>
      </c>
      <c r="AO6" s="74">
        <f t="shared" si="24"/>
        <v>0.55992600000013226</v>
      </c>
      <c r="AP6" s="75">
        <f t="shared" si="25"/>
        <v>2.3183485795299557E-3</v>
      </c>
      <c r="AQ6" s="76">
        <f t="shared" si="26"/>
        <v>388.23263094004767</v>
      </c>
      <c r="AR6" s="90">
        <f t="shared" si="27"/>
        <v>6.2999999999192369E-2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79">
        <v>8016.3</v>
      </c>
      <c r="E7" s="62">
        <v>3.98</v>
      </c>
      <c r="F7" s="62">
        <v>8.08</v>
      </c>
      <c r="G7" s="62">
        <f t="shared" si="11"/>
        <v>319.04874000000001</v>
      </c>
      <c r="H7" s="63">
        <f t="shared" si="12"/>
        <v>647.71704</v>
      </c>
      <c r="I7" s="119">
        <v>8367.2999999999993</v>
      </c>
      <c r="J7" s="120">
        <v>8618.3189999999995</v>
      </c>
      <c r="K7" s="121">
        <v>3.6974555710922279</v>
      </c>
      <c r="L7" s="122">
        <v>7.9843856441145871</v>
      </c>
      <c r="M7" s="58" t="s">
        <v>195</v>
      </c>
      <c r="N7" s="58" t="s">
        <v>196</v>
      </c>
      <c r="O7" s="59">
        <v>2455</v>
      </c>
      <c r="P7" s="56">
        <v>3.8</v>
      </c>
      <c r="Q7" s="60">
        <v>7.93</v>
      </c>
      <c r="R7" s="61">
        <f t="shared" si="13"/>
        <v>11073.319</v>
      </c>
      <c r="S7" s="62">
        <f t="shared" si="14"/>
        <v>411.94851599999993</v>
      </c>
      <c r="T7" s="63">
        <f t="shared" si="15"/>
        <v>882.80132499999991</v>
      </c>
      <c r="U7" s="64" t="s">
        <v>200</v>
      </c>
      <c r="V7" s="65" t="s">
        <v>201</v>
      </c>
      <c r="W7" s="66" t="s">
        <v>181</v>
      </c>
      <c r="X7" s="67">
        <v>15240</v>
      </c>
      <c r="Y7" s="68">
        <v>3.96</v>
      </c>
      <c r="Z7" s="68">
        <v>7.99</v>
      </c>
      <c r="AA7" s="62">
        <f t="shared" si="16"/>
        <v>603.50399999999991</v>
      </c>
      <c r="AB7" s="63">
        <f t="shared" si="17"/>
        <v>1217.6759999999999</v>
      </c>
      <c r="AC7" s="69">
        <v>15300</v>
      </c>
      <c r="AD7" s="70">
        <v>3.8593137254901961</v>
      </c>
      <c r="AE7" s="70">
        <v>7.9720980392156866</v>
      </c>
      <c r="AF7" s="62">
        <f t="shared" si="18"/>
        <v>590.47500000000002</v>
      </c>
      <c r="AG7" s="63">
        <f t="shared" si="19"/>
        <v>1219.731</v>
      </c>
      <c r="AH7" s="66">
        <v>3849.6</v>
      </c>
      <c r="AI7" s="66">
        <v>3.83</v>
      </c>
      <c r="AJ7" s="66">
        <v>8.01</v>
      </c>
      <c r="AK7" s="62">
        <f t="shared" si="20"/>
        <v>147.43968000000001</v>
      </c>
      <c r="AL7" s="72">
        <f t="shared" si="21"/>
        <v>308.35296</v>
      </c>
      <c r="AM7" s="73">
        <f t="shared" si="22"/>
        <v>-59.981000000001131</v>
      </c>
      <c r="AN7" s="74">
        <f t="shared" si="23"/>
        <v>-6.9174240000001532</v>
      </c>
      <c r="AO7" s="74">
        <f t="shared" si="24"/>
        <v>2.4344049999999129</v>
      </c>
      <c r="AP7" s="75">
        <f t="shared" si="25"/>
        <v>-3.4624595872031786E-3</v>
      </c>
      <c r="AQ7" s="76">
        <f t="shared" si="26"/>
        <v>-2376.7483088067615</v>
      </c>
      <c r="AR7" s="90">
        <f>(D7+J7+O7)-(X7+AH7)</f>
        <v>1.9000000000232831E-2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79">
        <v>3849.6</v>
      </c>
      <c r="E8" s="62">
        <v>3.83</v>
      </c>
      <c r="F8" s="62">
        <v>8.01</v>
      </c>
      <c r="G8" s="62">
        <f t="shared" si="11"/>
        <v>147.43968000000001</v>
      </c>
      <c r="H8" s="63">
        <f t="shared" si="12"/>
        <v>308.35296</v>
      </c>
      <c r="I8" s="119">
        <v>3171.6000000000004</v>
      </c>
      <c r="J8" s="120">
        <v>3266.7480000000005</v>
      </c>
      <c r="K8" s="121">
        <v>4.0623218564762267</v>
      </c>
      <c r="L8" s="122">
        <v>8.0941701349476638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3"/>
        <v>3266.7480000000005</v>
      </c>
      <c r="S8" s="62">
        <f t="shared" si="14"/>
        <v>132.70581800000002</v>
      </c>
      <c r="T8" s="63">
        <f t="shared" si="15"/>
        <v>264.41614100000015</v>
      </c>
      <c r="U8" s="64" t="s">
        <v>179</v>
      </c>
      <c r="V8" s="65" t="s">
        <v>202</v>
      </c>
      <c r="W8" s="66" t="s">
        <v>181</v>
      </c>
      <c r="X8" s="67">
        <v>3000</v>
      </c>
      <c r="Y8" s="68">
        <v>3.8</v>
      </c>
      <c r="Z8" s="68">
        <v>8.17</v>
      </c>
      <c r="AA8" s="62">
        <f t="shared" si="16"/>
        <v>114</v>
      </c>
      <c r="AB8" s="63">
        <f t="shared" si="17"/>
        <v>245.1</v>
      </c>
      <c r="AC8" s="69">
        <v>3000</v>
      </c>
      <c r="AD8" s="70">
        <v>3.7</v>
      </c>
      <c r="AE8" s="70">
        <v>8.15</v>
      </c>
      <c r="AF8" s="62">
        <f t="shared" si="18"/>
        <v>111.00000000000001</v>
      </c>
      <c r="AG8" s="63">
        <f t="shared" si="19"/>
        <v>244.5</v>
      </c>
      <c r="AH8" s="66">
        <v>4116.3</v>
      </c>
      <c r="AI8" s="66">
        <v>3.93</v>
      </c>
      <c r="AJ8" s="66">
        <v>8.0399999999999991</v>
      </c>
      <c r="AK8" s="62">
        <f t="shared" si="20"/>
        <v>161.77059000000003</v>
      </c>
      <c r="AL8" s="72">
        <f t="shared" si="21"/>
        <v>330.95051999999993</v>
      </c>
      <c r="AM8" s="73">
        <f t="shared" si="22"/>
        <v>4.7999999999774445E-2</v>
      </c>
      <c r="AN8" s="74">
        <f t="shared" si="23"/>
        <v>7.3749080000000049</v>
      </c>
      <c r="AO8" s="74">
        <f t="shared" si="24"/>
        <v>-2.6814189999998348</v>
      </c>
      <c r="AP8" s="75">
        <f t="shared" si="25"/>
        <v>1.1818759687373944E-2</v>
      </c>
      <c r="AQ8" s="76">
        <f t="shared" si="26"/>
        <v>2508.1927480867184</v>
      </c>
      <c r="AR8" s="90">
        <f t="shared" si="27"/>
        <v>4.7999999999774445E-2</v>
      </c>
    </row>
    <row r="9" spans="1:44" x14ac:dyDescent="0.25">
      <c r="A9" t="str">
        <f t="shared" si="10"/>
        <v>46176E</v>
      </c>
      <c r="B9" s="51">
        <f t="shared" ref="B9:B65" si="28">+B7+1</f>
        <v>46176</v>
      </c>
      <c r="C9" s="52" t="s">
        <v>88</v>
      </c>
      <c r="D9" s="79">
        <v>4116.3</v>
      </c>
      <c r="E9" s="62">
        <v>3.93</v>
      </c>
      <c r="F9" s="62">
        <v>8.0399999999999991</v>
      </c>
      <c r="G9" s="62">
        <f t="shared" si="11"/>
        <v>161.77059000000003</v>
      </c>
      <c r="H9" s="63">
        <f t="shared" si="12"/>
        <v>330.95051999999993</v>
      </c>
      <c r="I9" s="119">
        <v>5749.0999999999995</v>
      </c>
      <c r="J9" s="120">
        <v>5921.5729999999994</v>
      </c>
      <c r="K9" s="121">
        <v>3.8855212120157931</v>
      </c>
      <c r="L9" s="122">
        <v>8.0155641752622131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3"/>
        <v>5921.5729999999994</v>
      </c>
      <c r="S9" s="62">
        <f t="shared" si="14"/>
        <v>230.08397499999995</v>
      </c>
      <c r="T9" s="63">
        <f t="shared" si="15"/>
        <v>474.64748399999985</v>
      </c>
      <c r="U9" s="64" t="s">
        <v>184</v>
      </c>
      <c r="V9" s="65" t="s">
        <v>203</v>
      </c>
      <c r="W9" s="66" t="s">
        <v>136</v>
      </c>
      <c r="X9" s="67">
        <v>5130</v>
      </c>
      <c r="Y9" s="68">
        <v>4.2</v>
      </c>
      <c r="Z9" s="68">
        <v>8.1199999999999992</v>
      </c>
      <c r="AA9" s="62">
        <f t="shared" si="16"/>
        <v>215.46</v>
      </c>
      <c r="AB9" s="63">
        <f t="shared" si="17"/>
        <v>416.55599999999998</v>
      </c>
      <c r="AC9" s="69">
        <v>5130</v>
      </c>
      <c r="AD9" s="70">
        <v>4.1500000000000004</v>
      </c>
      <c r="AE9" s="70">
        <v>8.11</v>
      </c>
      <c r="AF9" s="62">
        <f t="shared" si="18"/>
        <v>212.89500000000001</v>
      </c>
      <c r="AG9" s="63">
        <f t="shared" si="19"/>
        <v>416.04299999999995</v>
      </c>
      <c r="AH9" s="66">
        <v>4907.8</v>
      </c>
      <c r="AI9" s="66">
        <v>3.9</v>
      </c>
      <c r="AJ9" s="66">
        <v>8.0299999999999994</v>
      </c>
      <c r="AK9" s="62">
        <f t="shared" si="20"/>
        <v>191.4042</v>
      </c>
      <c r="AL9" s="72">
        <f t="shared" si="21"/>
        <v>394.09634</v>
      </c>
      <c r="AM9" s="73">
        <f t="shared" si="22"/>
        <v>7.2999999999410647E-2</v>
      </c>
      <c r="AN9" s="74">
        <f t="shared" si="23"/>
        <v>-12.444635000000034</v>
      </c>
      <c r="AO9" s="74">
        <f t="shared" si="24"/>
        <v>-4.5413360000002285</v>
      </c>
      <c r="AP9" s="75">
        <f t="shared" si="25"/>
        <v>-2.410275684883292E-2</v>
      </c>
      <c r="AQ9" s="76">
        <f t="shared" si="26"/>
        <v>-6945.6218603567504</v>
      </c>
      <c r="AR9" s="90">
        <f t="shared" si="27"/>
        <v>7.3000000000320142E-2</v>
      </c>
    </row>
    <row r="10" spans="1:44" x14ac:dyDescent="0.25">
      <c r="A10" t="str">
        <f t="shared" si="10"/>
        <v>46177M</v>
      </c>
      <c r="B10" s="51">
        <f t="shared" si="28"/>
        <v>46177</v>
      </c>
      <c r="C10" s="52" t="s">
        <v>87</v>
      </c>
      <c r="D10" s="79">
        <v>4907.8</v>
      </c>
      <c r="E10" s="62">
        <v>3.9</v>
      </c>
      <c r="F10" s="62">
        <v>8.0299999999999994</v>
      </c>
      <c r="G10" s="62">
        <f t="shared" si="11"/>
        <v>191.4042</v>
      </c>
      <c r="H10" s="63">
        <f t="shared" si="12"/>
        <v>394.09634</v>
      </c>
      <c r="I10" s="119">
        <v>3444.4999999999995</v>
      </c>
      <c r="J10" s="120">
        <v>3547.8349999999996</v>
      </c>
      <c r="K10" s="121">
        <v>4.0449673392364636</v>
      </c>
      <c r="L10" s="122">
        <v>8.03600812890115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3"/>
        <v>3547.8349999999996</v>
      </c>
      <c r="S10" s="62">
        <f t="shared" si="14"/>
        <v>143.50876699999995</v>
      </c>
      <c r="T10" s="63">
        <f t="shared" si="15"/>
        <v>285.10430900000006</v>
      </c>
      <c r="U10" s="64" t="s">
        <v>187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6"/>
        <v>0</v>
      </c>
      <c r="AB10" s="63">
        <f t="shared" si="17"/>
        <v>0</v>
      </c>
      <c r="AC10" s="69"/>
      <c r="AD10" s="70"/>
      <c r="AE10" s="70"/>
      <c r="AF10" s="62">
        <f t="shared" si="18"/>
        <v>0</v>
      </c>
      <c r="AG10" s="63">
        <f t="shared" si="19"/>
        <v>0</v>
      </c>
      <c r="AH10" s="66">
        <v>8455.6</v>
      </c>
      <c r="AI10" s="66">
        <v>3.95</v>
      </c>
      <c r="AJ10" s="66">
        <v>8.0299999999999994</v>
      </c>
      <c r="AK10" s="62">
        <f t="shared" si="20"/>
        <v>333.99620000000004</v>
      </c>
      <c r="AL10" s="72">
        <f t="shared" si="21"/>
        <v>678.98468000000003</v>
      </c>
      <c r="AM10" s="73">
        <f t="shared" si="22"/>
        <v>3.4999999999854481E-2</v>
      </c>
      <c r="AN10" s="74">
        <f t="shared" si="23"/>
        <v>0.91676699999993616</v>
      </c>
      <c r="AO10" s="74">
        <f t="shared" si="24"/>
        <v>0.21596900000008645</v>
      </c>
      <c r="AP10" s="75">
        <f t="shared" si="25"/>
        <v>2.6427938470081178E-3</v>
      </c>
      <c r="AQ10" s="76">
        <f t="shared" si="26"/>
        <v>476.17963649666387</v>
      </c>
      <c r="AR10" s="90">
        <f t="shared" si="27"/>
        <v>3.4999999999854481E-2</v>
      </c>
    </row>
    <row r="11" spans="1:44" x14ac:dyDescent="0.25">
      <c r="A11" t="str">
        <f t="shared" si="10"/>
        <v>46177E</v>
      </c>
      <c r="B11" s="51">
        <f t="shared" si="28"/>
        <v>46177</v>
      </c>
      <c r="C11" s="52" t="s">
        <v>88</v>
      </c>
      <c r="D11" s="79">
        <v>8455.6</v>
      </c>
      <c r="E11" s="62">
        <v>3.95</v>
      </c>
      <c r="F11" s="62">
        <v>8.0299999999999994</v>
      </c>
      <c r="G11" s="62">
        <f t="shared" si="11"/>
        <v>333.99620000000004</v>
      </c>
      <c r="H11" s="63">
        <f t="shared" si="12"/>
        <v>678.98468000000003</v>
      </c>
      <c r="I11" s="119">
        <v>7220.1000000000013</v>
      </c>
      <c r="J11" s="120">
        <v>7436.7030000000013</v>
      </c>
      <c r="K11" s="121">
        <v>3.7273278763452025</v>
      </c>
      <c r="L11" s="122">
        <v>8.0050511765764991</v>
      </c>
      <c r="M11" s="58" t="s">
        <v>195</v>
      </c>
      <c r="N11" s="58" t="s">
        <v>197</v>
      </c>
      <c r="O11" s="59">
        <v>3353</v>
      </c>
      <c r="P11" s="56">
        <v>3.9</v>
      </c>
      <c r="Q11" s="60">
        <v>8</v>
      </c>
      <c r="R11" s="61">
        <f t="shared" si="13"/>
        <v>10789.703000000001</v>
      </c>
      <c r="S11" s="62">
        <f t="shared" si="14"/>
        <v>407.95730400000002</v>
      </c>
      <c r="T11" s="63">
        <f t="shared" si="15"/>
        <v>863.55188099999998</v>
      </c>
      <c r="U11" s="64" t="s">
        <v>179</v>
      </c>
      <c r="V11" s="65" t="s">
        <v>204</v>
      </c>
      <c r="W11" s="66" t="s">
        <v>181</v>
      </c>
      <c r="X11" s="67">
        <v>9250</v>
      </c>
      <c r="Y11" s="68">
        <v>4.04</v>
      </c>
      <c r="Z11" s="68">
        <v>8.09</v>
      </c>
      <c r="AA11" s="62">
        <f t="shared" si="16"/>
        <v>373.7</v>
      </c>
      <c r="AB11" s="63">
        <f t="shared" si="17"/>
        <v>748.32500000000005</v>
      </c>
      <c r="AC11" s="69">
        <v>9250</v>
      </c>
      <c r="AD11" s="70">
        <v>3.9674594594594597</v>
      </c>
      <c r="AE11" s="70">
        <v>8.0734918918918925</v>
      </c>
      <c r="AF11" s="62">
        <f t="shared" si="18"/>
        <v>366.99</v>
      </c>
      <c r="AG11" s="63">
        <f t="shared" si="19"/>
        <v>746.79800000000012</v>
      </c>
      <c r="AH11" s="66">
        <v>9900</v>
      </c>
      <c r="AI11" s="66">
        <v>3.6</v>
      </c>
      <c r="AJ11" s="66">
        <v>8.07</v>
      </c>
      <c r="AK11" s="62">
        <f t="shared" si="20"/>
        <v>356.40000000000003</v>
      </c>
      <c r="AL11" s="72">
        <f t="shared" si="21"/>
        <v>798.93000000000006</v>
      </c>
      <c r="AM11" s="73">
        <f t="shared" si="22"/>
        <v>95.302999999999884</v>
      </c>
      <c r="AN11" s="74">
        <f t="shared" si="23"/>
        <v>18.563504000000023</v>
      </c>
      <c r="AO11" s="74">
        <f t="shared" si="24"/>
        <v>-3.1914390000002868</v>
      </c>
      <c r="AP11" s="75">
        <f t="shared" si="25"/>
        <v>1.2089621672689481E-2</v>
      </c>
      <c r="AQ11" s="76">
        <f t="shared" si="26"/>
        <v>7378.2299929799237</v>
      </c>
      <c r="AR11" s="90">
        <f t="shared" si="27"/>
        <v>95.302999999999884</v>
      </c>
    </row>
    <row r="12" spans="1:44" x14ac:dyDescent="0.25">
      <c r="A12" t="str">
        <f t="shared" si="10"/>
        <v>46178M</v>
      </c>
      <c r="B12" s="51">
        <f t="shared" si="28"/>
        <v>46178</v>
      </c>
      <c r="C12" s="52" t="s">
        <v>87</v>
      </c>
      <c r="D12" s="79">
        <v>9900</v>
      </c>
      <c r="E12" s="62">
        <v>3.6</v>
      </c>
      <c r="F12" s="62">
        <v>8.07</v>
      </c>
      <c r="G12" s="62">
        <f t="shared" si="11"/>
        <v>356.40000000000003</v>
      </c>
      <c r="H12" s="63">
        <f t="shared" si="12"/>
        <v>798.93000000000006</v>
      </c>
      <c r="I12" s="119">
        <v>4091.0000000000005</v>
      </c>
      <c r="J12" s="120">
        <v>4213.7300000000005</v>
      </c>
      <c r="K12" s="121">
        <v>4.0014153018821821</v>
      </c>
      <c r="L12" s="122">
        <v>8.0760938645807876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3"/>
        <v>4213.7300000000005</v>
      </c>
      <c r="S12" s="62">
        <f t="shared" si="14"/>
        <v>168.60883700000011</v>
      </c>
      <c r="T12" s="63">
        <f t="shared" si="15"/>
        <v>340.30479000000003</v>
      </c>
      <c r="U12" s="64" t="s">
        <v>316</v>
      </c>
      <c r="V12" s="65" t="s">
        <v>379</v>
      </c>
      <c r="W12" s="66" t="s">
        <v>181</v>
      </c>
      <c r="X12" s="67">
        <v>6280</v>
      </c>
      <c r="Y12" s="68">
        <v>3.87</v>
      </c>
      <c r="Z12" s="68">
        <v>8.0500000000000007</v>
      </c>
      <c r="AA12" s="62">
        <f t="shared" si="16"/>
        <v>243.036</v>
      </c>
      <c r="AB12" s="63">
        <f t="shared" si="17"/>
        <v>505.54</v>
      </c>
      <c r="AC12" s="69">
        <v>6330</v>
      </c>
      <c r="AD12" s="70">
        <v>3.8168246445497629</v>
      </c>
      <c r="AE12" s="70">
        <v>8.043364928909952</v>
      </c>
      <c r="AF12" s="62">
        <f t="shared" si="18"/>
        <v>241.60499999999999</v>
      </c>
      <c r="AG12" s="63">
        <f t="shared" si="19"/>
        <v>509.14499999999992</v>
      </c>
      <c r="AH12" s="66">
        <v>7833.7</v>
      </c>
      <c r="AI12" s="66">
        <v>3.71</v>
      </c>
      <c r="AJ12" s="66">
        <v>8.07</v>
      </c>
      <c r="AK12" s="62">
        <f t="shared" si="20"/>
        <v>290.63027</v>
      </c>
      <c r="AL12" s="72">
        <f t="shared" si="21"/>
        <v>632.17959000000008</v>
      </c>
      <c r="AM12" s="73">
        <f t="shared" si="22"/>
        <v>-49.970000000000255</v>
      </c>
      <c r="AN12" s="74">
        <f t="shared" si="23"/>
        <v>-7.2264329999999291</v>
      </c>
      <c r="AO12" s="74">
        <f t="shared" si="24"/>
        <v>-2.089800000000082</v>
      </c>
      <c r="AP12" s="75">
        <f t="shared" si="25"/>
        <v>-1.8306118181425721E-2</v>
      </c>
      <c r="AQ12" s="76">
        <f t="shared" si="26"/>
        <v>-3869.4394500299932</v>
      </c>
      <c r="AR12" s="90">
        <f t="shared" si="27"/>
        <v>2.9999999998835847E-2</v>
      </c>
    </row>
    <row r="13" spans="1:44" x14ac:dyDescent="0.25">
      <c r="A13" t="str">
        <f t="shared" si="10"/>
        <v>46178E</v>
      </c>
      <c r="B13" s="51">
        <f t="shared" si="28"/>
        <v>46178</v>
      </c>
      <c r="C13" s="52" t="s">
        <v>88</v>
      </c>
      <c r="D13" s="79">
        <v>7833.7</v>
      </c>
      <c r="E13" s="62">
        <v>3.71</v>
      </c>
      <c r="F13" s="62">
        <v>8.07</v>
      </c>
      <c r="G13" s="62">
        <f t="shared" si="11"/>
        <v>290.63027</v>
      </c>
      <c r="H13" s="63">
        <f t="shared" si="12"/>
        <v>632.17959000000008</v>
      </c>
      <c r="I13" s="119">
        <v>6019.5</v>
      </c>
      <c r="J13" s="120">
        <v>6200.085</v>
      </c>
      <c r="K13" s="121">
        <v>3.9757072846581947</v>
      </c>
      <c r="L13" s="122">
        <v>8.0397989866267974</v>
      </c>
      <c r="M13" s="58">
        <v>0</v>
      </c>
      <c r="N13" s="58" t="s">
        <v>167</v>
      </c>
      <c r="O13" s="59">
        <v>0</v>
      </c>
      <c r="P13" s="56">
        <v>0</v>
      </c>
      <c r="Q13" s="60">
        <v>0</v>
      </c>
      <c r="R13" s="61">
        <f t="shared" si="13"/>
        <v>6200.085</v>
      </c>
      <c r="S13" s="62">
        <f t="shared" si="14"/>
        <v>246.49723100000003</v>
      </c>
      <c r="T13" s="63">
        <f t="shared" si="15"/>
        <v>498.47437100000008</v>
      </c>
      <c r="U13" s="64" t="s">
        <v>179</v>
      </c>
      <c r="V13" s="65" t="s">
        <v>380</v>
      </c>
      <c r="W13" s="66" t="s">
        <v>181</v>
      </c>
      <c r="X13" s="67">
        <v>8000</v>
      </c>
      <c r="Y13" s="68">
        <v>4.09</v>
      </c>
      <c r="Z13" s="68">
        <v>8.01</v>
      </c>
      <c r="AA13" s="62">
        <f t="shared" si="16"/>
        <v>327.2</v>
      </c>
      <c r="AB13" s="63">
        <f t="shared" si="17"/>
        <v>640.80000000000007</v>
      </c>
      <c r="AC13" s="69">
        <v>7960</v>
      </c>
      <c r="AD13" s="70">
        <v>3.9934673366834175</v>
      </c>
      <c r="AE13" s="70">
        <v>7.984472361809047</v>
      </c>
      <c r="AF13" s="62">
        <f t="shared" si="18"/>
        <v>317.88000000000005</v>
      </c>
      <c r="AG13" s="63">
        <f t="shared" si="19"/>
        <v>635.56400000000019</v>
      </c>
      <c r="AH13" s="66">
        <v>6033.7</v>
      </c>
      <c r="AI13" s="66">
        <v>3.82</v>
      </c>
      <c r="AJ13" s="66">
        <v>8.0500000000000007</v>
      </c>
      <c r="AK13" s="62">
        <f t="shared" si="20"/>
        <v>230.48733999999999</v>
      </c>
      <c r="AL13" s="72">
        <f t="shared" si="21"/>
        <v>485.71285</v>
      </c>
      <c r="AM13" s="73">
        <f t="shared" si="22"/>
        <v>40.085000000000036</v>
      </c>
      <c r="AN13" s="74">
        <f t="shared" si="23"/>
        <v>-11.239838999999989</v>
      </c>
      <c r="AO13" s="74">
        <f t="shared" si="24"/>
        <v>9.3771110000000135</v>
      </c>
      <c r="AP13" s="75">
        <f t="shared" si="25"/>
        <v>-2.5004013508691781E-3</v>
      </c>
      <c r="AQ13" s="76">
        <f t="shared" si="26"/>
        <v>-2239.3568594833246</v>
      </c>
      <c r="AR13" s="90">
        <f t="shared" si="27"/>
        <v>8.4999999999126885E-2</v>
      </c>
    </row>
    <row r="14" spans="1:44" x14ac:dyDescent="0.25">
      <c r="A14" t="str">
        <f t="shared" si="10"/>
        <v>46179M</v>
      </c>
      <c r="B14" s="51">
        <f t="shared" si="28"/>
        <v>46179</v>
      </c>
      <c r="C14" s="52" t="s">
        <v>87</v>
      </c>
      <c r="D14" s="79">
        <v>6033.7</v>
      </c>
      <c r="E14" s="62">
        <v>3.82</v>
      </c>
      <c r="F14" s="62">
        <v>8.0500000000000007</v>
      </c>
      <c r="G14" s="62">
        <f t="shared" si="11"/>
        <v>230.48733999999999</v>
      </c>
      <c r="H14" s="63">
        <f t="shared" si="12"/>
        <v>485.71285</v>
      </c>
      <c r="I14" s="119">
        <v>3761.4999999999995</v>
      </c>
      <c r="J14" s="120">
        <v>3874.3449999999998</v>
      </c>
      <c r="K14" s="121">
        <v>4.1450697859896319</v>
      </c>
      <c r="L14" s="122">
        <v>8.0683105144224392</v>
      </c>
      <c r="M14" s="58">
        <v>0</v>
      </c>
      <c r="N14" s="58" t="s">
        <v>167</v>
      </c>
      <c r="O14" s="59">
        <v>0</v>
      </c>
      <c r="P14" s="56">
        <v>0</v>
      </c>
      <c r="Q14" s="60">
        <v>0</v>
      </c>
      <c r="R14" s="61">
        <f t="shared" si="13"/>
        <v>3874.3449999999998</v>
      </c>
      <c r="S14" s="62">
        <f t="shared" si="14"/>
        <v>160.59430400000002</v>
      </c>
      <c r="T14" s="63">
        <f t="shared" si="15"/>
        <v>312.59418500000004</v>
      </c>
      <c r="U14" s="64" t="s">
        <v>184</v>
      </c>
      <c r="V14" s="65" t="s">
        <v>381</v>
      </c>
      <c r="W14" s="66" t="s">
        <v>181</v>
      </c>
      <c r="X14" s="67">
        <v>3830</v>
      </c>
      <c r="Y14" s="68">
        <v>3.85</v>
      </c>
      <c r="Z14" s="68">
        <v>7.93</v>
      </c>
      <c r="AA14" s="62">
        <f t="shared" ref="AA14:AA21" si="29">X14*Y14%</f>
        <v>147.45499999999998</v>
      </c>
      <c r="AB14" s="63">
        <f t="shared" ref="AB14:AB21" si="30">X14*Z14%</f>
        <v>303.71899999999999</v>
      </c>
      <c r="AC14" s="69">
        <v>3880</v>
      </c>
      <c r="AD14" s="70">
        <v>3.8</v>
      </c>
      <c r="AE14" s="70">
        <v>7.92</v>
      </c>
      <c r="AF14" s="62">
        <f t="shared" si="18"/>
        <v>147.44</v>
      </c>
      <c r="AG14" s="63">
        <f t="shared" si="19"/>
        <v>307.29599999999999</v>
      </c>
      <c r="AH14" s="66">
        <v>6078</v>
      </c>
      <c r="AI14" s="66">
        <v>3.94</v>
      </c>
      <c r="AJ14" s="66">
        <v>8.0500000000000007</v>
      </c>
      <c r="AK14" s="62">
        <f t="shared" si="20"/>
        <v>239.47319999999999</v>
      </c>
      <c r="AL14" s="72">
        <f t="shared" si="21"/>
        <v>489.279</v>
      </c>
      <c r="AM14" s="73">
        <f t="shared" si="22"/>
        <v>-49.954999999999927</v>
      </c>
      <c r="AN14" s="74">
        <f t="shared" si="23"/>
        <v>4.1684439999999938</v>
      </c>
      <c r="AO14" s="74">
        <f t="shared" si="24"/>
        <v>1.7320350000000531</v>
      </c>
      <c r="AP14" s="75">
        <f t="shared" si="25"/>
        <v>1.2469616521039348E-2</v>
      </c>
      <c r="AQ14" s="76">
        <f t="shared" si="26"/>
        <v>2389.6080839400133</v>
      </c>
      <c r="AR14" s="90">
        <f t="shared" si="27"/>
        <v>4.500000000007276E-2</v>
      </c>
    </row>
    <row r="15" spans="1:44" x14ac:dyDescent="0.25">
      <c r="A15" t="str">
        <f t="shared" si="10"/>
        <v>46179E</v>
      </c>
      <c r="B15" s="51">
        <f t="shared" si="28"/>
        <v>46179</v>
      </c>
      <c r="C15" s="52" t="s">
        <v>88</v>
      </c>
      <c r="D15" s="79">
        <v>6078</v>
      </c>
      <c r="E15" s="62">
        <v>3.94</v>
      </c>
      <c r="F15" s="62">
        <v>8.0500000000000007</v>
      </c>
      <c r="G15" s="62">
        <f t="shared" si="11"/>
        <v>239.47319999999999</v>
      </c>
      <c r="H15" s="63">
        <f t="shared" si="12"/>
        <v>489.279</v>
      </c>
      <c r="I15" s="119">
        <v>5693.6</v>
      </c>
      <c r="J15" s="120">
        <v>5864.4080000000004</v>
      </c>
      <c r="K15" s="121">
        <v>3.9908089785021783</v>
      </c>
      <c r="L15" s="122">
        <v>8.0460921034143595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3"/>
        <v>5864.4080000000004</v>
      </c>
      <c r="S15" s="62">
        <f t="shared" si="14"/>
        <v>234.03732100000005</v>
      </c>
      <c r="T15" s="63">
        <f t="shared" si="15"/>
        <v>471.85566899999998</v>
      </c>
      <c r="U15" s="64" t="s">
        <v>179</v>
      </c>
      <c r="V15" s="65" t="s">
        <v>382</v>
      </c>
      <c r="W15" s="66" t="s">
        <v>181</v>
      </c>
      <c r="X15" s="67">
        <v>9250</v>
      </c>
      <c r="Y15" s="68">
        <v>4</v>
      </c>
      <c r="Z15" s="68">
        <v>7.9600000000000017</v>
      </c>
      <c r="AA15" s="62">
        <f t="shared" si="29"/>
        <v>370</v>
      </c>
      <c r="AB15" s="63">
        <f t="shared" si="30"/>
        <v>736.30000000000018</v>
      </c>
      <c r="AC15" s="69">
        <v>9260</v>
      </c>
      <c r="AD15" s="70">
        <v>3.9014038876889847</v>
      </c>
      <c r="AE15" s="70">
        <v>7.9402807775377973</v>
      </c>
      <c r="AF15" s="62">
        <f t="shared" si="18"/>
        <v>361.27</v>
      </c>
      <c r="AG15" s="63">
        <f t="shared" si="19"/>
        <v>735.2700000000001</v>
      </c>
      <c r="AH15" s="66">
        <v>2692.4</v>
      </c>
      <c r="AI15" s="66">
        <v>3.96</v>
      </c>
      <c r="AJ15" s="66">
        <v>8.0500000000000007</v>
      </c>
      <c r="AK15" s="62">
        <f t="shared" si="20"/>
        <v>106.61904</v>
      </c>
      <c r="AL15" s="72">
        <f t="shared" si="21"/>
        <v>216.73820000000001</v>
      </c>
      <c r="AM15" s="73">
        <f t="shared" si="22"/>
        <v>-9.9920000000006439</v>
      </c>
      <c r="AN15" s="74">
        <f t="shared" si="23"/>
        <v>5.6214810000000597</v>
      </c>
      <c r="AO15" s="74">
        <f t="shared" si="24"/>
        <v>9.1264689999999291</v>
      </c>
      <c r="AP15" s="75">
        <f t="shared" si="25"/>
        <v>2.0892614332379173E-2</v>
      </c>
      <c r="AQ15" s="76">
        <f t="shared" si="26"/>
        <v>5254.8478349033394</v>
      </c>
      <c r="AR15" s="90">
        <f t="shared" si="27"/>
        <v>7.9999999998108251E-3</v>
      </c>
    </row>
    <row r="16" spans="1:44" x14ac:dyDescent="0.25">
      <c r="A16" t="str">
        <f t="shared" si="10"/>
        <v>46180M</v>
      </c>
      <c r="B16" s="51">
        <f t="shared" si="28"/>
        <v>46180</v>
      </c>
      <c r="C16" s="52" t="s">
        <v>87</v>
      </c>
      <c r="D16" s="79">
        <v>2692.4</v>
      </c>
      <c r="E16" s="62">
        <v>3.96</v>
      </c>
      <c r="F16" s="62">
        <v>8.0500000000000007</v>
      </c>
      <c r="G16" s="62">
        <f t="shared" si="11"/>
        <v>106.61904</v>
      </c>
      <c r="H16" s="63">
        <f t="shared" si="12"/>
        <v>216.73820000000001</v>
      </c>
      <c r="I16" s="119">
        <v>6886.5</v>
      </c>
      <c r="J16" s="120">
        <v>7093.0950000000003</v>
      </c>
      <c r="K16" s="121">
        <v>3.6539766209249978</v>
      </c>
      <c r="L16" s="122">
        <v>8.0084469614463085</v>
      </c>
      <c r="M16" s="58" t="s">
        <v>195</v>
      </c>
      <c r="N16" s="58" t="s">
        <v>378</v>
      </c>
      <c r="O16" s="59">
        <v>2379</v>
      </c>
      <c r="P16" s="56">
        <v>4</v>
      </c>
      <c r="Q16" s="60">
        <v>7.9</v>
      </c>
      <c r="R16" s="61">
        <f t="shared" si="13"/>
        <v>9472.0950000000012</v>
      </c>
      <c r="S16" s="62">
        <f t="shared" si="14"/>
        <v>354.34003299999995</v>
      </c>
      <c r="T16" s="63">
        <f t="shared" si="15"/>
        <v>755.98775100000012</v>
      </c>
      <c r="U16" s="64" t="s">
        <v>316</v>
      </c>
      <c r="V16" s="65" t="s">
        <v>383</v>
      </c>
      <c r="W16" s="66" t="s">
        <v>181</v>
      </c>
      <c r="X16" s="67">
        <v>6280</v>
      </c>
      <c r="Y16" s="68">
        <v>4</v>
      </c>
      <c r="Z16" s="68">
        <v>8.0399999999999991</v>
      </c>
      <c r="AA16" s="62">
        <f t="shared" si="29"/>
        <v>251.20000000000002</v>
      </c>
      <c r="AB16" s="63">
        <f t="shared" si="30"/>
        <v>504.91199999999992</v>
      </c>
      <c r="AC16" s="69">
        <v>6310</v>
      </c>
      <c r="AD16" s="70">
        <v>3.9000000000000004</v>
      </c>
      <c r="AE16" s="70">
        <v>7.8969413629160066</v>
      </c>
      <c r="AF16" s="62">
        <f t="shared" si="18"/>
        <v>246.09000000000003</v>
      </c>
      <c r="AG16" s="63">
        <f t="shared" si="19"/>
        <v>498.29699999999997</v>
      </c>
      <c r="AH16" s="66">
        <v>5884.4</v>
      </c>
      <c r="AI16" s="66">
        <v>3.78</v>
      </c>
      <c r="AJ16" s="66">
        <v>7.99</v>
      </c>
      <c r="AK16" s="62">
        <f t="shared" si="20"/>
        <v>222.43031999999999</v>
      </c>
      <c r="AL16" s="72">
        <f t="shared" si="21"/>
        <v>470.16355999999996</v>
      </c>
      <c r="AM16" s="73">
        <f t="shared" si="22"/>
        <v>-29.904999999998836</v>
      </c>
      <c r="AN16" s="74">
        <f t="shared" si="23"/>
        <v>-7.561247000000094</v>
      </c>
      <c r="AO16" s="74">
        <f t="shared" si="24"/>
        <v>4.2653910000001929</v>
      </c>
      <c r="AP16" s="75">
        <f t="shared" si="25"/>
        <v>-2.9683630793480181E-3</v>
      </c>
      <c r="AQ16" s="76">
        <f t="shared" si="26"/>
        <v>-2117.8016082299846</v>
      </c>
      <c r="AR16" s="90">
        <f t="shared" si="27"/>
        <v>9.5000000001164153E-2</v>
      </c>
    </row>
    <row r="17" spans="1:49" x14ac:dyDescent="0.25">
      <c r="A17" t="str">
        <f t="shared" si="10"/>
        <v>46180E</v>
      </c>
      <c r="B17" s="51">
        <f t="shared" si="28"/>
        <v>46180</v>
      </c>
      <c r="C17" s="52" t="s">
        <v>88</v>
      </c>
      <c r="D17" s="79">
        <v>5884.4</v>
      </c>
      <c r="E17" s="62">
        <v>3.78</v>
      </c>
      <c r="F17" s="62">
        <v>7.99</v>
      </c>
      <c r="G17" s="62">
        <f t="shared" si="11"/>
        <v>222.43031999999999</v>
      </c>
      <c r="H17" s="63">
        <f t="shared" si="12"/>
        <v>470.16355999999996</v>
      </c>
      <c r="I17" s="119">
        <v>5760.8000000000011</v>
      </c>
      <c r="J17" s="120">
        <v>5933.6240000000016</v>
      </c>
      <c r="K17" s="121">
        <v>3.9709797250381902</v>
      </c>
      <c r="L17" s="122">
        <v>8.0903485626996279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3"/>
        <v>5933.6240000000016</v>
      </c>
      <c r="S17" s="62">
        <f t="shared" si="14"/>
        <v>235.62300600000012</v>
      </c>
      <c r="T17" s="63">
        <f t="shared" si="15"/>
        <v>480.05086400000033</v>
      </c>
      <c r="U17" s="64" t="s">
        <v>184</v>
      </c>
      <c r="V17" s="65" t="s">
        <v>384</v>
      </c>
      <c r="W17" s="66" t="s">
        <v>181</v>
      </c>
      <c r="X17" s="67">
        <v>3830</v>
      </c>
      <c r="Y17" s="68">
        <v>4.0999999999999996</v>
      </c>
      <c r="Z17" s="68">
        <v>7.98</v>
      </c>
      <c r="AA17" s="62">
        <f t="shared" si="29"/>
        <v>157.02999999999997</v>
      </c>
      <c r="AB17" s="63">
        <f t="shared" si="30"/>
        <v>305.63400000000001</v>
      </c>
      <c r="AC17" s="69">
        <v>3870</v>
      </c>
      <c r="AD17" s="70">
        <v>4</v>
      </c>
      <c r="AE17" s="70">
        <v>7.96</v>
      </c>
      <c r="AF17" s="62">
        <f t="shared" si="18"/>
        <v>154.80000000000001</v>
      </c>
      <c r="AG17" s="63">
        <f t="shared" si="19"/>
        <v>308.05200000000002</v>
      </c>
      <c r="AH17" s="66">
        <v>7988</v>
      </c>
      <c r="AI17" s="66">
        <v>3.87</v>
      </c>
      <c r="AJ17" s="66">
        <v>8.0399999999999991</v>
      </c>
      <c r="AK17" s="62">
        <f t="shared" si="20"/>
        <v>309.13560000000001</v>
      </c>
      <c r="AL17" s="72">
        <f t="shared" si="21"/>
        <v>642.23519999999985</v>
      </c>
      <c r="AM17" s="73">
        <f t="shared" si="22"/>
        <v>-39.975999999998749</v>
      </c>
      <c r="AN17" s="74">
        <f t="shared" si="23"/>
        <v>-5.8822739999999385</v>
      </c>
      <c r="AO17" s="74">
        <f t="shared" si="24"/>
        <v>-7.2775999999635133E-2</v>
      </c>
      <c r="AP17" s="75">
        <f t="shared" si="25"/>
        <v>-8.3208990150773141E-3</v>
      </c>
      <c r="AQ17" s="76">
        <f t="shared" si="26"/>
        <v>-2662.3915374465296</v>
      </c>
      <c r="AR17" s="90">
        <f t="shared" si="27"/>
        <v>2.4000000001251465E-2</v>
      </c>
    </row>
    <row r="18" spans="1:49" x14ac:dyDescent="0.25">
      <c r="A18" t="str">
        <f t="shared" si="10"/>
        <v>46181M</v>
      </c>
      <c r="B18" s="51">
        <f t="shared" si="28"/>
        <v>46181</v>
      </c>
      <c r="C18" s="52" t="s">
        <v>87</v>
      </c>
      <c r="D18" s="79">
        <v>7988</v>
      </c>
      <c r="E18" s="62">
        <v>3.87</v>
      </c>
      <c r="F18" s="62">
        <v>8.0399999999999991</v>
      </c>
      <c r="G18" s="62">
        <f t="shared" si="11"/>
        <v>309.13560000000001</v>
      </c>
      <c r="H18" s="63">
        <f t="shared" si="12"/>
        <v>642.23519999999985</v>
      </c>
      <c r="I18" s="119">
        <v>3826.1</v>
      </c>
      <c r="J18" s="120">
        <v>3940.8829999999998</v>
      </c>
      <c r="K18" s="121">
        <v>4.0581192336844323</v>
      </c>
      <c r="L18" s="122">
        <v>8.0783199602728679</v>
      </c>
      <c r="M18" s="58">
        <v>0</v>
      </c>
      <c r="N18" s="58" t="s">
        <v>167</v>
      </c>
      <c r="O18" s="59">
        <v>0</v>
      </c>
      <c r="P18" s="56">
        <v>0</v>
      </c>
      <c r="Q18" s="60">
        <v>0</v>
      </c>
      <c r="R18" s="61">
        <f t="shared" si="13"/>
        <v>3940.8829999999998</v>
      </c>
      <c r="S18" s="62">
        <f t="shared" si="14"/>
        <v>159.92573100000007</v>
      </c>
      <c r="T18" s="63">
        <f t="shared" si="15"/>
        <v>318.35713800000019</v>
      </c>
      <c r="U18" s="64" t="s">
        <v>179</v>
      </c>
      <c r="V18" s="65" t="s">
        <v>463</v>
      </c>
      <c r="W18" s="66" t="s">
        <v>181</v>
      </c>
      <c r="X18" s="67">
        <v>9250</v>
      </c>
      <c r="Y18" s="68">
        <v>4</v>
      </c>
      <c r="Z18" s="68">
        <v>8.08</v>
      </c>
      <c r="AA18" s="62">
        <f t="shared" si="29"/>
        <v>370</v>
      </c>
      <c r="AB18" s="63">
        <f t="shared" si="30"/>
        <v>747.4</v>
      </c>
      <c r="AC18" s="69">
        <v>9260</v>
      </c>
      <c r="AD18" s="70">
        <v>3.95</v>
      </c>
      <c r="AE18" s="70">
        <v>8.0700000000000021</v>
      </c>
      <c r="AF18" s="62">
        <f t="shared" si="18"/>
        <v>365.77</v>
      </c>
      <c r="AG18" s="63">
        <f t="shared" si="19"/>
        <v>747.28200000000015</v>
      </c>
      <c r="AH18" s="207">
        <v>2678.8</v>
      </c>
      <c r="AI18" s="66">
        <v>3.93</v>
      </c>
      <c r="AJ18" s="66">
        <v>8.0399999999999991</v>
      </c>
      <c r="AK18" s="62">
        <f t="shared" si="20"/>
        <v>105.27684000000001</v>
      </c>
      <c r="AL18" s="72">
        <f t="shared" si="21"/>
        <v>215.37551999999997</v>
      </c>
      <c r="AM18" s="73">
        <f t="shared" si="22"/>
        <v>-9.9170000000003711</v>
      </c>
      <c r="AN18" s="74">
        <f t="shared" si="23"/>
        <v>-1.9855089999998796</v>
      </c>
      <c r="AO18" s="74">
        <f t="shared" si="24"/>
        <v>-2.0651820000000782</v>
      </c>
      <c r="AP18" s="75">
        <f t="shared" si="25"/>
        <v>-8.4692370614678145E-3</v>
      </c>
      <c r="AQ18" s="76">
        <f t="shared" si="26"/>
        <v>-1509.3687462699695</v>
      </c>
      <c r="AR18" s="90">
        <f t="shared" si="27"/>
        <v>8.3000000000538421E-2</v>
      </c>
    </row>
    <row r="19" spans="1:49" x14ac:dyDescent="0.25">
      <c r="A19" t="str">
        <f t="shared" si="10"/>
        <v>46181E</v>
      </c>
      <c r="B19" s="51">
        <f t="shared" si="28"/>
        <v>46181</v>
      </c>
      <c r="C19" s="52" t="s">
        <v>88</v>
      </c>
      <c r="D19" s="79">
        <v>2678.8</v>
      </c>
      <c r="E19" s="62">
        <v>3.93</v>
      </c>
      <c r="F19" s="62">
        <v>8.0399999999999991</v>
      </c>
      <c r="G19" s="62">
        <f t="shared" si="11"/>
        <v>105.27684000000001</v>
      </c>
      <c r="H19" s="63">
        <f t="shared" si="12"/>
        <v>215.37551999999997</v>
      </c>
      <c r="I19" s="119">
        <v>5208.7</v>
      </c>
      <c r="J19" s="120">
        <v>5364.9610000000002</v>
      </c>
      <c r="K19" s="121">
        <v>3.9717741471000427</v>
      </c>
      <c r="L19" s="122">
        <v>8.0600936894042654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3"/>
        <v>5364.9610000000002</v>
      </c>
      <c r="S19" s="62">
        <f t="shared" si="14"/>
        <v>213.08413399999992</v>
      </c>
      <c r="T19" s="63">
        <f t="shared" si="15"/>
        <v>432.420883</v>
      </c>
      <c r="U19" s="64" t="s">
        <v>316</v>
      </c>
      <c r="V19" s="65" t="s">
        <v>464</v>
      </c>
      <c r="W19" s="66" t="s">
        <v>181</v>
      </c>
      <c r="X19" s="67">
        <v>6280</v>
      </c>
      <c r="Y19" s="68">
        <v>4</v>
      </c>
      <c r="Z19" s="68">
        <v>8.0399999999999991</v>
      </c>
      <c r="AA19" s="62">
        <f t="shared" si="29"/>
        <v>251.20000000000002</v>
      </c>
      <c r="AB19" s="63">
        <f t="shared" si="30"/>
        <v>504.91199999999992</v>
      </c>
      <c r="AC19" s="69">
        <v>6320</v>
      </c>
      <c r="AD19" s="70">
        <v>3.9</v>
      </c>
      <c r="AE19" s="70">
        <v>8.0201265822784809</v>
      </c>
      <c r="AF19" s="62">
        <f t="shared" si="18"/>
        <v>246.48</v>
      </c>
      <c r="AG19" s="63">
        <f t="shared" si="19"/>
        <v>506.87199999999996</v>
      </c>
      <c r="AH19" s="207">
        <v>1763.7</v>
      </c>
      <c r="AI19" s="66">
        <v>3.95</v>
      </c>
      <c r="AJ19" s="66">
        <v>8.0500000000000007</v>
      </c>
      <c r="AK19" s="62">
        <f t="shared" si="20"/>
        <v>69.666150000000002</v>
      </c>
      <c r="AL19" s="72">
        <f t="shared" si="21"/>
        <v>141.97785000000002</v>
      </c>
      <c r="AM19" s="73">
        <f t="shared" si="22"/>
        <v>-39.938999999999623</v>
      </c>
      <c r="AN19" s="74">
        <f t="shared" si="23"/>
        <v>2.2148239999999504</v>
      </c>
      <c r="AO19" s="74">
        <f t="shared" si="24"/>
        <v>-1.053447000000034</v>
      </c>
      <c r="AP19" s="75">
        <f t="shared" si="25"/>
        <v>1.7991757916885663E-3</v>
      </c>
      <c r="AQ19" s="76">
        <f t="shared" si="26"/>
        <v>678.98804665996749</v>
      </c>
      <c r="AR19" s="90">
        <f t="shared" si="27"/>
        <v>6.1000000000603904E-2</v>
      </c>
      <c r="AS19" s="90">
        <f>SUM(J6:J19)</f>
        <v>75007.072</v>
      </c>
      <c r="AT19" s="83">
        <f>SUM(AM6:AM19)</f>
        <v>-154.02800000000138</v>
      </c>
      <c r="AU19" s="83">
        <f>SUM(AN6:AN19)</f>
        <v>-13.905883000000031</v>
      </c>
      <c r="AV19" s="83">
        <f>SUM(AO6:AO19)</f>
        <v>12.015907000000141</v>
      </c>
      <c r="AW19" s="83">
        <f>-SUM(AQ6:AQ19)</f>
        <v>2646.4493966166397</v>
      </c>
    </row>
    <row r="20" spans="1:49" x14ac:dyDescent="0.25">
      <c r="A20" t="str">
        <f t="shared" si="10"/>
        <v>46182M</v>
      </c>
      <c r="B20" s="51">
        <f t="shared" si="28"/>
        <v>46182</v>
      </c>
      <c r="C20" s="52" t="s">
        <v>87</v>
      </c>
      <c r="D20" s="79">
        <v>1763.7</v>
      </c>
      <c r="E20" s="62">
        <v>3.95</v>
      </c>
      <c r="F20" s="62">
        <v>8.0500000000000007</v>
      </c>
      <c r="G20" s="62">
        <f t="shared" si="11"/>
        <v>69.666150000000002</v>
      </c>
      <c r="H20" s="63">
        <f t="shared" si="12"/>
        <v>141.97785000000002</v>
      </c>
      <c r="I20" s="119">
        <v>3781.6</v>
      </c>
      <c r="J20" s="120">
        <v>3895.0480000000002</v>
      </c>
      <c r="K20" s="121">
        <v>3.9964618151047175</v>
      </c>
      <c r="L20" s="122">
        <v>8.0595092024539881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3"/>
        <v>3895.0480000000002</v>
      </c>
      <c r="S20" s="62">
        <f t="shared" si="14"/>
        <v>155.664106</v>
      </c>
      <c r="T20" s="63">
        <f t="shared" si="15"/>
        <v>313.92175200000003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9"/>
        <v>0</v>
      </c>
      <c r="AB20" s="63">
        <f t="shared" si="30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207">
        <v>5558.7</v>
      </c>
      <c r="AI20" s="66">
        <v>3.98</v>
      </c>
      <c r="AJ20" s="66">
        <v>8.0500000000000007</v>
      </c>
      <c r="AK20" s="62">
        <f t="shared" si="20"/>
        <v>221.23626000000002</v>
      </c>
      <c r="AL20" s="72">
        <f t="shared" si="21"/>
        <v>447.47534999999999</v>
      </c>
      <c r="AM20" s="73">
        <f t="shared" si="22"/>
        <v>100.04800000000068</v>
      </c>
      <c r="AN20" s="74">
        <f t="shared" si="23"/>
        <v>4.0939960000000042</v>
      </c>
      <c r="AO20" s="74">
        <f t="shared" si="24"/>
        <v>8.4242520000000809</v>
      </c>
      <c r="AP20" s="75">
        <f t="shared" si="25"/>
        <v>2.6658060047455866E-2</v>
      </c>
      <c r="AQ20" s="76">
        <f t="shared" si="26"/>
        <v>4358.9897212400265</v>
      </c>
      <c r="AR20" s="90">
        <f t="shared" si="27"/>
        <v>100.04800000000068</v>
      </c>
    </row>
    <row r="21" spans="1:49" x14ac:dyDescent="0.25">
      <c r="A21" t="str">
        <f t="shared" si="10"/>
        <v>46182E</v>
      </c>
      <c r="B21" s="51">
        <f t="shared" si="28"/>
        <v>46182</v>
      </c>
      <c r="C21" s="52" t="s">
        <v>88</v>
      </c>
      <c r="D21" s="79">
        <v>5558.7</v>
      </c>
      <c r="E21" s="62">
        <v>3.98</v>
      </c>
      <c r="F21" s="62">
        <v>8.0500000000000007</v>
      </c>
      <c r="G21" s="62">
        <f t="shared" si="11"/>
        <v>221.23626000000002</v>
      </c>
      <c r="H21" s="63">
        <f t="shared" si="12"/>
        <v>447.47534999999999</v>
      </c>
      <c r="I21" s="119">
        <v>7940.9999999999991</v>
      </c>
      <c r="J21" s="120">
        <v>8179.23</v>
      </c>
      <c r="K21" s="121">
        <v>3.6810792091676112</v>
      </c>
      <c r="L21" s="122">
        <v>8.0125903538597161</v>
      </c>
      <c r="M21" s="58" t="s">
        <v>195</v>
      </c>
      <c r="N21" s="58" t="s">
        <v>462</v>
      </c>
      <c r="O21" s="59">
        <v>2899</v>
      </c>
      <c r="P21" s="56">
        <v>4</v>
      </c>
      <c r="Q21" s="60">
        <v>7.94</v>
      </c>
      <c r="R21" s="61">
        <f t="shared" si="13"/>
        <v>11078.23</v>
      </c>
      <c r="S21" s="62">
        <f t="shared" si="14"/>
        <v>417.04393500000003</v>
      </c>
      <c r="T21" s="63">
        <f t="shared" si="15"/>
        <v>885.54879400000004</v>
      </c>
      <c r="U21" s="64" t="s">
        <v>179</v>
      </c>
      <c r="V21" s="65" t="s">
        <v>465</v>
      </c>
      <c r="W21" s="66" t="s">
        <v>181</v>
      </c>
      <c r="X21" s="67">
        <v>9250</v>
      </c>
      <c r="Y21" s="68">
        <v>3.98</v>
      </c>
      <c r="Z21" s="68">
        <v>8.08</v>
      </c>
      <c r="AA21" s="62">
        <f t="shared" si="29"/>
        <v>368.15000000000003</v>
      </c>
      <c r="AB21" s="63">
        <f t="shared" si="30"/>
        <v>747.4</v>
      </c>
      <c r="AC21" s="69">
        <v>9270</v>
      </c>
      <c r="AD21" s="70">
        <v>3.9337108953613802</v>
      </c>
      <c r="AE21" s="70">
        <v>8.0667421790722766</v>
      </c>
      <c r="AF21" s="62">
        <f t="shared" si="18"/>
        <v>364.65499999999992</v>
      </c>
      <c r="AG21" s="63">
        <f t="shared" si="19"/>
        <v>747.78700000000003</v>
      </c>
      <c r="AH21" s="207">
        <v>7386.9</v>
      </c>
      <c r="AI21" s="66">
        <v>3.83</v>
      </c>
      <c r="AJ21" s="66">
        <v>8.01</v>
      </c>
      <c r="AK21" s="62">
        <f t="shared" si="20"/>
        <v>282.91827000000001</v>
      </c>
      <c r="AL21" s="72">
        <f t="shared" si="21"/>
        <v>591.69069000000002</v>
      </c>
      <c r="AM21" s="73">
        <f t="shared" si="22"/>
        <v>-19.969999999999345</v>
      </c>
      <c r="AN21" s="74">
        <f t="shared" si="23"/>
        <v>-9.2930749999998739</v>
      </c>
      <c r="AO21" s="74">
        <f t="shared" si="24"/>
        <v>-6.4535460000000739</v>
      </c>
      <c r="AP21" s="75">
        <f t="shared" si="25"/>
        <v>-1.2088675646215701E-2</v>
      </c>
      <c r="AQ21" s="76">
        <f t="shared" si="26"/>
        <v>-6103.1285214899654</v>
      </c>
      <c r="AR21" s="90">
        <f t="shared" si="27"/>
        <v>2.9999999998835847E-2</v>
      </c>
    </row>
    <row r="22" spans="1:49" x14ac:dyDescent="0.25">
      <c r="A22" t="str">
        <f t="shared" si="10"/>
        <v>46183M</v>
      </c>
      <c r="B22" s="51">
        <f t="shared" si="28"/>
        <v>46183</v>
      </c>
      <c r="C22" s="52" t="s">
        <v>87</v>
      </c>
      <c r="D22" s="79">
        <v>7386.9</v>
      </c>
      <c r="E22" s="62">
        <v>3.83</v>
      </c>
      <c r="F22" s="62">
        <v>8.01</v>
      </c>
      <c r="G22" s="62">
        <f t="shared" si="11"/>
        <v>282.91827000000001</v>
      </c>
      <c r="H22" s="63">
        <f t="shared" si="12"/>
        <v>591.69069000000002</v>
      </c>
      <c r="I22" s="119">
        <v>3266.2000000000003</v>
      </c>
      <c r="J22" s="120">
        <v>3364.1860000000001</v>
      </c>
      <c r="K22" s="121">
        <v>4.0710152470761125</v>
      </c>
      <c r="L22" s="122">
        <v>8.1069499724450438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3364.1860000000001</v>
      </c>
      <c r="S22" s="62">
        <f t="shared" si="14"/>
        <v>136.956525</v>
      </c>
      <c r="T22" s="63">
        <f t="shared" si="15"/>
        <v>272.73287600000003</v>
      </c>
      <c r="U22" s="64" t="s">
        <v>184</v>
      </c>
      <c r="V22" s="65" t="s">
        <v>466</v>
      </c>
      <c r="W22" s="66" t="s">
        <v>136</v>
      </c>
      <c r="X22" s="67">
        <v>3830</v>
      </c>
      <c r="Y22" s="68">
        <v>4.0999999999999996</v>
      </c>
      <c r="Z22" s="68">
        <v>8.1</v>
      </c>
      <c r="AA22" s="62">
        <f t="shared" ref="AA22:AA35" si="31">X22*Y22%</f>
        <v>157.02999999999997</v>
      </c>
      <c r="AB22" s="63">
        <f t="shared" ref="AB22:AB35" si="32">X22*Z22%</f>
        <v>310.23</v>
      </c>
      <c r="AC22" s="69">
        <v>3860</v>
      </c>
      <c r="AD22" s="70">
        <v>4.0999999999999996</v>
      </c>
      <c r="AE22" s="70">
        <v>8.1</v>
      </c>
      <c r="AF22" s="62">
        <f t="shared" si="18"/>
        <v>158.26</v>
      </c>
      <c r="AG22" s="63">
        <f t="shared" si="19"/>
        <v>312.66000000000003</v>
      </c>
      <c r="AH22" s="207">
        <v>6921</v>
      </c>
      <c r="AI22" s="66">
        <v>3.9</v>
      </c>
      <c r="AJ22" s="66">
        <v>8.0399999999999991</v>
      </c>
      <c r="AK22" s="62">
        <f t="shared" si="20"/>
        <v>269.91899999999998</v>
      </c>
      <c r="AL22" s="72">
        <f t="shared" si="21"/>
        <v>556.44839999999988</v>
      </c>
      <c r="AM22" s="73">
        <f t="shared" si="22"/>
        <v>-29.914000000000669</v>
      </c>
      <c r="AN22" s="74">
        <f t="shared" si="23"/>
        <v>-8.3042049999999676</v>
      </c>
      <c r="AO22" s="74">
        <f t="shared" si="24"/>
        <v>-4.6848339999997961</v>
      </c>
      <c r="AP22" s="75">
        <f t="shared" si="25"/>
        <v>-3.1704601017978895E-2</v>
      </c>
      <c r="AQ22" s="76">
        <f t="shared" si="26"/>
        <v>-5129.8865538432583</v>
      </c>
      <c r="AR22" s="90">
        <f t="shared" si="27"/>
        <v>8.5999999999330612E-2</v>
      </c>
    </row>
    <row r="23" spans="1:49" x14ac:dyDescent="0.25">
      <c r="A23" t="str">
        <f t="shared" si="10"/>
        <v>46183E</v>
      </c>
      <c r="B23" s="51">
        <f t="shared" si="28"/>
        <v>46183</v>
      </c>
      <c r="C23" s="52" t="s">
        <v>88</v>
      </c>
      <c r="D23" s="79">
        <v>6921</v>
      </c>
      <c r="E23" s="62">
        <v>3.9</v>
      </c>
      <c r="F23" s="62">
        <v>8.0399999999999991</v>
      </c>
      <c r="G23" s="62">
        <f t="shared" si="11"/>
        <v>269.91899999999998</v>
      </c>
      <c r="H23" s="63">
        <f t="shared" si="12"/>
        <v>556.44839999999988</v>
      </c>
      <c r="I23" s="119">
        <v>5299.9000000000005</v>
      </c>
      <c r="J23" s="120">
        <v>5458.8970000000008</v>
      </c>
      <c r="K23" s="121">
        <v>3.970457933168551</v>
      </c>
      <c r="L23" s="122">
        <v>8.0631917583350621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5458.8970000000008</v>
      </c>
      <c r="S23" s="62">
        <f t="shared" si="14"/>
        <v>216.74320900000006</v>
      </c>
      <c r="T23" s="63">
        <f t="shared" si="15"/>
        <v>440.16133300000001</v>
      </c>
      <c r="U23" s="64" t="s">
        <v>179</v>
      </c>
      <c r="V23" s="65" t="s">
        <v>467</v>
      </c>
      <c r="W23" s="66" t="s">
        <v>181</v>
      </c>
      <c r="X23" s="67">
        <v>9250</v>
      </c>
      <c r="Y23" s="68">
        <v>4.03</v>
      </c>
      <c r="Z23" s="68">
        <v>8.2200000000000006</v>
      </c>
      <c r="AA23" s="62">
        <f t="shared" si="31"/>
        <v>372.77500000000003</v>
      </c>
      <c r="AB23" s="63">
        <f t="shared" si="32"/>
        <v>760.35000000000014</v>
      </c>
      <c r="AC23" s="69">
        <v>9270</v>
      </c>
      <c r="AD23" s="70">
        <v>3.9325782092772386</v>
      </c>
      <c r="AE23" s="70">
        <v>8.1965156418554468</v>
      </c>
      <c r="AF23" s="62">
        <f t="shared" si="18"/>
        <v>364.55</v>
      </c>
      <c r="AG23" s="63">
        <f t="shared" si="19"/>
        <v>759.81699999999989</v>
      </c>
      <c r="AH23" s="207">
        <v>3129.9</v>
      </c>
      <c r="AI23" s="66">
        <v>3.93</v>
      </c>
      <c r="AJ23" s="66">
        <v>8.0399999999999991</v>
      </c>
      <c r="AK23" s="62">
        <f t="shared" si="20"/>
        <v>123.00507</v>
      </c>
      <c r="AL23" s="72">
        <f t="shared" si="21"/>
        <v>251.64395999999996</v>
      </c>
      <c r="AM23" s="73">
        <f t="shared" si="22"/>
        <v>-20.002999999999247</v>
      </c>
      <c r="AN23" s="74">
        <f t="shared" si="23"/>
        <v>-0.89286099999993951</v>
      </c>
      <c r="AO23" s="74">
        <f t="shared" si="24"/>
        <v>-14.851226999999966</v>
      </c>
      <c r="AP23" s="75">
        <f t="shared" si="25"/>
        <v>-2.3967086529902395E-2</v>
      </c>
      <c r="AQ23" s="76">
        <f t="shared" si="26"/>
        <v>-4845.3904398899631</v>
      </c>
      <c r="AR23" s="90">
        <f t="shared" si="27"/>
        <v>-2.999999998792191E-3</v>
      </c>
    </row>
    <row r="24" spans="1:49" x14ac:dyDescent="0.25">
      <c r="A24" t="str">
        <f t="shared" si="10"/>
        <v>46184M</v>
      </c>
      <c r="B24" s="51">
        <f t="shared" si="28"/>
        <v>46184</v>
      </c>
      <c r="C24" s="52" t="s">
        <v>87</v>
      </c>
      <c r="D24" s="79">
        <v>3129.9</v>
      </c>
      <c r="E24" s="62">
        <v>3.93</v>
      </c>
      <c r="F24" s="62">
        <v>8.0399999999999991</v>
      </c>
      <c r="G24" s="62">
        <f t="shared" si="11"/>
        <v>123.00507</v>
      </c>
      <c r="H24" s="63">
        <f t="shared" si="12"/>
        <v>251.64395999999996</v>
      </c>
      <c r="I24" s="119">
        <v>3510.5000000000005</v>
      </c>
      <c r="J24" s="120">
        <v>3615.8150000000005</v>
      </c>
      <c r="K24" s="121">
        <v>4.10004272895599</v>
      </c>
      <c r="L24" s="122">
        <v>8.1076912120780555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3615.8150000000005</v>
      </c>
      <c r="S24" s="62">
        <f t="shared" si="14"/>
        <v>148.24996000000007</v>
      </c>
      <c r="T24" s="63">
        <f t="shared" si="15"/>
        <v>293.15911500000016</v>
      </c>
      <c r="U24" s="64" t="s">
        <v>184</v>
      </c>
      <c r="V24" s="65" t="s">
        <v>490</v>
      </c>
      <c r="W24" s="66" t="s">
        <v>181</v>
      </c>
      <c r="X24" s="67">
        <v>3830</v>
      </c>
      <c r="Y24" s="68">
        <v>4.2</v>
      </c>
      <c r="Z24" s="68">
        <v>8.25</v>
      </c>
      <c r="AA24" s="62">
        <f t="shared" si="31"/>
        <v>160.86000000000001</v>
      </c>
      <c r="AB24" s="63">
        <f t="shared" si="32"/>
        <v>315.97500000000002</v>
      </c>
      <c r="AC24" s="69">
        <v>3850</v>
      </c>
      <c r="AD24" s="70">
        <v>4.1500000000000004</v>
      </c>
      <c r="AE24" s="70">
        <v>8.24</v>
      </c>
      <c r="AF24" s="62">
        <f t="shared" si="18"/>
        <v>159.77500000000001</v>
      </c>
      <c r="AG24" s="63">
        <f t="shared" si="19"/>
        <v>317.24</v>
      </c>
      <c r="AH24" s="207">
        <v>3015.7</v>
      </c>
      <c r="AI24" s="66">
        <v>4.01</v>
      </c>
      <c r="AJ24" s="66">
        <v>8.07</v>
      </c>
      <c r="AK24" s="62">
        <f t="shared" si="20"/>
        <v>120.92956999999998</v>
      </c>
      <c r="AL24" s="72">
        <f t="shared" si="21"/>
        <v>243.36699000000002</v>
      </c>
      <c r="AM24" s="73">
        <f t="shared" si="22"/>
        <v>-119.98499999999967</v>
      </c>
      <c r="AN24" s="74">
        <f t="shared" si="23"/>
        <v>-9.4495399999998995</v>
      </c>
      <c r="AO24" s="74">
        <f t="shared" si="24"/>
        <v>-15.803914999999876</v>
      </c>
      <c r="AP24" s="75">
        <f t="shared" si="25"/>
        <v>-5.7211000929239531E-2</v>
      </c>
      <c r="AQ24" s="76">
        <f t="shared" si="26"/>
        <v>-8971.6833231665842</v>
      </c>
      <c r="AR24" s="90">
        <f t="shared" si="27"/>
        <v>-99.984999999999673</v>
      </c>
    </row>
    <row r="25" spans="1:49" x14ac:dyDescent="0.25">
      <c r="A25" t="str">
        <f t="shared" si="10"/>
        <v>46184E</v>
      </c>
      <c r="B25" s="51">
        <f t="shared" si="28"/>
        <v>46184</v>
      </c>
      <c r="C25" s="52" t="s">
        <v>88</v>
      </c>
      <c r="D25" s="79">
        <v>3015.7</v>
      </c>
      <c r="E25" s="62">
        <v>4.01</v>
      </c>
      <c r="F25" s="62">
        <v>8.07</v>
      </c>
      <c r="G25" s="62">
        <f t="shared" si="11"/>
        <v>120.92956999999998</v>
      </c>
      <c r="H25" s="63">
        <f t="shared" si="12"/>
        <v>243.36699000000002</v>
      </c>
      <c r="I25" s="119">
        <v>4752.9000000000005</v>
      </c>
      <c r="J25" s="120">
        <v>4895.487000000001</v>
      </c>
      <c r="K25" s="121">
        <v>3.9758210776578506</v>
      </c>
      <c r="L25" s="122">
        <v>8.0757327105556573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4895.487000000001</v>
      </c>
      <c r="S25" s="62">
        <f t="shared" si="14"/>
        <v>194.63580400000001</v>
      </c>
      <c r="T25" s="63">
        <f t="shared" si="15"/>
        <v>395.3464449999999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31"/>
        <v>0</v>
      </c>
      <c r="AB25" s="63">
        <f t="shared" si="32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207">
        <v>7550</v>
      </c>
      <c r="AI25" s="66">
        <v>3.65</v>
      </c>
      <c r="AJ25" s="66">
        <v>8.07</v>
      </c>
      <c r="AK25" s="62">
        <f t="shared" si="20"/>
        <v>275.57499999999999</v>
      </c>
      <c r="AL25" s="72">
        <f t="shared" si="21"/>
        <v>609.28500000000008</v>
      </c>
      <c r="AM25" s="73">
        <f t="shared" si="22"/>
        <v>361.18700000000081</v>
      </c>
      <c r="AN25" s="74">
        <f t="shared" si="23"/>
        <v>39.990374000000031</v>
      </c>
      <c r="AO25" s="74">
        <f t="shared" si="24"/>
        <v>29.428434999999808</v>
      </c>
      <c r="AP25" s="75">
        <f t="shared" si="25"/>
        <v>0.11766253835206464</v>
      </c>
      <c r="AQ25" s="76">
        <f t="shared" si="26"/>
        <v>26759.224629573291</v>
      </c>
      <c r="AR25" s="90">
        <f t="shared" si="27"/>
        <v>361.18700000000081</v>
      </c>
    </row>
    <row r="26" spans="1:49" x14ac:dyDescent="0.25">
      <c r="A26" t="str">
        <f t="shared" si="10"/>
        <v>46185M</v>
      </c>
      <c r="B26" s="51">
        <f t="shared" si="28"/>
        <v>46185</v>
      </c>
      <c r="C26" s="52" t="s">
        <v>87</v>
      </c>
      <c r="D26" s="79">
        <v>7550</v>
      </c>
      <c r="E26" s="62">
        <v>3.65</v>
      </c>
      <c r="F26" s="62">
        <v>8.07</v>
      </c>
      <c r="G26" s="62">
        <f t="shared" si="11"/>
        <v>275.57499999999999</v>
      </c>
      <c r="H26" s="63">
        <f t="shared" si="12"/>
        <v>609.28500000000008</v>
      </c>
      <c r="I26" s="119">
        <v>6621</v>
      </c>
      <c r="J26" s="120">
        <v>6819.63</v>
      </c>
      <c r="K26" s="121">
        <v>3.6129602779036403</v>
      </c>
      <c r="L26" s="122">
        <v>7.9765851079897283</v>
      </c>
      <c r="M26" s="58" t="s">
        <v>195</v>
      </c>
      <c r="N26" s="58" t="s">
        <v>541</v>
      </c>
      <c r="O26" s="59">
        <v>2930</v>
      </c>
      <c r="P26" s="56">
        <v>4</v>
      </c>
      <c r="Q26" s="60">
        <v>7.95</v>
      </c>
      <c r="R26" s="61">
        <f t="shared" si="13"/>
        <v>9749.630000000001</v>
      </c>
      <c r="S26" s="62">
        <f t="shared" si="14"/>
        <v>363.59052300000002</v>
      </c>
      <c r="T26" s="63">
        <f t="shared" si="15"/>
        <v>776.90859099999989</v>
      </c>
      <c r="U26" s="64" t="s">
        <v>316</v>
      </c>
      <c r="V26" s="65" t="s">
        <v>543</v>
      </c>
      <c r="W26" s="66" t="s">
        <v>181</v>
      </c>
      <c r="X26" s="67">
        <v>6280</v>
      </c>
      <c r="Y26" s="68">
        <v>4</v>
      </c>
      <c r="Z26" s="68">
        <v>8.08</v>
      </c>
      <c r="AA26" s="62">
        <f t="shared" si="31"/>
        <v>251.20000000000002</v>
      </c>
      <c r="AB26" s="63">
        <f t="shared" si="32"/>
        <v>507.42399999999998</v>
      </c>
      <c r="AC26" s="69">
        <v>6320</v>
      </c>
      <c r="AD26" s="70">
        <v>3.9</v>
      </c>
      <c r="AE26" s="70">
        <v>8.06</v>
      </c>
      <c r="AF26" s="62">
        <f t="shared" si="18"/>
        <v>246.48</v>
      </c>
      <c r="AG26" s="63">
        <f t="shared" si="19"/>
        <v>509.39200000000005</v>
      </c>
      <c r="AH26" s="207">
        <v>11019.6</v>
      </c>
      <c r="AI26" s="66">
        <v>3.69</v>
      </c>
      <c r="AJ26" s="66">
        <v>8.01</v>
      </c>
      <c r="AK26" s="62">
        <f t="shared" si="20"/>
        <v>406.62324000000001</v>
      </c>
      <c r="AL26" s="72">
        <f t="shared" si="21"/>
        <v>882.66996000000006</v>
      </c>
      <c r="AM26" s="73">
        <f t="shared" si="22"/>
        <v>-39.969999999999345</v>
      </c>
      <c r="AN26" s="74">
        <f t="shared" si="23"/>
        <v>-13.937717000000021</v>
      </c>
      <c r="AO26" s="74">
        <f t="shared" si="24"/>
        <v>-5.8683690000001434</v>
      </c>
      <c r="AP26" s="75">
        <f t="shared" si="25"/>
        <v>-1.7366156410709991E-2</v>
      </c>
      <c r="AQ26" s="76">
        <f t="shared" si="26"/>
        <v>-8013.026890330053</v>
      </c>
      <c r="AR26" s="90">
        <f t="shared" si="27"/>
        <v>3.0000000002473826E-2</v>
      </c>
    </row>
    <row r="27" spans="1:49" x14ac:dyDescent="0.25">
      <c r="A27" t="str">
        <f t="shared" si="10"/>
        <v>46185E</v>
      </c>
      <c r="B27" s="51">
        <f t="shared" si="28"/>
        <v>46185</v>
      </c>
      <c r="C27" s="52" t="s">
        <v>88</v>
      </c>
      <c r="D27" s="79">
        <v>11019.6</v>
      </c>
      <c r="E27" s="62">
        <v>3.69</v>
      </c>
      <c r="F27" s="62">
        <v>8.01</v>
      </c>
      <c r="G27" s="62">
        <f t="shared" si="11"/>
        <v>406.62324000000001</v>
      </c>
      <c r="H27" s="63">
        <f t="shared" si="12"/>
        <v>882.66996000000006</v>
      </c>
      <c r="I27" s="119">
        <v>4274.5</v>
      </c>
      <c r="J27" s="120">
        <v>4402.7349999999997</v>
      </c>
      <c r="K27" s="121">
        <v>3.9835232190899523</v>
      </c>
      <c r="L27" s="122">
        <v>8.0978079307521362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4402.7349999999997</v>
      </c>
      <c r="S27" s="62">
        <f t="shared" si="14"/>
        <v>175.383971</v>
      </c>
      <c r="T27" s="63">
        <f t="shared" si="15"/>
        <v>356.52502400000003</v>
      </c>
      <c r="U27" s="64" t="s">
        <v>179</v>
      </c>
      <c r="V27" s="65" t="s">
        <v>544</v>
      </c>
      <c r="W27" s="66" t="s">
        <v>181</v>
      </c>
      <c r="X27" s="67">
        <v>9250</v>
      </c>
      <c r="Y27" s="68">
        <v>3.92</v>
      </c>
      <c r="Z27" s="68">
        <v>8</v>
      </c>
      <c r="AA27" s="62">
        <f t="shared" si="31"/>
        <v>362.59999999999997</v>
      </c>
      <c r="AB27" s="63">
        <f t="shared" si="32"/>
        <v>740</v>
      </c>
      <c r="AC27" s="69">
        <v>9270</v>
      </c>
      <c r="AD27" s="70">
        <v>3.8848435814455229</v>
      </c>
      <c r="AE27" s="70">
        <v>7.9369687162891047</v>
      </c>
      <c r="AF27" s="62">
        <f t="shared" si="18"/>
        <v>360.12499999999994</v>
      </c>
      <c r="AG27" s="63">
        <f t="shared" si="19"/>
        <v>735.75699999999995</v>
      </c>
      <c r="AH27" s="207">
        <v>6172.3</v>
      </c>
      <c r="AI27" s="66">
        <v>3.77</v>
      </c>
      <c r="AJ27" s="66">
        <v>8.0299999999999994</v>
      </c>
      <c r="AK27" s="62">
        <f t="shared" si="20"/>
        <v>232.69570999999999</v>
      </c>
      <c r="AL27" s="72">
        <f t="shared" si="21"/>
        <v>495.63569000000001</v>
      </c>
      <c r="AM27" s="73">
        <f t="shared" si="22"/>
        <v>-19.965000000001055</v>
      </c>
      <c r="AN27" s="74">
        <f t="shared" si="23"/>
        <v>-10.81349899999995</v>
      </c>
      <c r="AO27" s="74">
        <f t="shared" si="24"/>
        <v>7.802294000000245</v>
      </c>
      <c r="AP27" s="75">
        <f t="shared" si="25"/>
        <v>-5.661128178514269E-3</v>
      </c>
      <c r="AQ27" s="76">
        <f t="shared" si="26"/>
        <v>-2519.2693030632372</v>
      </c>
      <c r="AR27" s="90">
        <f t="shared" si="27"/>
        <v>3.4999999999854481E-2</v>
      </c>
    </row>
    <row r="28" spans="1:49" x14ac:dyDescent="0.25">
      <c r="A28" t="str">
        <f t="shared" si="10"/>
        <v>46186M</v>
      </c>
      <c r="B28" s="51">
        <f t="shared" si="28"/>
        <v>46186</v>
      </c>
      <c r="C28" s="52" t="s">
        <v>87</v>
      </c>
      <c r="D28" s="79">
        <v>6172.3</v>
      </c>
      <c r="E28" s="62">
        <v>3.77</v>
      </c>
      <c r="F28" s="62">
        <v>8.0299999999999994</v>
      </c>
      <c r="G28" s="62">
        <f t="shared" si="11"/>
        <v>232.69570999999999</v>
      </c>
      <c r="H28" s="63">
        <f t="shared" si="12"/>
        <v>495.63569000000001</v>
      </c>
      <c r="I28" s="119">
        <v>3082.8999999999996</v>
      </c>
      <c r="J28" s="120">
        <v>3175.3869999999997</v>
      </c>
      <c r="K28" s="121">
        <v>3.997836452690648</v>
      </c>
      <c r="L28" s="122">
        <v>8.0655778649972412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3175.3869999999997</v>
      </c>
      <c r="S28" s="62">
        <f t="shared" si="14"/>
        <v>126.94677899999998</v>
      </c>
      <c r="T28" s="63">
        <f t="shared" si="15"/>
        <v>256.1133109999999</v>
      </c>
      <c r="U28" s="64" t="s">
        <v>184</v>
      </c>
      <c r="V28" s="65" t="s">
        <v>545</v>
      </c>
      <c r="W28" s="66" t="s">
        <v>181</v>
      </c>
      <c r="X28" s="67">
        <v>3830</v>
      </c>
      <c r="Y28" s="68">
        <v>4</v>
      </c>
      <c r="Z28" s="68">
        <v>8.2100000000000009</v>
      </c>
      <c r="AA28" s="62">
        <f t="shared" si="31"/>
        <v>153.20000000000002</v>
      </c>
      <c r="AB28" s="63">
        <f t="shared" si="32"/>
        <v>314.44300000000004</v>
      </c>
      <c r="AC28" s="69">
        <v>3840</v>
      </c>
      <c r="AD28" s="70">
        <v>4</v>
      </c>
      <c r="AE28" s="70">
        <v>8.2100000000000009</v>
      </c>
      <c r="AF28" s="62">
        <f t="shared" si="18"/>
        <v>153.6</v>
      </c>
      <c r="AG28" s="63">
        <f t="shared" si="19"/>
        <v>315.26400000000001</v>
      </c>
      <c r="AH28" s="207">
        <v>5517.6</v>
      </c>
      <c r="AI28" s="66">
        <v>3.84</v>
      </c>
      <c r="AJ28" s="66">
        <v>8.0399999999999991</v>
      </c>
      <c r="AK28" s="62">
        <f t="shared" si="20"/>
        <v>211.87583999999998</v>
      </c>
      <c r="AL28" s="72">
        <f t="shared" si="21"/>
        <v>443.61503999999996</v>
      </c>
      <c r="AM28" s="73">
        <f t="shared" si="22"/>
        <v>-9.9130000000004657</v>
      </c>
      <c r="AN28" s="74">
        <f t="shared" si="23"/>
        <v>-5.8333510000000217</v>
      </c>
      <c r="AO28" s="74">
        <f t="shared" si="24"/>
        <v>-7.1300390000000675</v>
      </c>
      <c r="AP28" s="75">
        <f t="shared" si="25"/>
        <v>-3.384166176121374E-2</v>
      </c>
      <c r="AQ28" s="76">
        <f t="shared" si="26"/>
        <v>-4752.4801357366969</v>
      </c>
      <c r="AR28" s="90">
        <f t="shared" si="27"/>
        <v>8.6999999999534339E-2</v>
      </c>
    </row>
    <row r="29" spans="1:49" x14ac:dyDescent="0.25">
      <c r="A29" t="str">
        <f t="shared" si="10"/>
        <v>46186E</v>
      </c>
      <c r="B29" s="51">
        <f t="shared" si="28"/>
        <v>46186</v>
      </c>
      <c r="C29" s="52" t="s">
        <v>88</v>
      </c>
      <c r="D29" s="79">
        <v>5517.6</v>
      </c>
      <c r="E29" s="62">
        <v>3.84</v>
      </c>
      <c r="F29" s="62">
        <v>8.0399999999999991</v>
      </c>
      <c r="G29" s="62">
        <f t="shared" si="11"/>
        <v>211.87583999999998</v>
      </c>
      <c r="H29" s="63">
        <f t="shared" si="12"/>
        <v>443.61503999999996</v>
      </c>
      <c r="I29" s="119">
        <v>5874.9000000000005</v>
      </c>
      <c r="J29" s="120">
        <v>6051.1470000000008</v>
      </c>
      <c r="K29" s="121">
        <v>3.8505132002246838</v>
      </c>
      <c r="L29" s="122">
        <v>8.1017906687773422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>+J29+O29</f>
        <v>6051.1470000000008</v>
      </c>
      <c r="S29" s="62">
        <f t="shared" si="14"/>
        <v>233.000214</v>
      </c>
      <c r="T29" s="63">
        <f t="shared" si="15"/>
        <v>490.25126300000016</v>
      </c>
      <c r="U29" s="64" t="s">
        <v>316</v>
      </c>
      <c r="V29" s="65" t="s">
        <v>546</v>
      </c>
      <c r="W29" s="66" t="s">
        <v>181</v>
      </c>
      <c r="X29" s="67">
        <v>6280</v>
      </c>
      <c r="Y29" s="68">
        <v>3.87</v>
      </c>
      <c r="Z29" s="68">
        <v>8.0500000000000007</v>
      </c>
      <c r="AA29" s="62">
        <f t="shared" si="31"/>
        <v>243.036</v>
      </c>
      <c r="AB29" s="63">
        <f t="shared" si="32"/>
        <v>505.54</v>
      </c>
      <c r="AC29" s="69">
        <v>6320</v>
      </c>
      <c r="AD29" s="70">
        <v>3.8006329113924053</v>
      </c>
      <c r="AE29" s="70">
        <v>8.0401265822784804</v>
      </c>
      <c r="AF29" s="62">
        <f t="shared" si="18"/>
        <v>240.20000000000005</v>
      </c>
      <c r="AG29" s="63">
        <f t="shared" si="19"/>
        <v>508.13599999999991</v>
      </c>
      <c r="AH29" s="207">
        <v>5288.7</v>
      </c>
      <c r="AI29" s="66">
        <v>3.84</v>
      </c>
      <c r="AJ29" s="66">
        <v>8.07</v>
      </c>
      <c r="AK29" s="62">
        <f t="shared" si="20"/>
        <v>203.08607999999998</v>
      </c>
      <c r="AL29" s="72">
        <f t="shared" si="21"/>
        <v>426.79809</v>
      </c>
      <c r="AM29" s="73">
        <f t="shared" si="22"/>
        <v>-39.95299999999861</v>
      </c>
      <c r="AN29" s="74">
        <f t="shared" si="23"/>
        <v>1.5899739999999269</v>
      </c>
      <c r="AO29" s="74">
        <f t="shared" si="24"/>
        <v>-1.0677869999997824</v>
      </c>
      <c r="AP29" s="75">
        <f t="shared" si="25"/>
        <v>7.2199921687839759E-4</v>
      </c>
      <c r="AQ29" s="76">
        <f t="shared" si="26"/>
        <v>394.19505356003236</v>
      </c>
      <c r="AR29" s="90">
        <f t="shared" si="27"/>
        <v>4.7000000000480213E-2</v>
      </c>
    </row>
    <row r="30" spans="1:49" x14ac:dyDescent="0.25">
      <c r="A30" t="str">
        <f t="shared" si="10"/>
        <v>46187M</v>
      </c>
      <c r="B30" s="51">
        <f t="shared" si="28"/>
        <v>46187</v>
      </c>
      <c r="C30" s="52" t="s">
        <v>87</v>
      </c>
      <c r="D30" s="79">
        <v>5288.7</v>
      </c>
      <c r="E30" s="62">
        <v>3.84</v>
      </c>
      <c r="F30" s="62">
        <v>8.07</v>
      </c>
      <c r="G30" s="62">
        <f t="shared" si="11"/>
        <v>203.08607999999998</v>
      </c>
      <c r="H30" s="63">
        <f t="shared" si="12"/>
        <v>426.79809</v>
      </c>
      <c r="I30" s="119">
        <v>3006.7000000000003</v>
      </c>
      <c r="J30" s="120">
        <v>3096.9010000000003</v>
      </c>
      <c r="K30" s="121">
        <v>4.1047128080619935</v>
      </c>
      <c r="L30" s="122">
        <v>8.0903881331692524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3096.9010000000003</v>
      </c>
      <c r="S30" s="62">
        <f t="shared" si="14"/>
        <v>127.11889199999997</v>
      </c>
      <c r="T30" s="63">
        <f t="shared" si="15"/>
        <v>250.55131099999991</v>
      </c>
      <c r="U30" s="64" t="s">
        <v>184</v>
      </c>
      <c r="V30" s="65" t="s">
        <v>547</v>
      </c>
      <c r="W30" s="66" t="s">
        <v>181</v>
      </c>
      <c r="X30" s="67">
        <v>3830</v>
      </c>
      <c r="Y30" s="68">
        <v>4.0999999999999996</v>
      </c>
      <c r="Z30" s="68">
        <v>8.1</v>
      </c>
      <c r="AA30" s="62">
        <f t="shared" si="31"/>
        <v>157.02999999999997</v>
      </c>
      <c r="AB30" s="63">
        <f t="shared" si="32"/>
        <v>310.23</v>
      </c>
      <c r="AC30" s="69">
        <v>3840</v>
      </c>
      <c r="AD30" s="70">
        <v>4</v>
      </c>
      <c r="AE30" s="70">
        <v>8.08</v>
      </c>
      <c r="AF30" s="62">
        <f t="shared" si="18"/>
        <v>153.6</v>
      </c>
      <c r="AG30" s="63">
        <f t="shared" si="19"/>
        <v>310.27199999999999</v>
      </c>
      <c r="AH30" s="207">
        <v>4555.1000000000004</v>
      </c>
      <c r="AI30" s="66">
        <v>3.93</v>
      </c>
      <c r="AJ30" s="66">
        <v>8.08</v>
      </c>
      <c r="AK30" s="62">
        <f t="shared" si="20"/>
        <v>179.01543000000001</v>
      </c>
      <c r="AL30" s="72">
        <f t="shared" si="21"/>
        <v>368.05207999999999</v>
      </c>
      <c r="AM30" s="73">
        <f t="shared" si="22"/>
        <v>-9.4989999999997963</v>
      </c>
      <c r="AN30" s="74">
        <f t="shared" si="23"/>
        <v>-2.4104580000000624</v>
      </c>
      <c r="AO30" s="74">
        <f t="shared" si="24"/>
        <v>-0.97467900000003738</v>
      </c>
      <c r="AP30" s="75">
        <f t="shared" si="25"/>
        <v>-8.9632090991305993E-3</v>
      </c>
      <c r="AQ30" s="76">
        <f t="shared" si="26"/>
        <v>-1373.7741340400394</v>
      </c>
      <c r="AR30" s="90">
        <f t="shared" si="27"/>
        <v>0.50100000000020373</v>
      </c>
    </row>
    <row r="31" spans="1:49" x14ac:dyDescent="0.25">
      <c r="A31" t="str">
        <f t="shared" si="10"/>
        <v>46187E</v>
      </c>
      <c r="B31" s="51">
        <f t="shared" si="28"/>
        <v>46187</v>
      </c>
      <c r="C31" s="52" t="s">
        <v>88</v>
      </c>
      <c r="D31" s="79">
        <v>4555.1000000000004</v>
      </c>
      <c r="E31" s="62">
        <v>3.93</v>
      </c>
      <c r="F31" s="62">
        <v>8.08</v>
      </c>
      <c r="G31" s="62">
        <f t="shared" si="11"/>
        <v>179.01543000000001</v>
      </c>
      <c r="H31" s="63">
        <f t="shared" si="12"/>
        <v>368.05207999999999</v>
      </c>
      <c r="I31" s="119">
        <v>5781.9999999999991</v>
      </c>
      <c r="J31" s="120">
        <v>5955.4599999999991</v>
      </c>
      <c r="K31" s="121">
        <v>3.9645451400899345</v>
      </c>
      <c r="L31" s="122">
        <v>8.0584814942926339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5955.4599999999991</v>
      </c>
      <c r="S31" s="62">
        <f t="shared" si="14"/>
        <v>236.1069</v>
      </c>
      <c r="T31" s="63">
        <f t="shared" si="15"/>
        <v>479.91964200000001</v>
      </c>
      <c r="U31" s="64" t="s">
        <v>316</v>
      </c>
      <c r="V31" s="85" t="s">
        <v>548</v>
      </c>
      <c r="W31" s="66" t="s">
        <v>181</v>
      </c>
      <c r="X31" s="67">
        <v>6280</v>
      </c>
      <c r="Y31" s="68">
        <v>3.93</v>
      </c>
      <c r="Z31" s="68">
        <v>7.95</v>
      </c>
      <c r="AA31" s="62">
        <f t="shared" si="31"/>
        <v>246.804</v>
      </c>
      <c r="AB31" s="63">
        <f t="shared" si="32"/>
        <v>499.26</v>
      </c>
      <c r="AC31" s="69">
        <v>6320</v>
      </c>
      <c r="AD31" s="70">
        <v>3.8669303797468348</v>
      </c>
      <c r="AE31" s="70">
        <v>7.9333860759493664</v>
      </c>
      <c r="AF31" s="62">
        <f t="shared" si="18"/>
        <v>244.39</v>
      </c>
      <c r="AG31" s="63">
        <f t="shared" si="19"/>
        <v>501.39</v>
      </c>
      <c r="AH31" s="207">
        <v>4230.5</v>
      </c>
      <c r="AI31" s="66">
        <v>3.94</v>
      </c>
      <c r="AJ31" s="66">
        <v>8.06</v>
      </c>
      <c r="AK31" s="62">
        <f t="shared" si="20"/>
        <v>166.68169999999998</v>
      </c>
      <c r="AL31" s="72">
        <f t="shared" si="21"/>
        <v>340.97830000000005</v>
      </c>
      <c r="AM31" s="73">
        <f t="shared" si="22"/>
        <v>-39.940000000000509</v>
      </c>
      <c r="AN31" s="74">
        <f t="shared" si="23"/>
        <v>4.0506300000000692</v>
      </c>
      <c r="AO31" s="74">
        <f t="shared" si="24"/>
        <v>5.6034219999999664</v>
      </c>
      <c r="AP31" s="75">
        <f t="shared" si="25"/>
        <v>1.3482813043542225E-2</v>
      </c>
      <c r="AQ31" s="76">
        <f t="shared" si="26"/>
        <v>3495.3230933133545</v>
      </c>
      <c r="AR31" s="90">
        <f t="shared" si="27"/>
        <v>5.9999999999490683E-2</v>
      </c>
      <c r="AS31" s="90">
        <f>SUM(J18:J31)</f>
        <v>68215.766999999993</v>
      </c>
      <c r="AT31" s="83">
        <f>SUM(AM18:AM31)</f>
        <v>62.267000000002781</v>
      </c>
      <c r="AU31" s="83">
        <f>SUM(AN18:AN31)</f>
        <v>-10.980416999999633</v>
      </c>
      <c r="AV31" s="83">
        <f>SUM(AO18:AO31)</f>
        <v>-8.6946219999997538</v>
      </c>
      <c r="AW31" s="83">
        <f>-SUM(AQ18:AQ31)</f>
        <v>7531.2875034830959</v>
      </c>
    </row>
    <row r="32" spans="1:49" x14ac:dyDescent="0.25">
      <c r="A32" t="str">
        <f t="shared" si="10"/>
        <v>46188M</v>
      </c>
      <c r="B32" s="51">
        <f t="shared" si="28"/>
        <v>46188</v>
      </c>
      <c r="C32" s="52" t="s">
        <v>87</v>
      </c>
      <c r="D32" s="79">
        <v>4230.5</v>
      </c>
      <c r="E32" s="62">
        <v>3.94</v>
      </c>
      <c r="F32" s="62">
        <v>8.06</v>
      </c>
      <c r="G32" s="62">
        <f t="shared" si="11"/>
        <v>166.68169999999998</v>
      </c>
      <c r="H32" s="63">
        <f t="shared" si="12"/>
        <v>340.97830000000005</v>
      </c>
      <c r="I32" s="119">
        <v>5729.9</v>
      </c>
      <c r="J32" s="120">
        <v>5901.7969999999996</v>
      </c>
      <c r="K32" s="121">
        <v>3.7205274088553022</v>
      </c>
      <c r="L32" s="122">
        <v>8.0441403863941758</v>
      </c>
      <c r="M32" s="58" t="s">
        <v>195</v>
      </c>
      <c r="N32" s="58" t="s">
        <v>542</v>
      </c>
      <c r="O32" s="59">
        <v>3513</v>
      </c>
      <c r="P32" s="56">
        <v>3.9</v>
      </c>
      <c r="Q32" s="60">
        <v>8</v>
      </c>
      <c r="R32" s="61">
        <f t="shared" si="13"/>
        <v>9414.7969999999987</v>
      </c>
      <c r="S32" s="62">
        <f t="shared" si="14"/>
        <v>356.58497499999999</v>
      </c>
      <c r="T32" s="63">
        <f t="shared" si="15"/>
        <v>755.78883599999995</v>
      </c>
      <c r="U32" s="64" t="s">
        <v>184</v>
      </c>
      <c r="V32" s="65" t="s">
        <v>549</v>
      </c>
      <c r="W32" s="66" t="s">
        <v>136</v>
      </c>
      <c r="X32" s="67">
        <v>5130</v>
      </c>
      <c r="Y32" s="68">
        <v>3.75</v>
      </c>
      <c r="Z32" s="68">
        <v>8.16</v>
      </c>
      <c r="AA32" s="62">
        <f t="shared" si="31"/>
        <v>192.375</v>
      </c>
      <c r="AB32" s="63">
        <f t="shared" si="32"/>
        <v>418.608</v>
      </c>
      <c r="AC32" s="228">
        <v>5130</v>
      </c>
      <c r="AD32" s="229">
        <v>3.75</v>
      </c>
      <c r="AE32" s="229">
        <v>8.16</v>
      </c>
      <c r="AF32" s="62">
        <f t="shared" si="18"/>
        <v>192.375</v>
      </c>
      <c r="AG32" s="63">
        <f t="shared" si="19"/>
        <v>418.608</v>
      </c>
      <c r="AH32" s="66">
        <v>8515.2000000000007</v>
      </c>
      <c r="AI32" s="66">
        <v>3.83</v>
      </c>
      <c r="AJ32" s="66">
        <v>8.0299999999999994</v>
      </c>
      <c r="AK32" s="62">
        <f t="shared" si="20"/>
        <v>326.13216000000006</v>
      </c>
      <c r="AL32" s="72">
        <f t="shared" si="21"/>
        <v>683.77056000000005</v>
      </c>
      <c r="AM32" s="73">
        <f t="shared" si="22"/>
        <v>9.6999999997933628E-2</v>
      </c>
      <c r="AN32" s="74">
        <f t="shared" si="23"/>
        <v>4.759514999999908</v>
      </c>
      <c r="AO32" s="74">
        <f t="shared" si="24"/>
        <v>-5.6114240000000564</v>
      </c>
      <c r="AP32" s="75">
        <f t="shared" si="25"/>
        <v>-7.6584776769807324E-4</v>
      </c>
      <c r="AQ32" s="76">
        <f t="shared" si="26"/>
        <v>457.24431342327489</v>
      </c>
      <c r="AR32" s="90">
        <f t="shared" si="27"/>
        <v>9.6999999997933628E-2</v>
      </c>
    </row>
    <row r="33" spans="1:49" x14ac:dyDescent="0.25">
      <c r="A33" t="str">
        <f t="shared" si="10"/>
        <v>46188E</v>
      </c>
      <c r="B33" s="51">
        <f t="shared" si="28"/>
        <v>46188</v>
      </c>
      <c r="C33" s="52" t="s">
        <v>88</v>
      </c>
      <c r="D33" s="79">
        <v>8515.2000000000007</v>
      </c>
      <c r="E33" s="62">
        <v>3.83</v>
      </c>
      <c r="F33" s="62">
        <v>8.0299999999999994</v>
      </c>
      <c r="G33" s="62">
        <f t="shared" si="11"/>
        <v>326.13216000000006</v>
      </c>
      <c r="H33" s="63">
        <f t="shared" si="12"/>
        <v>683.77056000000005</v>
      </c>
      <c r="I33" s="119">
        <v>5135.2</v>
      </c>
      <c r="J33" s="120">
        <v>5289.2560000000003</v>
      </c>
      <c r="K33" s="121">
        <v>3.8644804486680173</v>
      </c>
      <c r="L33" s="122">
        <v>8.063002414706343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5289.2560000000003</v>
      </c>
      <c r="S33" s="62">
        <f t="shared" si="14"/>
        <v>204.40226400000003</v>
      </c>
      <c r="T33" s="63">
        <f t="shared" si="15"/>
        <v>426.47283900000014</v>
      </c>
      <c r="U33" s="64" t="s">
        <v>179</v>
      </c>
      <c r="V33" s="65" t="s">
        <v>550</v>
      </c>
      <c r="W33" s="66" t="s">
        <v>181</v>
      </c>
      <c r="X33" s="67">
        <v>9250</v>
      </c>
      <c r="Y33" s="68">
        <v>4.09</v>
      </c>
      <c r="Z33" s="68">
        <v>8.1</v>
      </c>
      <c r="AA33" s="62">
        <f t="shared" si="31"/>
        <v>378.32499999999999</v>
      </c>
      <c r="AB33" s="63">
        <f t="shared" si="32"/>
        <v>749.25</v>
      </c>
      <c r="AC33" s="69">
        <v>9290</v>
      </c>
      <c r="AD33" s="70">
        <v>4.0021528525296013</v>
      </c>
      <c r="AE33" s="70">
        <v>8.0412917115177596</v>
      </c>
      <c r="AF33" s="62">
        <f t="shared" si="18"/>
        <v>371.8</v>
      </c>
      <c r="AG33" s="63">
        <f t="shared" si="19"/>
        <v>747.03599999999983</v>
      </c>
      <c r="AH33" s="66">
        <v>4554.3999999999996</v>
      </c>
      <c r="AI33" s="66">
        <v>3.84</v>
      </c>
      <c r="AJ33" s="66">
        <v>8.0399999999999991</v>
      </c>
      <c r="AK33" s="62">
        <f t="shared" si="20"/>
        <v>174.88895999999997</v>
      </c>
      <c r="AL33" s="72">
        <f t="shared" si="21"/>
        <v>366.1737599999999</v>
      </c>
      <c r="AM33" s="73">
        <f t="shared" si="22"/>
        <v>-39.943999999997686</v>
      </c>
      <c r="AN33" s="74">
        <f t="shared" si="23"/>
        <v>-16.154535999999922</v>
      </c>
      <c r="AO33" s="74">
        <f t="shared" si="24"/>
        <v>-2.9663609999995515</v>
      </c>
      <c r="AP33" s="75">
        <f t="shared" si="25"/>
        <v>-3.0308530022937784E-2</v>
      </c>
      <c r="AQ33" s="76">
        <f t="shared" si="26"/>
        <v>-8139.6855000998312</v>
      </c>
      <c r="AR33" s="90">
        <f t="shared" si="27"/>
        <v>5.6000000002313755E-2</v>
      </c>
    </row>
    <row r="34" spans="1:49" x14ac:dyDescent="0.25">
      <c r="A34" t="str">
        <f t="shared" si="10"/>
        <v>46189M</v>
      </c>
      <c r="B34" s="51">
        <f t="shared" si="28"/>
        <v>46189</v>
      </c>
      <c r="C34" s="52" t="s">
        <v>87</v>
      </c>
      <c r="D34" s="79">
        <v>4554.3999999999996</v>
      </c>
      <c r="E34" s="62">
        <v>3.84</v>
      </c>
      <c r="F34" s="62">
        <v>8.0399999999999991</v>
      </c>
      <c r="G34" s="62">
        <f t="shared" si="11"/>
        <v>174.88895999999997</v>
      </c>
      <c r="H34" s="63">
        <f t="shared" si="12"/>
        <v>366.1737599999999</v>
      </c>
      <c r="I34" s="119">
        <v>3137.6</v>
      </c>
      <c r="J34" s="120">
        <v>3231.7280000000001</v>
      </c>
      <c r="K34" s="121">
        <v>4.1135326364099942</v>
      </c>
      <c r="L34" s="122">
        <v>8.0901453340132559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3231.7280000000001</v>
      </c>
      <c r="S34" s="62">
        <f t="shared" si="14"/>
        <v>132.938186</v>
      </c>
      <c r="T34" s="63">
        <f t="shared" si="15"/>
        <v>261.45149199999992</v>
      </c>
      <c r="U34" s="64" t="s">
        <v>316</v>
      </c>
      <c r="V34" s="65" t="s">
        <v>617</v>
      </c>
      <c r="W34" s="66" t="s">
        <v>181</v>
      </c>
      <c r="X34" s="67">
        <v>6280</v>
      </c>
      <c r="Y34" s="68">
        <v>3.92</v>
      </c>
      <c r="Z34" s="68">
        <v>8.23</v>
      </c>
      <c r="AA34" s="62">
        <f t="shared" si="31"/>
        <v>246.17599999999999</v>
      </c>
      <c r="AB34" s="63">
        <f t="shared" si="32"/>
        <v>516.84399999999994</v>
      </c>
      <c r="AC34" s="69">
        <v>6320</v>
      </c>
      <c r="AD34" s="70">
        <v>3.7999999999999994</v>
      </c>
      <c r="AE34" s="70">
        <v>8.2098734177215196</v>
      </c>
      <c r="AF34" s="62">
        <f t="shared" si="18"/>
        <v>240.15999999999994</v>
      </c>
      <c r="AG34" s="63">
        <f t="shared" si="19"/>
        <v>518.86400000000003</v>
      </c>
      <c r="AH34" s="66">
        <v>1506.1</v>
      </c>
      <c r="AI34" s="66">
        <v>3.95</v>
      </c>
      <c r="AJ34" s="66">
        <v>8.06</v>
      </c>
      <c r="AK34" s="62">
        <f t="shared" si="20"/>
        <v>59.490949999999998</v>
      </c>
      <c r="AL34" s="72">
        <f t="shared" si="21"/>
        <v>121.39166</v>
      </c>
      <c r="AM34" s="73">
        <f t="shared" si="22"/>
        <v>-39.972000000000207</v>
      </c>
      <c r="AN34" s="74">
        <f t="shared" si="23"/>
        <v>8.1761960000000329</v>
      </c>
      <c r="AO34" s="74">
        <f t="shared" si="24"/>
        <v>-12.630408000000216</v>
      </c>
      <c r="AP34" s="75">
        <f t="shared" si="25"/>
        <v>-1.1293936551757788E-2</v>
      </c>
      <c r="AQ34" s="76">
        <f t="shared" si="26"/>
        <v>-109.5681571600503</v>
      </c>
      <c r="AR34" s="90">
        <f t="shared" si="27"/>
        <v>2.7999999999337888E-2</v>
      </c>
    </row>
    <row r="35" spans="1:49" x14ac:dyDescent="0.25">
      <c r="A35" t="str">
        <f t="shared" si="10"/>
        <v>46189E</v>
      </c>
      <c r="B35" s="51">
        <f t="shared" si="28"/>
        <v>46189</v>
      </c>
      <c r="C35" s="52" t="s">
        <v>88</v>
      </c>
      <c r="D35" s="79">
        <v>1506.1</v>
      </c>
      <c r="E35" s="62">
        <v>3.95</v>
      </c>
      <c r="F35" s="62">
        <v>8.06</v>
      </c>
      <c r="G35" s="62">
        <f t="shared" si="11"/>
        <v>59.490949999999998</v>
      </c>
      <c r="H35" s="63">
        <f t="shared" si="12"/>
        <v>121.39166</v>
      </c>
      <c r="I35" s="119">
        <v>5220.2</v>
      </c>
      <c r="J35" s="120">
        <v>5376.8059999999996</v>
      </c>
      <c r="K35" s="121">
        <v>3.879751733650052</v>
      </c>
      <c r="L35" s="122">
        <v>8.069899620704188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5376.8059999999996</v>
      </c>
      <c r="S35" s="62">
        <f t="shared" si="14"/>
        <v>208.60672399999999</v>
      </c>
      <c r="T35" s="63">
        <f t="shared" si="15"/>
        <v>433.90284700000001</v>
      </c>
      <c r="U35" s="64" t="s">
        <v>167</v>
      </c>
      <c r="V35" s="65" t="s">
        <v>392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1"/>
        <v>0</v>
      </c>
      <c r="AB35" s="63">
        <f t="shared" si="32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6882.9</v>
      </c>
      <c r="AI35" s="66">
        <v>3.89</v>
      </c>
      <c r="AJ35" s="66">
        <v>8.06</v>
      </c>
      <c r="AK35" s="62">
        <f t="shared" si="20"/>
        <v>267.74481000000003</v>
      </c>
      <c r="AL35" s="72">
        <f t="shared" si="21"/>
        <v>554.76174000000003</v>
      </c>
      <c r="AM35" s="73">
        <f t="shared" si="22"/>
        <v>5.9999999994033715E-3</v>
      </c>
      <c r="AN35" s="74">
        <f t="shared" si="23"/>
        <v>0.3528639999999541</v>
      </c>
      <c r="AO35" s="74">
        <f t="shared" si="24"/>
        <v>0.5327670000000353</v>
      </c>
      <c r="AP35" s="75">
        <f t="shared" si="25"/>
        <v>1.3783934745463726E-3</v>
      </c>
      <c r="AQ35" s="76">
        <f t="shared" si="26"/>
        <v>317.84713421999004</v>
      </c>
      <c r="AR35" s="90">
        <f t="shared" si="27"/>
        <v>5.9999999994033715E-3</v>
      </c>
    </row>
    <row r="36" spans="1:49" x14ac:dyDescent="0.25">
      <c r="A36" t="str">
        <f t="shared" si="10"/>
        <v>46190M</v>
      </c>
      <c r="B36" s="51">
        <f t="shared" si="28"/>
        <v>46190</v>
      </c>
      <c r="C36" s="52" t="s">
        <v>87</v>
      </c>
      <c r="D36" s="79">
        <v>6882.9</v>
      </c>
      <c r="E36" s="62">
        <v>3.89</v>
      </c>
      <c r="F36" s="62">
        <v>8.06</v>
      </c>
      <c r="G36" s="62">
        <f t="shared" si="11"/>
        <v>267.74481000000003</v>
      </c>
      <c r="H36" s="63">
        <f t="shared" si="12"/>
        <v>554.76174000000003</v>
      </c>
      <c r="I36" s="119">
        <v>3521.8999999999996</v>
      </c>
      <c r="J36" s="120">
        <v>3627.5569999999998</v>
      </c>
      <c r="K36" s="121">
        <v>4.1339986938868218</v>
      </c>
      <c r="L36" s="122">
        <v>8.0667622590079233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3627.5569999999998</v>
      </c>
      <c r="S36" s="62">
        <f t="shared" si="14"/>
        <v>149.96315899999999</v>
      </c>
      <c r="T36" s="63">
        <f t="shared" si="15"/>
        <v>292.62639900000005</v>
      </c>
      <c r="U36" s="64" t="s">
        <v>170</v>
      </c>
      <c r="V36" s="85" t="s">
        <v>618</v>
      </c>
      <c r="W36" s="66" t="s">
        <v>136</v>
      </c>
      <c r="X36" s="67">
        <v>5200</v>
      </c>
      <c r="Y36" s="68">
        <v>4</v>
      </c>
      <c r="Z36" s="68">
        <v>8.08</v>
      </c>
      <c r="AA36" s="62">
        <f t="shared" ref="AA36" si="33">X36*Y36%</f>
        <v>208</v>
      </c>
      <c r="AB36" s="63">
        <f t="shared" ref="AB36" si="34">X36*Z36%</f>
        <v>420.15999999999997</v>
      </c>
      <c r="AC36" s="226">
        <v>5200</v>
      </c>
      <c r="AD36" s="227">
        <v>4</v>
      </c>
      <c r="AE36" s="227">
        <v>8.08</v>
      </c>
      <c r="AF36" s="62">
        <f t="shared" si="18"/>
        <v>208</v>
      </c>
      <c r="AG36" s="63">
        <f t="shared" si="19"/>
        <v>420.15999999999997</v>
      </c>
      <c r="AH36" s="66">
        <v>5310.4</v>
      </c>
      <c r="AI36" s="66">
        <v>3.97</v>
      </c>
      <c r="AJ36" s="66">
        <v>8.06</v>
      </c>
      <c r="AK36" s="62">
        <f t="shared" si="20"/>
        <v>210.82287999999997</v>
      </c>
      <c r="AL36" s="72">
        <f t="shared" si="21"/>
        <v>428.01823999999999</v>
      </c>
      <c r="AM36" s="73">
        <f t="shared" si="22"/>
        <v>5.6999999998879503E-2</v>
      </c>
      <c r="AN36" s="74">
        <f t="shared" si="23"/>
        <v>-1.1149109999999212</v>
      </c>
      <c r="AO36" s="74">
        <f t="shared" si="24"/>
        <v>-0.79010099999982231</v>
      </c>
      <c r="AP36" s="75">
        <f t="shared" si="25"/>
        <v>-4.3042407249918521E-3</v>
      </c>
      <c r="AQ36" s="76">
        <f t="shared" si="26"/>
        <v>-736.95085694991144</v>
      </c>
      <c r="AR36" s="90">
        <f>(D36+J36+O36)-(X36+AH36)</f>
        <v>5.6999999998879503E-2</v>
      </c>
    </row>
    <row r="37" spans="1:49" x14ac:dyDescent="0.25">
      <c r="A37" t="str">
        <f t="shared" si="10"/>
        <v>46190E</v>
      </c>
      <c r="B37" s="51">
        <f t="shared" si="28"/>
        <v>46190</v>
      </c>
      <c r="C37" s="52" t="s">
        <v>88</v>
      </c>
      <c r="D37" s="79">
        <v>5310.4</v>
      </c>
      <c r="E37" s="62">
        <v>3.97</v>
      </c>
      <c r="F37" s="62">
        <v>8.06</v>
      </c>
      <c r="G37" s="62">
        <f t="shared" si="11"/>
        <v>210.82287999999997</v>
      </c>
      <c r="H37" s="63">
        <f t="shared" si="12"/>
        <v>428.01823999999999</v>
      </c>
      <c r="I37" s="119">
        <v>8120.6000000000022</v>
      </c>
      <c r="J37" s="120">
        <v>8364.2180000000026</v>
      </c>
      <c r="K37" s="121">
        <v>3.728967071398666</v>
      </c>
      <c r="L37" s="122">
        <v>7.9939265571509504</v>
      </c>
      <c r="M37" s="58" t="s">
        <v>615</v>
      </c>
      <c r="N37" s="58" t="s">
        <v>616</v>
      </c>
      <c r="O37" s="59">
        <v>8104</v>
      </c>
      <c r="P37" s="56">
        <v>3.81</v>
      </c>
      <c r="Q37" s="60">
        <v>8.1</v>
      </c>
      <c r="R37" s="61">
        <f t="shared" ref="R37:R49" si="35">+J37+O37</f>
        <v>16468.218000000001</v>
      </c>
      <c r="S37" s="62">
        <f t="shared" ref="S37:S49" si="36">+J37*K37%+O37*P37%</f>
        <v>620.66133500000024</v>
      </c>
      <c r="T37" s="63">
        <f t="shared" ref="T37:T49" si="37">+J37*L37%+O37*Q37%</f>
        <v>1325.0534440000001</v>
      </c>
      <c r="U37" s="64" t="s">
        <v>619</v>
      </c>
      <c r="V37" s="65" t="s">
        <v>620</v>
      </c>
      <c r="W37" s="66" t="s">
        <v>181</v>
      </c>
      <c r="X37" s="67">
        <v>18210</v>
      </c>
      <c r="Y37" s="68">
        <v>3.83</v>
      </c>
      <c r="Z37" s="68">
        <v>7.99</v>
      </c>
      <c r="AA37" s="62">
        <f t="shared" ref="AA37:AA50" si="38">X37*Y37%</f>
        <v>697.44299999999998</v>
      </c>
      <c r="AB37" s="63">
        <f t="shared" ref="AB37:AB50" si="39">X37*Z37%</f>
        <v>1454.979</v>
      </c>
      <c r="AC37" s="226">
        <v>18210</v>
      </c>
      <c r="AD37" s="227">
        <v>3.83</v>
      </c>
      <c r="AE37" s="227">
        <v>7.99</v>
      </c>
      <c r="AF37" s="62">
        <f t="shared" si="18"/>
        <v>697.44299999999998</v>
      </c>
      <c r="AG37" s="63">
        <f t="shared" si="19"/>
        <v>1454.979</v>
      </c>
      <c r="AH37" s="66">
        <v>3568.6</v>
      </c>
      <c r="AI37" s="66">
        <v>3.81</v>
      </c>
      <c r="AJ37" s="66">
        <v>8.0399999999999991</v>
      </c>
      <c r="AK37" s="62">
        <f t="shared" si="20"/>
        <v>135.96366</v>
      </c>
      <c r="AL37" s="72">
        <f t="shared" si="21"/>
        <v>286.91543999999993</v>
      </c>
      <c r="AM37" s="73">
        <f t="shared" si="22"/>
        <v>1.8000000002302841E-2</v>
      </c>
      <c r="AN37" s="74">
        <f t="shared" si="23"/>
        <v>-1.9224449999998114</v>
      </c>
      <c r="AO37" s="74">
        <f t="shared" si="24"/>
        <v>11.17724400000003</v>
      </c>
      <c r="AP37" s="75">
        <f t="shared" si="25"/>
        <v>4.7565034196619099E-3</v>
      </c>
      <c r="AQ37" s="76">
        <f t="shared" si="26"/>
        <v>2482.0462844100939</v>
      </c>
      <c r="AR37" s="90">
        <f>(D37+J37+O37)-(X37+AH37)</f>
        <v>1.8000000003667083E-2</v>
      </c>
    </row>
    <row r="38" spans="1:49" x14ac:dyDescent="0.25">
      <c r="A38" t="str">
        <f t="shared" si="10"/>
        <v>46191M</v>
      </c>
      <c r="B38" s="51">
        <f t="shared" si="28"/>
        <v>46191</v>
      </c>
      <c r="C38" s="52" t="s">
        <v>87</v>
      </c>
      <c r="D38" s="79">
        <v>3568.6</v>
      </c>
      <c r="E38" s="62">
        <v>3.81</v>
      </c>
      <c r="F38" s="62">
        <v>8.0399999999999991</v>
      </c>
      <c r="G38" s="62">
        <f t="shared" si="11"/>
        <v>135.96366</v>
      </c>
      <c r="H38" s="63">
        <f t="shared" si="12"/>
        <v>286.91543999999993</v>
      </c>
      <c r="I38" s="119">
        <v>4092.1999999999994</v>
      </c>
      <c r="J38" s="120">
        <v>4214.9659999999994</v>
      </c>
      <c r="K38" s="121">
        <v>4.056575924930355</v>
      </c>
      <c r="L38" s="122">
        <v>8.0966203997849533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35"/>
        <v>4214.9659999999994</v>
      </c>
      <c r="S38" s="62">
        <f t="shared" si="36"/>
        <v>170.98329599999997</v>
      </c>
      <c r="T38" s="63">
        <f t="shared" si="37"/>
        <v>341.26979699999981</v>
      </c>
      <c r="U38" s="64" t="s">
        <v>316</v>
      </c>
      <c r="V38" s="65" t="s">
        <v>621</v>
      </c>
      <c r="W38" s="66" t="s">
        <v>181</v>
      </c>
      <c r="X38" s="67">
        <v>6280</v>
      </c>
      <c r="Y38" s="68">
        <v>3.97</v>
      </c>
      <c r="Z38" s="68">
        <v>8.1199999999999992</v>
      </c>
      <c r="AA38" s="62">
        <f t="shared" si="38"/>
        <v>249.316</v>
      </c>
      <c r="AB38" s="63">
        <f t="shared" si="39"/>
        <v>509.93599999999998</v>
      </c>
      <c r="AC38" s="226">
        <v>6280</v>
      </c>
      <c r="AD38" s="227">
        <v>3.97</v>
      </c>
      <c r="AE38" s="227">
        <v>8.1199999999999992</v>
      </c>
      <c r="AF38" s="62">
        <f t="shared" si="18"/>
        <v>249.316</v>
      </c>
      <c r="AG38" s="63">
        <f t="shared" si="19"/>
        <v>509.93599999999998</v>
      </c>
      <c r="AH38" s="66">
        <v>1510.7</v>
      </c>
      <c r="AI38" s="66">
        <v>3.94</v>
      </c>
      <c r="AJ38" s="66">
        <v>8.07</v>
      </c>
      <c r="AK38" s="62">
        <f t="shared" si="20"/>
        <v>59.52158</v>
      </c>
      <c r="AL38" s="72">
        <f t="shared" si="21"/>
        <v>121.91349000000001</v>
      </c>
      <c r="AM38" s="73">
        <f t="shared" si="22"/>
        <v>-7.1340000000011514</v>
      </c>
      <c r="AN38" s="74">
        <f t="shared" si="23"/>
        <v>-1.8906240000000025</v>
      </c>
      <c r="AO38" s="74">
        <f t="shared" si="24"/>
        <v>-3.6642530000003006</v>
      </c>
      <c r="AP38" s="75">
        <f t="shared" si="25"/>
        <v>-1.0844008705673751E-2</v>
      </c>
      <c r="AQ38" s="76">
        <f t="shared" si="26"/>
        <v>-1945.3332293267579</v>
      </c>
      <c r="AR38" s="90">
        <f>(D38+J38+O38)-(X38+AH38)</f>
        <v>-7.134000000000924</v>
      </c>
    </row>
    <row r="39" spans="1:49" x14ac:dyDescent="0.25">
      <c r="A39" t="str">
        <f t="shared" si="10"/>
        <v>46191E</v>
      </c>
      <c r="B39" s="51">
        <f t="shared" si="28"/>
        <v>46191</v>
      </c>
      <c r="C39" s="52" t="s">
        <v>88</v>
      </c>
      <c r="D39" s="79">
        <v>1510.7</v>
      </c>
      <c r="E39" s="62">
        <v>3.94</v>
      </c>
      <c r="F39" s="62">
        <v>8.07</v>
      </c>
      <c r="G39" s="62">
        <f t="shared" si="11"/>
        <v>59.52158</v>
      </c>
      <c r="H39" s="63">
        <f t="shared" si="12"/>
        <v>121.91349000000001</v>
      </c>
      <c r="I39" s="119">
        <v>6079.0000000000009</v>
      </c>
      <c r="J39" s="120">
        <v>6261.3700000000008</v>
      </c>
      <c r="K39" s="121">
        <v>4.0129840434281956</v>
      </c>
      <c r="L39" s="122">
        <v>8.0623046553709479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35"/>
        <v>6261.3700000000008</v>
      </c>
      <c r="S39" s="62">
        <f t="shared" si="36"/>
        <v>251.26777900000005</v>
      </c>
      <c r="T39" s="63">
        <f t="shared" si="37"/>
        <v>504.81072500000005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38"/>
        <v>0</v>
      </c>
      <c r="AB39" s="63">
        <f t="shared" si="39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7772</v>
      </c>
      <c r="AI39" s="66">
        <v>3.99</v>
      </c>
      <c r="AJ39" s="66">
        <v>8.06</v>
      </c>
      <c r="AK39" s="62">
        <f t="shared" si="20"/>
        <v>310.10280000000006</v>
      </c>
      <c r="AL39" s="72">
        <f t="shared" si="21"/>
        <v>626.42320000000007</v>
      </c>
      <c r="AM39" s="73">
        <f t="shared" si="22"/>
        <v>7.0000000000618456E-2</v>
      </c>
      <c r="AN39" s="74">
        <f t="shared" si="23"/>
        <v>0.68655899999998837</v>
      </c>
      <c r="AO39" s="74">
        <f t="shared" si="24"/>
        <v>0.30101500000000669</v>
      </c>
      <c r="AP39" s="75">
        <f t="shared" si="25"/>
        <v>1.3061791795101676E-3</v>
      </c>
      <c r="AQ39" s="76">
        <f t="shared" si="26"/>
        <v>398.28896312333012</v>
      </c>
      <c r="AR39" s="90">
        <f>(D39+J39+O39)-(X39+AH39)</f>
        <v>7.0000000000618456E-2</v>
      </c>
    </row>
    <row r="40" spans="1:49" x14ac:dyDescent="0.25">
      <c r="A40" t="str">
        <f t="shared" si="10"/>
        <v>46192M</v>
      </c>
      <c r="B40" s="51">
        <f t="shared" si="28"/>
        <v>46192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35"/>
        <v>0</v>
      </c>
      <c r="S40" s="62">
        <f t="shared" si="36"/>
        <v>0</v>
      </c>
      <c r="T40" s="63">
        <f t="shared" si="37"/>
        <v>0</v>
      </c>
      <c r="U40" s="64"/>
      <c r="V40" s="65"/>
      <c r="W40" s="66"/>
      <c r="X40" s="67"/>
      <c r="Y40" s="68"/>
      <c r="Z40" s="68"/>
      <c r="AA40" s="62">
        <f t="shared" si="38"/>
        <v>0</v>
      </c>
      <c r="AB40" s="63">
        <f t="shared" si="39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26"/>
        <v>0</v>
      </c>
      <c r="AR40" s="90">
        <f t="shared" ref="AR40:AR51" si="40">(D40+J40+O40)-(X40+AH40)</f>
        <v>0</v>
      </c>
    </row>
    <row r="41" spans="1:49" x14ac:dyDescent="0.25">
      <c r="A41" t="str">
        <f t="shared" si="10"/>
        <v>46192E</v>
      </c>
      <c r="B41" s="51">
        <f t="shared" si="28"/>
        <v>46192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35"/>
        <v>0</v>
      </c>
      <c r="S41" s="62">
        <f t="shared" si="36"/>
        <v>0</v>
      </c>
      <c r="T41" s="63">
        <f t="shared" si="37"/>
        <v>0</v>
      </c>
      <c r="U41" s="64"/>
      <c r="V41" s="65"/>
      <c r="W41" s="66"/>
      <c r="X41" s="67"/>
      <c r="Y41" s="68"/>
      <c r="Z41" s="68"/>
      <c r="AA41" s="62">
        <f t="shared" si="38"/>
        <v>0</v>
      </c>
      <c r="AB41" s="63">
        <f t="shared" si="39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26"/>
        <v>0</v>
      </c>
      <c r="AR41" s="90">
        <f t="shared" si="40"/>
        <v>0</v>
      </c>
      <c r="AS41" s="90">
        <f>SUM(J28:J41)</f>
        <v>60546.593000000001</v>
      </c>
      <c r="AT41" s="83">
        <f>SUM(AM28:AM41)</f>
        <v>-186.10699999999929</v>
      </c>
      <c r="AU41" s="83">
        <f>SUM(AN28:AN41)</f>
        <v>-9.7105869999998617</v>
      </c>
      <c r="AV41" s="83">
        <f>SUM(AO28:AO41)</f>
        <v>-17.220603999999796</v>
      </c>
      <c r="AW41" s="83">
        <f>-SUM(AQ28:AQ41)</f>
        <v>9512.8471712632127</v>
      </c>
    </row>
    <row r="42" spans="1:49" x14ac:dyDescent="0.25">
      <c r="A42" t="str">
        <f t="shared" si="10"/>
        <v>46193M</v>
      </c>
      <c r="B42" s="51">
        <f t="shared" si="28"/>
        <v>46193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35"/>
        <v>0</v>
      </c>
      <c r="S42" s="62">
        <f t="shared" si="36"/>
        <v>0</v>
      </c>
      <c r="T42" s="63">
        <f t="shared" si="37"/>
        <v>0</v>
      </c>
      <c r="U42" s="64"/>
      <c r="V42" s="65"/>
      <c r="W42" s="66"/>
      <c r="X42" s="67"/>
      <c r="Y42" s="68"/>
      <c r="Z42" s="68"/>
      <c r="AA42" s="62">
        <f t="shared" si="38"/>
        <v>0</v>
      </c>
      <c r="AB42" s="63">
        <f t="shared" si="39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26"/>
        <v>0</v>
      </c>
      <c r="AR42" s="90">
        <f t="shared" si="40"/>
        <v>0</v>
      </c>
    </row>
    <row r="43" spans="1:49" x14ac:dyDescent="0.25">
      <c r="A43" t="str">
        <f t="shared" si="10"/>
        <v>46193E</v>
      </c>
      <c r="B43" s="51">
        <f t="shared" si="28"/>
        <v>46193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35"/>
        <v>0</v>
      </c>
      <c r="S43" s="62">
        <f t="shared" si="36"/>
        <v>0</v>
      </c>
      <c r="T43" s="63">
        <f t="shared" si="37"/>
        <v>0</v>
      </c>
      <c r="U43" s="64"/>
      <c r="V43" s="65"/>
      <c r="W43" s="66"/>
      <c r="X43" s="67"/>
      <c r="Y43" s="68"/>
      <c r="Z43" s="68"/>
      <c r="AA43" s="62">
        <f t="shared" si="38"/>
        <v>0</v>
      </c>
      <c r="AB43" s="63">
        <f t="shared" si="39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26"/>
        <v>0</v>
      </c>
      <c r="AR43" s="90">
        <f t="shared" si="40"/>
        <v>0</v>
      </c>
    </row>
    <row r="44" spans="1:49" x14ac:dyDescent="0.25">
      <c r="A44" t="str">
        <f t="shared" si="10"/>
        <v>46194M</v>
      </c>
      <c r="B44" s="51">
        <f t="shared" si="28"/>
        <v>46194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35"/>
        <v>0</v>
      </c>
      <c r="S44" s="62">
        <f t="shared" si="36"/>
        <v>0</v>
      </c>
      <c r="T44" s="63">
        <f t="shared" si="37"/>
        <v>0</v>
      </c>
      <c r="U44" s="64"/>
      <c r="V44" s="65"/>
      <c r="W44" s="66"/>
      <c r="X44" s="67"/>
      <c r="Y44" s="68"/>
      <c r="Z44" s="68"/>
      <c r="AA44" s="62">
        <f t="shared" si="38"/>
        <v>0</v>
      </c>
      <c r="AB44" s="63">
        <f t="shared" si="39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26"/>
        <v>0</v>
      </c>
      <c r="AR44" s="90">
        <f t="shared" si="40"/>
        <v>0</v>
      </c>
    </row>
    <row r="45" spans="1:49" x14ac:dyDescent="0.25">
      <c r="A45" t="str">
        <f t="shared" si="10"/>
        <v>46194E</v>
      </c>
      <c r="B45" s="51">
        <f t="shared" si="28"/>
        <v>46194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35"/>
        <v>0</v>
      </c>
      <c r="S45" s="62">
        <f t="shared" si="36"/>
        <v>0</v>
      </c>
      <c r="T45" s="63">
        <f t="shared" si="37"/>
        <v>0</v>
      </c>
      <c r="U45" s="64"/>
      <c r="V45" s="65"/>
      <c r="W45" s="66"/>
      <c r="X45" s="67"/>
      <c r="Y45" s="68"/>
      <c r="Z45" s="68"/>
      <c r="AA45" s="62">
        <f t="shared" si="38"/>
        <v>0</v>
      </c>
      <c r="AB45" s="63">
        <f t="shared" si="39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26"/>
        <v>0</v>
      </c>
      <c r="AR45" s="90">
        <f t="shared" si="40"/>
        <v>0</v>
      </c>
    </row>
    <row r="46" spans="1:49" x14ac:dyDescent="0.25">
      <c r="A46" t="str">
        <f t="shared" si="10"/>
        <v>46195M</v>
      </c>
      <c r="B46" s="51">
        <f t="shared" si="28"/>
        <v>46195</v>
      </c>
      <c r="C46" s="52" t="s">
        <v>87</v>
      </c>
      <c r="D46" s="79"/>
      <c r="E46" s="62"/>
      <c r="F46" s="62"/>
      <c r="G46" s="62">
        <f t="shared" ref="G46:G49" si="41">+D46*E46%</f>
        <v>0</v>
      </c>
      <c r="H46" s="63">
        <f t="shared" ref="H46:H49" si="42">+D46*F46%</f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35"/>
        <v>0</v>
      </c>
      <c r="S46" s="62">
        <f t="shared" si="36"/>
        <v>0</v>
      </c>
      <c r="T46" s="63">
        <f t="shared" si="37"/>
        <v>0</v>
      </c>
      <c r="U46" s="64"/>
      <c r="V46" s="65"/>
      <c r="W46" s="66"/>
      <c r="X46" s="67"/>
      <c r="Y46" s="68"/>
      <c r="Z46" s="68"/>
      <c r="AA46" s="62">
        <f t="shared" si="38"/>
        <v>0</v>
      </c>
      <c r="AB46" s="63">
        <f t="shared" si="39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26"/>
        <v>0</v>
      </c>
      <c r="AR46" s="90">
        <f t="shared" si="40"/>
        <v>0</v>
      </c>
    </row>
    <row r="47" spans="1:49" x14ac:dyDescent="0.25">
      <c r="A47" t="str">
        <f t="shared" si="10"/>
        <v>46195E</v>
      </c>
      <c r="B47" s="51">
        <f t="shared" si="28"/>
        <v>46195</v>
      </c>
      <c r="C47" s="52" t="s">
        <v>88</v>
      </c>
      <c r="D47" s="79"/>
      <c r="E47" s="62"/>
      <c r="F47" s="62"/>
      <c r="G47" s="62">
        <f t="shared" si="41"/>
        <v>0</v>
      </c>
      <c r="H47" s="63">
        <f t="shared" si="42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35"/>
        <v>0</v>
      </c>
      <c r="S47" s="62">
        <f t="shared" si="36"/>
        <v>0</v>
      </c>
      <c r="T47" s="63">
        <f t="shared" si="37"/>
        <v>0</v>
      </c>
      <c r="U47" s="64"/>
      <c r="V47" s="65"/>
      <c r="W47" s="66"/>
      <c r="X47" s="67"/>
      <c r="Y47" s="68"/>
      <c r="Z47" s="68"/>
      <c r="AA47" s="62">
        <f t="shared" si="38"/>
        <v>0</v>
      </c>
      <c r="AB47" s="63">
        <f t="shared" si="39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26"/>
        <v>0</v>
      </c>
      <c r="AR47" s="90">
        <f t="shared" si="40"/>
        <v>0</v>
      </c>
    </row>
    <row r="48" spans="1:49" x14ac:dyDescent="0.25">
      <c r="A48" t="str">
        <f t="shared" si="10"/>
        <v>46196M</v>
      </c>
      <c r="B48" s="51">
        <f t="shared" si="28"/>
        <v>46196</v>
      </c>
      <c r="C48" s="52" t="s">
        <v>87</v>
      </c>
      <c r="D48" s="79"/>
      <c r="E48" s="62"/>
      <c r="F48" s="62"/>
      <c r="G48" s="62">
        <f t="shared" si="41"/>
        <v>0</v>
      </c>
      <c r="H48" s="63">
        <f t="shared" si="42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35"/>
        <v>0</v>
      </c>
      <c r="S48" s="62">
        <f t="shared" si="36"/>
        <v>0</v>
      </c>
      <c r="T48" s="63">
        <f>+J48*L48%+O48*Q48%</f>
        <v>0</v>
      </c>
      <c r="U48" s="64"/>
      <c r="V48" s="65"/>
      <c r="W48" s="66"/>
      <c r="X48" s="67"/>
      <c r="Y48" s="68"/>
      <c r="Z48" s="68"/>
      <c r="AA48" s="62">
        <f t="shared" si="38"/>
        <v>0</v>
      </c>
      <c r="AB48" s="63">
        <f t="shared" si="39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26"/>
        <v>0</v>
      </c>
      <c r="AR48" s="90">
        <f t="shared" si="40"/>
        <v>0</v>
      </c>
    </row>
    <row r="49" spans="1:49" x14ac:dyDescent="0.25">
      <c r="A49" t="str">
        <f t="shared" si="10"/>
        <v>46196E</v>
      </c>
      <c r="B49" s="51">
        <f t="shared" si="28"/>
        <v>46196</v>
      </c>
      <c r="C49" s="52" t="s">
        <v>88</v>
      </c>
      <c r="D49" s="79"/>
      <c r="E49" s="62"/>
      <c r="F49" s="62"/>
      <c r="G49" s="62">
        <f t="shared" si="41"/>
        <v>0</v>
      </c>
      <c r="H49" s="63">
        <f t="shared" si="42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35"/>
        <v>0</v>
      </c>
      <c r="S49" s="62">
        <f t="shared" si="36"/>
        <v>0</v>
      </c>
      <c r="T49" s="63">
        <f t="shared" si="37"/>
        <v>0</v>
      </c>
      <c r="U49" s="64"/>
      <c r="V49" s="65"/>
      <c r="W49" s="66"/>
      <c r="X49" s="67"/>
      <c r="Y49" s="68"/>
      <c r="Z49" s="68"/>
      <c r="AA49" s="62">
        <f t="shared" si="38"/>
        <v>0</v>
      </c>
      <c r="AB49" s="63">
        <f t="shared" si="39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26"/>
        <v>0</v>
      </c>
      <c r="AR49" s="90">
        <f>(D49+J49+O49)-(X49+AH49)</f>
        <v>0</v>
      </c>
    </row>
    <row r="50" spans="1:49" x14ac:dyDescent="0.25">
      <c r="A50" t="str">
        <f t="shared" si="10"/>
        <v>46197M</v>
      </c>
      <c r="B50" s="51">
        <f t="shared" si="28"/>
        <v>46197</v>
      </c>
      <c r="C50" s="52" t="s">
        <v>87</v>
      </c>
      <c r="D50" s="79"/>
      <c r="E50" s="62"/>
      <c r="F50" s="62"/>
      <c r="G50" s="62">
        <f t="shared" ref="G50:G57" si="43">+D50*E50%</f>
        <v>0</v>
      </c>
      <c r="H50" s="63">
        <f t="shared" ref="H50:H57" si="44">+D50*F50%</f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ref="R50" si="45">+J50+O50</f>
        <v>0</v>
      </c>
      <c r="S50" s="62">
        <f t="shared" ref="S50" si="46">+J50*K50%+O50*P50%</f>
        <v>0</v>
      </c>
      <c r="T50" s="63">
        <f t="shared" ref="T50" si="47">+J50*L50%+O50*Q50%</f>
        <v>0</v>
      </c>
      <c r="U50" s="64"/>
      <c r="V50" s="65"/>
      <c r="W50" s="66"/>
      <c r="X50" s="67"/>
      <c r="Y50" s="68"/>
      <c r="Z50" s="68"/>
      <c r="AA50" s="62">
        <f t="shared" si="38"/>
        <v>0</v>
      </c>
      <c r="AB50" s="63">
        <f t="shared" si="39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26"/>
        <v>0</v>
      </c>
      <c r="AR50" s="90">
        <f t="shared" si="40"/>
        <v>0</v>
      </c>
    </row>
    <row r="51" spans="1:49" x14ac:dyDescent="0.25">
      <c r="A51" t="str">
        <f t="shared" si="10"/>
        <v>46197E</v>
      </c>
      <c r="B51" s="51">
        <f t="shared" si="28"/>
        <v>46197</v>
      </c>
      <c r="C51" s="52" t="s">
        <v>88</v>
      </c>
      <c r="D51" s="79"/>
      <c r="E51" s="62"/>
      <c r="F51" s="62"/>
      <c r="G51" s="62">
        <f t="shared" si="43"/>
        <v>0</v>
      </c>
      <c r="H51" s="63">
        <f t="shared" si="44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ref="R51:R59" si="48">+J51+O51</f>
        <v>0</v>
      </c>
      <c r="S51" s="62">
        <f t="shared" ref="S51:S59" si="49">+J51*K51%+O51*P51%</f>
        <v>0</v>
      </c>
      <c r="T51" s="63">
        <f t="shared" ref="T51:T59" si="50">+J51*L51%+O51*Q51%</f>
        <v>0</v>
      </c>
      <c r="U51" s="64"/>
      <c r="V51" s="85"/>
      <c r="W51" s="66"/>
      <c r="X51" s="67"/>
      <c r="Y51" s="68"/>
      <c r="Z51" s="68"/>
      <c r="AA51" s="62">
        <f t="shared" ref="AA51:AA59" si="51">X51*Y51%</f>
        <v>0</v>
      </c>
      <c r="AB51" s="63">
        <f t="shared" ref="AB51:AB59" si="52">X51*Z51%</f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26"/>
        <v>0</v>
      </c>
      <c r="AR51" s="90">
        <f t="shared" si="40"/>
        <v>0</v>
      </c>
    </row>
    <row r="52" spans="1:49" x14ac:dyDescent="0.25">
      <c r="A52" t="str">
        <f t="shared" si="10"/>
        <v>46198M</v>
      </c>
      <c r="B52" s="51">
        <f t="shared" si="28"/>
        <v>46198</v>
      </c>
      <c r="C52" s="52" t="s">
        <v>87</v>
      </c>
      <c r="D52" s="79"/>
      <c r="E52" s="62"/>
      <c r="F52" s="62"/>
      <c r="G52" s="62">
        <f t="shared" si="43"/>
        <v>0</v>
      </c>
      <c r="H52" s="63">
        <f t="shared" si="44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48"/>
        <v>0</v>
      </c>
      <c r="S52" s="62">
        <f t="shared" si="49"/>
        <v>0</v>
      </c>
      <c r="T52" s="63">
        <f t="shared" si="50"/>
        <v>0</v>
      </c>
      <c r="U52" s="64"/>
      <c r="V52" s="65"/>
      <c r="W52" s="66"/>
      <c r="X52" s="67"/>
      <c r="Y52" s="68"/>
      <c r="Z52" s="68"/>
      <c r="AA52" s="62">
        <f t="shared" si="51"/>
        <v>0</v>
      </c>
      <c r="AB52" s="63">
        <f t="shared" si="52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26"/>
        <v>0</v>
      </c>
      <c r="AR52" s="83">
        <f t="shared" ref="AR52:AR65" si="53">(D52+J52+O52)-(X52+AH52)</f>
        <v>0</v>
      </c>
    </row>
    <row r="53" spans="1:49" x14ac:dyDescent="0.25">
      <c r="A53" t="str">
        <f t="shared" si="10"/>
        <v>46198E</v>
      </c>
      <c r="B53" s="51">
        <f t="shared" si="28"/>
        <v>46198</v>
      </c>
      <c r="C53" s="52" t="s">
        <v>88</v>
      </c>
      <c r="D53" s="79"/>
      <c r="E53" s="62"/>
      <c r="F53" s="62"/>
      <c r="G53" s="62">
        <f t="shared" si="43"/>
        <v>0</v>
      </c>
      <c r="H53" s="63">
        <f t="shared" si="44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48"/>
        <v>0</v>
      </c>
      <c r="S53" s="62">
        <f t="shared" si="49"/>
        <v>0</v>
      </c>
      <c r="T53" s="63">
        <f t="shared" si="50"/>
        <v>0</v>
      </c>
      <c r="U53" s="64"/>
      <c r="V53" s="65"/>
      <c r="W53" s="66"/>
      <c r="X53" s="67"/>
      <c r="Y53" s="68"/>
      <c r="Z53" s="68"/>
      <c r="AA53" s="62">
        <f t="shared" si="51"/>
        <v>0</v>
      </c>
      <c r="AB53" s="63">
        <f t="shared" si="52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26"/>
        <v>0</v>
      </c>
      <c r="AR53" s="83">
        <f t="shared" si="53"/>
        <v>0</v>
      </c>
    </row>
    <row r="54" spans="1:49" x14ac:dyDescent="0.25">
      <c r="A54" t="str">
        <f t="shared" si="10"/>
        <v>46199M</v>
      </c>
      <c r="B54" s="51">
        <f t="shared" si="28"/>
        <v>46199</v>
      </c>
      <c r="C54" s="52" t="s">
        <v>87</v>
      </c>
      <c r="D54" s="79"/>
      <c r="E54" s="62"/>
      <c r="F54" s="62"/>
      <c r="G54" s="62">
        <f t="shared" si="43"/>
        <v>0</v>
      </c>
      <c r="H54" s="63">
        <f t="shared" si="44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48"/>
        <v>0</v>
      </c>
      <c r="S54" s="62">
        <f t="shared" si="49"/>
        <v>0</v>
      </c>
      <c r="T54" s="63">
        <f t="shared" si="50"/>
        <v>0</v>
      </c>
      <c r="U54" s="64"/>
      <c r="V54" s="65"/>
      <c r="W54" s="66"/>
      <c r="X54" s="67"/>
      <c r="Y54" s="68"/>
      <c r="Z54" s="68"/>
      <c r="AA54" s="62">
        <f t="shared" si="51"/>
        <v>0</v>
      </c>
      <c r="AB54" s="63">
        <f t="shared" si="52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83">
        <f t="shared" si="53"/>
        <v>0</v>
      </c>
    </row>
    <row r="55" spans="1:49" x14ac:dyDescent="0.25">
      <c r="A55" t="str">
        <f t="shared" si="10"/>
        <v>46199E</v>
      </c>
      <c r="B55" s="51">
        <f t="shared" si="28"/>
        <v>46199</v>
      </c>
      <c r="C55" s="52" t="s">
        <v>88</v>
      </c>
      <c r="D55" s="79"/>
      <c r="E55" s="62"/>
      <c r="F55" s="62"/>
      <c r="G55" s="62">
        <f t="shared" si="43"/>
        <v>0</v>
      </c>
      <c r="H55" s="63">
        <f t="shared" si="44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48"/>
        <v>0</v>
      </c>
      <c r="S55" s="62">
        <f t="shared" si="49"/>
        <v>0</v>
      </c>
      <c r="T55" s="63">
        <f t="shared" si="50"/>
        <v>0</v>
      </c>
      <c r="U55" s="64"/>
      <c r="V55" s="65"/>
      <c r="W55" s="66"/>
      <c r="X55" s="67"/>
      <c r="Y55" s="68"/>
      <c r="Z55" s="68"/>
      <c r="AA55" s="62">
        <f t="shared" si="51"/>
        <v>0</v>
      </c>
      <c r="AB55" s="63">
        <f t="shared" si="52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83">
        <f t="shared" si="53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x14ac:dyDescent="0.25">
      <c r="A56" t="str">
        <f t="shared" si="10"/>
        <v>46200M</v>
      </c>
      <c r="B56" s="51">
        <f t="shared" si="28"/>
        <v>46200</v>
      </c>
      <c r="C56" s="52" t="s">
        <v>87</v>
      </c>
      <c r="D56" s="79"/>
      <c r="E56" s="62"/>
      <c r="F56" s="62"/>
      <c r="G56" s="62">
        <f t="shared" si="43"/>
        <v>0</v>
      </c>
      <c r="H56" s="63">
        <f t="shared" si="44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48"/>
        <v>0</v>
      </c>
      <c r="S56" s="62">
        <f t="shared" si="49"/>
        <v>0</v>
      </c>
      <c r="T56" s="63">
        <f t="shared" si="50"/>
        <v>0</v>
      </c>
      <c r="U56" s="64"/>
      <c r="V56" s="65"/>
      <c r="W56" s="66"/>
      <c r="X56" s="67"/>
      <c r="Y56" s="68"/>
      <c r="Z56" s="68"/>
      <c r="AA56" s="62">
        <f t="shared" si="51"/>
        <v>0</v>
      </c>
      <c r="AB56" s="63">
        <f t="shared" si="52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83">
        <f t="shared" si="53"/>
        <v>0</v>
      </c>
    </row>
    <row r="57" spans="1:49" x14ac:dyDescent="0.25">
      <c r="A57" t="str">
        <f t="shared" si="10"/>
        <v>46200E</v>
      </c>
      <c r="B57" s="51">
        <f t="shared" si="28"/>
        <v>46200</v>
      </c>
      <c r="C57" s="52" t="s">
        <v>88</v>
      </c>
      <c r="D57" s="79"/>
      <c r="E57" s="62"/>
      <c r="F57" s="62"/>
      <c r="G57" s="62">
        <f t="shared" si="43"/>
        <v>0</v>
      </c>
      <c r="H57" s="63">
        <f t="shared" si="44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48"/>
        <v>0</v>
      </c>
      <c r="S57" s="62">
        <f t="shared" si="49"/>
        <v>0</v>
      </c>
      <c r="T57" s="63">
        <f t="shared" si="50"/>
        <v>0</v>
      </c>
      <c r="U57" s="64"/>
      <c r="V57" s="65"/>
      <c r="W57" s="66"/>
      <c r="X57" s="67"/>
      <c r="Y57" s="68"/>
      <c r="Z57" s="68"/>
      <c r="AA57" s="62">
        <f t="shared" si="51"/>
        <v>0</v>
      </c>
      <c r="AB57" s="63">
        <f t="shared" si="52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83">
        <f t="shared" si="53"/>
        <v>0</v>
      </c>
    </row>
    <row r="58" spans="1:49" x14ac:dyDescent="0.25">
      <c r="A58" t="str">
        <f t="shared" si="10"/>
        <v>46201M</v>
      </c>
      <c r="B58" s="51">
        <f t="shared" si="28"/>
        <v>46201</v>
      </c>
      <c r="C58" s="52" t="s">
        <v>87</v>
      </c>
      <c r="D58" s="79"/>
      <c r="E58" s="62"/>
      <c r="F58" s="62"/>
      <c r="G58" s="62">
        <f t="shared" ref="G58:G63" si="54">+D58*E58%</f>
        <v>0</v>
      </c>
      <c r="H58" s="63">
        <f t="shared" ref="H58:H63" si="55">+D58*F58%</f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48"/>
        <v>0</v>
      </c>
      <c r="S58" s="62">
        <f t="shared" si="49"/>
        <v>0</v>
      </c>
      <c r="T58" s="63">
        <f t="shared" si="50"/>
        <v>0</v>
      </c>
      <c r="U58" s="64"/>
      <c r="V58" s="65"/>
      <c r="W58" s="66"/>
      <c r="X58" s="67"/>
      <c r="Y58" s="68"/>
      <c r="Z58" s="68"/>
      <c r="AA58" s="62">
        <f t="shared" si="51"/>
        <v>0</v>
      </c>
      <c r="AB58" s="63">
        <f t="shared" si="52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90">
        <f t="shared" si="53"/>
        <v>0</v>
      </c>
    </row>
    <row r="59" spans="1:49" x14ac:dyDescent="0.25">
      <c r="A59" t="str">
        <f t="shared" si="10"/>
        <v>46201E</v>
      </c>
      <c r="B59" s="51">
        <f t="shared" si="28"/>
        <v>46201</v>
      </c>
      <c r="C59" s="52" t="s">
        <v>88</v>
      </c>
      <c r="D59" s="79"/>
      <c r="E59" s="62"/>
      <c r="F59" s="62"/>
      <c r="G59" s="62">
        <f t="shared" si="54"/>
        <v>0</v>
      </c>
      <c r="H59" s="63">
        <f t="shared" si="55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48"/>
        <v>0</v>
      </c>
      <c r="S59" s="62">
        <f t="shared" si="49"/>
        <v>0</v>
      </c>
      <c r="T59" s="63">
        <f t="shared" si="50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90">
        <f t="shared" si="53"/>
        <v>0</v>
      </c>
      <c r="AS59" s="90">
        <f>SUM(J46:J59)</f>
        <v>0</v>
      </c>
      <c r="AT59" s="83">
        <f>SUM(AM46:AM59)</f>
        <v>0</v>
      </c>
      <c r="AU59" s="83">
        <f>SUM(AN46:AN59)</f>
        <v>0</v>
      </c>
      <c r="AV59" s="83">
        <f>SUM(AO46:AO59)</f>
        <v>0</v>
      </c>
      <c r="AW59" s="83">
        <f>-SUM(AQ46:AQ59)</f>
        <v>0</v>
      </c>
    </row>
    <row r="60" spans="1:49" x14ac:dyDescent="0.25">
      <c r="A60" t="str">
        <f t="shared" si="10"/>
        <v>46202M</v>
      </c>
      <c r="B60" s="51">
        <f t="shared" si="28"/>
        <v>46202</v>
      </c>
      <c r="C60" s="52" t="s">
        <v>87</v>
      </c>
      <c r="D60" s="79"/>
      <c r="E60" s="62"/>
      <c r="F60" s="62"/>
      <c r="G60" s="62">
        <f t="shared" si="54"/>
        <v>0</v>
      </c>
      <c r="H60" s="63">
        <f t="shared" si="55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ref="R60:R65" si="56">+J60+O60</f>
        <v>0</v>
      </c>
      <c r="S60" s="62">
        <f t="shared" ref="S60:S65" si="57">+J60*K60%+O60*P60%</f>
        <v>0</v>
      </c>
      <c r="T60" s="63">
        <f t="shared" ref="T60:T65" si="58">+J60*L60%+O60*Q60%</f>
        <v>0</v>
      </c>
      <c r="U60" s="64"/>
      <c r="V60" s="65"/>
      <c r="W60" s="66"/>
      <c r="X60" s="67"/>
      <c r="Y60" s="68"/>
      <c r="Z60" s="68"/>
      <c r="AA60" s="62">
        <f t="shared" ref="AA60:AA65" si="59">X60*Y60%</f>
        <v>0</v>
      </c>
      <c r="AB60" s="63">
        <f t="shared" ref="AB60:AB65" si="60">X60*Z60%</f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90">
        <f t="shared" si="53"/>
        <v>0</v>
      </c>
    </row>
    <row r="61" spans="1:49" x14ac:dyDescent="0.25">
      <c r="A61" t="str">
        <f t="shared" si="10"/>
        <v>46202E</v>
      </c>
      <c r="B61" s="51">
        <f t="shared" si="28"/>
        <v>46202</v>
      </c>
      <c r="C61" s="52" t="s">
        <v>88</v>
      </c>
      <c r="D61" s="79"/>
      <c r="E61" s="62"/>
      <c r="F61" s="62"/>
      <c r="G61" s="62">
        <f t="shared" si="54"/>
        <v>0</v>
      </c>
      <c r="H61" s="63">
        <f t="shared" si="55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56"/>
        <v>0</v>
      </c>
      <c r="S61" s="62">
        <f t="shared" si="57"/>
        <v>0</v>
      </c>
      <c r="T61" s="63">
        <f t="shared" si="58"/>
        <v>0</v>
      </c>
      <c r="U61" s="64"/>
      <c r="V61" s="65"/>
      <c r="W61" s="66"/>
      <c r="X61" s="67"/>
      <c r="Y61" s="68"/>
      <c r="Z61" s="68"/>
      <c r="AA61" s="62">
        <f t="shared" si="59"/>
        <v>0</v>
      </c>
      <c r="AB61" s="63">
        <f t="shared" si="60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90">
        <f t="shared" si="53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0"/>
        <v>46203M</v>
      </c>
      <c r="B62" s="51">
        <f t="shared" si="28"/>
        <v>46203</v>
      </c>
      <c r="C62" s="52" t="s">
        <v>87</v>
      </c>
      <c r="D62" s="79"/>
      <c r="E62" s="62"/>
      <c r="F62" s="62"/>
      <c r="G62" s="62">
        <f t="shared" si="54"/>
        <v>0</v>
      </c>
      <c r="H62" s="63">
        <f t="shared" si="55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56"/>
        <v>0</v>
      </c>
      <c r="S62" s="62">
        <f t="shared" si="57"/>
        <v>0</v>
      </c>
      <c r="T62" s="63">
        <f t="shared" si="58"/>
        <v>0</v>
      </c>
      <c r="U62" s="64"/>
      <c r="V62" s="65"/>
      <c r="W62" s="66"/>
      <c r="X62" s="67"/>
      <c r="Y62" s="68"/>
      <c r="Z62" s="68"/>
      <c r="AA62" s="62">
        <f t="shared" si="59"/>
        <v>0</v>
      </c>
      <c r="AB62" s="63">
        <f t="shared" si="60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90">
        <f t="shared" si="53"/>
        <v>0</v>
      </c>
    </row>
    <row r="63" spans="1:49" x14ac:dyDescent="0.25">
      <c r="A63" t="str">
        <f t="shared" si="10"/>
        <v>46203E</v>
      </c>
      <c r="B63" s="51">
        <f t="shared" si="28"/>
        <v>46203</v>
      </c>
      <c r="C63" s="52" t="s">
        <v>88</v>
      </c>
      <c r="D63" s="79"/>
      <c r="E63" s="62"/>
      <c r="F63" s="62"/>
      <c r="G63" s="62">
        <f t="shared" si="54"/>
        <v>0</v>
      </c>
      <c r="H63" s="63">
        <f t="shared" si="55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56"/>
        <v>0</v>
      </c>
      <c r="S63" s="62">
        <f t="shared" si="57"/>
        <v>0</v>
      </c>
      <c r="T63" s="63">
        <f t="shared" si="58"/>
        <v>0</v>
      </c>
      <c r="U63" s="64"/>
      <c r="V63" s="65"/>
      <c r="W63" s="66"/>
      <c r="X63" s="67"/>
      <c r="Y63" s="68"/>
      <c r="Z63" s="68"/>
      <c r="AA63" s="62">
        <f t="shared" si="59"/>
        <v>0</v>
      </c>
      <c r="AB63" s="63">
        <f t="shared" si="60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90">
        <f t="shared" si="53"/>
        <v>0</v>
      </c>
    </row>
    <row r="64" spans="1:49" x14ac:dyDescent="0.25">
      <c r="A64" t="str">
        <f t="shared" si="10"/>
        <v>46204M</v>
      </c>
      <c r="B64" s="51">
        <f t="shared" si="28"/>
        <v>46204</v>
      </c>
      <c r="C64" s="52" t="s">
        <v>87</v>
      </c>
      <c r="D64" s="79"/>
      <c r="E64" s="62"/>
      <c r="F64" s="62"/>
      <c r="G64" s="62">
        <f t="shared" ref="G64:G65" si="61">+D64*E64%</f>
        <v>0</v>
      </c>
      <c r="H64" s="63">
        <f t="shared" ref="H64:H65" si="62">+D64*F64%</f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56"/>
        <v>0</v>
      </c>
      <c r="S64" s="62">
        <f t="shared" si="57"/>
        <v>0</v>
      </c>
      <c r="T64" s="63">
        <f t="shared" si="58"/>
        <v>0</v>
      </c>
      <c r="U64" s="64"/>
      <c r="V64" s="65"/>
      <c r="W64" s="66"/>
      <c r="X64" s="67"/>
      <c r="Y64" s="68"/>
      <c r="Z64" s="68"/>
      <c r="AA64" s="62">
        <f t="shared" si="59"/>
        <v>0</v>
      </c>
      <c r="AB64" s="63">
        <f t="shared" si="60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90">
        <f t="shared" si="53"/>
        <v>0</v>
      </c>
    </row>
    <row r="65" spans="1:49" x14ac:dyDescent="0.25">
      <c r="A65" t="str">
        <f t="shared" si="10"/>
        <v>46204E</v>
      </c>
      <c r="B65" s="51">
        <f t="shared" si="28"/>
        <v>46204</v>
      </c>
      <c r="C65" s="52" t="s">
        <v>88</v>
      </c>
      <c r="D65" s="79"/>
      <c r="E65" s="62"/>
      <c r="F65" s="62"/>
      <c r="G65" s="62">
        <f t="shared" si="61"/>
        <v>0</v>
      </c>
      <c r="H65" s="63">
        <f t="shared" si="62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56"/>
        <v>0</v>
      </c>
      <c r="S65" s="62">
        <f t="shared" si="57"/>
        <v>0</v>
      </c>
      <c r="T65" s="63">
        <f t="shared" si="58"/>
        <v>0</v>
      </c>
      <c r="U65" s="64"/>
      <c r="V65" s="65"/>
      <c r="W65" s="66"/>
      <c r="X65" s="67"/>
      <c r="Y65" s="68"/>
      <c r="Z65" s="68"/>
      <c r="AA65" s="62">
        <f t="shared" si="59"/>
        <v>0</v>
      </c>
      <c r="AB65" s="63">
        <f t="shared" si="60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90">
        <f t="shared" si="53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184697.74599999998</v>
      </c>
      <c r="AM66" s="98">
        <f>-SUM(AM4:AM65)</f>
        <v>208.65399999999886</v>
      </c>
      <c r="AN66" s="98">
        <f>-SUM(AN4:AN65)</f>
        <v>40.57979099999956</v>
      </c>
      <c r="AO66" s="98">
        <f>-SUM(AO4:AO65)</f>
        <v>-7.8802030000003498</v>
      </c>
      <c r="AQ66" s="98">
        <f>-SUM(AQ4:AQ65)</f>
        <v>15858.339358656363</v>
      </c>
    </row>
    <row r="68" spans="1:49" x14ac:dyDescent="0.25">
      <c r="AQ68">
        <v>17745.614131332622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9" priority="2" operator="lessThan">
      <formula>0.1</formula>
    </cfRule>
    <cfRule type="cellIs" dxfId="18" priority="3" operator="greaterThan">
      <formula>0.1</formula>
    </cfRule>
  </conditionalFormatting>
  <conditionalFormatting sqref="AP1:AQ1">
    <cfRule type="cellIs" dxfId="17" priority="1" operator="lessThan">
      <formula>1</formula>
    </cfRule>
  </conditionalFormatting>
  <conditionalFormatting sqref="AQ4:AQ65">
    <cfRule type="cellIs" dxfId="16" priority="18" operator="lessThan">
      <formula>0</formula>
    </cfRule>
    <cfRule type="cellIs" dxfId="15" priority="19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66"/>
  <sheetViews>
    <sheetView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V36" sqref="V36"/>
    </sheetView>
  </sheetViews>
  <sheetFormatPr defaultRowHeight="15" x14ac:dyDescent="0.25"/>
  <cols>
    <col min="1" max="1" width="3.42578125" customWidth="1"/>
    <col min="2" max="2" width="14" customWidth="1"/>
    <col min="3" max="3" width="5.7109375" bestFit="1" customWidth="1"/>
    <col min="4" max="4" width="7.85546875" bestFit="1" customWidth="1"/>
    <col min="5" max="5" width="5.85546875" bestFit="1" customWidth="1"/>
    <col min="6" max="6" width="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10.7109375" bestFit="1" customWidth="1"/>
    <col min="22" max="22" width="9" customWidth="1"/>
    <col min="23" max="23" width="10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4.42578125" bestFit="1" customWidth="1"/>
    <col min="45" max="45" width="6.5703125" bestFit="1" customWidth="1"/>
    <col min="46" max="46" width="7.5703125" bestFit="1" customWidth="1"/>
    <col min="47" max="47" width="5.7109375" bestFit="1" customWidth="1"/>
    <col min="48" max="48" width="6.5703125" bestFit="1" customWidth="1"/>
    <col min="49" max="49" width="9.28515625" bestFit="1" customWidth="1"/>
  </cols>
  <sheetData>
    <row r="1" spans="1:44" ht="15.75" thickBot="1" x14ac:dyDescent="0.3">
      <c r="B1" s="43" t="s">
        <v>135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/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7890</v>
      </c>
      <c r="E4" s="88">
        <v>4.18</v>
      </c>
      <c r="F4" s="88">
        <v>8.11</v>
      </c>
      <c r="G4" s="62">
        <f t="shared" ref="G4" si="0">+D4*E4%</f>
        <v>329.80199999999996</v>
      </c>
      <c r="H4" s="63">
        <f t="shared" ref="H4" si="1">+D4*F4%</f>
        <v>639.87899999999991</v>
      </c>
      <c r="I4" s="203">
        <v>1476.86</v>
      </c>
      <c r="J4" s="203">
        <v>1521.1658</v>
      </c>
      <c r="K4" s="203">
        <v>4.410802648863128</v>
      </c>
      <c r="L4" s="203">
        <v>8.1869642349308638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1521.1658</v>
      </c>
      <c r="S4" s="62">
        <f>+J4*K4%+O4*P4%</f>
        <v>67.095621399999999</v>
      </c>
      <c r="T4" s="63">
        <f>+J4*L4%+O4*Q4%</f>
        <v>124.53729999999996</v>
      </c>
      <c r="U4" s="64" t="s">
        <v>179</v>
      </c>
      <c r="V4" s="65" t="s">
        <v>180</v>
      </c>
      <c r="W4" s="66" t="s">
        <v>181</v>
      </c>
      <c r="X4" s="67">
        <v>6250</v>
      </c>
      <c r="Y4" s="68">
        <v>4.45</v>
      </c>
      <c r="Z4" s="68">
        <v>8.42</v>
      </c>
      <c r="AA4" s="62">
        <f t="shared" ref="AA4" si="2">X4*Y4%</f>
        <v>278.12500000000006</v>
      </c>
      <c r="AB4" s="63">
        <f t="shared" ref="AB4" si="3">X4*Z4%</f>
        <v>526.25</v>
      </c>
      <c r="AC4" s="69">
        <v>6250</v>
      </c>
      <c r="AD4" s="70">
        <v>4.3</v>
      </c>
      <c r="AE4" s="70">
        <v>8.27</v>
      </c>
      <c r="AF4" s="62">
        <f t="shared" ref="AF4" si="4">AC4*AD4%</f>
        <v>268.75</v>
      </c>
      <c r="AG4" s="63">
        <f t="shared" ref="AG4" si="5">AC4*AE4%</f>
        <v>516.875</v>
      </c>
      <c r="AH4" s="66">
        <v>3161</v>
      </c>
      <c r="AI4" s="66">
        <v>4.21</v>
      </c>
      <c r="AJ4" s="66">
        <v>8.1199999999999992</v>
      </c>
      <c r="AK4" s="62">
        <f t="shared" ref="AK4" si="6">AH4*AI4%</f>
        <v>133.07810000000001</v>
      </c>
      <c r="AL4" s="72">
        <f t="shared" ref="AL4" si="7">AH4*AJ4%</f>
        <v>256.67320000000001</v>
      </c>
      <c r="AM4" s="73">
        <f>+D4+R4-AC4-AH4</f>
        <v>0.1658000000006723</v>
      </c>
      <c r="AN4" s="74">
        <f t="shared" ref="AN4:AO19" si="8">+G4+S4-AF4-AK4</f>
        <v>-4.9304786000000718</v>
      </c>
      <c r="AO4" s="74">
        <f t="shared" si="8"/>
        <v>-9.1319000000001438</v>
      </c>
      <c r="AP4" s="75">
        <f>(AN4+AO4)/(S4+T4)</f>
        <v>-7.3381851600787723E-2</v>
      </c>
      <c r="AQ4" s="76">
        <f t="shared" ref="AQ4:AQ65" si="9">($AP$1*AN4+$AQ$1*AO4)</f>
        <v>-4946.2753009927419</v>
      </c>
      <c r="AR4" s="90">
        <f>(D4+J4+O4)-(X4+AH4)</f>
        <v>0.1658000000006723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3161</v>
      </c>
      <c r="E5" s="62">
        <v>4.21</v>
      </c>
      <c r="F5" s="62">
        <v>8.1199999999999992</v>
      </c>
      <c r="G5" s="62">
        <f t="shared" ref="G5:G65" si="11">+D5*E5%</f>
        <v>133.07810000000001</v>
      </c>
      <c r="H5" s="63">
        <f t="shared" ref="H5:H65" si="12">+D5*F5%</f>
        <v>256.67320000000001</v>
      </c>
      <c r="I5" s="203">
        <v>2048.54</v>
      </c>
      <c r="J5" s="203">
        <v>2109.9962</v>
      </c>
      <c r="K5" s="203">
        <v>4.0045222451111524</v>
      </c>
      <c r="L5" s="203">
        <v>8.0863444209046467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2109.9962</v>
      </c>
      <c r="S5" s="62">
        <f t="shared" ref="S5:S65" si="14">+J5*K5%+O5*P5%</f>
        <v>84.495267200000001</v>
      </c>
      <c r="T5" s="63">
        <f t="shared" ref="T5:T65" si="15">+J5*L5%+O5*Q5%</f>
        <v>170.62156000000004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66">
        <v>5270</v>
      </c>
      <c r="AI5" s="66">
        <v>4.12</v>
      </c>
      <c r="AJ5" s="66">
        <v>8.1</v>
      </c>
      <c r="AK5" s="62">
        <f t="shared" ref="AK5:AK65" si="20">AH5*AI5%</f>
        <v>217.124</v>
      </c>
      <c r="AL5" s="72">
        <f t="shared" ref="AL5:AL65" si="21">AH5*AJ5%</f>
        <v>426.87</v>
      </c>
      <c r="AM5" s="73">
        <f t="shared" ref="AM5:AM65" si="22">+D5+R5-AC5-AH5</f>
        <v>0.99619999999958964</v>
      </c>
      <c r="AN5" s="74">
        <f t="shared" si="8"/>
        <v>0.44936720000001174</v>
      </c>
      <c r="AO5" s="74">
        <f t="shared" si="8"/>
        <v>0.42476000000004888</v>
      </c>
      <c r="AP5" s="75">
        <f t="shared" ref="AP5:AP65" si="23">(AN5+AO5)/(S5+T5)</f>
        <v>3.4263800220233395E-3</v>
      </c>
      <c r="AQ5" s="76">
        <f t="shared" si="9"/>
        <v>328.84477081868658</v>
      </c>
      <c r="AR5" s="90">
        <f t="shared" ref="AR5:AR65" si="24">(D5+J5+O5)-(X5+AH5)</f>
        <v>0.99619999999958964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5270</v>
      </c>
      <c r="E6" s="62">
        <v>4.12</v>
      </c>
      <c r="F6" s="62">
        <v>8.1</v>
      </c>
      <c r="G6" s="62">
        <f t="shared" si="11"/>
        <v>217.124</v>
      </c>
      <c r="H6" s="63">
        <f t="shared" si="12"/>
        <v>426.87</v>
      </c>
      <c r="I6" s="203">
        <v>1771.2800000000002</v>
      </c>
      <c r="J6" s="203">
        <v>1824.4184000000002</v>
      </c>
      <c r="K6" s="203">
        <v>4.6481651686915697</v>
      </c>
      <c r="L6" s="203">
        <v>8.2074183641208638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1824.4184000000002</v>
      </c>
      <c r="S6" s="62">
        <f t="shared" si="14"/>
        <v>84.80198060000005</v>
      </c>
      <c r="T6" s="63">
        <f t="shared" si="15"/>
        <v>149.73765080000007</v>
      </c>
      <c r="U6" s="64" t="s">
        <v>179</v>
      </c>
      <c r="V6" s="65" t="s">
        <v>182</v>
      </c>
      <c r="W6" s="66" t="s">
        <v>183</v>
      </c>
      <c r="X6" s="67">
        <v>5460</v>
      </c>
      <c r="Y6" s="68">
        <v>4.2</v>
      </c>
      <c r="Z6" s="68">
        <v>8.25</v>
      </c>
      <c r="AA6" s="62">
        <f t="shared" si="16"/>
        <v>229.32000000000002</v>
      </c>
      <c r="AB6" s="63">
        <f t="shared" si="17"/>
        <v>450.45000000000005</v>
      </c>
      <c r="AC6" s="69">
        <v>5440</v>
      </c>
      <c r="AD6" s="70">
        <v>4.2</v>
      </c>
      <c r="AE6" s="70">
        <v>8.1199999999999992</v>
      </c>
      <c r="AF6" s="62">
        <f t="shared" si="18"/>
        <v>228.48000000000002</v>
      </c>
      <c r="AG6" s="63">
        <f t="shared" si="19"/>
        <v>441.72799999999995</v>
      </c>
      <c r="AH6" s="66">
        <v>1634</v>
      </c>
      <c r="AI6" s="66">
        <v>4.26</v>
      </c>
      <c r="AJ6" s="66">
        <v>8.1199999999999992</v>
      </c>
      <c r="AK6" s="62">
        <f t="shared" si="20"/>
        <v>69.608400000000003</v>
      </c>
      <c r="AL6" s="72">
        <f t="shared" si="21"/>
        <v>132.6808</v>
      </c>
      <c r="AM6" s="73">
        <f t="shared" si="22"/>
        <v>20.418400000000474</v>
      </c>
      <c r="AN6" s="74">
        <f t="shared" si="8"/>
        <v>3.8375806000000381</v>
      </c>
      <c r="AO6" s="74">
        <f t="shared" si="8"/>
        <v>2.1988508000001445</v>
      </c>
      <c r="AP6" s="75">
        <f t="shared" si="23"/>
        <v>2.5737362014120482E-2</v>
      </c>
      <c r="AQ6" s="76">
        <f t="shared" si="9"/>
        <v>2380.7857155647271</v>
      </c>
      <c r="AR6" s="90">
        <f t="shared" si="24"/>
        <v>0.41840000000047439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1634</v>
      </c>
      <c r="E7" s="62">
        <v>4.26</v>
      </c>
      <c r="F7" s="62">
        <v>8.1199999999999992</v>
      </c>
      <c r="G7" s="62">
        <f t="shared" si="11"/>
        <v>69.608400000000003</v>
      </c>
      <c r="H7" s="63">
        <f t="shared" si="12"/>
        <v>132.6808</v>
      </c>
      <c r="I7" s="203">
        <v>2317.5999999999995</v>
      </c>
      <c r="J7" s="203">
        <v>2387.1279999999997</v>
      </c>
      <c r="K7" s="203">
        <v>3.9770857783914404</v>
      </c>
      <c r="L7" s="203">
        <v>8.0325949257852951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2387.1279999999997</v>
      </c>
      <c r="S7" s="62">
        <f t="shared" si="14"/>
        <v>94.938128200000008</v>
      </c>
      <c r="T7" s="63">
        <f t="shared" si="15"/>
        <v>191.74832259999999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4021</v>
      </c>
      <c r="AI7" s="66">
        <v>4.09</v>
      </c>
      <c r="AJ7" s="66">
        <v>8.06</v>
      </c>
      <c r="AK7" s="62">
        <f t="shared" si="20"/>
        <v>164.4589</v>
      </c>
      <c r="AL7" s="72">
        <f t="shared" si="21"/>
        <v>324.0926</v>
      </c>
      <c r="AM7" s="73">
        <f t="shared" si="22"/>
        <v>0.12799999999970169</v>
      </c>
      <c r="AN7" s="74">
        <f t="shared" si="8"/>
        <v>8.7628200000011702E-2</v>
      </c>
      <c r="AO7" s="74">
        <f t="shared" si="8"/>
        <v>0.33652260000002343</v>
      </c>
      <c r="AP7" s="75">
        <f t="shared" si="23"/>
        <v>1.4794937075555549E-3</v>
      </c>
      <c r="AQ7" s="76">
        <f t="shared" si="9"/>
        <v>140.04941550601228</v>
      </c>
      <c r="AR7" s="90">
        <f t="shared" si="24"/>
        <v>0.12799999999970169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4021</v>
      </c>
      <c r="E8" s="62">
        <v>4.09</v>
      </c>
      <c r="F8" s="62">
        <v>8.06</v>
      </c>
      <c r="G8" s="62">
        <f t="shared" si="11"/>
        <v>164.4589</v>
      </c>
      <c r="H8" s="63">
        <f t="shared" si="12"/>
        <v>324.0926</v>
      </c>
      <c r="I8" s="203">
        <v>2032.3200000000002</v>
      </c>
      <c r="J8" s="203">
        <v>2093.2896000000001</v>
      </c>
      <c r="K8" s="203">
        <v>4.693431152574397</v>
      </c>
      <c r="L8" s="203">
        <v>8.2018402613761623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2093.2896000000001</v>
      </c>
      <c r="S8" s="62">
        <f t="shared" si="14"/>
        <v>98.24710619999999</v>
      </c>
      <c r="T8" s="63">
        <f t="shared" si="15"/>
        <v>171.68826920000004</v>
      </c>
      <c r="U8" s="64" t="s">
        <v>184</v>
      </c>
      <c r="V8" s="65" t="s">
        <v>185</v>
      </c>
      <c r="W8" s="66" t="s">
        <v>181</v>
      </c>
      <c r="X8" s="67">
        <v>3820</v>
      </c>
      <c r="Y8" s="68">
        <v>4.0999999999999996</v>
      </c>
      <c r="Z8" s="68">
        <v>7.98</v>
      </c>
      <c r="AA8" s="62">
        <f t="shared" si="16"/>
        <v>156.61999999999998</v>
      </c>
      <c r="AB8" s="63">
        <f t="shared" si="17"/>
        <v>304.83600000000001</v>
      </c>
      <c r="AC8" s="228">
        <v>3820</v>
      </c>
      <c r="AD8" s="229">
        <v>4.0999999999999996</v>
      </c>
      <c r="AE8" s="229">
        <v>7.98</v>
      </c>
      <c r="AF8" s="62">
        <f t="shared" si="18"/>
        <v>156.61999999999998</v>
      </c>
      <c r="AG8" s="63">
        <f t="shared" si="19"/>
        <v>304.83600000000001</v>
      </c>
      <c r="AH8" s="66">
        <v>2294</v>
      </c>
      <c r="AI8" s="66">
        <v>4.29</v>
      </c>
      <c r="AJ8" s="66">
        <v>8.1</v>
      </c>
      <c r="AK8" s="62">
        <f t="shared" si="20"/>
        <v>98.412599999999998</v>
      </c>
      <c r="AL8" s="72">
        <f t="shared" si="21"/>
        <v>185.81399999999999</v>
      </c>
      <c r="AM8" s="73">
        <f t="shared" si="22"/>
        <v>0.28960000000006403</v>
      </c>
      <c r="AN8" s="74">
        <f t="shared" si="8"/>
        <v>7.6734062000000165</v>
      </c>
      <c r="AO8" s="74">
        <f t="shared" si="8"/>
        <v>5.1308692000000349</v>
      </c>
      <c r="AP8" s="75">
        <f t="shared" si="23"/>
        <v>4.7434595710274037E-2</v>
      </c>
      <c r="AQ8" s="76">
        <f t="shared" si="9"/>
        <v>4980.2011056233514</v>
      </c>
      <c r="AR8" s="90">
        <f t="shared" si="24"/>
        <v>0.28960000000006403</v>
      </c>
    </row>
    <row r="9" spans="1:44" x14ac:dyDescent="0.25">
      <c r="A9" t="str">
        <f t="shared" si="10"/>
        <v>46176E</v>
      </c>
      <c r="B9" s="51">
        <f t="shared" ref="B9:B65" si="25">+B7+1</f>
        <v>46176</v>
      </c>
      <c r="C9" s="52" t="s">
        <v>88</v>
      </c>
      <c r="D9" s="91">
        <v>2294</v>
      </c>
      <c r="E9" s="62">
        <v>4.29</v>
      </c>
      <c r="F9" s="62">
        <v>8.1</v>
      </c>
      <c r="G9" s="62">
        <f t="shared" si="11"/>
        <v>98.412599999999998</v>
      </c>
      <c r="H9" s="63">
        <f t="shared" si="12"/>
        <v>185.81399999999999</v>
      </c>
      <c r="I9" s="203">
        <v>2081.58</v>
      </c>
      <c r="J9" s="203">
        <v>2144.0273999999999</v>
      </c>
      <c r="K9" s="203">
        <v>4.0756819339155843</v>
      </c>
      <c r="L9" s="203">
        <v>8.0421852631174389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2144.0273999999999</v>
      </c>
      <c r="S9" s="62">
        <f t="shared" si="14"/>
        <v>87.383737400000015</v>
      </c>
      <c r="T9" s="63">
        <f t="shared" si="15"/>
        <v>172.42665559999998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4438</v>
      </c>
      <c r="AI9" s="66">
        <v>4.18</v>
      </c>
      <c r="AJ9" s="66">
        <v>8.07</v>
      </c>
      <c r="AK9" s="62">
        <f t="shared" si="20"/>
        <v>185.50839999999999</v>
      </c>
      <c r="AL9" s="72">
        <f t="shared" si="21"/>
        <v>358.14660000000003</v>
      </c>
      <c r="AM9" s="73">
        <f t="shared" si="22"/>
        <v>2.7399999999943248E-2</v>
      </c>
      <c r="AN9" s="74">
        <f t="shared" si="8"/>
        <v>0.28793740000003254</v>
      </c>
      <c r="AO9" s="74">
        <f t="shared" si="8"/>
        <v>9.4055599999933293E-2</v>
      </c>
      <c r="AP9" s="75">
        <f t="shared" si="23"/>
        <v>1.4702760562775711E-3</v>
      </c>
      <c r="AQ9" s="76">
        <f t="shared" si="9"/>
        <v>157.40631116466133</v>
      </c>
      <c r="AR9" s="90">
        <f t="shared" si="24"/>
        <v>2.7399999999943248E-2</v>
      </c>
    </row>
    <row r="10" spans="1:44" x14ac:dyDescent="0.25">
      <c r="A10" t="str">
        <f t="shared" si="10"/>
        <v>46177M</v>
      </c>
      <c r="B10" s="51">
        <f t="shared" si="25"/>
        <v>46177</v>
      </c>
      <c r="C10" s="52" t="s">
        <v>87</v>
      </c>
      <c r="D10" s="91">
        <v>4438</v>
      </c>
      <c r="E10" s="62">
        <v>4.18</v>
      </c>
      <c r="F10" s="62">
        <v>8.07</v>
      </c>
      <c r="G10" s="62">
        <f t="shared" si="11"/>
        <v>185.50839999999999</v>
      </c>
      <c r="H10" s="63">
        <f t="shared" si="12"/>
        <v>358.14660000000003</v>
      </c>
      <c r="I10" s="203">
        <v>1686.98</v>
      </c>
      <c r="J10" s="203">
        <v>1737.5894000000001</v>
      </c>
      <c r="K10" s="203">
        <v>4.7149237098246575</v>
      </c>
      <c r="L10" s="203">
        <v>8.2552988180061426</v>
      </c>
      <c r="M10" s="57" t="s">
        <v>177</v>
      </c>
      <c r="N10" s="58" t="s">
        <v>178</v>
      </c>
      <c r="O10" s="59">
        <v>3820</v>
      </c>
      <c r="P10" s="56">
        <v>4.0999999999999996</v>
      </c>
      <c r="Q10" s="60">
        <v>7.98</v>
      </c>
      <c r="R10" s="61">
        <f t="shared" si="13"/>
        <v>5557.5893999999998</v>
      </c>
      <c r="S10" s="62">
        <f t="shared" si="14"/>
        <v>238.54601459999998</v>
      </c>
      <c r="T10" s="63">
        <f t="shared" si="15"/>
        <v>448.27919720000006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6"/>
        <v>0</v>
      </c>
      <c r="AB10" s="63">
        <f t="shared" si="17"/>
        <v>0</v>
      </c>
      <c r="AC10" s="69"/>
      <c r="AD10" s="70"/>
      <c r="AE10" s="70"/>
      <c r="AF10" s="62">
        <f t="shared" si="18"/>
        <v>0</v>
      </c>
      <c r="AG10" s="63">
        <f t="shared" si="19"/>
        <v>0</v>
      </c>
      <c r="AH10" s="66">
        <v>9995</v>
      </c>
      <c r="AI10" s="66">
        <v>4.2300000000000004</v>
      </c>
      <c r="AJ10" s="66">
        <v>8.07</v>
      </c>
      <c r="AK10" s="62">
        <f t="shared" si="20"/>
        <v>422.78850000000006</v>
      </c>
      <c r="AL10" s="72">
        <f t="shared" si="21"/>
        <v>806.59650000000011</v>
      </c>
      <c r="AM10" s="73">
        <f t="shared" si="22"/>
        <v>0.58940000000075088</v>
      </c>
      <c r="AN10" s="74">
        <f t="shared" si="8"/>
        <v>1.2659145999999168</v>
      </c>
      <c r="AO10" s="74">
        <f t="shared" si="8"/>
        <v>-0.17070280000007187</v>
      </c>
      <c r="AP10" s="75">
        <f t="shared" si="23"/>
        <v>1.5946004619276628E-3</v>
      </c>
      <c r="AQ10" s="76">
        <f t="shared" si="9"/>
        <v>517.19492712060776</v>
      </c>
      <c r="AR10" s="90">
        <f t="shared" si="24"/>
        <v>0.58940000000075088</v>
      </c>
    </row>
    <row r="11" spans="1:44" x14ac:dyDescent="0.25">
      <c r="A11" t="str">
        <f t="shared" si="10"/>
        <v>46177E</v>
      </c>
      <c r="B11" s="51">
        <f t="shared" si="25"/>
        <v>46177</v>
      </c>
      <c r="C11" s="52" t="s">
        <v>88</v>
      </c>
      <c r="D11" s="91">
        <v>9995</v>
      </c>
      <c r="E11" s="62">
        <v>4.2300000000000004</v>
      </c>
      <c r="F11" s="62">
        <v>8.07</v>
      </c>
      <c r="G11" s="62">
        <f t="shared" si="11"/>
        <v>422.78850000000006</v>
      </c>
      <c r="H11" s="63">
        <f t="shared" si="12"/>
        <v>806.59650000000011</v>
      </c>
      <c r="I11" s="203">
        <v>1838.5600000000002</v>
      </c>
      <c r="J11" s="203">
        <v>1893.7168000000001</v>
      </c>
      <c r="K11" s="203">
        <v>3.9953735532155603</v>
      </c>
      <c r="L11" s="203">
        <v>8.0748226873205127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1893.7168000000001</v>
      </c>
      <c r="S11" s="62">
        <f t="shared" si="14"/>
        <v>75.661060200000009</v>
      </c>
      <c r="T11" s="63">
        <f t="shared" si="15"/>
        <v>152.91427380000002</v>
      </c>
      <c r="U11" s="64" t="s">
        <v>184</v>
      </c>
      <c r="V11" s="65" t="s">
        <v>186</v>
      </c>
      <c r="W11" s="66" t="s">
        <v>181</v>
      </c>
      <c r="X11" s="67">
        <v>8920</v>
      </c>
      <c r="Y11" s="68">
        <v>3.83</v>
      </c>
      <c r="Z11" s="68">
        <v>7.76</v>
      </c>
      <c r="AA11" s="62">
        <f t="shared" si="16"/>
        <v>341.63600000000002</v>
      </c>
      <c r="AB11" s="63">
        <f t="shared" si="17"/>
        <v>692.19200000000001</v>
      </c>
      <c r="AC11" s="69">
        <v>8800</v>
      </c>
      <c r="AD11" s="70">
        <v>3.8259090909090916</v>
      </c>
      <c r="AE11" s="70">
        <v>7.7597954545454551</v>
      </c>
      <c r="AF11" s="62">
        <f t="shared" si="18"/>
        <v>336.68000000000006</v>
      </c>
      <c r="AG11" s="63">
        <f t="shared" si="19"/>
        <v>682.86200000000008</v>
      </c>
      <c r="AH11" s="66">
        <v>3620</v>
      </c>
      <c r="AI11" s="66">
        <v>4.3</v>
      </c>
      <c r="AJ11" s="66">
        <v>8.1999999999999993</v>
      </c>
      <c r="AK11" s="62">
        <f t="shared" si="20"/>
        <v>155.66</v>
      </c>
      <c r="AL11" s="72">
        <f t="shared" si="21"/>
        <v>296.83999999999997</v>
      </c>
      <c r="AM11" s="73">
        <f t="shared" si="22"/>
        <v>-531.28319999999985</v>
      </c>
      <c r="AN11" s="74">
        <f t="shared" si="8"/>
        <v>6.1095602000000042</v>
      </c>
      <c r="AO11" s="74">
        <f t="shared" si="8"/>
        <v>-20.191226199999903</v>
      </c>
      <c r="AP11" s="75">
        <f t="shared" si="23"/>
        <v>-6.1606236130447467E-2</v>
      </c>
      <c r="AQ11" s="76">
        <f t="shared" si="9"/>
        <v>-3300.0528995793029</v>
      </c>
      <c r="AR11" s="90">
        <f t="shared" si="24"/>
        <v>-651.28319999999985</v>
      </c>
    </row>
    <row r="12" spans="1:44" x14ac:dyDescent="0.25">
      <c r="A12" t="str">
        <f t="shared" si="10"/>
        <v>46178M</v>
      </c>
      <c r="B12" s="51">
        <f t="shared" si="25"/>
        <v>46178</v>
      </c>
      <c r="C12" s="52" t="s">
        <v>87</v>
      </c>
      <c r="D12" s="91">
        <v>3620</v>
      </c>
      <c r="E12" s="62">
        <v>4.3</v>
      </c>
      <c r="F12" s="62">
        <v>8.1999999999999993</v>
      </c>
      <c r="G12" s="62">
        <f t="shared" si="11"/>
        <v>155.66</v>
      </c>
      <c r="H12" s="63">
        <f t="shared" si="12"/>
        <v>296.83999999999997</v>
      </c>
      <c r="I12" s="203">
        <v>1648.0399999999997</v>
      </c>
      <c r="J12" s="203">
        <v>1697.4811999999997</v>
      </c>
      <c r="K12" s="203">
        <v>4.579359724278536</v>
      </c>
      <c r="L12" s="203">
        <v>8.2218332079318461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1697.4811999999997</v>
      </c>
      <c r="S12" s="62">
        <f t="shared" si="14"/>
        <v>77.733770399999969</v>
      </c>
      <c r="T12" s="63">
        <f t="shared" si="15"/>
        <v>139.56407299999998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5317</v>
      </c>
      <c r="AI12" s="66">
        <v>4.38</v>
      </c>
      <c r="AJ12" s="66">
        <v>8.1999999999999993</v>
      </c>
      <c r="AK12" s="62">
        <f t="shared" si="20"/>
        <v>232.88460000000001</v>
      </c>
      <c r="AL12" s="72">
        <f t="shared" si="21"/>
        <v>435.99399999999997</v>
      </c>
      <c r="AM12" s="73">
        <f t="shared" si="22"/>
        <v>0.48120000000017171</v>
      </c>
      <c r="AN12" s="74">
        <f t="shared" si="8"/>
        <v>0.5091703999999595</v>
      </c>
      <c r="AO12" s="74">
        <f t="shared" si="8"/>
        <v>0.41007299999995439</v>
      </c>
      <c r="AP12" s="75">
        <f t="shared" si="23"/>
        <v>4.2303383485853508E-3</v>
      </c>
      <c r="AQ12" s="76">
        <f t="shared" si="9"/>
        <v>351.29559788396818</v>
      </c>
      <c r="AR12" s="90">
        <f t="shared" si="24"/>
        <v>0.48120000000017171</v>
      </c>
    </row>
    <row r="13" spans="1:44" x14ac:dyDescent="0.25">
      <c r="A13" t="str">
        <f t="shared" si="10"/>
        <v>46178E</v>
      </c>
      <c r="B13" s="51">
        <f t="shared" si="25"/>
        <v>46178</v>
      </c>
      <c r="C13" s="52" t="s">
        <v>88</v>
      </c>
      <c r="D13" s="91">
        <v>5317</v>
      </c>
      <c r="E13" s="62">
        <v>4.38</v>
      </c>
      <c r="F13" s="62">
        <v>8.1999999999999993</v>
      </c>
      <c r="G13" s="62">
        <f t="shared" si="11"/>
        <v>232.88460000000001</v>
      </c>
      <c r="H13" s="63">
        <f t="shared" si="12"/>
        <v>435.99399999999997</v>
      </c>
      <c r="I13" s="203">
        <v>2475.67</v>
      </c>
      <c r="J13" s="203">
        <v>2549.9401000000003</v>
      </c>
      <c r="K13" s="203">
        <v>3.9447260741536643</v>
      </c>
      <c r="L13" s="203">
        <v>8.0684206699600516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2549.9401000000003</v>
      </c>
      <c r="S13" s="62">
        <f t="shared" si="14"/>
        <v>100.58815200000004</v>
      </c>
      <c r="T13" s="63">
        <f t="shared" si="15"/>
        <v>205.73989410000001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7866</v>
      </c>
      <c r="AI13" s="66">
        <v>4.2300000000000004</v>
      </c>
      <c r="AJ13" s="66">
        <v>8.16</v>
      </c>
      <c r="AK13" s="62">
        <f t="shared" si="20"/>
        <v>332.73180000000002</v>
      </c>
      <c r="AL13" s="72">
        <f t="shared" si="21"/>
        <v>641.86560000000009</v>
      </c>
      <c r="AM13" s="73">
        <f t="shared" si="22"/>
        <v>0.94009999999980209</v>
      </c>
      <c r="AN13" s="74">
        <f t="shared" si="8"/>
        <v>0.74095199999999295</v>
      </c>
      <c r="AO13" s="74">
        <f t="shared" si="8"/>
        <v>-0.13170590000004267</v>
      </c>
      <c r="AP13" s="75">
        <f t="shared" si="23"/>
        <v>1.9888681684766905E-3</v>
      </c>
      <c r="AQ13" s="76">
        <f t="shared" si="9"/>
        <v>293.20469860731743</v>
      </c>
      <c r="AR13" s="90">
        <f t="shared" si="24"/>
        <v>0.94009999999980209</v>
      </c>
    </row>
    <row r="14" spans="1:44" x14ac:dyDescent="0.25">
      <c r="A14" t="str">
        <f t="shared" si="10"/>
        <v>46179M</v>
      </c>
      <c r="B14" s="51">
        <f t="shared" si="25"/>
        <v>46179</v>
      </c>
      <c r="C14" s="52" t="s">
        <v>87</v>
      </c>
      <c r="D14" s="91">
        <v>7866</v>
      </c>
      <c r="E14" s="62">
        <v>4.2300000000000004</v>
      </c>
      <c r="F14" s="62">
        <v>8.16</v>
      </c>
      <c r="G14" s="62">
        <f t="shared" si="11"/>
        <v>332.73180000000002</v>
      </c>
      <c r="H14" s="63">
        <f t="shared" si="12"/>
        <v>641.86560000000009</v>
      </c>
      <c r="I14" s="203">
        <v>1902.2399999999998</v>
      </c>
      <c r="J14" s="203">
        <v>1959.3071999999997</v>
      </c>
      <c r="K14" s="203">
        <v>4.6272678526368916</v>
      </c>
      <c r="L14" s="203">
        <v>8.137560980738499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1959.3071999999997</v>
      </c>
      <c r="S14" s="62">
        <f t="shared" si="14"/>
        <v>90.662392199999999</v>
      </c>
      <c r="T14" s="63">
        <f t="shared" si="15"/>
        <v>159.43981820000002</v>
      </c>
      <c r="U14" s="64" t="s">
        <v>184</v>
      </c>
      <c r="V14" s="65" t="s">
        <v>385</v>
      </c>
      <c r="W14" s="66" t="s">
        <v>183</v>
      </c>
      <c r="X14" s="67">
        <v>5130</v>
      </c>
      <c r="Y14" s="68">
        <v>4.0999999999999996</v>
      </c>
      <c r="Z14" s="68">
        <v>8.35</v>
      </c>
      <c r="AA14" s="62">
        <f t="shared" si="16"/>
        <v>210.32999999999998</v>
      </c>
      <c r="AB14" s="63">
        <f t="shared" si="17"/>
        <v>428.35499999999996</v>
      </c>
      <c r="AC14" s="69">
        <v>5130</v>
      </c>
      <c r="AD14" s="70">
        <v>4.05</v>
      </c>
      <c r="AE14" s="70">
        <v>8.09</v>
      </c>
      <c r="AF14" s="62">
        <f t="shared" si="18"/>
        <v>207.76500000000001</v>
      </c>
      <c r="AG14" s="63">
        <f t="shared" si="19"/>
        <v>415.017</v>
      </c>
      <c r="AH14" s="66">
        <v>4695</v>
      </c>
      <c r="AI14" s="66">
        <v>4.3</v>
      </c>
      <c r="AJ14" s="66">
        <v>8.15</v>
      </c>
      <c r="AK14" s="62">
        <f t="shared" si="20"/>
        <v>201.88499999999999</v>
      </c>
      <c r="AL14" s="72">
        <f t="shared" si="21"/>
        <v>382.64250000000004</v>
      </c>
      <c r="AM14" s="73">
        <f t="shared" si="22"/>
        <v>0.30719999999928405</v>
      </c>
      <c r="AN14" s="74">
        <f t="shared" si="8"/>
        <v>13.744192200000015</v>
      </c>
      <c r="AO14" s="74">
        <f t="shared" si="8"/>
        <v>3.6459182000000396</v>
      </c>
      <c r="AP14" s="75">
        <f t="shared" si="23"/>
        <v>6.9532014020136992E-2</v>
      </c>
      <c r="AQ14" s="76">
        <f t="shared" si="9"/>
        <v>7261.0314132766862</v>
      </c>
      <c r="AR14" s="90">
        <f t="shared" si="24"/>
        <v>0.30719999999928405</v>
      </c>
    </row>
    <row r="15" spans="1:44" x14ac:dyDescent="0.25">
      <c r="A15" t="str">
        <f t="shared" si="10"/>
        <v>46179E</v>
      </c>
      <c r="B15" s="51">
        <f t="shared" si="25"/>
        <v>46179</v>
      </c>
      <c r="C15" s="52" t="s">
        <v>88</v>
      </c>
      <c r="D15" s="91">
        <v>4695</v>
      </c>
      <c r="E15" s="62">
        <v>4.3</v>
      </c>
      <c r="F15" s="62">
        <v>8.15</v>
      </c>
      <c r="G15" s="62">
        <f t="shared" si="11"/>
        <v>201.88499999999999</v>
      </c>
      <c r="H15" s="63">
        <f t="shared" si="12"/>
        <v>382.64250000000004</v>
      </c>
      <c r="I15" s="203">
        <v>1934.5800000000002</v>
      </c>
      <c r="J15" s="203">
        <v>1992.6174000000003</v>
      </c>
      <c r="K15" s="203">
        <v>4.2049385396313417</v>
      </c>
      <c r="L15" s="203">
        <v>8.1395413991667436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1992.6174000000003</v>
      </c>
      <c r="S15" s="62">
        <f t="shared" si="14"/>
        <v>83.788337000000013</v>
      </c>
      <c r="T15" s="63">
        <f t="shared" si="15"/>
        <v>162.18991820000002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6687</v>
      </c>
      <c r="AI15" s="66">
        <v>4.2699999999999996</v>
      </c>
      <c r="AJ15" s="66">
        <v>8.14</v>
      </c>
      <c r="AK15" s="62">
        <f t="shared" si="20"/>
        <v>285.53489999999999</v>
      </c>
      <c r="AL15" s="72">
        <f t="shared" si="21"/>
        <v>544.32180000000005</v>
      </c>
      <c r="AM15" s="73">
        <f t="shared" si="22"/>
        <v>0.61740000000008877</v>
      </c>
      <c r="AN15" s="74">
        <f t="shared" si="8"/>
        <v>0.13843700000001036</v>
      </c>
      <c r="AO15" s="74">
        <f t="shared" si="8"/>
        <v>0.51061820000006719</v>
      </c>
      <c r="AP15" s="75">
        <f t="shared" si="23"/>
        <v>2.63866901353676E-3</v>
      </c>
      <c r="AQ15" s="76">
        <f t="shared" si="9"/>
        <v>214.96016444469143</v>
      </c>
      <c r="AR15" s="90">
        <f t="shared" si="24"/>
        <v>0.61740000000008877</v>
      </c>
    </row>
    <row r="16" spans="1:44" x14ac:dyDescent="0.25">
      <c r="A16" t="str">
        <f t="shared" si="10"/>
        <v>46180M</v>
      </c>
      <c r="B16" s="51">
        <f t="shared" si="25"/>
        <v>46180</v>
      </c>
      <c r="C16" s="52" t="s">
        <v>87</v>
      </c>
      <c r="D16" s="91">
        <v>6687</v>
      </c>
      <c r="E16" s="62">
        <v>4.2699999999999996</v>
      </c>
      <c r="F16" s="62">
        <v>8.14</v>
      </c>
      <c r="G16" s="62">
        <f t="shared" si="11"/>
        <v>285.53489999999999</v>
      </c>
      <c r="H16" s="63">
        <f t="shared" si="12"/>
        <v>544.32180000000005</v>
      </c>
      <c r="I16" s="203">
        <v>1905.78</v>
      </c>
      <c r="J16" s="203">
        <v>1962.9534000000001</v>
      </c>
      <c r="K16" s="203">
        <v>4.4944253796345839</v>
      </c>
      <c r="L16" s="203">
        <v>8.2376989998845609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1962.9534000000001</v>
      </c>
      <c r="S16" s="62">
        <f t="shared" si="14"/>
        <v>88.223475799999974</v>
      </c>
      <c r="T16" s="63">
        <f t="shared" si="15"/>
        <v>161.70219260000002</v>
      </c>
      <c r="U16" s="64" t="s">
        <v>184</v>
      </c>
      <c r="V16" s="65" t="s">
        <v>386</v>
      </c>
      <c r="W16" s="66" t="s">
        <v>183</v>
      </c>
      <c r="X16" s="67">
        <v>5130</v>
      </c>
      <c r="Y16" s="68">
        <v>4.3</v>
      </c>
      <c r="Z16" s="68">
        <v>8.39</v>
      </c>
      <c r="AA16" s="62">
        <f t="shared" si="16"/>
        <v>220.58999999999997</v>
      </c>
      <c r="AB16" s="63">
        <f t="shared" si="17"/>
        <v>430.40700000000004</v>
      </c>
      <c r="AC16" s="69">
        <v>5130</v>
      </c>
      <c r="AD16" s="70">
        <v>4.25</v>
      </c>
      <c r="AE16" s="70">
        <v>8.26</v>
      </c>
      <c r="AF16" s="62">
        <f t="shared" si="18"/>
        <v>218.02500000000001</v>
      </c>
      <c r="AG16" s="63">
        <f t="shared" si="19"/>
        <v>423.73799999999994</v>
      </c>
      <c r="AH16" s="66">
        <v>3519</v>
      </c>
      <c r="AI16" s="66">
        <v>4.3099999999999996</v>
      </c>
      <c r="AJ16" s="66">
        <v>8.16</v>
      </c>
      <c r="AK16" s="62">
        <f t="shared" si="20"/>
        <v>151.66890000000001</v>
      </c>
      <c r="AL16" s="72">
        <f t="shared" si="21"/>
        <v>287.15040000000005</v>
      </c>
      <c r="AM16" s="73">
        <f t="shared" si="22"/>
        <v>0.95340000000032887</v>
      </c>
      <c r="AN16" s="74">
        <f t="shared" si="8"/>
        <v>4.0644757999999399</v>
      </c>
      <c r="AO16" s="74">
        <f t="shared" si="8"/>
        <v>-4.8644073999999478</v>
      </c>
      <c r="AP16" s="75">
        <f t="shared" si="23"/>
        <v>-3.2006780460810316E-3</v>
      </c>
      <c r="AQ16" s="76">
        <f t="shared" si="9"/>
        <v>368.79641408865541</v>
      </c>
      <c r="AR16" s="90">
        <f t="shared" si="24"/>
        <v>0.95340000000032887</v>
      </c>
    </row>
    <row r="17" spans="1:49" x14ac:dyDescent="0.25">
      <c r="A17" t="str">
        <f t="shared" si="10"/>
        <v>46180E</v>
      </c>
      <c r="B17" s="51">
        <f t="shared" si="25"/>
        <v>46180</v>
      </c>
      <c r="C17" s="52" t="s">
        <v>88</v>
      </c>
      <c r="D17" s="91">
        <v>3519</v>
      </c>
      <c r="E17" s="62">
        <v>4.3099999999999996</v>
      </c>
      <c r="F17" s="62">
        <v>8.16</v>
      </c>
      <c r="G17" s="62">
        <f t="shared" si="11"/>
        <v>151.66890000000001</v>
      </c>
      <c r="H17" s="63">
        <f t="shared" si="12"/>
        <v>287.15040000000005</v>
      </c>
      <c r="I17" s="203">
        <v>2061.7000000000003</v>
      </c>
      <c r="J17" s="203">
        <v>2123.5510000000004</v>
      </c>
      <c r="K17" s="203">
        <v>3.9541785904835804</v>
      </c>
      <c r="L17" s="203">
        <v>8.0343629043992806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2123.5510000000004</v>
      </c>
      <c r="S17" s="62">
        <f t="shared" si="14"/>
        <v>83.968998999999997</v>
      </c>
      <c r="T17" s="63">
        <f t="shared" si="15"/>
        <v>170.6137938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5642</v>
      </c>
      <c r="AI17" s="66">
        <v>4.17</v>
      </c>
      <c r="AJ17" s="66">
        <v>8.11</v>
      </c>
      <c r="AK17" s="62">
        <f t="shared" si="20"/>
        <v>235.2714</v>
      </c>
      <c r="AL17" s="72">
        <f t="shared" si="21"/>
        <v>457.56619999999992</v>
      </c>
      <c r="AM17" s="73">
        <f t="shared" si="22"/>
        <v>0.55100000000038563</v>
      </c>
      <c r="AN17" s="74">
        <f t="shared" si="8"/>
        <v>0.36649900000000457</v>
      </c>
      <c r="AO17" s="74">
        <f t="shared" si="8"/>
        <v>0.19799380000011979</v>
      </c>
      <c r="AP17" s="75">
        <f t="shared" si="23"/>
        <v>2.2173250351746649E-3</v>
      </c>
      <c r="AQ17" s="76">
        <f t="shared" si="9"/>
        <v>223.77933059537128</v>
      </c>
      <c r="AR17" s="90">
        <f t="shared" si="24"/>
        <v>0.55100000000038563</v>
      </c>
      <c r="AS17" s="90">
        <f>SUM(J4:J17)</f>
        <v>27997.181899999996</v>
      </c>
      <c r="AT17" s="83">
        <f>SUM(AM4:AM17)</f>
        <v>-504.81809999999859</v>
      </c>
      <c r="AU17" s="83">
        <f>SUM(AN4:AN17)</f>
        <v>34.344642199999882</v>
      </c>
      <c r="AV17" s="83">
        <f>SUM(AO4:AO17)</f>
        <v>-21.540280899999743</v>
      </c>
      <c r="AW17" s="83">
        <f>-SUM(AQ4:AQ17)</f>
        <v>-8971.2216641226933</v>
      </c>
    </row>
    <row r="18" spans="1:49" x14ac:dyDescent="0.25">
      <c r="A18" t="str">
        <f t="shared" si="10"/>
        <v>46181M</v>
      </c>
      <c r="B18" s="51">
        <f t="shared" si="25"/>
        <v>46181</v>
      </c>
      <c r="C18" s="52" t="s">
        <v>87</v>
      </c>
      <c r="D18" s="91">
        <v>5642</v>
      </c>
      <c r="E18" s="62">
        <v>4.17</v>
      </c>
      <c r="F18" s="62">
        <v>8.11</v>
      </c>
      <c r="G18" s="62">
        <f t="shared" si="11"/>
        <v>235.2714</v>
      </c>
      <c r="H18" s="63">
        <f t="shared" si="12"/>
        <v>457.56619999999992</v>
      </c>
      <c r="I18" s="203">
        <v>1930.0400000000002</v>
      </c>
      <c r="J18" s="203">
        <v>1987.9412000000002</v>
      </c>
      <c r="K18" s="203">
        <v>4.5034983730907117</v>
      </c>
      <c r="L18" s="203">
        <v>8.2577231559967679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1987.9412000000002</v>
      </c>
      <c r="S18" s="62">
        <f t="shared" si="14"/>
        <v>89.526899599999979</v>
      </c>
      <c r="T18" s="63">
        <f t="shared" si="15"/>
        <v>164.15868080000004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7630</v>
      </c>
      <c r="AI18" s="66">
        <v>4.25</v>
      </c>
      <c r="AJ18" s="66">
        <v>8.14</v>
      </c>
      <c r="AK18" s="62">
        <f t="shared" si="20"/>
        <v>324.27500000000003</v>
      </c>
      <c r="AL18" s="72">
        <f t="shared" si="21"/>
        <v>621.08199999999999</v>
      </c>
      <c r="AM18" s="73">
        <f t="shared" si="22"/>
        <v>-5.8799999999791908E-2</v>
      </c>
      <c r="AN18" s="74">
        <f t="shared" si="8"/>
        <v>0.52329959999991615</v>
      </c>
      <c r="AO18" s="74">
        <f t="shared" si="8"/>
        <v>0.64288079999994352</v>
      </c>
      <c r="AP18" s="75">
        <f t="shared" si="23"/>
        <v>4.596951857338832E-3</v>
      </c>
      <c r="AQ18" s="76">
        <f t="shared" si="9"/>
        <v>427.31150338794549</v>
      </c>
      <c r="AR18" s="90">
        <f t="shared" si="24"/>
        <v>-5.8799999999791908E-2</v>
      </c>
    </row>
    <row r="19" spans="1:49" x14ac:dyDescent="0.25">
      <c r="A19" t="str">
        <f t="shared" si="10"/>
        <v>46181E</v>
      </c>
      <c r="B19" s="51">
        <f t="shared" si="25"/>
        <v>46181</v>
      </c>
      <c r="C19" s="52" t="s">
        <v>88</v>
      </c>
      <c r="D19" s="91">
        <v>7630</v>
      </c>
      <c r="E19" s="62">
        <v>4.25</v>
      </c>
      <c r="F19" s="62">
        <v>8.14</v>
      </c>
      <c r="G19" s="62">
        <f t="shared" si="11"/>
        <v>324.27500000000003</v>
      </c>
      <c r="H19" s="63">
        <f t="shared" si="12"/>
        <v>621.08199999999999</v>
      </c>
      <c r="I19" s="203">
        <v>2048.02</v>
      </c>
      <c r="J19" s="203">
        <v>2109.4605999999999</v>
      </c>
      <c r="K19" s="203">
        <v>4.1472905538031855</v>
      </c>
      <c r="L19" s="203">
        <v>8.0839025009521386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2109.4605999999999</v>
      </c>
      <c r="S19" s="62">
        <f t="shared" si="14"/>
        <v>87.485460199999991</v>
      </c>
      <c r="T19" s="63">
        <f t="shared" si="15"/>
        <v>170.52673819999998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9739</v>
      </c>
      <c r="AI19" s="66">
        <v>4.22</v>
      </c>
      <c r="AJ19" s="66">
        <v>8.1199999999999992</v>
      </c>
      <c r="AK19" s="62">
        <f t="shared" si="20"/>
        <v>410.98579999999993</v>
      </c>
      <c r="AL19" s="72">
        <f t="shared" si="21"/>
        <v>790.80679999999995</v>
      </c>
      <c r="AM19" s="73">
        <f t="shared" si="22"/>
        <v>0.46060000000034051</v>
      </c>
      <c r="AN19" s="74">
        <f t="shared" si="8"/>
        <v>0.77466020000008484</v>
      </c>
      <c r="AO19" s="74">
        <f t="shared" si="8"/>
        <v>0.80193819999999505</v>
      </c>
      <c r="AP19" s="75">
        <f t="shared" si="23"/>
        <v>6.1105576006753636E-3</v>
      </c>
      <c r="AQ19" s="76">
        <f t="shared" si="9"/>
        <v>587.75142862336997</v>
      </c>
      <c r="AR19" s="90">
        <f t="shared" si="24"/>
        <v>0.46060000000034051</v>
      </c>
    </row>
    <row r="20" spans="1:49" x14ac:dyDescent="0.25">
      <c r="A20" t="str">
        <f t="shared" si="10"/>
        <v>46182M</v>
      </c>
      <c r="B20" s="51">
        <f t="shared" si="25"/>
        <v>46182</v>
      </c>
      <c r="C20" s="52" t="s">
        <v>87</v>
      </c>
      <c r="D20" s="91">
        <v>9739</v>
      </c>
      <c r="E20" s="62">
        <v>4.22</v>
      </c>
      <c r="F20" s="62">
        <v>8.1199999999999992</v>
      </c>
      <c r="G20" s="62">
        <f t="shared" si="11"/>
        <v>410.98579999999993</v>
      </c>
      <c r="H20" s="63">
        <f t="shared" si="12"/>
        <v>790.80679999999995</v>
      </c>
      <c r="I20" s="203">
        <v>2062.2599999999998</v>
      </c>
      <c r="J20" s="203">
        <v>2124.1277999999998</v>
      </c>
      <c r="K20" s="203">
        <v>4.5115019444686881</v>
      </c>
      <c r="L20" s="203">
        <v>8.1645418133504037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2124.1277999999998</v>
      </c>
      <c r="S20" s="62">
        <f t="shared" si="14"/>
        <v>95.830066999999957</v>
      </c>
      <c r="T20" s="63">
        <f t="shared" si="15"/>
        <v>173.42530240000002</v>
      </c>
      <c r="U20" s="64" t="s">
        <v>184</v>
      </c>
      <c r="V20" s="65" t="s">
        <v>387</v>
      </c>
      <c r="W20" s="66" t="s">
        <v>181</v>
      </c>
      <c r="X20" s="67">
        <v>8280</v>
      </c>
      <c r="Y20" s="68">
        <v>4.1999999999999993</v>
      </c>
      <c r="Z20" s="68">
        <v>8.15</v>
      </c>
      <c r="AA20" s="62">
        <f t="shared" si="16"/>
        <v>347.76</v>
      </c>
      <c r="AB20" s="63">
        <f t="shared" si="17"/>
        <v>674.82</v>
      </c>
      <c r="AC20" s="69">
        <v>8120</v>
      </c>
      <c r="AD20" s="70">
        <v>4.1500000000000004</v>
      </c>
      <c r="AE20" s="70">
        <v>8.0659605911330043</v>
      </c>
      <c r="AF20" s="62">
        <f t="shared" si="18"/>
        <v>336.98</v>
      </c>
      <c r="AG20" s="63">
        <f t="shared" si="19"/>
        <v>654.95600000000002</v>
      </c>
      <c r="AH20" s="66">
        <v>3587</v>
      </c>
      <c r="AI20" s="66">
        <v>4.26</v>
      </c>
      <c r="AJ20" s="66">
        <v>8.1199999999999992</v>
      </c>
      <c r="AK20" s="62">
        <f t="shared" si="20"/>
        <v>152.80619999999999</v>
      </c>
      <c r="AL20" s="72">
        <f t="shared" si="21"/>
        <v>291.26439999999997</v>
      </c>
      <c r="AM20" s="73">
        <f t="shared" si="22"/>
        <v>156.12780000000021</v>
      </c>
      <c r="AN20" s="74">
        <f t="shared" ref="AN20:AO65" si="26">+G20+S20-AF20-AK20</f>
        <v>17.029666999999904</v>
      </c>
      <c r="AO20" s="74">
        <f t="shared" si="26"/>
        <v>18.011702400000047</v>
      </c>
      <c r="AP20" s="75">
        <f t="shared" si="23"/>
        <v>0.13014176645050762</v>
      </c>
      <c r="AQ20" s="76">
        <f t="shared" si="9"/>
        <v>13035.210029225971</v>
      </c>
      <c r="AR20" s="90">
        <f t="shared" si="24"/>
        <v>-3.8721999999997934</v>
      </c>
    </row>
    <row r="21" spans="1:49" x14ac:dyDescent="0.25">
      <c r="A21" t="str">
        <f t="shared" si="10"/>
        <v>46182E</v>
      </c>
      <c r="B21" s="51">
        <f t="shared" si="25"/>
        <v>46182</v>
      </c>
      <c r="C21" s="52" t="s">
        <v>88</v>
      </c>
      <c r="D21" s="91">
        <v>3587</v>
      </c>
      <c r="E21" s="62">
        <v>4.26</v>
      </c>
      <c r="F21" s="62">
        <v>8.1199999999999992</v>
      </c>
      <c r="G21" s="62">
        <f t="shared" si="11"/>
        <v>152.80619999999999</v>
      </c>
      <c r="H21" s="63">
        <f t="shared" si="12"/>
        <v>291.26439999999997</v>
      </c>
      <c r="I21" s="203">
        <v>2534.0800000000004</v>
      </c>
      <c r="J21" s="203">
        <v>2610.1024000000007</v>
      </c>
      <c r="K21" s="203">
        <v>3.9848497285010729</v>
      </c>
      <c r="L21" s="203">
        <v>7.9565246558908926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2610.1024000000007</v>
      </c>
      <c r="S21" s="62">
        <f t="shared" si="14"/>
        <v>104.00865840000002</v>
      </c>
      <c r="T21" s="63">
        <f t="shared" si="15"/>
        <v>207.67344099999997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6197</v>
      </c>
      <c r="AI21" s="66">
        <v>4.1399999999999997</v>
      </c>
      <c r="AJ21" s="66">
        <v>8.0500000000000007</v>
      </c>
      <c r="AK21" s="62">
        <f t="shared" si="20"/>
        <v>256.55579999999998</v>
      </c>
      <c r="AL21" s="72">
        <f t="shared" si="21"/>
        <v>498.85849999999999</v>
      </c>
      <c r="AM21" s="73">
        <f t="shared" si="22"/>
        <v>0.10240000000067084</v>
      </c>
      <c r="AN21" s="74">
        <f t="shared" si="26"/>
        <v>0.2590584000000149</v>
      </c>
      <c r="AO21" s="74">
        <f t="shared" si="26"/>
        <v>7.9340999999942596E-2</v>
      </c>
      <c r="AP21" s="75">
        <f t="shared" si="23"/>
        <v>1.0857197145790194E-3</v>
      </c>
      <c r="AQ21" s="76">
        <f t="shared" si="9"/>
        <v>140.03855188398953</v>
      </c>
      <c r="AR21" s="90">
        <f t="shared" si="24"/>
        <v>0.10240000000067084</v>
      </c>
    </row>
    <row r="22" spans="1:49" x14ac:dyDescent="0.25">
      <c r="A22" t="str">
        <f t="shared" si="10"/>
        <v>46183M</v>
      </c>
      <c r="B22" s="51">
        <f t="shared" si="25"/>
        <v>46183</v>
      </c>
      <c r="C22" s="52" t="s">
        <v>87</v>
      </c>
      <c r="D22" s="91">
        <v>6197</v>
      </c>
      <c r="E22" s="62">
        <v>4.1399999999999997</v>
      </c>
      <c r="F22" s="62">
        <v>8.0500000000000007</v>
      </c>
      <c r="G22" s="62">
        <f t="shared" si="11"/>
        <v>256.55579999999998</v>
      </c>
      <c r="H22" s="63">
        <f t="shared" si="12"/>
        <v>498.85849999999999</v>
      </c>
      <c r="I22" s="203">
        <v>1816.5200000000002</v>
      </c>
      <c r="J22" s="203">
        <v>1871.0156000000002</v>
      </c>
      <c r="K22" s="203">
        <v>4.1410036773611081</v>
      </c>
      <c r="L22" s="203">
        <v>8.1296126659767012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1871.0156000000002</v>
      </c>
      <c r="S22" s="62">
        <f t="shared" si="14"/>
        <v>77.478824800000012</v>
      </c>
      <c r="T22" s="63">
        <f t="shared" si="15"/>
        <v>152.1063212</v>
      </c>
      <c r="U22" s="64" t="s">
        <v>184</v>
      </c>
      <c r="V22" s="65" t="s">
        <v>408</v>
      </c>
      <c r="W22" s="66" t="s">
        <v>181</v>
      </c>
      <c r="X22" s="67">
        <v>5130</v>
      </c>
      <c r="Y22" s="68">
        <v>4.3</v>
      </c>
      <c r="Z22" s="68">
        <v>8.27</v>
      </c>
      <c r="AA22" s="62">
        <f t="shared" si="16"/>
        <v>220.58999999999997</v>
      </c>
      <c r="AB22" s="63">
        <f t="shared" si="17"/>
        <v>424.25099999999998</v>
      </c>
      <c r="AC22" s="69">
        <v>5100</v>
      </c>
      <c r="AD22" s="70">
        <v>4.3</v>
      </c>
      <c r="AE22" s="70">
        <v>8.14</v>
      </c>
      <c r="AF22" s="62">
        <f t="shared" si="18"/>
        <v>219.29999999999998</v>
      </c>
      <c r="AG22" s="63">
        <f t="shared" si="19"/>
        <v>415.14</v>
      </c>
      <c r="AH22" s="66">
        <v>2938</v>
      </c>
      <c r="AI22" s="66">
        <v>4.13</v>
      </c>
      <c r="AJ22" s="66">
        <v>8.1300000000000008</v>
      </c>
      <c r="AK22" s="62">
        <f t="shared" si="20"/>
        <v>121.33939999999998</v>
      </c>
      <c r="AL22" s="72">
        <f t="shared" si="21"/>
        <v>238.85940000000002</v>
      </c>
      <c r="AM22" s="73">
        <f t="shared" si="22"/>
        <v>30.015600000000632</v>
      </c>
      <c r="AN22" s="74">
        <f t="shared" si="26"/>
        <v>-6.604775200000006</v>
      </c>
      <c r="AO22" s="74">
        <f t="shared" si="26"/>
        <v>-3.0345788000000482</v>
      </c>
      <c r="AP22" s="75">
        <f t="shared" si="23"/>
        <v>-4.1985965416072926E-2</v>
      </c>
      <c r="AQ22" s="76">
        <f t="shared" si="9"/>
        <v>-3873.1181477706841</v>
      </c>
      <c r="AR22" s="90">
        <f t="shared" si="24"/>
        <v>1.5600000000631553E-2</v>
      </c>
    </row>
    <row r="23" spans="1:49" x14ac:dyDescent="0.25">
      <c r="A23" t="str">
        <f t="shared" si="10"/>
        <v>46183E</v>
      </c>
      <c r="B23" s="51">
        <f t="shared" si="25"/>
        <v>46183</v>
      </c>
      <c r="C23" s="52" t="s">
        <v>88</v>
      </c>
      <c r="D23" s="91">
        <v>2938</v>
      </c>
      <c r="E23" s="62">
        <v>4.13</v>
      </c>
      <c r="F23" s="62">
        <v>8.1300000000000008</v>
      </c>
      <c r="G23" s="62">
        <f t="shared" si="11"/>
        <v>121.33939999999998</v>
      </c>
      <c r="H23" s="63">
        <f t="shared" si="12"/>
        <v>238.85940000000002</v>
      </c>
      <c r="I23" s="203">
        <v>2337.92</v>
      </c>
      <c r="J23" s="203">
        <v>2408.0576000000001</v>
      </c>
      <c r="K23" s="203">
        <v>3.8481196961401594</v>
      </c>
      <c r="L23" s="203">
        <v>7.9974678346564492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2408.0576000000001</v>
      </c>
      <c r="S23" s="62">
        <f t="shared" si="14"/>
        <v>92.664938800000016</v>
      </c>
      <c r="T23" s="63">
        <f t="shared" si="15"/>
        <v>192.58363200000008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5346</v>
      </c>
      <c r="AI23" s="66">
        <v>4</v>
      </c>
      <c r="AJ23" s="66">
        <v>8.0299999999999994</v>
      </c>
      <c r="AK23" s="62">
        <f t="shared" si="20"/>
        <v>213.84</v>
      </c>
      <c r="AL23" s="72">
        <f t="shared" si="21"/>
        <v>429.28379999999999</v>
      </c>
      <c r="AM23" s="73">
        <f t="shared" si="22"/>
        <v>5.7600000000093132E-2</v>
      </c>
      <c r="AN23" s="74">
        <f t="shared" si="26"/>
        <v>0.1643387999999959</v>
      </c>
      <c r="AO23" s="74">
        <f t="shared" si="26"/>
        <v>2.159232000000145</v>
      </c>
      <c r="AP23" s="75">
        <f t="shared" si="23"/>
        <v>8.1457754318751529E-3</v>
      </c>
      <c r="AQ23" s="76">
        <f t="shared" si="9"/>
        <v>719.97388878804168</v>
      </c>
      <c r="AR23" s="90">
        <f t="shared" si="24"/>
        <v>5.7600000000093132E-2</v>
      </c>
    </row>
    <row r="24" spans="1:49" x14ac:dyDescent="0.25">
      <c r="A24" t="str">
        <f t="shared" si="10"/>
        <v>46184M</v>
      </c>
      <c r="B24" s="51">
        <f t="shared" si="25"/>
        <v>46184</v>
      </c>
      <c r="C24" s="52" t="s">
        <v>87</v>
      </c>
      <c r="D24" s="91">
        <v>5346</v>
      </c>
      <c r="E24" s="62">
        <v>4</v>
      </c>
      <c r="F24" s="62">
        <v>8.0299999999999994</v>
      </c>
      <c r="G24" s="62">
        <f t="shared" si="11"/>
        <v>213.84</v>
      </c>
      <c r="H24" s="63">
        <f t="shared" si="12"/>
        <v>429.28379999999999</v>
      </c>
      <c r="I24" s="203">
        <v>1970.84</v>
      </c>
      <c r="J24" s="203">
        <v>2029.9651999999999</v>
      </c>
      <c r="K24" s="203">
        <v>4.2805311440806957</v>
      </c>
      <c r="L24" s="203">
        <v>8.2604057153295045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2029.9651999999999</v>
      </c>
      <c r="S24" s="62">
        <f t="shared" si="14"/>
        <v>86.893292599999981</v>
      </c>
      <c r="T24" s="63">
        <f t="shared" si="15"/>
        <v>167.6833614</v>
      </c>
      <c r="U24" s="64" t="s">
        <v>184</v>
      </c>
      <c r="V24" s="65" t="s">
        <v>468</v>
      </c>
      <c r="W24" s="66" t="s">
        <v>183</v>
      </c>
      <c r="X24" s="67">
        <v>5130</v>
      </c>
      <c r="Y24" s="68">
        <v>4.3</v>
      </c>
      <c r="Z24" s="68">
        <v>8.27</v>
      </c>
      <c r="AA24" s="62">
        <f t="shared" si="16"/>
        <v>220.58999999999997</v>
      </c>
      <c r="AB24" s="63">
        <f t="shared" si="17"/>
        <v>424.25099999999998</v>
      </c>
      <c r="AC24" s="69">
        <v>4950</v>
      </c>
      <c r="AD24" s="70">
        <v>4.3</v>
      </c>
      <c r="AE24" s="70">
        <v>8.14</v>
      </c>
      <c r="AF24" s="62">
        <f t="shared" si="18"/>
        <v>212.85</v>
      </c>
      <c r="AG24" s="63">
        <f t="shared" si="19"/>
        <v>402.93</v>
      </c>
      <c r="AH24" s="66">
        <v>2245</v>
      </c>
      <c r="AI24" s="66">
        <v>4.07</v>
      </c>
      <c r="AJ24" s="66">
        <v>8.1199999999999992</v>
      </c>
      <c r="AK24" s="62">
        <f t="shared" si="20"/>
        <v>91.371499999999997</v>
      </c>
      <c r="AL24" s="72">
        <f t="shared" si="21"/>
        <v>182.29399999999998</v>
      </c>
      <c r="AM24" s="73">
        <f t="shared" si="22"/>
        <v>180.96519999999964</v>
      </c>
      <c r="AN24" s="74">
        <f t="shared" si="26"/>
        <v>-3.4882074000000216</v>
      </c>
      <c r="AO24" s="74">
        <f t="shared" si="26"/>
        <v>11.74316140000002</v>
      </c>
      <c r="AP24" s="75">
        <f t="shared" si="23"/>
        <v>3.2426201972157273E-2</v>
      </c>
      <c r="AQ24" s="76">
        <f t="shared" si="9"/>
        <v>1948.5238721153296</v>
      </c>
      <c r="AR24" s="90">
        <f t="shared" si="24"/>
        <v>0.96519999999964057</v>
      </c>
    </row>
    <row r="25" spans="1:49" x14ac:dyDescent="0.25">
      <c r="A25" t="str">
        <f t="shared" si="10"/>
        <v>46184E</v>
      </c>
      <c r="B25" s="51">
        <f t="shared" si="25"/>
        <v>46184</v>
      </c>
      <c r="C25" s="52" t="s">
        <v>88</v>
      </c>
      <c r="D25" s="91">
        <v>2245</v>
      </c>
      <c r="E25" s="62">
        <v>4.07</v>
      </c>
      <c r="F25" s="62">
        <v>8.1199999999999992</v>
      </c>
      <c r="G25" s="62">
        <f t="shared" si="11"/>
        <v>91.371499999999997</v>
      </c>
      <c r="H25" s="63">
        <f t="shared" si="12"/>
        <v>182.29399999999998</v>
      </c>
      <c r="I25" s="203">
        <v>2681.8999999999996</v>
      </c>
      <c r="J25" s="203">
        <v>2762.3569999999995</v>
      </c>
      <c r="K25" s="203">
        <v>4.0472597785152313</v>
      </c>
      <c r="L25" s="203">
        <v>8.2419635333159302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2762.3569999999995</v>
      </c>
      <c r="S25" s="62">
        <f t="shared" si="14"/>
        <v>111.79976379999997</v>
      </c>
      <c r="T25" s="63">
        <f t="shared" si="15"/>
        <v>227.67245659999986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66">
        <v>5420</v>
      </c>
      <c r="AI25" s="66">
        <v>4.2</v>
      </c>
      <c r="AJ25" s="66">
        <v>8.1999999999999993</v>
      </c>
      <c r="AK25" s="62">
        <f t="shared" si="20"/>
        <v>227.64000000000001</v>
      </c>
      <c r="AL25" s="72">
        <f t="shared" si="21"/>
        <v>444.43999999999994</v>
      </c>
      <c r="AM25" s="73">
        <f t="shared" si="22"/>
        <v>-412.64300000000003</v>
      </c>
      <c r="AN25" s="74">
        <f t="shared" si="26"/>
        <v>-24.468736200000052</v>
      </c>
      <c r="AO25" s="74">
        <f t="shared" si="26"/>
        <v>-34.473543400000096</v>
      </c>
      <c r="AP25" s="75">
        <f t="shared" si="23"/>
        <v>-0.17362916921610996</v>
      </c>
      <c r="AQ25" s="76">
        <f t="shared" si="9"/>
        <v>-21301.272612671386</v>
      </c>
      <c r="AR25" s="90">
        <f t="shared" si="24"/>
        <v>-412.64300000000003</v>
      </c>
      <c r="AS25" s="90">
        <f>SUM(J12:J25)</f>
        <v>30188.877700000001</v>
      </c>
      <c r="AT25" s="83">
        <f>SUM(AM12:AM25)</f>
        <v>-41.122299999998177</v>
      </c>
      <c r="AU25" s="83">
        <f>SUM(AN12:AN25)</f>
        <v>3.7530315999997583</v>
      </c>
      <c r="AV25" s="83">
        <f>SUM(AO12:AO25)</f>
        <v>-4.3013764999998614</v>
      </c>
      <c r="AW25" s="83">
        <f>-SUM(AQ12:AQ25)</f>
        <v>-397.48613247926551</v>
      </c>
    </row>
    <row r="26" spans="1:49" x14ac:dyDescent="0.25">
      <c r="A26" t="str">
        <f t="shared" si="10"/>
        <v>46185M</v>
      </c>
      <c r="B26" s="51">
        <f t="shared" si="25"/>
        <v>46185</v>
      </c>
      <c r="C26" s="52" t="s">
        <v>87</v>
      </c>
      <c r="D26" s="91">
        <v>5420</v>
      </c>
      <c r="E26" s="62">
        <v>4.2</v>
      </c>
      <c r="F26" s="62">
        <v>8.1999999999999993</v>
      </c>
      <c r="G26" s="62">
        <f t="shared" si="11"/>
        <v>227.64000000000001</v>
      </c>
      <c r="H26" s="63">
        <f t="shared" si="12"/>
        <v>444.43999999999994</v>
      </c>
      <c r="I26" s="203">
        <v>1853.3</v>
      </c>
      <c r="J26" s="203">
        <v>1908.8990000000001</v>
      </c>
      <c r="K26" s="203">
        <v>4.3386510548750881</v>
      </c>
      <c r="L26" s="203">
        <v>8.2927728915987675</v>
      </c>
      <c r="M26" s="57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1908.8990000000001</v>
      </c>
      <c r="S26" s="62">
        <f t="shared" si="14"/>
        <v>82.820466600000017</v>
      </c>
      <c r="T26" s="63">
        <f t="shared" si="15"/>
        <v>158.30065879999998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>
        <v>7328</v>
      </c>
      <c r="AI26" s="66">
        <v>4.2300000000000004</v>
      </c>
      <c r="AJ26" s="66">
        <v>8.2200000000000006</v>
      </c>
      <c r="AK26" s="62">
        <f t="shared" si="20"/>
        <v>309.97440000000006</v>
      </c>
      <c r="AL26" s="72">
        <f t="shared" si="21"/>
        <v>602.36160000000007</v>
      </c>
      <c r="AM26" s="73">
        <f t="shared" si="22"/>
        <v>0.89900000000034197</v>
      </c>
      <c r="AN26" s="74">
        <f t="shared" si="26"/>
        <v>0.48606659999995827</v>
      </c>
      <c r="AO26" s="74">
        <f t="shared" si="26"/>
        <v>0.37905879999982517</v>
      </c>
      <c r="AP26" s="75">
        <f t="shared" si="23"/>
        <v>3.5879286751196605E-3</v>
      </c>
      <c r="AQ26" s="76">
        <f t="shared" si="9"/>
        <v>331.6423480112623</v>
      </c>
      <c r="AR26" s="90">
        <f t="shared" si="24"/>
        <v>0.89900000000034197</v>
      </c>
    </row>
    <row r="27" spans="1:49" x14ac:dyDescent="0.25">
      <c r="A27" t="str">
        <f t="shared" si="10"/>
        <v>46185E</v>
      </c>
      <c r="B27" s="51">
        <f t="shared" si="25"/>
        <v>46185</v>
      </c>
      <c r="C27" s="52" t="s">
        <v>88</v>
      </c>
      <c r="D27" s="91">
        <v>7328</v>
      </c>
      <c r="E27" s="62">
        <v>4.2300000000000004</v>
      </c>
      <c r="F27" s="62">
        <v>8.2200000000000006</v>
      </c>
      <c r="G27" s="62">
        <f t="shared" si="11"/>
        <v>309.97440000000006</v>
      </c>
      <c r="H27" s="63">
        <f t="shared" si="12"/>
        <v>602.36160000000007</v>
      </c>
      <c r="I27" s="203">
        <v>2165.2200000000003</v>
      </c>
      <c r="J27" s="203">
        <v>2230.1766000000002</v>
      </c>
      <c r="K27" s="203">
        <v>3.9674397982653029</v>
      </c>
      <c r="L27" s="203">
        <v>8.1440056899529836</v>
      </c>
      <c r="M27" s="57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2230.1766000000002</v>
      </c>
      <c r="S27" s="62">
        <f t="shared" si="14"/>
        <v>88.480913999999999</v>
      </c>
      <c r="T27" s="63">
        <f t="shared" si="15"/>
        <v>181.62570920000002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>
        <v>9558</v>
      </c>
      <c r="AI27" s="66">
        <v>4.16</v>
      </c>
      <c r="AJ27" s="66">
        <v>8.1999999999999993</v>
      </c>
      <c r="AK27" s="62">
        <f t="shared" si="20"/>
        <v>397.61279999999999</v>
      </c>
      <c r="AL27" s="72">
        <f t="shared" si="21"/>
        <v>783.75599999999986</v>
      </c>
      <c r="AM27" s="73">
        <f t="shared" si="22"/>
        <v>0.17660000000068976</v>
      </c>
      <c r="AN27" s="74">
        <f t="shared" si="26"/>
        <v>0.84251400000005106</v>
      </c>
      <c r="AO27" s="74">
        <f t="shared" si="26"/>
        <v>0.23130920000016886</v>
      </c>
      <c r="AP27" s="75">
        <f t="shared" si="23"/>
        <v>3.9755530141336419E-3</v>
      </c>
      <c r="AQ27" s="76">
        <f t="shared" si="9"/>
        <v>447.43763505474016</v>
      </c>
      <c r="AR27" s="90">
        <f t="shared" si="24"/>
        <v>0.17660000000068976</v>
      </c>
    </row>
    <row r="28" spans="1:49" x14ac:dyDescent="0.25">
      <c r="A28" t="str">
        <f t="shared" si="10"/>
        <v>46186M</v>
      </c>
      <c r="B28" s="51">
        <f t="shared" si="25"/>
        <v>46186</v>
      </c>
      <c r="C28" s="52" t="s">
        <v>87</v>
      </c>
      <c r="D28" s="91">
        <v>9558</v>
      </c>
      <c r="E28" s="62">
        <v>4.16</v>
      </c>
      <c r="F28" s="62">
        <v>8.1999999999999993</v>
      </c>
      <c r="G28" s="62">
        <f t="shared" si="11"/>
        <v>397.61279999999999</v>
      </c>
      <c r="H28" s="63">
        <f t="shared" si="12"/>
        <v>783.75599999999986</v>
      </c>
      <c r="I28" s="203">
        <v>1808.3200000000004</v>
      </c>
      <c r="J28" s="203">
        <v>1862.5696000000005</v>
      </c>
      <c r="K28" s="203">
        <v>4.4737568571934156</v>
      </c>
      <c r="L28" s="203">
        <v>8.3443361794372652</v>
      </c>
      <c r="M28" s="57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1862.5696000000005</v>
      </c>
      <c r="S28" s="62">
        <f t="shared" si="14"/>
        <v>83.326835200000005</v>
      </c>
      <c r="T28" s="63">
        <f t="shared" si="15"/>
        <v>155.41906900000001</v>
      </c>
      <c r="U28" s="64" t="s">
        <v>184</v>
      </c>
      <c r="V28" s="65" t="s">
        <v>551</v>
      </c>
      <c r="W28" s="66" t="s">
        <v>183</v>
      </c>
      <c r="X28" s="67">
        <v>5130</v>
      </c>
      <c r="Y28" s="68">
        <v>4.2</v>
      </c>
      <c r="Z28" s="68">
        <v>8.25</v>
      </c>
      <c r="AA28" s="62">
        <f t="shared" si="16"/>
        <v>215.46</v>
      </c>
      <c r="AB28" s="63">
        <f t="shared" si="17"/>
        <v>423.22500000000002</v>
      </c>
      <c r="AC28" s="69">
        <v>5150</v>
      </c>
      <c r="AD28" s="70">
        <v>4.2</v>
      </c>
      <c r="AE28" s="70">
        <v>8.1199999999999992</v>
      </c>
      <c r="AF28" s="62">
        <f t="shared" si="18"/>
        <v>216.3</v>
      </c>
      <c r="AG28" s="63">
        <f t="shared" si="19"/>
        <v>418.17999999999995</v>
      </c>
      <c r="AH28" s="66">
        <v>6290</v>
      </c>
      <c r="AI28" s="66">
        <v>4.21</v>
      </c>
      <c r="AJ28" s="66">
        <v>8.2200000000000006</v>
      </c>
      <c r="AK28" s="62">
        <f t="shared" si="20"/>
        <v>264.80899999999997</v>
      </c>
      <c r="AL28" s="72">
        <f t="shared" si="21"/>
        <v>517.03800000000001</v>
      </c>
      <c r="AM28" s="73">
        <f t="shared" si="22"/>
        <v>-19.430399999999281</v>
      </c>
      <c r="AN28" s="74">
        <f t="shared" si="26"/>
        <v>-0.16936479999998255</v>
      </c>
      <c r="AO28" s="74">
        <f t="shared" si="26"/>
        <v>3.9570689999999331</v>
      </c>
      <c r="AP28" s="75">
        <f t="shared" si="23"/>
        <v>1.5865001800520733E-2</v>
      </c>
      <c r="AQ28" s="76">
        <f t="shared" si="9"/>
        <v>1108.2156774919879</v>
      </c>
      <c r="AR28" s="90">
        <f t="shared" si="24"/>
        <v>0.56960000000071886</v>
      </c>
    </row>
    <row r="29" spans="1:49" x14ac:dyDescent="0.25">
      <c r="A29" t="str">
        <f t="shared" si="10"/>
        <v>46186E</v>
      </c>
      <c r="B29" s="51">
        <f t="shared" si="25"/>
        <v>46186</v>
      </c>
      <c r="C29" s="52" t="s">
        <v>88</v>
      </c>
      <c r="D29" s="91">
        <v>6290</v>
      </c>
      <c r="E29" s="62">
        <v>4.21</v>
      </c>
      <c r="F29" s="62">
        <v>8.2200000000000006</v>
      </c>
      <c r="G29" s="62">
        <f t="shared" si="11"/>
        <v>264.80899999999997</v>
      </c>
      <c r="H29" s="63">
        <f t="shared" si="12"/>
        <v>517.03800000000001</v>
      </c>
      <c r="I29" s="203">
        <v>2198.0800000000004</v>
      </c>
      <c r="J29" s="203">
        <v>2264.0224000000003</v>
      </c>
      <c r="K29" s="203">
        <v>3.9156391032173534</v>
      </c>
      <c r="L29" s="203">
        <v>8.1631687654680452</v>
      </c>
      <c r="M29" s="57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2264.0224000000003</v>
      </c>
      <c r="S29" s="62">
        <f t="shared" si="14"/>
        <v>88.650946400000009</v>
      </c>
      <c r="T29" s="63">
        <f t="shared" si="15"/>
        <v>184.81596940000006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>
        <v>8554</v>
      </c>
      <c r="AI29" s="66">
        <v>4.13</v>
      </c>
      <c r="AJ29" s="66">
        <v>8.1999999999999993</v>
      </c>
      <c r="AK29" s="62">
        <f t="shared" si="20"/>
        <v>353.28019999999998</v>
      </c>
      <c r="AL29" s="72">
        <f t="shared" si="21"/>
        <v>701.42799999999988</v>
      </c>
      <c r="AM29" s="73">
        <f t="shared" si="22"/>
        <v>2.2399999999834108E-2</v>
      </c>
      <c r="AN29" s="74">
        <f t="shared" si="26"/>
        <v>0.17974639999999908</v>
      </c>
      <c r="AO29" s="74">
        <f t="shared" si="26"/>
        <v>0.42596940000021277</v>
      </c>
      <c r="AP29" s="75">
        <f t="shared" si="23"/>
        <v>2.2149509319189528E-3</v>
      </c>
      <c r="AQ29" s="76">
        <f t="shared" si="9"/>
        <v>208.1712386600633</v>
      </c>
      <c r="AR29" s="90">
        <f t="shared" si="24"/>
        <v>2.2399999999834108E-2</v>
      </c>
    </row>
    <row r="30" spans="1:49" x14ac:dyDescent="0.25">
      <c r="A30" t="str">
        <f t="shared" si="10"/>
        <v>46187M</v>
      </c>
      <c r="B30" s="51">
        <f t="shared" si="25"/>
        <v>46187</v>
      </c>
      <c r="C30" s="52" t="s">
        <v>87</v>
      </c>
      <c r="D30" s="79">
        <v>8554</v>
      </c>
      <c r="E30" s="62">
        <v>4.13</v>
      </c>
      <c r="F30" s="62">
        <v>8.1999999999999993</v>
      </c>
      <c r="G30" s="62">
        <f t="shared" si="11"/>
        <v>353.28019999999998</v>
      </c>
      <c r="H30" s="63">
        <f t="shared" si="12"/>
        <v>701.42799999999988</v>
      </c>
      <c r="I30" s="203">
        <v>1814.7199999999998</v>
      </c>
      <c r="J30" s="203">
        <v>1869.1615999999999</v>
      </c>
      <c r="K30" s="203">
        <v>4.3685472138952566</v>
      </c>
      <c r="L30" s="203">
        <v>8.3088256039499218</v>
      </c>
      <c r="M30" s="57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1869.1615999999999</v>
      </c>
      <c r="S30" s="62">
        <f t="shared" si="14"/>
        <v>81.655207000000004</v>
      </c>
      <c r="T30" s="63">
        <f t="shared" si="15"/>
        <v>155.30537760000001</v>
      </c>
      <c r="U30" s="64" t="s">
        <v>184</v>
      </c>
      <c r="V30" s="65" t="s">
        <v>552</v>
      </c>
      <c r="W30" s="66" t="s">
        <v>183</v>
      </c>
      <c r="X30" s="67">
        <v>5130</v>
      </c>
      <c r="Y30" s="68">
        <v>4.2</v>
      </c>
      <c r="Z30" s="68">
        <v>8</v>
      </c>
      <c r="AA30" s="62">
        <f t="shared" si="16"/>
        <v>215.46</v>
      </c>
      <c r="AB30" s="63">
        <f t="shared" si="17"/>
        <v>410.40000000000003</v>
      </c>
      <c r="AC30" s="69">
        <v>5130</v>
      </c>
      <c r="AD30" s="70">
        <v>4.0999999999999996</v>
      </c>
      <c r="AE30" s="70">
        <v>7.98</v>
      </c>
      <c r="AF30" s="62">
        <f t="shared" si="18"/>
        <v>210.32999999999998</v>
      </c>
      <c r="AG30" s="63">
        <f t="shared" si="19"/>
        <v>409.37400000000002</v>
      </c>
      <c r="AH30" s="66">
        <v>5293</v>
      </c>
      <c r="AI30" s="66">
        <v>4.17</v>
      </c>
      <c r="AJ30" s="66">
        <v>8.2100000000000009</v>
      </c>
      <c r="AK30" s="62">
        <f t="shared" si="20"/>
        <v>220.71809999999999</v>
      </c>
      <c r="AL30" s="72">
        <f t="shared" si="21"/>
        <v>434.55530000000005</v>
      </c>
      <c r="AM30" s="73">
        <f t="shared" si="22"/>
        <v>0.16159999999945285</v>
      </c>
      <c r="AN30" s="74">
        <f t="shared" si="26"/>
        <v>3.8873070000000212</v>
      </c>
      <c r="AO30" s="74">
        <f t="shared" si="26"/>
        <v>12.804077599999857</v>
      </c>
      <c r="AP30" s="75">
        <f t="shared" si="23"/>
        <v>7.0439497894452266E-2</v>
      </c>
      <c r="AQ30" s="76">
        <f t="shared" si="9"/>
        <v>5576.9699689806339</v>
      </c>
      <c r="AR30" s="90">
        <f t="shared" si="24"/>
        <v>0.16159999999945285</v>
      </c>
    </row>
    <row r="31" spans="1:49" x14ac:dyDescent="0.25">
      <c r="A31" t="str">
        <f t="shared" si="10"/>
        <v>46187E</v>
      </c>
      <c r="B31" s="51">
        <f t="shared" si="25"/>
        <v>46187</v>
      </c>
      <c r="C31" s="52" t="s">
        <v>88</v>
      </c>
      <c r="D31" s="79">
        <v>5293</v>
      </c>
      <c r="E31" s="62">
        <v>4.17</v>
      </c>
      <c r="F31" s="62">
        <v>8.2100000000000009</v>
      </c>
      <c r="G31" s="62">
        <f t="shared" si="11"/>
        <v>220.71809999999999</v>
      </c>
      <c r="H31" s="63">
        <f t="shared" si="12"/>
        <v>434.55530000000005</v>
      </c>
      <c r="I31" s="203">
        <v>2079.44</v>
      </c>
      <c r="J31" s="203">
        <v>2141.8232000000003</v>
      </c>
      <c r="K31" s="203">
        <v>3.9040962951563887</v>
      </c>
      <c r="L31" s="203">
        <v>8.1676451352287138</v>
      </c>
      <c r="M31" s="57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2141.8232000000003</v>
      </c>
      <c r="S31" s="62">
        <f t="shared" si="14"/>
        <v>83.618840200000022</v>
      </c>
      <c r="T31" s="63">
        <f t="shared" si="15"/>
        <v>174.93651839999998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>
        <v>7435</v>
      </c>
      <c r="AI31" s="66">
        <v>4.09</v>
      </c>
      <c r="AJ31" s="66">
        <v>8.19</v>
      </c>
      <c r="AK31" s="62">
        <f t="shared" si="20"/>
        <v>304.0915</v>
      </c>
      <c r="AL31" s="72">
        <f t="shared" si="21"/>
        <v>608.92650000000003</v>
      </c>
      <c r="AM31" s="73">
        <f t="shared" si="22"/>
        <v>-0.17679999999927531</v>
      </c>
      <c r="AN31" s="74">
        <f t="shared" si="26"/>
        <v>0.24544020000001865</v>
      </c>
      <c r="AO31" s="74">
        <f t="shared" si="26"/>
        <v>0.56531840000002376</v>
      </c>
      <c r="AP31" s="75">
        <f t="shared" si="23"/>
        <v>3.1357253796249207E-3</v>
      </c>
      <c r="AQ31" s="76">
        <f t="shared" si="9"/>
        <v>279.36528214468217</v>
      </c>
      <c r="AR31" s="90">
        <f t="shared" si="24"/>
        <v>-0.17679999999927531</v>
      </c>
    </row>
    <row r="32" spans="1:49" x14ac:dyDescent="0.25">
      <c r="A32" t="str">
        <f t="shared" si="10"/>
        <v>46188M</v>
      </c>
      <c r="B32" s="51">
        <f t="shared" si="25"/>
        <v>46188</v>
      </c>
      <c r="C32" s="52" t="s">
        <v>87</v>
      </c>
      <c r="D32" s="79">
        <v>7435</v>
      </c>
      <c r="E32" s="62">
        <v>4.09</v>
      </c>
      <c r="F32" s="62">
        <v>8.19</v>
      </c>
      <c r="G32" s="62">
        <f t="shared" si="11"/>
        <v>304.0915</v>
      </c>
      <c r="H32" s="63">
        <f t="shared" si="12"/>
        <v>608.92650000000003</v>
      </c>
      <c r="I32" s="203">
        <v>1957.3400000000001</v>
      </c>
      <c r="J32" s="203">
        <v>2016.0602000000001</v>
      </c>
      <c r="K32" s="203">
        <v>4.4990742538342854</v>
      </c>
      <c r="L32" s="203">
        <v>8.2757262407144392</v>
      </c>
      <c r="M32" s="57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2016.0602000000001</v>
      </c>
      <c r="S32" s="62">
        <f t="shared" si="14"/>
        <v>90.704045400000012</v>
      </c>
      <c r="T32" s="63">
        <f t="shared" si="15"/>
        <v>166.84362300000001</v>
      </c>
      <c r="U32" s="64" t="s">
        <v>170</v>
      </c>
      <c r="V32" s="65" t="s">
        <v>553</v>
      </c>
      <c r="W32" s="66" t="s">
        <v>151</v>
      </c>
      <c r="X32" s="67">
        <v>5200</v>
      </c>
      <c r="Y32" s="68">
        <v>4.1500000000000004</v>
      </c>
      <c r="Z32" s="68">
        <v>8.24</v>
      </c>
      <c r="AA32" s="62">
        <f t="shared" si="16"/>
        <v>215.8</v>
      </c>
      <c r="AB32" s="63">
        <f t="shared" si="17"/>
        <v>428.48</v>
      </c>
      <c r="AC32" s="69">
        <v>5170</v>
      </c>
      <c r="AD32" s="70">
        <v>4.0999999999999996</v>
      </c>
      <c r="AE32" s="70">
        <v>8.1</v>
      </c>
      <c r="AF32" s="62">
        <f t="shared" si="18"/>
        <v>211.96999999999997</v>
      </c>
      <c r="AG32" s="63">
        <f t="shared" si="19"/>
        <v>418.77000000000004</v>
      </c>
      <c r="AH32" s="66">
        <v>4251</v>
      </c>
      <c r="AI32" s="66">
        <v>4.17</v>
      </c>
      <c r="AJ32" s="66">
        <v>8.1999999999999993</v>
      </c>
      <c r="AK32" s="62">
        <f t="shared" si="20"/>
        <v>177.26670000000001</v>
      </c>
      <c r="AL32" s="72">
        <f t="shared" si="21"/>
        <v>348.58199999999994</v>
      </c>
      <c r="AM32" s="73">
        <f t="shared" si="22"/>
        <v>30.060199999999895</v>
      </c>
      <c r="AN32" s="74">
        <f t="shared" si="26"/>
        <v>5.5588454000000525</v>
      </c>
      <c r="AO32" s="74">
        <f t="shared" si="26"/>
        <v>8.4181230000000369</v>
      </c>
      <c r="AP32" s="75">
        <f t="shared" si="23"/>
        <v>5.4269442572830097E-2</v>
      </c>
      <c r="AQ32" s="76">
        <f t="shared" si="9"/>
        <v>5014.741019134035</v>
      </c>
      <c r="AR32" s="90">
        <f t="shared" si="24"/>
        <v>6.0199999999895226E-2</v>
      </c>
    </row>
    <row r="33" spans="1:49" x14ac:dyDescent="0.25">
      <c r="A33" t="str">
        <f t="shared" si="10"/>
        <v>46188E</v>
      </c>
      <c r="B33" s="51">
        <f t="shared" si="25"/>
        <v>46188</v>
      </c>
      <c r="C33" s="52" t="s">
        <v>88</v>
      </c>
      <c r="D33" s="79">
        <v>4251</v>
      </c>
      <c r="E33" s="62">
        <v>4.17</v>
      </c>
      <c r="F33" s="62">
        <v>8.1999999999999993</v>
      </c>
      <c r="G33" s="62">
        <f t="shared" si="11"/>
        <v>177.26670000000001</v>
      </c>
      <c r="H33" s="63">
        <f t="shared" si="12"/>
        <v>348.58199999999994</v>
      </c>
      <c r="I33" s="203">
        <v>2149.5600000000004</v>
      </c>
      <c r="J33" s="203">
        <v>2214.0468000000005</v>
      </c>
      <c r="K33" s="203">
        <v>3.9549954409274459</v>
      </c>
      <c r="L33" s="203">
        <v>8.1846545339511341</v>
      </c>
      <c r="M33" s="57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2214.0468000000005</v>
      </c>
      <c r="S33" s="62">
        <f t="shared" si="14"/>
        <v>87.565450000000027</v>
      </c>
      <c r="T33" s="63">
        <f t="shared" si="15"/>
        <v>181.21208180000005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>
        <v>6465</v>
      </c>
      <c r="AI33" s="66">
        <v>4.09</v>
      </c>
      <c r="AJ33" s="66">
        <v>8.19</v>
      </c>
      <c r="AK33" s="62">
        <f t="shared" si="20"/>
        <v>264.41849999999999</v>
      </c>
      <c r="AL33" s="72">
        <f t="shared" si="21"/>
        <v>529.48350000000005</v>
      </c>
      <c r="AM33" s="73">
        <f t="shared" si="22"/>
        <v>4.680000000007567E-2</v>
      </c>
      <c r="AN33" s="74">
        <f t="shared" si="26"/>
        <v>0.41365000000007512</v>
      </c>
      <c r="AO33" s="74">
        <f t="shared" si="26"/>
        <v>0.31058179999990898</v>
      </c>
      <c r="AP33" s="75">
        <f t="shared" si="23"/>
        <v>2.6945399607988508E-3</v>
      </c>
      <c r="AQ33" s="76">
        <f t="shared" si="9"/>
        <v>278.64047205867314</v>
      </c>
      <c r="AR33" s="90">
        <f t="shared" si="24"/>
        <v>4.680000000007567E-2</v>
      </c>
    </row>
    <row r="34" spans="1:49" x14ac:dyDescent="0.25">
      <c r="A34" t="str">
        <f t="shared" si="10"/>
        <v>46189M</v>
      </c>
      <c r="B34" s="51">
        <f t="shared" si="25"/>
        <v>46189</v>
      </c>
      <c r="C34" s="52" t="s">
        <v>87</v>
      </c>
      <c r="D34" s="79">
        <v>6465</v>
      </c>
      <c r="E34" s="62">
        <v>4.09</v>
      </c>
      <c r="F34" s="62">
        <v>8.19</v>
      </c>
      <c r="G34" s="62">
        <f t="shared" si="11"/>
        <v>264.41849999999999</v>
      </c>
      <c r="H34" s="63">
        <f t="shared" si="12"/>
        <v>529.48350000000005</v>
      </c>
      <c r="I34" s="203">
        <v>1992.0000000000002</v>
      </c>
      <c r="J34" s="203">
        <v>2051.7600000000002</v>
      </c>
      <c r="K34" s="203">
        <v>4.5619387550200807</v>
      </c>
      <c r="L34" s="203">
        <v>8.1839046184738926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2051.7600000000002</v>
      </c>
      <c r="S34" s="62">
        <f t="shared" si="14"/>
        <v>93.600034600000015</v>
      </c>
      <c r="T34" s="63">
        <f t="shared" si="15"/>
        <v>167.91408139999996</v>
      </c>
      <c r="U34" s="64" t="s">
        <v>184</v>
      </c>
      <c r="V34" s="65" t="s">
        <v>554</v>
      </c>
      <c r="W34" s="66" t="s">
        <v>181</v>
      </c>
      <c r="X34" s="67">
        <v>3830</v>
      </c>
      <c r="Y34" s="68">
        <v>4</v>
      </c>
      <c r="Z34" s="68">
        <v>8.08</v>
      </c>
      <c r="AA34" s="62">
        <f t="shared" si="16"/>
        <v>153.20000000000002</v>
      </c>
      <c r="AB34" s="63">
        <f t="shared" si="17"/>
        <v>309.464</v>
      </c>
      <c r="AC34" s="69">
        <v>3810</v>
      </c>
      <c r="AD34" s="70">
        <v>4</v>
      </c>
      <c r="AE34" s="70">
        <v>7.96</v>
      </c>
      <c r="AF34" s="62">
        <f t="shared" si="18"/>
        <v>152.4</v>
      </c>
      <c r="AG34" s="63">
        <f t="shared" si="19"/>
        <v>303.27600000000001</v>
      </c>
      <c r="AH34" s="66">
        <v>4686</v>
      </c>
      <c r="AI34" s="66">
        <v>4.2</v>
      </c>
      <c r="AJ34" s="66">
        <v>8.18</v>
      </c>
      <c r="AK34" s="62">
        <f t="shared" si="20"/>
        <v>196.81200000000001</v>
      </c>
      <c r="AL34" s="72">
        <f t="shared" si="21"/>
        <v>383.31479999999999</v>
      </c>
      <c r="AM34" s="73">
        <f t="shared" si="22"/>
        <v>20.760000000000218</v>
      </c>
      <c r="AN34" s="74">
        <f t="shared" si="26"/>
        <v>8.806534599999992</v>
      </c>
      <c r="AO34" s="74">
        <f t="shared" si="26"/>
        <v>10.806781400000034</v>
      </c>
      <c r="AP34" s="75">
        <f t="shared" si="23"/>
        <v>7.4999071943022882E-2</v>
      </c>
      <c r="AQ34" s="76">
        <f t="shared" si="9"/>
        <v>7187.5229394686739</v>
      </c>
      <c r="AR34" s="90">
        <f t="shared" si="24"/>
        <v>0.76000000000021828</v>
      </c>
    </row>
    <row r="35" spans="1:49" x14ac:dyDescent="0.25">
      <c r="A35" t="str">
        <f t="shared" si="10"/>
        <v>46189E</v>
      </c>
      <c r="B35" s="51">
        <f t="shared" si="25"/>
        <v>46189</v>
      </c>
      <c r="C35" s="52" t="s">
        <v>88</v>
      </c>
      <c r="D35" s="79">
        <v>4686</v>
      </c>
      <c r="E35" s="62">
        <v>4.2</v>
      </c>
      <c r="F35" s="62">
        <v>8.18</v>
      </c>
      <c r="G35" s="62">
        <f t="shared" si="11"/>
        <v>196.81200000000001</v>
      </c>
      <c r="H35" s="63">
        <f t="shared" si="12"/>
        <v>383.31479999999999</v>
      </c>
      <c r="I35" s="203">
        <v>2336.0199999999995</v>
      </c>
      <c r="J35" s="203">
        <v>2406.1005999999998</v>
      </c>
      <c r="K35" s="203">
        <v>3.9038347274423999</v>
      </c>
      <c r="L35" s="203">
        <v>7.9968998553094579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2406.1005999999998</v>
      </c>
      <c r="S35" s="62">
        <f t="shared" si="14"/>
        <v>93.930190799999934</v>
      </c>
      <c r="T35" s="63">
        <f t="shared" si="15"/>
        <v>192.4134554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7092</v>
      </c>
      <c r="AI35" s="66">
        <v>4.09</v>
      </c>
      <c r="AJ35" s="66">
        <v>8.11</v>
      </c>
      <c r="AK35" s="62">
        <f t="shared" si="20"/>
        <v>290.06279999999998</v>
      </c>
      <c r="AL35" s="72">
        <f t="shared" si="21"/>
        <v>575.16119999999989</v>
      </c>
      <c r="AM35" s="73">
        <f t="shared" si="22"/>
        <v>0.10059999999975844</v>
      </c>
      <c r="AN35" s="74">
        <f t="shared" si="26"/>
        <v>0.67939079999996466</v>
      </c>
      <c r="AO35" s="74">
        <f t="shared" si="26"/>
        <v>0.56705540000007204</v>
      </c>
      <c r="AP35" s="75">
        <f t="shared" si="23"/>
        <v>4.3529731374917337E-3</v>
      </c>
      <c r="AQ35" s="76">
        <f t="shared" si="9"/>
        <v>474.6898837706724</v>
      </c>
      <c r="AR35" s="90">
        <f t="shared" si="24"/>
        <v>0.10059999999975844</v>
      </c>
    </row>
    <row r="36" spans="1:49" x14ac:dyDescent="0.25">
      <c r="A36" t="str">
        <f t="shared" si="10"/>
        <v>46190M</v>
      </c>
      <c r="B36" s="51">
        <f t="shared" si="25"/>
        <v>46190</v>
      </c>
      <c r="C36" s="52" t="s">
        <v>87</v>
      </c>
      <c r="D36" s="79">
        <v>7092</v>
      </c>
      <c r="E36" s="62">
        <v>4.09</v>
      </c>
      <c r="F36" s="62">
        <v>8.11</v>
      </c>
      <c r="G36" s="62">
        <f t="shared" si="11"/>
        <v>290.06279999999998</v>
      </c>
      <c r="H36" s="63">
        <f t="shared" si="12"/>
        <v>575.16119999999989</v>
      </c>
      <c r="I36" s="203">
        <v>1908.44</v>
      </c>
      <c r="J36" s="203">
        <v>1965.6932000000002</v>
      </c>
      <c r="K36" s="203">
        <v>4.5408061034143072</v>
      </c>
      <c r="L36" s="203">
        <v>8.1397392634822143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1965.6932000000002</v>
      </c>
      <c r="S36" s="62">
        <f t="shared" si="14"/>
        <v>89.258316800000003</v>
      </c>
      <c r="T36" s="63">
        <f t="shared" si="15"/>
        <v>160.00230119999998</v>
      </c>
      <c r="U36" s="64" t="s">
        <v>170</v>
      </c>
      <c r="V36" s="65" t="s">
        <v>622</v>
      </c>
      <c r="W36" s="66" t="s">
        <v>181</v>
      </c>
      <c r="X36" s="67">
        <v>4870</v>
      </c>
      <c r="Y36" s="68">
        <v>4.2</v>
      </c>
      <c r="Z36" s="68">
        <v>8.06</v>
      </c>
      <c r="AA36" s="62">
        <f t="shared" si="16"/>
        <v>204.54000000000002</v>
      </c>
      <c r="AB36" s="63">
        <f t="shared" si="17"/>
        <v>392.52200000000005</v>
      </c>
      <c r="AC36" s="226">
        <v>4870</v>
      </c>
      <c r="AD36" s="227">
        <v>4.2</v>
      </c>
      <c r="AE36" s="227">
        <v>8.06</v>
      </c>
      <c r="AF36" s="62">
        <f t="shared" si="18"/>
        <v>204.54000000000002</v>
      </c>
      <c r="AG36" s="63">
        <f t="shared" si="19"/>
        <v>392.52200000000005</v>
      </c>
      <c r="AH36" s="66">
        <v>4187</v>
      </c>
      <c r="AI36" s="66">
        <v>4.18</v>
      </c>
      <c r="AJ36" s="66">
        <v>8.11</v>
      </c>
      <c r="AK36" s="62">
        <f t="shared" si="20"/>
        <v>175.01659999999998</v>
      </c>
      <c r="AL36" s="72">
        <f t="shared" si="21"/>
        <v>339.56569999999999</v>
      </c>
      <c r="AM36" s="73">
        <f t="shared" si="22"/>
        <v>0.69319999999970605</v>
      </c>
      <c r="AN36" s="74">
        <f t="shared" si="26"/>
        <v>-0.23548320000003287</v>
      </c>
      <c r="AO36" s="74">
        <f t="shared" si="26"/>
        <v>3.0758011999998871</v>
      </c>
      <c r="AP36" s="75">
        <f t="shared" si="23"/>
        <v>1.1394972951562908E-2</v>
      </c>
      <c r="AQ36" s="76">
        <f t="shared" si="9"/>
        <v>814.7945144826183</v>
      </c>
      <c r="AR36" s="90">
        <f t="shared" si="24"/>
        <v>0.69319999999970605</v>
      </c>
    </row>
    <row r="37" spans="1:49" x14ac:dyDescent="0.25">
      <c r="A37" t="str">
        <f t="shared" si="10"/>
        <v>46190E</v>
      </c>
      <c r="B37" s="51">
        <f t="shared" si="25"/>
        <v>46190</v>
      </c>
      <c r="C37" s="52" t="s">
        <v>88</v>
      </c>
      <c r="D37" s="79">
        <v>4187</v>
      </c>
      <c r="E37" s="62">
        <v>4.18</v>
      </c>
      <c r="F37" s="62">
        <v>8.11</v>
      </c>
      <c r="G37" s="62">
        <f t="shared" si="11"/>
        <v>175.01659999999998</v>
      </c>
      <c r="H37" s="63">
        <f t="shared" si="12"/>
        <v>339.56569999999999</v>
      </c>
      <c r="I37" s="203">
        <v>2468.2200000000003</v>
      </c>
      <c r="J37" s="203">
        <v>2542.2666000000004</v>
      </c>
      <c r="K37" s="203">
        <v>4.1858132581374452</v>
      </c>
      <c r="L37" s="203">
        <v>8.0564301399389056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2542.2666000000004</v>
      </c>
      <c r="S37" s="62">
        <f t="shared" si="14"/>
        <v>106.41453240000007</v>
      </c>
      <c r="T37" s="63">
        <f t="shared" si="15"/>
        <v>204.81593260000008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>
        <v>6729</v>
      </c>
      <c r="AI37" s="66">
        <v>4.18</v>
      </c>
      <c r="AJ37" s="66">
        <v>8.09</v>
      </c>
      <c r="AK37" s="62">
        <f t="shared" si="20"/>
        <v>281.2722</v>
      </c>
      <c r="AL37" s="72">
        <f t="shared" si="21"/>
        <v>544.37609999999995</v>
      </c>
      <c r="AM37" s="73">
        <f t="shared" si="22"/>
        <v>0.26660000000083528</v>
      </c>
      <c r="AN37" s="74">
        <f t="shared" si="26"/>
        <v>0.15893240000002606</v>
      </c>
      <c r="AO37" s="74">
        <f t="shared" si="26"/>
        <v>5.5326000001514331E-3</v>
      </c>
      <c r="AP37" s="75">
        <f t="shared" si="23"/>
        <v>5.2843477260549482E-4</v>
      </c>
      <c r="AQ37" s="76">
        <f t="shared" si="9"/>
        <v>73.002103328057018</v>
      </c>
      <c r="AR37" s="90">
        <f t="shared" si="24"/>
        <v>0.26660000000083528</v>
      </c>
    </row>
    <row r="38" spans="1:49" x14ac:dyDescent="0.25">
      <c r="A38" t="str">
        <f t="shared" si="10"/>
        <v>46191M</v>
      </c>
      <c r="B38" s="51">
        <f t="shared" si="25"/>
        <v>46191</v>
      </c>
      <c r="C38" s="52" t="s">
        <v>87</v>
      </c>
      <c r="D38" s="79">
        <v>6729</v>
      </c>
      <c r="E38" s="62">
        <v>4.18</v>
      </c>
      <c r="F38" s="62">
        <v>8.09</v>
      </c>
      <c r="G38" s="62">
        <f t="shared" si="11"/>
        <v>281.2722</v>
      </c>
      <c r="H38" s="63">
        <f t="shared" si="12"/>
        <v>544.37609999999995</v>
      </c>
      <c r="I38" s="203">
        <v>1737.46</v>
      </c>
      <c r="J38" s="203">
        <v>1789.5838000000001</v>
      </c>
      <c r="K38" s="203">
        <v>4.4766256489358041</v>
      </c>
      <c r="L38" s="203">
        <v>8.2004754066280654</v>
      </c>
      <c r="M38" s="58">
        <v>0</v>
      </c>
      <c r="N38" s="56">
        <v>0</v>
      </c>
      <c r="O38" s="59">
        <v>0</v>
      </c>
      <c r="P38" s="56">
        <v>0</v>
      </c>
      <c r="Q38" s="60">
        <v>0</v>
      </c>
      <c r="R38" s="61">
        <f t="shared" si="13"/>
        <v>1789.5838000000001</v>
      </c>
      <c r="S38" s="62">
        <f t="shared" si="14"/>
        <v>80.112967400000016</v>
      </c>
      <c r="T38" s="63">
        <f t="shared" si="15"/>
        <v>146.7543794</v>
      </c>
      <c r="U38" s="64" t="s">
        <v>232</v>
      </c>
      <c r="V38" s="65" t="s">
        <v>623</v>
      </c>
      <c r="W38" s="66" t="s">
        <v>624</v>
      </c>
      <c r="X38" s="67">
        <v>4730</v>
      </c>
      <c r="Y38" s="68">
        <v>4.1500000000000004</v>
      </c>
      <c r="Z38" s="68">
        <v>7.99</v>
      </c>
      <c r="AA38" s="62">
        <f t="shared" si="16"/>
        <v>196.29500000000002</v>
      </c>
      <c r="AB38" s="63">
        <f t="shared" si="17"/>
        <v>377.92700000000002</v>
      </c>
      <c r="AC38" s="226">
        <v>4730</v>
      </c>
      <c r="AD38" s="227">
        <v>4.1500000000000004</v>
      </c>
      <c r="AE38" s="227">
        <v>7.99</v>
      </c>
      <c r="AF38" s="62">
        <f t="shared" si="18"/>
        <v>196.29500000000002</v>
      </c>
      <c r="AG38" s="63">
        <f t="shared" si="19"/>
        <v>377.92700000000002</v>
      </c>
      <c r="AH38" s="66">
        <v>3788</v>
      </c>
      <c r="AI38" s="66">
        <v>4.24</v>
      </c>
      <c r="AJ38" s="66">
        <v>8.11</v>
      </c>
      <c r="AK38" s="62">
        <f t="shared" si="20"/>
        <v>160.6112</v>
      </c>
      <c r="AL38" s="72">
        <f t="shared" si="21"/>
        <v>307.20679999999999</v>
      </c>
      <c r="AM38" s="73">
        <f t="shared" si="22"/>
        <v>0.5838000000003376</v>
      </c>
      <c r="AN38" s="74">
        <f t="shared" si="26"/>
        <v>4.4789673999999877</v>
      </c>
      <c r="AO38" s="74">
        <f t="shared" si="26"/>
        <v>5.996679400000005</v>
      </c>
      <c r="AP38" s="75">
        <f t="shared" si="23"/>
        <v>4.6175207440650477E-2</v>
      </c>
      <c r="AQ38" s="76">
        <f t="shared" si="9"/>
        <v>3805.2994885033295</v>
      </c>
      <c r="AR38" s="90">
        <f t="shared" si="24"/>
        <v>0.5838000000003376</v>
      </c>
    </row>
    <row r="39" spans="1:49" x14ac:dyDescent="0.25">
      <c r="A39" t="str">
        <f t="shared" si="10"/>
        <v>46191E</v>
      </c>
      <c r="B39" s="51">
        <f t="shared" si="25"/>
        <v>46191</v>
      </c>
      <c r="C39" s="52" t="s">
        <v>88</v>
      </c>
      <c r="D39" s="79">
        <v>3788</v>
      </c>
      <c r="E39" s="62">
        <v>4.24</v>
      </c>
      <c r="F39" s="62">
        <v>8.11</v>
      </c>
      <c r="G39" s="62">
        <f t="shared" si="11"/>
        <v>160.6112</v>
      </c>
      <c r="H39" s="63">
        <f t="shared" si="12"/>
        <v>307.20679999999999</v>
      </c>
      <c r="I39" s="203">
        <v>2220.6799999999998</v>
      </c>
      <c r="J39" s="203">
        <v>2287.3004000000001</v>
      </c>
      <c r="K39" s="203">
        <v>4.0718797845704913</v>
      </c>
      <c r="L39" s="203">
        <v>8.0532926851234787</v>
      </c>
      <c r="M39" s="58">
        <v>0</v>
      </c>
      <c r="N39" s="56">
        <v>0</v>
      </c>
      <c r="O39" s="59">
        <v>0</v>
      </c>
      <c r="P39" s="56">
        <v>0</v>
      </c>
      <c r="Q39" s="60">
        <v>0</v>
      </c>
      <c r="R39" s="61">
        <f t="shared" si="13"/>
        <v>2287.3004000000001</v>
      </c>
      <c r="S39" s="62">
        <f t="shared" si="14"/>
        <v>93.136122599999979</v>
      </c>
      <c r="T39" s="63">
        <f t="shared" si="15"/>
        <v>184.20299580000005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6075</v>
      </c>
      <c r="AI39" s="66">
        <v>4.17</v>
      </c>
      <c r="AJ39" s="66">
        <v>8.09</v>
      </c>
      <c r="AK39" s="62">
        <f t="shared" si="20"/>
        <v>253.32750000000001</v>
      </c>
      <c r="AL39" s="72">
        <f t="shared" si="21"/>
        <v>491.46749999999997</v>
      </c>
      <c r="AM39" s="73">
        <f t="shared" si="22"/>
        <v>0.30040000000008149</v>
      </c>
      <c r="AN39" s="74">
        <f t="shared" si="26"/>
        <v>0.41982259999994653</v>
      </c>
      <c r="AO39" s="74">
        <f t="shared" si="26"/>
        <v>-5.7704199999932371E-2</v>
      </c>
      <c r="AP39" s="75">
        <f t="shared" si="23"/>
        <v>1.3056881484628463E-3</v>
      </c>
      <c r="AQ39" s="76">
        <f t="shared" si="9"/>
        <v>171.19323508466289</v>
      </c>
      <c r="AR39" s="90">
        <f t="shared" si="24"/>
        <v>0.30040000000008149</v>
      </c>
    </row>
    <row r="40" spans="1:49" x14ac:dyDescent="0.25">
      <c r="A40" t="str">
        <f t="shared" si="10"/>
        <v>46192M</v>
      </c>
      <c r="B40" s="51">
        <f t="shared" si="25"/>
        <v>46192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203"/>
      <c r="J40" s="203"/>
      <c r="K40" s="203"/>
      <c r="L40" s="203"/>
      <c r="M40" s="58"/>
      <c r="N40" s="56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6"/>
        <v>0</v>
      </c>
      <c r="AO40" s="74">
        <f t="shared" si="26"/>
        <v>0</v>
      </c>
      <c r="AP40" s="75" t="e">
        <f t="shared" si="23"/>
        <v>#DIV/0!</v>
      </c>
      <c r="AQ40" s="76">
        <f t="shared" si="9"/>
        <v>0</v>
      </c>
      <c r="AR40" s="90">
        <f t="shared" si="24"/>
        <v>0</v>
      </c>
    </row>
    <row r="41" spans="1:49" x14ac:dyDescent="0.25">
      <c r="A41" t="str">
        <f t="shared" si="10"/>
        <v>46192E</v>
      </c>
      <c r="B41" s="51">
        <f t="shared" si="25"/>
        <v>46192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203"/>
      <c r="J41" s="203"/>
      <c r="K41" s="203"/>
      <c r="L41" s="203"/>
      <c r="M41" s="58"/>
      <c r="N41" s="56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6"/>
        <v>0</v>
      </c>
      <c r="AO41" s="74">
        <f t="shared" si="26"/>
        <v>0</v>
      </c>
      <c r="AP41" s="75" t="e">
        <f t="shared" si="23"/>
        <v>#DIV/0!</v>
      </c>
      <c r="AQ41" s="76">
        <f t="shared" si="9"/>
        <v>0</v>
      </c>
      <c r="AR41" s="90">
        <f t="shared" si="24"/>
        <v>0</v>
      </c>
    </row>
    <row r="42" spans="1:49" x14ac:dyDescent="0.25">
      <c r="A42" t="str">
        <f t="shared" si="10"/>
        <v>46193M</v>
      </c>
      <c r="B42" s="51">
        <f t="shared" si="25"/>
        <v>46193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203"/>
      <c r="J42" s="203"/>
      <c r="K42" s="203"/>
      <c r="L42" s="203"/>
      <c r="M42" s="58"/>
      <c r="N42" s="56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6"/>
        <v>0</v>
      </c>
      <c r="AO42" s="74">
        <f t="shared" si="26"/>
        <v>0</v>
      </c>
      <c r="AP42" s="75" t="e">
        <f t="shared" si="23"/>
        <v>#DIV/0!</v>
      </c>
      <c r="AQ42" s="76">
        <f t="shared" si="9"/>
        <v>0</v>
      </c>
      <c r="AR42" s="90">
        <f t="shared" si="24"/>
        <v>0</v>
      </c>
    </row>
    <row r="43" spans="1:49" x14ac:dyDescent="0.25">
      <c r="A43" t="str">
        <f t="shared" si="10"/>
        <v>46193E</v>
      </c>
      <c r="B43" s="51">
        <f t="shared" si="25"/>
        <v>46193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203"/>
      <c r="J43" s="203"/>
      <c r="K43" s="203"/>
      <c r="L43" s="203"/>
      <c r="M43" s="58"/>
      <c r="N43" s="56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6"/>
        <v>0</v>
      </c>
      <c r="AO43" s="74">
        <f t="shared" si="26"/>
        <v>0</v>
      </c>
      <c r="AP43" s="75" t="e">
        <f t="shared" si="23"/>
        <v>#DIV/0!</v>
      </c>
      <c r="AQ43" s="76">
        <f t="shared" si="9"/>
        <v>0</v>
      </c>
      <c r="AR43" s="90">
        <f t="shared" si="24"/>
        <v>0</v>
      </c>
    </row>
    <row r="44" spans="1:49" x14ac:dyDescent="0.25">
      <c r="A44" t="str">
        <f t="shared" si="10"/>
        <v>46194M</v>
      </c>
      <c r="B44" s="51">
        <f t="shared" si="25"/>
        <v>46194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203"/>
      <c r="J44" s="203"/>
      <c r="K44" s="203"/>
      <c r="L44" s="203"/>
      <c r="M44" s="58"/>
      <c r="N44" s="56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6"/>
        <v>0</v>
      </c>
      <c r="AO44" s="74">
        <f t="shared" si="26"/>
        <v>0</v>
      </c>
      <c r="AP44" s="75" t="e">
        <f t="shared" si="23"/>
        <v>#DIV/0!</v>
      </c>
      <c r="AQ44" s="76">
        <f t="shared" si="9"/>
        <v>0</v>
      </c>
      <c r="AR44" s="90">
        <f t="shared" si="24"/>
        <v>0</v>
      </c>
    </row>
    <row r="45" spans="1:49" x14ac:dyDescent="0.25">
      <c r="A45" t="str">
        <f t="shared" si="10"/>
        <v>46194E</v>
      </c>
      <c r="B45" s="51">
        <f t="shared" si="25"/>
        <v>46194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203"/>
      <c r="J45" s="203"/>
      <c r="K45" s="203"/>
      <c r="L45" s="203"/>
      <c r="M45" s="58"/>
      <c r="N45" s="56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6"/>
        <v>0</v>
      </c>
      <c r="AO45" s="74">
        <f t="shared" si="26"/>
        <v>0</v>
      </c>
      <c r="AP45" s="75" t="e">
        <f t="shared" si="23"/>
        <v>#DIV/0!</v>
      </c>
      <c r="AQ45" s="76">
        <f t="shared" si="9"/>
        <v>0</v>
      </c>
      <c r="AR45" s="90">
        <f t="shared" si="24"/>
        <v>0</v>
      </c>
      <c r="AS45" s="90">
        <f>SUM(J32:J45)</f>
        <v>17272.811600000001</v>
      </c>
      <c r="AT45" s="83">
        <f>SUM(AM32:AM45)</f>
        <v>52.811600000000908</v>
      </c>
      <c r="AU45" s="83">
        <f>SUM(AN32:AN45)</f>
        <v>20.280660000000012</v>
      </c>
      <c r="AV45" s="83">
        <f>SUM(AO32:AO45)</f>
        <v>29.122850600000163</v>
      </c>
      <c r="AW45" s="83">
        <f>-SUM(AQ32:AQ45)</f>
        <v>-17819.883655830723</v>
      </c>
    </row>
    <row r="46" spans="1:49" x14ac:dyDescent="0.25">
      <c r="A46" t="str">
        <f t="shared" si="10"/>
        <v>46195M</v>
      </c>
      <c r="B46" s="51">
        <f t="shared" si="25"/>
        <v>46195</v>
      </c>
      <c r="C46" s="52" t="s">
        <v>87</v>
      </c>
      <c r="D46" s="79"/>
      <c r="E46" s="62"/>
      <c r="F46" s="62"/>
      <c r="G46" s="62">
        <f t="shared" si="11"/>
        <v>0</v>
      </c>
      <c r="H46" s="63">
        <f t="shared" si="12"/>
        <v>0</v>
      </c>
      <c r="I46" s="203"/>
      <c r="J46" s="203"/>
      <c r="K46" s="203"/>
      <c r="L46" s="203"/>
      <c r="M46" s="58"/>
      <c r="N46" s="56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6"/>
        <v>0</v>
      </c>
      <c r="AO46" s="74">
        <f t="shared" si="26"/>
        <v>0</v>
      </c>
      <c r="AP46" s="75" t="e">
        <f t="shared" si="23"/>
        <v>#DIV/0!</v>
      </c>
      <c r="AQ46" s="76">
        <f t="shared" si="9"/>
        <v>0</v>
      </c>
      <c r="AR46" s="90">
        <f>(D46+J46+O46)-(X46+AH46)</f>
        <v>0</v>
      </c>
    </row>
    <row r="47" spans="1:49" x14ac:dyDescent="0.25">
      <c r="A47" t="str">
        <f t="shared" si="10"/>
        <v>46195E</v>
      </c>
      <c r="B47" s="51">
        <f t="shared" si="25"/>
        <v>46195</v>
      </c>
      <c r="C47" s="52" t="s">
        <v>88</v>
      </c>
      <c r="D47" s="79"/>
      <c r="E47" s="62"/>
      <c r="F47" s="62"/>
      <c r="G47" s="62">
        <f t="shared" si="11"/>
        <v>0</v>
      </c>
      <c r="H47" s="63">
        <f t="shared" si="12"/>
        <v>0</v>
      </c>
      <c r="I47" s="203"/>
      <c r="J47" s="203"/>
      <c r="K47" s="203"/>
      <c r="L47" s="203"/>
      <c r="M47" s="58"/>
      <c r="N47" s="56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6"/>
        <v>0</v>
      </c>
      <c r="AO47" s="74">
        <f t="shared" si="26"/>
        <v>0</v>
      </c>
      <c r="AP47" s="75" t="e">
        <f t="shared" si="23"/>
        <v>#DIV/0!</v>
      </c>
      <c r="AQ47" s="76">
        <f t="shared" si="9"/>
        <v>0</v>
      </c>
      <c r="AR47" s="90">
        <f t="shared" si="24"/>
        <v>0</v>
      </c>
    </row>
    <row r="48" spans="1:49" x14ac:dyDescent="0.25">
      <c r="A48" t="str">
        <f t="shared" si="10"/>
        <v>46196M</v>
      </c>
      <c r="B48" s="51">
        <f t="shared" si="25"/>
        <v>46196</v>
      </c>
      <c r="C48" s="52" t="s">
        <v>87</v>
      </c>
      <c r="D48" s="79"/>
      <c r="E48" s="62"/>
      <c r="F48" s="62"/>
      <c r="G48" s="62">
        <f t="shared" si="11"/>
        <v>0</v>
      </c>
      <c r="H48" s="63">
        <f t="shared" si="12"/>
        <v>0</v>
      </c>
      <c r="I48" s="203"/>
      <c r="J48" s="203"/>
      <c r="K48" s="203"/>
      <c r="L48" s="203"/>
      <c r="M48" s="58"/>
      <c r="N48" s="56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6"/>
        <v>0</v>
      </c>
      <c r="AO48" s="74">
        <f t="shared" si="26"/>
        <v>0</v>
      </c>
      <c r="AP48" s="75" t="e">
        <f t="shared" si="23"/>
        <v>#DIV/0!</v>
      </c>
      <c r="AQ48" s="76">
        <f t="shared" si="9"/>
        <v>0</v>
      </c>
      <c r="AR48" s="90">
        <f t="shared" si="24"/>
        <v>0</v>
      </c>
    </row>
    <row r="49" spans="1:49" x14ac:dyDescent="0.25">
      <c r="A49" t="str">
        <f t="shared" si="10"/>
        <v>46196E</v>
      </c>
      <c r="B49" s="51">
        <f t="shared" si="25"/>
        <v>46196</v>
      </c>
      <c r="C49" s="52" t="s">
        <v>88</v>
      </c>
      <c r="D49" s="79"/>
      <c r="E49" s="62"/>
      <c r="F49" s="62"/>
      <c r="G49" s="62">
        <f t="shared" si="11"/>
        <v>0</v>
      </c>
      <c r="H49" s="63">
        <f t="shared" si="12"/>
        <v>0</v>
      </c>
      <c r="I49" s="203"/>
      <c r="J49" s="203"/>
      <c r="K49" s="203"/>
      <c r="L49" s="203"/>
      <c r="M49" s="58"/>
      <c r="N49" s="56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6"/>
        <v>0</v>
      </c>
      <c r="AO49" s="74">
        <f t="shared" si="26"/>
        <v>0</v>
      </c>
      <c r="AP49" s="75" t="e">
        <f t="shared" si="23"/>
        <v>#DIV/0!</v>
      </c>
      <c r="AQ49" s="76">
        <f t="shared" si="9"/>
        <v>0</v>
      </c>
      <c r="AR49" s="90">
        <f t="shared" si="24"/>
        <v>0</v>
      </c>
    </row>
    <row r="50" spans="1:49" x14ac:dyDescent="0.25">
      <c r="A50" t="str">
        <f t="shared" si="10"/>
        <v>46197M</v>
      </c>
      <c r="B50" s="51">
        <f t="shared" si="25"/>
        <v>46197</v>
      </c>
      <c r="C50" s="52" t="s">
        <v>87</v>
      </c>
      <c r="D50" s="79"/>
      <c r="E50" s="62"/>
      <c r="F50" s="62"/>
      <c r="G50" s="62">
        <f t="shared" si="11"/>
        <v>0</v>
      </c>
      <c r="H50" s="63">
        <f t="shared" si="12"/>
        <v>0</v>
      </c>
      <c r="I50" s="203"/>
      <c r="J50" s="203"/>
      <c r="K50" s="203"/>
      <c r="L50" s="203"/>
      <c r="M50" s="58"/>
      <c r="N50" s="56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6"/>
        <v>0</v>
      </c>
      <c r="AO50" s="74">
        <f t="shared" si="26"/>
        <v>0</v>
      </c>
      <c r="AP50" s="75" t="e">
        <f t="shared" si="23"/>
        <v>#DIV/0!</v>
      </c>
      <c r="AQ50" s="76">
        <f t="shared" si="9"/>
        <v>0</v>
      </c>
      <c r="AR50" s="90">
        <f t="shared" si="24"/>
        <v>0</v>
      </c>
    </row>
    <row r="51" spans="1:49" x14ac:dyDescent="0.25">
      <c r="A51" t="str">
        <f t="shared" si="10"/>
        <v>46197E</v>
      </c>
      <c r="B51" s="51">
        <f t="shared" si="25"/>
        <v>46197</v>
      </c>
      <c r="C51" s="52" t="s">
        <v>88</v>
      </c>
      <c r="D51" s="79"/>
      <c r="E51" s="62"/>
      <c r="F51" s="62"/>
      <c r="G51" s="62">
        <f t="shared" si="11"/>
        <v>0</v>
      </c>
      <c r="H51" s="63">
        <f t="shared" si="12"/>
        <v>0</v>
      </c>
      <c r="I51" s="203"/>
      <c r="J51" s="203"/>
      <c r="K51" s="203"/>
      <c r="L51" s="203"/>
      <c r="M51" s="58"/>
      <c r="N51" s="56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6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6"/>
        <v>0</v>
      </c>
      <c r="AO51" s="74">
        <f t="shared" si="26"/>
        <v>0</v>
      </c>
      <c r="AP51" s="75" t="e">
        <f t="shared" si="23"/>
        <v>#DIV/0!</v>
      </c>
      <c r="AQ51" s="76">
        <f t="shared" si="9"/>
        <v>0</v>
      </c>
      <c r="AR51" s="90">
        <f t="shared" si="24"/>
        <v>0</v>
      </c>
    </row>
    <row r="52" spans="1:49" x14ac:dyDescent="0.25">
      <c r="A52" t="str">
        <f t="shared" si="10"/>
        <v>46198M</v>
      </c>
      <c r="B52" s="51">
        <f t="shared" si="25"/>
        <v>46198</v>
      </c>
      <c r="C52" s="52" t="s">
        <v>87</v>
      </c>
      <c r="D52" s="79"/>
      <c r="E52" s="62"/>
      <c r="F52" s="62"/>
      <c r="G52" s="62">
        <f t="shared" si="11"/>
        <v>0</v>
      </c>
      <c r="H52" s="63">
        <f t="shared" si="12"/>
        <v>0</v>
      </c>
      <c r="I52" s="203"/>
      <c r="J52" s="203"/>
      <c r="K52" s="203"/>
      <c r="L52" s="203"/>
      <c r="M52" s="58"/>
      <c r="N52" s="56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6"/>
        <v>0</v>
      </c>
      <c r="AO52" s="74">
        <f t="shared" si="26"/>
        <v>0</v>
      </c>
      <c r="AP52" s="75" t="e">
        <f t="shared" si="23"/>
        <v>#DIV/0!</v>
      </c>
      <c r="AQ52" s="76">
        <f t="shared" si="9"/>
        <v>0</v>
      </c>
      <c r="AR52" s="90">
        <f t="shared" si="24"/>
        <v>0</v>
      </c>
    </row>
    <row r="53" spans="1:49" x14ac:dyDescent="0.25">
      <c r="A53" t="str">
        <f t="shared" si="10"/>
        <v>46198E</v>
      </c>
      <c r="B53" s="51">
        <f t="shared" si="25"/>
        <v>46198</v>
      </c>
      <c r="C53" s="52" t="s">
        <v>88</v>
      </c>
      <c r="D53" s="79"/>
      <c r="E53" s="62"/>
      <c r="F53" s="62"/>
      <c r="G53" s="62">
        <f t="shared" si="11"/>
        <v>0</v>
      </c>
      <c r="H53" s="63">
        <f t="shared" si="12"/>
        <v>0</v>
      </c>
      <c r="I53" s="203"/>
      <c r="J53" s="203"/>
      <c r="K53" s="203"/>
      <c r="L53" s="203"/>
      <c r="M53" s="58"/>
      <c r="N53" s="56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8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6"/>
        <v>0</v>
      </c>
      <c r="AO53" s="74">
        <f t="shared" si="26"/>
        <v>0</v>
      </c>
      <c r="AP53" s="75" t="e">
        <f t="shared" si="23"/>
        <v>#DIV/0!</v>
      </c>
      <c r="AQ53" s="76">
        <f t="shared" si="9"/>
        <v>0</v>
      </c>
      <c r="AR53" s="90">
        <f t="shared" si="24"/>
        <v>0</v>
      </c>
    </row>
    <row r="54" spans="1:49" x14ac:dyDescent="0.25">
      <c r="A54" t="str">
        <f t="shared" si="10"/>
        <v>46199M</v>
      </c>
      <c r="B54" s="51">
        <f t="shared" si="25"/>
        <v>46199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203"/>
      <c r="J54" s="203"/>
      <c r="K54" s="203"/>
      <c r="L54" s="203"/>
      <c r="M54" s="58"/>
      <c r="N54" s="56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6"/>
        <v>0</v>
      </c>
      <c r="AO54" s="74">
        <f t="shared" si="26"/>
        <v>0</v>
      </c>
      <c r="AP54" s="75" t="e">
        <f t="shared" si="23"/>
        <v>#DIV/0!</v>
      </c>
      <c r="AQ54" s="76">
        <f t="shared" si="9"/>
        <v>0</v>
      </c>
      <c r="AR54" s="90">
        <f t="shared" si="24"/>
        <v>0</v>
      </c>
    </row>
    <row r="55" spans="1:49" x14ac:dyDescent="0.25">
      <c r="A55" t="str">
        <f t="shared" si="10"/>
        <v>46199E</v>
      </c>
      <c r="B55" s="51">
        <f t="shared" si="25"/>
        <v>46199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203"/>
      <c r="J55" s="203"/>
      <c r="K55" s="203"/>
      <c r="L55" s="203"/>
      <c r="M55" s="58"/>
      <c r="N55" s="56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6"/>
        <v>0</v>
      </c>
      <c r="AO55" s="74">
        <f t="shared" si="26"/>
        <v>0</v>
      </c>
      <c r="AP55" s="75" t="e">
        <f t="shared" si="23"/>
        <v>#DIV/0!</v>
      </c>
      <c r="AQ55" s="76">
        <f t="shared" si="9"/>
        <v>0</v>
      </c>
      <c r="AR55" s="90">
        <f t="shared" si="24"/>
        <v>0</v>
      </c>
    </row>
    <row r="56" spans="1:49" x14ac:dyDescent="0.25">
      <c r="A56" t="str">
        <f t="shared" si="10"/>
        <v>46200M</v>
      </c>
      <c r="B56" s="51">
        <f t="shared" si="25"/>
        <v>46200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203"/>
      <c r="J56" s="203"/>
      <c r="K56" s="203"/>
      <c r="L56" s="203"/>
      <c r="M56" s="58"/>
      <c r="N56" s="56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6"/>
        <v>0</v>
      </c>
      <c r="AO56" s="74">
        <f t="shared" si="26"/>
        <v>0</v>
      </c>
      <c r="AP56" s="75" t="e">
        <f t="shared" si="23"/>
        <v>#DIV/0!</v>
      </c>
      <c r="AQ56" s="76">
        <f t="shared" si="9"/>
        <v>0</v>
      </c>
      <c r="AR56" s="90">
        <f t="shared" si="24"/>
        <v>0</v>
      </c>
    </row>
    <row r="57" spans="1:49" x14ac:dyDescent="0.25">
      <c r="A57" t="str">
        <f t="shared" si="10"/>
        <v>46200E</v>
      </c>
      <c r="B57" s="51">
        <f t="shared" si="25"/>
        <v>46200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203"/>
      <c r="J57" s="203"/>
      <c r="K57" s="203"/>
      <c r="L57" s="203"/>
      <c r="M57" s="58"/>
      <c r="N57" s="56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6"/>
        <v>0</v>
      </c>
      <c r="AO57" s="74">
        <f t="shared" si="26"/>
        <v>0</v>
      </c>
      <c r="AP57" s="75" t="e">
        <f t="shared" si="23"/>
        <v>#DIV/0!</v>
      </c>
      <c r="AQ57" s="76">
        <f t="shared" si="9"/>
        <v>0</v>
      </c>
      <c r="AR57" s="90">
        <f t="shared" si="24"/>
        <v>0</v>
      </c>
    </row>
    <row r="58" spans="1:49" x14ac:dyDescent="0.25">
      <c r="A58" t="str">
        <f t="shared" si="10"/>
        <v>46201M</v>
      </c>
      <c r="B58" s="51">
        <f t="shared" si="25"/>
        <v>46201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203"/>
      <c r="J58" s="203"/>
      <c r="K58" s="203"/>
      <c r="L58" s="203"/>
      <c r="M58" s="58"/>
      <c r="N58" s="56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6"/>
        <v>0</v>
      </c>
      <c r="AO58" s="74">
        <f t="shared" si="26"/>
        <v>0</v>
      </c>
      <c r="AP58" s="75" t="e">
        <f t="shared" si="23"/>
        <v>#DIV/0!</v>
      </c>
      <c r="AQ58" s="76">
        <f t="shared" si="9"/>
        <v>0</v>
      </c>
      <c r="AR58" s="90">
        <f t="shared" si="24"/>
        <v>0</v>
      </c>
    </row>
    <row r="59" spans="1:49" x14ac:dyDescent="0.25">
      <c r="A59" t="str">
        <f t="shared" si="10"/>
        <v>46201E</v>
      </c>
      <c r="B59" s="51">
        <f t="shared" si="25"/>
        <v>46201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203"/>
      <c r="J59" s="203"/>
      <c r="K59" s="203"/>
      <c r="L59" s="203"/>
      <c r="M59" s="58"/>
      <c r="N59" s="56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6"/>
        <v>0</v>
      </c>
      <c r="AO59" s="74">
        <f t="shared" si="26"/>
        <v>0</v>
      </c>
      <c r="AP59" s="75" t="e">
        <f t="shared" si="23"/>
        <v>#DIV/0!</v>
      </c>
      <c r="AQ59" s="76">
        <f t="shared" si="9"/>
        <v>0</v>
      </c>
      <c r="AR59" s="90">
        <f t="shared" si="24"/>
        <v>0</v>
      </c>
      <c r="AS59" s="90">
        <f>SUM(J46:J59)</f>
        <v>0</v>
      </c>
      <c r="AT59" s="83">
        <f>SUM(AM46:AM59)</f>
        <v>0</v>
      </c>
      <c r="AU59" s="83">
        <f>SUM(AN46:AN59)</f>
        <v>0</v>
      </c>
      <c r="AV59" s="83">
        <f>SUM(AO46:AO59)</f>
        <v>0</v>
      </c>
      <c r="AW59" s="83">
        <f>-SUM(AQ46:AQ59)</f>
        <v>0</v>
      </c>
    </row>
    <row r="60" spans="1:49" x14ac:dyDescent="0.25">
      <c r="A60" t="str">
        <f t="shared" si="10"/>
        <v>46202M</v>
      </c>
      <c r="B60" s="51">
        <f t="shared" si="25"/>
        <v>46202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203"/>
      <c r="J60" s="203"/>
      <c r="K60" s="203"/>
      <c r="L60" s="203"/>
      <c r="M60" s="58"/>
      <c r="N60" s="56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6"/>
        <v>0</v>
      </c>
      <c r="AO60" s="74">
        <f t="shared" si="26"/>
        <v>0</v>
      </c>
      <c r="AP60" s="75" t="e">
        <f t="shared" si="23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46202E</v>
      </c>
      <c r="B61" s="51">
        <f t="shared" si="25"/>
        <v>46202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203"/>
      <c r="J61" s="203"/>
      <c r="K61" s="203"/>
      <c r="L61" s="203"/>
      <c r="M61" s="58"/>
      <c r="N61" s="56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6"/>
        <v>0</v>
      </c>
      <c r="AO61" s="74">
        <f t="shared" si="26"/>
        <v>0</v>
      </c>
      <c r="AP61" s="75" t="e">
        <f t="shared" si="23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46203M</v>
      </c>
      <c r="B62" s="51">
        <f t="shared" si="25"/>
        <v>46203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203"/>
      <c r="J62" s="203"/>
      <c r="K62" s="203"/>
      <c r="L62" s="203"/>
      <c r="M62" s="58"/>
      <c r="N62" s="56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6"/>
        <v>0</v>
      </c>
      <c r="AO62" s="74">
        <f t="shared" si="26"/>
        <v>0</v>
      </c>
      <c r="AP62" s="75" t="e">
        <f t="shared" si="23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46203E</v>
      </c>
      <c r="B63" s="51">
        <f t="shared" si="25"/>
        <v>46203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203"/>
      <c r="J63" s="203"/>
      <c r="K63" s="203"/>
      <c r="L63" s="203"/>
      <c r="M63" s="58"/>
      <c r="N63" s="56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6"/>
        <v>0</v>
      </c>
      <c r="AO63" s="74">
        <f t="shared" si="26"/>
        <v>0</v>
      </c>
      <c r="AP63" s="75" t="e">
        <f t="shared" si="23"/>
        <v>#DIV/0!</v>
      </c>
      <c r="AQ63" s="76">
        <f t="shared" si="9"/>
        <v>0</v>
      </c>
      <c r="AR63" s="90">
        <f>(D63+J63+O63)-(X63+AH63)</f>
        <v>0</v>
      </c>
    </row>
    <row r="64" spans="1:49" x14ac:dyDescent="0.25">
      <c r="A64" t="str">
        <f t="shared" si="10"/>
        <v>46204M</v>
      </c>
      <c r="B64" s="51">
        <f t="shared" si="25"/>
        <v>46204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19"/>
      <c r="J64" s="120"/>
      <c r="K64" s="121"/>
      <c r="L64" s="122"/>
      <c r="M64" s="58"/>
      <c r="N64" s="56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6"/>
        <v>0</v>
      </c>
      <c r="AO64" s="74">
        <f t="shared" si="26"/>
        <v>0</v>
      </c>
      <c r="AP64" s="75" t="e">
        <f t="shared" si="23"/>
        <v>#DIV/0!</v>
      </c>
      <c r="AQ64" s="76">
        <f t="shared" si="9"/>
        <v>0</v>
      </c>
      <c r="AR64" s="90">
        <f t="shared" si="24"/>
        <v>0</v>
      </c>
    </row>
    <row r="65" spans="1:49" x14ac:dyDescent="0.25">
      <c r="A65" t="str">
        <f t="shared" si="10"/>
        <v>46204E</v>
      </c>
      <c r="B65" s="51">
        <f t="shared" si="25"/>
        <v>46204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19"/>
      <c r="J65" s="120"/>
      <c r="K65" s="121"/>
      <c r="L65" s="122"/>
      <c r="M65" s="58"/>
      <c r="N65" s="56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6"/>
        <v>0</v>
      </c>
      <c r="AO65" s="74">
        <f t="shared" si="26"/>
        <v>0</v>
      </c>
      <c r="AP65" s="75" t="e">
        <f t="shared" si="23"/>
        <v>#DIV/0!</v>
      </c>
      <c r="AQ65" s="76">
        <f t="shared" si="9"/>
        <v>0</v>
      </c>
      <c r="AR65" s="90">
        <f t="shared" si="24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75449.673299999995</v>
      </c>
      <c r="AM66" s="127">
        <f>-SUM(AM4:AM65)</f>
        <v>515.32669999999416</v>
      </c>
      <c r="AN66" s="127">
        <f>-SUM(AN4:AN65)</f>
        <v>-44.286316799999796</v>
      </c>
      <c r="AO66" s="127">
        <f>-SUM(AO4:AO65)</f>
        <v>-21.875505700000389</v>
      </c>
      <c r="AP66" s="127"/>
      <c r="AQ66" s="127">
        <f>-SUM(AQ4:AQ65)</f>
        <v>-26427.325983879364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4" priority="2" operator="lessThan">
      <formula>0.1</formula>
    </cfRule>
    <cfRule type="cellIs" dxfId="13" priority="3" operator="greaterThan">
      <formula>0.1</formula>
    </cfRule>
  </conditionalFormatting>
  <conditionalFormatting sqref="AP1:AQ1">
    <cfRule type="cellIs" dxfId="12" priority="1" operator="lessThan">
      <formula>1</formula>
    </cfRule>
  </conditionalFormatting>
  <conditionalFormatting sqref="AQ4:AQ65"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AW69"/>
  <sheetViews>
    <sheetView topLeftCell="B1" zoomScale="80" zoomScaleNormal="80" workbookViewId="0">
      <pane xSplit="2" ySplit="3" topLeftCell="D10" activePane="bottomRight" state="frozen"/>
      <selection activeCell="B1" sqref="B1"/>
      <selection pane="topRight" activeCell="D1" sqref="D1"/>
      <selection pane="bottomLeft" activeCell="B4" sqref="B4"/>
      <selection pane="bottomRight" activeCell="AC39" sqref="AC39:AE39"/>
    </sheetView>
  </sheetViews>
  <sheetFormatPr defaultRowHeight="15" x14ac:dyDescent="0.25"/>
  <cols>
    <col min="1" max="1" width="8.42578125" bestFit="1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bestFit="1" customWidth="1"/>
    <col min="10" max="10" width="8.140625" bestFit="1" customWidth="1"/>
    <col min="11" max="11" width="6" bestFit="1" customWidth="1"/>
    <col min="12" max="12" width="5.85546875" bestFit="1" customWidth="1"/>
    <col min="13" max="13" width="6" bestFit="1" customWidth="1"/>
    <col min="14" max="14" width="10.28515625" customWidth="1"/>
    <col min="15" max="15" width="8.85546875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9" customWidth="1"/>
    <col min="22" max="22" width="8.28515625" customWidth="1"/>
    <col min="23" max="23" width="11.285156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5" width="5.85546875" bestFit="1" customWidth="1"/>
    <col min="36" max="36" width="6.570312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" bestFit="1" customWidth="1"/>
    <col min="46" max="46" width="7.28515625" bestFit="1" customWidth="1"/>
    <col min="47" max="48" width="6.28515625" bestFit="1" customWidth="1"/>
    <col min="49" max="49" width="9.28515625" bestFit="1" customWidth="1"/>
  </cols>
  <sheetData>
    <row r="1" spans="1:44" ht="15.75" thickBot="1" x14ac:dyDescent="0.3">
      <c r="B1" s="43" t="s">
        <v>101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1160</v>
      </c>
      <c r="E4" s="88">
        <v>3.85</v>
      </c>
      <c r="F4" s="88">
        <v>8.17</v>
      </c>
      <c r="G4" s="62">
        <f t="shared" ref="G4:G15" si="0">+D4*E4%</f>
        <v>44.66</v>
      </c>
      <c r="H4" s="63">
        <f t="shared" ref="H4:H15" si="1">+D4*F4%</f>
        <v>94.771999999999991</v>
      </c>
      <c r="I4" s="119">
        <v>1754.5499999999997</v>
      </c>
      <c r="J4" s="120">
        <v>1807.1864999999998</v>
      </c>
      <c r="K4" s="121">
        <v>3.9377219230001996</v>
      </c>
      <c r="L4" s="122">
        <v>8.2259012282351591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1807.1864999999998</v>
      </c>
      <c r="S4" s="62">
        <f t="shared" ref="S4" si="2">+J4*K4%+O4*P4%</f>
        <v>71.161978999999988</v>
      </c>
      <c r="T4" s="63">
        <f t="shared" ref="T4" si="3">+J4*L4%+O4*Q4%</f>
        <v>148.65737649999997</v>
      </c>
      <c r="U4" s="64" t="s">
        <v>167</v>
      </c>
      <c r="V4" s="65" t="s">
        <v>187</v>
      </c>
      <c r="W4" s="66">
        <v>0</v>
      </c>
      <c r="X4" s="67">
        <v>0</v>
      </c>
      <c r="Y4" s="68">
        <v>0</v>
      </c>
      <c r="Z4" s="68">
        <v>0</v>
      </c>
      <c r="AA4" s="62">
        <f>+X4*Y4%</f>
        <v>0</v>
      </c>
      <c r="AB4" s="63">
        <f>+X4*Z4%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89">
        <v>2966</v>
      </c>
      <c r="AI4" s="66">
        <v>3.89</v>
      </c>
      <c r="AJ4" s="66">
        <v>8.1999999999999993</v>
      </c>
      <c r="AK4" s="62">
        <f t="shared" ref="AK4" si="6">AH4*AI4%</f>
        <v>115.37740000000001</v>
      </c>
      <c r="AL4" s="72">
        <f t="shared" ref="AL4" si="7">AH4*AJ4%</f>
        <v>243.21199999999996</v>
      </c>
      <c r="AM4" s="73">
        <f>+D4+R4-AC4-AH4</f>
        <v>1.1864999999997963</v>
      </c>
      <c r="AN4" s="74">
        <f t="shared" ref="AN4:AO4" si="8">+G4+S4-AF4-AK4</f>
        <v>0.44457899999997608</v>
      </c>
      <c r="AO4" s="74">
        <f t="shared" si="8"/>
        <v>0.21737650000000031</v>
      </c>
      <c r="AP4" s="75">
        <f>(AN4+AO4)/(S4+T4)</f>
        <v>3.0113612993464376E-3</v>
      </c>
      <c r="AQ4" s="76">
        <f t="shared" ref="AQ4:AQ65" si="9">($AP$1*AN4+$AQ$1*AO4)</f>
        <v>264.6309486333227</v>
      </c>
      <c r="AR4" s="90">
        <f t="shared" ref="AR4:AR48" si="10">(D4+J4+O4)-(X4+AH4)</f>
        <v>1.1864999999997963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2966</v>
      </c>
      <c r="E5" s="62">
        <v>3.89</v>
      </c>
      <c r="F5" s="62">
        <v>8.1999999999999993</v>
      </c>
      <c r="G5" s="62">
        <f t="shared" si="0"/>
        <v>115.37740000000001</v>
      </c>
      <c r="H5" s="63">
        <f t="shared" si="1"/>
        <v>243.21199999999996</v>
      </c>
      <c r="I5" s="119">
        <v>2825.8500000000008</v>
      </c>
      <c r="J5" s="120">
        <v>2910.625500000001</v>
      </c>
      <c r="K5" s="121">
        <v>3.6679282339826966</v>
      </c>
      <c r="L5" s="122">
        <v>8.115439602243578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5" si="12">+J5+O5</f>
        <v>2910.625500000001</v>
      </c>
      <c r="S5" s="62">
        <f t="shared" ref="S5:S35" si="13">+J5*K5%+O5*P5%</f>
        <v>106.75965450000007</v>
      </c>
      <c r="T5" s="63">
        <f t="shared" ref="T5:T35" si="14">+J5*L5%+O5*Q5%</f>
        <v>236.21005450000024</v>
      </c>
      <c r="U5" s="64" t="s">
        <v>169</v>
      </c>
      <c r="V5" s="65" t="s">
        <v>188</v>
      </c>
      <c r="W5" s="66" t="s">
        <v>189</v>
      </c>
      <c r="X5" s="67">
        <v>5920</v>
      </c>
      <c r="Y5" s="68">
        <v>3.8</v>
      </c>
      <c r="Z5" s="68">
        <v>8.1999999999999993</v>
      </c>
      <c r="AA5" s="62">
        <f t="shared" ref="AA5:AA65" si="15">+X5*Y5%</f>
        <v>224.96</v>
      </c>
      <c r="AB5" s="63">
        <f t="shared" ref="AB5:AB65" si="16">+X5*Z5%</f>
        <v>485.43999999999994</v>
      </c>
      <c r="AC5" s="228">
        <v>5920</v>
      </c>
      <c r="AD5" s="229">
        <v>3.8</v>
      </c>
      <c r="AE5" s="229">
        <v>8.1999999999999993</v>
      </c>
      <c r="AF5" s="62">
        <f t="shared" ref="AF5" si="17">AC5*AD5%</f>
        <v>224.96</v>
      </c>
      <c r="AG5" s="63">
        <f t="shared" ref="AG5" si="18">AC5*AE5%</f>
        <v>485.43999999999994</v>
      </c>
      <c r="AH5" s="89">
        <v>0</v>
      </c>
      <c r="AI5" s="66">
        <v>0</v>
      </c>
      <c r="AJ5" s="66">
        <v>0</v>
      </c>
      <c r="AK5" s="62">
        <f t="shared" ref="AK5:AK65" si="19">AH5*AI5%</f>
        <v>0</v>
      </c>
      <c r="AL5" s="72">
        <f t="shared" ref="AL5:AL65" si="20">AH5*AJ5%</f>
        <v>0</v>
      </c>
      <c r="AM5" s="73">
        <f t="shared" ref="AM5:AM21" si="21">+D5+R5-AC5-AH5</f>
        <v>-43.374499999998989</v>
      </c>
      <c r="AN5" s="74">
        <f t="shared" ref="AN5:AN21" si="22">+G5+S5-AF5-AK5</f>
        <v>-2.8229454999999177</v>
      </c>
      <c r="AO5" s="74">
        <f t="shared" ref="AO5:AO21" si="23">+H5+T5-AG5-AL5</f>
        <v>-6.0179454999997688</v>
      </c>
      <c r="AP5" s="75">
        <f t="shared" ref="AP5:AP65" si="24">(AN5+AO5)/(S5+T5)</f>
        <v>-2.5777468878453284E-2</v>
      </c>
      <c r="AQ5" s="76">
        <f t="shared" si="9"/>
        <v>-3068.2590740082278</v>
      </c>
      <c r="AR5" s="90">
        <f t="shared" si="10"/>
        <v>-43.374499999998989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0"/>
        <v>0</v>
      </c>
      <c r="H6" s="63">
        <f t="shared" si="1"/>
        <v>0</v>
      </c>
      <c r="I6" s="119">
        <v>3327.25</v>
      </c>
      <c r="J6" s="120">
        <v>3427.0675000000001</v>
      </c>
      <c r="K6" s="121">
        <v>3.9352378090014275</v>
      </c>
      <c r="L6" s="122">
        <v>8.0954166353595305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3427.0675000000001</v>
      </c>
      <c r="S6" s="62">
        <f t="shared" si="13"/>
        <v>134.86325600000001</v>
      </c>
      <c r="T6" s="63">
        <f t="shared" si="14"/>
        <v>277.43539249999998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v>8.1</v>
      </c>
      <c r="AB6" s="63">
        <f t="shared" si="16"/>
        <v>0</v>
      </c>
      <c r="AC6" s="69"/>
      <c r="AD6" s="70"/>
      <c r="AE6" s="70"/>
      <c r="AF6" s="62">
        <f t="shared" ref="AF6:AF65" si="25">AC6*AD6%</f>
        <v>0</v>
      </c>
      <c r="AG6" s="63">
        <f t="shared" ref="AG6:AG65" si="26">AC6*AE6%</f>
        <v>0</v>
      </c>
      <c r="AH6" s="89">
        <v>3425.8</v>
      </c>
      <c r="AI6" s="66">
        <v>3.92</v>
      </c>
      <c r="AJ6" s="66">
        <v>8.09</v>
      </c>
      <c r="AK6" s="62">
        <f t="shared" si="19"/>
        <v>134.29136</v>
      </c>
      <c r="AL6" s="72">
        <f t="shared" si="20"/>
        <v>277.14722</v>
      </c>
      <c r="AM6" s="73">
        <f t="shared" si="21"/>
        <v>1.2674999999999272</v>
      </c>
      <c r="AN6" s="74">
        <f t="shared" si="22"/>
        <v>0.57189600000000951</v>
      </c>
      <c r="AO6" s="74">
        <f t="shared" si="23"/>
        <v>0.2881724999999733</v>
      </c>
      <c r="AP6" s="75">
        <f t="shared" si="24"/>
        <v>2.0860327898940051E-3</v>
      </c>
      <c r="AQ6" s="76">
        <f t="shared" si="9"/>
        <v>342.97217800999636</v>
      </c>
      <c r="AR6" s="90">
        <f t="shared" si="10"/>
        <v>1.2674999999999272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91">
        <v>3425.8</v>
      </c>
      <c r="E7" s="62">
        <v>3.92</v>
      </c>
      <c r="F7" s="62">
        <v>8.09</v>
      </c>
      <c r="G7" s="62">
        <f t="shared" si="0"/>
        <v>134.29136</v>
      </c>
      <c r="H7" s="63">
        <f t="shared" si="1"/>
        <v>277.14722</v>
      </c>
      <c r="I7" s="119">
        <v>2953.5499999999997</v>
      </c>
      <c r="J7" s="120">
        <v>3042.1564999999996</v>
      </c>
      <c r="K7" s="121">
        <v>3.725706353371367</v>
      </c>
      <c r="L7" s="122">
        <v>8.1760186893738052</v>
      </c>
      <c r="M7" s="58" t="s">
        <v>319</v>
      </c>
      <c r="N7" s="58" t="s">
        <v>320</v>
      </c>
      <c r="O7" s="59">
        <v>5920</v>
      </c>
      <c r="P7" s="56">
        <v>3.8</v>
      </c>
      <c r="Q7" s="60">
        <v>8.1999999999999993</v>
      </c>
      <c r="R7" s="61">
        <f t="shared" si="12"/>
        <v>8962.1564999999991</v>
      </c>
      <c r="S7" s="62">
        <f t="shared" si="13"/>
        <v>338.30181800000003</v>
      </c>
      <c r="T7" s="63">
        <f t="shared" si="14"/>
        <v>734.16728399999988</v>
      </c>
      <c r="U7" s="64" t="s">
        <v>175</v>
      </c>
      <c r="V7" s="65" t="s">
        <v>190</v>
      </c>
      <c r="W7" s="66" t="s">
        <v>191</v>
      </c>
      <c r="X7" s="67">
        <v>7150</v>
      </c>
      <c r="Y7" s="68">
        <v>3.85</v>
      </c>
      <c r="Z7" s="68">
        <v>8.3000000000000007</v>
      </c>
      <c r="AA7" s="62">
        <v>8.07</v>
      </c>
      <c r="AB7" s="63">
        <f t="shared" si="16"/>
        <v>593.45000000000005</v>
      </c>
      <c r="AC7" s="69">
        <v>7150</v>
      </c>
      <c r="AD7" s="70">
        <v>3.8514685314685315</v>
      </c>
      <c r="AE7" s="70">
        <v>8.3002937062937061</v>
      </c>
      <c r="AF7" s="62">
        <f t="shared" si="25"/>
        <v>275.38</v>
      </c>
      <c r="AG7" s="63">
        <f t="shared" si="26"/>
        <v>593.471</v>
      </c>
      <c r="AH7" s="89">
        <v>5235</v>
      </c>
      <c r="AI7" s="66">
        <v>3.8</v>
      </c>
      <c r="AJ7" s="66">
        <v>8.16</v>
      </c>
      <c r="AK7" s="62">
        <f t="shared" si="19"/>
        <v>198.93</v>
      </c>
      <c r="AL7" s="72">
        <f t="shared" si="20"/>
        <v>427.17600000000004</v>
      </c>
      <c r="AM7" s="73">
        <f t="shared" si="21"/>
        <v>2.9565000000002328</v>
      </c>
      <c r="AN7" s="74">
        <f t="shared" si="22"/>
        <v>-1.7168219999999792</v>
      </c>
      <c r="AO7" s="74">
        <f t="shared" si="23"/>
        <v>-9.3324960000001056</v>
      </c>
      <c r="AP7" s="75">
        <f t="shared" si="24"/>
        <v>-1.0302691219163985E-2</v>
      </c>
      <c r="AQ7" s="76">
        <f t="shared" si="9"/>
        <v>-3563.6657502600228</v>
      </c>
      <c r="AR7" s="90">
        <f t="shared" si="10"/>
        <v>2.9565000000002328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91">
        <v>5235</v>
      </c>
      <c r="E8" s="62">
        <v>3.8</v>
      </c>
      <c r="F8" s="62">
        <v>8.16</v>
      </c>
      <c r="G8" s="62">
        <f t="shared" si="0"/>
        <v>198.93</v>
      </c>
      <c r="H8" s="63">
        <f t="shared" si="1"/>
        <v>427.17600000000004</v>
      </c>
      <c r="I8" s="119">
        <v>3116.1500000000005</v>
      </c>
      <c r="J8" s="120">
        <v>3209.6345000000006</v>
      </c>
      <c r="K8" s="121">
        <v>3.9298140333424261</v>
      </c>
      <c r="L8" s="122">
        <v>8.0868603886205719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3209.6345000000006</v>
      </c>
      <c r="S8" s="62">
        <f t="shared" si="13"/>
        <v>126.13266700000004</v>
      </c>
      <c r="T8" s="63">
        <f t="shared" si="14"/>
        <v>259.55866099999997</v>
      </c>
      <c r="U8" s="64" t="s">
        <v>169</v>
      </c>
      <c r="V8" s="65" t="s">
        <v>192</v>
      </c>
      <c r="W8" s="66" t="s">
        <v>191</v>
      </c>
      <c r="X8" s="67">
        <v>5920</v>
      </c>
      <c r="Y8" s="68">
        <v>3.85</v>
      </c>
      <c r="Z8" s="68">
        <v>8.24</v>
      </c>
      <c r="AA8" s="62">
        <v>0</v>
      </c>
      <c r="AB8" s="63">
        <f t="shared" si="16"/>
        <v>487.80799999999999</v>
      </c>
      <c r="AC8" s="69">
        <v>5920</v>
      </c>
      <c r="AD8" s="70">
        <v>3.8249999999999997</v>
      </c>
      <c r="AE8" s="70">
        <v>8.2350000000000012</v>
      </c>
      <c r="AF8" s="62">
        <f t="shared" si="25"/>
        <v>226.44</v>
      </c>
      <c r="AG8" s="63">
        <f t="shared" si="26"/>
        <v>487.51200000000006</v>
      </c>
      <c r="AH8" s="89">
        <v>2523</v>
      </c>
      <c r="AI8" s="66">
        <v>3.8</v>
      </c>
      <c r="AJ8" s="66">
        <v>8.16</v>
      </c>
      <c r="AK8" s="62">
        <f t="shared" si="19"/>
        <v>95.873999999999995</v>
      </c>
      <c r="AL8" s="72">
        <f t="shared" si="20"/>
        <v>205.8768</v>
      </c>
      <c r="AM8" s="73">
        <f t="shared" si="21"/>
        <v>1.6345000000001164</v>
      </c>
      <c r="AN8" s="74">
        <f t="shared" si="22"/>
        <v>2.7486670000000402</v>
      </c>
      <c r="AO8" s="74">
        <f t="shared" si="23"/>
        <v>-6.6541390000001002</v>
      </c>
      <c r="AP8" s="75">
        <f t="shared" si="24"/>
        <v>-1.012590047137399E-2</v>
      </c>
      <c r="AQ8" s="76">
        <f t="shared" si="9"/>
        <v>-757.50225602334535</v>
      </c>
      <c r="AR8" s="90">
        <f t="shared" si="10"/>
        <v>1.6345000000001164</v>
      </c>
    </row>
    <row r="9" spans="1:44" x14ac:dyDescent="0.25">
      <c r="A9" t="str">
        <f t="shared" si="11"/>
        <v>46176E</v>
      </c>
      <c r="B9" s="51">
        <f t="shared" ref="B9:B65" si="27">+B7+1</f>
        <v>46176</v>
      </c>
      <c r="C9" s="52" t="s">
        <v>88</v>
      </c>
      <c r="D9" s="91">
        <v>2523</v>
      </c>
      <c r="E9" s="62">
        <v>3.8</v>
      </c>
      <c r="F9" s="62">
        <v>8.16</v>
      </c>
      <c r="G9" s="62">
        <f t="shared" si="0"/>
        <v>95.873999999999995</v>
      </c>
      <c r="H9" s="63">
        <f t="shared" si="1"/>
        <v>205.8768</v>
      </c>
      <c r="I9" s="119">
        <v>2668.55</v>
      </c>
      <c r="J9" s="120">
        <v>2748.6065000000003</v>
      </c>
      <c r="K9" s="121">
        <v>3.7084146821307451</v>
      </c>
      <c r="L9" s="122">
        <v>8.2420378107961287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2748.6065000000003</v>
      </c>
      <c r="S9" s="62">
        <f t="shared" si="13"/>
        <v>101.92972700000001</v>
      </c>
      <c r="T9" s="63">
        <f t="shared" si="14"/>
        <v>226.54118700000009</v>
      </c>
      <c r="U9" s="64" t="s">
        <v>175</v>
      </c>
      <c r="V9" s="65" t="s">
        <v>193</v>
      </c>
      <c r="W9" s="66" t="s">
        <v>194</v>
      </c>
      <c r="X9" s="67">
        <v>3480</v>
      </c>
      <c r="Y9" s="68">
        <v>4.0999999999999996</v>
      </c>
      <c r="Z9" s="68">
        <v>8.35</v>
      </c>
      <c r="AA9" s="62">
        <v>0</v>
      </c>
      <c r="AB9" s="63">
        <f t="shared" si="16"/>
        <v>290.58</v>
      </c>
      <c r="AC9" s="69">
        <v>3500</v>
      </c>
      <c r="AD9" s="70">
        <v>4.0999999999999996</v>
      </c>
      <c r="AE9" s="70">
        <v>8.35</v>
      </c>
      <c r="AF9" s="62">
        <f t="shared" si="25"/>
        <v>143.49999999999997</v>
      </c>
      <c r="AG9" s="63">
        <f t="shared" si="26"/>
        <v>292.24999999999994</v>
      </c>
      <c r="AH9" s="89">
        <v>1790</v>
      </c>
      <c r="AI9" s="66">
        <v>3.5</v>
      </c>
      <c r="AJ9" s="66">
        <v>8</v>
      </c>
      <c r="AK9" s="62">
        <f t="shared" si="19"/>
        <v>62.650000000000006</v>
      </c>
      <c r="AL9" s="72">
        <f t="shared" si="20"/>
        <v>143.20000000000002</v>
      </c>
      <c r="AM9" s="73">
        <f t="shared" si="21"/>
        <v>-18.393500000000131</v>
      </c>
      <c r="AN9" s="74">
        <f t="shared" si="22"/>
        <v>-8.3462729999999681</v>
      </c>
      <c r="AO9" s="74">
        <f t="shared" si="23"/>
        <v>-3.0320129999998642</v>
      </c>
      <c r="AP9" s="75">
        <f t="shared" si="24"/>
        <v>-3.4640162994766195E-2</v>
      </c>
      <c r="AQ9" s="76">
        <f t="shared" si="9"/>
        <v>-4654.1260496499453</v>
      </c>
      <c r="AR9" s="90">
        <f t="shared" si="10"/>
        <v>1.606499999999869</v>
      </c>
    </row>
    <row r="10" spans="1:44" x14ac:dyDescent="0.25">
      <c r="A10" t="str">
        <f t="shared" si="11"/>
        <v>46177M</v>
      </c>
      <c r="B10" s="51">
        <f t="shared" si="27"/>
        <v>46177</v>
      </c>
      <c r="C10" s="52" t="s">
        <v>87</v>
      </c>
      <c r="D10" s="91">
        <v>1790</v>
      </c>
      <c r="E10" s="62">
        <v>3.5</v>
      </c>
      <c r="F10" s="62">
        <v>8</v>
      </c>
      <c r="G10" s="62">
        <f t="shared" si="0"/>
        <v>62.650000000000006</v>
      </c>
      <c r="H10" s="63">
        <f t="shared" si="1"/>
        <v>143.20000000000002</v>
      </c>
      <c r="I10" s="119">
        <v>1707.8000000000002</v>
      </c>
      <c r="J10" s="120">
        <v>1759.0340000000003</v>
      </c>
      <c r="K10" s="121">
        <v>3.9793769762267241</v>
      </c>
      <c r="L10" s="122">
        <v>8.2277989225904662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1759.0340000000003</v>
      </c>
      <c r="S10" s="62">
        <f t="shared" si="13"/>
        <v>69.998594000000011</v>
      </c>
      <c r="T10" s="63">
        <f t="shared" si="14"/>
        <v>144.7297805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v>7.94</v>
      </c>
      <c r="AB10" s="63">
        <f t="shared" si="16"/>
        <v>0</v>
      </c>
      <c r="AC10" s="69"/>
      <c r="AD10" s="70"/>
      <c r="AE10" s="70"/>
      <c r="AF10" s="62">
        <f t="shared" si="25"/>
        <v>0</v>
      </c>
      <c r="AG10" s="63">
        <f t="shared" si="26"/>
        <v>0</v>
      </c>
      <c r="AH10" s="89">
        <v>3547</v>
      </c>
      <c r="AI10" s="66">
        <v>3.73</v>
      </c>
      <c r="AJ10" s="66">
        <v>8.11</v>
      </c>
      <c r="AK10" s="62">
        <f t="shared" si="19"/>
        <v>132.3031</v>
      </c>
      <c r="AL10" s="72">
        <f t="shared" si="20"/>
        <v>287.6617</v>
      </c>
      <c r="AM10" s="73">
        <f t="shared" si="21"/>
        <v>2.0340000000005602</v>
      </c>
      <c r="AN10" s="74">
        <f t="shared" si="22"/>
        <v>0.34549400000000219</v>
      </c>
      <c r="AO10" s="74">
        <f t="shared" si="23"/>
        <v>0.26808049999999639</v>
      </c>
      <c r="AP10" s="75">
        <f t="shared" si="24"/>
        <v>2.8574449065183905E-3</v>
      </c>
      <c r="AQ10" s="76">
        <f t="shared" si="9"/>
        <v>235.32505637666657</v>
      </c>
      <c r="AR10" s="90">
        <f t="shared" si="10"/>
        <v>2.0340000000005602</v>
      </c>
    </row>
    <row r="11" spans="1:44" x14ac:dyDescent="0.25">
      <c r="A11" t="str">
        <f t="shared" si="11"/>
        <v>46177E</v>
      </c>
      <c r="B11" s="51">
        <f t="shared" si="27"/>
        <v>46177</v>
      </c>
      <c r="C11" s="52" t="s">
        <v>88</v>
      </c>
      <c r="D11" s="91">
        <v>3547</v>
      </c>
      <c r="E11" s="62">
        <v>3.73</v>
      </c>
      <c r="F11" s="62">
        <v>8.11</v>
      </c>
      <c r="G11" s="62">
        <f t="shared" si="0"/>
        <v>132.3031</v>
      </c>
      <c r="H11" s="63">
        <f t="shared" si="1"/>
        <v>287.6617</v>
      </c>
      <c r="I11" s="119">
        <v>2604.6499999999992</v>
      </c>
      <c r="J11" s="120">
        <v>2682.7894999999994</v>
      </c>
      <c r="K11" s="121">
        <v>3.644186359011766</v>
      </c>
      <c r="L11" s="122">
        <v>8.1856314667997623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2682.7894999999994</v>
      </c>
      <c r="S11" s="62">
        <f t="shared" si="13"/>
        <v>97.765848999999946</v>
      </c>
      <c r="T11" s="63">
        <f t="shared" si="14"/>
        <v>219.60326149999997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v>0</v>
      </c>
      <c r="AB11" s="63">
        <f t="shared" si="16"/>
        <v>0</v>
      </c>
      <c r="AC11" s="69"/>
      <c r="AD11" s="70"/>
      <c r="AE11" s="70"/>
      <c r="AF11" s="62">
        <f t="shared" si="25"/>
        <v>0</v>
      </c>
      <c r="AG11" s="63">
        <f t="shared" si="26"/>
        <v>0</v>
      </c>
      <c r="AH11" s="89">
        <v>5980</v>
      </c>
      <c r="AI11" s="66">
        <v>3.7</v>
      </c>
      <c r="AJ11" s="66">
        <v>8.1</v>
      </c>
      <c r="AK11" s="62">
        <f t="shared" si="19"/>
        <v>221.26000000000002</v>
      </c>
      <c r="AL11" s="72">
        <f t="shared" si="20"/>
        <v>484.38</v>
      </c>
      <c r="AM11" s="73">
        <f t="shared" si="21"/>
        <v>249.78949999999895</v>
      </c>
      <c r="AN11" s="74">
        <f t="shared" si="22"/>
        <v>8.8089489999999273</v>
      </c>
      <c r="AO11" s="74">
        <f t="shared" si="23"/>
        <v>22.884961499999974</v>
      </c>
      <c r="AP11" s="75">
        <f t="shared" si="24"/>
        <v>9.9864509340772498E-2</v>
      </c>
      <c r="AQ11" s="76">
        <f t="shared" si="9"/>
        <v>10803.284006899961</v>
      </c>
      <c r="AR11" s="90">
        <f t="shared" si="10"/>
        <v>249.78949999999895</v>
      </c>
    </row>
    <row r="12" spans="1:44" x14ac:dyDescent="0.25">
      <c r="A12" t="str">
        <f t="shared" si="11"/>
        <v>46178M</v>
      </c>
      <c r="B12" s="51">
        <f t="shared" si="27"/>
        <v>46178</v>
      </c>
      <c r="C12" s="52" t="s">
        <v>87</v>
      </c>
      <c r="D12" s="91">
        <v>5980</v>
      </c>
      <c r="E12" s="62">
        <v>3.7</v>
      </c>
      <c r="F12" s="62">
        <v>8.1</v>
      </c>
      <c r="G12" s="62">
        <f t="shared" si="0"/>
        <v>221.26000000000002</v>
      </c>
      <c r="H12" s="63">
        <f t="shared" si="1"/>
        <v>484.38</v>
      </c>
      <c r="I12" s="119">
        <v>2694.6499999999996</v>
      </c>
      <c r="J12" s="120">
        <v>2775.4894999999997</v>
      </c>
      <c r="K12" s="121">
        <v>3.9084407993616983</v>
      </c>
      <c r="L12" s="122">
        <v>8.0640825339097866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2775.4894999999997</v>
      </c>
      <c r="S12" s="62">
        <f t="shared" si="13"/>
        <v>108.47836399999998</v>
      </c>
      <c r="T12" s="63">
        <f t="shared" si="14"/>
        <v>223.81776400000001</v>
      </c>
      <c r="U12" s="64" t="s">
        <v>169</v>
      </c>
      <c r="V12" s="65" t="s">
        <v>470</v>
      </c>
      <c r="W12" s="66" t="s">
        <v>191</v>
      </c>
      <c r="X12" s="67">
        <v>5920</v>
      </c>
      <c r="Y12" s="68">
        <v>3.7</v>
      </c>
      <c r="Z12" s="68">
        <v>8.27</v>
      </c>
      <c r="AA12" s="62">
        <v>8.16</v>
      </c>
      <c r="AB12" s="63">
        <f t="shared" si="16"/>
        <v>489.58399999999995</v>
      </c>
      <c r="AC12" s="228">
        <v>5920</v>
      </c>
      <c r="AD12" s="229">
        <v>3.7</v>
      </c>
      <c r="AE12" s="229">
        <v>8.27</v>
      </c>
      <c r="AF12" s="62">
        <f t="shared" si="25"/>
        <v>219.04000000000002</v>
      </c>
      <c r="AG12" s="63">
        <f t="shared" si="26"/>
        <v>489.58399999999995</v>
      </c>
      <c r="AH12" s="89">
        <v>1680</v>
      </c>
      <c r="AI12" s="66">
        <v>3.7</v>
      </c>
      <c r="AJ12" s="66">
        <v>8.11</v>
      </c>
      <c r="AK12" s="62">
        <f t="shared" si="19"/>
        <v>62.160000000000011</v>
      </c>
      <c r="AL12" s="72">
        <f t="shared" si="20"/>
        <v>136.24799999999999</v>
      </c>
      <c r="AM12" s="73">
        <f t="shared" si="21"/>
        <v>1155.4894999999997</v>
      </c>
      <c r="AN12" s="74">
        <f t="shared" si="22"/>
        <v>48.538363999999959</v>
      </c>
      <c r="AO12" s="74">
        <f t="shared" si="23"/>
        <v>82.36576400000007</v>
      </c>
      <c r="AP12" s="75">
        <f t="shared" si="24"/>
        <v>0.39393816830751638</v>
      </c>
      <c r="AQ12" s="76">
        <f t="shared" si="9"/>
        <v>46439.233728066676</v>
      </c>
      <c r="AR12" s="90">
        <f t="shared" si="10"/>
        <v>1155.4894999999997</v>
      </c>
    </row>
    <row r="13" spans="1:44" x14ac:dyDescent="0.25">
      <c r="A13" t="str">
        <f t="shared" si="11"/>
        <v>46178E</v>
      </c>
      <c r="B13" s="51">
        <f t="shared" si="27"/>
        <v>46178</v>
      </c>
      <c r="C13" s="52" t="s">
        <v>88</v>
      </c>
      <c r="D13" s="91">
        <v>1680</v>
      </c>
      <c r="E13" s="62">
        <v>3.7</v>
      </c>
      <c r="F13" s="62">
        <v>8.11</v>
      </c>
      <c r="G13" s="62">
        <f t="shared" si="0"/>
        <v>62.160000000000011</v>
      </c>
      <c r="H13" s="63">
        <f t="shared" si="1"/>
        <v>136.24799999999999</v>
      </c>
      <c r="I13" s="119">
        <v>2385.1499999999996</v>
      </c>
      <c r="J13" s="120">
        <v>2456.7044999999998</v>
      </c>
      <c r="K13" s="121">
        <v>3.7308827537052176</v>
      </c>
      <c r="L13" s="122">
        <v>8.3982453933714876</v>
      </c>
      <c r="M13" s="58" t="s">
        <v>319</v>
      </c>
      <c r="N13" s="58" t="s">
        <v>469</v>
      </c>
      <c r="O13" s="59">
        <v>5920</v>
      </c>
      <c r="P13" s="56">
        <v>3.7</v>
      </c>
      <c r="Q13" s="60">
        <v>8.27</v>
      </c>
      <c r="R13" s="61">
        <f t="shared" si="12"/>
        <v>8376.7044999999998</v>
      </c>
      <c r="S13" s="62">
        <f t="shared" si="13"/>
        <v>310.69676450000003</v>
      </c>
      <c r="T13" s="63">
        <f t="shared" si="14"/>
        <v>695.90407249999998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v>8.26</v>
      </c>
      <c r="AB13" s="63">
        <f t="shared" si="16"/>
        <v>0</v>
      </c>
      <c r="AC13" s="69"/>
      <c r="AD13" s="70"/>
      <c r="AE13" s="70"/>
      <c r="AF13" s="62">
        <f t="shared" si="25"/>
        <v>0</v>
      </c>
      <c r="AG13" s="63">
        <f t="shared" si="26"/>
        <v>0</v>
      </c>
      <c r="AH13" s="89">
        <v>10055</v>
      </c>
      <c r="AI13" s="66">
        <v>3.71</v>
      </c>
      <c r="AJ13" s="66">
        <v>8.27</v>
      </c>
      <c r="AK13" s="62">
        <f t="shared" si="19"/>
        <v>373.04050000000001</v>
      </c>
      <c r="AL13" s="72">
        <f t="shared" si="20"/>
        <v>831.54849999999999</v>
      </c>
      <c r="AM13" s="73">
        <f t="shared" si="21"/>
        <v>1.7044999999998254</v>
      </c>
      <c r="AN13" s="74">
        <f t="shared" si="22"/>
        <v>-0.18373549999995475</v>
      </c>
      <c r="AO13" s="74">
        <f t="shared" si="23"/>
        <v>0.60357250000004115</v>
      </c>
      <c r="AP13" s="75">
        <f t="shared" si="24"/>
        <v>4.1708389717947991E-4</v>
      </c>
      <c r="AQ13" s="76">
        <f t="shared" si="9"/>
        <v>98.152450678365966</v>
      </c>
      <c r="AR13" s="90">
        <f t="shared" si="10"/>
        <v>1.7044999999998254</v>
      </c>
    </row>
    <row r="14" spans="1:44" x14ac:dyDescent="0.25">
      <c r="A14" t="str">
        <f t="shared" si="11"/>
        <v>46179M</v>
      </c>
      <c r="B14" s="51">
        <f t="shared" si="27"/>
        <v>46179</v>
      </c>
      <c r="C14" s="52" t="s">
        <v>87</v>
      </c>
      <c r="D14" s="91">
        <v>10055</v>
      </c>
      <c r="E14" s="62">
        <v>3.71</v>
      </c>
      <c r="F14" s="62">
        <v>8.27</v>
      </c>
      <c r="G14" s="62">
        <f t="shared" si="0"/>
        <v>373.04050000000001</v>
      </c>
      <c r="H14" s="63">
        <f t="shared" si="1"/>
        <v>831.54849999999999</v>
      </c>
      <c r="I14" s="119">
        <v>1373.7499999999998</v>
      </c>
      <c r="J14" s="120">
        <v>1414.9624999999999</v>
      </c>
      <c r="K14" s="121">
        <v>3.9747079162875329</v>
      </c>
      <c r="L14" s="122">
        <v>8.0573794358507715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1414.9624999999999</v>
      </c>
      <c r="S14" s="62">
        <f t="shared" si="13"/>
        <v>56.240626499999976</v>
      </c>
      <c r="T14" s="63">
        <f t="shared" si="14"/>
        <v>114.00889749999996</v>
      </c>
      <c r="U14" s="64" t="s">
        <v>169</v>
      </c>
      <c r="V14" s="65" t="s">
        <v>471</v>
      </c>
      <c r="W14" s="66" t="s">
        <v>189</v>
      </c>
      <c r="X14" s="67">
        <v>5920</v>
      </c>
      <c r="Y14" s="68">
        <v>3.75</v>
      </c>
      <c r="Z14" s="68">
        <v>8.2799999999999994</v>
      </c>
      <c r="AA14" s="62">
        <v>0</v>
      </c>
      <c r="AB14" s="63">
        <f t="shared" si="16"/>
        <v>490.17599999999999</v>
      </c>
      <c r="AC14" s="69">
        <v>5910</v>
      </c>
      <c r="AD14" s="70">
        <v>3.7000000000000006</v>
      </c>
      <c r="AE14" s="70">
        <v>8.2100000000000009</v>
      </c>
      <c r="AF14" s="62">
        <f t="shared" si="25"/>
        <v>218.67000000000004</v>
      </c>
      <c r="AG14" s="63">
        <f t="shared" si="26"/>
        <v>485.21100000000001</v>
      </c>
      <c r="AH14" s="89">
        <v>5548</v>
      </c>
      <c r="AI14" s="66">
        <v>3.74</v>
      </c>
      <c r="AJ14" s="66">
        <v>8.2799999999999994</v>
      </c>
      <c r="AK14" s="62">
        <f t="shared" si="19"/>
        <v>207.49520000000001</v>
      </c>
      <c r="AL14" s="72">
        <f t="shared" si="20"/>
        <v>459.37439999999998</v>
      </c>
      <c r="AM14" s="73">
        <f t="shared" si="21"/>
        <v>11.962499999999636</v>
      </c>
      <c r="AN14" s="74">
        <f t="shared" si="22"/>
        <v>3.1159264999999152</v>
      </c>
      <c r="AO14" s="74">
        <f t="shared" si="23"/>
        <v>0.9719974999999863</v>
      </c>
      <c r="AP14" s="75">
        <f t="shared" si="24"/>
        <v>2.401136816100527E-2</v>
      </c>
      <c r="AQ14" s="76">
        <f t="shared" si="9"/>
        <v>1689.6634969316246</v>
      </c>
      <c r="AR14" s="90">
        <f t="shared" si="10"/>
        <v>1.9624999999996362</v>
      </c>
    </row>
    <row r="15" spans="1:44" x14ac:dyDescent="0.25">
      <c r="A15" t="str">
        <f t="shared" si="11"/>
        <v>46179E</v>
      </c>
      <c r="B15" s="51">
        <f t="shared" si="27"/>
        <v>46179</v>
      </c>
      <c r="C15" s="52" t="s">
        <v>88</v>
      </c>
      <c r="D15" s="91">
        <v>5548</v>
      </c>
      <c r="E15" s="62">
        <v>3.74</v>
      </c>
      <c r="F15" s="62">
        <v>8.2799999999999994</v>
      </c>
      <c r="G15" s="62">
        <f t="shared" si="0"/>
        <v>207.49520000000001</v>
      </c>
      <c r="H15" s="63">
        <f t="shared" si="1"/>
        <v>459.37439999999998</v>
      </c>
      <c r="I15" s="119">
        <v>2520.8000000000002</v>
      </c>
      <c r="J15" s="120">
        <v>2596.4240000000004</v>
      </c>
      <c r="K15" s="121">
        <v>3.7926213900349102</v>
      </c>
      <c r="L15" s="122">
        <v>8.1428177562678528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2596.4240000000004</v>
      </c>
      <c r="S15" s="62">
        <f t="shared" si="13"/>
        <v>98.472532000000029</v>
      </c>
      <c r="T15" s="63">
        <f t="shared" si="14"/>
        <v>211.42207450000009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v>0</v>
      </c>
      <c r="AB15" s="63">
        <f t="shared" si="16"/>
        <v>0</v>
      </c>
      <c r="AC15" s="69"/>
      <c r="AD15" s="70"/>
      <c r="AE15" s="70"/>
      <c r="AF15" s="62">
        <f t="shared" si="25"/>
        <v>0</v>
      </c>
      <c r="AG15" s="63">
        <f t="shared" si="26"/>
        <v>0</v>
      </c>
      <c r="AH15" s="89">
        <v>8143</v>
      </c>
      <c r="AI15" s="66">
        <v>3.75</v>
      </c>
      <c r="AJ15" s="66">
        <v>8.23</v>
      </c>
      <c r="AK15" s="62">
        <f t="shared" si="19"/>
        <v>305.36250000000001</v>
      </c>
      <c r="AL15" s="72">
        <f t="shared" si="20"/>
        <v>670.16890000000001</v>
      </c>
      <c r="AM15" s="73">
        <f t="shared" si="21"/>
        <v>1.4240000000008877</v>
      </c>
      <c r="AN15" s="74">
        <f t="shared" si="22"/>
        <v>0.60523200000005772</v>
      </c>
      <c r="AO15" s="74">
        <f t="shared" si="23"/>
        <v>0.62757450000003701</v>
      </c>
      <c r="AP15" s="75">
        <f t="shared" si="24"/>
        <v>3.9781476480782001E-3</v>
      </c>
      <c r="AQ15" s="76">
        <f t="shared" si="9"/>
        <v>459.51100965003701</v>
      </c>
      <c r="AR15" s="90">
        <f t="shared" si="10"/>
        <v>1.4240000000008877</v>
      </c>
    </row>
    <row r="16" spans="1:44" x14ac:dyDescent="0.25">
      <c r="A16" t="str">
        <f t="shared" si="11"/>
        <v>46180M</v>
      </c>
      <c r="B16" s="51">
        <f t="shared" si="27"/>
        <v>46180</v>
      </c>
      <c r="C16" s="52" t="s">
        <v>87</v>
      </c>
      <c r="D16" s="91">
        <v>8143</v>
      </c>
      <c r="E16" s="62">
        <v>3.75</v>
      </c>
      <c r="F16" s="62">
        <v>8.23</v>
      </c>
      <c r="G16" s="62">
        <f t="shared" ref="G16:G43" si="28">+D16*E16%</f>
        <v>305.36250000000001</v>
      </c>
      <c r="H16" s="63">
        <f t="shared" ref="H16:H43" si="29">+D16*F16%</f>
        <v>670.16890000000001</v>
      </c>
      <c r="I16" s="119">
        <v>1553.3000000000004</v>
      </c>
      <c r="J16" s="120">
        <v>1599.8990000000006</v>
      </c>
      <c r="K16" s="121">
        <v>3.8506180390137139</v>
      </c>
      <c r="L16" s="122">
        <v>7.9387916049700653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1599.8990000000006</v>
      </c>
      <c r="S16" s="62">
        <f t="shared" si="13"/>
        <v>61.605999500000038</v>
      </c>
      <c r="T16" s="63">
        <f t="shared" si="14"/>
        <v>127.01264750000007</v>
      </c>
      <c r="U16" s="64" t="s">
        <v>175</v>
      </c>
      <c r="V16" s="65" t="s">
        <v>472</v>
      </c>
      <c r="W16" s="66" t="s">
        <v>189</v>
      </c>
      <c r="X16" s="67">
        <v>7160</v>
      </c>
      <c r="Y16" s="68">
        <v>3.85</v>
      </c>
      <c r="Z16" s="68">
        <v>8.3000000000000007</v>
      </c>
      <c r="AA16" s="62">
        <v>8.3800000000000008</v>
      </c>
      <c r="AB16" s="63">
        <f t="shared" si="16"/>
        <v>594.28000000000009</v>
      </c>
      <c r="AC16" s="69">
        <v>7160</v>
      </c>
      <c r="AD16" s="70">
        <v>3.8499999999999996</v>
      </c>
      <c r="AE16" s="70">
        <v>8.18</v>
      </c>
      <c r="AF16" s="62">
        <f t="shared" si="25"/>
        <v>275.65999999999997</v>
      </c>
      <c r="AG16" s="63">
        <f t="shared" si="26"/>
        <v>585.68799999999999</v>
      </c>
      <c r="AH16" s="89">
        <v>2542</v>
      </c>
      <c r="AI16" s="66">
        <v>3.8</v>
      </c>
      <c r="AJ16" s="66">
        <v>8.1999999999999993</v>
      </c>
      <c r="AK16" s="62">
        <f t="shared" si="19"/>
        <v>96.596000000000004</v>
      </c>
      <c r="AL16" s="72">
        <f t="shared" si="20"/>
        <v>208.44399999999996</v>
      </c>
      <c r="AM16" s="73">
        <f t="shared" si="21"/>
        <v>40.899000000001251</v>
      </c>
      <c r="AN16" s="74">
        <f t="shared" si="22"/>
        <v>-5.2875004999999078</v>
      </c>
      <c r="AO16" s="74">
        <f t="shared" si="23"/>
        <v>3.0495475000001306</v>
      </c>
      <c r="AP16" s="75">
        <f t="shared" si="24"/>
        <v>-1.186496158038805E-2</v>
      </c>
      <c r="AQ16" s="76">
        <f t="shared" si="9"/>
        <v>-1460.9636039715861</v>
      </c>
      <c r="AR16" s="90">
        <f t="shared" si="10"/>
        <v>40.899000000001251</v>
      </c>
    </row>
    <row r="17" spans="1:49" x14ac:dyDescent="0.25">
      <c r="A17" t="str">
        <f t="shared" si="11"/>
        <v>46180E</v>
      </c>
      <c r="B17" s="51">
        <f t="shared" si="27"/>
        <v>46180</v>
      </c>
      <c r="C17" s="52" t="s">
        <v>88</v>
      </c>
      <c r="D17" s="91">
        <v>2542</v>
      </c>
      <c r="E17" s="62">
        <v>3.8</v>
      </c>
      <c r="F17" s="62">
        <v>8.1999999999999993</v>
      </c>
      <c r="G17" s="62">
        <f>+D17*E17%</f>
        <v>96.596000000000004</v>
      </c>
      <c r="H17" s="63">
        <f>+D17*F17%</f>
        <v>208.44399999999996</v>
      </c>
      <c r="I17" s="119">
        <v>2418.2499999999995</v>
      </c>
      <c r="J17" s="120">
        <v>2490.7974999999997</v>
      </c>
      <c r="K17" s="121">
        <v>3.4720272924635589</v>
      </c>
      <c r="L17" s="122">
        <v>7.8922609324925022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2490.7974999999997</v>
      </c>
      <c r="S17" s="62">
        <f t="shared" si="13"/>
        <v>86.481168999999994</v>
      </c>
      <c r="T17" s="63">
        <f t="shared" si="14"/>
        <v>196.58023799999989</v>
      </c>
      <c r="U17" s="64" t="s">
        <v>169</v>
      </c>
      <c r="V17" s="65" t="s">
        <v>473</v>
      </c>
      <c r="W17" s="66" t="s">
        <v>191</v>
      </c>
      <c r="X17" s="67">
        <v>5690</v>
      </c>
      <c r="Y17" s="68">
        <v>3.9</v>
      </c>
      <c r="Z17" s="68">
        <v>8.32</v>
      </c>
      <c r="AA17" s="62">
        <v>0</v>
      </c>
      <c r="AB17" s="63">
        <f t="shared" si="16"/>
        <v>473.40799999999996</v>
      </c>
      <c r="AC17" s="69">
        <v>5680</v>
      </c>
      <c r="AD17" s="70">
        <v>3.8500000000000005</v>
      </c>
      <c r="AE17" s="70">
        <v>8.3000000000000007</v>
      </c>
      <c r="AF17" s="62">
        <f t="shared" si="25"/>
        <v>218.68000000000004</v>
      </c>
      <c r="AG17" s="63">
        <f t="shared" si="26"/>
        <v>471.44</v>
      </c>
      <c r="AH17" s="89">
        <v>0</v>
      </c>
      <c r="AI17" s="66">
        <v>0</v>
      </c>
      <c r="AJ17" s="66">
        <v>0</v>
      </c>
      <c r="AK17" s="62">
        <f t="shared" si="19"/>
        <v>0</v>
      </c>
      <c r="AL17" s="72">
        <f t="shared" si="20"/>
        <v>0</v>
      </c>
      <c r="AM17" s="73">
        <f t="shared" si="21"/>
        <v>-647.20250000000033</v>
      </c>
      <c r="AN17" s="74">
        <f t="shared" si="22"/>
        <v>-35.602831000000037</v>
      </c>
      <c r="AO17" s="74">
        <f t="shared" si="23"/>
        <v>-66.415762000000143</v>
      </c>
      <c r="AP17" s="75">
        <f t="shared" si="24"/>
        <v>-0.36041152370870611</v>
      </c>
      <c r="AQ17" s="76">
        <f t="shared" si="9"/>
        <v>-35858.933343823395</v>
      </c>
      <c r="AR17" s="90">
        <f t="shared" si="10"/>
        <v>-657.20250000000033</v>
      </c>
      <c r="AS17" s="90">
        <f>SUM(J4:J17)</f>
        <v>34921.377500000002</v>
      </c>
      <c r="AT17" s="83">
        <f>SUM(AM4:AM17)</f>
        <v>761.37750000000142</v>
      </c>
      <c r="AU17" s="83">
        <f>SUM(AN4:AN17)</f>
        <v>11.219000000000122</v>
      </c>
      <c r="AV17" s="83">
        <f>SUM(AO4:AO17)</f>
        <v>19.824691500000228</v>
      </c>
      <c r="AW17" s="83">
        <f>-SUM(AQ4:AQ17)</f>
        <v>-10969.322797510125</v>
      </c>
    </row>
    <row r="18" spans="1:49" x14ac:dyDescent="0.25">
      <c r="A18" t="str">
        <f t="shared" si="11"/>
        <v>46181M</v>
      </c>
      <c r="B18" s="51">
        <f t="shared" si="27"/>
        <v>46181</v>
      </c>
      <c r="C18" s="52" t="s">
        <v>87</v>
      </c>
      <c r="D18" s="91">
        <v>0</v>
      </c>
      <c r="E18" s="62">
        <v>0</v>
      </c>
      <c r="F18" s="62">
        <v>0</v>
      </c>
      <c r="G18" s="62">
        <f t="shared" si="28"/>
        <v>0</v>
      </c>
      <c r="H18" s="63">
        <f t="shared" si="29"/>
        <v>0</v>
      </c>
      <c r="I18" s="119">
        <v>1496.4</v>
      </c>
      <c r="J18" s="120">
        <v>1541.2920000000001</v>
      </c>
      <c r="K18" s="121">
        <v>3.7229751403368074</v>
      </c>
      <c r="L18" s="122">
        <v>7.88765036086608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1541.2920000000001</v>
      </c>
      <c r="S18" s="62">
        <f t="shared" si="13"/>
        <v>57.381917999999992</v>
      </c>
      <c r="T18" s="63">
        <f t="shared" si="14"/>
        <v>121.57172400000003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v>8.3000000000000007</v>
      </c>
      <c r="AB18" s="63">
        <f t="shared" si="16"/>
        <v>0</v>
      </c>
      <c r="AC18" s="69"/>
      <c r="AD18" s="70"/>
      <c r="AE18" s="70"/>
      <c r="AF18" s="62">
        <f t="shared" si="25"/>
        <v>0</v>
      </c>
      <c r="AG18" s="63">
        <f t="shared" si="26"/>
        <v>0</v>
      </c>
      <c r="AH18" s="89">
        <v>1540.7</v>
      </c>
      <c r="AI18" s="66">
        <v>3.71</v>
      </c>
      <c r="AJ18" s="66">
        <v>7.88</v>
      </c>
      <c r="AK18" s="62">
        <f t="shared" si="19"/>
        <v>57.159970000000001</v>
      </c>
      <c r="AL18" s="72">
        <f t="shared" si="20"/>
        <v>121.40715999999999</v>
      </c>
      <c r="AM18" s="73">
        <f t="shared" si="21"/>
        <v>0.59200000000009823</v>
      </c>
      <c r="AN18" s="74">
        <f t="shared" si="22"/>
        <v>0.22194799999999049</v>
      </c>
      <c r="AO18" s="74">
        <f t="shared" si="23"/>
        <v>0.16456400000004123</v>
      </c>
      <c r="AP18" s="75">
        <f t="shared" si="24"/>
        <v>2.1598442796712217E-3</v>
      </c>
      <c r="AQ18" s="76">
        <f t="shared" si="9"/>
        <v>148.88429350667474</v>
      </c>
      <c r="AR18" s="90">
        <f t="shared" si="10"/>
        <v>0.59200000000009823</v>
      </c>
    </row>
    <row r="19" spans="1:49" x14ac:dyDescent="0.25">
      <c r="A19" t="str">
        <f t="shared" si="11"/>
        <v>46181E</v>
      </c>
      <c r="B19" s="51">
        <f t="shared" si="27"/>
        <v>46181</v>
      </c>
      <c r="C19" s="52" t="s">
        <v>88</v>
      </c>
      <c r="D19" s="91">
        <v>1540.7</v>
      </c>
      <c r="E19" s="62">
        <v>3.71</v>
      </c>
      <c r="F19" s="62">
        <v>7.88</v>
      </c>
      <c r="G19" s="62">
        <f t="shared" si="28"/>
        <v>57.159970000000001</v>
      </c>
      <c r="H19" s="63">
        <f t="shared" si="29"/>
        <v>121.40715999999999</v>
      </c>
      <c r="I19" s="119">
        <v>2144.5</v>
      </c>
      <c r="J19" s="120">
        <v>2208.835</v>
      </c>
      <c r="K19" s="121">
        <v>3.8115598041501504</v>
      </c>
      <c r="L19" s="122">
        <v>7.9770669153648832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2208.835</v>
      </c>
      <c r="S19" s="62">
        <f t="shared" si="13"/>
        <v>84.191066999999975</v>
      </c>
      <c r="T19" s="63">
        <f t="shared" si="14"/>
        <v>176.20024599999991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v>0</v>
      </c>
      <c r="AB19" s="63">
        <f t="shared" si="16"/>
        <v>0</v>
      </c>
      <c r="AC19" s="69"/>
      <c r="AD19" s="70"/>
      <c r="AE19" s="70"/>
      <c r="AF19" s="62">
        <f t="shared" si="25"/>
        <v>0</v>
      </c>
      <c r="AG19" s="63">
        <f t="shared" si="26"/>
        <v>0</v>
      </c>
      <c r="AH19" s="89">
        <v>4501</v>
      </c>
      <c r="AI19" s="66">
        <v>3.8</v>
      </c>
      <c r="AJ19" s="66">
        <v>7.94</v>
      </c>
      <c r="AK19" s="62">
        <f t="shared" si="19"/>
        <v>171.03799999999998</v>
      </c>
      <c r="AL19" s="72">
        <f t="shared" si="20"/>
        <v>357.37939999999998</v>
      </c>
      <c r="AM19" s="73">
        <f t="shared" si="21"/>
        <v>-751.46500000000015</v>
      </c>
      <c r="AN19" s="74">
        <f t="shared" si="22"/>
        <v>-29.68696300000002</v>
      </c>
      <c r="AO19" s="74">
        <f t="shared" si="23"/>
        <v>-59.771994000000063</v>
      </c>
      <c r="AP19" s="75">
        <f t="shared" si="24"/>
        <v>-0.34355584281723001</v>
      </c>
      <c r="AQ19" s="76">
        <f t="shared" si="9"/>
        <v>-31214.938444690029</v>
      </c>
      <c r="AR19" s="90">
        <f t="shared" si="10"/>
        <v>-751.46500000000015</v>
      </c>
    </row>
    <row r="20" spans="1:49" x14ac:dyDescent="0.25">
      <c r="A20" t="str">
        <f t="shared" si="11"/>
        <v>46182M</v>
      </c>
      <c r="B20" s="51">
        <f t="shared" si="27"/>
        <v>46182</v>
      </c>
      <c r="C20" s="52" t="s">
        <v>87</v>
      </c>
      <c r="D20" s="91">
        <v>4501</v>
      </c>
      <c r="E20" s="62">
        <v>3.8</v>
      </c>
      <c r="F20" s="62">
        <v>7.94</v>
      </c>
      <c r="G20" s="62">
        <f t="shared" si="28"/>
        <v>171.03799999999998</v>
      </c>
      <c r="H20" s="63">
        <f t="shared" si="29"/>
        <v>357.37939999999998</v>
      </c>
      <c r="I20" s="119">
        <v>2177.5500000000002</v>
      </c>
      <c r="J20" s="120">
        <v>2242.8765000000003</v>
      </c>
      <c r="K20" s="121">
        <v>4.0607402815090348</v>
      </c>
      <c r="L20" s="122">
        <v>7.964538127712335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2242.8765000000003</v>
      </c>
      <c r="S20" s="62">
        <f t="shared" si="13"/>
        <v>91.07738950000001</v>
      </c>
      <c r="T20" s="63">
        <f t="shared" si="14"/>
        <v>178.63475399999999</v>
      </c>
      <c r="U20" s="64" t="s">
        <v>169</v>
      </c>
      <c r="V20" s="65" t="s">
        <v>474</v>
      </c>
      <c r="W20" s="66" t="s">
        <v>191</v>
      </c>
      <c r="X20" s="67">
        <v>5390</v>
      </c>
      <c r="Y20" s="68">
        <v>4</v>
      </c>
      <c r="Z20" s="68">
        <v>8.2100000000000009</v>
      </c>
      <c r="AA20" s="62">
        <f t="shared" si="15"/>
        <v>215.6</v>
      </c>
      <c r="AB20" s="63">
        <f t="shared" si="16"/>
        <v>442.51900000000006</v>
      </c>
      <c r="AC20" s="69">
        <v>5390</v>
      </c>
      <c r="AD20" s="70">
        <v>3.95</v>
      </c>
      <c r="AE20" s="70">
        <v>8.1999999999999993</v>
      </c>
      <c r="AF20" s="62">
        <f t="shared" si="25"/>
        <v>212.905</v>
      </c>
      <c r="AG20" s="63">
        <f t="shared" si="26"/>
        <v>441.97999999999996</v>
      </c>
      <c r="AH20" s="89">
        <v>540</v>
      </c>
      <c r="AI20" s="66">
        <v>3.86</v>
      </c>
      <c r="AJ20" s="66">
        <v>7.94</v>
      </c>
      <c r="AK20" s="62">
        <f t="shared" si="19"/>
        <v>20.843999999999998</v>
      </c>
      <c r="AL20" s="72">
        <f t="shared" si="20"/>
        <v>42.875999999999998</v>
      </c>
      <c r="AM20" s="73">
        <f t="shared" si="21"/>
        <v>813.87650000000031</v>
      </c>
      <c r="AN20" s="74">
        <f t="shared" si="22"/>
        <v>28.366389499999993</v>
      </c>
      <c r="AO20" s="74">
        <f t="shared" si="23"/>
        <v>51.158154000000003</v>
      </c>
      <c r="AP20" s="75">
        <f t="shared" si="24"/>
        <v>0.29484969593146992</v>
      </c>
      <c r="AQ20" s="76">
        <f t="shared" si="9"/>
        <v>28044.227185205003</v>
      </c>
      <c r="AR20" s="90">
        <f t="shared" si="10"/>
        <v>813.87650000000031</v>
      </c>
    </row>
    <row r="21" spans="1:49" x14ac:dyDescent="0.25">
      <c r="A21" t="str">
        <f t="shared" si="11"/>
        <v>46182E</v>
      </c>
      <c r="B21" s="51">
        <f t="shared" si="27"/>
        <v>46182</v>
      </c>
      <c r="C21" s="52" t="s">
        <v>88</v>
      </c>
      <c r="D21" s="91">
        <v>540</v>
      </c>
      <c r="E21" s="62">
        <v>3.86</v>
      </c>
      <c r="F21" s="62">
        <v>7.94</v>
      </c>
      <c r="G21" s="62">
        <f t="shared" si="28"/>
        <v>20.843999999999998</v>
      </c>
      <c r="H21" s="63">
        <f t="shared" si="29"/>
        <v>42.875999999999998</v>
      </c>
      <c r="I21" s="119">
        <v>2239.4</v>
      </c>
      <c r="J21" s="120">
        <v>2306.5820000000003</v>
      </c>
      <c r="K21" s="121">
        <v>3.7478632669465042</v>
      </c>
      <c r="L21" s="122">
        <v>8.0129498972939217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2306.5820000000003</v>
      </c>
      <c r="S21" s="62">
        <f t="shared" si="13"/>
        <v>86.447539500000033</v>
      </c>
      <c r="T21" s="63">
        <f t="shared" si="14"/>
        <v>184.82526000000013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25"/>
        <v>0</v>
      </c>
      <c r="AG21" s="63">
        <f t="shared" si="26"/>
        <v>0</v>
      </c>
      <c r="AH21" s="89">
        <v>2845</v>
      </c>
      <c r="AI21" s="66">
        <v>3.76</v>
      </c>
      <c r="AJ21" s="66">
        <v>7.98</v>
      </c>
      <c r="AK21" s="62">
        <f t="shared" si="19"/>
        <v>106.97199999999998</v>
      </c>
      <c r="AL21" s="72">
        <f t="shared" si="20"/>
        <v>227.03100000000003</v>
      </c>
      <c r="AM21" s="73">
        <f t="shared" si="21"/>
        <v>1.5820000000003347</v>
      </c>
      <c r="AN21" s="74">
        <f t="shared" si="22"/>
        <v>0.31953950000004738</v>
      </c>
      <c r="AO21" s="74">
        <f t="shared" si="23"/>
        <v>0.67026000000009844</v>
      </c>
      <c r="AP21" s="75">
        <f t="shared" si="24"/>
        <v>3.6487237269070367E-3</v>
      </c>
      <c r="AQ21" s="76">
        <f t="shared" si="9"/>
        <v>344.03542134505074</v>
      </c>
      <c r="AR21" s="90">
        <f t="shared" si="10"/>
        <v>1.5820000000003347</v>
      </c>
    </row>
    <row r="22" spans="1:49" x14ac:dyDescent="0.25">
      <c r="A22" t="str">
        <f t="shared" si="11"/>
        <v>46183M</v>
      </c>
      <c r="B22" s="51">
        <f t="shared" si="27"/>
        <v>46183</v>
      </c>
      <c r="C22" s="52" t="s">
        <v>87</v>
      </c>
      <c r="D22" s="91">
        <v>2845</v>
      </c>
      <c r="E22" s="62">
        <v>3.76</v>
      </c>
      <c r="F22" s="62">
        <v>7.98</v>
      </c>
      <c r="G22" s="62">
        <f t="shared" si="28"/>
        <v>106.97199999999998</v>
      </c>
      <c r="H22" s="63">
        <f t="shared" si="29"/>
        <v>227.03100000000003</v>
      </c>
      <c r="I22" s="119">
        <v>1333.8999999999996</v>
      </c>
      <c r="J22" s="120">
        <v>1373.9169999999997</v>
      </c>
      <c r="K22" s="121">
        <v>4.0150760926606193</v>
      </c>
      <c r="L22" s="122">
        <v>7.9750618487142964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1373.9169999999997</v>
      </c>
      <c r="S22" s="62">
        <f t="shared" si="13"/>
        <v>55.16381299999999</v>
      </c>
      <c r="T22" s="63">
        <f t="shared" si="14"/>
        <v>109.57073049999997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25"/>
        <v>0</v>
      </c>
      <c r="AG22" s="63">
        <f t="shared" si="26"/>
        <v>0</v>
      </c>
      <c r="AH22" s="89">
        <v>4218</v>
      </c>
      <c r="AI22" s="66">
        <v>3.84</v>
      </c>
      <c r="AJ22" s="66">
        <v>7.97</v>
      </c>
      <c r="AK22" s="62">
        <f t="shared" si="19"/>
        <v>161.97119999999998</v>
      </c>
      <c r="AL22" s="72">
        <f t="shared" si="20"/>
        <v>336.1746</v>
      </c>
      <c r="AM22" s="73">
        <f t="shared" ref="AM22:AM35" si="30">+D22+R22-AC22-AH22</f>
        <v>0.91699999999946158</v>
      </c>
      <c r="AN22" s="80">
        <f t="shared" ref="AN22:AN35" si="31">+G22+S22-AF22-AK22</f>
        <v>0.16461300000000278</v>
      </c>
      <c r="AO22" s="80">
        <f t="shared" ref="AO22:AO35" si="32">+H22+T22-AG22-AL22</f>
        <v>0.4271305000000325</v>
      </c>
      <c r="AP22" s="75">
        <f t="shared" si="24"/>
        <v>3.5921033162060233E-3</v>
      </c>
      <c r="AQ22" s="76">
        <f t="shared" si="9"/>
        <v>201.72519033334433</v>
      </c>
      <c r="AR22" s="90">
        <f t="shared" si="10"/>
        <v>0.91699999999946158</v>
      </c>
    </row>
    <row r="23" spans="1:49" x14ac:dyDescent="0.25">
      <c r="A23" t="str">
        <f t="shared" si="11"/>
        <v>46183E</v>
      </c>
      <c r="B23" s="51">
        <f t="shared" si="27"/>
        <v>46183</v>
      </c>
      <c r="C23" s="52" t="s">
        <v>88</v>
      </c>
      <c r="D23" s="91">
        <v>4218</v>
      </c>
      <c r="E23" s="62">
        <v>3.84</v>
      </c>
      <c r="F23" s="62">
        <v>7.97</v>
      </c>
      <c r="G23" s="62">
        <f t="shared" si="28"/>
        <v>161.97119999999998</v>
      </c>
      <c r="H23" s="63">
        <f t="shared" si="29"/>
        <v>336.1746</v>
      </c>
      <c r="I23" s="119">
        <v>2256.0500000000006</v>
      </c>
      <c r="J23" s="120">
        <v>2323.7315000000008</v>
      </c>
      <c r="K23" s="121">
        <v>3.6182575740785885</v>
      </c>
      <c r="L23" s="122">
        <v>7.9547904523392665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2323.7315000000008</v>
      </c>
      <c r="S23" s="62">
        <f t="shared" si="13"/>
        <v>84.078591000000031</v>
      </c>
      <c r="T23" s="63">
        <f t="shared" si="14"/>
        <v>184.84797150000009</v>
      </c>
      <c r="U23" s="64" t="s">
        <v>169</v>
      </c>
      <c r="V23" s="65" t="s">
        <v>475</v>
      </c>
      <c r="W23" s="66" t="s">
        <v>191</v>
      </c>
      <c r="X23" s="67">
        <v>5920</v>
      </c>
      <c r="Y23" s="68">
        <v>3.9</v>
      </c>
      <c r="Z23" s="68">
        <v>8.2899999999999991</v>
      </c>
      <c r="AA23" s="62">
        <f t="shared" si="15"/>
        <v>230.88</v>
      </c>
      <c r="AB23" s="63">
        <f t="shared" si="16"/>
        <v>490.76799999999992</v>
      </c>
      <c r="AC23" s="69">
        <v>5910</v>
      </c>
      <c r="AD23" s="70">
        <v>3.8</v>
      </c>
      <c r="AE23" s="70">
        <v>8.2899999999999974</v>
      </c>
      <c r="AF23" s="62">
        <f t="shared" si="25"/>
        <v>224.57999999999998</v>
      </c>
      <c r="AG23" s="63">
        <f t="shared" si="26"/>
        <v>489.93899999999985</v>
      </c>
      <c r="AH23" s="89">
        <v>621</v>
      </c>
      <c r="AI23" s="66">
        <v>3</v>
      </c>
      <c r="AJ23" s="84">
        <v>8</v>
      </c>
      <c r="AK23" s="62">
        <f t="shared" si="19"/>
        <v>18.63</v>
      </c>
      <c r="AL23" s="72">
        <f t="shared" si="20"/>
        <v>49.68</v>
      </c>
      <c r="AM23" s="73">
        <f t="shared" si="30"/>
        <v>10.731500000000779</v>
      </c>
      <c r="AN23" s="80">
        <f t="shared" si="31"/>
        <v>2.8397910000000444</v>
      </c>
      <c r="AO23" s="80">
        <f t="shared" si="32"/>
        <v>-18.59642849999971</v>
      </c>
      <c r="AP23" s="75">
        <f t="shared" si="24"/>
        <v>-5.8590856007389232E-2</v>
      </c>
      <c r="AQ23" s="76">
        <f t="shared" si="9"/>
        <v>-4290.6045674798943</v>
      </c>
      <c r="AR23" s="90">
        <f t="shared" si="10"/>
        <v>0.73150000000077853</v>
      </c>
      <c r="AS23" s="90"/>
      <c r="AT23" s="83"/>
      <c r="AU23" s="83"/>
      <c r="AV23" s="83"/>
      <c r="AW23" s="83"/>
    </row>
    <row r="24" spans="1:49" x14ac:dyDescent="0.25">
      <c r="A24" t="str">
        <f t="shared" si="11"/>
        <v>46184M</v>
      </c>
      <c r="B24" s="51">
        <f t="shared" si="27"/>
        <v>46184</v>
      </c>
      <c r="C24" s="52" t="s">
        <v>87</v>
      </c>
      <c r="D24" s="91">
        <v>621</v>
      </c>
      <c r="E24" s="62">
        <v>3</v>
      </c>
      <c r="F24" s="62">
        <v>8</v>
      </c>
      <c r="G24" s="62">
        <f t="shared" si="28"/>
        <v>18.63</v>
      </c>
      <c r="H24" s="63">
        <f t="shared" si="29"/>
        <v>49.68</v>
      </c>
      <c r="I24" s="119">
        <v>3006.45</v>
      </c>
      <c r="J24" s="120">
        <v>3096.6434999999997</v>
      </c>
      <c r="K24" s="121">
        <v>3.9978878744033657</v>
      </c>
      <c r="L24" s="122">
        <v>7.989770327130004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3096.6434999999997</v>
      </c>
      <c r="S24" s="62">
        <f t="shared" si="13"/>
        <v>123.80033499999998</v>
      </c>
      <c r="T24" s="63">
        <f t="shared" si="14"/>
        <v>247.41470349999997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25"/>
        <v>0</v>
      </c>
      <c r="AG24" s="63">
        <f t="shared" si="26"/>
        <v>0</v>
      </c>
      <c r="AH24" s="89">
        <v>3566</v>
      </c>
      <c r="AI24" s="66">
        <v>3.82</v>
      </c>
      <c r="AJ24" s="66">
        <v>7.98</v>
      </c>
      <c r="AK24" s="62">
        <f t="shared" si="19"/>
        <v>136.22119999999998</v>
      </c>
      <c r="AL24" s="72">
        <f t="shared" si="20"/>
        <v>284.56680000000006</v>
      </c>
      <c r="AM24" s="73">
        <f t="shared" si="30"/>
        <v>151.64349999999968</v>
      </c>
      <c r="AN24" s="80">
        <f t="shared" si="31"/>
        <v>6.2091350000000034</v>
      </c>
      <c r="AO24" s="80">
        <f t="shared" si="32"/>
        <v>12.527903499999923</v>
      </c>
      <c r="AP24" s="75">
        <f t="shared" si="24"/>
        <v>5.047489071485968E-2</v>
      </c>
      <c r="AQ24" s="76">
        <f t="shared" si="9"/>
        <v>6536.610232973313</v>
      </c>
      <c r="AR24" s="90">
        <f t="shared" si="10"/>
        <v>151.64349999999968</v>
      </c>
    </row>
    <row r="25" spans="1:49" x14ac:dyDescent="0.25">
      <c r="A25" t="str">
        <f t="shared" si="11"/>
        <v>46184E</v>
      </c>
      <c r="B25" s="51">
        <f t="shared" si="27"/>
        <v>46184</v>
      </c>
      <c r="C25" s="52" t="s">
        <v>88</v>
      </c>
      <c r="D25" s="91">
        <v>3566</v>
      </c>
      <c r="E25" s="62">
        <v>3.82</v>
      </c>
      <c r="F25" s="62">
        <v>7.98</v>
      </c>
      <c r="G25" s="62">
        <f t="shared" si="28"/>
        <v>136.22119999999998</v>
      </c>
      <c r="H25" s="63">
        <f t="shared" si="29"/>
        <v>284.56680000000006</v>
      </c>
      <c r="I25" s="119">
        <v>1933.9999999999998</v>
      </c>
      <c r="J25" s="120">
        <v>1992.0199999999998</v>
      </c>
      <c r="K25" s="121">
        <v>3.7220010341261647</v>
      </c>
      <c r="L25" s="122">
        <v>8.0280015511892433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1992.0199999999998</v>
      </c>
      <c r="S25" s="62">
        <f t="shared" si="13"/>
        <v>74.143005000000016</v>
      </c>
      <c r="T25" s="63">
        <f t="shared" si="14"/>
        <v>159.91939649999992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25"/>
        <v>0</v>
      </c>
      <c r="AG25" s="63">
        <f t="shared" si="26"/>
        <v>0</v>
      </c>
      <c r="AH25" s="89">
        <v>5760</v>
      </c>
      <c r="AI25" s="66">
        <v>3.9</v>
      </c>
      <c r="AJ25" s="66">
        <v>8</v>
      </c>
      <c r="AK25" s="62">
        <f t="shared" si="19"/>
        <v>224.64</v>
      </c>
      <c r="AL25" s="72">
        <f t="shared" si="20"/>
        <v>460.8</v>
      </c>
      <c r="AM25" s="73">
        <f t="shared" si="30"/>
        <v>-201.98000000000047</v>
      </c>
      <c r="AN25" s="80">
        <f t="shared" si="31"/>
        <v>-14.275794999999988</v>
      </c>
      <c r="AO25" s="80">
        <f t="shared" si="32"/>
        <v>-16.313803500000006</v>
      </c>
      <c r="AP25" s="75">
        <f t="shared" si="24"/>
        <v>-0.13068992842919286</v>
      </c>
      <c r="AQ25" s="76">
        <f t="shared" si="9"/>
        <v>-11290.833486239997</v>
      </c>
      <c r="AR25" s="90">
        <f t="shared" si="10"/>
        <v>-201.98000000000047</v>
      </c>
      <c r="AS25" s="90">
        <f>SUM(J12:J25)</f>
        <v>30420.174500000005</v>
      </c>
      <c r="AT25" s="83">
        <f>SUM(AM12:AM25)</f>
        <v>590.17450000000099</v>
      </c>
      <c r="AU25" s="83">
        <f>SUM(AN12:AN25)</f>
        <v>5.3441135000001054</v>
      </c>
      <c r="AV25" s="83">
        <f>SUM(AO12:AO25)</f>
        <v>-8.5315199999995599</v>
      </c>
      <c r="AW25" s="83">
        <f>-SUM(AQ12:AQ25)</f>
        <v>154.23043751481237</v>
      </c>
    </row>
    <row r="26" spans="1:49" x14ac:dyDescent="0.25">
      <c r="A26" t="str">
        <f t="shared" si="11"/>
        <v>46185M</v>
      </c>
      <c r="B26" s="51">
        <f t="shared" si="27"/>
        <v>46185</v>
      </c>
      <c r="C26" s="52" t="s">
        <v>87</v>
      </c>
      <c r="D26" s="91">
        <v>5760</v>
      </c>
      <c r="E26" s="62">
        <v>3.9</v>
      </c>
      <c r="F26" s="62">
        <v>8</v>
      </c>
      <c r="G26" s="62">
        <f t="shared" si="28"/>
        <v>224.64</v>
      </c>
      <c r="H26" s="63">
        <f t="shared" si="29"/>
        <v>460.8</v>
      </c>
      <c r="I26" s="119">
        <v>1375.85</v>
      </c>
      <c r="J26" s="120">
        <v>1417.1254999999999</v>
      </c>
      <c r="K26" s="121">
        <v>4.0146454918777472</v>
      </c>
      <c r="L26" s="122">
        <v>8.0627648362830264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1417.1254999999999</v>
      </c>
      <c r="S26" s="62">
        <f t="shared" si="13"/>
        <v>56.892564999999976</v>
      </c>
      <c r="T26" s="63">
        <f t="shared" si="14"/>
        <v>114.25949650000001</v>
      </c>
      <c r="U26" s="64" t="s">
        <v>175</v>
      </c>
      <c r="V26" s="65" t="s">
        <v>626</v>
      </c>
      <c r="W26" s="66" t="s">
        <v>219</v>
      </c>
      <c r="X26" s="67">
        <v>3480</v>
      </c>
      <c r="Y26" s="68">
        <v>4</v>
      </c>
      <c r="Z26" s="68">
        <v>8.33</v>
      </c>
      <c r="AA26" s="62">
        <f t="shared" si="15"/>
        <v>139.20000000000002</v>
      </c>
      <c r="AB26" s="63">
        <f t="shared" si="16"/>
        <v>289.88400000000001</v>
      </c>
      <c r="AC26" s="228">
        <v>3480</v>
      </c>
      <c r="AD26" s="229">
        <v>4</v>
      </c>
      <c r="AE26" s="229">
        <v>8.33</v>
      </c>
      <c r="AF26" s="62">
        <f t="shared" si="25"/>
        <v>139.20000000000002</v>
      </c>
      <c r="AG26" s="63">
        <f t="shared" si="26"/>
        <v>289.88400000000001</v>
      </c>
      <c r="AH26" s="89">
        <v>3696</v>
      </c>
      <c r="AI26" s="66">
        <v>3.9</v>
      </c>
      <c r="AJ26" s="66">
        <v>8.01</v>
      </c>
      <c r="AK26" s="62">
        <f t="shared" si="19"/>
        <v>144.14400000000001</v>
      </c>
      <c r="AL26" s="72">
        <f t="shared" si="20"/>
        <v>296.0496</v>
      </c>
      <c r="AM26" s="73">
        <f t="shared" si="30"/>
        <v>1.1255000000001019</v>
      </c>
      <c r="AN26" s="80">
        <f t="shared" si="31"/>
        <v>-1.8114350000000456</v>
      </c>
      <c r="AO26" s="80">
        <f t="shared" si="32"/>
        <v>-10.87410349999999</v>
      </c>
      <c r="AP26" s="75">
        <f t="shared" si="24"/>
        <v>-7.4118525881734912E-2</v>
      </c>
      <c r="AQ26" s="76">
        <f t="shared" si="9"/>
        <v>-4067.5004873066846</v>
      </c>
      <c r="AR26" s="90">
        <f t="shared" si="10"/>
        <v>1.1255000000001019</v>
      </c>
    </row>
    <row r="27" spans="1:49" x14ac:dyDescent="0.25">
      <c r="A27" t="str">
        <f t="shared" si="11"/>
        <v>46185E</v>
      </c>
      <c r="B27" s="51">
        <f t="shared" si="27"/>
        <v>46185</v>
      </c>
      <c r="C27" s="52" t="s">
        <v>88</v>
      </c>
      <c r="D27" s="91">
        <v>3696</v>
      </c>
      <c r="E27" s="62">
        <v>3.9</v>
      </c>
      <c r="F27" s="62">
        <v>8.01</v>
      </c>
      <c r="G27" s="62">
        <f t="shared" si="28"/>
        <v>144.14400000000001</v>
      </c>
      <c r="H27" s="63">
        <f t="shared" si="29"/>
        <v>296.0496</v>
      </c>
      <c r="I27" s="119">
        <v>2436.5</v>
      </c>
      <c r="J27" s="120">
        <v>2509.5950000000003</v>
      </c>
      <c r="K27" s="121">
        <v>3.6005889595731579</v>
      </c>
      <c r="L27" s="122">
        <v>8.0059326903344967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2509.5950000000003</v>
      </c>
      <c r="S27" s="62">
        <f t="shared" si="13"/>
        <v>90.360200500000005</v>
      </c>
      <c r="T27" s="63">
        <f t="shared" si="14"/>
        <v>200.91648650000005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25"/>
        <v>0</v>
      </c>
      <c r="AG27" s="63">
        <f t="shared" si="26"/>
        <v>0</v>
      </c>
      <c r="AH27" s="89">
        <v>6204</v>
      </c>
      <c r="AI27" s="66">
        <v>3.77</v>
      </c>
      <c r="AJ27" s="66">
        <v>8</v>
      </c>
      <c r="AK27" s="62">
        <f t="shared" si="19"/>
        <v>233.89079999999998</v>
      </c>
      <c r="AL27" s="72">
        <f t="shared" si="20"/>
        <v>496.32</v>
      </c>
      <c r="AM27" s="73">
        <f t="shared" si="30"/>
        <v>1.5950000000002547</v>
      </c>
      <c r="AN27" s="80">
        <f t="shared" si="31"/>
        <v>0.61340050000003998</v>
      </c>
      <c r="AO27" s="80">
        <f t="shared" si="32"/>
        <v>0.64608650000008083</v>
      </c>
      <c r="AP27" s="75">
        <f t="shared" si="24"/>
        <v>4.3240226774486782E-3</v>
      </c>
      <c r="AQ27" s="76">
        <f t="shared" si="9"/>
        <v>468.71807893170882</v>
      </c>
      <c r="AR27" s="90">
        <f t="shared" si="10"/>
        <v>1.5950000000002547</v>
      </c>
    </row>
    <row r="28" spans="1:49" x14ac:dyDescent="0.25">
      <c r="A28" t="str">
        <f t="shared" si="11"/>
        <v>46186M</v>
      </c>
      <c r="B28" s="51">
        <f t="shared" si="27"/>
        <v>46186</v>
      </c>
      <c r="C28" s="52" t="s">
        <v>87</v>
      </c>
      <c r="D28" s="91">
        <v>6204</v>
      </c>
      <c r="E28" s="62">
        <v>3.77</v>
      </c>
      <c r="F28" s="62">
        <v>8</v>
      </c>
      <c r="G28" s="62">
        <f t="shared" si="28"/>
        <v>233.89079999999998</v>
      </c>
      <c r="H28" s="63">
        <f t="shared" si="29"/>
        <v>496.32</v>
      </c>
      <c r="I28" s="119">
        <v>1625.4</v>
      </c>
      <c r="J28" s="120">
        <v>1674.162</v>
      </c>
      <c r="K28" s="121">
        <v>3.8888827365571554</v>
      </c>
      <c r="L28" s="122">
        <v>8.0870308847053032</v>
      </c>
      <c r="M28" s="58" t="s">
        <v>319</v>
      </c>
      <c r="N28" s="58" t="s">
        <v>625</v>
      </c>
      <c r="O28" s="59">
        <v>3480</v>
      </c>
      <c r="P28" s="56">
        <v>4</v>
      </c>
      <c r="Q28" s="60">
        <v>8.33</v>
      </c>
      <c r="R28" s="61">
        <f t="shared" si="12"/>
        <v>5154.1620000000003</v>
      </c>
      <c r="S28" s="62">
        <f t="shared" si="13"/>
        <v>204.30619700000003</v>
      </c>
      <c r="T28" s="63">
        <f t="shared" si="14"/>
        <v>425.27399800000001</v>
      </c>
      <c r="U28" s="64" t="s">
        <v>251</v>
      </c>
      <c r="V28" s="65" t="s">
        <v>627</v>
      </c>
      <c r="W28" s="66" t="s">
        <v>225</v>
      </c>
      <c r="X28" s="67">
        <v>9310</v>
      </c>
      <c r="Y28" s="68">
        <v>4</v>
      </c>
      <c r="Z28" s="68">
        <v>8.2100000000000009</v>
      </c>
      <c r="AA28" s="62">
        <f t="shared" si="15"/>
        <v>372.40000000000003</v>
      </c>
      <c r="AB28" s="63">
        <f t="shared" si="16"/>
        <v>764.35100000000011</v>
      </c>
      <c r="AC28" s="69">
        <v>9290</v>
      </c>
      <c r="AD28" s="70">
        <v>3.95</v>
      </c>
      <c r="AE28" s="70">
        <v>8.14</v>
      </c>
      <c r="AF28" s="62">
        <f t="shared" si="25"/>
        <v>366.95499999999998</v>
      </c>
      <c r="AG28" s="63">
        <f t="shared" si="26"/>
        <v>756.20600000000002</v>
      </c>
      <c r="AH28" s="89">
        <v>1938</v>
      </c>
      <c r="AI28" s="66">
        <v>3.8</v>
      </c>
      <c r="AJ28" s="66">
        <v>8.1</v>
      </c>
      <c r="AK28" s="62">
        <f t="shared" si="19"/>
        <v>73.643999999999991</v>
      </c>
      <c r="AL28" s="72">
        <f t="shared" si="20"/>
        <v>156.97800000000001</v>
      </c>
      <c r="AM28" s="73">
        <f t="shared" si="30"/>
        <v>130.16200000000026</v>
      </c>
      <c r="AN28" s="74">
        <f t="shared" si="31"/>
        <v>-2.402002999999965</v>
      </c>
      <c r="AO28" s="74">
        <f t="shared" si="32"/>
        <v>8.4099980000000301</v>
      </c>
      <c r="AP28" s="75">
        <f t="shared" si="24"/>
        <v>9.5428589522261967E-3</v>
      </c>
      <c r="AQ28" s="76">
        <f t="shared" si="9"/>
        <v>1438.6049680566916</v>
      </c>
      <c r="AR28" s="90">
        <f t="shared" si="10"/>
        <v>110.16200000000026</v>
      </c>
    </row>
    <row r="29" spans="1:49" x14ac:dyDescent="0.25">
      <c r="A29" t="str">
        <f t="shared" si="11"/>
        <v>46186E</v>
      </c>
      <c r="B29" s="51">
        <f t="shared" si="27"/>
        <v>46186</v>
      </c>
      <c r="C29" s="52" t="s">
        <v>88</v>
      </c>
      <c r="D29" s="91">
        <v>1938</v>
      </c>
      <c r="E29" s="62">
        <v>3.8</v>
      </c>
      <c r="F29" s="62">
        <v>8.1</v>
      </c>
      <c r="G29" s="62">
        <f t="shared" si="28"/>
        <v>73.643999999999991</v>
      </c>
      <c r="H29" s="63">
        <f t="shared" si="29"/>
        <v>156.97800000000001</v>
      </c>
      <c r="I29" s="119">
        <v>2168.7499999999995</v>
      </c>
      <c r="J29" s="120">
        <v>2233.8124999999995</v>
      </c>
      <c r="K29" s="121">
        <v>3.4877164265129679</v>
      </c>
      <c r="L29" s="122">
        <v>7.9702201729106594</v>
      </c>
      <c r="M29" s="58">
        <v>0</v>
      </c>
      <c r="N29" s="192">
        <v>0</v>
      </c>
      <c r="O29" s="59">
        <v>0</v>
      </c>
      <c r="P29" s="56">
        <v>0</v>
      </c>
      <c r="Q29" s="60">
        <v>0</v>
      </c>
      <c r="R29" s="61">
        <f>+J29+O29</f>
        <v>2233.8124999999995</v>
      </c>
      <c r="S29" s="62">
        <f t="shared" si="13"/>
        <v>77.909045499999976</v>
      </c>
      <c r="T29" s="63">
        <f>+J29*L29%+O29*Q29%</f>
        <v>178.03977449999988</v>
      </c>
      <c r="U29" s="64" t="s">
        <v>167</v>
      </c>
      <c r="V29" s="65" t="s">
        <v>187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5"/>
        <v>0</v>
      </c>
      <c r="AB29" s="63">
        <f>+X29*Z29%</f>
        <v>0</v>
      </c>
      <c r="AC29" s="69"/>
      <c r="AD29" s="70"/>
      <c r="AE29" s="70"/>
      <c r="AF29" s="62">
        <f t="shared" si="25"/>
        <v>0</v>
      </c>
      <c r="AG29" s="63">
        <f>AC29*AE29%</f>
        <v>0</v>
      </c>
      <c r="AH29" s="89">
        <v>4171</v>
      </c>
      <c r="AI29" s="66">
        <v>3.62</v>
      </c>
      <c r="AJ29" s="66">
        <v>8.02</v>
      </c>
      <c r="AK29" s="62">
        <f t="shared" si="19"/>
        <v>150.99020000000002</v>
      </c>
      <c r="AL29" s="72">
        <f t="shared" si="20"/>
        <v>334.51419999999996</v>
      </c>
      <c r="AM29" s="73">
        <f t="shared" si="30"/>
        <v>0.8125</v>
      </c>
      <c r="AN29" s="74">
        <f t="shared" si="31"/>
        <v>0.56284549999995193</v>
      </c>
      <c r="AO29" s="74">
        <f t="shared" si="32"/>
        <v>0.50357449999989967</v>
      </c>
      <c r="AP29" s="75">
        <f t="shared" si="24"/>
        <v>4.1665361067101314E-3</v>
      </c>
      <c r="AQ29" s="76">
        <f t="shared" si="9"/>
        <v>403.37339260161508</v>
      </c>
      <c r="AR29" s="90">
        <f t="shared" si="10"/>
        <v>0.8125</v>
      </c>
    </row>
    <row r="30" spans="1:49" x14ac:dyDescent="0.25">
      <c r="A30" t="str">
        <f t="shared" si="11"/>
        <v>46187M</v>
      </c>
      <c r="B30" s="51">
        <f t="shared" si="27"/>
        <v>46187</v>
      </c>
      <c r="C30" s="52" t="s">
        <v>87</v>
      </c>
      <c r="D30" s="91">
        <v>4171</v>
      </c>
      <c r="E30" s="62">
        <v>3.62</v>
      </c>
      <c r="F30" s="62">
        <v>8.02</v>
      </c>
      <c r="G30" s="62">
        <f t="shared" si="28"/>
        <v>150.99020000000002</v>
      </c>
      <c r="H30" s="63">
        <f t="shared" si="29"/>
        <v>334.51419999999996</v>
      </c>
      <c r="I30" s="119">
        <v>1446.25</v>
      </c>
      <c r="J30" s="120">
        <v>1489.6375</v>
      </c>
      <c r="K30" s="121">
        <v>4.1116611927398434</v>
      </c>
      <c r="L30" s="122">
        <v>8.0113742437337905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1489.6375</v>
      </c>
      <c r="S30" s="62">
        <f t="shared" si="13"/>
        <v>61.248846999999984</v>
      </c>
      <c r="T30" s="63">
        <f t="shared" si="14"/>
        <v>119.34043499999994</v>
      </c>
      <c r="U30" s="64" t="s">
        <v>232</v>
      </c>
      <c r="V30" s="65" t="s">
        <v>628</v>
      </c>
      <c r="W30" s="66" t="s">
        <v>115</v>
      </c>
      <c r="X30" s="67">
        <v>5000</v>
      </c>
      <c r="Y30" s="68">
        <v>4</v>
      </c>
      <c r="Z30" s="68">
        <v>8.33</v>
      </c>
      <c r="AA30" s="62">
        <f t="shared" si="15"/>
        <v>200</v>
      </c>
      <c r="AB30" s="63">
        <f t="shared" si="16"/>
        <v>416.5</v>
      </c>
      <c r="AC30" s="69">
        <v>4980</v>
      </c>
      <c r="AD30" s="70">
        <v>3.8</v>
      </c>
      <c r="AE30" s="70">
        <v>8.17</v>
      </c>
      <c r="AF30" s="62">
        <f t="shared" si="25"/>
        <v>189.24</v>
      </c>
      <c r="AG30" s="63">
        <f t="shared" si="26"/>
        <v>406.86599999999999</v>
      </c>
      <c r="AH30" s="89">
        <v>659</v>
      </c>
      <c r="AI30" s="66">
        <v>3.7</v>
      </c>
      <c r="AJ30" s="66">
        <v>8</v>
      </c>
      <c r="AK30" s="62">
        <f t="shared" si="19"/>
        <v>24.383000000000003</v>
      </c>
      <c r="AL30" s="72">
        <f t="shared" si="20"/>
        <v>52.72</v>
      </c>
      <c r="AM30" s="73">
        <f t="shared" si="30"/>
        <v>21.637499999999818</v>
      </c>
      <c r="AN30" s="80">
        <f t="shared" si="31"/>
        <v>-1.3839530000000124</v>
      </c>
      <c r="AO30" s="80">
        <f t="shared" si="32"/>
        <v>-5.7313650000000678</v>
      </c>
      <c r="AP30" s="75">
        <f t="shared" si="24"/>
        <v>-3.9400555344143204E-2</v>
      </c>
      <c r="AQ30" s="76">
        <f t="shared" si="9"/>
        <v>-2336.5150493300262</v>
      </c>
      <c r="AR30" s="90">
        <f t="shared" si="10"/>
        <v>1.6374999999998181</v>
      </c>
    </row>
    <row r="31" spans="1:49" x14ac:dyDescent="0.25">
      <c r="A31" t="str">
        <f t="shared" si="11"/>
        <v>46187E</v>
      </c>
      <c r="B31" s="51">
        <f t="shared" si="27"/>
        <v>46187</v>
      </c>
      <c r="C31" s="52" t="s">
        <v>88</v>
      </c>
      <c r="D31" s="91">
        <v>659</v>
      </c>
      <c r="E31" s="62">
        <v>3.7</v>
      </c>
      <c r="F31" s="62">
        <v>8</v>
      </c>
      <c r="G31" s="62">
        <f t="shared" si="28"/>
        <v>24.383000000000003</v>
      </c>
      <c r="H31" s="63">
        <f t="shared" si="29"/>
        <v>52.72</v>
      </c>
      <c r="I31" s="119">
        <v>2417.9499999999998</v>
      </c>
      <c r="J31" s="120">
        <v>2490.4884999999999</v>
      </c>
      <c r="K31" s="121">
        <v>3.6433776546247838</v>
      </c>
      <c r="L31" s="122">
        <v>7.9333877871750849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2490.4884999999999</v>
      </c>
      <c r="S31" s="62">
        <f t="shared" si="13"/>
        <v>90.737901499999964</v>
      </c>
      <c r="T31" s="63">
        <f t="shared" si="14"/>
        <v>197.58011049999996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25"/>
        <v>0</v>
      </c>
      <c r="AG31" s="63">
        <f t="shared" si="26"/>
        <v>0</v>
      </c>
      <c r="AH31" s="89">
        <v>3147</v>
      </c>
      <c r="AI31" s="66">
        <v>3.56</v>
      </c>
      <c r="AJ31" s="66">
        <v>7.93</v>
      </c>
      <c r="AK31" s="62">
        <f t="shared" si="19"/>
        <v>112.03319999999999</v>
      </c>
      <c r="AL31" s="72">
        <f t="shared" si="20"/>
        <v>249.55709999999999</v>
      </c>
      <c r="AM31" s="73">
        <f t="shared" ref="AM31" si="33">+D31+R31-AC31-AH31</f>
        <v>2.4884999999999309</v>
      </c>
      <c r="AN31" s="80">
        <f t="shared" ref="AN31" si="34">+G31+S31-AF31-AK31</f>
        <v>3.0877014999999801</v>
      </c>
      <c r="AO31" s="80">
        <f t="shared" ref="AO31" si="35">+H31+T31-AG31-AL31</f>
        <v>0.74301049999996849</v>
      </c>
      <c r="AP31" s="75">
        <f t="shared" si="24"/>
        <v>1.3286412366078431E-2</v>
      </c>
      <c r="AQ31" s="76">
        <f t="shared" si="9"/>
        <v>1608.4633094016483</v>
      </c>
      <c r="AR31" s="90">
        <f t="shared" si="10"/>
        <v>2.4884999999999309</v>
      </c>
      <c r="AS31" s="90">
        <f>SUM(J18:J31)</f>
        <v>28900.718499999999</v>
      </c>
      <c r="AT31" s="83">
        <f>SUM(AM18:AM31)</f>
        <v>183.7185000000004</v>
      </c>
      <c r="AU31" s="83">
        <f>SUM(AN18:AN31)</f>
        <v>-7.1747854999999774</v>
      </c>
      <c r="AV31" s="83">
        <f>SUM(AO18:AO31)</f>
        <v>-36.03701299999976</v>
      </c>
      <c r="AW31" s="83">
        <f>-SUM(AQ18:AQ31)</f>
        <v>14005.749962691581</v>
      </c>
    </row>
    <row r="32" spans="1:49" x14ac:dyDescent="0.25">
      <c r="A32" t="str">
        <f t="shared" si="11"/>
        <v>46188M</v>
      </c>
      <c r="B32" s="51">
        <f t="shared" si="27"/>
        <v>46188</v>
      </c>
      <c r="C32" s="52" t="s">
        <v>87</v>
      </c>
      <c r="D32" s="91">
        <v>3147</v>
      </c>
      <c r="E32" s="62">
        <v>3.56</v>
      </c>
      <c r="F32" s="62">
        <v>7.93</v>
      </c>
      <c r="G32" s="62">
        <f t="shared" si="28"/>
        <v>112.03319999999999</v>
      </c>
      <c r="H32" s="63">
        <f t="shared" si="29"/>
        <v>249.55709999999999</v>
      </c>
      <c r="I32" s="119">
        <v>2320.3999999999992</v>
      </c>
      <c r="J32" s="120">
        <v>2390.0119999999993</v>
      </c>
      <c r="K32" s="121">
        <v>4.0883188243406305</v>
      </c>
      <c r="L32" s="122">
        <v>8.0268703671780717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2"/>
        <v>2390.0119999999993</v>
      </c>
      <c r="S32" s="62">
        <f t="shared" si="13"/>
        <v>97.711310499999954</v>
      </c>
      <c r="T32" s="63">
        <f t="shared" si="14"/>
        <v>191.84316499999991</v>
      </c>
      <c r="U32" s="64" t="s">
        <v>629</v>
      </c>
      <c r="V32" s="65" t="s">
        <v>630</v>
      </c>
      <c r="W32" s="66" t="s">
        <v>159</v>
      </c>
      <c r="X32" s="67">
        <v>5200</v>
      </c>
      <c r="Y32" s="68">
        <v>4</v>
      </c>
      <c r="Z32" s="68">
        <v>8.08</v>
      </c>
      <c r="AA32" s="62">
        <f t="shared" si="15"/>
        <v>208</v>
      </c>
      <c r="AB32" s="63">
        <f t="shared" si="16"/>
        <v>420.15999999999997</v>
      </c>
      <c r="AC32" s="69">
        <v>5170</v>
      </c>
      <c r="AD32" s="70">
        <v>3.9</v>
      </c>
      <c r="AE32" s="70">
        <v>8.06</v>
      </c>
      <c r="AF32" s="62">
        <f t="shared" si="25"/>
        <v>201.63</v>
      </c>
      <c r="AG32" s="63">
        <f t="shared" si="26"/>
        <v>416.702</v>
      </c>
      <c r="AH32" s="89">
        <v>307</v>
      </c>
      <c r="AI32" s="66">
        <v>3.7</v>
      </c>
      <c r="AJ32" s="66">
        <v>8</v>
      </c>
      <c r="AK32" s="62">
        <f t="shared" si="19"/>
        <v>11.359000000000002</v>
      </c>
      <c r="AL32" s="72">
        <f t="shared" si="20"/>
        <v>24.560000000000002</v>
      </c>
      <c r="AM32" s="73">
        <f t="shared" si="30"/>
        <v>60.011999999998807</v>
      </c>
      <c r="AN32" s="80">
        <f t="shared" si="31"/>
        <v>-3.2444895000000642</v>
      </c>
      <c r="AO32" s="80">
        <f t="shared" si="32"/>
        <v>0.13826499999987618</v>
      </c>
      <c r="AP32" s="75">
        <f t="shared" si="24"/>
        <v>-1.0727599684433783E-2</v>
      </c>
      <c r="AQ32" s="76">
        <f t="shared" si="9"/>
        <v>-1415.1047540117327</v>
      </c>
      <c r="AR32" s="90">
        <f t="shared" si="10"/>
        <v>30.011999999998807</v>
      </c>
    </row>
    <row r="33" spans="1:49" x14ac:dyDescent="0.25">
      <c r="A33" t="str">
        <f t="shared" si="11"/>
        <v>46188E</v>
      </c>
      <c r="B33" s="51">
        <f t="shared" si="27"/>
        <v>46188</v>
      </c>
      <c r="C33" s="52" t="s">
        <v>88</v>
      </c>
      <c r="D33" s="91">
        <v>307</v>
      </c>
      <c r="E33" s="62">
        <v>3.7</v>
      </c>
      <c r="F33" s="62">
        <v>8</v>
      </c>
      <c r="G33" s="62">
        <f t="shared" si="28"/>
        <v>11.359000000000002</v>
      </c>
      <c r="H33" s="63">
        <f t="shared" si="29"/>
        <v>24.560000000000002</v>
      </c>
      <c r="I33" s="119">
        <v>1693.8000000000002</v>
      </c>
      <c r="J33" s="120">
        <v>1744.6140000000003</v>
      </c>
      <c r="K33" s="121">
        <v>3.6004752627228713</v>
      </c>
      <c r="L33" s="122">
        <v>7.9464251977801386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1744.6140000000003</v>
      </c>
      <c r="S33" s="62">
        <f t="shared" si="13"/>
        <v>62.814395500000003</v>
      </c>
      <c r="T33" s="63">
        <f t="shared" si="14"/>
        <v>138.6344465</v>
      </c>
      <c r="U33" s="64" t="s">
        <v>167</v>
      </c>
      <c r="V33" s="65" t="s">
        <v>187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25"/>
        <v>0</v>
      </c>
      <c r="AG33" s="63">
        <f t="shared" si="26"/>
        <v>0</v>
      </c>
      <c r="AH33" s="89">
        <v>2050</v>
      </c>
      <c r="AI33" s="66">
        <v>3.6</v>
      </c>
      <c r="AJ33" s="66">
        <v>7.94</v>
      </c>
      <c r="AK33" s="62">
        <f t="shared" si="19"/>
        <v>73.800000000000011</v>
      </c>
      <c r="AL33" s="72">
        <f t="shared" si="20"/>
        <v>162.77000000000001</v>
      </c>
      <c r="AM33" s="73">
        <f t="shared" si="30"/>
        <v>1.6140000000004875</v>
      </c>
      <c r="AN33" s="80">
        <f t="shared" si="31"/>
        <v>0.37339549999998667</v>
      </c>
      <c r="AO33" s="80">
        <f t="shared" si="32"/>
        <v>0.42444649999998774</v>
      </c>
      <c r="AP33" s="75">
        <f t="shared" si="24"/>
        <v>3.9605191674418972E-3</v>
      </c>
      <c r="AQ33" s="76">
        <f t="shared" si="9"/>
        <v>294.64649278165706</v>
      </c>
      <c r="AR33" s="90">
        <f t="shared" si="10"/>
        <v>1.6140000000004875</v>
      </c>
    </row>
    <row r="34" spans="1:49" x14ac:dyDescent="0.25">
      <c r="A34" t="str">
        <f t="shared" si="11"/>
        <v>46189M</v>
      </c>
      <c r="B34" s="51">
        <f t="shared" si="27"/>
        <v>46189</v>
      </c>
      <c r="C34" s="52" t="s">
        <v>87</v>
      </c>
      <c r="D34" s="91">
        <v>2050</v>
      </c>
      <c r="E34" s="62">
        <v>3.6</v>
      </c>
      <c r="F34" s="62">
        <v>7.94</v>
      </c>
      <c r="G34" s="62">
        <f t="shared" si="28"/>
        <v>73.800000000000011</v>
      </c>
      <c r="H34" s="63">
        <f t="shared" si="29"/>
        <v>162.77000000000001</v>
      </c>
      <c r="I34" s="119">
        <v>2142.150000000001</v>
      </c>
      <c r="J34" s="120">
        <v>2206.4145000000012</v>
      </c>
      <c r="K34" s="121">
        <v>4.0728753822094603</v>
      </c>
      <c r="L34" s="122">
        <v>8.0022874215157653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2206.4145000000012</v>
      </c>
      <c r="S34" s="62">
        <f t="shared" si="13"/>
        <v>89.864513000000002</v>
      </c>
      <c r="T34" s="63">
        <f t="shared" si="14"/>
        <v>176.56363000000005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25"/>
        <v>0</v>
      </c>
      <c r="AG34" s="63">
        <f t="shared" si="26"/>
        <v>0</v>
      </c>
      <c r="AH34" s="89">
        <v>4255</v>
      </c>
      <c r="AI34" s="66">
        <v>3.83</v>
      </c>
      <c r="AJ34" s="66">
        <v>7.98</v>
      </c>
      <c r="AK34" s="62">
        <f t="shared" si="19"/>
        <v>162.9665</v>
      </c>
      <c r="AL34" s="72">
        <f t="shared" si="20"/>
        <v>339.54900000000004</v>
      </c>
      <c r="AM34" s="73">
        <f t="shared" si="30"/>
        <v>1.4145000000007713</v>
      </c>
      <c r="AN34" s="80">
        <f t="shared" si="31"/>
        <v>0.6980130000000031</v>
      </c>
      <c r="AO34" s="80">
        <f t="shared" si="32"/>
        <v>-0.21536999999995032</v>
      </c>
      <c r="AP34" s="75">
        <f t="shared" si="24"/>
        <v>1.8115315993477937E-3</v>
      </c>
      <c r="AQ34" s="76">
        <f t="shared" si="9"/>
        <v>248.89051803001627</v>
      </c>
      <c r="AR34" s="90">
        <f t="shared" si="10"/>
        <v>1.4145000000007713</v>
      </c>
    </row>
    <row r="35" spans="1:49" x14ac:dyDescent="0.25">
      <c r="A35" t="str">
        <f t="shared" si="11"/>
        <v>46189E</v>
      </c>
      <c r="B35" s="51">
        <f t="shared" si="27"/>
        <v>46189</v>
      </c>
      <c r="C35" s="52" t="s">
        <v>88</v>
      </c>
      <c r="D35" s="91">
        <v>4255</v>
      </c>
      <c r="E35" s="62">
        <v>3.83</v>
      </c>
      <c r="F35" s="62">
        <v>7.98</v>
      </c>
      <c r="G35" s="62">
        <f t="shared" si="28"/>
        <v>162.9665</v>
      </c>
      <c r="H35" s="63">
        <f t="shared" si="29"/>
        <v>339.54900000000004</v>
      </c>
      <c r="I35" s="119">
        <v>1814.2499999999998</v>
      </c>
      <c r="J35" s="120">
        <v>1868.6774999999998</v>
      </c>
      <c r="K35" s="121">
        <v>3.5183602039410236</v>
      </c>
      <c r="L35" s="122">
        <v>7.8981204354416423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1868.6774999999998</v>
      </c>
      <c r="S35" s="62">
        <f t="shared" si="13"/>
        <v>65.746805500000008</v>
      </c>
      <c r="T35" s="63">
        <f t="shared" si="14"/>
        <v>147.59039949999999</v>
      </c>
      <c r="U35" s="64" t="s">
        <v>169</v>
      </c>
      <c r="V35" s="65" t="s">
        <v>631</v>
      </c>
      <c r="W35" s="66" t="s">
        <v>191</v>
      </c>
      <c r="X35" s="67">
        <v>5920</v>
      </c>
      <c r="Y35" s="68">
        <v>4.1500000000000004</v>
      </c>
      <c r="Z35" s="68">
        <v>8.36</v>
      </c>
      <c r="AA35" s="62">
        <f t="shared" si="15"/>
        <v>245.68</v>
      </c>
      <c r="AB35" s="63">
        <f t="shared" si="16"/>
        <v>494.91199999999998</v>
      </c>
      <c r="AC35" s="69">
        <v>5910</v>
      </c>
      <c r="AD35" s="70">
        <v>4.0999999999999996</v>
      </c>
      <c r="AE35" s="70">
        <v>8.3499999999999979</v>
      </c>
      <c r="AF35" s="62">
        <f t="shared" si="25"/>
        <v>242.30999999999997</v>
      </c>
      <c r="AG35" s="63">
        <f t="shared" si="26"/>
        <v>493.48499999999984</v>
      </c>
      <c r="AH35" s="89">
        <v>188</v>
      </c>
      <c r="AI35" s="66">
        <v>3</v>
      </c>
      <c r="AJ35" s="66">
        <v>7.4</v>
      </c>
      <c r="AK35" s="62">
        <f t="shared" si="19"/>
        <v>5.64</v>
      </c>
      <c r="AL35" s="72">
        <f t="shared" si="20"/>
        <v>13.912000000000003</v>
      </c>
      <c r="AM35" s="73">
        <f t="shared" si="30"/>
        <v>25.677499999999782</v>
      </c>
      <c r="AN35" s="80">
        <f t="shared" si="31"/>
        <v>-19.236694499999984</v>
      </c>
      <c r="AO35" s="80">
        <f t="shared" si="32"/>
        <v>-20.257600499999821</v>
      </c>
      <c r="AP35" s="75">
        <f t="shared" si="24"/>
        <v>-0.1851261480621714</v>
      </c>
      <c r="AQ35" s="76">
        <f t="shared" si="9"/>
        <v>-14698.10415496494</v>
      </c>
      <c r="AR35" s="90">
        <f t="shared" si="10"/>
        <v>15.677499999999782</v>
      </c>
    </row>
    <row r="36" spans="1:49" x14ac:dyDescent="0.25">
      <c r="A36" t="str">
        <f t="shared" si="11"/>
        <v>46190M</v>
      </c>
      <c r="B36" s="51">
        <f t="shared" si="27"/>
        <v>46190</v>
      </c>
      <c r="C36" s="52" t="s">
        <v>87</v>
      </c>
      <c r="D36" s="91">
        <v>188</v>
      </c>
      <c r="E36" s="62">
        <v>3</v>
      </c>
      <c r="F36" s="62">
        <v>7.4</v>
      </c>
      <c r="G36" s="62">
        <f t="shared" si="28"/>
        <v>5.64</v>
      </c>
      <c r="H36" s="63">
        <f t="shared" si="29"/>
        <v>13.912000000000003</v>
      </c>
      <c r="I36" s="119">
        <v>1056.5</v>
      </c>
      <c r="J36" s="120">
        <v>1088.1949999999999</v>
      </c>
      <c r="K36" s="121">
        <v>4.1260056791292019</v>
      </c>
      <c r="L36" s="122">
        <v>7.9266587789872238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ref="R36:R48" si="36">+J36+O36</f>
        <v>1088.1949999999999</v>
      </c>
      <c r="S36" s="62">
        <f t="shared" ref="S36:S48" si="37">+J36*K36%+O36*P36%</f>
        <v>44.898987500000018</v>
      </c>
      <c r="T36" s="63">
        <f t="shared" ref="T36:T48" si="38">+J36*L36%+O36*Q36%</f>
        <v>86.25750450000001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25"/>
        <v>0</v>
      </c>
      <c r="AG36" s="63">
        <f t="shared" si="26"/>
        <v>0</v>
      </c>
      <c r="AH36" s="89">
        <v>1274</v>
      </c>
      <c r="AI36" s="66">
        <v>3.95</v>
      </c>
      <c r="AJ36" s="66">
        <v>7.84</v>
      </c>
      <c r="AK36" s="62">
        <f t="shared" si="19"/>
        <v>50.323</v>
      </c>
      <c r="AL36" s="72">
        <f t="shared" si="20"/>
        <v>99.881599999999992</v>
      </c>
      <c r="AM36" s="73">
        <f t="shared" ref="AM36:AM49" si="39">+D36+R36-AC36-AH36</f>
        <v>2.1949999999999363</v>
      </c>
      <c r="AN36" s="80">
        <f t="shared" ref="AN36:AN49" si="40">+G36+S36-AF36-AK36</f>
        <v>0.21598750000001843</v>
      </c>
      <c r="AO36" s="80">
        <f t="shared" ref="AO36:AO49" si="41">+H36+T36-AG36-AL36</f>
        <v>0.28790450000002465</v>
      </c>
      <c r="AP36" s="75">
        <f t="shared" si="24"/>
        <v>3.8419142835876018E-3</v>
      </c>
      <c r="AQ36" s="76">
        <f t="shared" si="9"/>
        <v>183.12108802168234</v>
      </c>
      <c r="AR36">
        <f t="shared" si="10"/>
        <v>2.1949999999999363</v>
      </c>
    </row>
    <row r="37" spans="1:49" x14ac:dyDescent="0.25">
      <c r="A37" t="str">
        <f t="shared" si="11"/>
        <v>46190E</v>
      </c>
      <c r="B37" s="51">
        <f t="shared" si="27"/>
        <v>46190</v>
      </c>
      <c r="C37" s="52" t="s">
        <v>88</v>
      </c>
      <c r="D37" s="91">
        <v>1274</v>
      </c>
      <c r="E37" s="62">
        <v>3.95</v>
      </c>
      <c r="F37" s="62">
        <v>7.84</v>
      </c>
      <c r="G37" s="62">
        <f t="shared" si="28"/>
        <v>50.323</v>
      </c>
      <c r="H37" s="63">
        <f t="shared" si="29"/>
        <v>99.881599999999992</v>
      </c>
      <c r="I37" s="119">
        <v>2766.0999999999995</v>
      </c>
      <c r="J37" s="120">
        <v>2849.0829999999996</v>
      </c>
      <c r="K37" s="121">
        <v>4.1215248906402522</v>
      </c>
      <c r="L37" s="122">
        <v>8.1034814359567644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36"/>
        <v>2849.0829999999996</v>
      </c>
      <c r="S37" s="62">
        <f t="shared" si="37"/>
        <v>117.425665</v>
      </c>
      <c r="T37" s="63">
        <f t="shared" si="38"/>
        <v>230.87491200000005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25"/>
        <v>0</v>
      </c>
      <c r="AG37" s="63">
        <f t="shared" si="26"/>
        <v>0</v>
      </c>
      <c r="AH37" s="89">
        <v>4148</v>
      </c>
      <c r="AI37" s="66">
        <v>4.03</v>
      </c>
      <c r="AJ37" s="66">
        <v>7.96</v>
      </c>
      <c r="AK37" s="62">
        <f t="shared" si="19"/>
        <v>167.1644</v>
      </c>
      <c r="AL37" s="72">
        <f t="shared" si="20"/>
        <v>330.18080000000003</v>
      </c>
      <c r="AM37" s="73">
        <f t="shared" si="39"/>
        <v>-24.917000000000371</v>
      </c>
      <c r="AN37" s="80">
        <f t="shared" si="40"/>
        <v>0.58426499999998782</v>
      </c>
      <c r="AO37" s="80">
        <f t="shared" si="41"/>
        <v>0.57571200000000999</v>
      </c>
      <c r="AP37" s="75">
        <f t="shared" si="24"/>
        <v>3.3303906929789489E-3</v>
      </c>
      <c r="AQ37" s="76">
        <f t="shared" si="9"/>
        <v>434.57765042999756</v>
      </c>
      <c r="AR37">
        <f t="shared" si="10"/>
        <v>-24.917000000000371</v>
      </c>
    </row>
    <row r="38" spans="1:49" x14ac:dyDescent="0.25">
      <c r="A38" t="str">
        <f t="shared" si="11"/>
        <v>46191M</v>
      </c>
      <c r="B38" s="51">
        <f t="shared" si="27"/>
        <v>46191</v>
      </c>
      <c r="C38" s="52" t="s">
        <v>87</v>
      </c>
      <c r="D38" s="91">
        <v>4148</v>
      </c>
      <c r="E38" s="62">
        <v>4.03</v>
      </c>
      <c r="F38" s="62">
        <v>7.96</v>
      </c>
      <c r="G38" s="62">
        <f t="shared" si="28"/>
        <v>167.1644</v>
      </c>
      <c r="H38" s="63">
        <f t="shared" si="29"/>
        <v>330.18080000000003</v>
      </c>
      <c r="I38" s="119">
        <v>4785.7000000000007</v>
      </c>
      <c r="J38" s="120">
        <v>4929.2710000000006</v>
      </c>
      <c r="K38" s="121">
        <v>3.9688436383392172</v>
      </c>
      <c r="L38" s="122">
        <v>7.9436069958417788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36"/>
        <v>4929.2710000000006</v>
      </c>
      <c r="S38" s="62">
        <f t="shared" si="37"/>
        <v>195.63505849999996</v>
      </c>
      <c r="T38" s="63">
        <f t="shared" si="38"/>
        <v>391.56191600000005</v>
      </c>
      <c r="U38" s="64" t="s">
        <v>169</v>
      </c>
      <c r="V38" s="65" t="s">
        <v>662</v>
      </c>
      <c r="W38" s="66" t="s">
        <v>191</v>
      </c>
      <c r="X38" s="67">
        <v>4980</v>
      </c>
      <c r="Y38" s="68">
        <v>4</v>
      </c>
      <c r="Z38" s="68">
        <v>8.35</v>
      </c>
      <c r="AA38" s="62">
        <f t="shared" si="15"/>
        <v>199.20000000000002</v>
      </c>
      <c r="AB38" s="63">
        <f t="shared" si="16"/>
        <v>415.82999999999993</v>
      </c>
      <c r="AC38" s="69">
        <v>4970</v>
      </c>
      <c r="AD38" s="70">
        <v>4.0999999999999996</v>
      </c>
      <c r="AE38" s="70">
        <v>8.23</v>
      </c>
      <c r="AF38" s="62">
        <f t="shared" si="25"/>
        <v>203.76999999999998</v>
      </c>
      <c r="AG38" s="63">
        <f t="shared" si="26"/>
        <v>409.03100000000001</v>
      </c>
      <c r="AH38" s="89">
        <v>4101</v>
      </c>
      <c r="AI38" s="66">
        <v>3.8</v>
      </c>
      <c r="AJ38" s="66">
        <v>8</v>
      </c>
      <c r="AK38" s="62">
        <f t="shared" si="19"/>
        <v>155.83799999999999</v>
      </c>
      <c r="AL38" s="72">
        <f t="shared" si="20"/>
        <v>328.08</v>
      </c>
      <c r="AM38" s="73">
        <f t="shared" si="39"/>
        <v>6.2710000000006403</v>
      </c>
      <c r="AN38" s="80">
        <f t="shared" si="40"/>
        <v>3.1914584999999818</v>
      </c>
      <c r="AO38" s="80">
        <f t="shared" si="41"/>
        <v>-15.368283999999903</v>
      </c>
      <c r="AP38" s="75">
        <f t="shared" si="24"/>
        <v>-2.0737207493905303E-2</v>
      </c>
      <c r="AQ38" s="76">
        <f t="shared" si="9"/>
        <v>-3166.6399450583131</v>
      </c>
      <c r="AR38">
        <f t="shared" si="10"/>
        <v>-3.7289999999993597</v>
      </c>
    </row>
    <row r="39" spans="1:49" x14ac:dyDescent="0.25">
      <c r="A39" t="str">
        <f t="shared" si="11"/>
        <v>46191E</v>
      </c>
      <c r="B39" s="51">
        <f t="shared" si="27"/>
        <v>46191</v>
      </c>
      <c r="C39" s="52" t="s">
        <v>88</v>
      </c>
      <c r="D39" s="91">
        <v>4101</v>
      </c>
      <c r="E39" s="62">
        <v>3.8</v>
      </c>
      <c r="F39" s="62">
        <v>8</v>
      </c>
      <c r="G39" s="62">
        <f t="shared" si="28"/>
        <v>155.83799999999999</v>
      </c>
      <c r="H39" s="63">
        <f t="shared" si="29"/>
        <v>328.08</v>
      </c>
      <c r="I39" s="119">
        <v>5955.75</v>
      </c>
      <c r="J39" s="120">
        <v>6134.4225000000006</v>
      </c>
      <c r="K39" s="121">
        <v>4.104279058053141</v>
      </c>
      <c r="L39" s="122">
        <v>8.0372967300507856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36"/>
        <v>6134.4225000000006</v>
      </c>
      <c r="S39" s="62">
        <f t="shared" si="37"/>
        <v>251.77381799999998</v>
      </c>
      <c r="T39" s="63">
        <f t="shared" si="38"/>
        <v>493.04173899999972</v>
      </c>
      <c r="U39" s="64" t="s">
        <v>169</v>
      </c>
      <c r="V39" s="65" t="s">
        <v>663</v>
      </c>
      <c r="W39" s="66" t="s">
        <v>191</v>
      </c>
      <c r="X39" s="67">
        <v>4030</v>
      </c>
      <c r="Y39" s="68">
        <v>4</v>
      </c>
      <c r="Z39" s="68">
        <v>8.35</v>
      </c>
      <c r="AA39" s="62">
        <f t="shared" si="15"/>
        <v>161.20000000000002</v>
      </c>
      <c r="AB39" s="63">
        <f t="shared" si="16"/>
        <v>336.50499999999994</v>
      </c>
      <c r="AC39" s="226">
        <v>4030</v>
      </c>
      <c r="AD39" s="227">
        <v>4</v>
      </c>
      <c r="AE39" s="227">
        <v>8.35</v>
      </c>
      <c r="AF39" s="62">
        <f t="shared" si="25"/>
        <v>161.20000000000002</v>
      </c>
      <c r="AG39" s="63">
        <f t="shared" si="26"/>
        <v>336.50499999999994</v>
      </c>
      <c r="AH39" s="89">
        <v>6204</v>
      </c>
      <c r="AI39" s="66">
        <v>4</v>
      </c>
      <c r="AJ39" s="66">
        <v>8</v>
      </c>
      <c r="AK39" s="62">
        <f t="shared" si="19"/>
        <v>248.16</v>
      </c>
      <c r="AL39" s="72">
        <f t="shared" si="20"/>
        <v>496.32</v>
      </c>
      <c r="AM39" s="73">
        <f t="shared" si="39"/>
        <v>1.4225000000005821</v>
      </c>
      <c r="AN39" s="80">
        <f t="shared" si="40"/>
        <v>-1.7481820000000425</v>
      </c>
      <c r="AO39" s="80">
        <f t="shared" si="41"/>
        <v>-11.703261000000225</v>
      </c>
      <c r="AP39" s="75">
        <f t="shared" si="24"/>
        <v>-1.8060099407940098E-2</v>
      </c>
      <c r="AQ39" s="76">
        <f t="shared" si="9"/>
        <v>-4287.2503119600869</v>
      </c>
      <c r="AR39" s="90">
        <f t="shared" si="10"/>
        <v>1.4225000000005821</v>
      </c>
    </row>
    <row r="40" spans="1:49" x14ac:dyDescent="0.25">
      <c r="A40" t="str">
        <f t="shared" si="11"/>
        <v>46192M</v>
      </c>
      <c r="B40" s="51">
        <f t="shared" si="27"/>
        <v>46192</v>
      </c>
      <c r="C40" s="52" t="s">
        <v>87</v>
      </c>
      <c r="D40" s="91"/>
      <c r="E40" s="62"/>
      <c r="F40" s="62"/>
      <c r="G40" s="62">
        <f t="shared" si="28"/>
        <v>0</v>
      </c>
      <c r="H40" s="63">
        <f t="shared" si="29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36"/>
        <v>0</v>
      </c>
      <c r="S40" s="62">
        <f t="shared" si="37"/>
        <v>0</v>
      </c>
      <c r="T40" s="63">
        <f t="shared" si="38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25"/>
        <v>0</v>
      </c>
      <c r="AG40" s="63">
        <f t="shared" si="26"/>
        <v>0</v>
      </c>
      <c r="AH40" s="89"/>
      <c r="AI40" s="66"/>
      <c r="AJ40" s="66"/>
      <c r="AK40" s="62">
        <f t="shared" si="19"/>
        <v>0</v>
      </c>
      <c r="AL40" s="72">
        <f t="shared" si="20"/>
        <v>0</v>
      </c>
      <c r="AM40" s="73">
        <f t="shared" si="39"/>
        <v>0</v>
      </c>
      <c r="AN40" s="80">
        <f t="shared" si="40"/>
        <v>0</v>
      </c>
      <c r="AO40" s="80">
        <f t="shared" si="41"/>
        <v>0</v>
      </c>
      <c r="AP40" s="75" t="e">
        <f t="shared" si="24"/>
        <v>#DIV/0!</v>
      </c>
      <c r="AQ40" s="76">
        <f t="shared" si="9"/>
        <v>0</v>
      </c>
      <c r="AR40" s="90">
        <f t="shared" si="10"/>
        <v>0</v>
      </c>
    </row>
    <row r="41" spans="1:49" x14ac:dyDescent="0.25">
      <c r="A41" t="str">
        <f t="shared" si="11"/>
        <v>46192E</v>
      </c>
      <c r="B41" s="51">
        <f t="shared" si="27"/>
        <v>46192</v>
      </c>
      <c r="C41" s="52" t="s">
        <v>88</v>
      </c>
      <c r="D41" s="91"/>
      <c r="E41" s="62"/>
      <c r="F41" s="62"/>
      <c r="G41" s="62">
        <f t="shared" si="28"/>
        <v>0</v>
      </c>
      <c r="H41" s="63">
        <f t="shared" si="29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36"/>
        <v>0</v>
      </c>
      <c r="S41" s="62">
        <f t="shared" si="37"/>
        <v>0</v>
      </c>
      <c r="T41" s="63">
        <f t="shared" si="38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25"/>
        <v>0</v>
      </c>
      <c r="AG41" s="63">
        <f t="shared" si="26"/>
        <v>0</v>
      </c>
      <c r="AH41" s="89"/>
      <c r="AI41" s="66"/>
      <c r="AJ41" s="66"/>
      <c r="AK41" s="62">
        <f t="shared" si="19"/>
        <v>0</v>
      </c>
      <c r="AL41" s="72">
        <f t="shared" si="20"/>
        <v>0</v>
      </c>
      <c r="AM41" s="73">
        <f t="shared" si="39"/>
        <v>0</v>
      </c>
      <c r="AN41" s="80">
        <f t="shared" si="40"/>
        <v>0</v>
      </c>
      <c r="AO41" s="80">
        <f t="shared" si="41"/>
        <v>0</v>
      </c>
      <c r="AP41" s="75" t="e">
        <f t="shared" si="24"/>
        <v>#DIV/0!</v>
      </c>
      <c r="AQ41" s="76">
        <f t="shared" si="9"/>
        <v>0</v>
      </c>
      <c r="AR41" s="90">
        <f t="shared" si="10"/>
        <v>0</v>
      </c>
    </row>
    <row r="42" spans="1:49" x14ac:dyDescent="0.25">
      <c r="A42" t="str">
        <f t="shared" si="11"/>
        <v>46193M</v>
      </c>
      <c r="B42" s="51">
        <f t="shared" si="27"/>
        <v>46193</v>
      </c>
      <c r="C42" s="52" t="s">
        <v>87</v>
      </c>
      <c r="D42" s="91"/>
      <c r="E42" s="62"/>
      <c r="F42" s="62"/>
      <c r="G42" s="62">
        <f t="shared" si="28"/>
        <v>0</v>
      </c>
      <c r="H42" s="63">
        <f t="shared" si="29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36"/>
        <v>0</v>
      </c>
      <c r="S42" s="62">
        <f t="shared" si="37"/>
        <v>0</v>
      </c>
      <c r="T42" s="63">
        <f t="shared" si="38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25"/>
        <v>0</v>
      </c>
      <c r="AG42" s="63">
        <f t="shared" si="26"/>
        <v>0</v>
      </c>
      <c r="AH42" s="89"/>
      <c r="AI42" s="66"/>
      <c r="AJ42" s="66"/>
      <c r="AK42" s="62">
        <f t="shared" si="19"/>
        <v>0</v>
      </c>
      <c r="AL42" s="72">
        <f t="shared" si="20"/>
        <v>0</v>
      </c>
      <c r="AM42" s="73">
        <f t="shared" si="39"/>
        <v>0</v>
      </c>
      <c r="AN42" s="80">
        <f t="shared" si="40"/>
        <v>0</v>
      </c>
      <c r="AO42" s="80">
        <f t="shared" si="41"/>
        <v>0</v>
      </c>
      <c r="AP42" s="75" t="e">
        <f t="shared" si="24"/>
        <v>#DIV/0!</v>
      </c>
      <c r="AQ42" s="76">
        <f t="shared" si="9"/>
        <v>0</v>
      </c>
      <c r="AR42" s="90">
        <f>(D42+J42+O42)-(X42+AH42)</f>
        <v>0</v>
      </c>
    </row>
    <row r="43" spans="1:49" x14ac:dyDescent="0.25">
      <c r="A43" t="str">
        <f t="shared" si="11"/>
        <v>46193E</v>
      </c>
      <c r="B43" s="51">
        <f t="shared" si="27"/>
        <v>46193</v>
      </c>
      <c r="C43" s="52" t="s">
        <v>88</v>
      </c>
      <c r="D43" s="91"/>
      <c r="E43" s="62"/>
      <c r="F43" s="62"/>
      <c r="G43" s="62">
        <f t="shared" si="28"/>
        <v>0</v>
      </c>
      <c r="H43" s="63">
        <f t="shared" si="29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36"/>
        <v>0</v>
      </c>
      <c r="S43" s="62">
        <f t="shared" si="37"/>
        <v>0</v>
      </c>
      <c r="T43" s="63">
        <f t="shared" si="38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25"/>
        <v>0</v>
      </c>
      <c r="AG43" s="63">
        <f t="shared" si="26"/>
        <v>0</v>
      </c>
      <c r="AH43" s="89"/>
      <c r="AI43" s="66"/>
      <c r="AJ43" s="66"/>
      <c r="AK43" s="62">
        <f t="shared" si="19"/>
        <v>0</v>
      </c>
      <c r="AL43" s="72">
        <f t="shared" si="20"/>
        <v>0</v>
      </c>
      <c r="AM43" s="73">
        <f t="shared" si="39"/>
        <v>0</v>
      </c>
      <c r="AN43" s="80">
        <f t="shared" si="40"/>
        <v>0</v>
      </c>
      <c r="AO43" s="80">
        <f t="shared" si="41"/>
        <v>0</v>
      </c>
      <c r="AP43" s="75" t="e">
        <f t="shared" si="24"/>
        <v>#DIV/0!</v>
      </c>
      <c r="AQ43" s="76">
        <f t="shared" si="9"/>
        <v>0</v>
      </c>
      <c r="AR43" s="90">
        <f t="shared" si="10"/>
        <v>0</v>
      </c>
    </row>
    <row r="44" spans="1:49" x14ac:dyDescent="0.25">
      <c r="A44" t="str">
        <f t="shared" si="11"/>
        <v>46194M</v>
      </c>
      <c r="B44" s="51">
        <f t="shared" si="27"/>
        <v>46194</v>
      </c>
      <c r="C44" s="52" t="s">
        <v>87</v>
      </c>
      <c r="D44" s="91"/>
      <c r="E44" s="62"/>
      <c r="F44" s="62"/>
      <c r="G44" s="62">
        <f t="shared" ref="G44:G65" si="42">+D44*E44%</f>
        <v>0</v>
      </c>
      <c r="H44" s="63">
        <f t="shared" ref="H44:H65" si="43">+D44*F44%</f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36"/>
        <v>0</v>
      </c>
      <c r="S44" s="62">
        <f t="shared" si="37"/>
        <v>0</v>
      </c>
      <c r="T44" s="63">
        <f t="shared" si="38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25"/>
        <v>0</v>
      </c>
      <c r="AG44" s="63">
        <f t="shared" si="26"/>
        <v>0</v>
      </c>
      <c r="AH44" s="89"/>
      <c r="AI44" s="66"/>
      <c r="AJ44" s="66"/>
      <c r="AK44" s="62">
        <f t="shared" si="19"/>
        <v>0</v>
      </c>
      <c r="AL44" s="72">
        <f t="shared" si="20"/>
        <v>0</v>
      </c>
      <c r="AM44" s="73">
        <f t="shared" si="39"/>
        <v>0</v>
      </c>
      <c r="AN44" s="80">
        <f t="shared" si="40"/>
        <v>0</v>
      </c>
      <c r="AO44" s="80">
        <f t="shared" si="41"/>
        <v>0</v>
      </c>
      <c r="AP44" s="75" t="e">
        <f t="shared" si="24"/>
        <v>#DIV/0!</v>
      </c>
      <c r="AQ44" s="76">
        <f t="shared" si="9"/>
        <v>0</v>
      </c>
      <c r="AR44" s="90">
        <f t="shared" si="10"/>
        <v>0</v>
      </c>
    </row>
    <row r="45" spans="1:49" x14ac:dyDescent="0.25">
      <c r="A45" t="str">
        <f t="shared" si="11"/>
        <v>46194E</v>
      </c>
      <c r="B45" s="51">
        <f t="shared" si="27"/>
        <v>46194</v>
      </c>
      <c r="C45" s="52" t="s">
        <v>88</v>
      </c>
      <c r="D45" s="91"/>
      <c r="E45" s="62"/>
      <c r="F45" s="62"/>
      <c r="G45" s="62">
        <f t="shared" si="42"/>
        <v>0</v>
      </c>
      <c r="H45" s="63">
        <f t="shared" si="43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36"/>
        <v>0</v>
      </c>
      <c r="S45" s="62">
        <f t="shared" si="37"/>
        <v>0</v>
      </c>
      <c r="T45" s="63">
        <f t="shared" si="38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25"/>
        <v>0</v>
      </c>
      <c r="AG45" s="63">
        <f t="shared" si="26"/>
        <v>0</v>
      </c>
      <c r="AH45" s="89"/>
      <c r="AI45" s="66"/>
      <c r="AJ45" s="66"/>
      <c r="AK45" s="62">
        <f t="shared" si="19"/>
        <v>0</v>
      </c>
      <c r="AL45" s="72">
        <f t="shared" si="20"/>
        <v>0</v>
      </c>
      <c r="AM45" s="73">
        <f t="shared" si="39"/>
        <v>0</v>
      </c>
      <c r="AN45" s="80">
        <f t="shared" si="40"/>
        <v>0</v>
      </c>
      <c r="AO45" s="80">
        <f t="shared" si="41"/>
        <v>0</v>
      </c>
      <c r="AP45" s="75" t="e">
        <f t="shared" si="24"/>
        <v>#DIV/0!</v>
      </c>
      <c r="AQ45" s="76">
        <f t="shared" si="9"/>
        <v>0</v>
      </c>
      <c r="AR45" s="90">
        <f t="shared" si="10"/>
        <v>0</v>
      </c>
      <c r="AS45" s="90">
        <f>SUM(J32:J45)</f>
        <v>23210.6895</v>
      </c>
      <c r="AT45" s="83">
        <f>SUM(AM32:AM45)</f>
        <v>73.689500000000635</v>
      </c>
      <c r="AU45" s="83">
        <f>SUM(AN32:AN45)</f>
        <v>-19.166246500000113</v>
      </c>
      <c r="AV45" s="83">
        <f>SUM(AO32:AO45)</f>
        <v>-46.118187500000005</v>
      </c>
      <c r="AW45" s="83">
        <f>-SUM(AQ32:AQ45)</f>
        <v>22405.863416731721</v>
      </c>
    </row>
    <row r="46" spans="1:49" ht="14.25" customHeight="1" x14ac:dyDescent="0.25">
      <c r="A46" t="str">
        <f t="shared" si="11"/>
        <v>46195M</v>
      </c>
      <c r="B46" s="51">
        <f t="shared" si="27"/>
        <v>46195</v>
      </c>
      <c r="C46" s="52" t="s">
        <v>87</v>
      </c>
      <c r="D46" s="91"/>
      <c r="E46" s="62"/>
      <c r="F46" s="62"/>
      <c r="G46" s="62">
        <f t="shared" si="42"/>
        <v>0</v>
      </c>
      <c r="H46" s="63">
        <f t="shared" si="43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36"/>
        <v>0</v>
      </c>
      <c r="S46" s="62">
        <f t="shared" si="37"/>
        <v>0</v>
      </c>
      <c r="T46" s="63">
        <f t="shared" si="38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25"/>
        <v>0</v>
      </c>
      <c r="AG46" s="63">
        <f t="shared" si="26"/>
        <v>0</v>
      </c>
      <c r="AH46" s="89"/>
      <c r="AI46" s="66"/>
      <c r="AJ46" s="66"/>
      <c r="AK46" s="62">
        <f t="shared" si="19"/>
        <v>0</v>
      </c>
      <c r="AL46" s="72">
        <f t="shared" si="20"/>
        <v>0</v>
      </c>
      <c r="AM46" s="73">
        <f t="shared" si="39"/>
        <v>0</v>
      </c>
      <c r="AN46" s="80">
        <f t="shared" si="40"/>
        <v>0</v>
      </c>
      <c r="AO46" s="80">
        <f t="shared" si="41"/>
        <v>0</v>
      </c>
      <c r="AP46" s="75" t="e">
        <f t="shared" si="24"/>
        <v>#DIV/0!</v>
      </c>
      <c r="AQ46" s="76">
        <f t="shared" si="9"/>
        <v>0</v>
      </c>
      <c r="AR46" s="90">
        <f t="shared" si="10"/>
        <v>0</v>
      </c>
    </row>
    <row r="47" spans="1:49" x14ac:dyDescent="0.25">
      <c r="A47" t="str">
        <f t="shared" si="11"/>
        <v>46195E</v>
      </c>
      <c r="B47" s="51">
        <f t="shared" si="27"/>
        <v>46195</v>
      </c>
      <c r="C47" s="52" t="s">
        <v>88</v>
      </c>
      <c r="D47" s="91"/>
      <c r="E47" s="62"/>
      <c r="F47" s="62"/>
      <c r="G47" s="62">
        <f t="shared" si="42"/>
        <v>0</v>
      </c>
      <c r="H47" s="63">
        <f t="shared" si="43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36"/>
        <v>0</v>
      </c>
      <c r="S47" s="62">
        <f t="shared" si="37"/>
        <v>0</v>
      </c>
      <c r="T47" s="63">
        <f t="shared" si="38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25"/>
        <v>0</v>
      </c>
      <c r="AG47" s="63">
        <f t="shared" si="26"/>
        <v>0</v>
      </c>
      <c r="AH47" s="89"/>
      <c r="AI47" s="66"/>
      <c r="AJ47" s="66"/>
      <c r="AK47" s="62">
        <f t="shared" si="19"/>
        <v>0</v>
      </c>
      <c r="AL47" s="72">
        <f t="shared" si="20"/>
        <v>0</v>
      </c>
      <c r="AM47" s="73">
        <f t="shared" si="39"/>
        <v>0</v>
      </c>
      <c r="AN47" s="80">
        <f t="shared" si="40"/>
        <v>0</v>
      </c>
      <c r="AO47" s="80">
        <f t="shared" si="41"/>
        <v>0</v>
      </c>
      <c r="AP47" s="75" t="e">
        <f t="shared" si="24"/>
        <v>#DIV/0!</v>
      </c>
      <c r="AQ47" s="76">
        <f t="shared" si="9"/>
        <v>0</v>
      </c>
      <c r="AR47" s="90">
        <f t="shared" si="10"/>
        <v>0</v>
      </c>
    </row>
    <row r="48" spans="1:49" x14ac:dyDescent="0.25">
      <c r="A48" t="str">
        <f t="shared" si="11"/>
        <v>46196M</v>
      </c>
      <c r="B48" s="51">
        <f t="shared" si="27"/>
        <v>46196</v>
      </c>
      <c r="C48" s="52" t="s">
        <v>87</v>
      </c>
      <c r="D48" s="91"/>
      <c r="E48" s="62"/>
      <c r="F48" s="62"/>
      <c r="G48" s="62">
        <f t="shared" si="42"/>
        <v>0</v>
      </c>
      <c r="H48" s="63">
        <f t="shared" si="43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36"/>
        <v>0</v>
      </c>
      <c r="S48" s="62">
        <f t="shared" si="37"/>
        <v>0</v>
      </c>
      <c r="T48" s="63">
        <f t="shared" si="38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25"/>
        <v>0</v>
      </c>
      <c r="AG48" s="63">
        <f t="shared" si="26"/>
        <v>0</v>
      </c>
      <c r="AH48" s="89"/>
      <c r="AI48" s="66"/>
      <c r="AJ48" s="66"/>
      <c r="AK48" s="62">
        <f t="shared" si="19"/>
        <v>0</v>
      </c>
      <c r="AL48" s="72">
        <f t="shared" si="20"/>
        <v>0</v>
      </c>
      <c r="AM48" s="73">
        <f t="shared" si="39"/>
        <v>0</v>
      </c>
      <c r="AN48" s="80">
        <f t="shared" si="40"/>
        <v>0</v>
      </c>
      <c r="AO48" s="80">
        <f t="shared" si="41"/>
        <v>0</v>
      </c>
      <c r="AP48" s="75" t="e">
        <f t="shared" si="24"/>
        <v>#DIV/0!</v>
      </c>
      <c r="AQ48" s="76">
        <f t="shared" si="9"/>
        <v>0</v>
      </c>
      <c r="AR48" s="90">
        <f t="shared" si="10"/>
        <v>0</v>
      </c>
    </row>
    <row r="49" spans="1:49" x14ac:dyDescent="0.25">
      <c r="A49" t="str">
        <f t="shared" si="11"/>
        <v>46196E</v>
      </c>
      <c r="B49" s="51">
        <f t="shared" si="27"/>
        <v>46196</v>
      </c>
      <c r="C49" s="52" t="s">
        <v>88</v>
      </c>
      <c r="D49" s="91"/>
      <c r="E49" s="62"/>
      <c r="F49" s="62"/>
      <c r="G49" s="62">
        <f t="shared" si="42"/>
        <v>0</v>
      </c>
      <c r="H49" s="63">
        <f t="shared" si="43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ref="R49:R63" si="44">+J49+O49</f>
        <v>0</v>
      </c>
      <c r="S49" s="62">
        <f t="shared" ref="S49:S63" si="45">+J49*K49%+O49*P49%</f>
        <v>0</v>
      </c>
      <c r="T49" s="63">
        <f t="shared" ref="T49:T63" si="46">+J49*L49%+O49*Q49%</f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25"/>
        <v>0</v>
      </c>
      <c r="AG49" s="63">
        <f t="shared" si="26"/>
        <v>0</v>
      </c>
      <c r="AH49" s="89"/>
      <c r="AI49" s="66"/>
      <c r="AJ49" s="66"/>
      <c r="AK49" s="62">
        <f t="shared" si="19"/>
        <v>0</v>
      </c>
      <c r="AL49" s="72">
        <f t="shared" si="20"/>
        <v>0</v>
      </c>
      <c r="AM49" s="73">
        <f t="shared" si="39"/>
        <v>0</v>
      </c>
      <c r="AN49" s="80">
        <f t="shared" si="40"/>
        <v>0</v>
      </c>
      <c r="AO49" s="80">
        <f t="shared" si="41"/>
        <v>0</v>
      </c>
      <c r="AP49" s="75" t="e">
        <f t="shared" si="24"/>
        <v>#DIV/0!</v>
      </c>
      <c r="AQ49" s="76">
        <f t="shared" si="9"/>
        <v>0</v>
      </c>
      <c r="AR49" s="90">
        <f t="shared" ref="AR49:AR63" si="47">(D49+J49+O49)-(X49+AH49)</f>
        <v>0</v>
      </c>
    </row>
    <row r="50" spans="1:49" x14ac:dyDescent="0.25">
      <c r="A50" t="str">
        <f t="shared" si="11"/>
        <v>46197M</v>
      </c>
      <c r="B50" s="51">
        <f t="shared" si="27"/>
        <v>46197</v>
      </c>
      <c r="C50" s="52" t="s">
        <v>87</v>
      </c>
      <c r="D50" s="91"/>
      <c r="E50" s="62"/>
      <c r="F50" s="62"/>
      <c r="G50" s="62">
        <f t="shared" si="42"/>
        <v>0</v>
      </c>
      <c r="H50" s="63">
        <f t="shared" si="43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44"/>
        <v>0</v>
      </c>
      <c r="S50" s="62">
        <f t="shared" si="45"/>
        <v>0</v>
      </c>
      <c r="T50" s="63">
        <f t="shared" si="46"/>
        <v>0</v>
      </c>
      <c r="U50" s="64"/>
      <c r="V50" s="65"/>
      <c r="W50" s="66"/>
      <c r="X50" s="67"/>
      <c r="Y50" s="68"/>
      <c r="Z50" s="68"/>
      <c r="AA50" s="62">
        <f t="shared" si="15"/>
        <v>0</v>
      </c>
      <c r="AB50" s="63">
        <f t="shared" si="16"/>
        <v>0</v>
      </c>
      <c r="AC50" s="69"/>
      <c r="AD50" s="70"/>
      <c r="AE50" s="70"/>
      <c r="AF50" s="62">
        <f t="shared" si="25"/>
        <v>0</v>
      </c>
      <c r="AG50" s="63">
        <f t="shared" si="26"/>
        <v>0</v>
      </c>
      <c r="AH50" s="89"/>
      <c r="AI50" s="66"/>
      <c r="AJ50" s="66"/>
      <c r="AK50" s="62">
        <f t="shared" si="19"/>
        <v>0</v>
      </c>
      <c r="AL50" s="72">
        <f t="shared" si="20"/>
        <v>0</v>
      </c>
      <c r="AM50" s="73">
        <f t="shared" ref="AM50:AM63" si="48">+D50+R50-AC50-AH50</f>
        <v>0</v>
      </c>
      <c r="AN50" s="80">
        <f t="shared" ref="AN50:AN63" si="49">+G50+S50-AF50-AK50</f>
        <v>0</v>
      </c>
      <c r="AO50" s="80">
        <f t="shared" ref="AO50:AO63" si="50">+H50+T50-AG50-AL50</f>
        <v>0</v>
      </c>
      <c r="AP50" s="75" t="e">
        <f t="shared" si="24"/>
        <v>#DIV/0!</v>
      </c>
      <c r="AQ50" s="76">
        <f t="shared" si="9"/>
        <v>0</v>
      </c>
      <c r="AR50" s="90">
        <f t="shared" si="47"/>
        <v>0</v>
      </c>
    </row>
    <row r="51" spans="1:49" x14ac:dyDescent="0.25">
      <c r="A51" t="str">
        <f t="shared" si="11"/>
        <v>46197E</v>
      </c>
      <c r="B51" s="51">
        <f t="shared" si="27"/>
        <v>46197</v>
      </c>
      <c r="C51" s="52" t="s">
        <v>88</v>
      </c>
      <c r="D51" s="91"/>
      <c r="E51" s="62"/>
      <c r="F51" s="62"/>
      <c r="G51" s="62">
        <f t="shared" si="42"/>
        <v>0</v>
      </c>
      <c r="H51" s="63">
        <f t="shared" si="43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44"/>
        <v>0</v>
      </c>
      <c r="S51" s="62">
        <f t="shared" si="45"/>
        <v>0</v>
      </c>
      <c r="T51" s="63">
        <f t="shared" si="46"/>
        <v>0</v>
      </c>
      <c r="U51" s="64"/>
      <c r="V51" s="65"/>
      <c r="W51" s="66"/>
      <c r="X51" s="67"/>
      <c r="Y51" s="68"/>
      <c r="Z51" s="68"/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25"/>
        <v>0</v>
      </c>
      <c r="AG51" s="63">
        <f t="shared" si="26"/>
        <v>0</v>
      </c>
      <c r="AH51" s="89"/>
      <c r="AI51" s="66"/>
      <c r="AJ51" s="66"/>
      <c r="AK51" s="62">
        <f t="shared" si="19"/>
        <v>0</v>
      </c>
      <c r="AL51" s="72">
        <f t="shared" si="20"/>
        <v>0</v>
      </c>
      <c r="AM51" s="73">
        <f t="shared" si="48"/>
        <v>0</v>
      </c>
      <c r="AN51" s="80">
        <f t="shared" si="49"/>
        <v>0</v>
      </c>
      <c r="AO51" s="80">
        <f t="shared" si="50"/>
        <v>0</v>
      </c>
      <c r="AP51" s="75" t="e">
        <f t="shared" si="24"/>
        <v>#DIV/0!</v>
      </c>
      <c r="AQ51" s="76">
        <f t="shared" si="9"/>
        <v>0</v>
      </c>
      <c r="AR51" s="90">
        <f t="shared" si="47"/>
        <v>0</v>
      </c>
    </row>
    <row r="52" spans="1:49" x14ac:dyDescent="0.25">
      <c r="A52" t="str">
        <f t="shared" si="11"/>
        <v>46198M</v>
      </c>
      <c r="B52" s="51">
        <f t="shared" si="27"/>
        <v>46198</v>
      </c>
      <c r="C52" s="52" t="s">
        <v>87</v>
      </c>
      <c r="D52" s="91"/>
      <c r="E52" s="62"/>
      <c r="F52" s="62"/>
      <c r="G52" s="62">
        <f t="shared" si="42"/>
        <v>0</v>
      </c>
      <c r="H52" s="63">
        <f t="shared" si="43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44"/>
        <v>0</v>
      </c>
      <c r="S52" s="62">
        <f t="shared" si="45"/>
        <v>0</v>
      </c>
      <c r="T52" s="63">
        <f t="shared" si="46"/>
        <v>0</v>
      </c>
      <c r="U52" s="64"/>
      <c r="V52" s="65"/>
      <c r="W52" s="66"/>
      <c r="X52" s="67"/>
      <c r="Y52" s="68"/>
      <c r="Z52" s="68"/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25"/>
        <v>0</v>
      </c>
      <c r="AG52" s="63">
        <f t="shared" si="26"/>
        <v>0</v>
      </c>
      <c r="AH52" s="89"/>
      <c r="AI52" s="66"/>
      <c r="AJ52" s="66"/>
      <c r="AK52" s="62">
        <f t="shared" si="19"/>
        <v>0</v>
      </c>
      <c r="AL52" s="72">
        <f t="shared" si="20"/>
        <v>0</v>
      </c>
      <c r="AM52" s="73">
        <f t="shared" si="48"/>
        <v>0</v>
      </c>
      <c r="AN52" s="80">
        <f t="shared" si="49"/>
        <v>0</v>
      </c>
      <c r="AO52" s="80">
        <f t="shared" si="50"/>
        <v>0</v>
      </c>
      <c r="AP52" s="75" t="e">
        <f t="shared" si="24"/>
        <v>#DIV/0!</v>
      </c>
      <c r="AQ52" s="76">
        <f t="shared" si="9"/>
        <v>0</v>
      </c>
      <c r="AR52" s="90">
        <f t="shared" si="47"/>
        <v>0</v>
      </c>
    </row>
    <row r="53" spans="1:49" x14ac:dyDescent="0.25">
      <c r="A53" t="str">
        <f t="shared" si="11"/>
        <v>46198E</v>
      </c>
      <c r="B53" s="51">
        <f t="shared" si="27"/>
        <v>46198</v>
      </c>
      <c r="C53" s="52" t="s">
        <v>88</v>
      </c>
      <c r="D53" s="91"/>
      <c r="E53" s="62"/>
      <c r="F53" s="62"/>
      <c r="G53" s="62">
        <f t="shared" si="42"/>
        <v>0</v>
      </c>
      <c r="H53" s="63">
        <f t="shared" si="43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44"/>
        <v>0</v>
      </c>
      <c r="S53" s="62">
        <f t="shared" si="45"/>
        <v>0</v>
      </c>
      <c r="T53" s="63">
        <f t="shared" si="46"/>
        <v>0</v>
      </c>
      <c r="U53" s="64"/>
      <c r="V53" s="65"/>
      <c r="W53" s="66"/>
      <c r="X53" s="67"/>
      <c r="Y53" s="68"/>
      <c r="Z53" s="68"/>
      <c r="AA53" s="62">
        <f t="shared" si="15"/>
        <v>0</v>
      </c>
      <c r="AB53" s="63">
        <f t="shared" si="16"/>
        <v>0</v>
      </c>
      <c r="AC53" s="69"/>
      <c r="AD53" s="70"/>
      <c r="AE53" s="70"/>
      <c r="AF53" s="62">
        <f t="shared" si="25"/>
        <v>0</v>
      </c>
      <c r="AG53" s="63">
        <f t="shared" si="26"/>
        <v>0</v>
      </c>
      <c r="AH53" s="89"/>
      <c r="AI53" s="66"/>
      <c r="AJ53" s="66"/>
      <c r="AK53" s="62">
        <f t="shared" si="19"/>
        <v>0</v>
      </c>
      <c r="AL53" s="72">
        <f t="shared" si="20"/>
        <v>0</v>
      </c>
      <c r="AM53" s="73">
        <f t="shared" si="48"/>
        <v>0</v>
      </c>
      <c r="AN53" s="80">
        <f t="shared" si="49"/>
        <v>0</v>
      </c>
      <c r="AO53" s="80">
        <f t="shared" si="50"/>
        <v>0</v>
      </c>
      <c r="AP53" s="75" t="e">
        <f t="shared" si="24"/>
        <v>#DIV/0!</v>
      </c>
      <c r="AQ53" s="76">
        <f t="shared" si="9"/>
        <v>0</v>
      </c>
      <c r="AR53" s="90">
        <f t="shared" si="47"/>
        <v>0</v>
      </c>
    </row>
    <row r="54" spans="1:49" x14ac:dyDescent="0.25">
      <c r="A54" t="str">
        <f t="shared" si="11"/>
        <v>46199M</v>
      </c>
      <c r="B54" s="51">
        <f t="shared" si="27"/>
        <v>46199</v>
      </c>
      <c r="C54" s="52" t="s">
        <v>87</v>
      </c>
      <c r="D54" s="91"/>
      <c r="E54" s="62"/>
      <c r="F54" s="62"/>
      <c r="G54" s="62">
        <f t="shared" si="42"/>
        <v>0</v>
      </c>
      <c r="H54" s="63">
        <f t="shared" si="43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44"/>
        <v>0</v>
      </c>
      <c r="S54" s="62">
        <f t="shared" si="45"/>
        <v>0</v>
      </c>
      <c r="T54" s="63">
        <f t="shared" si="46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25"/>
        <v>0</v>
      </c>
      <c r="AG54" s="63">
        <f t="shared" si="26"/>
        <v>0</v>
      </c>
      <c r="AH54" s="89"/>
      <c r="AI54" s="66"/>
      <c r="AJ54" s="66"/>
      <c r="AK54" s="62">
        <f t="shared" si="19"/>
        <v>0</v>
      </c>
      <c r="AL54" s="72">
        <f t="shared" si="20"/>
        <v>0</v>
      </c>
      <c r="AM54" s="73">
        <f t="shared" si="48"/>
        <v>0</v>
      </c>
      <c r="AN54" s="80">
        <f t="shared" si="49"/>
        <v>0</v>
      </c>
      <c r="AO54" s="80">
        <f t="shared" si="50"/>
        <v>0</v>
      </c>
      <c r="AP54" s="75" t="e">
        <f t="shared" si="24"/>
        <v>#DIV/0!</v>
      </c>
      <c r="AQ54" s="76">
        <f t="shared" si="9"/>
        <v>0</v>
      </c>
      <c r="AR54" s="90">
        <f t="shared" si="47"/>
        <v>0</v>
      </c>
    </row>
    <row r="55" spans="1:49" x14ac:dyDescent="0.25">
      <c r="A55" t="str">
        <f t="shared" si="11"/>
        <v>46199E</v>
      </c>
      <c r="B55" s="51">
        <f t="shared" si="27"/>
        <v>46199</v>
      </c>
      <c r="C55" s="52" t="s">
        <v>88</v>
      </c>
      <c r="D55" s="91"/>
      <c r="E55" s="62"/>
      <c r="F55" s="62"/>
      <c r="G55" s="62">
        <f t="shared" si="42"/>
        <v>0</v>
      </c>
      <c r="H55" s="63">
        <f t="shared" si="43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44"/>
        <v>0</v>
      </c>
      <c r="S55" s="62">
        <f t="shared" si="45"/>
        <v>0</v>
      </c>
      <c r="T55" s="63">
        <f t="shared" si="46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25"/>
        <v>0</v>
      </c>
      <c r="AG55" s="63">
        <f t="shared" si="26"/>
        <v>0</v>
      </c>
      <c r="AH55" s="89"/>
      <c r="AI55" s="66"/>
      <c r="AJ55" s="66"/>
      <c r="AK55" s="62">
        <f t="shared" si="19"/>
        <v>0</v>
      </c>
      <c r="AL55" s="72">
        <f t="shared" si="20"/>
        <v>0</v>
      </c>
      <c r="AM55" s="73">
        <f t="shared" si="48"/>
        <v>0</v>
      </c>
      <c r="AN55" s="80">
        <f t="shared" si="49"/>
        <v>0</v>
      </c>
      <c r="AO55" s="80">
        <f t="shared" si="50"/>
        <v>0</v>
      </c>
      <c r="AP55" s="75" t="e">
        <f t="shared" si="24"/>
        <v>#DIV/0!</v>
      </c>
      <c r="AQ55" s="76">
        <f t="shared" si="9"/>
        <v>0</v>
      </c>
      <c r="AR55" s="90">
        <f t="shared" si="47"/>
        <v>0</v>
      </c>
    </row>
    <row r="56" spans="1:49" x14ac:dyDescent="0.25">
      <c r="A56" t="str">
        <f t="shared" si="11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42"/>
        <v>0</v>
      </c>
      <c r="H56" s="63">
        <f t="shared" si="43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44"/>
        <v>0</v>
      </c>
      <c r="S56" s="62">
        <f t="shared" si="45"/>
        <v>0</v>
      </c>
      <c r="T56" s="63">
        <f t="shared" si="46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25"/>
        <v>0</v>
      </c>
      <c r="AG56" s="63">
        <f t="shared" si="26"/>
        <v>0</v>
      </c>
      <c r="AH56" s="89"/>
      <c r="AI56" s="66"/>
      <c r="AJ56" s="66"/>
      <c r="AK56" s="62">
        <f t="shared" si="19"/>
        <v>0</v>
      </c>
      <c r="AL56" s="72">
        <f t="shared" si="20"/>
        <v>0</v>
      </c>
      <c r="AM56" s="73">
        <f t="shared" si="48"/>
        <v>0</v>
      </c>
      <c r="AN56" s="80">
        <f t="shared" si="49"/>
        <v>0</v>
      </c>
      <c r="AO56" s="80">
        <f t="shared" si="50"/>
        <v>0</v>
      </c>
      <c r="AP56" s="75" t="e">
        <f t="shared" si="24"/>
        <v>#DIV/0!</v>
      </c>
      <c r="AQ56" s="76">
        <f t="shared" si="9"/>
        <v>0</v>
      </c>
      <c r="AR56" s="90">
        <f t="shared" si="47"/>
        <v>0</v>
      </c>
    </row>
    <row r="57" spans="1:49" x14ac:dyDescent="0.25">
      <c r="A57" t="str">
        <f t="shared" si="11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42"/>
        <v>0</v>
      </c>
      <c r="H57" s="63">
        <f t="shared" si="43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44"/>
        <v>0</v>
      </c>
      <c r="S57" s="62">
        <f t="shared" si="45"/>
        <v>0</v>
      </c>
      <c r="T57" s="63">
        <f t="shared" si="46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25"/>
        <v>0</v>
      </c>
      <c r="AG57" s="63">
        <f t="shared" si="26"/>
        <v>0</v>
      </c>
      <c r="AH57" s="89"/>
      <c r="AI57" s="66"/>
      <c r="AJ57" s="66"/>
      <c r="AK57" s="62">
        <f t="shared" si="19"/>
        <v>0</v>
      </c>
      <c r="AL57" s="72">
        <f t="shared" si="20"/>
        <v>0</v>
      </c>
      <c r="AM57" s="73">
        <f t="shared" si="48"/>
        <v>0</v>
      </c>
      <c r="AN57" s="80">
        <f t="shared" si="49"/>
        <v>0</v>
      </c>
      <c r="AO57" s="80">
        <f t="shared" si="50"/>
        <v>0</v>
      </c>
      <c r="AP57" s="75" t="e">
        <f t="shared" si="24"/>
        <v>#DIV/0!</v>
      </c>
      <c r="AQ57" s="76">
        <f t="shared" si="9"/>
        <v>0</v>
      </c>
      <c r="AR57" s="90">
        <f t="shared" si="47"/>
        <v>0</v>
      </c>
    </row>
    <row r="58" spans="1:49" x14ac:dyDescent="0.25">
      <c r="A58" t="str">
        <f t="shared" si="11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si="42"/>
        <v>0</v>
      </c>
      <c r="H58" s="63">
        <f t="shared" si="43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44"/>
        <v>0</v>
      </c>
      <c r="S58" s="62">
        <f t="shared" si="45"/>
        <v>0</v>
      </c>
      <c r="T58" s="63">
        <f t="shared" si="46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25"/>
        <v>0</v>
      </c>
      <c r="AG58" s="63">
        <f t="shared" si="26"/>
        <v>0</v>
      </c>
      <c r="AH58" s="89"/>
      <c r="AI58" s="66"/>
      <c r="AJ58" s="66"/>
      <c r="AK58" s="62">
        <f t="shared" si="19"/>
        <v>0</v>
      </c>
      <c r="AL58" s="72">
        <f t="shared" si="20"/>
        <v>0</v>
      </c>
      <c r="AM58" s="73">
        <f t="shared" si="48"/>
        <v>0</v>
      </c>
      <c r="AN58" s="80">
        <f t="shared" si="49"/>
        <v>0</v>
      </c>
      <c r="AO58" s="80">
        <f t="shared" si="50"/>
        <v>0</v>
      </c>
      <c r="AP58" s="75" t="e">
        <f t="shared" si="24"/>
        <v>#DIV/0!</v>
      </c>
      <c r="AQ58" s="76">
        <f t="shared" si="9"/>
        <v>0</v>
      </c>
      <c r="AR58" s="90">
        <f t="shared" si="47"/>
        <v>0</v>
      </c>
    </row>
    <row r="59" spans="1:49" x14ac:dyDescent="0.25">
      <c r="A59" t="str">
        <f t="shared" si="11"/>
        <v>46201E</v>
      </c>
      <c r="B59" s="51">
        <f t="shared" si="27"/>
        <v>46201</v>
      </c>
      <c r="C59" s="52" t="s">
        <v>88</v>
      </c>
      <c r="D59" s="91"/>
      <c r="E59" s="62"/>
      <c r="F59" s="62"/>
      <c r="G59" s="62">
        <f t="shared" si="42"/>
        <v>0</v>
      </c>
      <c r="H59" s="63">
        <f t="shared" si="43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44"/>
        <v>0</v>
      </c>
      <c r="S59" s="62">
        <f t="shared" si="45"/>
        <v>0</v>
      </c>
      <c r="T59" s="63">
        <f t="shared" si="46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25"/>
        <v>0</v>
      </c>
      <c r="AG59" s="63">
        <f t="shared" si="26"/>
        <v>0</v>
      </c>
      <c r="AH59" s="89"/>
      <c r="AI59" s="66"/>
      <c r="AJ59" s="66"/>
      <c r="AK59" s="62">
        <f t="shared" si="19"/>
        <v>0</v>
      </c>
      <c r="AL59" s="72">
        <f t="shared" si="20"/>
        <v>0</v>
      </c>
      <c r="AM59" s="73">
        <f t="shared" si="48"/>
        <v>0</v>
      </c>
      <c r="AN59" s="80">
        <f t="shared" si="49"/>
        <v>0</v>
      </c>
      <c r="AO59" s="80">
        <f t="shared" si="50"/>
        <v>0</v>
      </c>
      <c r="AP59" s="75" t="e">
        <f t="shared" si="24"/>
        <v>#DIV/0!</v>
      </c>
      <c r="AQ59" s="76">
        <f t="shared" si="9"/>
        <v>0</v>
      </c>
      <c r="AR59" s="90">
        <f t="shared" si="47"/>
        <v>0</v>
      </c>
      <c r="AS59" s="90">
        <f>SUM(J46:J59)</f>
        <v>0</v>
      </c>
      <c r="AT59" s="83">
        <f>SUM(AM46:AM59)</f>
        <v>0</v>
      </c>
      <c r="AU59" s="83">
        <f>SUM(AN46:AN59)</f>
        <v>0</v>
      </c>
      <c r="AV59" s="83">
        <f>SUM(AO46:AO59)</f>
        <v>0</v>
      </c>
      <c r="AW59" s="83">
        <f>-SUM(AQ46:AQ59)</f>
        <v>0</v>
      </c>
    </row>
    <row r="60" spans="1:49" x14ac:dyDescent="0.25">
      <c r="A60" t="str">
        <f t="shared" si="11"/>
        <v>46202M</v>
      </c>
      <c r="B60" s="51">
        <f t="shared" si="27"/>
        <v>46202</v>
      </c>
      <c r="C60" s="52" t="s">
        <v>87</v>
      </c>
      <c r="D60" s="91"/>
      <c r="E60" s="62"/>
      <c r="F60" s="62"/>
      <c r="G60" s="62">
        <f t="shared" si="42"/>
        <v>0</v>
      </c>
      <c r="H60" s="63">
        <f t="shared" si="43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44"/>
        <v>0</v>
      </c>
      <c r="S60" s="62">
        <f t="shared" si="45"/>
        <v>0</v>
      </c>
      <c r="T60" s="63">
        <f t="shared" si="46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25"/>
        <v>0</v>
      </c>
      <c r="AG60" s="63">
        <f t="shared" si="26"/>
        <v>0</v>
      </c>
      <c r="AH60" s="89"/>
      <c r="AI60" s="66"/>
      <c r="AJ60" s="66"/>
      <c r="AK60" s="62">
        <f t="shared" si="19"/>
        <v>0</v>
      </c>
      <c r="AL60" s="72">
        <f t="shared" si="20"/>
        <v>0</v>
      </c>
      <c r="AM60" s="73">
        <f t="shared" si="48"/>
        <v>0</v>
      </c>
      <c r="AN60" s="80">
        <f t="shared" si="49"/>
        <v>0</v>
      </c>
      <c r="AO60" s="80">
        <f t="shared" si="50"/>
        <v>0</v>
      </c>
      <c r="AP60" s="75" t="e">
        <f t="shared" si="24"/>
        <v>#DIV/0!</v>
      </c>
      <c r="AQ60" s="76">
        <f t="shared" si="9"/>
        <v>0</v>
      </c>
      <c r="AR60" s="90">
        <f t="shared" si="47"/>
        <v>0</v>
      </c>
    </row>
    <row r="61" spans="1:49" x14ac:dyDescent="0.25">
      <c r="A61" t="str">
        <f t="shared" si="11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42"/>
        <v>0</v>
      </c>
      <c r="H61" s="63">
        <f t="shared" si="43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44"/>
        <v>0</v>
      </c>
      <c r="S61" s="62">
        <f t="shared" si="45"/>
        <v>0</v>
      </c>
      <c r="T61" s="63">
        <f t="shared" si="46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25"/>
        <v>0</v>
      </c>
      <c r="AG61" s="63">
        <f t="shared" si="26"/>
        <v>0</v>
      </c>
      <c r="AH61" s="89"/>
      <c r="AI61" s="66"/>
      <c r="AJ61" s="66"/>
      <c r="AK61" s="62">
        <f t="shared" si="19"/>
        <v>0</v>
      </c>
      <c r="AL61" s="72">
        <f t="shared" si="20"/>
        <v>0</v>
      </c>
      <c r="AM61" s="73">
        <f t="shared" si="48"/>
        <v>0</v>
      </c>
      <c r="AN61" s="80">
        <f t="shared" si="49"/>
        <v>0</v>
      </c>
      <c r="AO61" s="80">
        <f t="shared" si="50"/>
        <v>0</v>
      </c>
      <c r="AP61" s="75" t="e">
        <f t="shared" si="24"/>
        <v>#DIV/0!</v>
      </c>
      <c r="AQ61" s="76">
        <f t="shared" si="9"/>
        <v>0</v>
      </c>
      <c r="AR61" s="90">
        <f t="shared" si="47"/>
        <v>0</v>
      </c>
    </row>
    <row r="62" spans="1:49" x14ac:dyDescent="0.25">
      <c r="A62" t="str">
        <f t="shared" si="11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42"/>
        <v>0</v>
      </c>
      <c r="H62" s="63">
        <f t="shared" si="43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44"/>
        <v>0</v>
      </c>
      <c r="S62" s="62">
        <f t="shared" si="45"/>
        <v>0</v>
      </c>
      <c r="T62" s="63">
        <f t="shared" si="46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25"/>
        <v>0</v>
      </c>
      <c r="AG62" s="63">
        <f t="shared" si="26"/>
        <v>0</v>
      </c>
      <c r="AH62" s="89"/>
      <c r="AI62" s="66"/>
      <c r="AJ62" s="66"/>
      <c r="AK62" s="62">
        <f t="shared" si="19"/>
        <v>0</v>
      </c>
      <c r="AL62" s="72">
        <f t="shared" si="20"/>
        <v>0</v>
      </c>
      <c r="AM62" s="73">
        <f t="shared" si="48"/>
        <v>0</v>
      </c>
      <c r="AN62" s="80">
        <f t="shared" si="49"/>
        <v>0</v>
      </c>
      <c r="AO62" s="80">
        <f t="shared" si="50"/>
        <v>0</v>
      </c>
      <c r="AP62" s="75" t="e">
        <f t="shared" si="24"/>
        <v>#DIV/0!</v>
      </c>
      <c r="AQ62" s="76">
        <f t="shared" si="9"/>
        <v>0</v>
      </c>
      <c r="AR62" s="90">
        <f t="shared" si="47"/>
        <v>0</v>
      </c>
    </row>
    <row r="63" spans="1:49" x14ac:dyDescent="0.25">
      <c r="A63" t="str">
        <f t="shared" si="11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42"/>
        <v>0</v>
      </c>
      <c r="H63" s="63">
        <f t="shared" si="43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44"/>
        <v>0</v>
      </c>
      <c r="S63" s="62">
        <f t="shared" si="45"/>
        <v>0</v>
      </c>
      <c r="T63" s="63">
        <f t="shared" si="46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25"/>
        <v>0</v>
      </c>
      <c r="AG63" s="63">
        <f t="shared" si="26"/>
        <v>0</v>
      </c>
      <c r="AH63" s="89"/>
      <c r="AI63" s="66"/>
      <c r="AJ63" s="66"/>
      <c r="AK63" s="62">
        <f t="shared" si="19"/>
        <v>0</v>
      </c>
      <c r="AL63" s="72">
        <f t="shared" si="20"/>
        <v>0</v>
      </c>
      <c r="AM63" s="73">
        <f t="shared" si="48"/>
        <v>0</v>
      </c>
      <c r="AN63" s="80">
        <f t="shared" si="49"/>
        <v>0</v>
      </c>
      <c r="AO63" s="80">
        <f t="shared" si="50"/>
        <v>0</v>
      </c>
      <c r="AP63" s="75" t="e">
        <f t="shared" si="24"/>
        <v>#DIV/0!</v>
      </c>
      <c r="AQ63" s="76">
        <f t="shared" si="9"/>
        <v>0</v>
      </c>
      <c r="AR63" s="90">
        <f t="shared" si="47"/>
        <v>0</v>
      </c>
    </row>
    <row r="64" spans="1:49" x14ac:dyDescent="0.25">
      <c r="A64" t="str">
        <f t="shared" si="11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42"/>
        <v>0</v>
      </c>
      <c r="H64" s="63">
        <f t="shared" si="43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>I64*1.03</f>
        <v>0</v>
      </c>
      <c r="S64" s="62">
        <f>R64*K64%</f>
        <v>0</v>
      </c>
      <c r="T64" s="63">
        <f>R64*L64%</f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25"/>
        <v>0</v>
      </c>
      <c r="AG64" s="63">
        <f t="shared" si="26"/>
        <v>0</v>
      </c>
      <c r="AH64" s="89"/>
      <c r="AI64" s="66"/>
      <c r="AJ64" s="66"/>
      <c r="AK64" s="124">
        <f t="shared" si="19"/>
        <v>0</v>
      </c>
      <c r="AL64" s="125">
        <f t="shared" si="20"/>
        <v>0</v>
      </c>
      <c r="AM64" s="73">
        <f t="shared" ref="AM64:AM65" si="51">+D64+R64-AC64-AH64</f>
        <v>0</v>
      </c>
      <c r="AN64" s="80">
        <f t="shared" ref="AN64:AN65" si="52">+G64+S64-AF64-AK64</f>
        <v>0</v>
      </c>
      <c r="AO64" s="80">
        <f t="shared" ref="AO64:AO65" si="53">+H64+T64-AG64-AL64</f>
        <v>0</v>
      </c>
      <c r="AP64" s="75" t="e">
        <f t="shared" si="24"/>
        <v>#DIV/0!</v>
      </c>
      <c r="AQ64" s="76">
        <f t="shared" si="9"/>
        <v>0</v>
      </c>
      <c r="AR64" s="90">
        <f>(D64+J64+O64)-(X64+AH64)</f>
        <v>0</v>
      </c>
    </row>
    <row r="65" spans="1:49" x14ac:dyDescent="0.25">
      <c r="A65" t="str">
        <f t="shared" si="11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42"/>
        <v>0</v>
      </c>
      <c r="H65" s="63">
        <f t="shared" si="43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>I65*1.03</f>
        <v>0</v>
      </c>
      <c r="S65" s="62">
        <f>R65*K65%</f>
        <v>0</v>
      </c>
      <c r="T65" s="63">
        <f>R65*L65%</f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25"/>
        <v>0</v>
      </c>
      <c r="AG65" s="63">
        <f t="shared" si="26"/>
        <v>0</v>
      </c>
      <c r="AH65" s="89"/>
      <c r="AI65" s="66"/>
      <c r="AJ65" s="66"/>
      <c r="AK65" s="124">
        <f t="shared" si="19"/>
        <v>0</v>
      </c>
      <c r="AL65" s="125">
        <f t="shared" si="20"/>
        <v>0</v>
      </c>
      <c r="AM65" s="73">
        <f t="shared" si="51"/>
        <v>0</v>
      </c>
      <c r="AN65" s="80">
        <f t="shared" si="52"/>
        <v>0</v>
      </c>
      <c r="AO65" s="80">
        <f t="shared" si="53"/>
        <v>0</v>
      </c>
      <c r="AP65" s="75" t="e">
        <f t="shared" si="24"/>
        <v>#DIV/0!</v>
      </c>
      <c r="AQ65" s="76">
        <f t="shared" si="9"/>
        <v>0</v>
      </c>
      <c r="AR65" s="90">
        <f>(D65+J65+O65)-(X65+AH65)</f>
        <v>0</v>
      </c>
      <c r="AS65" s="90">
        <f>SUM(J60:J65)</f>
        <v>0</v>
      </c>
      <c r="AT65" s="83">
        <f>SUM(AM60:AM65)</f>
        <v>0</v>
      </c>
      <c r="AU65" s="83">
        <f>SUM(AN60:AN65)</f>
        <v>0</v>
      </c>
      <c r="AV65" s="83">
        <f>SUM(AO60:AO65)</f>
        <v>0</v>
      </c>
      <c r="AW65" s="83">
        <f>-SUM(AQ60:AQ65)</f>
        <v>0</v>
      </c>
    </row>
    <row r="66" spans="1:49" x14ac:dyDescent="0.25">
      <c r="J66" s="83">
        <f>SUM(J4:J65)</f>
        <v>87032.785500000013</v>
      </c>
      <c r="AM66" s="98">
        <f>-SUM(AM4:AM65)</f>
        <v>-1018.7855000000025</v>
      </c>
      <c r="AN66" s="98">
        <f t="shared" ref="AN66:AO66" si="54">-SUM(AN4:AN65)</f>
        <v>15.122031999999969</v>
      </c>
      <c r="AO66" s="98">
        <f t="shared" si="54"/>
        <v>62.330508999999537</v>
      </c>
      <c r="AQ66" s="98">
        <f>-SUM(AQ4:AQ65)</f>
        <v>25442.290581913174</v>
      </c>
    </row>
    <row r="67" spans="1:49" x14ac:dyDescent="0.25">
      <c r="I67">
        <f>I65*1.03</f>
        <v>0</v>
      </c>
    </row>
    <row r="68" spans="1:49" x14ac:dyDescent="0.25">
      <c r="K68" s="83">
        <v>500</v>
      </c>
      <c r="L68" s="210">
        <v>5.6</v>
      </c>
      <c r="M68" s="211">
        <v>8.6</v>
      </c>
      <c r="N68">
        <v>44.881135200000003</v>
      </c>
      <c r="O68">
        <f>N68*K68</f>
        <v>22440.567600000002</v>
      </c>
    </row>
    <row r="69" spans="1:49" x14ac:dyDescent="0.25">
      <c r="I69">
        <v>3930.6500000000005</v>
      </c>
      <c r="J69" s="83">
        <f>I65+K68</f>
        <v>500</v>
      </c>
      <c r="AH69" s="89">
        <v>9580</v>
      </c>
      <c r="AI69" s="66">
        <v>3.93</v>
      </c>
      <c r="AJ69" s="66">
        <v>8.24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" priority="2" operator="lessThan">
      <formula>0.1</formula>
    </cfRule>
    <cfRule type="cellIs" dxfId="8" priority="3" operator="greaterThan">
      <formula>0.1</formula>
    </cfRule>
  </conditionalFormatting>
  <conditionalFormatting sqref="AP1:AQ1">
    <cfRule type="cellIs" dxfId="7" priority="1" operator="lessThan">
      <formula>1</formula>
    </cfRule>
  </conditionalFormatting>
  <conditionalFormatting sqref="AQ4:AQ65">
    <cfRule type="cellIs" dxfId="6" priority="14" operator="lessThan">
      <formula>0</formula>
    </cfRule>
    <cfRule type="cellIs" dxfId="5" priority="15" operator="greater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/>
  <dimension ref="A1:AW66"/>
  <sheetViews>
    <sheetView zoomScale="80" zoomScaleNormal="8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AC36" sqref="AC36:AE38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85546875" bestFit="1" customWidth="1"/>
  </cols>
  <sheetData>
    <row r="1" spans="1:44" ht="15.75" thickBot="1" x14ac:dyDescent="0.3">
      <c r="B1" s="43" t="s">
        <v>93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39" t="s">
        <v>64</v>
      </c>
      <c r="C2" s="241" t="s">
        <v>65</v>
      </c>
      <c r="D2" s="243" t="s">
        <v>66</v>
      </c>
      <c r="E2" s="243"/>
      <c r="F2" s="243"/>
      <c r="G2" s="243"/>
      <c r="H2" s="244"/>
      <c r="I2" s="235" t="s">
        <v>67</v>
      </c>
      <c r="J2" s="236"/>
      <c r="K2" s="236"/>
      <c r="L2" s="237"/>
      <c r="M2" s="235" t="s">
        <v>68</v>
      </c>
      <c r="N2" s="245"/>
      <c r="O2" s="236"/>
      <c r="P2" s="236"/>
      <c r="Q2" s="237"/>
      <c r="R2" s="245" t="s">
        <v>69</v>
      </c>
      <c r="S2" s="236"/>
      <c r="T2" s="237"/>
      <c r="U2" s="232" t="s">
        <v>70</v>
      </c>
      <c r="V2" s="233"/>
      <c r="W2" s="233"/>
      <c r="X2" s="233"/>
      <c r="Y2" s="233"/>
      <c r="Z2" s="233"/>
      <c r="AA2" s="233"/>
      <c r="AB2" s="234"/>
      <c r="AC2" s="235" t="s">
        <v>71</v>
      </c>
      <c r="AD2" s="236"/>
      <c r="AE2" s="236"/>
      <c r="AF2" s="236"/>
      <c r="AG2" s="237"/>
      <c r="AH2" s="235" t="s">
        <v>72</v>
      </c>
      <c r="AI2" s="236"/>
      <c r="AJ2" s="236"/>
      <c r="AK2" s="236"/>
      <c r="AL2" s="238"/>
      <c r="AM2" s="232" t="s">
        <v>73</v>
      </c>
      <c r="AN2" s="233"/>
      <c r="AO2" s="233"/>
      <c r="AP2" s="233"/>
      <c r="AQ2" s="234"/>
    </row>
    <row r="3" spans="1:44" x14ac:dyDescent="0.25">
      <c r="B3" s="240"/>
      <c r="C3" s="24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9720</v>
      </c>
      <c r="E4" s="109">
        <v>5.9</v>
      </c>
      <c r="F4" s="109">
        <v>8.6999999999999993</v>
      </c>
      <c r="G4" s="62">
        <f t="shared" ref="G4:G11" si="0">+D4*E4%</f>
        <v>573.48</v>
      </c>
      <c r="H4" s="72">
        <f t="shared" ref="H4:H11" si="1">+D4*F4%</f>
        <v>845.64</v>
      </c>
      <c r="I4" s="148">
        <v>5758.9</v>
      </c>
      <c r="J4" s="145">
        <v>5931.6669999999995</v>
      </c>
      <c r="K4" s="146">
        <v>4.5283509003455524</v>
      </c>
      <c r="L4" s="147">
        <v>8.3061522165691368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5931.6669999999995</v>
      </c>
      <c r="S4" s="62">
        <f t="shared" ref="S4" si="2">+J4*K4%+O4*P4%</f>
        <v>268.606696</v>
      </c>
      <c r="T4" s="63">
        <f t="shared" ref="T4" si="3">+J4*L4%+O4*Q4%</f>
        <v>492.69328999999993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 t="shared" ref="AG4" si="7">AC4*AE4%</f>
        <v>0</v>
      </c>
      <c r="AH4" s="89">
        <v>15651</v>
      </c>
      <c r="AI4" s="66">
        <v>5.7</v>
      </c>
      <c r="AJ4" s="66">
        <v>8.6</v>
      </c>
      <c r="AK4" s="62">
        <f t="shared" ref="AK4" si="8">AH4*AI4%</f>
        <v>892.10700000000008</v>
      </c>
      <c r="AL4" s="72">
        <f t="shared" ref="AL4" si="9">AH4*AJ4%</f>
        <v>1345.9859999999999</v>
      </c>
      <c r="AM4" s="73">
        <f>+D4+R4-AC4-AH4</f>
        <v>0.66699999999946158</v>
      </c>
      <c r="AN4" s="74">
        <f t="shared" ref="AN4:AN11" si="10">+G4+S4-AF4-AK4</f>
        <v>-50.02030400000001</v>
      </c>
      <c r="AO4" s="74">
        <f t="shared" ref="AO4:AO11" si="11">+H4+T4-AG4-AL4</f>
        <v>-7.6527099999998427</v>
      </c>
      <c r="AP4" s="75">
        <f>(AN4+AO4)/(S4+T4)</f>
        <v>-7.5755963563093845E-2</v>
      </c>
      <c r="AQ4" s="76">
        <f t="shared" ref="AQ4" si="12">($AP$1*AN4+$AQ$1*AO4)</f>
        <v>-24744.866699373291</v>
      </c>
      <c r="AR4" s="90">
        <f>(D4+J4+O4)-(X4+AH4)</f>
        <v>0.66699999999946158</v>
      </c>
    </row>
    <row r="5" spans="1:44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91">
        <v>15651</v>
      </c>
      <c r="E5" s="62">
        <v>5.7</v>
      </c>
      <c r="F5" s="62">
        <v>8.6</v>
      </c>
      <c r="G5" s="62">
        <f t="shared" si="0"/>
        <v>892.10700000000008</v>
      </c>
      <c r="H5" s="72">
        <f t="shared" si="1"/>
        <v>1345.9859999999999</v>
      </c>
      <c r="I5" s="123">
        <v>5767.5</v>
      </c>
      <c r="J5" s="120">
        <v>5940.5250000000005</v>
      </c>
      <c r="K5" s="121">
        <v>4.3306805374945805</v>
      </c>
      <c r="L5" s="122">
        <v>8.2613281317728653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59" si="14">+J5+O5</f>
        <v>5940.5250000000005</v>
      </c>
      <c r="S5" s="62">
        <f t="shared" ref="S5:S59" si="15">+J5*K5%+O5*P5%</f>
        <v>257.26515999999998</v>
      </c>
      <c r="T5" s="63">
        <f t="shared" ref="T5:T59" si="16">+J5*L5%+O5*Q5%</f>
        <v>490.76626300000009</v>
      </c>
      <c r="U5" s="64" t="s">
        <v>321</v>
      </c>
      <c r="V5" s="65" t="s">
        <v>322</v>
      </c>
      <c r="W5" s="66" t="s">
        <v>189</v>
      </c>
      <c r="X5" s="67">
        <v>6500</v>
      </c>
      <c r="Y5" s="68">
        <v>4.4000000000000004</v>
      </c>
      <c r="Z5" s="68">
        <v>8.41</v>
      </c>
      <c r="AA5" s="62">
        <f t="shared" ref="AA5:AA59" si="17">X5*Y5%</f>
        <v>286.00000000000006</v>
      </c>
      <c r="AB5" s="63">
        <f t="shared" ref="AB5:AB59" si="18">X5*Z5%</f>
        <v>546.65000000000009</v>
      </c>
      <c r="AC5" s="69">
        <v>6520</v>
      </c>
      <c r="AD5" s="70">
        <v>4.4000000000000004</v>
      </c>
      <c r="AE5" s="70">
        <v>8.2200000000000006</v>
      </c>
      <c r="AF5" s="62">
        <f t="shared" ref="AF5:AF57" si="19">AC5*AD5%</f>
        <v>286.88000000000005</v>
      </c>
      <c r="AG5" s="63">
        <f t="shared" ref="AG5:AG65" si="20">AC5*AE5%</f>
        <v>535.94400000000007</v>
      </c>
      <c r="AH5" s="89">
        <v>15091</v>
      </c>
      <c r="AI5" s="66">
        <v>5.6</v>
      </c>
      <c r="AJ5" s="66">
        <v>8.5</v>
      </c>
      <c r="AK5" s="62">
        <f t="shared" ref="AK5:AK21" si="21">AH5*AI5%</f>
        <v>845.09599999999989</v>
      </c>
      <c r="AL5" s="72">
        <f t="shared" ref="AL5:AL21" si="22">AH5*AJ5%</f>
        <v>1282.7350000000001</v>
      </c>
      <c r="AM5" s="73">
        <f t="shared" ref="AM5:AM35" si="23">+D5+R5-AC5-AH5</f>
        <v>-19.474999999998545</v>
      </c>
      <c r="AN5" s="74">
        <f t="shared" si="10"/>
        <v>17.396160000000123</v>
      </c>
      <c r="AO5" s="74">
        <f t="shared" si="11"/>
        <v>18.07326299999977</v>
      </c>
      <c r="AP5" s="75">
        <f t="shared" ref="AP5:AP59" si="24">(AN5+AO5)/(S5+T5)</f>
        <v>4.741702274718463E-2</v>
      </c>
      <c r="AQ5" s="76">
        <f t="shared" ref="AQ5:AQ59" si="25">($AP$1*AN5+$AQ$1*AO5)</f>
        <v>13218.155847819988</v>
      </c>
      <c r="AR5" s="90">
        <f t="shared" ref="AR5:AR13" si="26">(D5+J5+O5)-(X5+AH5)</f>
        <v>0.52500000000145519</v>
      </c>
    </row>
    <row r="6" spans="1:44" x14ac:dyDescent="0.25">
      <c r="A6" t="str">
        <f t="shared" si="13"/>
        <v>46175M</v>
      </c>
      <c r="B6" s="51">
        <f>+B4+1</f>
        <v>46175</v>
      </c>
      <c r="C6" s="52" t="s">
        <v>87</v>
      </c>
      <c r="D6" s="91">
        <v>15091</v>
      </c>
      <c r="E6" s="62">
        <v>5.6</v>
      </c>
      <c r="F6" s="62">
        <v>8.5</v>
      </c>
      <c r="G6" s="62">
        <f t="shared" si="0"/>
        <v>845.09599999999989</v>
      </c>
      <c r="H6" s="72">
        <f t="shared" si="1"/>
        <v>1282.7350000000001</v>
      </c>
      <c r="I6" s="123">
        <v>5516.7999999999993</v>
      </c>
      <c r="J6" s="120">
        <v>5682.3039999999992</v>
      </c>
      <c r="K6" s="121">
        <v>4.5482888631090495</v>
      </c>
      <c r="L6" s="122">
        <v>8.3050989704176335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5682.3039999999992</v>
      </c>
      <c r="S6" s="62">
        <f t="shared" si="15"/>
        <v>258.44759999999997</v>
      </c>
      <c r="T6" s="63">
        <f t="shared" si="16"/>
        <v>471.92097099999995</v>
      </c>
      <c r="U6" s="64" t="s">
        <v>323</v>
      </c>
      <c r="V6" s="65" t="s">
        <v>324</v>
      </c>
      <c r="W6" s="66" t="s">
        <v>208</v>
      </c>
      <c r="X6" s="67">
        <v>6550</v>
      </c>
      <c r="Y6" s="68">
        <v>4.7309160305343507</v>
      </c>
      <c r="Z6" s="68">
        <v>8.2332061068702291</v>
      </c>
      <c r="AA6" s="62">
        <f t="shared" si="17"/>
        <v>309.875</v>
      </c>
      <c r="AB6" s="63">
        <f t="shared" si="18"/>
        <v>539.27499999999998</v>
      </c>
      <c r="AC6" s="69">
        <v>6540</v>
      </c>
      <c r="AD6" s="70">
        <v>4.6308868501529048</v>
      </c>
      <c r="AE6" s="70">
        <v>8.1265443425076445</v>
      </c>
      <c r="AF6" s="62">
        <f t="shared" si="19"/>
        <v>302.86</v>
      </c>
      <c r="AG6" s="63">
        <f t="shared" si="20"/>
        <v>531.47599999999989</v>
      </c>
      <c r="AH6" s="89">
        <v>14221</v>
      </c>
      <c r="AI6" s="66">
        <v>5.4</v>
      </c>
      <c r="AJ6" s="66">
        <v>8.5</v>
      </c>
      <c r="AK6" s="62">
        <f t="shared" si="21"/>
        <v>767.93400000000008</v>
      </c>
      <c r="AL6" s="72">
        <f t="shared" si="22"/>
        <v>1208.7850000000001</v>
      </c>
      <c r="AM6" s="73">
        <f t="shared" si="23"/>
        <v>12.304000000000087</v>
      </c>
      <c r="AN6" s="74">
        <f t="shared" si="10"/>
        <v>32.749599999999873</v>
      </c>
      <c r="AO6" s="74">
        <f t="shared" si="11"/>
        <v>14.394971000000169</v>
      </c>
      <c r="AP6" s="75">
        <f t="shared" si="24"/>
        <v>6.4549013843039585E-2</v>
      </c>
      <c r="AQ6" s="76">
        <f t="shared" si="25"/>
        <v>19009.653890406662</v>
      </c>
      <c r="AR6" s="90">
        <f t="shared" si="26"/>
        <v>2.3040000000000873</v>
      </c>
    </row>
    <row r="7" spans="1:44" x14ac:dyDescent="0.25">
      <c r="A7" t="str">
        <f t="shared" si="13"/>
        <v>46175E</v>
      </c>
      <c r="B7" s="51">
        <f>+B5+1</f>
        <v>46175</v>
      </c>
      <c r="C7" s="52" t="s">
        <v>88</v>
      </c>
      <c r="D7" s="91">
        <v>14221</v>
      </c>
      <c r="E7" s="62">
        <v>5.4</v>
      </c>
      <c r="F7" s="62">
        <v>8.5</v>
      </c>
      <c r="G7" s="62">
        <f t="shared" si="0"/>
        <v>767.93400000000008</v>
      </c>
      <c r="H7" s="72">
        <f t="shared" si="1"/>
        <v>1208.7850000000001</v>
      </c>
      <c r="I7" s="123">
        <v>5782.4</v>
      </c>
      <c r="J7" s="120">
        <v>5955.8719999999994</v>
      </c>
      <c r="K7" s="121">
        <v>4.2904866491422258</v>
      </c>
      <c r="L7" s="122">
        <v>8.2760981599335928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5955.8719999999994</v>
      </c>
      <c r="S7" s="62">
        <f t="shared" si="15"/>
        <v>255.53589300000004</v>
      </c>
      <c r="T7" s="63">
        <f t="shared" si="16"/>
        <v>492.913813</v>
      </c>
      <c r="U7" s="64" t="s">
        <v>321</v>
      </c>
      <c r="V7" s="65" t="s">
        <v>325</v>
      </c>
      <c r="W7" s="66" t="s">
        <v>189</v>
      </c>
      <c r="X7" s="67">
        <v>6500</v>
      </c>
      <c r="Y7" s="68">
        <v>4.49</v>
      </c>
      <c r="Z7" s="68">
        <v>8.35</v>
      </c>
      <c r="AA7" s="62">
        <f t="shared" si="17"/>
        <v>291.85000000000002</v>
      </c>
      <c r="AB7" s="63">
        <f t="shared" si="18"/>
        <v>542.74999999999989</v>
      </c>
      <c r="AC7" s="69">
        <v>6520</v>
      </c>
      <c r="AD7" s="70">
        <v>4.4274539877300612</v>
      </c>
      <c r="AE7" s="70">
        <v>8.2057668711656433</v>
      </c>
      <c r="AF7" s="62">
        <f t="shared" si="19"/>
        <v>288.66999999999996</v>
      </c>
      <c r="AG7" s="63">
        <f t="shared" si="20"/>
        <v>535.01599999999996</v>
      </c>
      <c r="AH7" s="89">
        <v>13676</v>
      </c>
      <c r="AI7" s="66">
        <v>5.4</v>
      </c>
      <c r="AJ7" s="66">
        <v>8.4</v>
      </c>
      <c r="AK7" s="62">
        <f t="shared" si="21"/>
        <v>738.50400000000013</v>
      </c>
      <c r="AL7" s="72">
        <f t="shared" si="22"/>
        <v>1148.7840000000001</v>
      </c>
      <c r="AM7" s="73">
        <f t="shared" si="23"/>
        <v>-19.128000000000611</v>
      </c>
      <c r="AN7" s="74">
        <f t="shared" si="10"/>
        <v>-3.7041069999999081</v>
      </c>
      <c r="AO7" s="74">
        <f t="shared" si="11"/>
        <v>17.898812999999791</v>
      </c>
      <c r="AP7" s="75">
        <f t="shared" si="24"/>
        <v>1.8965477421137342E-2</v>
      </c>
      <c r="AQ7" s="76">
        <f t="shared" si="25"/>
        <v>3693.8267558499792</v>
      </c>
      <c r="AR7" s="117">
        <f t="shared" si="26"/>
        <v>0.87199999999938882</v>
      </c>
    </row>
    <row r="8" spans="1:44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13676</v>
      </c>
      <c r="E8" s="62">
        <v>5.4</v>
      </c>
      <c r="F8" s="62">
        <v>8.4</v>
      </c>
      <c r="G8" s="62">
        <f t="shared" si="0"/>
        <v>738.50400000000013</v>
      </c>
      <c r="H8" s="72">
        <f t="shared" si="1"/>
        <v>1148.7840000000001</v>
      </c>
      <c r="I8" s="123">
        <v>6718.1</v>
      </c>
      <c r="J8" s="120">
        <v>6919.6430000000009</v>
      </c>
      <c r="K8" s="121">
        <v>4.5108557479049152</v>
      </c>
      <c r="L8" s="122">
        <v>8.2805540256917904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6919.6430000000009</v>
      </c>
      <c r="S8" s="62">
        <f t="shared" si="15"/>
        <v>312.13511400000016</v>
      </c>
      <c r="T8" s="63">
        <f t="shared" si="16"/>
        <v>572.98477700000024</v>
      </c>
      <c r="U8" s="64" t="s">
        <v>323</v>
      </c>
      <c r="V8" s="65" t="s">
        <v>326</v>
      </c>
      <c r="W8" s="66" t="s">
        <v>291</v>
      </c>
      <c r="X8" s="67">
        <v>6550</v>
      </c>
      <c r="Y8" s="68">
        <v>4.7</v>
      </c>
      <c r="Z8" s="68">
        <v>8.24</v>
      </c>
      <c r="AA8" s="62">
        <f t="shared" si="17"/>
        <v>307.85000000000002</v>
      </c>
      <c r="AB8" s="63">
        <f t="shared" si="18"/>
        <v>539.72</v>
      </c>
      <c r="AC8" s="69">
        <v>6520</v>
      </c>
      <c r="AD8" s="70">
        <v>4.5794478527607367</v>
      </c>
      <c r="AE8" s="70">
        <v>8.1958895705521488</v>
      </c>
      <c r="AF8" s="62">
        <f t="shared" si="19"/>
        <v>298.58000000000004</v>
      </c>
      <c r="AG8" s="63">
        <f t="shared" si="20"/>
        <v>534.37200000000018</v>
      </c>
      <c r="AH8" s="89">
        <v>14045</v>
      </c>
      <c r="AI8" s="66">
        <v>5.4</v>
      </c>
      <c r="AJ8" s="66">
        <v>8.4</v>
      </c>
      <c r="AK8" s="62">
        <f t="shared" si="21"/>
        <v>758.43000000000006</v>
      </c>
      <c r="AL8" s="72">
        <f t="shared" si="22"/>
        <v>1179.78</v>
      </c>
      <c r="AM8" s="73">
        <f t="shared" si="23"/>
        <v>30.643000000000029</v>
      </c>
      <c r="AN8" s="74">
        <f t="shared" si="10"/>
        <v>-6.370885999999814</v>
      </c>
      <c r="AO8" s="74">
        <f t="shared" si="11"/>
        <v>7.6167769999999564</v>
      </c>
      <c r="AP8" s="75">
        <f t="shared" si="24"/>
        <v>1.4075957536018608E-3</v>
      </c>
      <c r="AQ8" s="76">
        <f t="shared" si="25"/>
        <v>-580.45619221326251</v>
      </c>
      <c r="AR8" s="90">
        <f t="shared" si="26"/>
        <v>0.6430000000000291</v>
      </c>
    </row>
    <row r="9" spans="1:44" x14ac:dyDescent="0.25">
      <c r="A9" t="str">
        <f t="shared" si="13"/>
        <v>46176E</v>
      </c>
      <c r="B9" s="51">
        <f t="shared" ref="B9:B65" si="27">+B7+1</f>
        <v>46176</v>
      </c>
      <c r="C9" s="52" t="s">
        <v>88</v>
      </c>
      <c r="D9" s="91">
        <v>14045</v>
      </c>
      <c r="E9" s="62">
        <v>5.4</v>
      </c>
      <c r="F9" s="62">
        <v>8.4</v>
      </c>
      <c r="G9" s="62">
        <f t="shared" si="0"/>
        <v>758.43000000000006</v>
      </c>
      <c r="H9" s="72">
        <f t="shared" si="1"/>
        <v>1179.78</v>
      </c>
      <c r="I9" s="123">
        <v>6182.5000000000009</v>
      </c>
      <c r="J9" s="120">
        <v>6367.9750000000013</v>
      </c>
      <c r="K9" s="121">
        <v>4.377641730691467</v>
      </c>
      <c r="L9" s="122">
        <v>8.2450432672866985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6367.9750000000013</v>
      </c>
      <c r="S9" s="62">
        <f t="shared" si="15"/>
        <v>278.76713100000001</v>
      </c>
      <c r="T9" s="63">
        <f t="shared" si="16"/>
        <v>525.04229400000031</v>
      </c>
      <c r="U9" s="64" t="s">
        <v>323</v>
      </c>
      <c r="V9" s="65" t="s">
        <v>327</v>
      </c>
      <c r="W9" s="66" t="s">
        <v>291</v>
      </c>
      <c r="X9" s="67">
        <v>6550</v>
      </c>
      <c r="Y9" s="68">
        <v>4.75</v>
      </c>
      <c r="Z9" s="68">
        <v>8.2100000000000009</v>
      </c>
      <c r="AA9" s="62">
        <f t="shared" si="17"/>
        <v>311.125</v>
      </c>
      <c r="AB9" s="63">
        <f t="shared" si="18"/>
        <v>537.755</v>
      </c>
      <c r="AC9" s="69">
        <v>6560</v>
      </c>
      <c r="AD9" s="70">
        <v>4.699542682926829</v>
      </c>
      <c r="AE9" s="70">
        <v>8.1799390243902455</v>
      </c>
      <c r="AF9" s="62">
        <f t="shared" si="19"/>
        <v>308.29000000000002</v>
      </c>
      <c r="AG9" s="63">
        <f t="shared" si="20"/>
        <v>536.60400000000004</v>
      </c>
      <c r="AH9" s="89">
        <v>13863</v>
      </c>
      <c r="AI9" s="66">
        <v>5.4</v>
      </c>
      <c r="AJ9" s="66">
        <v>8.4</v>
      </c>
      <c r="AK9" s="62">
        <f t="shared" si="21"/>
        <v>748.60200000000009</v>
      </c>
      <c r="AL9" s="72">
        <f t="shared" si="22"/>
        <v>1164.492</v>
      </c>
      <c r="AM9" s="73">
        <f t="shared" si="23"/>
        <v>-10.024999999997817</v>
      </c>
      <c r="AN9" s="74">
        <f t="shared" si="10"/>
        <v>-19.694868999999926</v>
      </c>
      <c r="AO9" s="74">
        <f t="shared" si="11"/>
        <v>3.72629400000028</v>
      </c>
      <c r="AP9" s="75">
        <f t="shared" si="24"/>
        <v>-1.9866120629276819E-2</v>
      </c>
      <c r="AQ9" s="76">
        <f t="shared" si="25"/>
        <v>-7726.0432164298836</v>
      </c>
      <c r="AR9" s="90">
        <f t="shared" si="26"/>
        <v>-2.4999999997817213E-2</v>
      </c>
    </row>
    <row r="10" spans="1:44" x14ac:dyDescent="0.25">
      <c r="A10" t="str">
        <f t="shared" si="13"/>
        <v>46177M</v>
      </c>
      <c r="B10" s="51">
        <f t="shared" si="27"/>
        <v>46177</v>
      </c>
      <c r="C10" s="52" t="s">
        <v>87</v>
      </c>
      <c r="D10" s="91">
        <v>13863</v>
      </c>
      <c r="E10" s="62">
        <v>5.4</v>
      </c>
      <c r="F10" s="62">
        <v>8.4</v>
      </c>
      <c r="G10" s="62">
        <f t="shared" si="0"/>
        <v>748.60200000000009</v>
      </c>
      <c r="H10" s="72">
        <f t="shared" si="1"/>
        <v>1164.492</v>
      </c>
      <c r="I10" s="123">
        <v>4591.3999999999996</v>
      </c>
      <c r="J10" s="120">
        <v>4729.1419999999998</v>
      </c>
      <c r="K10" s="121">
        <v>4.6802326087903463</v>
      </c>
      <c r="L10" s="122">
        <v>8.3292198457986686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4729.1419999999998</v>
      </c>
      <c r="S10" s="62">
        <f t="shared" si="15"/>
        <v>221.33484599999994</v>
      </c>
      <c r="T10" s="63">
        <f t="shared" si="16"/>
        <v>393.90063400000008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7"/>
        <v>0</v>
      </c>
      <c r="AB10" s="63">
        <f t="shared" si="18"/>
        <v>0</v>
      </c>
      <c r="AC10" s="69"/>
      <c r="AD10" s="70"/>
      <c r="AE10" s="70"/>
      <c r="AF10" s="62">
        <f t="shared" si="19"/>
        <v>0</v>
      </c>
      <c r="AG10" s="63">
        <f t="shared" si="20"/>
        <v>0</v>
      </c>
      <c r="AH10" s="89">
        <v>18592</v>
      </c>
      <c r="AI10" s="66">
        <v>5.4</v>
      </c>
      <c r="AJ10" s="66">
        <v>8.4</v>
      </c>
      <c r="AK10" s="62">
        <f t="shared" si="21"/>
        <v>1003.9680000000001</v>
      </c>
      <c r="AL10" s="72">
        <f t="shared" si="22"/>
        <v>1561.7280000000001</v>
      </c>
      <c r="AM10" s="73">
        <f t="shared" si="23"/>
        <v>0.14199999999982538</v>
      </c>
      <c r="AN10" s="74">
        <f t="shared" si="10"/>
        <v>-34.031154000000015</v>
      </c>
      <c r="AO10" s="74">
        <f t="shared" si="11"/>
        <v>-3.3353660000000218</v>
      </c>
      <c r="AP10" s="75">
        <f t="shared" si="24"/>
        <v>-6.0735313899647064E-2</v>
      </c>
      <c r="AQ10" s="76">
        <f t="shared" si="25"/>
        <v>-16275.111442846681</v>
      </c>
      <c r="AR10" s="90">
        <f t="shared" si="26"/>
        <v>0.14199999999982538</v>
      </c>
    </row>
    <row r="11" spans="1:44" x14ac:dyDescent="0.25">
      <c r="A11" t="str">
        <f t="shared" si="13"/>
        <v>46177E</v>
      </c>
      <c r="B11" s="51">
        <f t="shared" si="27"/>
        <v>46177</v>
      </c>
      <c r="C11" s="52" t="s">
        <v>88</v>
      </c>
      <c r="D11" s="91">
        <v>18592</v>
      </c>
      <c r="E11" s="62">
        <v>5.4</v>
      </c>
      <c r="F11" s="62">
        <v>8.4</v>
      </c>
      <c r="G11" s="62">
        <f t="shared" si="0"/>
        <v>1003.9680000000001</v>
      </c>
      <c r="H11" s="72">
        <f t="shared" si="1"/>
        <v>1561.7280000000001</v>
      </c>
      <c r="I11" s="123">
        <v>5735.3</v>
      </c>
      <c r="J11" s="120">
        <v>5907.3590000000004</v>
      </c>
      <c r="K11" s="121">
        <v>4.2375725768486392</v>
      </c>
      <c r="L11" s="122">
        <v>8.2523930744686425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5907.3590000000004</v>
      </c>
      <c r="S11" s="62">
        <f t="shared" si="15"/>
        <v>250.32862499999999</v>
      </c>
      <c r="T11" s="63">
        <f t="shared" si="16"/>
        <v>487.49848500000007</v>
      </c>
      <c r="U11" s="64" t="s">
        <v>321</v>
      </c>
      <c r="V11" s="65" t="s">
        <v>328</v>
      </c>
      <c r="W11" s="66" t="s">
        <v>189</v>
      </c>
      <c r="X11" s="67">
        <v>6500</v>
      </c>
      <c r="Y11" s="68">
        <v>4.43</v>
      </c>
      <c r="Z11" s="68">
        <v>8.33</v>
      </c>
      <c r="AA11" s="62">
        <f t="shared" si="17"/>
        <v>287.95</v>
      </c>
      <c r="AB11" s="63">
        <f t="shared" si="18"/>
        <v>541.45000000000005</v>
      </c>
      <c r="AC11" s="69">
        <v>6510</v>
      </c>
      <c r="AD11" s="70">
        <v>4.3807219662058374</v>
      </c>
      <c r="AE11" s="70">
        <v>8.2560829493087571</v>
      </c>
      <c r="AF11" s="62">
        <f t="shared" si="19"/>
        <v>285.185</v>
      </c>
      <c r="AG11" s="63">
        <f t="shared" si="20"/>
        <v>537.47100000000012</v>
      </c>
      <c r="AH11" s="89">
        <v>17680</v>
      </c>
      <c r="AI11" s="66">
        <v>5.4</v>
      </c>
      <c r="AJ11" s="66">
        <v>8.4</v>
      </c>
      <c r="AK11" s="62">
        <f t="shared" si="21"/>
        <v>954.72000000000014</v>
      </c>
      <c r="AL11" s="72">
        <f t="shared" si="22"/>
        <v>1485.1200000000001</v>
      </c>
      <c r="AM11" s="73">
        <f t="shared" si="23"/>
        <v>309.35900000000038</v>
      </c>
      <c r="AN11" s="74">
        <f t="shared" si="10"/>
        <v>14.391624999999863</v>
      </c>
      <c r="AO11" s="74">
        <f t="shared" si="11"/>
        <v>26.635485000000017</v>
      </c>
      <c r="AP11" s="75">
        <f t="shared" si="24"/>
        <v>5.5605316535468421E-2</v>
      </c>
      <c r="AQ11" s="76">
        <f t="shared" si="25"/>
        <v>14431.834759649944</v>
      </c>
      <c r="AR11" s="90">
        <f t="shared" si="26"/>
        <v>319.35900000000038</v>
      </c>
    </row>
    <row r="12" spans="1:44" x14ac:dyDescent="0.25">
      <c r="A12" t="str">
        <f t="shared" si="13"/>
        <v>46178M</v>
      </c>
      <c r="B12" s="51">
        <f t="shared" si="27"/>
        <v>46178</v>
      </c>
      <c r="C12" s="52" t="s">
        <v>87</v>
      </c>
      <c r="D12" s="91">
        <v>17680</v>
      </c>
      <c r="E12" s="62">
        <v>5.4</v>
      </c>
      <c r="F12" s="62">
        <v>8.4</v>
      </c>
      <c r="G12" s="62">
        <f t="shared" ref="G12:G51" si="28">+D12*E12%</f>
        <v>954.72000000000014</v>
      </c>
      <c r="H12" s="72">
        <f t="shared" ref="H12:H51" si="29">+D12*F12%</f>
        <v>1485.1200000000001</v>
      </c>
      <c r="I12" s="123">
        <v>4637.5999999999995</v>
      </c>
      <c r="J12" s="120">
        <v>4776.7279999999992</v>
      </c>
      <c r="K12" s="121">
        <v>4.6385544247024324</v>
      </c>
      <c r="L12" s="122">
        <v>8.2912454717957598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4776.7279999999992</v>
      </c>
      <c r="S12" s="62">
        <f t="shared" si="15"/>
        <v>221.57112799999996</v>
      </c>
      <c r="T12" s="63">
        <f t="shared" si="16"/>
        <v>396.05024400000008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7"/>
        <v>0</v>
      </c>
      <c r="AB12" s="63">
        <f t="shared" si="18"/>
        <v>0</v>
      </c>
      <c r="AC12" s="69"/>
      <c r="AD12" s="70"/>
      <c r="AE12" s="70"/>
      <c r="AF12" s="62">
        <f t="shared" si="19"/>
        <v>0</v>
      </c>
      <c r="AG12" s="63">
        <f t="shared" si="20"/>
        <v>0</v>
      </c>
      <c r="AH12" s="89">
        <v>22456</v>
      </c>
      <c r="AI12" s="66">
        <v>5.4</v>
      </c>
      <c r="AJ12" s="66">
        <v>8.4</v>
      </c>
      <c r="AK12" s="62">
        <f t="shared" si="21"/>
        <v>1212.6240000000003</v>
      </c>
      <c r="AL12" s="72">
        <f t="shared" si="22"/>
        <v>1886.3040000000001</v>
      </c>
      <c r="AM12" s="73">
        <f t="shared" si="23"/>
        <v>0.72799999999915599</v>
      </c>
      <c r="AN12" s="74">
        <f t="shared" ref="AN12:AN35" si="30">+G12+S12-AF12-AK12</f>
        <v>-36.332872000000179</v>
      </c>
      <c r="AO12" s="74">
        <f t="shared" ref="AO12:AO35" si="31">+H12+T12-AG12-AL12</f>
        <v>-5.1337559999999485</v>
      </c>
      <c r="AP12" s="75">
        <f t="shared" si="24"/>
        <v>-6.7139237532732474E-2</v>
      </c>
      <c r="AQ12" s="76">
        <f t="shared" si="25"/>
        <v>-17846.585840160067</v>
      </c>
      <c r="AR12" s="90">
        <f t="shared" si="26"/>
        <v>0.72799999999915599</v>
      </c>
    </row>
    <row r="13" spans="1:44" x14ac:dyDescent="0.25">
      <c r="A13" t="str">
        <f t="shared" si="13"/>
        <v>46178E</v>
      </c>
      <c r="B13" s="51">
        <f t="shared" si="27"/>
        <v>46178</v>
      </c>
      <c r="C13" s="52" t="s">
        <v>88</v>
      </c>
      <c r="D13" s="91">
        <v>22456</v>
      </c>
      <c r="E13" s="62">
        <v>5.4</v>
      </c>
      <c r="F13" s="62">
        <v>8.4</v>
      </c>
      <c r="G13" s="62">
        <f t="shared" si="28"/>
        <v>1212.6240000000003</v>
      </c>
      <c r="H13" s="72">
        <f t="shared" si="29"/>
        <v>1886.3040000000001</v>
      </c>
      <c r="I13" s="123">
        <v>2248.6999999999994</v>
      </c>
      <c r="J13" s="120">
        <v>2316.1609999999996</v>
      </c>
      <c r="K13" s="121">
        <v>4.174567527905011</v>
      </c>
      <c r="L13" s="122">
        <v>8.2330279717169947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2316.1609999999996</v>
      </c>
      <c r="S13" s="62">
        <f t="shared" si="15"/>
        <v>96.689704999999975</v>
      </c>
      <c r="T13" s="63">
        <f t="shared" si="16"/>
        <v>190.69018300000002</v>
      </c>
      <c r="U13" s="64" t="s">
        <v>323</v>
      </c>
      <c r="V13" s="65" t="s">
        <v>409</v>
      </c>
      <c r="W13" s="66" t="s">
        <v>208</v>
      </c>
      <c r="X13" s="67">
        <v>6550</v>
      </c>
      <c r="Y13" s="68">
        <v>4.55</v>
      </c>
      <c r="Z13" s="68">
        <v>8.31</v>
      </c>
      <c r="AA13" s="62">
        <f t="shared" si="17"/>
        <v>298.02499999999998</v>
      </c>
      <c r="AB13" s="63">
        <f t="shared" si="18"/>
        <v>544.30500000000006</v>
      </c>
      <c r="AC13" s="69">
        <v>6550</v>
      </c>
      <c r="AD13" s="70">
        <v>4.3644274809160306</v>
      </c>
      <c r="AE13" s="70">
        <v>8.2828854961832068</v>
      </c>
      <c r="AF13" s="62">
        <f t="shared" si="19"/>
        <v>285.87</v>
      </c>
      <c r="AG13" s="63">
        <f t="shared" si="20"/>
        <v>542.529</v>
      </c>
      <c r="AH13" s="89">
        <v>18222</v>
      </c>
      <c r="AI13" s="66">
        <v>5.4</v>
      </c>
      <c r="AJ13" s="66">
        <v>8.4</v>
      </c>
      <c r="AK13" s="62">
        <f t="shared" si="21"/>
        <v>983.98800000000017</v>
      </c>
      <c r="AL13" s="72">
        <f t="shared" si="22"/>
        <v>1530.6480000000001</v>
      </c>
      <c r="AM13" s="73">
        <f t="shared" si="23"/>
        <v>0.16100000000005821</v>
      </c>
      <c r="AN13" s="74">
        <f t="shared" si="30"/>
        <v>39.45570500000008</v>
      </c>
      <c r="AO13" s="74">
        <f t="shared" si="31"/>
        <v>3.8171830000001137</v>
      </c>
      <c r="AP13" s="75">
        <f t="shared" si="24"/>
        <v>0.15057730135937764</v>
      </c>
      <c r="AQ13" s="76">
        <f t="shared" si="25"/>
        <v>18854.441611903403</v>
      </c>
      <c r="AR13" s="90">
        <f t="shared" si="26"/>
        <v>0.16100000000005821</v>
      </c>
    </row>
    <row r="14" spans="1:44" x14ac:dyDescent="0.25">
      <c r="A14" t="str">
        <f t="shared" si="13"/>
        <v>46179M</v>
      </c>
      <c r="B14" s="51">
        <f t="shared" si="27"/>
        <v>46179</v>
      </c>
      <c r="C14" s="52" t="s">
        <v>87</v>
      </c>
      <c r="D14" s="91">
        <v>18222</v>
      </c>
      <c r="E14" s="62">
        <v>5.4</v>
      </c>
      <c r="F14" s="62">
        <v>8.4</v>
      </c>
      <c r="G14" s="62">
        <f t="shared" si="28"/>
        <v>983.98800000000017</v>
      </c>
      <c r="H14" s="72">
        <f t="shared" si="29"/>
        <v>1530.6480000000001</v>
      </c>
      <c r="I14" s="123">
        <v>4640.0999999999985</v>
      </c>
      <c r="J14" s="120">
        <v>4779.302999999999</v>
      </c>
      <c r="K14" s="121">
        <v>4.6435033727721402</v>
      </c>
      <c r="L14" s="122">
        <v>8.2953363074071689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4779.302999999999</v>
      </c>
      <c r="S14" s="62">
        <f t="shared" si="15"/>
        <v>221.92709600000003</v>
      </c>
      <c r="T14" s="63">
        <f t="shared" si="16"/>
        <v>396.45925699999998</v>
      </c>
      <c r="U14" s="64" t="s">
        <v>321</v>
      </c>
      <c r="V14" s="65" t="s">
        <v>410</v>
      </c>
      <c r="W14" s="66" t="s">
        <v>189</v>
      </c>
      <c r="X14" s="67">
        <v>6500</v>
      </c>
      <c r="Y14" s="68">
        <v>4.26</v>
      </c>
      <c r="Z14" s="68">
        <v>8.56</v>
      </c>
      <c r="AA14" s="62">
        <f t="shared" si="17"/>
        <v>276.89999999999998</v>
      </c>
      <c r="AB14" s="63">
        <f t="shared" si="18"/>
        <v>556.40000000000009</v>
      </c>
      <c r="AC14" s="69">
        <v>6530</v>
      </c>
      <c r="AD14" s="70">
        <v>4.2277182235834614</v>
      </c>
      <c r="AE14" s="70">
        <v>8.2073047473200607</v>
      </c>
      <c r="AF14" s="62">
        <f t="shared" si="19"/>
        <v>276.07</v>
      </c>
      <c r="AG14" s="63">
        <f t="shared" si="20"/>
        <v>535.9369999999999</v>
      </c>
      <c r="AH14" s="89">
        <v>16501</v>
      </c>
      <c r="AI14" s="66">
        <v>5.4</v>
      </c>
      <c r="AJ14" s="66">
        <v>8.4</v>
      </c>
      <c r="AK14" s="62">
        <f t="shared" si="21"/>
        <v>891.05400000000009</v>
      </c>
      <c r="AL14" s="72">
        <f t="shared" si="22"/>
        <v>1386.0840000000001</v>
      </c>
      <c r="AM14" s="73">
        <f t="shared" si="23"/>
        <v>-29.697000000000116</v>
      </c>
      <c r="AN14" s="74">
        <f t="shared" si="30"/>
        <v>38.791096000000152</v>
      </c>
      <c r="AO14" s="74">
        <f t="shared" si="31"/>
        <v>5.0862570000001597</v>
      </c>
      <c r="AP14" s="75">
        <f t="shared" si="24"/>
        <v>7.0954594627026496E-2</v>
      </c>
      <c r="AQ14" s="76">
        <f t="shared" si="25"/>
        <v>18935.891991940116</v>
      </c>
      <c r="AR14" s="90">
        <f t="shared" ref="AR14:AR65" si="32">(D14+J14+O14)-(X14+AH14)</f>
        <v>0.30299999999988358</v>
      </c>
    </row>
    <row r="15" spans="1:44" x14ac:dyDescent="0.25">
      <c r="A15" t="str">
        <f t="shared" si="13"/>
        <v>46179E</v>
      </c>
      <c r="B15" s="51">
        <f t="shared" si="27"/>
        <v>46179</v>
      </c>
      <c r="C15" s="52" t="s">
        <v>88</v>
      </c>
      <c r="D15" s="91">
        <v>16501</v>
      </c>
      <c r="E15" s="62">
        <v>5.4</v>
      </c>
      <c r="F15" s="62">
        <v>8.4</v>
      </c>
      <c r="G15" s="62">
        <f t="shared" si="28"/>
        <v>891.05400000000009</v>
      </c>
      <c r="H15" s="72">
        <f t="shared" si="29"/>
        <v>1386.0840000000001</v>
      </c>
      <c r="I15" s="123">
        <v>4280.3999999999996</v>
      </c>
      <c r="J15" s="120">
        <v>4408.8119999999999</v>
      </c>
      <c r="K15" s="121">
        <v>4.3788454350060748</v>
      </c>
      <c r="L15" s="122">
        <v>8.2325670498084289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4408.8119999999999</v>
      </c>
      <c r="S15" s="62">
        <f t="shared" si="15"/>
        <v>193.05506300000002</v>
      </c>
      <c r="T15" s="63">
        <f t="shared" si="16"/>
        <v>362.95840399999997</v>
      </c>
      <c r="U15" s="64" t="s">
        <v>323</v>
      </c>
      <c r="V15" s="65" t="s">
        <v>411</v>
      </c>
      <c r="W15" s="66" t="s">
        <v>208</v>
      </c>
      <c r="X15" s="67">
        <v>6550</v>
      </c>
      <c r="Y15" s="68">
        <v>4.6500000000000004</v>
      </c>
      <c r="Z15" s="68">
        <v>8.32</v>
      </c>
      <c r="AA15" s="62">
        <f t="shared" si="17"/>
        <v>304.57500000000005</v>
      </c>
      <c r="AB15" s="63">
        <f t="shared" si="18"/>
        <v>544.95999999999992</v>
      </c>
      <c r="AC15" s="69">
        <v>6550</v>
      </c>
      <c r="AD15" s="70">
        <v>4.5977099236641221</v>
      </c>
      <c r="AE15" s="70">
        <v>8.1635114503816801</v>
      </c>
      <c r="AF15" s="62">
        <f t="shared" si="19"/>
        <v>301.14999999999998</v>
      </c>
      <c r="AG15" s="63">
        <f t="shared" si="20"/>
        <v>534.71</v>
      </c>
      <c r="AH15" s="89">
        <v>14359</v>
      </c>
      <c r="AI15" s="66">
        <v>5.4</v>
      </c>
      <c r="AJ15" s="66">
        <v>8.4</v>
      </c>
      <c r="AK15" s="62">
        <f t="shared" si="21"/>
        <v>775.38600000000008</v>
      </c>
      <c r="AL15" s="72">
        <f t="shared" si="22"/>
        <v>1206.1560000000002</v>
      </c>
      <c r="AM15" s="73">
        <f t="shared" si="23"/>
        <v>0.81199999999807915</v>
      </c>
      <c r="AN15" s="74">
        <f t="shared" si="30"/>
        <v>7.5730630000000474</v>
      </c>
      <c r="AO15" s="74">
        <f t="shared" si="31"/>
        <v>8.1764039999998204</v>
      </c>
      <c r="AP15" s="75">
        <f t="shared" si="24"/>
        <v>2.8325693413465233E-2</v>
      </c>
      <c r="AQ15" s="76">
        <f t="shared" si="25"/>
        <v>5846.6033910899678</v>
      </c>
      <c r="AR15" s="90">
        <f t="shared" si="32"/>
        <v>0.81199999999807915</v>
      </c>
    </row>
    <row r="16" spans="1:44" x14ac:dyDescent="0.25">
      <c r="A16" t="str">
        <f t="shared" si="13"/>
        <v>46180M</v>
      </c>
      <c r="B16" s="51">
        <f t="shared" si="27"/>
        <v>46180</v>
      </c>
      <c r="C16" s="52" t="s">
        <v>87</v>
      </c>
      <c r="D16" s="91">
        <v>14359</v>
      </c>
      <c r="E16" s="62">
        <v>5.4</v>
      </c>
      <c r="F16" s="62">
        <v>8.4</v>
      </c>
      <c r="G16" s="62">
        <f t="shared" si="28"/>
        <v>775.38600000000008</v>
      </c>
      <c r="H16" s="72">
        <f t="shared" si="29"/>
        <v>1206.1560000000002</v>
      </c>
      <c r="I16" s="123">
        <v>4578.3000000000011</v>
      </c>
      <c r="J16" s="120">
        <v>4715.6490000000013</v>
      </c>
      <c r="K16" s="121">
        <v>4.638162636786582</v>
      </c>
      <c r="L16" s="122">
        <v>8.2283140030142192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4"/>
        <v>4715.6490000000013</v>
      </c>
      <c r="S16" s="62">
        <f t="shared" si="15"/>
        <v>218.71947000000017</v>
      </c>
      <c r="T16" s="63">
        <f t="shared" si="16"/>
        <v>388.01840700000014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7"/>
        <v>0</v>
      </c>
      <c r="AB16" s="63">
        <f t="shared" si="18"/>
        <v>0</v>
      </c>
      <c r="AC16" s="69"/>
      <c r="AD16" s="70"/>
      <c r="AE16" s="70"/>
      <c r="AF16" s="62">
        <f t="shared" si="19"/>
        <v>0</v>
      </c>
      <c r="AG16" s="63">
        <f t="shared" si="20"/>
        <v>0</v>
      </c>
      <c r="AH16" s="89">
        <v>19043</v>
      </c>
      <c r="AI16" s="66">
        <v>5.4</v>
      </c>
      <c r="AJ16" s="66">
        <v>8.4</v>
      </c>
      <c r="AK16" s="62">
        <f t="shared" si="21"/>
        <v>1028.3220000000001</v>
      </c>
      <c r="AL16" s="72">
        <f t="shared" si="22"/>
        <v>1599.6120000000001</v>
      </c>
      <c r="AM16" s="73">
        <f t="shared" si="23"/>
        <v>31.649000000001251</v>
      </c>
      <c r="AN16" s="74">
        <f t="shared" si="30"/>
        <v>-34.216529999999921</v>
      </c>
      <c r="AO16" s="74">
        <f t="shared" si="31"/>
        <v>-5.4375929999996515</v>
      </c>
      <c r="AP16" s="75">
        <f t="shared" si="24"/>
        <v>-6.5356267513853525E-2</v>
      </c>
      <c r="AQ16" s="76">
        <f t="shared" si="25"/>
        <v>-16987.469064719862</v>
      </c>
      <c r="AR16" s="90">
        <f t="shared" si="32"/>
        <v>31.649000000001251</v>
      </c>
    </row>
    <row r="17" spans="1:49" x14ac:dyDescent="0.25">
      <c r="A17" t="str">
        <f t="shared" si="13"/>
        <v>46180E</v>
      </c>
      <c r="B17" s="51">
        <f t="shared" si="27"/>
        <v>46180</v>
      </c>
      <c r="C17" s="52" t="s">
        <v>88</v>
      </c>
      <c r="D17" s="91">
        <v>19043</v>
      </c>
      <c r="E17" s="62">
        <v>5.4</v>
      </c>
      <c r="F17" s="62">
        <v>8.4</v>
      </c>
      <c r="G17" s="62">
        <f t="shared" si="28"/>
        <v>1028.3220000000001</v>
      </c>
      <c r="H17" s="72">
        <f t="shared" si="29"/>
        <v>1599.6120000000001</v>
      </c>
      <c r="I17" s="123">
        <v>4352.2</v>
      </c>
      <c r="J17" s="120">
        <v>4482.7659999999996</v>
      </c>
      <c r="K17" s="121">
        <v>4.1569114470842345</v>
      </c>
      <c r="L17" s="122">
        <v>8.1610082257249239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4482.7659999999996</v>
      </c>
      <c r="S17" s="62">
        <f t="shared" si="15"/>
        <v>186.34461300000007</v>
      </c>
      <c r="T17" s="63">
        <f t="shared" si="16"/>
        <v>365.83890200000008</v>
      </c>
      <c r="U17" s="64" t="s">
        <v>321</v>
      </c>
      <c r="V17" s="65" t="s">
        <v>412</v>
      </c>
      <c r="W17" s="66" t="s">
        <v>189</v>
      </c>
      <c r="X17" s="67">
        <v>6500</v>
      </c>
      <c r="Y17" s="68">
        <v>4.4400000000000004</v>
      </c>
      <c r="Z17" s="68">
        <v>8.6</v>
      </c>
      <c r="AA17" s="62">
        <f t="shared" si="17"/>
        <v>288.60000000000002</v>
      </c>
      <c r="AB17" s="63">
        <f t="shared" si="18"/>
        <v>559</v>
      </c>
      <c r="AC17" s="69">
        <v>6530</v>
      </c>
      <c r="AD17" s="70">
        <v>4.3881316998468609</v>
      </c>
      <c r="AE17" s="70">
        <v>8.1805053598774897</v>
      </c>
      <c r="AF17" s="62">
        <f t="shared" si="19"/>
        <v>286.54500000000002</v>
      </c>
      <c r="AG17" s="63">
        <f t="shared" si="20"/>
        <v>534.18700000000001</v>
      </c>
      <c r="AH17" s="89">
        <v>17028</v>
      </c>
      <c r="AI17" s="66">
        <v>5.4</v>
      </c>
      <c r="AJ17" s="66">
        <v>8.4</v>
      </c>
      <c r="AK17" s="62">
        <f t="shared" si="21"/>
        <v>919.51200000000006</v>
      </c>
      <c r="AL17" s="72">
        <f t="shared" si="22"/>
        <v>1430.3520000000001</v>
      </c>
      <c r="AM17" s="73">
        <f t="shared" si="23"/>
        <v>-32.234000000000378</v>
      </c>
      <c r="AN17" s="74">
        <f t="shared" si="30"/>
        <v>8.6096129999999675</v>
      </c>
      <c r="AO17" s="74">
        <f t="shared" si="31"/>
        <v>0.91190200000005461</v>
      </c>
      <c r="AP17" s="75">
        <f t="shared" si="24"/>
        <v>1.7243388731009144E-2</v>
      </c>
      <c r="AQ17" s="76">
        <f t="shared" si="25"/>
        <v>4137.8493230433351</v>
      </c>
      <c r="AR17" s="90">
        <f t="shared" si="32"/>
        <v>-2.2340000000003783</v>
      </c>
      <c r="AS17" s="90">
        <f>SUM(J4:J17)</f>
        <v>72913.906000000003</v>
      </c>
      <c r="AT17" s="83">
        <f>SUM(AM4:AM17)</f>
        <v>275.90600000000086</v>
      </c>
      <c r="AU17" s="83">
        <f>SUM(AN4:AN17)</f>
        <v>-25.403859999999668</v>
      </c>
      <c r="AV17" s="83">
        <f>SUM(AO4:AO17)</f>
        <v>84.777924000000667</v>
      </c>
      <c r="AW17" s="83">
        <f>-SUM(AQ4:AQ17)</f>
        <v>-13967.725115960347</v>
      </c>
    </row>
    <row r="18" spans="1:49" x14ac:dyDescent="0.25">
      <c r="A18" t="str">
        <f t="shared" si="13"/>
        <v>46181M</v>
      </c>
      <c r="B18" s="51">
        <f t="shared" si="27"/>
        <v>46181</v>
      </c>
      <c r="C18" s="52" t="s">
        <v>87</v>
      </c>
      <c r="D18" s="91">
        <v>17028</v>
      </c>
      <c r="E18" s="62">
        <v>5.4</v>
      </c>
      <c r="F18" s="62">
        <v>8.4</v>
      </c>
      <c r="G18" s="62">
        <f t="shared" si="28"/>
        <v>919.51200000000006</v>
      </c>
      <c r="H18" s="72">
        <f t="shared" si="29"/>
        <v>1430.3520000000001</v>
      </c>
      <c r="I18" s="123">
        <v>4464.2999999999993</v>
      </c>
      <c r="J18" s="120">
        <v>4598.2289999999994</v>
      </c>
      <c r="K18" s="121">
        <v>4.7164818672580262</v>
      </c>
      <c r="L18" s="122">
        <v>8.3794682257016788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4598.2289999999994</v>
      </c>
      <c r="S18" s="62">
        <f t="shared" si="15"/>
        <v>216.87463700000004</v>
      </c>
      <c r="T18" s="63">
        <f t="shared" si="16"/>
        <v>385.30713800000001</v>
      </c>
      <c r="U18" s="64" t="s">
        <v>323</v>
      </c>
      <c r="V18" s="65" t="s">
        <v>413</v>
      </c>
      <c r="W18" s="66" t="s">
        <v>291</v>
      </c>
      <c r="X18" s="67">
        <v>6550</v>
      </c>
      <c r="Y18" s="68">
        <v>4.7300000000000004</v>
      </c>
      <c r="Z18" s="68">
        <v>8.27</v>
      </c>
      <c r="AA18" s="62">
        <f t="shared" si="17"/>
        <v>309.815</v>
      </c>
      <c r="AB18" s="63">
        <f t="shared" si="18"/>
        <v>541.68499999999995</v>
      </c>
      <c r="AC18" s="69">
        <v>6520</v>
      </c>
      <c r="AD18" s="70">
        <v>4.6059815950920244</v>
      </c>
      <c r="AE18" s="70">
        <v>8.2240644171779138</v>
      </c>
      <c r="AF18" s="62">
        <f t="shared" si="19"/>
        <v>300.31</v>
      </c>
      <c r="AG18" s="63">
        <f t="shared" si="20"/>
        <v>536.20899999999995</v>
      </c>
      <c r="AH18" s="89">
        <v>15075</v>
      </c>
      <c r="AI18" s="66">
        <v>5.4</v>
      </c>
      <c r="AJ18" s="66">
        <v>8.4</v>
      </c>
      <c r="AK18" s="62">
        <f t="shared" si="21"/>
        <v>814.05000000000007</v>
      </c>
      <c r="AL18" s="72">
        <f t="shared" si="22"/>
        <v>1266.3000000000002</v>
      </c>
      <c r="AM18" s="73">
        <f t="shared" si="23"/>
        <v>31.22899999999936</v>
      </c>
      <c r="AN18" s="74">
        <f t="shared" si="30"/>
        <v>22.026637000000051</v>
      </c>
      <c r="AO18" s="74">
        <f t="shared" si="31"/>
        <v>13.15013799999997</v>
      </c>
      <c r="AP18" s="75">
        <f t="shared" si="24"/>
        <v>5.8415542383360934E-2</v>
      </c>
      <c r="AQ18" s="76">
        <f t="shared" si="25"/>
        <v>13823.463248723347</v>
      </c>
      <c r="AR18" s="90">
        <f t="shared" si="32"/>
        <v>1.2289999999993597</v>
      </c>
    </row>
    <row r="19" spans="1:49" x14ac:dyDescent="0.25">
      <c r="A19" t="str">
        <f t="shared" si="13"/>
        <v>46181E</v>
      </c>
      <c r="B19" s="51">
        <f t="shared" si="27"/>
        <v>46181</v>
      </c>
      <c r="C19" s="52" t="s">
        <v>88</v>
      </c>
      <c r="D19" s="91">
        <v>15075</v>
      </c>
      <c r="E19" s="62">
        <v>5.4</v>
      </c>
      <c r="F19" s="62">
        <v>8.4</v>
      </c>
      <c r="G19" s="62">
        <f t="shared" si="28"/>
        <v>814.05000000000007</v>
      </c>
      <c r="H19" s="72">
        <f t="shared" si="29"/>
        <v>1266.3000000000002</v>
      </c>
      <c r="I19" s="123">
        <v>4302.8999999999996</v>
      </c>
      <c r="J19" s="120">
        <v>4431.9870000000001</v>
      </c>
      <c r="K19" s="121">
        <v>4.1937809384368689</v>
      </c>
      <c r="L19" s="122">
        <v>8.2003741662599676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4431.9870000000001</v>
      </c>
      <c r="S19" s="62">
        <f t="shared" si="15"/>
        <v>185.86782600000004</v>
      </c>
      <c r="T19" s="63">
        <f t="shared" si="16"/>
        <v>363.43951700000014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7"/>
        <v>0</v>
      </c>
      <c r="AB19" s="63">
        <f t="shared" si="18"/>
        <v>0</v>
      </c>
      <c r="AC19" s="69"/>
      <c r="AD19" s="70"/>
      <c r="AE19" s="70"/>
      <c r="AF19" s="62">
        <f t="shared" si="19"/>
        <v>0</v>
      </c>
      <c r="AG19" s="63">
        <f t="shared" si="20"/>
        <v>0</v>
      </c>
      <c r="AH19" s="89">
        <v>19508</v>
      </c>
      <c r="AI19" s="66">
        <v>5.4</v>
      </c>
      <c r="AJ19" s="66">
        <v>8.4</v>
      </c>
      <c r="AK19" s="62">
        <f t="shared" si="21"/>
        <v>1053.432</v>
      </c>
      <c r="AL19" s="72">
        <f t="shared" si="22"/>
        <v>1638.672</v>
      </c>
      <c r="AM19" s="73">
        <f t="shared" si="23"/>
        <v>-1.0129999999990105</v>
      </c>
      <c r="AN19" s="74">
        <f t="shared" si="30"/>
        <v>-53.514173999999912</v>
      </c>
      <c r="AO19" s="74">
        <f t="shared" si="31"/>
        <v>-8.9324829999995927</v>
      </c>
      <c r="AP19" s="75">
        <f t="shared" si="24"/>
        <v>-0.11368254547436386</v>
      </c>
      <c r="AQ19" s="76">
        <f t="shared" si="25"/>
        <v>-26696.301812693171</v>
      </c>
      <c r="AR19" s="90">
        <f t="shared" si="32"/>
        <v>-1.0129999999990105</v>
      </c>
    </row>
    <row r="20" spans="1:49" x14ac:dyDescent="0.25">
      <c r="A20" t="str">
        <f t="shared" si="13"/>
        <v>46182M</v>
      </c>
      <c r="B20" s="51">
        <f t="shared" si="27"/>
        <v>46182</v>
      </c>
      <c r="C20" s="52" t="s">
        <v>87</v>
      </c>
      <c r="D20" s="91">
        <v>19508</v>
      </c>
      <c r="E20" s="62">
        <v>5.4</v>
      </c>
      <c r="F20" s="62">
        <v>8.4</v>
      </c>
      <c r="G20" s="62">
        <f t="shared" si="28"/>
        <v>1053.432</v>
      </c>
      <c r="H20" s="72">
        <f t="shared" si="29"/>
        <v>1638.672</v>
      </c>
      <c r="I20" s="123">
        <v>4980.8999999999996</v>
      </c>
      <c r="J20" s="120">
        <v>5130.3269999999993</v>
      </c>
      <c r="K20" s="121">
        <v>4.6058864863779636</v>
      </c>
      <c r="L20" s="122">
        <v>8.2640185508643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5130.3269999999993</v>
      </c>
      <c r="S20" s="62">
        <f t="shared" si="15"/>
        <v>236.29703799999996</v>
      </c>
      <c r="T20" s="63">
        <f t="shared" si="16"/>
        <v>423.97117499999985</v>
      </c>
      <c r="U20" s="64" t="s">
        <v>323</v>
      </c>
      <c r="V20" s="65" t="s">
        <v>491</v>
      </c>
      <c r="W20" s="66" t="s">
        <v>208</v>
      </c>
      <c r="X20" s="67">
        <v>6550</v>
      </c>
      <c r="Y20" s="68">
        <v>4.5</v>
      </c>
      <c r="Z20" s="68">
        <v>8.2200000000000006</v>
      </c>
      <c r="AA20" s="62">
        <f t="shared" si="17"/>
        <v>294.75</v>
      </c>
      <c r="AB20" s="63">
        <f t="shared" si="18"/>
        <v>538.41000000000008</v>
      </c>
      <c r="AC20" s="69">
        <v>6540</v>
      </c>
      <c r="AD20" s="70">
        <v>4.3972477064220179</v>
      </c>
      <c r="AE20" s="70">
        <v>8.0798165137614664</v>
      </c>
      <c r="AF20" s="62">
        <f t="shared" si="19"/>
        <v>287.58</v>
      </c>
      <c r="AG20" s="63">
        <f t="shared" si="20"/>
        <v>528.41999999999985</v>
      </c>
      <c r="AH20" s="89">
        <v>18086</v>
      </c>
      <c r="AI20" s="66">
        <v>5.4</v>
      </c>
      <c r="AJ20" s="66">
        <v>8.4</v>
      </c>
      <c r="AK20" s="62">
        <f t="shared" si="21"/>
        <v>976.64400000000012</v>
      </c>
      <c r="AL20" s="72">
        <f t="shared" si="22"/>
        <v>1519.2240000000002</v>
      </c>
      <c r="AM20" s="73">
        <f t="shared" si="23"/>
        <v>12.326999999997497</v>
      </c>
      <c r="AN20" s="74">
        <f t="shared" si="30"/>
        <v>25.5050379999999</v>
      </c>
      <c r="AO20" s="74">
        <f t="shared" si="31"/>
        <v>14.999174999999696</v>
      </c>
      <c r="AP20" s="75">
        <f t="shared" si="24"/>
        <v>6.1345090074780874E-2</v>
      </c>
      <c r="AQ20" s="76">
        <f t="shared" si="25"/>
        <v>15938.319708079865</v>
      </c>
      <c r="AR20" s="90">
        <f t="shared" si="32"/>
        <v>2.3269999999974971</v>
      </c>
    </row>
    <row r="21" spans="1:49" x14ac:dyDescent="0.25">
      <c r="A21" t="str">
        <f t="shared" si="13"/>
        <v>46182E</v>
      </c>
      <c r="B21" s="51">
        <f t="shared" si="27"/>
        <v>46182</v>
      </c>
      <c r="C21" s="52" t="s">
        <v>88</v>
      </c>
      <c r="D21" s="91">
        <v>18086</v>
      </c>
      <c r="E21" s="62">
        <v>5.4</v>
      </c>
      <c r="F21" s="62">
        <v>8.4</v>
      </c>
      <c r="G21" s="62">
        <f t="shared" si="28"/>
        <v>976.64400000000012</v>
      </c>
      <c r="H21" s="72">
        <f t="shared" si="29"/>
        <v>1519.2240000000002</v>
      </c>
      <c r="I21" s="123">
        <v>4119.2999999999993</v>
      </c>
      <c r="J21" s="120">
        <v>4242.878999999999</v>
      </c>
      <c r="K21" s="121">
        <v>4.1857839924258986</v>
      </c>
      <c r="L21" s="122">
        <v>8.2597067462918456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4242.878999999999</v>
      </c>
      <c r="S21" s="62">
        <f t="shared" si="15"/>
        <v>177.59774999999999</v>
      </c>
      <c r="T21" s="63">
        <f t="shared" si="16"/>
        <v>350.44936299999989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7"/>
        <v>0</v>
      </c>
      <c r="AB21" s="63">
        <f t="shared" si="18"/>
        <v>0</v>
      </c>
      <c r="AC21" s="69"/>
      <c r="AD21" s="70"/>
      <c r="AE21" s="70"/>
      <c r="AF21" s="62">
        <f t="shared" si="19"/>
        <v>0</v>
      </c>
      <c r="AG21" s="63">
        <f t="shared" si="20"/>
        <v>0</v>
      </c>
      <c r="AH21" s="89">
        <v>22329</v>
      </c>
      <c r="AI21" s="66">
        <v>5.4</v>
      </c>
      <c r="AJ21" s="66">
        <v>8.4</v>
      </c>
      <c r="AK21" s="62">
        <f t="shared" si="21"/>
        <v>1205.7660000000001</v>
      </c>
      <c r="AL21" s="72">
        <f t="shared" si="22"/>
        <v>1875.6360000000002</v>
      </c>
      <c r="AM21" s="73">
        <f t="shared" si="23"/>
        <v>-0.12099999999918509</v>
      </c>
      <c r="AN21" s="74">
        <f t="shared" si="30"/>
        <v>-51.524249999999938</v>
      </c>
      <c r="AO21" s="74">
        <f t="shared" si="31"/>
        <v>-5.9626370000000861</v>
      </c>
      <c r="AP21" s="75">
        <f t="shared" si="24"/>
        <v>-0.10886696581560525</v>
      </c>
      <c r="AQ21" s="76">
        <f t="shared" si="25"/>
        <v>-24914.209317946665</v>
      </c>
      <c r="AR21" s="90">
        <f t="shared" si="32"/>
        <v>-0.12099999999918509</v>
      </c>
    </row>
    <row r="22" spans="1:49" x14ac:dyDescent="0.25">
      <c r="A22" t="str">
        <f t="shared" si="13"/>
        <v>46183M</v>
      </c>
      <c r="B22" s="51">
        <f t="shared" si="27"/>
        <v>46183</v>
      </c>
      <c r="C22" s="52" t="s">
        <v>87</v>
      </c>
      <c r="D22" s="91">
        <v>22329</v>
      </c>
      <c r="E22" s="62">
        <v>5.4</v>
      </c>
      <c r="F22" s="62">
        <v>8.4</v>
      </c>
      <c r="G22" s="62">
        <f t="shared" si="28"/>
        <v>1205.7660000000001</v>
      </c>
      <c r="H22" s="72">
        <f t="shared" si="29"/>
        <v>1875.6360000000002</v>
      </c>
      <c r="I22" s="123">
        <v>4478.0999999999995</v>
      </c>
      <c r="J22" s="120">
        <v>4612.4429999999993</v>
      </c>
      <c r="K22" s="121">
        <v>4.6828230722851201</v>
      </c>
      <c r="L22" s="122">
        <v>8.3077309573256493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4612.4429999999993</v>
      </c>
      <c r="S22" s="62">
        <f t="shared" si="15"/>
        <v>215.99254499999992</v>
      </c>
      <c r="T22" s="63">
        <f t="shared" si="16"/>
        <v>383.18935499999981</v>
      </c>
      <c r="U22" s="64" t="s">
        <v>321</v>
      </c>
      <c r="V22" s="65" t="s">
        <v>492</v>
      </c>
      <c r="W22" s="66" t="s">
        <v>189</v>
      </c>
      <c r="X22" s="67">
        <v>6500</v>
      </c>
      <c r="Y22" s="68">
        <v>4.47</v>
      </c>
      <c r="Z22" s="68">
        <v>8.3000000000000007</v>
      </c>
      <c r="AA22" s="62">
        <f t="shared" si="17"/>
        <v>290.54999999999995</v>
      </c>
      <c r="AB22" s="63">
        <f t="shared" si="18"/>
        <v>539.5</v>
      </c>
      <c r="AC22" s="69">
        <v>6520</v>
      </c>
      <c r="AD22" s="70">
        <v>4.4345858895705526</v>
      </c>
      <c r="AE22" s="70">
        <v>8.2269171779141104</v>
      </c>
      <c r="AF22" s="62">
        <f t="shared" si="19"/>
        <v>289.13500000000005</v>
      </c>
      <c r="AG22" s="63">
        <f t="shared" si="20"/>
        <v>536.39499999999998</v>
      </c>
      <c r="AH22" s="89">
        <v>20440</v>
      </c>
      <c r="AI22" s="66">
        <v>5.4</v>
      </c>
      <c r="AJ22" s="66">
        <v>8.4</v>
      </c>
      <c r="AK22" s="62">
        <f t="shared" ref="AK22:AK50" si="33">AH22*AI22%</f>
        <v>1103.7600000000002</v>
      </c>
      <c r="AL22" s="72">
        <f t="shared" ref="AL22:AL65" si="34">AH22*AJ22%</f>
        <v>1716.96</v>
      </c>
      <c r="AM22" s="73">
        <f t="shared" si="23"/>
        <v>-18.557000000000698</v>
      </c>
      <c r="AN22" s="74">
        <f t="shared" si="30"/>
        <v>28.863544999999704</v>
      </c>
      <c r="AO22" s="74">
        <f t="shared" si="31"/>
        <v>5.4703549999999268</v>
      </c>
      <c r="AP22" s="75">
        <f t="shared" si="24"/>
        <v>5.730129698510527E-2</v>
      </c>
      <c r="AQ22" s="76">
        <f t="shared" si="25"/>
        <v>14594.265361316513</v>
      </c>
      <c r="AR22" s="90">
        <f>(D22+J22+O22)-(X22+AH22)</f>
        <v>1.4429999999993015</v>
      </c>
    </row>
    <row r="23" spans="1:49" x14ac:dyDescent="0.25">
      <c r="A23" t="str">
        <f t="shared" si="13"/>
        <v>46183E</v>
      </c>
      <c r="B23" s="51">
        <f t="shared" si="27"/>
        <v>46183</v>
      </c>
      <c r="C23" s="52" t="s">
        <v>88</v>
      </c>
      <c r="D23" s="91">
        <v>20440</v>
      </c>
      <c r="E23" s="62">
        <v>5.4</v>
      </c>
      <c r="F23" s="62">
        <v>8.4</v>
      </c>
      <c r="G23" s="62">
        <f t="shared" si="28"/>
        <v>1103.7600000000002</v>
      </c>
      <c r="H23" s="72">
        <f t="shared" si="29"/>
        <v>1716.96</v>
      </c>
      <c r="I23" s="123">
        <v>5307.9</v>
      </c>
      <c r="J23" s="120">
        <v>5467.1369999999997</v>
      </c>
      <c r="K23" s="121">
        <v>4.1239228320051229</v>
      </c>
      <c r="L23" s="122">
        <v>8.1716215452438838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5467.1369999999997</v>
      </c>
      <c r="S23" s="62">
        <f t="shared" si="15"/>
        <v>225.46051099999991</v>
      </c>
      <c r="T23" s="63">
        <f t="shared" si="16"/>
        <v>446.75374500000015</v>
      </c>
      <c r="U23" s="64" t="s">
        <v>323</v>
      </c>
      <c r="V23" s="65" t="s">
        <v>493</v>
      </c>
      <c r="W23" s="66" t="s">
        <v>208</v>
      </c>
      <c r="X23" s="67">
        <v>6550</v>
      </c>
      <c r="Y23" s="68">
        <v>4.63</v>
      </c>
      <c r="Z23" s="68">
        <v>8.24</v>
      </c>
      <c r="AA23" s="62">
        <f t="shared" si="17"/>
        <v>303.26499999999999</v>
      </c>
      <c r="AB23" s="63">
        <f t="shared" si="18"/>
        <v>539.72</v>
      </c>
      <c r="AC23" s="69">
        <v>6550</v>
      </c>
      <c r="AD23" s="70">
        <v>4.5806870229007632</v>
      </c>
      <c r="AE23" s="70">
        <v>8.1166259541984722</v>
      </c>
      <c r="AF23" s="62">
        <f t="shared" si="19"/>
        <v>300.03499999999997</v>
      </c>
      <c r="AG23" s="63">
        <f t="shared" si="20"/>
        <v>531.6389999999999</v>
      </c>
      <c r="AH23" s="89">
        <v>19357</v>
      </c>
      <c r="AI23" s="66">
        <v>5.4</v>
      </c>
      <c r="AJ23" s="66">
        <v>8.4</v>
      </c>
      <c r="AK23" s="62">
        <f t="shared" si="33"/>
        <v>1045.278</v>
      </c>
      <c r="AL23" s="72">
        <f t="shared" si="34"/>
        <v>1625.9880000000001</v>
      </c>
      <c r="AM23" s="73">
        <f t="shared" si="23"/>
        <v>0.13699999999880674</v>
      </c>
      <c r="AN23" s="74">
        <f t="shared" si="30"/>
        <v>-16.092488999999887</v>
      </c>
      <c r="AO23" s="74">
        <f t="shared" si="31"/>
        <v>6.0867450000000645</v>
      </c>
      <c r="AP23" s="75">
        <f t="shared" si="24"/>
        <v>-1.4884754244188211E-2</v>
      </c>
      <c r="AQ23" s="76">
        <f t="shared" si="25"/>
        <v>-5402.47877168993</v>
      </c>
      <c r="AR23" s="90">
        <f t="shared" si="32"/>
        <v>0.13699999999880674</v>
      </c>
    </row>
    <row r="24" spans="1:49" x14ac:dyDescent="0.25">
      <c r="A24" t="str">
        <f t="shared" si="13"/>
        <v>46184M</v>
      </c>
      <c r="B24" s="51">
        <f t="shared" si="27"/>
        <v>46184</v>
      </c>
      <c r="C24" s="52" t="s">
        <v>87</v>
      </c>
      <c r="D24" s="91">
        <v>19357</v>
      </c>
      <c r="E24" s="62">
        <v>5.4</v>
      </c>
      <c r="F24" s="62">
        <v>8.4</v>
      </c>
      <c r="G24" s="62">
        <f t="shared" si="28"/>
        <v>1045.278</v>
      </c>
      <c r="H24" s="72">
        <f t="shared" si="29"/>
        <v>1625.9880000000001</v>
      </c>
      <c r="I24" s="123">
        <v>5442.2000000000007</v>
      </c>
      <c r="J24" s="120">
        <v>5605.4660000000013</v>
      </c>
      <c r="K24" s="121">
        <v>4.6615008636213293</v>
      </c>
      <c r="L24" s="122">
        <v>8.2781999926500323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5605.4660000000013</v>
      </c>
      <c r="S24" s="62">
        <f t="shared" si="15"/>
        <v>261.29884600000003</v>
      </c>
      <c r="T24" s="63">
        <f t="shared" si="16"/>
        <v>464.03168600000015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7"/>
        <v>0</v>
      </c>
      <c r="AB24" s="63">
        <f t="shared" si="18"/>
        <v>0</v>
      </c>
      <c r="AC24" s="69"/>
      <c r="AD24" s="70"/>
      <c r="AE24" s="70"/>
      <c r="AF24" s="62">
        <f t="shared" si="19"/>
        <v>0</v>
      </c>
      <c r="AG24" s="63">
        <f t="shared" si="20"/>
        <v>0</v>
      </c>
      <c r="AH24" s="89">
        <v>24962</v>
      </c>
      <c r="AI24" s="66">
        <v>5.4</v>
      </c>
      <c r="AJ24" s="66">
        <v>8.4</v>
      </c>
      <c r="AK24" s="62">
        <f t="shared" si="33"/>
        <v>1347.9480000000001</v>
      </c>
      <c r="AL24" s="72">
        <f t="shared" si="34"/>
        <v>2096.808</v>
      </c>
      <c r="AM24" s="73">
        <f t="shared" si="23"/>
        <v>0.46600000000034925</v>
      </c>
      <c r="AN24" s="74">
        <f t="shared" si="30"/>
        <v>-41.371154000000161</v>
      </c>
      <c r="AO24" s="74">
        <f t="shared" si="31"/>
        <v>-6.7883139999999003</v>
      </c>
      <c r="AP24" s="75">
        <f t="shared" si="24"/>
        <v>-6.6396581800033827E-2</v>
      </c>
      <c r="AQ24" s="76">
        <f t="shared" si="25"/>
        <v>-20603.486100633378</v>
      </c>
      <c r="AR24" s="90">
        <f t="shared" ref="AR24:AR30" si="35">(D24+J24+O24)-(X24+AH24)</f>
        <v>0.46600000000034925</v>
      </c>
    </row>
    <row r="25" spans="1:49" x14ac:dyDescent="0.25">
      <c r="A25" t="str">
        <f t="shared" si="13"/>
        <v>46184E</v>
      </c>
      <c r="B25" s="51">
        <f t="shared" si="27"/>
        <v>46184</v>
      </c>
      <c r="C25" s="52" t="s">
        <v>88</v>
      </c>
      <c r="D25" s="91">
        <v>24962</v>
      </c>
      <c r="E25" s="62">
        <v>5.4</v>
      </c>
      <c r="F25" s="62">
        <v>8.4</v>
      </c>
      <c r="G25" s="62">
        <f t="shared" si="28"/>
        <v>1347.9480000000001</v>
      </c>
      <c r="H25" s="72">
        <f t="shared" si="29"/>
        <v>2096.808</v>
      </c>
      <c r="I25" s="123">
        <v>2141.2000000000003</v>
      </c>
      <c r="J25" s="120">
        <v>2205.4360000000001</v>
      </c>
      <c r="K25" s="121">
        <v>4.1010648234634797</v>
      </c>
      <c r="L25" s="122">
        <v>8.2344713244909382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2205.4360000000001</v>
      </c>
      <c r="S25" s="62">
        <f t="shared" si="15"/>
        <v>90.446360000000027</v>
      </c>
      <c r="T25" s="63">
        <f t="shared" si="16"/>
        <v>181.60599499999998</v>
      </c>
      <c r="U25" s="64" t="s">
        <v>323</v>
      </c>
      <c r="V25" s="65" t="s">
        <v>494</v>
      </c>
      <c r="W25" s="66" t="s">
        <v>208</v>
      </c>
      <c r="X25" s="67">
        <v>6550</v>
      </c>
      <c r="Y25" s="68">
        <v>4.66</v>
      </c>
      <c r="Z25" s="68">
        <v>8.1999999999999993</v>
      </c>
      <c r="AA25" s="62">
        <f t="shared" si="17"/>
        <v>305.23</v>
      </c>
      <c r="AB25" s="63">
        <f t="shared" si="18"/>
        <v>537.09999999999991</v>
      </c>
      <c r="AC25" s="69">
        <v>6540</v>
      </c>
      <c r="AD25" s="70">
        <v>4.5972477064220172</v>
      </c>
      <c r="AE25" s="70">
        <v>8.1198165137614673</v>
      </c>
      <c r="AF25" s="62">
        <f t="shared" si="19"/>
        <v>300.65999999999991</v>
      </c>
      <c r="AG25" s="63">
        <f t="shared" si="20"/>
        <v>531.03599999999994</v>
      </c>
      <c r="AH25" s="89">
        <v>20490</v>
      </c>
      <c r="AI25" s="66">
        <v>5.4</v>
      </c>
      <c r="AJ25" s="66">
        <v>8.4</v>
      </c>
      <c r="AK25" s="62">
        <f t="shared" si="33"/>
        <v>1106.46</v>
      </c>
      <c r="AL25" s="72">
        <f t="shared" si="34"/>
        <v>1721.16</v>
      </c>
      <c r="AM25" s="73">
        <f t="shared" si="23"/>
        <v>137.43600000000151</v>
      </c>
      <c r="AN25" s="74">
        <f t="shared" si="30"/>
        <v>31.274360000000343</v>
      </c>
      <c r="AO25" s="74">
        <f t="shared" si="31"/>
        <v>26.217994999999746</v>
      </c>
      <c r="AP25" s="75">
        <f t="shared" si="24"/>
        <v>0.21132827539757956</v>
      </c>
      <c r="AQ25" s="76">
        <f t="shared" si="25"/>
        <v>21885.719704566749</v>
      </c>
      <c r="AR25" s="90">
        <f t="shared" si="35"/>
        <v>127.43600000000151</v>
      </c>
    </row>
    <row r="26" spans="1:49" x14ac:dyDescent="0.25">
      <c r="A26" t="str">
        <f t="shared" si="13"/>
        <v>46185M</v>
      </c>
      <c r="B26" s="51">
        <f t="shared" si="27"/>
        <v>46185</v>
      </c>
      <c r="C26" s="52" t="s">
        <v>87</v>
      </c>
      <c r="D26" s="91">
        <v>20490</v>
      </c>
      <c r="E26" s="62">
        <v>5.4</v>
      </c>
      <c r="F26" s="62">
        <v>8.4</v>
      </c>
      <c r="G26" s="62">
        <f t="shared" si="28"/>
        <v>1106.46</v>
      </c>
      <c r="H26" s="72">
        <f t="shared" si="29"/>
        <v>1721.16</v>
      </c>
      <c r="I26" s="123">
        <v>4560.6999999999989</v>
      </c>
      <c r="J26" s="120">
        <v>4697.5209999999988</v>
      </c>
      <c r="K26" s="121">
        <v>4.6995636634727118</v>
      </c>
      <c r="L26" s="122">
        <v>8.3547108996425994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4697.5209999999988</v>
      </c>
      <c r="S26" s="62">
        <f t="shared" si="15"/>
        <v>220.76298999999992</v>
      </c>
      <c r="T26" s="63">
        <f t="shared" si="16"/>
        <v>392.46429899999993</v>
      </c>
      <c r="U26" s="64" t="s">
        <v>321</v>
      </c>
      <c r="V26" s="65" t="s">
        <v>555</v>
      </c>
      <c r="W26" s="66" t="s">
        <v>189</v>
      </c>
      <c r="X26" s="67">
        <v>6500</v>
      </c>
      <c r="Y26" s="68">
        <v>4.33</v>
      </c>
      <c r="Z26" s="68">
        <v>8.3800000000000008</v>
      </c>
      <c r="AA26" s="62">
        <f t="shared" si="17"/>
        <v>281.45</v>
      </c>
      <c r="AB26" s="63">
        <f t="shared" si="18"/>
        <v>544.70000000000005</v>
      </c>
      <c r="AC26" s="69">
        <v>6510</v>
      </c>
      <c r="AD26" s="70">
        <v>4.2807219662058378</v>
      </c>
      <c r="AE26" s="70">
        <v>8.3077112135176652</v>
      </c>
      <c r="AF26" s="62">
        <f t="shared" si="19"/>
        <v>278.67500000000007</v>
      </c>
      <c r="AG26" s="63">
        <f t="shared" si="20"/>
        <v>540.83199999999999</v>
      </c>
      <c r="AH26" s="89">
        <v>18687</v>
      </c>
      <c r="AI26" s="66">
        <v>5.4</v>
      </c>
      <c r="AJ26" s="66">
        <v>8.4</v>
      </c>
      <c r="AK26" s="62">
        <f t="shared" si="33"/>
        <v>1009.0980000000001</v>
      </c>
      <c r="AL26" s="72">
        <f t="shared" si="34"/>
        <v>1569.7080000000001</v>
      </c>
      <c r="AM26" s="73">
        <f t="shared" si="23"/>
        <v>-9.4789999999993597</v>
      </c>
      <c r="AN26" s="74">
        <f t="shared" si="30"/>
        <v>39.449989999999957</v>
      </c>
      <c r="AO26" s="74">
        <f t="shared" si="31"/>
        <v>3.0842990000001009</v>
      </c>
      <c r="AP26" s="75">
        <f t="shared" si="24"/>
        <v>6.9361376708074171E-2</v>
      </c>
      <c r="AQ26" s="76">
        <f t="shared" si="25"/>
        <v>18632.543453626677</v>
      </c>
      <c r="AR26" s="90">
        <f t="shared" si="35"/>
        <v>0.52100000000064028</v>
      </c>
    </row>
    <row r="27" spans="1:49" x14ac:dyDescent="0.25">
      <c r="A27" t="str">
        <f t="shared" si="13"/>
        <v>46185E</v>
      </c>
      <c r="B27" s="51">
        <f t="shared" si="27"/>
        <v>46185</v>
      </c>
      <c r="C27" s="52" t="s">
        <v>88</v>
      </c>
      <c r="D27" s="91">
        <v>18687</v>
      </c>
      <c r="E27" s="62">
        <v>5.4</v>
      </c>
      <c r="F27" s="62">
        <v>8.4</v>
      </c>
      <c r="G27" s="62">
        <f t="shared" si="28"/>
        <v>1009.0980000000001</v>
      </c>
      <c r="H27" s="72">
        <f t="shared" si="29"/>
        <v>1569.7080000000001</v>
      </c>
      <c r="I27" s="123">
        <v>4658.3000000000011</v>
      </c>
      <c r="J27" s="120">
        <v>4798.0490000000009</v>
      </c>
      <c r="K27" s="121">
        <v>4.2136788098662601</v>
      </c>
      <c r="L27" s="122">
        <v>8.250844728763715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4798.0490000000009</v>
      </c>
      <c r="S27" s="62">
        <f t="shared" si="15"/>
        <v>202.17437400000003</v>
      </c>
      <c r="T27" s="63">
        <f t="shared" si="16"/>
        <v>395.87957300000022</v>
      </c>
      <c r="U27" s="64" t="s">
        <v>323</v>
      </c>
      <c r="V27" s="65" t="s">
        <v>556</v>
      </c>
      <c r="W27" s="66" t="s">
        <v>208</v>
      </c>
      <c r="X27" s="67">
        <v>6550</v>
      </c>
      <c r="Y27" s="68">
        <v>4.76</v>
      </c>
      <c r="Z27" s="68">
        <v>8.27</v>
      </c>
      <c r="AA27" s="62">
        <f t="shared" si="17"/>
        <v>311.77999999999997</v>
      </c>
      <c r="AB27" s="63">
        <f t="shared" si="18"/>
        <v>541.68499999999995</v>
      </c>
      <c r="AC27" s="69">
        <v>6530</v>
      </c>
      <c r="AD27" s="70">
        <v>4.6304747320061255</v>
      </c>
      <c r="AE27" s="70">
        <v>8.2060949464012243</v>
      </c>
      <c r="AF27" s="62">
        <f t="shared" si="19"/>
        <v>302.37</v>
      </c>
      <c r="AG27" s="63">
        <f t="shared" si="20"/>
        <v>535.85799999999995</v>
      </c>
      <c r="AH27" s="89">
        <v>16934</v>
      </c>
      <c r="AI27" s="66">
        <v>5.4</v>
      </c>
      <c r="AJ27" s="66">
        <v>8.4</v>
      </c>
      <c r="AK27" s="62">
        <f t="shared" si="33"/>
        <v>914.43600000000015</v>
      </c>
      <c r="AL27" s="72">
        <f t="shared" si="34"/>
        <v>1422.4560000000001</v>
      </c>
      <c r="AM27" s="73">
        <f t="shared" si="23"/>
        <v>21.048999999999069</v>
      </c>
      <c r="AN27" s="74">
        <f t="shared" si="30"/>
        <v>-5.5336260000000266</v>
      </c>
      <c r="AO27" s="74">
        <f t="shared" si="31"/>
        <v>7.2735730000001695</v>
      </c>
      <c r="AP27" s="75">
        <f t="shared" si="24"/>
        <v>2.9093479087098847E-3</v>
      </c>
      <c r="AQ27" s="76">
        <f t="shared" si="25"/>
        <v>-307.31361070662751</v>
      </c>
      <c r="AR27" s="90">
        <f t="shared" si="35"/>
        <v>1.0489999999990687</v>
      </c>
      <c r="AS27" s="90">
        <f>SUM(J14:J27)</f>
        <v>64176.004000000001</v>
      </c>
      <c r="AT27" s="83">
        <f>SUM(AM14:AM27)</f>
        <v>144.00399999999718</v>
      </c>
      <c r="AU27" s="83">
        <f>SUM(AN14:AN27)</f>
        <v>-0.15888099999972383</v>
      </c>
      <c r="AV27" s="83">
        <f>SUM(AO14:AO27)</f>
        <v>63.335816000000477</v>
      </c>
      <c r="AW27" s="83">
        <f>-SUM(AQ14:AQ27)</f>
        <v>-18883.397503996934</v>
      </c>
    </row>
    <row r="28" spans="1:49" x14ac:dyDescent="0.25">
      <c r="A28" t="str">
        <f t="shared" si="13"/>
        <v>46186M</v>
      </c>
      <c r="B28" s="51">
        <f t="shared" si="27"/>
        <v>46186</v>
      </c>
      <c r="C28" s="52" t="s">
        <v>87</v>
      </c>
      <c r="D28" s="91">
        <v>16934</v>
      </c>
      <c r="E28" s="62">
        <v>5.4</v>
      </c>
      <c r="F28" s="62">
        <v>8.4</v>
      </c>
      <c r="G28" s="62">
        <f t="shared" si="28"/>
        <v>914.43600000000015</v>
      </c>
      <c r="H28" s="72">
        <f t="shared" si="29"/>
        <v>1422.4560000000001</v>
      </c>
      <c r="I28" s="123">
        <v>4529.3999999999996</v>
      </c>
      <c r="J28" s="120">
        <v>4665.2820000000002</v>
      </c>
      <c r="K28" s="121">
        <v>4.5767563032631253</v>
      </c>
      <c r="L28" s="122">
        <v>8.3143396476354496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4665.2820000000002</v>
      </c>
      <c r="S28" s="62">
        <f t="shared" si="15"/>
        <v>213.51858800000002</v>
      </c>
      <c r="T28" s="63">
        <f t="shared" si="16"/>
        <v>387.88739100000004</v>
      </c>
      <c r="U28" s="64" t="s">
        <v>187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7"/>
        <v>0</v>
      </c>
      <c r="AB28" s="63">
        <f t="shared" si="18"/>
        <v>0</v>
      </c>
      <c r="AC28" s="69"/>
      <c r="AD28" s="70"/>
      <c r="AE28" s="70"/>
      <c r="AF28" s="62">
        <f t="shared" si="19"/>
        <v>0</v>
      </c>
      <c r="AG28" s="63">
        <f t="shared" si="20"/>
        <v>0</v>
      </c>
      <c r="AH28" s="89">
        <v>21598</v>
      </c>
      <c r="AI28" s="66">
        <v>5.4</v>
      </c>
      <c r="AJ28" s="66">
        <v>8.4</v>
      </c>
      <c r="AK28" s="62">
        <f t="shared" si="33"/>
        <v>1166.2920000000001</v>
      </c>
      <c r="AL28" s="72">
        <f t="shared" si="34"/>
        <v>1814.2320000000002</v>
      </c>
      <c r="AM28" s="73">
        <f t="shared" si="23"/>
        <v>1.2819999999992433</v>
      </c>
      <c r="AN28" s="74">
        <f t="shared" si="30"/>
        <v>-38.337412000000086</v>
      </c>
      <c r="AO28" s="74">
        <f t="shared" si="31"/>
        <v>-3.8886090000000877</v>
      </c>
      <c r="AP28" s="75">
        <f t="shared" si="24"/>
        <v>-7.0212173597296687E-2</v>
      </c>
      <c r="AQ28" s="76">
        <f t="shared" si="25"/>
        <v>-18373.804598380066</v>
      </c>
      <c r="AR28" s="90">
        <f t="shared" si="35"/>
        <v>1.2819999999992433</v>
      </c>
    </row>
    <row r="29" spans="1:49" x14ac:dyDescent="0.25">
      <c r="A29" t="str">
        <f t="shared" si="13"/>
        <v>46186E</v>
      </c>
      <c r="B29" s="51">
        <f t="shared" si="27"/>
        <v>46186</v>
      </c>
      <c r="C29" s="52" t="s">
        <v>88</v>
      </c>
      <c r="D29" s="91">
        <v>21598</v>
      </c>
      <c r="E29" s="62">
        <v>5.4</v>
      </c>
      <c r="F29" s="62">
        <v>8.4</v>
      </c>
      <c r="G29" s="62">
        <f t="shared" si="28"/>
        <v>1166.2920000000001</v>
      </c>
      <c r="H29" s="72">
        <f t="shared" si="29"/>
        <v>1814.2320000000002</v>
      </c>
      <c r="I29" s="123">
        <v>4038.8999999999992</v>
      </c>
      <c r="J29" s="120">
        <v>4160.0669999999991</v>
      </c>
      <c r="K29" s="121">
        <v>4.1857312634628228</v>
      </c>
      <c r="L29" s="122">
        <v>8.2820421401866842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4160.0669999999991</v>
      </c>
      <c r="S29" s="62">
        <f t="shared" si="15"/>
        <v>174.12922499999991</v>
      </c>
      <c r="T29" s="63">
        <f t="shared" si="16"/>
        <v>344.53850199999988</v>
      </c>
      <c r="U29" s="64" t="s">
        <v>321</v>
      </c>
      <c r="V29" s="65" t="s">
        <v>557</v>
      </c>
      <c r="W29" s="66" t="s">
        <v>189</v>
      </c>
      <c r="X29" s="67">
        <v>6500</v>
      </c>
      <c r="Y29" s="68">
        <v>4.47</v>
      </c>
      <c r="Z29" s="68">
        <v>8.3800000000000008</v>
      </c>
      <c r="AA29" s="62">
        <f t="shared" si="17"/>
        <v>290.54999999999995</v>
      </c>
      <c r="AB29" s="63">
        <f t="shared" si="18"/>
        <v>544.70000000000005</v>
      </c>
      <c r="AC29" s="69">
        <v>6520</v>
      </c>
      <c r="AD29" s="70">
        <v>4.3691717791411042</v>
      </c>
      <c r="AE29" s="70">
        <v>8.3023312883435558</v>
      </c>
      <c r="AF29" s="62">
        <f t="shared" si="19"/>
        <v>284.86999999999995</v>
      </c>
      <c r="AG29" s="63">
        <f t="shared" si="20"/>
        <v>541.3119999999999</v>
      </c>
      <c r="AH29" s="89">
        <v>19255</v>
      </c>
      <c r="AI29" s="66">
        <v>5.4</v>
      </c>
      <c r="AJ29" s="66">
        <v>8.4</v>
      </c>
      <c r="AK29" s="62">
        <f t="shared" si="33"/>
        <v>1039.7700000000002</v>
      </c>
      <c r="AL29" s="72">
        <f t="shared" si="34"/>
        <v>1617.42</v>
      </c>
      <c r="AM29" s="73">
        <f t="shared" ref="AM29" si="36">+D29+R29-AC29-AH29</f>
        <v>-16.933000000000902</v>
      </c>
      <c r="AN29" s="74">
        <f t="shared" ref="AN29" si="37">+G29+S29-AF29-AK29</f>
        <v>15.781224999999949</v>
      </c>
      <c r="AO29" s="74">
        <f t="shared" ref="AO29" si="38">+H29+T29-AG29-AL29</f>
        <v>3.8502000000335102E-2</v>
      </c>
      <c r="AP29" s="75">
        <f t="shared" ref="AP29" si="39">(AN29+AO29)/(S29+T29)</f>
        <v>3.0500696643499262E-2</v>
      </c>
      <c r="AQ29" s="76">
        <f t="shared" ref="AQ29" si="40">($AP$1*AN29+$AQ$1*AO29)</f>
        <v>7095.8723366300774</v>
      </c>
      <c r="AR29" s="90">
        <f t="shared" si="35"/>
        <v>3.0669999999990978</v>
      </c>
    </row>
    <row r="30" spans="1:49" x14ac:dyDescent="0.25">
      <c r="A30" t="str">
        <f t="shared" si="13"/>
        <v>46187M</v>
      </c>
      <c r="B30" s="51">
        <f t="shared" si="27"/>
        <v>46187</v>
      </c>
      <c r="C30" s="52" t="s">
        <v>87</v>
      </c>
      <c r="D30" s="91">
        <v>19255</v>
      </c>
      <c r="E30" s="62">
        <v>5.4</v>
      </c>
      <c r="F30" s="62">
        <v>8.4</v>
      </c>
      <c r="G30" s="62">
        <f t="shared" si="28"/>
        <v>1039.7700000000002</v>
      </c>
      <c r="H30" s="72">
        <f t="shared" si="29"/>
        <v>1617.42</v>
      </c>
      <c r="I30" s="123">
        <v>4538.2999999999984</v>
      </c>
      <c r="J30" s="120">
        <v>4674.4489999999987</v>
      </c>
      <c r="K30" s="121">
        <v>4.6826917568252409</v>
      </c>
      <c r="L30" s="122">
        <v>8.2768834144944101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4674.4489999999987</v>
      </c>
      <c r="S30" s="62">
        <f t="shared" si="15"/>
        <v>218.89003799999983</v>
      </c>
      <c r="T30" s="63">
        <f t="shared" si="16"/>
        <v>386.89869399999969</v>
      </c>
      <c r="U30" s="64" t="s">
        <v>323</v>
      </c>
      <c r="V30" s="65" t="s">
        <v>632</v>
      </c>
      <c r="W30" s="66" t="s">
        <v>208</v>
      </c>
      <c r="X30" s="67">
        <v>6550</v>
      </c>
      <c r="Y30" s="68">
        <v>4.45</v>
      </c>
      <c r="Z30" s="68">
        <v>8.31</v>
      </c>
      <c r="AA30" s="62">
        <f t="shared" si="17"/>
        <v>291.47500000000002</v>
      </c>
      <c r="AB30" s="63">
        <f t="shared" si="18"/>
        <v>544.30500000000006</v>
      </c>
      <c r="AC30" s="226">
        <v>6550</v>
      </c>
      <c r="AD30" s="227">
        <v>4.45</v>
      </c>
      <c r="AE30" s="227">
        <v>8.31</v>
      </c>
      <c r="AF30" s="62">
        <f t="shared" si="19"/>
        <v>291.47500000000002</v>
      </c>
      <c r="AG30" s="63">
        <f t="shared" si="20"/>
        <v>544.30500000000006</v>
      </c>
      <c r="AH30" s="89">
        <v>17379</v>
      </c>
      <c r="AI30" s="66">
        <v>5.4</v>
      </c>
      <c r="AJ30" s="66">
        <v>8.4</v>
      </c>
      <c r="AK30" s="62">
        <f t="shared" si="33"/>
        <v>938.46600000000012</v>
      </c>
      <c r="AL30" s="72">
        <f t="shared" si="34"/>
        <v>1459.836</v>
      </c>
      <c r="AM30" s="73">
        <f t="shared" si="23"/>
        <v>0.44900000000052387</v>
      </c>
      <c r="AN30" s="74">
        <f t="shared" si="30"/>
        <v>28.719037999999841</v>
      </c>
      <c r="AO30" s="74">
        <f t="shared" si="31"/>
        <v>0.17769399999974667</v>
      </c>
      <c r="AP30" s="75">
        <f t="shared" si="24"/>
        <v>4.770100609926764E-2</v>
      </c>
      <c r="AQ30" s="76">
        <f t="shared" si="25"/>
        <v>12945.442424273186</v>
      </c>
      <c r="AR30" s="90">
        <f t="shared" si="35"/>
        <v>0.44900000000052387</v>
      </c>
    </row>
    <row r="31" spans="1:49" x14ac:dyDescent="0.25">
      <c r="A31" t="str">
        <f t="shared" si="13"/>
        <v>46187E</v>
      </c>
      <c r="B31" s="51">
        <f t="shared" si="27"/>
        <v>46187</v>
      </c>
      <c r="C31" s="52" t="s">
        <v>88</v>
      </c>
      <c r="D31" s="91">
        <v>17379</v>
      </c>
      <c r="E31" s="62">
        <v>5.4</v>
      </c>
      <c r="F31" s="62">
        <v>8.4</v>
      </c>
      <c r="G31" s="62">
        <f t="shared" si="28"/>
        <v>938.46600000000012</v>
      </c>
      <c r="H31" s="72">
        <f t="shared" si="29"/>
        <v>1459.836</v>
      </c>
      <c r="I31" s="123">
        <v>4119.7999999999993</v>
      </c>
      <c r="J31" s="120">
        <v>4243.3939999999993</v>
      </c>
      <c r="K31" s="121">
        <v>4.2288436331860773</v>
      </c>
      <c r="L31" s="122">
        <v>8.258230982086511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4243.3939999999993</v>
      </c>
      <c r="S31" s="62">
        <f t="shared" si="15"/>
        <v>179.44649699999999</v>
      </c>
      <c r="T31" s="63">
        <f t="shared" si="16"/>
        <v>350.42927800000001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7"/>
        <v>0</v>
      </c>
      <c r="AB31" s="63">
        <f t="shared" si="18"/>
        <v>0</v>
      </c>
      <c r="AC31" s="69"/>
      <c r="AD31" s="70"/>
      <c r="AE31" s="70"/>
      <c r="AF31" s="62">
        <f t="shared" si="19"/>
        <v>0</v>
      </c>
      <c r="AG31" s="63">
        <f t="shared" si="20"/>
        <v>0</v>
      </c>
      <c r="AH31" s="89">
        <v>21622</v>
      </c>
      <c r="AI31" s="66">
        <v>5.4</v>
      </c>
      <c r="AJ31" s="66">
        <v>8.4</v>
      </c>
      <c r="AK31" s="62">
        <f t="shared" si="33"/>
        <v>1167.5880000000002</v>
      </c>
      <c r="AL31" s="72">
        <f t="shared" si="34"/>
        <v>1816.248</v>
      </c>
      <c r="AM31" s="73">
        <f t="shared" si="23"/>
        <v>0.39400000000023283</v>
      </c>
      <c r="AN31" s="74">
        <f t="shared" si="30"/>
        <v>-49.675503000000163</v>
      </c>
      <c r="AO31" s="74">
        <f t="shared" si="31"/>
        <v>-5.982721999999967</v>
      </c>
      <c r="AP31" s="75">
        <f t="shared" si="24"/>
        <v>-0.10504013888915781</v>
      </c>
      <c r="AQ31" s="76">
        <f t="shared" si="25"/>
        <v>-24090.299207076732</v>
      </c>
      <c r="AR31" s="90">
        <f>(D31+J31+O31)-(X31+AH31)</f>
        <v>0.39400000000023283</v>
      </c>
    </row>
    <row r="32" spans="1:49" x14ac:dyDescent="0.25">
      <c r="A32" t="str">
        <f t="shared" si="13"/>
        <v>46188M</v>
      </c>
      <c r="B32" s="51">
        <f t="shared" si="27"/>
        <v>46188</v>
      </c>
      <c r="C32" s="52" t="s">
        <v>87</v>
      </c>
      <c r="D32" s="91">
        <v>21622</v>
      </c>
      <c r="E32" s="62">
        <v>5.4</v>
      </c>
      <c r="F32" s="62">
        <v>8.4</v>
      </c>
      <c r="G32" s="62">
        <f t="shared" si="28"/>
        <v>1167.5880000000002</v>
      </c>
      <c r="H32" s="72">
        <f t="shared" si="29"/>
        <v>1816.248</v>
      </c>
      <c r="I32" s="123">
        <v>4354.5999999999995</v>
      </c>
      <c r="J32" s="120">
        <v>4485.2379999999994</v>
      </c>
      <c r="K32" s="121">
        <v>4.6850594773343115</v>
      </c>
      <c r="L32" s="122">
        <v>8.3335966564093109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4485.2379999999994</v>
      </c>
      <c r="S32" s="62">
        <f t="shared" si="15"/>
        <v>210.13606799999988</v>
      </c>
      <c r="T32" s="63">
        <f t="shared" si="16"/>
        <v>373.78164399999974</v>
      </c>
      <c r="U32" s="64" t="s">
        <v>321</v>
      </c>
      <c r="V32" s="65" t="s">
        <v>633</v>
      </c>
      <c r="W32" s="66" t="s">
        <v>189</v>
      </c>
      <c r="X32" s="67">
        <v>6500</v>
      </c>
      <c r="Y32" s="68">
        <v>4.26</v>
      </c>
      <c r="Z32" s="68">
        <v>8.34</v>
      </c>
      <c r="AA32" s="62">
        <f t="shared" si="17"/>
        <v>276.89999999999998</v>
      </c>
      <c r="AB32" s="63">
        <f t="shared" si="18"/>
        <v>542.1</v>
      </c>
      <c r="AC32" s="69">
        <v>6470</v>
      </c>
      <c r="AD32" s="70">
        <v>4.2102782071097362</v>
      </c>
      <c r="AE32" s="70">
        <v>8.2701391035548681</v>
      </c>
      <c r="AF32" s="62">
        <f t="shared" si="19"/>
        <v>272.40499999999992</v>
      </c>
      <c r="AG32" s="63">
        <f t="shared" si="20"/>
        <v>535.07799999999997</v>
      </c>
      <c r="AH32" s="89">
        <v>19607</v>
      </c>
      <c r="AI32" s="66">
        <v>5.4</v>
      </c>
      <c r="AJ32" s="66">
        <v>8.4</v>
      </c>
      <c r="AK32" s="62">
        <f t="shared" si="33"/>
        <v>1058.778</v>
      </c>
      <c r="AL32" s="72">
        <f t="shared" si="34"/>
        <v>1646.9880000000001</v>
      </c>
      <c r="AM32" s="73">
        <f t="shared" si="23"/>
        <v>30.237999999997555</v>
      </c>
      <c r="AN32" s="74">
        <f t="shared" si="30"/>
        <v>46.541067999999996</v>
      </c>
      <c r="AO32" s="74">
        <f t="shared" si="31"/>
        <v>7.9636439999997037</v>
      </c>
      <c r="AP32" s="75">
        <f t="shared" si="24"/>
        <v>9.3343138733218867E-2</v>
      </c>
      <c r="AQ32" s="76">
        <f t="shared" si="25"/>
        <v>23276.057121239912</v>
      </c>
      <c r="AR32" s="90">
        <f t="shared" si="32"/>
        <v>0.23799999999755528</v>
      </c>
    </row>
    <row r="33" spans="1:49" x14ac:dyDescent="0.25">
      <c r="A33" t="str">
        <f t="shared" si="13"/>
        <v>46188E</v>
      </c>
      <c r="B33" s="51">
        <f t="shared" si="27"/>
        <v>46188</v>
      </c>
      <c r="C33" s="52" t="s">
        <v>88</v>
      </c>
      <c r="D33" s="91">
        <v>19607</v>
      </c>
      <c r="E33" s="62">
        <v>5.4</v>
      </c>
      <c r="F33" s="62">
        <v>8.4</v>
      </c>
      <c r="G33" s="62">
        <f t="shared" si="28"/>
        <v>1058.778</v>
      </c>
      <c r="H33" s="72">
        <f t="shared" si="29"/>
        <v>1646.9880000000001</v>
      </c>
      <c r="I33" s="123">
        <v>4182.5</v>
      </c>
      <c r="J33" s="120">
        <v>4307.9750000000004</v>
      </c>
      <c r="K33" s="121">
        <v>4.1913161984459064</v>
      </c>
      <c r="L33" s="122">
        <v>8.2515122534369407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4307.9750000000004</v>
      </c>
      <c r="S33" s="62">
        <f t="shared" si="15"/>
        <v>180.56085400000006</v>
      </c>
      <c r="T33" s="63">
        <f t="shared" si="16"/>
        <v>355.47308500000008</v>
      </c>
      <c r="U33" s="64" t="s">
        <v>323</v>
      </c>
      <c r="V33" s="65" t="s">
        <v>634</v>
      </c>
      <c r="W33" s="66" t="s">
        <v>291</v>
      </c>
      <c r="X33" s="67">
        <v>6550</v>
      </c>
      <c r="Y33" s="68">
        <v>4.8499999999999996</v>
      </c>
      <c r="Z33" s="68">
        <v>8.3000000000000007</v>
      </c>
      <c r="AA33" s="62">
        <f t="shared" si="17"/>
        <v>317.67499999999995</v>
      </c>
      <c r="AB33" s="63">
        <f t="shared" si="18"/>
        <v>543.65</v>
      </c>
      <c r="AC33" s="226">
        <v>6550</v>
      </c>
      <c r="AD33" s="227">
        <v>4.8499999999999996</v>
      </c>
      <c r="AE33" s="227">
        <v>8.3000000000000007</v>
      </c>
      <c r="AF33" s="62">
        <f t="shared" si="19"/>
        <v>317.67499999999995</v>
      </c>
      <c r="AG33" s="63">
        <f t="shared" si="20"/>
        <v>543.65</v>
      </c>
      <c r="AH33" s="89">
        <v>17365</v>
      </c>
      <c r="AI33" s="66">
        <v>5.4</v>
      </c>
      <c r="AJ33" s="66">
        <v>8.4</v>
      </c>
      <c r="AK33" s="62">
        <f t="shared" si="33"/>
        <v>937.71000000000015</v>
      </c>
      <c r="AL33" s="72">
        <f t="shared" si="34"/>
        <v>1458.66</v>
      </c>
      <c r="AM33" s="73">
        <f t="shared" si="23"/>
        <v>-2.5000000001455192E-2</v>
      </c>
      <c r="AN33" s="74">
        <f t="shared" si="30"/>
        <v>-16.046146000000022</v>
      </c>
      <c r="AO33" s="74">
        <f t="shared" si="31"/>
        <v>0.15108500000019376</v>
      </c>
      <c r="AP33" s="75">
        <f t="shared" si="24"/>
        <v>-2.9653086947540878E-2</v>
      </c>
      <c r="AQ33" s="76">
        <f t="shared" si="25"/>
        <v>-7158.0596892932854</v>
      </c>
      <c r="AR33" s="90">
        <f t="shared" si="32"/>
        <v>-2.5000000001455192E-2</v>
      </c>
    </row>
    <row r="34" spans="1:49" x14ac:dyDescent="0.25">
      <c r="A34" t="str">
        <f t="shared" si="13"/>
        <v>46189M</v>
      </c>
      <c r="B34" s="51">
        <f t="shared" si="27"/>
        <v>46189</v>
      </c>
      <c r="C34" s="52" t="s">
        <v>87</v>
      </c>
      <c r="D34" s="91">
        <v>17365</v>
      </c>
      <c r="E34" s="62">
        <v>5.4</v>
      </c>
      <c r="F34" s="62">
        <v>8.4</v>
      </c>
      <c r="G34" s="62">
        <f t="shared" si="28"/>
        <v>937.71000000000015</v>
      </c>
      <c r="H34" s="72">
        <f t="shared" si="29"/>
        <v>1458.66</v>
      </c>
      <c r="I34" s="123">
        <v>4278.9000000000005</v>
      </c>
      <c r="J34" s="120">
        <v>4407.2670000000007</v>
      </c>
      <c r="K34" s="121">
        <v>4.6637991072471863</v>
      </c>
      <c r="L34" s="122">
        <v>8.3625908527892676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4407.2670000000007</v>
      </c>
      <c r="S34" s="62">
        <f t="shared" si="15"/>
        <v>205.54607899999991</v>
      </c>
      <c r="T34" s="63">
        <f t="shared" si="16"/>
        <v>368.56170700000001</v>
      </c>
      <c r="U34" s="64" t="s">
        <v>321</v>
      </c>
      <c r="V34" s="65" t="s">
        <v>635</v>
      </c>
      <c r="W34" s="66" t="s">
        <v>189</v>
      </c>
      <c r="X34" s="67">
        <v>6500</v>
      </c>
      <c r="Y34" s="68">
        <v>4.3600000000000003</v>
      </c>
      <c r="Z34" s="68">
        <v>8.33</v>
      </c>
      <c r="AA34" s="62">
        <f t="shared" si="17"/>
        <v>283.39999999999998</v>
      </c>
      <c r="AB34" s="63">
        <f t="shared" si="18"/>
        <v>541.45000000000005</v>
      </c>
      <c r="AC34" s="226">
        <v>6500</v>
      </c>
      <c r="AD34" s="227">
        <v>4.3600000000000003</v>
      </c>
      <c r="AE34" s="227">
        <v>8.33</v>
      </c>
      <c r="AF34" s="62">
        <f t="shared" si="19"/>
        <v>283.39999999999998</v>
      </c>
      <c r="AG34" s="63">
        <f t="shared" si="20"/>
        <v>541.45000000000005</v>
      </c>
      <c r="AH34" s="89">
        <v>15272</v>
      </c>
      <c r="AI34" s="66">
        <v>5.4</v>
      </c>
      <c r="AJ34" s="66">
        <v>8.4</v>
      </c>
      <c r="AK34" s="62">
        <f t="shared" si="33"/>
        <v>824.6880000000001</v>
      </c>
      <c r="AL34" s="72">
        <f t="shared" si="34"/>
        <v>1282.8480000000002</v>
      </c>
      <c r="AM34" s="73">
        <f t="shared" si="23"/>
        <v>0.26699999999982538</v>
      </c>
      <c r="AN34" s="74">
        <f t="shared" si="30"/>
        <v>35.168078999999921</v>
      </c>
      <c r="AO34" s="74">
        <f t="shared" si="31"/>
        <v>2.9237069999999221</v>
      </c>
      <c r="AP34" s="75">
        <f t="shared" si="24"/>
        <v>6.6349537367186739E-2</v>
      </c>
      <c r="AQ34" s="76">
        <f t="shared" si="25"/>
        <v>16662.289883469941</v>
      </c>
      <c r="AR34" s="90">
        <f t="shared" si="32"/>
        <v>0.26699999999982538</v>
      </c>
    </row>
    <row r="35" spans="1:49" x14ac:dyDescent="0.25">
      <c r="A35" t="str">
        <f t="shared" si="13"/>
        <v>46189E</v>
      </c>
      <c r="B35" s="51">
        <f t="shared" si="27"/>
        <v>46189</v>
      </c>
      <c r="C35" s="52" t="s">
        <v>88</v>
      </c>
      <c r="D35" s="91">
        <v>15272</v>
      </c>
      <c r="E35" s="62">
        <v>5.4</v>
      </c>
      <c r="F35" s="62">
        <v>8.4</v>
      </c>
      <c r="G35" s="62">
        <f t="shared" si="28"/>
        <v>824.6880000000001</v>
      </c>
      <c r="H35" s="72">
        <f t="shared" si="29"/>
        <v>1282.8480000000002</v>
      </c>
      <c r="I35" s="123">
        <v>4695.4000000000005</v>
      </c>
      <c r="J35" s="120">
        <v>4836.2620000000006</v>
      </c>
      <c r="K35" s="121">
        <v>4.2262640030668317</v>
      </c>
      <c r="L35" s="122">
        <v>8.2647186608169712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4836.2620000000006</v>
      </c>
      <c r="S35" s="62">
        <f t="shared" si="15"/>
        <v>204.39320000000006</v>
      </c>
      <c r="T35" s="63">
        <f t="shared" si="16"/>
        <v>399.70344800000009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7"/>
        <v>0</v>
      </c>
      <c r="AB35" s="63">
        <f t="shared" si="18"/>
        <v>0</v>
      </c>
      <c r="AC35" s="69"/>
      <c r="AD35" s="70"/>
      <c r="AE35" s="70"/>
      <c r="AF35" s="62">
        <f t="shared" si="19"/>
        <v>0</v>
      </c>
      <c r="AG35" s="63">
        <f t="shared" si="20"/>
        <v>0</v>
      </c>
      <c r="AH35" s="89">
        <v>20108</v>
      </c>
      <c r="AI35" s="66">
        <v>5.4</v>
      </c>
      <c r="AJ35" s="66">
        <v>8.4</v>
      </c>
      <c r="AK35" s="62">
        <f t="shared" si="33"/>
        <v>1085.8320000000001</v>
      </c>
      <c r="AL35" s="72">
        <f t="shared" si="34"/>
        <v>1689.0720000000001</v>
      </c>
      <c r="AM35" s="73">
        <f t="shared" si="23"/>
        <v>0.26200000000244472</v>
      </c>
      <c r="AN35" s="74">
        <f t="shared" si="30"/>
        <v>-56.750800000000027</v>
      </c>
      <c r="AO35" s="74">
        <f t="shared" si="31"/>
        <v>-6.5205519999999524</v>
      </c>
      <c r="AP35" s="75">
        <f t="shared" si="24"/>
        <v>-0.10473713471093446</v>
      </c>
      <c r="AQ35" s="76">
        <f t="shared" si="25"/>
        <v>-27427.428960213332</v>
      </c>
      <c r="AR35" s="90">
        <f t="shared" ref="AR35" si="41">(D35+J35+O35)-(X35+AH35)</f>
        <v>0.26200000000244472</v>
      </c>
    </row>
    <row r="36" spans="1:49" x14ac:dyDescent="0.25">
      <c r="A36" t="str">
        <f t="shared" si="13"/>
        <v>46190M</v>
      </c>
      <c r="B36" s="51">
        <f t="shared" si="27"/>
        <v>46190</v>
      </c>
      <c r="C36" s="52" t="s">
        <v>87</v>
      </c>
      <c r="D36" s="91">
        <v>20108</v>
      </c>
      <c r="E36" s="62">
        <v>5.4</v>
      </c>
      <c r="F36" s="62">
        <v>8.4</v>
      </c>
      <c r="G36" s="62">
        <f t="shared" si="28"/>
        <v>1085.8320000000001</v>
      </c>
      <c r="H36" s="72">
        <f t="shared" si="29"/>
        <v>1689.0720000000001</v>
      </c>
      <c r="I36" s="123">
        <v>5235</v>
      </c>
      <c r="J36" s="120">
        <v>5392.05</v>
      </c>
      <c r="K36" s="121">
        <v>4.5537440305635144</v>
      </c>
      <c r="L36" s="122">
        <v>8.284309455587394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5392.05</v>
      </c>
      <c r="S36" s="62">
        <f t="shared" si="15"/>
        <v>245.54015499999997</v>
      </c>
      <c r="T36" s="63">
        <f t="shared" si="16"/>
        <v>446.69410800000009</v>
      </c>
      <c r="U36" s="64" t="s">
        <v>323</v>
      </c>
      <c r="V36" s="85" t="s">
        <v>664</v>
      </c>
      <c r="W36" s="66" t="s">
        <v>208</v>
      </c>
      <c r="X36" s="67">
        <v>6550</v>
      </c>
      <c r="Y36" s="68">
        <v>4.53</v>
      </c>
      <c r="Z36" s="68">
        <v>8.1999999999999993</v>
      </c>
      <c r="AA36" s="62">
        <f t="shared" si="17"/>
        <v>296.71499999999997</v>
      </c>
      <c r="AB36" s="63">
        <f t="shared" si="18"/>
        <v>537.09999999999991</v>
      </c>
      <c r="AC36" s="226">
        <v>6550</v>
      </c>
      <c r="AD36" s="227">
        <v>4.53</v>
      </c>
      <c r="AE36" s="227">
        <v>8.1999999999999993</v>
      </c>
      <c r="AF36" s="62">
        <f t="shared" si="19"/>
        <v>296.71499999999997</v>
      </c>
      <c r="AG36" s="63">
        <f t="shared" si="20"/>
        <v>537.09999999999991</v>
      </c>
      <c r="AH36" s="89">
        <v>18950</v>
      </c>
      <c r="AI36" s="66">
        <v>5.4</v>
      </c>
      <c r="AJ36" s="66">
        <v>8.4</v>
      </c>
      <c r="AK36" s="62">
        <f t="shared" si="33"/>
        <v>1023.3000000000001</v>
      </c>
      <c r="AL36" s="72">
        <f t="shared" si="34"/>
        <v>1591.8000000000002</v>
      </c>
      <c r="AM36" s="73">
        <f t="shared" ref="AM36:AM49" si="42">+D36+R36-AC36-AH36</f>
        <v>4.9999999999272404E-2</v>
      </c>
      <c r="AN36" s="80">
        <f t="shared" ref="AN36:AN49" si="43">+G36+S36-AF36-AK36</f>
        <v>11.357155000000034</v>
      </c>
      <c r="AO36" s="80">
        <f t="shared" ref="AO36:AO49" si="44">+H36+T36-AG36-AL36</f>
        <v>6.8661080000001675</v>
      </c>
      <c r="AP36" s="75">
        <f t="shared" si="24"/>
        <v>2.6325283179460594E-2</v>
      </c>
      <c r="AQ36" s="76">
        <f t="shared" si="25"/>
        <v>7153.1834792367335</v>
      </c>
      <c r="AR36" s="90">
        <f t="shared" ref="AR36:AR49" si="45">(D36+J36+O36)-(X36+AH36)</f>
        <v>4.9999999999272404E-2</v>
      </c>
    </row>
    <row r="37" spans="1:49" x14ac:dyDescent="0.25">
      <c r="A37" t="str">
        <f t="shared" si="13"/>
        <v>46190E</v>
      </c>
      <c r="B37" s="51">
        <f t="shared" si="27"/>
        <v>46190</v>
      </c>
      <c r="C37" s="52" t="s">
        <v>88</v>
      </c>
      <c r="D37" s="91">
        <v>18950</v>
      </c>
      <c r="E37" s="62">
        <v>5.4</v>
      </c>
      <c r="F37" s="62">
        <v>8.4</v>
      </c>
      <c r="G37" s="62">
        <f t="shared" si="28"/>
        <v>1023.3000000000001</v>
      </c>
      <c r="H37" s="72">
        <f t="shared" si="29"/>
        <v>1591.8000000000002</v>
      </c>
      <c r="I37" s="123">
        <v>5223.8000000000011</v>
      </c>
      <c r="J37" s="120">
        <v>5380.514000000001</v>
      </c>
      <c r="K37" s="121">
        <v>4.1525020100310117</v>
      </c>
      <c r="L37" s="122">
        <v>8.2044067537042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5380.514000000001</v>
      </c>
      <c r="S37" s="62">
        <f t="shared" si="15"/>
        <v>223.42595200000002</v>
      </c>
      <c r="T37" s="63">
        <f t="shared" si="16"/>
        <v>441.43925400000012</v>
      </c>
      <c r="U37" s="64" t="s">
        <v>321</v>
      </c>
      <c r="V37" s="65" t="s">
        <v>665</v>
      </c>
      <c r="W37" s="66" t="s">
        <v>189</v>
      </c>
      <c r="X37" s="67">
        <v>6500</v>
      </c>
      <c r="Y37" s="68">
        <v>4.45</v>
      </c>
      <c r="Z37" s="68">
        <v>8.3699999999999992</v>
      </c>
      <c r="AA37" s="62">
        <f t="shared" si="17"/>
        <v>289.25000000000006</v>
      </c>
      <c r="AB37" s="63">
        <f t="shared" si="18"/>
        <v>544.04999999999995</v>
      </c>
      <c r="AC37" s="226">
        <v>6500</v>
      </c>
      <c r="AD37" s="227">
        <v>4.45</v>
      </c>
      <c r="AE37" s="227">
        <v>8.3699999999999992</v>
      </c>
      <c r="AF37" s="62">
        <f t="shared" si="19"/>
        <v>289.25000000000006</v>
      </c>
      <c r="AG37" s="63">
        <f t="shared" si="20"/>
        <v>544.04999999999995</v>
      </c>
      <c r="AH37" s="89">
        <v>17832</v>
      </c>
      <c r="AI37" s="66">
        <v>5.4</v>
      </c>
      <c r="AJ37" s="66">
        <v>8.4</v>
      </c>
      <c r="AK37" s="62">
        <f t="shared" si="33"/>
        <v>962.92800000000011</v>
      </c>
      <c r="AL37" s="72">
        <f t="shared" si="34"/>
        <v>1497.8880000000001</v>
      </c>
      <c r="AM37" s="73">
        <f t="shared" si="42"/>
        <v>-1.4859999999971478</v>
      </c>
      <c r="AN37" s="80">
        <f t="shared" si="43"/>
        <v>-5.4520480000001044</v>
      </c>
      <c r="AO37" s="80">
        <f t="shared" si="44"/>
        <v>-8.6987459999998009</v>
      </c>
      <c r="AP37" s="75">
        <f t="shared" si="24"/>
        <v>-2.1283703632401996E-2</v>
      </c>
      <c r="AQ37" s="76">
        <f t="shared" si="25"/>
        <v>-5050.7815789199885</v>
      </c>
      <c r="AR37" s="90">
        <f t="shared" si="45"/>
        <v>-1.4859999999971478</v>
      </c>
    </row>
    <row r="38" spans="1:49" x14ac:dyDescent="0.25">
      <c r="A38" t="str">
        <f t="shared" si="13"/>
        <v>46191M</v>
      </c>
      <c r="B38" s="51">
        <f t="shared" si="27"/>
        <v>46191</v>
      </c>
      <c r="C38" s="52" t="s">
        <v>87</v>
      </c>
      <c r="D38" s="91">
        <v>17832</v>
      </c>
      <c r="E38" s="62">
        <v>5.4</v>
      </c>
      <c r="F38" s="62">
        <v>8.4</v>
      </c>
      <c r="G38" s="62">
        <f t="shared" si="28"/>
        <v>962.92800000000011</v>
      </c>
      <c r="H38" s="72">
        <f t="shared" si="29"/>
        <v>1497.8880000000001</v>
      </c>
      <c r="I38" s="123">
        <v>5373.800000000002</v>
      </c>
      <c r="J38" s="120">
        <v>5535.0140000000019</v>
      </c>
      <c r="K38" s="121">
        <v>4.5505303509620756</v>
      </c>
      <c r="L38" s="122">
        <v>8.2991198034910099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5535.0140000000019</v>
      </c>
      <c r="S38" s="62">
        <f t="shared" si="15"/>
        <v>251.87249200000014</v>
      </c>
      <c r="T38" s="63">
        <f t="shared" si="16"/>
        <v>459.3574430000001</v>
      </c>
      <c r="U38" s="64" t="s">
        <v>323</v>
      </c>
      <c r="V38" s="65" t="s">
        <v>666</v>
      </c>
      <c r="W38" s="66" t="s">
        <v>208</v>
      </c>
      <c r="X38" s="67">
        <v>6550</v>
      </c>
      <c r="Y38" s="68">
        <v>4.68</v>
      </c>
      <c r="Z38" s="68">
        <v>8.25</v>
      </c>
      <c r="AA38" s="62">
        <f t="shared" si="17"/>
        <v>306.53999999999996</v>
      </c>
      <c r="AB38" s="63">
        <f t="shared" si="18"/>
        <v>540.375</v>
      </c>
      <c r="AC38" s="226">
        <v>6550</v>
      </c>
      <c r="AD38" s="227">
        <v>4.68</v>
      </c>
      <c r="AE38" s="227">
        <v>8.25</v>
      </c>
      <c r="AF38" s="62">
        <f t="shared" si="19"/>
        <v>306.53999999999996</v>
      </c>
      <c r="AG38" s="63">
        <f t="shared" si="20"/>
        <v>540.375</v>
      </c>
      <c r="AH38" s="89">
        <v>16816</v>
      </c>
      <c r="AI38" s="66">
        <v>5.4</v>
      </c>
      <c r="AJ38" s="66">
        <v>8.4</v>
      </c>
      <c r="AK38" s="62">
        <f t="shared" si="33"/>
        <v>908.06400000000008</v>
      </c>
      <c r="AL38" s="72">
        <f t="shared" si="34"/>
        <v>1412.5440000000001</v>
      </c>
      <c r="AM38" s="73">
        <f t="shared" si="42"/>
        <v>1.0140000000028522</v>
      </c>
      <c r="AN38" s="80">
        <f t="shared" si="43"/>
        <v>0.19649200000026212</v>
      </c>
      <c r="AO38" s="80">
        <f t="shared" si="44"/>
        <v>4.3264430000001539</v>
      </c>
      <c r="AP38" s="75">
        <f t="shared" si="24"/>
        <v>6.3593147271007568E-3</v>
      </c>
      <c r="AQ38" s="76">
        <f t="shared" si="25"/>
        <v>1382.9962418068308</v>
      </c>
      <c r="AR38" s="90">
        <f t="shared" si="45"/>
        <v>1.0140000000028522</v>
      </c>
    </row>
    <row r="39" spans="1:49" x14ac:dyDescent="0.25">
      <c r="A39" t="str">
        <f t="shared" si="13"/>
        <v>46191E</v>
      </c>
      <c r="B39" s="51">
        <f t="shared" si="27"/>
        <v>46191</v>
      </c>
      <c r="C39" s="52" t="s">
        <v>88</v>
      </c>
      <c r="D39" s="91">
        <v>16816</v>
      </c>
      <c r="E39" s="62">
        <v>5.4</v>
      </c>
      <c r="F39" s="62">
        <v>8.4</v>
      </c>
      <c r="G39" s="62">
        <f t="shared" si="28"/>
        <v>908.06400000000008</v>
      </c>
      <c r="H39" s="72">
        <f t="shared" si="29"/>
        <v>1412.5440000000001</v>
      </c>
      <c r="I39" s="123">
        <v>5631.3</v>
      </c>
      <c r="J39" s="120">
        <v>5800.2390000000005</v>
      </c>
      <c r="K39" s="121">
        <v>4.2491840250031077</v>
      </c>
      <c r="L39" s="122">
        <v>8.2454655230586198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5800.2390000000005</v>
      </c>
      <c r="S39" s="62">
        <f t="shared" si="15"/>
        <v>246.46282900000003</v>
      </c>
      <c r="T39" s="63">
        <f t="shared" si="16"/>
        <v>478.25670700000012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7"/>
        <v>0</v>
      </c>
      <c r="AB39" s="63">
        <f t="shared" si="18"/>
        <v>0</v>
      </c>
      <c r="AC39" s="69"/>
      <c r="AD39" s="70"/>
      <c r="AE39" s="70"/>
      <c r="AF39" s="62">
        <f t="shared" si="19"/>
        <v>0</v>
      </c>
      <c r="AG39" s="63">
        <f t="shared" si="20"/>
        <v>0</v>
      </c>
      <c r="AH39" s="89">
        <v>22590</v>
      </c>
      <c r="AI39" s="66">
        <v>5.4</v>
      </c>
      <c r="AJ39" s="66">
        <v>8.4</v>
      </c>
      <c r="AK39" s="62">
        <f t="shared" si="33"/>
        <v>1219.8600000000001</v>
      </c>
      <c r="AL39" s="72">
        <f t="shared" si="34"/>
        <v>1897.5600000000002</v>
      </c>
      <c r="AM39" s="73">
        <f t="shared" si="42"/>
        <v>26.239000000001397</v>
      </c>
      <c r="AN39" s="80">
        <f t="shared" si="43"/>
        <v>-65.333170999999993</v>
      </c>
      <c r="AO39" s="80">
        <f t="shared" si="44"/>
        <v>-6.7592929999998432</v>
      </c>
      <c r="AP39" s="75">
        <f t="shared" si="24"/>
        <v>-9.9476363501811021E-2</v>
      </c>
      <c r="AQ39" s="76">
        <f t="shared" si="25"/>
        <v>-31351.589940696616</v>
      </c>
      <c r="AR39" s="90">
        <f t="shared" si="45"/>
        <v>26.239000000001397</v>
      </c>
    </row>
    <row r="40" spans="1:49" x14ac:dyDescent="0.25">
      <c r="A40" t="str">
        <f t="shared" si="13"/>
        <v>46192M</v>
      </c>
      <c r="B40" s="51">
        <f t="shared" si="27"/>
        <v>46192</v>
      </c>
      <c r="C40" s="52" t="s">
        <v>87</v>
      </c>
      <c r="D40" s="91"/>
      <c r="E40" s="62"/>
      <c r="F40" s="62"/>
      <c r="G40" s="62">
        <f t="shared" si="28"/>
        <v>0</v>
      </c>
      <c r="H40" s="72">
        <f t="shared" si="29"/>
        <v>0</v>
      </c>
      <c r="I40" s="123"/>
      <c r="J40" s="120"/>
      <c r="K40" s="121"/>
      <c r="L40" s="122"/>
      <c r="M40" s="58"/>
      <c r="N40" s="58"/>
      <c r="O40" s="59"/>
      <c r="P40" s="56"/>
      <c r="Q40" s="60"/>
      <c r="R40" s="61">
        <f t="shared" si="14"/>
        <v>0</v>
      </c>
      <c r="S40" s="62">
        <f t="shared" si="15"/>
        <v>0</v>
      </c>
      <c r="T40" s="63">
        <f t="shared" si="16"/>
        <v>0</v>
      </c>
      <c r="U40" s="64"/>
      <c r="V40" s="65"/>
      <c r="W40" s="66"/>
      <c r="X40" s="67"/>
      <c r="Y40" s="68"/>
      <c r="Z40" s="68"/>
      <c r="AA40" s="62">
        <f t="shared" si="17"/>
        <v>0</v>
      </c>
      <c r="AB40" s="63">
        <f t="shared" si="18"/>
        <v>0</v>
      </c>
      <c r="AC40" s="69"/>
      <c r="AD40" s="70"/>
      <c r="AE40" s="70"/>
      <c r="AF40" s="62">
        <f t="shared" si="19"/>
        <v>0</v>
      </c>
      <c r="AG40" s="63">
        <f t="shared" si="20"/>
        <v>0</v>
      </c>
      <c r="AH40" s="89"/>
      <c r="AI40" s="66"/>
      <c r="AJ40" s="66"/>
      <c r="AK40" s="62">
        <f t="shared" si="33"/>
        <v>0</v>
      </c>
      <c r="AL40" s="72">
        <f t="shared" si="34"/>
        <v>0</v>
      </c>
      <c r="AM40" s="73">
        <f t="shared" si="42"/>
        <v>0</v>
      </c>
      <c r="AN40" s="80">
        <f t="shared" si="43"/>
        <v>0</v>
      </c>
      <c r="AO40" s="80">
        <f t="shared" si="44"/>
        <v>0</v>
      </c>
      <c r="AP40" s="75" t="e">
        <f t="shared" si="24"/>
        <v>#DIV/0!</v>
      </c>
      <c r="AQ40" s="76">
        <f t="shared" si="25"/>
        <v>0</v>
      </c>
      <c r="AR40" s="90">
        <f t="shared" si="45"/>
        <v>0</v>
      </c>
    </row>
    <row r="41" spans="1:49" x14ac:dyDescent="0.25">
      <c r="A41" t="str">
        <f t="shared" si="13"/>
        <v>46192E</v>
      </c>
      <c r="B41" s="51">
        <f t="shared" si="27"/>
        <v>46192</v>
      </c>
      <c r="C41" s="52" t="s">
        <v>88</v>
      </c>
      <c r="D41" s="91"/>
      <c r="E41" s="62"/>
      <c r="F41" s="62"/>
      <c r="G41" s="62">
        <f t="shared" si="28"/>
        <v>0</v>
      </c>
      <c r="H41" s="72">
        <f t="shared" si="29"/>
        <v>0</v>
      </c>
      <c r="I41" s="123"/>
      <c r="J41" s="120"/>
      <c r="K41" s="121"/>
      <c r="L41" s="122"/>
      <c r="M41" s="58"/>
      <c r="N41" s="58"/>
      <c r="O41" s="59"/>
      <c r="P41" s="56"/>
      <c r="Q41" s="60"/>
      <c r="R41" s="61">
        <f t="shared" si="14"/>
        <v>0</v>
      </c>
      <c r="S41" s="62">
        <f t="shared" si="15"/>
        <v>0</v>
      </c>
      <c r="T41" s="63">
        <f t="shared" si="16"/>
        <v>0</v>
      </c>
      <c r="U41" s="64"/>
      <c r="V41" s="65"/>
      <c r="W41" s="66"/>
      <c r="X41" s="67"/>
      <c r="Y41" s="68"/>
      <c r="Z41" s="68"/>
      <c r="AA41" s="62">
        <f t="shared" si="17"/>
        <v>0</v>
      </c>
      <c r="AB41" s="63">
        <f t="shared" si="18"/>
        <v>0</v>
      </c>
      <c r="AC41" s="69"/>
      <c r="AD41" s="70"/>
      <c r="AE41" s="70"/>
      <c r="AF41" s="62">
        <f t="shared" si="19"/>
        <v>0</v>
      </c>
      <c r="AG41" s="63">
        <f t="shared" si="20"/>
        <v>0</v>
      </c>
      <c r="AH41" s="89"/>
      <c r="AI41" s="66"/>
      <c r="AJ41" s="66"/>
      <c r="AK41" s="62">
        <f t="shared" si="33"/>
        <v>0</v>
      </c>
      <c r="AL41" s="72">
        <f t="shared" si="34"/>
        <v>0</v>
      </c>
      <c r="AM41" s="73">
        <f t="shared" si="42"/>
        <v>0</v>
      </c>
      <c r="AN41" s="80">
        <f t="shared" si="43"/>
        <v>0</v>
      </c>
      <c r="AO41" s="80">
        <f t="shared" si="44"/>
        <v>0</v>
      </c>
      <c r="AP41" s="75" t="e">
        <f t="shared" si="24"/>
        <v>#DIV/0!</v>
      </c>
      <c r="AQ41" s="76">
        <f t="shared" si="25"/>
        <v>0</v>
      </c>
      <c r="AR41" s="90">
        <f t="shared" si="45"/>
        <v>0</v>
      </c>
      <c r="AS41" s="90">
        <f>SUM(J28:J41)</f>
        <v>57887.751000000004</v>
      </c>
      <c r="AT41" s="83">
        <f>SUM(AM28:AM41)</f>
        <v>41.751000000003842</v>
      </c>
      <c r="AU41" s="83">
        <f>SUM(AN28:AN41)</f>
        <v>-93.83202300000039</v>
      </c>
      <c r="AV41" s="83">
        <f>SUM(AO28:AO41)</f>
        <v>-9.4027389999994284</v>
      </c>
      <c r="AW41" s="83">
        <f>-SUM(AQ28:AQ41)</f>
        <v>44936.122487923341</v>
      </c>
    </row>
    <row r="42" spans="1:49" x14ac:dyDescent="0.25">
      <c r="A42" t="str">
        <f t="shared" si="13"/>
        <v>46193M</v>
      </c>
      <c r="B42" s="51">
        <f t="shared" si="27"/>
        <v>46193</v>
      </c>
      <c r="C42" s="52" t="s">
        <v>87</v>
      </c>
      <c r="D42" s="91"/>
      <c r="E42" s="62"/>
      <c r="F42" s="62"/>
      <c r="G42" s="62">
        <f t="shared" si="28"/>
        <v>0</v>
      </c>
      <c r="H42" s="72">
        <f t="shared" si="29"/>
        <v>0</v>
      </c>
      <c r="I42" s="123"/>
      <c r="J42" s="120"/>
      <c r="K42" s="121"/>
      <c r="L42" s="122"/>
      <c r="M42" s="58"/>
      <c r="N42" s="58"/>
      <c r="O42" s="59"/>
      <c r="P42" s="56"/>
      <c r="Q42" s="60"/>
      <c r="R42" s="61">
        <f t="shared" si="14"/>
        <v>0</v>
      </c>
      <c r="S42" s="62">
        <f t="shared" si="15"/>
        <v>0</v>
      </c>
      <c r="T42" s="63">
        <f t="shared" si="16"/>
        <v>0</v>
      </c>
      <c r="U42" s="64"/>
      <c r="V42" s="65"/>
      <c r="W42" s="66"/>
      <c r="X42" s="67"/>
      <c r="Y42" s="68"/>
      <c r="Z42" s="68"/>
      <c r="AA42" s="62">
        <f t="shared" si="17"/>
        <v>0</v>
      </c>
      <c r="AB42" s="63">
        <f t="shared" si="18"/>
        <v>0</v>
      </c>
      <c r="AC42" s="69"/>
      <c r="AD42" s="70"/>
      <c r="AE42" s="70"/>
      <c r="AF42" s="62">
        <f t="shared" si="19"/>
        <v>0</v>
      </c>
      <c r="AG42" s="63">
        <f t="shared" si="20"/>
        <v>0</v>
      </c>
      <c r="AH42" s="89"/>
      <c r="AI42" s="66"/>
      <c r="AJ42" s="66"/>
      <c r="AK42" s="62">
        <f t="shared" si="33"/>
        <v>0</v>
      </c>
      <c r="AL42" s="72">
        <f t="shared" si="34"/>
        <v>0</v>
      </c>
      <c r="AM42" s="73">
        <f t="shared" si="42"/>
        <v>0</v>
      </c>
      <c r="AN42" s="80">
        <f t="shared" si="43"/>
        <v>0</v>
      </c>
      <c r="AO42" s="80">
        <f t="shared" si="44"/>
        <v>0</v>
      </c>
      <c r="AP42" s="75" t="e">
        <f t="shared" si="24"/>
        <v>#DIV/0!</v>
      </c>
      <c r="AQ42" s="76">
        <f t="shared" si="25"/>
        <v>0</v>
      </c>
      <c r="AR42" s="90">
        <f t="shared" si="45"/>
        <v>0</v>
      </c>
      <c r="AS42" s="90"/>
      <c r="AT42" s="83"/>
      <c r="AU42" s="83"/>
      <c r="AV42" s="83"/>
      <c r="AW42" s="83"/>
    </row>
    <row r="43" spans="1:49" x14ac:dyDescent="0.25">
      <c r="A43" t="str">
        <f t="shared" si="13"/>
        <v>46193E</v>
      </c>
      <c r="B43" s="51">
        <f t="shared" si="27"/>
        <v>46193</v>
      </c>
      <c r="C43" s="52" t="s">
        <v>88</v>
      </c>
      <c r="D43" s="91"/>
      <c r="E43" s="62"/>
      <c r="F43" s="62"/>
      <c r="G43" s="62">
        <f t="shared" si="28"/>
        <v>0</v>
      </c>
      <c r="H43" s="72">
        <f t="shared" si="29"/>
        <v>0</v>
      </c>
      <c r="I43" s="123"/>
      <c r="J43" s="120"/>
      <c r="K43" s="121"/>
      <c r="L43" s="122"/>
      <c r="M43" s="58"/>
      <c r="N43" s="58"/>
      <c r="O43" s="59"/>
      <c r="P43" s="56"/>
      <c r="Q43" s="60"/>
      <c r="R43" s="61">
        <f t="shared" si="14"/>
        <v>0</v>
      </c>
      <c r="S43" s="62">
        <f t="shared" si="15"/>
        <v>0</v>
      </c>
      <c r="T43" s="63">
        <f t="shared" si="16"/>
        <v>0</v>
      </c>
      <c r="U43" s="64"/>
      <c r="V43" s="65"/>
      <c r="W43" s="66"/>
      <c r="X43" s="67"/>
      <c r="Y43" s="68"/>
      <c r="Z43" s="68"/>
      <c r="AA43" s="62">
        <f t="shared" si="17"/>
        <v>0</v>
      </c>
      <c r="AB43" s="63">
        <f t="shared" si="18"/>
        <v>0</v>
      </c>
      <c r="AC43" s="69"/>
      <c r="AD43" s="70"/>
      <c r="AE43" s="70"/>
      <c r="AF43" s="62">
        <f t="shared" si="19"/>
        <v>0</v>
      </c>
      <c r="AG43" s="63">
        <f t="shared" si="20"/>
        <v>0</v>
      </c>
      <c r="AH43" s="89"/>
      <c r="AI43" s="66"/>
      <c r="AJ43" s="66"/>
      <c r="AK43" s="62">
        <f t="shared" si="33"/>
        <v>0</v>
      </c>
      <c r="AL43" s="72">
        <f t="shared" si="34"/>
        <v>0</v>
      </c>
      <c r="AM43" s="73">
        <f t="shared" si="42"/>
        <v>0</v>
      </c>
      <c r="AN43" s="80">
        <f t="shared" si="43"/>
        <v>0</v>
      </c>
      <c r="AO43" s="80">
        <f t="shared" si="44"/>
        <v>0</v>
      </c>
      <c r="AP43" s="75" t="e">
        <f t="shared" si="24"/>
        <v>#DIV/0!</v>
      </c>
      <c r="AQ43" s="76">
        <f t="shared" si="25"/>
        <v>0</v>
      </c>
      <c r="AR43" s="90">
        <f t="shared" si="45"/>
        <v>0</v>
      </c>
      <c r="AS43" s="90"/>
      <c r="AT43" s="83"/>
      <c r="AU43" s="83"/>
      <c r="AV43" s="83"/>
      <c r="AW43" s="83"/>
    </row>
    <row r="44" spans="1:49" x14ac:dyDescent="0.25">
      <c r="A44" t="str">
        <f t="shared" si="13"/>
        <v>46194M</v>
      </c>
      <c r="B44" s="51">
        <f t="shared" si="27"/>
        <v>46194</v>
      </c>
      <c r="C44" s="52" t="s">
        <v>87</v>
      </c>
      <c r="D44" s="91"/>
      <c r="E44" s="62"/>
      <c r="F44" s="62"/>
      <c r="G44" s="62">
        <f t="shared" si="28"/>
        <v>0</v>
      </c>
      <c r="H44" s="72">
        <f t="shared" si="29"/>
        <v>0</v>
      </c>
      <c r="I44" s="123"/>
      <c r="J44" s="120"/>
      <c r="K44" s="121"/>
      <c r="L44" s="122"/>
      <c r="M44" s="58"/>
      <c r="N44" s="58"/>
      <c r="O44" s="59"/>
      <c r="P44" s="56"/>
      <c r="Q44" s="60"/>
      <c r="R44" s="61">
        <f t="shared" si="14"/>
        <v>0</v>
      </c>
      <c r="S44" s="62">
        <f t="shared" si="15"/>
        <v>0</v>
      </c>
      <c r="T44" s="63">
        <f t="shared" si="16"/>
        <v>0</v>
      </c>
      <c r="U44" s="64"/>
      <c r="V44" s="65"/>
      <c r="W44" s="66"/>
      <c r="X44" s="67"/>
      <c r="Y44" s="68"/>
      <c r="Z44" s="68"/>
      <c r="AA44" s="62">
        <f t="shared" si="17"/>
        <v>0</v>
      </c>
      <c r="AB44" s="63">
        <f t="shared" si="18"/>
        <v>0</v>
      </c>
      <c r="AC44" s="69"/>
      <c r="AD44" s="70"/>
      <c r="AE44" s="70"/>
      <c r="AF44" s="62">
        <f t="shared" si="19"/>
        <v>0</v>
      </c>
      <c r="AG44" s="63">
        <f t="shared" si="20"/>
        <v>0</v>
      </c>
      <c r="AH44" s="89"/>
      <c r="AI44" s="66"/>
      <c r="AJ44" s="66"/>
      <c r="AK44" s="62">
        <f t="shared" si="33"/>
        <v>0</v>
      </c>
      <c r="AL44" s="72">
        <f t="shared" si="34"/>
        <v>0</v>
      </c>
      <c r="AM44" s="73">
        <f t="shared" si="42"/>
        <v>0</v>
      </c>
      <c r="AN44" s="80">
        <f t="shared" si="43"/>
        <v>0</v>
      </c>
      <c r="AO44" s="80">
        <f t="shared" si="44"/>
        <v>0</v>
      </c>
      <c r="AP44" s="75" t="e">
        <f t="shared" si="24"/>
        <v>#DIV/0!</v>
      </c>
      <c r="AQ44" s="76">
        <f t="shared" si="25"/>
        <v>0</v>
      </c>
      <c r="AR44" s="90">
        <f t="shared" si="45"/>
        <v>0</v>
      </c>
    </row>
    <row r="45" spans="1:49" x14ac:dyDescent="0.25">
      <c r="A45" t="str">
        <f t="shared" si="13"/>
        <v>46194E</v>
      </c>
      <c r="B45" s="51">
        <f t="shared" si="27"/>
        <v>46194</v>
      </c>
      <c r="C45" s="52" t="s">
        <v>88</v>
      </c>
      <c r="D45" s="91"/>
      <c r="E45" s="62"/>
      <c r="F45" s="62"/>
      <c r="G45" s="62">
        <f t="shared" si="28"/>
        <v>0</v>
      </c>
      <c r="H45" s="72">
        <f t="shared" si="29"/>
        <v>0</v>
      </c>
      <c r="I45" s="123"/>
      <c r="J45" s="120"/>
      <c r="K45" s="121"/>
      <c r="L45" s="122"/>
      <c r="M45" s="58"/>
      <c r="N45" s="58"/>
      <c r="O45" s="59"/>
      <c r="P45" s="56"/>
      <c r="Q45" s="60"/>
      <c r="R45" s="61">
        <f t="shared" si="14"/>
        <v>0</v>
      </c>
      <c r="S45" s="62">
        <f t="shared" si="15"/>
        <v>0</v>
      </c>
      <c r="T45" s="63">
        <f t="shared" si="16"/>
        <v>0</v>
      </c>
      <c r="U45" s="64"/>
      <c r="V45" s="65"/>
      <c r="W45" s="66"/>
      <c r="X45" s="67"/>
      <c r="Y45" s="68"/>
      <c r="Z45" s="68"/>
      <c r="AA45" s="62">
        <f t="shared" si="17"/>
        <v>0</v>
      </c>
      <c r="AB45" s="63">
        <f t="shared" si="18"/>
        <v>0</v>
      </c>
      <c r="AC45" s="69"/>
      <c r="AD45" s="70"/>
      <c r="AE45" s="70"/>
      <c r="AF45" s="62">
        <f t="shared" si="19"/>
        <v>0</v>
      </c>
      <c r="AG45" s="63">
        <f t="shared" si="20"/>
        <v>0</v>
      </c>
      <c r="AH45" s="89"/>
      <c r="AI45" s="66"/>
      <c r="AJ45" s="66"/>
      <c r="AK45" s="62">
        <f t="shared" si="33"/>
        <v>0</v>
      </c>
      <c r="AL45" s="72">
        <f t="shared" si="34"/>
        <v>0</v>
      </c>
      <c r="AM45" s="73">
        <f t="shared" si="42"/>
        <v>0</v>
      </c>
      <c r="AN45" s="80">
        <f t="shared" si="43"/>
        <v>0</v>
      </c>
      <c r="AO45" s="80">
        <f t="shared" si="44"/>
        <v>0</v>
      </c>
      <c r="AP45" s="75" t="e">
        <f t="shared" si="24"/>
        <v>#DIV/0!</v>
      </c>
      <c r="AQ45" s="76">
        <f t="shared" si="25"/>
        <v>0</v>
      </c>
      <c r="AR45" s="90">
        <f t="shared" si="45"/>
        <v>0</v>
      </c>
    </row>
    <row r="46" spans="1:49" x14ac:dyDescent="0.25">
      <c r="A46" t="str">
        <f t="shared" si="13"/>
        <v>46195M</v>
      </c>
      <c r="B46" s="51">
        <f t="shared" si="27"/>
        <v>46195</v>
      </c>
      <c r="C46" s="52" t="s">
        <v>87</v>
      </c>
      <c r="D46" s="91"/>
      <c r="E46" s="62"/>
      <c r="F46" s="62"/>
      <c r="G46" s="62">
        <f t="shared" si="28"/>
        <v>0</v>
      </c>
      <c r="H46" s="72">
        <f t="shared" si="29"/>
        <v>0</v>
      </c>
      <c r="I46" s="123"/>
      <c r="J46" s="120"/>
      <c r="K46" s="121"/>
      <c r="L46" s="122"/>
      <c r="M46" s="58"/>
      <c r="N46" s="58"/>
      <c r="O46" s="59"/>
      <c r="P46" s="56"/>
      <c r="Q46" s="60"/>
      <c r="R46" s="61">
        <f t="shared" si="14"/>
        <v>0</v>
      </c>
      <c r="S46" s="62">
        <f t="shared" si="15"/>
        <v>0</v>
      </c>
      <c r="T46" s="63">
        <f t="shared" si="16"/>
        <v>0</v>
      </c>
      <c r="U46" s="64"/>
      <c r="V46" s="65"/>
      <c r="W46" s="66"/>
      <c r="X46" s="67"/>
      <c r="Y46" s="68"/>
      <c r="Z46" s="68"/>
      <c r="AA46" s="62">
        <f t="shared" si="17"/>
        <v>0</v>
      </c>
      <c r="AB46" s="63">
        <f t="shared" si="18"/>
        <v>0</v>
      </c>
      <c r="AC46" s="69"/>
      <c r="AD46" s="70"/>
      <c r="AE46" s="70"/>
      <c r="AF46" s="62">
        <f t="shared" si="19"/>
        <v>0</v>
      </c>
      <c r="AG46" s="63">
        <f t="shared" si="20"/>
        <v>0</v>
      </c>
      <c r="AH46" s="89"/>
      <c r="AI46" s="66"/>
      <c r="AJ46" s="66"/>
      <c r="AK46" s="62">
        <f t="shared" si="33"/>
        <v>0</v>
      </c>
      <c r="AL46" s="72">
        <f t="shared" si="34"/>
        <v>0</v>
      </c>
      <c r="AM46" s="73">
        <f t="shared" si="42"/>
        <v>0</v>
      </c>
      <c r="AN46" s="80">
        <f t="shared" si="43"/>
        <v>0</v>
      </c>
      <c r="AO46" s="80">
        <f t="shared" si="44"/>
        <v>0</v>
      </c>
      <c r="AP46" s="75" t="e">
        <f t="shared" si="24"/>
        <v>#DIV/0!</v>
      </c>
      <c r="AQ46" s="76">
        <f t="shared" si="25"/>
        <v>0</v>
      </c>
      <c r="AR46" s="90">
        <f t="shared" si="45"/>
        <v>0</v>
      </c>
    </row>
    <row r="47" spans="1:49" x14ac:dyDescent="0.25">
      <c r="A47" t="str">
        <f t="shared" si="13"/>
        <v>46195E</v>
      </c>
      <c r="B47" s="51">
        <f t="shared" si="27"/>
        <v>46195</v>
      </c>
      <c r="C47" s="52" t="s">
        <v>88</v>
      </c>
      <c r="D47" s="91"/>
      <c r="E47" s="62"/>
      <c r="F47" s="62"/>
      <c r="G47" s="62">
        <f t="shared" si="28"/>
        <v>0</v>
      </c>
      <c r="H47" s="72">
        <f t="shared" si="29"/>
        <v>0</v>
      </c>
      <c r="I47" s="123"/>
      <c r="J47" s="120"/>
      <c r="K47" s="121"/>
      <c r="L47" s="122"/>
      <c r="M47" s="58"/>
      <c r="N47" s="58"/>
      <c r="O47" s="59"/>
      <c r="P47" s="56"/>
      <c r="Q47" s="60"/>
      <c r="R47" s="61">
        <f t="shared" si="14"/>
        <v>0</v>
      </c>
      <c r="S47" s="62">
        <f t="shared" si="15"/>
        <v>0</v>
      </c>
      <c r="T47" s="63">
        <f t="shared" si="16"/>
        <v>0</v>
      </c>
      <c r="U47" s="64"/>
      <c r="V47" s="65"/>
      <c r="W47" s="66"/>
      <c r="X47" s="67"/>
      <c r="Y47" s="68"/>
      <c r="Z47" s="68"/>
      <c r="AA47" s="62">
        <f t="shared" si="17"/>
        <v>0</v>
      </c>
      <c r="AB47" s="63">
        <f t="shared" si="18"/>
        <v>0</v>
      </c>
      <c r="AC47" s="69"/>
      <c r="AD47" s="70"/>
      <c r="AE47" s="70"/>
      <c r="AF47" s="62">
        <f t="shared" si="19"/>
        <v>0</v>
      </c>
      <c r="AG47" s="63">
        <f t="shared" si="20"/>
        <v>0</v>
      </c>
      <c r="AH47" s="89"/>
      <c r="AI47" s="66"/>
      <c r="AJ47" s="66"/>
      <c r="AK47" s="62">
        <f t="shared" si="33"/>
        <v>0</v>
      </c>
      <c r="AL47" s="72">
        <f t="shared" si="34"/>
        <v>0</v>
      </c>
      <c r="AM47" s="73">
        <f t="shared" si="42"/>
        <v>0</v>
      </c>
      <c r="AN47" s="80">
        <f t="shared" si="43"/>
        <v>0</v>
      </c>
      <c r="AO47" s="80">
        <f t="shared" si="44"/>
        <v>0</v>
      </c>
      <c r="AP47" s="75" t="e">
        <f t="shared" si="24"/>
        <v>#DIV/0!</v>
      </c>
      <c r="AQ47" s="76">
        <f t="shared" si="25"/>
        <v>0</v>
      </c>
      <c r="AR47" s="90">
        <f t="shared" si="45"/>
        <v>0</v>
      </c>
    </row>
    <row r="48" spans="1:49" x14ac:dyDescent="0.25">
      <c r="A48" t="str">
        <f t="shared" si="13"/>
        <v>46196M</v>
      </c>
      <c r="B48" s="51">
        <f t="shared" si="27"/>
        <v>46196</v>
      </c>
      <c r="C48" s="52" t="s">
        <v>87</v>
      </c>
      <c r="D48" s="91"/>
      <c r="E48" s="62"/>
      <c r="F48" s="62"/>
      <c r="G48" s="62">
        <f t="shared" si="28"/>
        <v>0</v>
      </c>
      <c r="H48" s="72">
        <f t="shared" si="29"/>
        <v>0</v>
      </c>
      <c r="I48" s="123"/>
      <c r="J48" s="120"/>
      <c r="K48" s="121"/>
      <c r="L48" s="122"/>
      <c r="M48" s="58"/>
      <c r="N48" s="58"/>
      <c r="O48" s="59"/>
      <c r="P48" s="56"/>
      <c r="Q48" s="60"/>
      <c r="R48" s="61">
        <f t="shared" si="14"/>
        <v>0</v>
      </c>
      <c r="S48" s="62">
        <f t="shared" si="15"/>
        <v>0</v>
      </c>
      <c r="T48" s="63">
        <f t="shared" si="16"/>
        <v>0</v>
      </c>
      <c r="U48" s="64"/>
      <c r="V48" s="65"/>
      <c r="W48" s="66"/>
      <c r="X48" s="67"/>
      <c r="Y48" s="68"/>
      <c r="Z48" s="68"/>
      <c r="AA48" s="62">
        <f t="shared" si="17"/>
        <v>0</v>
      </c>
      <c r="AB48" s="63">
        <f t="shared" si="18"/>
        <v>0</v>
      </c>
      <c r="AC48" s="69"/>
      <c r="AD48" s="70"/>
      <c r="AE48" s="70"/>
      <c r="AF48" s="62">
        <f t="shared" si="19"/>
        <v>0</v>
      </c>
      <c r="AG48" s="63">
        <f t="shared" si="20"/>
        <v>0</v>
      </c>
      <c r="AH48" s="89"/>
      <c r="AI48" s="66"/>
      <c r="AJ48" s="66"/>
      <c r="AK48" s="62">
        <f t="shared" si="33"/>
        <v>0</v>
      </c>
      <c r="AL48" s="72">
        <f t="shared" si="34"/>
        <v>0</v>
      </c>
      <c r="AM48" s="73">
        <f t="shared" si="42"/>
        <v>0</v>
      </c>
      <c r="AN48" s="80">
        <f t="shared" si="43"/>
        <v>0</v>
      </c>
      <c r="AO48" s="80">
        <f t="shared" si="44"/>
        <v>0</v>
      </c>
      <c r="AP48" s="75" t="e">
        <f t="shared" si="24"/>
        <v>#DIV/0!</v>
      </c>
      <c r="AQ48" s="76">
        <f t="shared" si="25"/>
        <v>0</v>
      </c>
      <c r="AR48" s="90">
        <f t="shared" si="45"/>
        <v>0</v>
      </c>
    </row>
    <row r="49" spans="1:49" x14ac:dyDescent="0.25">
      <c r="A49" t="str">
        <f t="shared" si="13"/>
        <v>46196E</v>
      </c>
      <c r="B49" s="51">
        <f t="shared" si="27"/>
        <v>46196</v>
      </c>
      <c r="C49" s="52" t="s">
        <v>88</v>
      </c>
      <c r="D49" s="91"/>
      <c r="E49" s="62"/>
      <c r="F49" s="62"/>
      <c r="G49" s="62">
        <f t="shared" si="28"/>
        <v>0</v>
      </c>
      <c r="H49" s="72">
        <f t="shared" si="29"/>
        <v>0</v>
      </c>
      <c r="I49" s="123"/>
      <c r="J49" s="120"/>
      <c r="K49" s="121"/>
      <c r="L49" s="122"/>
      <c r="M49" s="58"/>
      <c r="N49" s="58"/>
      <c r="O49" s="59"/>
      <c r="P49" s="56"/>
      <c r="Q49" s="60"/>
      <c r="R49" s="61">
        <f t="shared" si="14"/>
        <v>0</v>
      </c>
      <c r="S49" s="62">
        <f t="shared" si="15"/>
        <v>0</v>
      </c>
      <c r="T49" s="63">
        <f t="shared" si="16"/>
        <v>0</v>
      </c>
      <c r="U49" s="64"/>
      <c r="V49" s="65"/>
      <c r="W49" s="66"/>
      <c r="X49" s="67"/>
      <c r="Y49" s="68"/>
      <c r="Z49" s="68"/>
      <c r="AA49" s="62">
        <f t="shared" si="17"/>
        <v>0</v>
      </c>
      <c r="AB49" s="63">
        <f t="shared" si="18"/>
        <v>0</v>
      </c>
      <c r="AC49" s="69"/>
      <c r="AD49" s="70"/>
      <c r="AE49" s="70"/>
      <c r="AF49" s="62">
        <f t="shared" si="19"/>
        <v>0</v>
      </c>
      <c r="AG49" s="63">
        <f t="shared" si="20"/>
        <v>0</v>
      </c>
      <c r="AH49" s="89"/>
      <c r="AI49" s="66"/>
      <c r="AJ49" s="66"/>
      <c r="AK49" s="62">
        <f t="shared" si="33"/>
        <v>0</v>
      </c>
      <c r="AL49" s="72">
        <f t="shared" si="34"/>
        <v>0</v>
      </c>
      <c r="AM49" s="73">
        <f t="shared" si="42"/>
        <v>0</v>
      </c>
      <c r="AN49" s="80">
        <f t="shared" si="43"/>
        <v>0</v>
      </c>
      <c r="AO49" s="80">
        <f t="shared" si="44"/>
        <v>0</v>
      </c>
      <c r="AP49" s="75" t="e">
        <f t="shared" si="24"/>
        <v>#DIV/0!</v>
      </c>
      <c r="AQ49" s="76">
        <f t="shared" si="25"/>
        <v>0</v>
      </c>
      <c r="AR49" s="90">
        <f t="shared" si="45"/>
        <v>0</v>
      </c>
    </row>
    <row r="50" spans="1:49" x14ac:dyDescent="0.25">
      <c r="A50" t="str">
        <f t="shared" si="13"/>
        <v>46197M</v>
      </c>
      <c r="B50" s="51">
        <f t="shared" si="27"/>
        <v>46197</v>
      </c>
      <c r="C50" s="52" t="s">
        <v>87</v>
      </c>
      <c r="D50" s="91"/>
      <c r="E50" s="62"/>
      <c r="F50" s="62"/>
      <c r="G50" s="62">
        <f t="shared" si="28"/>
        <v>0</v>
      </c>
      <c r="H50" s="72">
        <f t="shared" si="29"/>
        <v>0</v>
      </c>
      <c r="I50" s="123"/>
      <c r="J50" s="120"/>
      <c r="K50" s="121"/>
      <c r="L50" s="122"/>
      <c r="M50" s="58"/>
      <c r="N50" s="58"/>
      <c r="O50" s="59"/>
      <c r="P50" s="56"/>
      <c r="Q50" s="60"/>
      <c r="R50" s="61">
        <f t="shared" si="14"/>
        <v>0</v>
      </c>
      <c r="S50" s="62">
        <f t="shared" si="15"/>
        <v>0</v>
      </c>
      <c r="T50" s="63">
        <f t="shared" si="16"/>
        <v>0</v>
      </c>
      <c r="U50" s="64"/>
      <c r="V50" s="65"/>
      <c r="W50" s="66"/>
      <c r="X50" s="67"/>
      <c r="Y50" s="68"/>
      <c r="Z50" s="68"/>
      <c r="AA50" s="62">
        <f t="shared" si="17"/>
        <v>0</v>
      </c>
      <c r="AB50" s="63">
        <f t="shared" si="18"/>
        <v>0</v>
      </c>
      <c r="AC50" s="69"/>
      <c r="AD50" s="70"/>
      <c r="AE50" s="70"/>
      <c r="AF50" s="62">
        <f t="shared" si="19"/>
        <v>0</v>
      </c>
      <c r="AG50" s="63">
        <f t="shared" si="20"/>
        <v>0</v>
      </c>
      <c r="AH50" s="89"/>
      <c r="AI50" s="66"/>
      <c r="AJ50" s="66"/>
      <c r="AK50" s="62">
        <f t="shared" si="33"/>
        <v>0</v>
      </c>
      <c r="AL50" s="72">
        <f t="shared" si="34"/>
        <v>0</v>
      </c>
      <c r="AM50" s="73">
        <f t="shared" ref="AM50" si="46">+D50+R50-AC50-AH50</f>
        <v>0</v>
      </c>
      <c r="AN50" s="80">
        <f t="shared" ref="AN50:AO50" si="47">+G50+S50-AF50-AK50</f>
        <v>0</v>
      </c>
      <c r="AO50" s="80">
        <f t="shared" si="47"/>
        <v>0</v>
      </c>
      <c r="AP50" s="75" t="e">
        <f t="shared" si="24"/>
        <v>#DIV/0!</v>
      </c>
      <c r="AQ50" s="76">
        <f t="shared" si="25"/>
        <v>0</v>
      </c>
      <c r="AR50" s="90">
        <f t="shared" ref="AR50:AR57" si="48">(D50+J50+O50)-(X50+AH50)</f>
        <v>0</v>
      </c>
    </row>
    <row r="51" spans="1:49" x14ac:dyDescent="0.25">
      <c r="A51" t="str">
        <f t="shared" si="13"/>
        <v>46197E</v>
      </c>
      <c r="B51" s="51">
        <f t="shared" si="27"/>
        <v>46197</v>
      </c>
      <c r="C51" s="52" t="s">
        <v>88</v>
      </c>
      <c r="D51" s="91"/>
      <c r="E51" s="62"/>
      <c r="F51" s="62"/>
      <c r="G51" s="62">
        <f t="shared" si="28"/>
        <v>0</v>
      </c>
      <c r="H51" s="72">
        <f t="shared" si="29"/>
        <v>0</v>
      </c>
      <c r="I51" s="123"/>
      <c r="J51" s="120"/>
      <c r="K51" s="121"/>
      <c r="L51" s="122"/>
      <c r="M51" s="58"/>
      <c r="N51" s="58"/>
      <c r="O51" s="59"/>
      <c r="P51" s="56"/>
      <c r="Q51" s="60"/>
      <c r="R51" s="61">
        <f t="shared" si="14"/>
        <v>0</v>
      </c>
      <c r="S51" s="62">
        <f t="shared" si="15"/>
        <v>0</v>
      </c>
      <c r="T51" s="63">
        <f t="shared" si="16"/>
        <v>0</v>
      </c>
      <c r="U51" s="64"/>
      <c r="V51" s="85"/>
      <c r="W51" s="66"/>
      <c r="X51" s="67"/>
      <c r="Y51" s="68"/>
      <c r="Z51" s="68"/>
      <c r="AA51" s="62">
        <f t="shared" si="17"/>
        <v>0</v>
      </c>
      <c r="AB51" s="63">
        <f t="shared" si="18"/>
        <v>0</v>
      </c>
      <c r="AC51" s="69"/>
      <c r="AD51" s="70"/>
      <c r="AE51" s="70"/>
      <c r="AF51" s="62">
        <f t="shared" si="19"/>
        <v>0</v>
      </c>
      <c r="AG51" s="63">
        <f t="shared" si="20"/>
        <v>0</v>
      </c>
      <c r="AH51" s="89"/>
      <c r="AI51" s="66"/>
      <c r="AJ51" s="66"/>
      <c r="AK51" s="62">
        <f t="shared" ref="AK51:AK59" si="49">AH51*AI51%</f>
        <v>0</v>
      </c>
      <c r="AL51" s="72">
        <f t="shared" si="34"/>
        <v>0</v>
      </c>
      <c r="AM51" s="73">
        <f t="shared" ref="AM51:AM59" si="50">+D51+R51-AC51-AH51</f>
        <v>0</v>
      </c>
      <c r="AN51" s="80">
        <f t="shared" ref="AN51:AN59" si="51">+G51+S51-AF51-AK51</f>
        <v>0</v>
      </c>
      <c r="AO51" s="80">
        <f t="shared" ref="AO51:AO59" si="52">+H51+T51-AG51-AL51</f>
        <v>0</v>
      </c>
      <c r="AP51" s="75" t="e">
        <f t="shared" si="24"/>
        <v>#DIV/0!</v>
      </c>
      <c r="AQ51" s="76">
        <f t="shared" si="25"/>
        <v>0</v>
      </c>
      <c r="AR51" s="90">
        <f t="shared" si="48"/>
        <v>0</v>
      </c>
    </row>
    <row r="52" spans="1:49" x14ac:dyDescent="0.25">
      <c r="A52" t="str">
        <f t="shared" si="13"/>
        <v>46198M</v>
      </c>
      <c r="B52" s="51">
        <f t="shared" si="27"/>
        <v>46198</v>
      </c>
      <c r="C52" s="52" t="s">
        <v>87</v>
      </c>
      <c r="D52" s="91"/>
      <c r="E52" s="62"/>
      <c r="F52" s="62"/>
      <c r="G52" s="62">
        <f t="shared" ref="G52:G57" si="53">+D52*E52%</f>
        <v>0</v>
      </c>
      <c r="H52" s="72">
        <f t="shared" ref="H52:H57" si="54">+D52*F52%</f>
        <v>0</v>
      </c>
      <c r="I52" s="123"/>
      <c r="J52" s="120"/>
      <c r="K52" s="121"/>
      <c r="L52" s="122"/>
      <c r="M52" s="58"/>
      <c r="N52" s="58"/>
      <c r="O52" s="59"/>
      <c r="P52" s="56"/>
      <c r="Q52" s="60"/>
      <c r="R52" s="61">
        <f t="shared" si="14"/>
        <v>0</v>
      </c>
      <c r="S52" s="62">
        <f t="shared" si="15"/>
        <v>0</v>
      </c>
      <c r="T52" s="63">
        <f t="shared" si="16"/>
        <v>0</v>
      </c>
      <c r="U52" s="64"/>
      <c r="V52" s="65"/>
      <c r="W52" s="66"/>
      <c r="X52" s="67"/>
      <c r="Y52" s="68"/>
      <c r="Z52" s="68"/>
      <c r="AA52" s="62">
        <f t="shared" si="17"/>
        <v>0</v>
      </c>
      <c r="AB52" s="63">
        <f t="shared" si="18"/>
        <v>0</v>
      </c>
      <c r="AC52" s="69"/>
      <c r="AD52" s="70"/>
      <c r="AE52" s="70"/>
      <c r="AF52" s="62">
        <f t="shared" si="19"/>
        <v>0</v>
      </c>
      <c r="AG52" s="63">
        <f t="shared" si="20"/>
        <v>0</v>
      </c>
      <c r="AH52" s="89"/>
      <c r="AI52" s="66"/>
      <c r="AJ52" s="66"/>
      <c r="AK52" s="62">
        <f t="shared" si="49"/>
        <v>0</v>
      </c>
      <c r="AL52" s="72">
        <f t="shared" si="34"/>
        <v>0</v>
      </c>
      <c r="AM52" s="73">
        <f t="shared" si="50"/>
        <v>0</v>
      </c>
      <c r="AN52" s="80">
        <f t="shared" si="51"/>
        <v>0</v>
      </c>
      <c r="AO52" s="80">
        <f t="shared" si="52"/>
        <v>0</v>
      </c>
      <c r="AP52" s="75" t="e">
        <f t="shared" si="24"/>
        <v>#DIV/0!</v>
      </c>
      <c r="AQ52" s="76">
        <f t="shared" si="25"/>
        <v>0</v>
      </c>
      <c r="AR52" s="90">
        <f t="shared" si="48"/>
        <v>0</v>
      </c>
    </row>
    <row r="53" spans="1:49" x14ac:dyDescent="0.25">
      <c r="A53" t="str">
        <f t="shared" si="13"/>
        <v>46198E</v>
      </c>
      <c r="B53" s="51">
        <f t="shared" si="27"/>
        <v>46198</v>
      </c>
      <c r="C53" s="52" t="s">
        <v>88</v>
      </c>
      <c r="D53" s="91"/>
      <c r="E53" s="62"/>
      <c r="F53" s="62"/>
      <c r="G53" s="62">
        <f t="shared" si="53"/>
        <v>0</v>
      </c>
      <c r="H53" s="72">
        <f t="shared" si="54"/>
        <v>0</v>
      </c>
      <c r="I53" s="123"/>
      <c r="J53" s="120"/>
      <c r="K53" s="121"/>
      <c r="L53" s="122"/>
      <c r="M53" s="58"/>
      <c r="N53" s="58"/>
      <c r="O53" s="59"/>
      <c r="P53" s="56"/>
      <c r="Q53" s="60"/>
      <c r="R53" s="61">
        <f t="shared" si="14"/>
        <v>0</v>
      </c>
      <c r="S53" s="62">
        <f t="shared" si="15"/>
        <v>0</v>
      </c>
      <c r="T53" s="63">
        <f t="shared" si="16"/>
        <v>0</v>
      </c>
      <c r="U53" s="64"/>
      <c r="V53" s="65"/>
      <c r="W53" s="66"/>
      <c r="X53" s="67"/>
      <c r="Y53" s="68"/>
      <c r="Z53" s="68"/>
      <c r="AA53" s="62">
        <f t="shared" si="17"/>
        <v>0</v>
      </c>
      <c r="AB53" s="63">
        <f t="shared" si="18"/>
        <v>0</v>
      </c>
      <c r="AC53" s="69"/>
      <c r="AD53" s="70"/>
      <c r="AE53" s="70"/>
      <c r="AF53" s="62">
        <f t="shared" si="19"/>
        <v>0</v>
      </c>
      <c r="AG53" s="63">
        <f t="shared" si="20"/>
        <v>0</v>
      </c>
      <c r="AH53" s="89"/>
      <c r="AI53" s="66"/>
      <c r="AJ53" s="66"/>
      <c r="AK53" s="62">
        <f t="shared" si="49"/>
        <v>0</v>
      </c>
      <c r="AL53" s="72">
        <f t="shared" si="34"/>
        <v>0</v>
      </c>
      <c r="AM53" s="73">
        <f t="shared" si="50"/>
        <v>0</v>
      </c>
      <c r="AN53" s="80">
        <f t="shared" si="51"/>
        <v>0</v>
      </c>
      <c r="AO53" s="80">
        <f t="shared" si="52"/>
        <v>0</v>
      </c>
      <c r="AP53" s="75" t="e">
        <f t="shared" si="24"/>
        <v>#DIV/0!</v>
      </c>
      <c r="AQ53" s="76">
        <f t="shared" si="25"/>
        <v>0</v>
      </c>
      <c r="AR53" s="90">
        <f t="shared" si="48"/>
        <v>0</v>
      </c>
    </row>
    <row r="54" spans="1:49" x14ac:dyDescent="0.25">
      <c r="A54" t="str">
        <f t="shared" si="13"/>
        <v>46199M</v>
      </c>
      <c r="B54" s="51">
        <f t="shared" si="27"/>
        <v>46199</v>
      </c>
      <c r="C54" s="52" t="s">
        <v>87</v>
      </c>
      <c r="D54" s="91"/>
      <c r="E54" s="62"/>
      <c r="F54" s="62"/>
      <c r="G54" s="62">
        <f t="shared" si="53"/>
        <v>0</v>
      </c>
      <c r="H54" s="72">
        <f t="shared" si="54"/>
        <v>0</v>
      </c>
      <c r="I54" s="123"/>
      <c r="J54" s="120"/>
      <c r="K54" s="121"/>
      <c r="L54" s="122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66"/>
      <c r="X54" s="67"/>
      <c r="Y54" s="68"/>
      <c r="Z54" s="68"/>
      <c r="AA54" s="62">
        <f t="shared" si="17"/>
        <v>0</v>
      </c>
      <c r="AB54" s="63">
        <f t="shared" si="18"/>
        <v>0</v>
      </c>
      <c r="AC54" s="69"/>
      <c r="AD54" s="70"/>
      <c r="AE54" s="70"/>
      <c r="AF54" s="62">
        <f t="shared" si="19"/>
        <v>0</v>
      </c>
      <c r="AG54" s="63">
        <f t="shared" si="20"/>
        <v>0</v>
      </c>
      <c r="AH54" s="89"/>
      <c r="AI54" s="66"/>
      <c r="AJ54" s="66"/>
      <c r="AK54" s="62">
        <f t="shared" si="49"/>
        <v>0</v>
      </c>
      <c r="AL54" s="72">
        <f t="shared" si="34"/>
        <v>0</v>
      </c>
      <c r="AM54" s="73">
        <f t="shared" si="50"/>
        <v>0</v>
      </c>
      <c r="AN54" s="80">
        <f t="shared" si="51"/>
        <v>0</v>
      </c>
      <c r="AO54" s="80">
        <f t="shared" si="52"/>
        <v>0</v>
      </c>
      <c r="AP54" s="75" t="e">
        <f t="shared" si="24"/>
        <v>#DIV/0!</v>
      </c>
      <c r="AQ54" s="76">
        <f t="shared" si="25"/>
        <v>0</v>
      </c>
      <c r="AR54" s="90">
        <f t="shared" si="48"/>
        <v>0</v>
      </c>
    </row>
    <row r="55" spans="1:49" x14ac:dyDescent="0.25">
      <c r="A55" t="str">
        <f t="shared" si="13"/>
        <v>46199E</v>
      </c>
      <c r="B55" s="51">
        <f t="shared" si="27"/>
        <v>46199</v>
      </c>
      <c r="C55" s="52" t="s">
        <v>88</v>
      </c>
      <c r="D55" s="91"/>
      <c r="E55" s="62"/>
      <c r="F55" s="62"/>
      <c r="G55" s="62">
        <f t="shared" si="53"/>
        <v>0</v>
      </c>
      <c r="H55" s="72">
        <f t="shared" si="54"/>
        <v>0</v>
      </c>
      <c r="I55" s="123"/>
      <c r="J55" s="120"/>
      <c r="K55" s="121"/>
      <c r="L55" s="122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66"/>
      <c r="X55" s="67"/>
      <c r="Y55" s="68"/>
      <c r="Z55" s="68"/>
      <c r="AA55" s="62">
        <f t="shared" si="17"/>
        <v>0</v>
      </c>
      <c r="AB55" s="63">
        <f t="shared" si="18"/>
        <v>0</v>
      </c>
      <c r="AC55" s="69"/>
      <c r="AD55" s="70"/>
      <c r="AE55" s="70"/>
      <c r="AF55" s="62">
        <f t="shared" si="19"/>
        <v>0</v>
      </c>
      <c r="AG55" s="63">
        <f t="shared" si="20"/>
        <v>0</v>
      </c>
      <c r="AH55" s="89"/>
      <c r="AI55" s="66"/>
      <c r="AJ55" s="66"/>
      <c r="AK55" s="62">
        <f t="shared" si="49"/>
        <v>0</v>
      </c>
      <c r="AL55" s="72">
        <f t="shared" si="34"/>
        <v>0</v>
      </c>
      <c r="AM55" s="73">
        <f t="shared" si="50"/>
        <v>0</v>
      </c>
      <c r="AN55" s="80">
        <f t="shared" si="51"/>
        <v>0</v>
      </c>
      <c r="AO55" s="80">
        <f t="shared" si="52"/>
        <v>0</v>
      </c>
      <c r="AP55" s="75" t="e">
        <f t="shared" si="24"/>
        <v>#DIV/0!</v>
      </c>
      <c r="AQ55" s="76">
        <f t="shared" si="25"/>
        <v>0</v>
      </c>
      <c r="AR55" s="90">
        <f t="shared" si="48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x14ac:dyDescent="0.25">
      <c r="A56" t="str">
        <f t="shared" si="13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53"/>
        <v>0</v>
      </c>
      <c r="H56" s="72">
        <f t="shared" si="54"/>
        <v>0</v>
      </c>
      <c r="I56" s="123"/>
      <c r="J56" s="120"/>
      <c r="K56" s="121"/>
      <c r="L56" s="122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17"/>
        <v>0</v>
      </c>
      <c r="AB56" s="63">
        <f t="shared" si="18"/>
        <v>0</v>
      </c>
      <c r="AC56" s="69"/>
      <c r="AD56" s="70"/>
      <c r="AE56" s="70"/>
      <c r="AF56" s="62">
        <f t="shared" si="19"/>
        <v>0</v>
      </c>
      <c r="AG56" s="63">
        <f t="shared" si="20"/>
        <v>0</v>
      </c>
      <c r="AH56" s="89"/>
      <c r="AI56" s="66"/>
      <c r="AJ56" s="66"/>
      <c r="AK56" s="62">
        <f t="shared" si="49"/>
        <v>0</v>
      </c>
      <c r="AL56" s="72">
        <f t="shared" si="34"/>
        <v>0</v>
      </c>
      <c r="AM56" s="73">
        <f t="shared" si="50"/>
        <v>0</v>
      </c>
      <c r="AN56" s="80">
        <f t="shared" si="51"/>
        <v>0</v>
      </c>
      <c r="AO56" s="80">
        <f t="shared" si="52"/>
        <v>0</v>
      </c>
      <c r="AP56" s="75" t="e">
        <f t="shared" si="24"/>
        <v>#DIV/0!</v>
      </c>
      <c r="AQ56" s="76">
        <f t="shared" si="25"/>
        <v>0</v>
      </c>
      <c r="AR56" s="90">
        <f t="shared" si="48"/>
        <v>0</v>
      </c>
    </row>
    <row r="57" spans="1:49" x14ac:dyDescent="0.25">
      <c r="A57" t="str">
        <f t="shared" si="13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53"/>
        <v>0</v>
      </c>
      <c r="H57" s="72">
        <f t="shared" si="54"/>
        <v>0</v>
      </c>
      <c r="I57" s="123"/>
      <c r="J57" s="120"/>
      <c r="K57" s="121"/>
      <c r="L57" s="122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66"/>
      <c r="X57" s="67"/>
      <c r="Y57" s="68"/>
      <c r="Z57" s="68"/>
      <c r="AA57" s="62">
        <f t="shared" si="17"/>
        <v>0</v>
      </c>
      <c r="AB57" s="63">
        <f t="shared" si="18"/>
        <v>0</v>
      </c>
      <c r="AC57" s="69"/>
      <c r="AD57" s="70"/>
      <c r="AE57" s="70"/>
      <c r="AF57" s="62">
        <f t="shared" si="19"/>
        <v>0</v>
      </c>
      <c r="AG57" s="63">
        <f t="shared" si="20"/>
        <v>0</v>
      </c>
      <c r="AH57" s="89"/>
      <c r="AI57" s="66"/>
      <c r="AJ57" s="66"/>
      <c r="AK57" s="62">
        <f t="shared" si="49"/>
        <v>0</v>
      </c>
      <c r="AL57" s="72">
        <f t="shared" si="34"/>
        <v>0</v>
      </c>
      <c r="AM57" s="73">
        <f t="shared" si="50"/>
        <v>0</v>
      </c>
      <c r="AN57" s="80">
        <f t="shared" si="51"/>
        <v>0</v>
      </c>
      <c r="AO57" s="80">
        <f t="shared" si="52"/>
        <v>0</v>
      </c>
      <c r="AP57" s="75" t="e">
        <f t="shared" si="24"/>
        <v>#DIV/0!</v>
      </c>
      <c r="AQ57" s="76">
        <f t="shared" si="25"/>
        <v>0</v>
      </c>
      <c r="AR57" s="90">
        <f t="shared" si="48"/>
        <v>0</v>
      </c>
    </row>
    <row r="58" spans="1:49" x14ac:dyDescent="0.25">
      <c r="A58" t="str">
        <f t="shared" si="13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ref="G58:G65" si="55">+D58*E58%</f>
        <v>0</v>
      </c>
      <c r="H58" s="72">
        <f t="shared" ref="H58:H65" si="56">+D58*F58%</f>
        <v>0</v>
      </c>
      <c r="I58" s="123"/>
      <c r="J58" s="120"/>
      <c r="K58" s="121"/>
      <c r="L58" s="122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17"/>
        <v>0</v>
      </c>
      <c r="AB58" s="63">
        <f t="shared" si="18"/>
        <v>0</v>
      </c>
      <c r="AC58" s="69"/>
      <c r="AD58" s="70"/>
      <c r="AE58" s="70"/>
      <c r="AF58" s="62">
        <f t="shared" ref="AF58:AF59" si="57">AC58*AD58%</f>
        <v>0</v>
      </c>
      <c r="AG58" s="63">
        <f t="shared" si="20"/>
        <v>0</v>
      </c>
      <c r="AH58" s="89"/>
      <c r="AI58" s="66"/>
      <c r="AJ58" s="66"/>
      <c r="AK58" s="62">
        <f t="shared" si="49"/>
        <v>0</v>
      </c>
      <c r="AL58" s="72">
        <f t="shared" si="34"/>
        <v>0</v>
      </c>
      <c r="AM58" s="73">
        <f t="shared" si="50"/>
        <v>0</v>
      </c>
      <c r="AN58" s="80">
        <f t="shared" si="51"/>
        <v>0</v>
      </c>
      <c r="AO58" s="80">
        <f t="shared" si="52"/>
        <v>0</v>
      </c>
      <c r="AP58" s="75" t="e">
        <f t="shared" si="24"/>
        <v>#DIV/0!</v>
      </c>
      <c r="AQ58" s="76">
        <f t="shared" si="25"/>
        <v>0</v>
      </c>
      <c r="AR58" s="90">
        <f t="shared" si="32"/>
        <v>0</v>
      </c>
    </row>
    <row r="59" spans="1:49" x14ac:dyDescent="0.25">
      <c r="A59" t="str">
        <f t="shared" si="13"/>
        <v>46201E</v>
      </c>
      <c r="B59" s="51">
        <f>+B57+1</f>
        <v>46201</v>
      </c>
      <c r="C59" s="52" t="s">
        <v>88</v>
      </c>
      <c r="D59" s="91"/>
      <c r="E59" s="62"/>
      <c r="F59" s="62"/>
      <c r="G59" s="62">
        <f t="shared" si="55"/>
        <v>0</v>
      </c>
      <c r="H59" s="72">
        <f t="shared" si="56"/>
        <v>0</v>
      </c>
      <c r="I59" s="123"/>
      <c r="J59" s="120"/>
      <c r="K59" s="121"/>
      <c r="L59" s="122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17"/>
        <v>0</v>
      </c>
      <c r="AB59" s="63">
        <f t="shared" si="18"/>
        <v>0</v>
      </c>
      <c r="AC59" s="69"/>
      <c r="AD59" s="70"/>
      <c r="AE59" s="70"/>
      <c r="AF59" s="62">
        <f t="shared" si="57"/>
        <v>0</v>
      </c>
      <c r="AG59" s="63">
        <f t="shared" si="20"/>
        <v>0</v>
      </c>
      <c r="AH59" s="89"/>
      <c r="AI59" s="66"/>
      <c r="AJ59" s="66"/>
      <c r="AK59" s="62">
        <f t="shared" si="49"/>
        <v>0</v>
      </c>
      <c r="AL59" s="72">
        <f t="shared" si="34"/>
        <v>0</v>
      </c>
      <c r="AM59" s="73">
        <f t="shared" si="50"/>
        <v>0</v>
      </c>
      <c r="AN59" s="80">
        <f t="shared" si="51"/>
        <v>0</v>
      </c>
      <c r="AO59" s="80">
        <f t="shared" si="52"/>
        <v>0</v>
      </c>
      <c r="AP59" s="75" t="e">
        <f t="shared" si="24"/>
        <v>#DIV/0!</v>
      </c>
      <c r="AQ59" s="76">
        <f t="shared" si="25"/>
        <v>0</v>
      </c>
      <c r="AR59" s="90">
        <f t="shared" si="32"/>
        <v>0</v>
      </c>
    </row>
    <row r="60" spans="1:49" x14ac:dyDescent="0.25">
      <c r="A60" t="str">
        <f t="shared" si="13"/>
        <v>46202M</v>
      </c>
      <c r="B60" s="51">
        <f>+B58+1</f>
        <v>46202</v>
      </c>
      <c r="C60" s="52" t="s">
        <v>87</v>
      </c>
      <c r="D60" s="89"/>
      <c r="E60" s="66"/>
      <c r="F60" s="66"/>
      <c r="G60" s="62">
        <f t="shared" si="55"/>
        <v>0</v>
      </c>
      <c r="H60" s="72">
        <f t="shared" si="56"/>
        <v>0</v>
      </c>
      <c r="I60" s="123"/>
      <c r="J60" s="120"/>
      <c r="K60" s="121"/>
      <c r="L60" s="122"/>
      <c r="M60" s="58"/>
      <c r="N60" s="58"/>
      <c r="O60" s="59"/>
      <c r="P60" s="56"/>
      <c r="Q60" s="60"/>
      <c r="R60" s="61">
        <f t="shared" ref="R60:R65" si="58">+J60+O60</f>
        <v>0</v>
      </c>
      <c r="S60" s="62">
        <f t="shared" ref="S60:S65" si="59">+J60*K60%+O60*P60%</f>
        <v>0</v>
      </c>
      <c r="T60" s="63">
        <f t="shared" ref="T60:T65" si="60">+J60*L60%+O60*Q60%</f>
        <v>0</v>
      </c>
      <c r="U60" s="64"/>
      <c r="V60" s="65"/>
      <c r="W60" s="66"/>
      <c r="X60" s="67"/>
      <c r="Y60" s="68"/>
      <c r="Z60" s="68"/>
      <c r="AA60" s="62">
        <f t="shared" ref="AA60:AA65" si="61">X60*Y60%</f>
        <v>0</v>
      </c>
      <c r="AB60" s="63">
        <f t="shared" ref="AB60:AB65" si="62">X60*Z60%</f>
        <v>0</v>
      </c>
      <c r="AC60" s="69"/>
      <c r="AD60" s="70"/>
      <c r="AE60" s="70"/>
      <c r="AF60" s="62">
        <f t="shared" ref="AF60:AF65" si="63">AC60*AD60%</f>
        <v>0</v>
      </c>
      <c r="AG60" s="63">
        <f t="shared" si="20"/>
        <v>0</v>
      </c>
      <c r="AH60" s="89"/>
      <c r="AI60" s="66"/>
      <c r="AJ60" s="66"/>
      <c r="AK60" s="62">
        <f t="shared" ref="AK60:AK65" si="64">AH60*AI60%</f>
        <v>0</v>
      </c>
      <c r="AL60" s="72">
        <f t="shared" si="34"/>
        <v>0</v>
      </c>
      <c r="AM60" s="73">
        <f t="shared" ref="AM60:AM65" si="65">+D60+R60-AC60-AH60</f>
        <v>0</v>
      </c>
      <c r="AN60" s="80">
        <f t="shared" ref="AN60:AN65" si="66">+G60+S60-AF60-AK60</f>
        <v>0</v>
      </c>
      <c r="AO60" s="80">
        <f t="shared" ref="AO60:AO65" si="67">+H60+T60-AG60-AL60</f>
        <v>0</v>
      </c>
      <c r="AP60" s="75" t="e">
        <f t="shared" ref="AP60:AP65" si="68">(AN60+AO60)/(S60+T60)</f>
        <v>#DIV/0!</v>
      </c>
      <c r="AQ60" s="76">
        <f t="shared" ref="AQ60:AQ65" si="69">($AP$1*AN60+$AQ$1*AO60)</f>
        <v>0</v>
      </c>
      <c r="AR60" s="90">
        <f t="shared" si="32"/>
        <v>0</v>
      </c>
    </row>
    <row r="61" spans="1:49" x14ac:dyDescent="0.25">
      <c r="A61" t="str">
        <f t="shared" si="13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55"/>
        <v>0</v>
      </c>
      <c r="H61" s="72">
        <f t="shared" si="56"/>
        <v>0</v>
      </c>
      <c r="I61" s="123"/>
      <c r="J61" s="120"/>
      <c r="K61" s="121"/>
      <c r="L61" s="122"/>
      <c r="M61" s="58"/>
      <c r="N61" s="58"/>
      <c r="O61" s="59"/>
      <c r="P61" s="56"/>
      <c r="Q61" s="60"/>
      <c r="R61" s="61">
        <f t="shared" si="58"/>
        <v>0</v>
      </c>
      <c r="S61" s="62">
        <f t="shared" si="59"/>
        <v>0</v>
      </c>
      <c r="T61" s="63">
        <f t="shared" si="60"/>
        <v>0</v>
      </c>
      <c r="U61" s="64"/>
      <c r="V61" s="65"/>
      <c r="W61" s="66"/>
      <c r="X61" s="67"/>
      <c r="Y61" s="68"/>
      <c r="Z61" s="68"/>
      <c r="AA61" s="62">
        <f t="shared" si="61"/>
        <v>0</v>
      </c>
      <c r="AB61" s="63">
        <f t="shared" si="62"/>
        <v>0</v>
      </c>
      <c r="AC61" s="69"/>
      <c r="AD61" s="70"/>
      <c r="AE61" s="70"/>
      <c r="AF61" s="62">
        <f t="shared" si="63"/>
        <v>0</v>
      </c>
      <c r="AG61" s="63">
        <f t="shared" si="20"/>
        <v>0</v>
      </c>
      <c r="AH61" s="89"/>
      <c r="AI61" s="66"/>
      <c r="AJ61" s="66"/>
      <c r="AK61" s="62">
        <f t="shared" si="64"/>
        <v>0</v>
      </c>
      <c r="AL61" s="72">
        <f t="shared" si="34"/>
        <v>0</v>
      </c>
      <c r="AM61" s="73">
        <f t="shared" si="65"/>
        <v>0</v>
      </c>
      <c r="AN61" s="80">
        <f t="shared" si="66"/>
        <v>0</v>
      </c>
      <c r="AO61" s="80">
        <f t="shared" si="67"/>
        <v>0</v>
      </c>
      <c r="AP61" s="75" t="e">
        <f t="shared" si="68"/>
        <v>#DIV/0!</v>
      </c>
      <c r="AQ61" s="76">
        <f t="shared" si="69"/>
        <v>0</v>
      </c>
      <c r="AR61" s="90">
        <f t="shared" si="32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3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55"/>
        <v>0</v>
      </c>
      <c r="H62" s="72">
        <f t="shared" si="56"/>
        <v>0</v>
      </c>
      <c r="I62" s="123"/>
      <c r="J62" s="120"/>
      <c r="K62" s="121"/>
      <c r="L62" s="122"/>
      <c r="M62" s="58"/>
      <c r="N62" s="58"/>
      <c r="O62" s="59"/>
      <c r="P62" s="56"/>
      <c r="Q62" s="60"/>
      <c r="R62" s="61">
        <f t="shared" si="58"/>
        <v>0</v>
      </c>
      <c r="S62" s="62">
        <f t="shared" si="59"/>
        <v>0</v>
      </c>
      <c r="T62" s="63">
        <f t="shared" si="60"/>
        <v>0</v>
      </c>
      <c r="U62" s="64"/>
      <c r="V62" s="65"/>
      <c r="W62" s="66"/>
      <c r="X62" s="67"/>
      <c r="Y62" s="68"/>
      <c r="Z62" s="68"/>
      <c r="AA62" s="62">
        <f t="shared" si="61"/>
        <v>0</v>
      </c>
      <c r="AB62" s="63">
        <f t="shared" si="62"/>
        <v>0</v>
      </c>
      <c r="AC62" s="69"/>
      <c r="AD62" s="70"/>
      <c r="AE62" s="70"/>
      <c r="AF62" s="62">
        <f t="shared" si="63"/>
        <v>0</v>
      </c>
      <c r="AG62" s="63">
        <f t="shared" si="20"/>
        <v>0</v>
      </c>
      <c r="AH62" s="89"/>
      <c r="AI62" s="66"/>
      <c r="AJ62" s="66"/>
      <c r="AK62" s="62">
        <f t="shared" si="64"/>
        <v>0</v>
      </c>
      <c r="AL62" s="72">
        <f t="shared" si="34"/>
        <v>0</v>
      </c>
      <c r="AM62" s="73">
        <f t="shared" si="65"/>
        <v>0</v>
      </c>
      <c r="AN62" s="80">
        <f t="shared" si="66"/>
        <v>0</v>
      </c>
      <c r="AO62" s="80">
        <f t="shared" si="67"/>
        <v>0</v>
      </c>
      <c r="AP62" s="75" t="e">
        <f t="shared" si="68"/>
        <v>#DIV/0!</v>
      </c>
      <c r="AQ62" s="76">
        <f t="shared" si="69"/>
        <v>0</v>
      </c>
      <c r="AR62" s="90">
        <f t="shared" si="32"/>
        <v>0</v>
      </c>
    </row>
    <row r="63" spans="1:49" x14ac:dyDescent="0.25">
      <c r="A63" t="str">
        <f t="shared" si="13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55"/>
        <v>0</v>
      </c>
      <c r="H63" s="72">
        <f t="shared" si="56"/>
        <v>0</v>
      </c>
      <c r="I63" s="123"/>
      <c r="J63" s="120"/>
      <c r="K63" s="121"/>
      <c r="L63" s="122"/>
      <c r="M63" s="58"/>
      <c r="N63" s="58"/>
      <c r="O63" s="59"/>
      <c r="P63" s="56"/>
      <c r="Q63" s="60"/>
      <c r="R63" s="61">
        <f t="shared" si="58"/>
        <v>0</v>
      </c>
      <c r="S63" s="62">
        <f t="shared" si="59"/>
        <v>0</v>
      </c>
      <c r="T63" s="63">
        <f t="shared" si="60"/>
        <v>0</v>
      </c>
      <c r="U63" s="64"/>
      <c r="V63" s="65"/>
      <c r="W63" s="66"/>
      <c r="X63" s="67"/>
      <c r="Y63" s="68"/>
      <c r="Z63" s="68"/>
      <c r="AA63" s="62">
        <f t="shared" si="61"/>
        <v>0</v>
      </c>
      <c r="AB63" s="63">
        <f t="shared" si="62"/>
        <v>0</v>
      </c>
      <c r="AC63" s="69"/>
      <c r="AD63" s="70"/>
      <c r="AE63" s="70"/>
      <c r="AF63" s="62">
        <f t="shared" si="63"/>
        <v>0</v>
      </c>
      <c r="AG63" s="63">
        <f t="shared" si="20"/>
        <v>0</v>
      </c>
      <c r="AH63" s="89"/>
      <c r="AI63" s="66"/>
      <c r="AJ63" s="66"/>
      <c r="AK63" s="62">
        <f t="shared" si="64"/>
        <v>0</v>
      </c>
      <c r="AL63" s="72">
        <f t="shared" si="34"/>
        <v>0</v>
      </c>
      <c r="AM63" s="73">
        <f t="shared" si="65"/>
        <v>0</v>
      </c>
      <c r="AN63" s="80">
        <f t="shared" si="66"/>
        <v>0</v>
      </c>
      <c r="AO63" s="80">
        <f t="shared" si="67"/>
        <v>0</v>
      </c>
      <c r="AP63" s="75" t="e">
        <f t="shared" si="68"/>
        <v>#DIV/0!</v>
      </c>
      <c r="AQ63" s="76">
        <f t="shared" si="69"/>
        <v>0</v>
      </c>
      <c r="AR63" s="90">
        <f t="shared" si="32"/>
        <v>0</v>
      </c>
    </row>
    <row r="64" spans="1:49" x14ac:dyDescent="0.25">
      <c r="A64" t="str">
        <f t="shared" si="13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55"/>
        <v>0</v>
      </c>
      <c r="H64" s="72">
        <f t="shared" si="56"/>
        <v>0</v>
      </c>
      <c r="I64" s="123"/>
      <c r="J64" s="120"/>
      <c r="K64" s="121"/>
      <c r="L64" s="121"/>
      <c r="M64" s="58"/>
      <c r="N64" s="58"/>
      <c r="O64" s="59"/>
      <c r="P64" s="56"/>
      <c r="Q64" s="60"/>
      <c r="R64" s="61">
        <f t="shared" si="58"/>
        <v>0</v>
      </c>
      <c r="S64" s="62">
        <f t="shared" si="59"/>
        <v>0</v>
      </c>
      <c r="T64" s="63">
        <f t="shared" si="60"/>
        <v>0</v>
      </c>
      <c r="U64" s="64"/>
      <c r="V64" s="65"/>
      <c r="W64" s="66"/>
      <c r="X64" s="67"/>
      <c r="Y64" s="68"/>
      <c r="Z64" s="68"/>
      <c r="AA64" s="62">
        <f t="shared" si="61"/>
        <v>0</v>
      </c>
      <c r="AB64" s="63">
        <f t="shared" si="62"/>
        <v>0</v>
      </c>
      <c r="AC64" s="69"/>
      <c r="AD64" s="70"/>
      <c r="AE64" s="70"/>
      <c r="AF64" s="62">
        <f t="shared" si="63"/>
        <v>0</v>
      </c>
      <c r="AG64" s="63">
        <f t="shared" si="20"/>
        <v>0</v>
      </c>
      <c r="AH64" s="89"/>
      <c r="AI64" s="66"/>
      <c r="AJ64" s="66"/>
      <c r="AK64" s="62">
        <f t="shared" si="64"/>
        <v>0</v>
      </c>
      <c r="AL64" s="72">
        <f t="shared" si="34"/>
        <v>0</v>
      </c>
      <c r="AM64" s="73">
        <f t="shared" si="65"/>
        <v>0</v>
      </c>
      <c r="AN64" s="80">
        <f t="shared" si="66"/>
        <v>0</v>
      </c>
      <c r="AO64" s="80">
        <f t="shared" si="67"/>
        <v>0</v>
      </c>
      <c r="AP64" s="75" t="e">
        <f t="shared" si="68"/>
        <v>#DIV/0!</v>
      </c>
      <c r="AQ64" s="76">
        <f t="shared" si="69"/>
        <v>0</v>
      </c>
      <c r="AR64" s="90">
        <f t="shared" si="32"/>
        <v>0</v>
      </c>
    </row>
    <row r="65" spans="1:49" x14ac:dyDescent="0.25">
      <c r="A65" t="str">
        <f t="shared" si="13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55"/>
        <v>0</v>
      </c>
      <c r="H65" s="72">
        <f t="shared" si="56"/>
        <v>0</v>
      </c>
      <c r="I65" s="123"/>
      <c r="J65" s="120"/>
      <c r="K65" s="121"/>
      <c r="L65" s="121"/>
      <c r="M65" s="58"/>
      <c r="N65" s="58"/>
      <c r="O65" s="59"/>
      <c r="P65" s="56"/>
      <c r="Q65" s="60"/>
      <c r="R65" s="61">
        <f t="shared" si="58"/>
        <v>0</v>
      </c>
      <c r="S65" s="62">
        <f t="shared" si="59"/>
        <v>0</v>
      </c>
      <c r="T65" s="63">
        <f t="shared" si="60"/>
        <v>0</v>
      </c>
      <c r="U65" s="64"/>
      <c r="V65" s="65"/>
      <c r="W65" s="66"/>
      <c r="X65" s="67"/>
      <c r="Y65" s="68"/>
      <c r="Z65" s="68"/>
      <c r="AA65" s="62">
        <f t="shared" si="61"/>
        <v>0</v>
      </c>
      <c r="AB65" s="63">
        <f t="shared" si="62"/>
        <v>0</v>
      </c>
      <c r="AC65" s="69"/>
      <c r="AD65" s="70"/>
      <c r="AE65" s="70"/>
      <c r="AF65" s="62">
        <f t="shared" si="63"/>
        <v>0</v>
      </c>
      <c r="AG65" s="63">
        <f t="shared" si="20"/>
        <v>0</v>
      </c>
      <c r="AH65" s="89"/>
      <c r="AI65" s="66"/>
      <c r="AJ65" s="66"/>
      <c r="AK65" s="62">
        <f t="shared" si="64"/>
        <v>0</v>
      </c>
      <c r="AL65" s="72">
        <f t="shared" si="34"/>
        <v>0</v>
      </c>
      <c r="AM65" s="73">
        <f t="shared" si="65"/>
        <v>0</v>
      </c>
      <c r="AN65" s="80">
        <f t="shared" si="66"/>
        <v>0</v>
      </c>
      <c r="AO65" s="80">
        <f t="shared" si="67"/>
        <v>0</v>
      </c>
      <c r="AP65" s="75" t="e">
        <f t="shared" si="68"/>
        <v>#DIV/0!</v>
      </c>
      <c r="AQ65" s="76">
        <f t="shared" si="69"/>
        <v>0</v>
      </c>
      <c r="AR65" s="90">
        <f t="shared" si="32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176591.13099999999</v>
      </c>
      <c r="AM66" s="83">
        <f>-SUM(AM4:AM65)</f>
        <v>-491.13100000000304</v>
      </c>
      <c r="AN66" s="83">
        <f t="shared" ref="AN66:AO66" si="70">-SUM(AN4:AN65)</f>
        <v>140.15200600000003</v>
      </c>
      <c r="AO66" s="83">
        <f t="shared" si="70"/>
        <v>-129.97403100000133</v>
      </c>
      <c r="AQ66" s="83">
        <f>-SUM(AQ4:AQ65)</f>
        <v>24017.875509319612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" priority="2" operator="lessThan">
      <formula>0.1</formula>
    </cfRule>
    <cfRule type="cellIs" dxfId="3" priority="3" operator="greaterThan">
      <formula>0.1</formula>
    </cfRule>
  </conditionalFormatting>
  <conditionalFormatting sqref="AP1:AQ1">
    <cfRule type="cellIs" dxfId="2" priority="1" operator="lessThan">
      <formula>1</formula>
    </cfRule>
  </conditionalFormatting>
  <conditionalFormatting sqref="AQ4:AQ65">
    <cfRule type="cellIs" dxfId="1" priority="12" operator="lessThan">
      <formula>0</formula>
    </cfRule>
    <cfRule type="cellIs" dxfId="0" priority="1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Sumarry</vt:lpstr>
      <vt:lpstr>Manjhaul</vt:lpstr>
      <vt:lpstr>Hasanpur</vt:lpstr>
      <vt:lpstr>Singhia </vt:lpstr>
      <vt:lpstr>Sahibpur Kamal</vt:lpstr>
      <vt:lpstr>Matihani</vt:lpstr>
      <vt:lpstr>Bachhwara</vt:lpstr>
      <vt:lpstr>Alauli</vt:lpstr>
      <vt:lpstr>Dalsingsarai</vt:lpstr>
      <vt:lpstr>Musrigharari</vt:lpstr>
      <vt:lpstr>Mahua</vt:lpstr>
      <vt:lpstr>Warisnagar</vt:lpstr>
      <vt:lpstr>Rosera</vt:lpstr>
      <vt:lpstr>Kalyanpur</vt:lpstr>
      <vt:lpstr>Gaighat</vt:lpstr>
      <vt:lpstr>Buxar</vt:lpstr>
      <vt:lpstr>Asarganj</vt:lpstr>
      <vt:lpstr>Laldiyara</vt:lpstr>
      <vt:lpstr>Parbatta</vt:lpstr>
      <vt:lpstr>Gopalpur</vt:lpstr>
      <vt:lpstr>Sonvarsha</vt:lpstr>
      <vt:lpstr>Madhatpur</vt:lpstr>
      <vt:lpstr>Araiya</vt:lpstr>
      <vt:lpstr>Chautham</vt:lpstr>
      <vt:lpstr>Teghra</vt:lpstr>
      <vt:lpstr>Halsi</vt:lpstr>
      <vt:lpstr>Sumarry!Print_Area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RAHUL PANDIT</cp:lastModifiedBy>
  <dcterms:created xsi:type="dcterms:W3CDTF">2015-06-05T18:17:20Z</dcterms:created>
  <dcterms:modified xsi:type="dcterms:W3CDTF">2026-06-22T10:08:52Z</dcterms:modified>
</cp:coreProperties>
</file>