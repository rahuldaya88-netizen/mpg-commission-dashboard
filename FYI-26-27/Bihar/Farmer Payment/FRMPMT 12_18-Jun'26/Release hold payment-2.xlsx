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2_18-Jun'26\"/>
    </mc:Choice>
  </mc:AlternateContent>
  <xr:revisionPtr revIDLastSave="0" documentId="13_ncr:1_{F0E7AB6F-625B-4339-90AA-3EF6282476FD}" xr6:coauthVersionLast="47" xr6:coauthVersionMax="47" xr10:uidLastSave="{00000000-0000-0000-0000-000000000000}"/>
  <bookViews>
    <workbookView xWindow="-120" yWindow="-120" windowWidth="29040" windowHeight="15720" activeTab="1" xr2:uid="{4E098A76-17D4-4F41-B6CA-DA34C31A2201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2" l="1"/>
</calcChain>
</file>

<file path=xl/sharedStrings.xml><?xml version="1.0" encoding="utf-8"?>
<sst xmlns="http://schemas.openxmlformats.org/spreadsheetml/2006/main" count="213" uniqueCount="118">
  <si>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</si>
  <si>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</si>
  <si>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</si>
  <si>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</si>
  <si>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</si>
  <si>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</si>
  <si>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</si>
  <si>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</si>
  <si>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</si>
  <si>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</si>
  <si>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</si>
  <si>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</si>
  <si>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</si>
  <si>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</si>
  <si>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</si>
  <si>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</si>
  <si>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</si>
  <si>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</si>
  <si>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</si>
  <si>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</si>
  <si>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</si>
  <si>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</si>
  <si>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</si>
  <si>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</si>
  <si>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</si>
  <si>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</si>
  <si>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</si>
  <si>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</si>
  <si>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</si>
  <si>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</si>
  <si>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</si>
  <si>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Mahua BMC</t>
  </si>
  <si>
    <t>GOMUKH MAGURAHI</t>
  </si>
  <si>
    <t>MPG</t>
  </si>
  <si>
    <t>Direct</t>
  </si>
  <si>
    <t>Release2</t>
  </si>
  <si>
    <t>Hold by AE's</t>
  </si>
  <si>
    <t>12. 12-18 Jun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</si>
  <si>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</si>
  <si>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</si>
  <si>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</si>
  <si>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</si>
  <si>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</si>
  <si>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</si>
  <si>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</si>
  <si>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</si>
  <si>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</si>
  <si>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</si>
  <si>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</si>
  <si>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</si>
  <si>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</si>
  <si>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</si>
  <si>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</si>
  <si>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</si>
  <si>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</si>
  <si>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</si>
  <si>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</si>
  <si>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</si>
  <si>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106100070001</t>
  </si>
  <si>
    <t>0001</t>
  </si>
  <si>
    <t>Not Available</t>
  </si>
  <si>
    <t>106100070002</t>
  </si>
  <si>
    <t>0002</t>
  </si>
  <si>
    <t>Chandra Devi</t>
  </si>
  <si>
    <t>923010002935567</t>
  </si>
  <si>
    <t>UTIB0003687</t>
  </si>
  <si>
    <t>Axis Bank LTD</t>
  </si>
  <si>
    <t>Available</t>
  </si>
  <si>
    <t>106100070007</t>
  </si>
  <si>
    <t>0007</t>
  </si>
  <si>
    <t>Shambhu Kumar</t>
  </si>
  <si>
    <t>1864027670</t>
  </si>
  <si>
    <t>CBIN0281036</t>
  </si>
  <si>
    <t xml:space="preserve">Central Bank Of India </t>
  </si>
  <si>
    <t>106100070008</t>
  </si>
  <si>
    <t>0008</t>
  </si>
  <si>
    <t>Ranjit Ray</t>
  </si>
  <si>
    <t>1863958918</t>
  </si>
  <si>
    <t>106100070010</t>
  </si>
  <si>
    <t>0010</t>
  </si>
  <si>
    <t>Rita Kumari</t>
  </si>
  <si>
    <t>007910295360</t>
  </si>
  <si>
    <t>IPOS0000001</t>
  </si>
  <si>
    <t xml:space="preserve">India Post Payment Bank </t>
  </si>
  <si>
    <t>106100070012</t>
  </si>
  <si>
    <t>0012</t>
  </si>
  <si>
    <t>Nilam Devi</t>
  </si>
  <si>
    <t>1000971010002438</t>
  </si>
  <si>
    <t>PUNB0MBGB06</t>
  </si>
  <si>
    <t xml:space="preserve">Uttar Bihar Gramin Bank </t>
  </si>
  <si>
    <t>106100070013</t>
  </si>
  <si>
    <t>0013</t>
  </si>
  <si>
    <t>Sushil Prasad Yadav</t>
  </si>
  <si>
    <t>44790100011696</t>
  </si>
  <si>
    <t>BARB0MAHUAX</t>
  </si>
  <si>
    <t>Bank Of Baroda</t>
  </si>
  <si>
    <t>106100070014</t>
  </si>
  <si>
    <t>0014</t>
  </si>
  <si>
    <t>Tinku Kumari</t>
  </si>
  <si>
    <t>5739066716</t>
  </si>
  <si>
    <t>CBIN0282671</t>
  </si>
  <si>
    <t>106100070016</t>
  </si>
  <si>
    <t>0016</t>
  </si>
  <si>
    <t>Runa Devi</t>
  </si>
  <si>
    <t>5871531353</t>
  </si>
  <si>
    <t>106100070017</t>
  </si>
  <si>
    <t>0017</t>
  </si>
  <si>
    <t>Rahul Kumar</t>
  </si>
  <si>
    <t>3665871732</t>
  </si>
  <si>
    <t>106100070023</t>
  </si>
  <si>
    <t>0023</t>
  </si>
  <si>
    <t xml:space="preserve">Urmila Devi </t>
  </si>
  <si>
    <t>5572232401</t>
  </si>
  <si>
    <t>Central Bank Of India</t>
  </si>
  <si>
    <t>106100070068</t>
  </si>
  <si>
    <t>0068</t>
  </si>
  <si>
    <t>Ruby Kumari</t>
  </si>
  <si>
    <t>5616398267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</si>
</sst>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</cellXfs>
  <cellStyles count="6">
    <cellStyle name="Comma" xfId="1" builtinId="3"/>
    <cellStyle name="Comma 2" xfId="4" xr:uid="{B5FF1AAA-8924-4F0A-80EE-EDB1F0567D30}"/>
    <cellStyle name="Normal" xfId="0" builtinId="0"/>
    <cellStyle name="Normal 2" xfId="5" xr:uid="{8447A081-83BF-49DC-A81C-69A3E7DFC57B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22E1-898B-47BD-AC54-FE5BAFDDF728}">
  <dimension ref="A1:AC3"/>
  <sheetViews>
    <sheetView workbookViewId="0">
      <selection activeCell="O32" sqref="O32"/>
    </sheetView>
  </sheetViews>
  <sheetFormatPr defaultRowHeight="15" x14ac:dyDescent="0.25"/>
  <cols>
    <col min="13" max="13" width="11.5703125" bestFit="1" customWidth="1"/>
    <col min="14" max="14" width="12.140625" bestFit="1" customWidth="1"/>
  </cols>
  <sheetData>
    <row r="1" spans="1:29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1061</v>
      </c>
      <c r="B2" s="13" t="s">
        <v>31</v>
      </c>
      <c r="C2" s="14">
        <v>10610007</v>
      </c>
      <c r="D2" s="15" t="s">
        <v>32</v>
      </c>
      <c r="E2" s="16" t="s">
        <v>33</v>
      </c>
      <c r="F2" s="16" t="s">
        <v>34</v>
      </c>
      <c r="G2" s="17">
        <v>235.6</v>
      </c>
      <c r="H2" s="17">
        <v>11600.199999999999</v>
      </c>
      <c r="I2" s="18">
        <v>11274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-0.26432112435940786</v>
      </c>
      <c r="Q2" s="24">
        <v>12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46203</v>
      </c>
    </row>
    <row r="3" spans="1:29" x14ac:dyDescent="0.25">
      <c r="A3" s="31"/>
      <c r="B3" s="32"/>
      <c r="C3" s="31"/>
      <c r="D3" s="31"/>
      <c r="E3" s="31" t="s">
        <v>38</v>
      </c>
      <c r="F3" s="31">
        <v>977</v>
      </c>
      <c r="G3" s="33">
        <v>235.6</v>
      </c>
      <c r="H3" s="33">
        <v>11600.199999999999</v>
      </c>
      <c r="I3" s="34">
        <v>11274</v>
      </c>
      <c r="J3" s="34">
        <v>0</v>
      </c>
      <c r="K3" s="34">
        <v>0</v>
      </c>
      <c r="L3" s="19">
        <v>2</v>
      </c>
      <c r="M3" s="14"/>
      <c r="N3" s="27"/>
      <c r="O3" s="6"/>
      <c r="P3" s="35"/>
      <c r="Q3" s="36">
        <v>5798</v>
      </c>
      <c r="R3" s="26">
        <v>0</v>
      </c>
      <c r="S3" s="26">
        <v>0</v>
      </c>
      <c r="T3" s="26">
        <v>0</v>
      </c>
      <c r="U3" s="27"/>
      <c r="V3" s="25">
        <v>0</v>
      </c>
      <c r="W3" s="25">
        <v>0</v>
      </c>
      <c r="X3" s="37">
        <v>0</v>
      </c>
      <c r="Y3" s="25">
        <v>0</v>
      </c>
      <c r="Z3" s="25">
        <v>0</v>
      </c>
      <c r="AA3" s="25">
        <v>0</v>
      </c>
      <c r="AB3" s="25">
        <v>0</v>
      </c>
      <c r="AC3" s="27"/>
    </row>
  </sheetData>
  <conditionalFormatting sqref="C2">
    <cfRule type="duplicateValues" dxfId="16" priority="9"/>
    <cfRule type="duplicateValues" dxfId="15" priority="10"/>
    <cfRule type="duplicateValues" dxfId="14" priority="11"/>
  </conditionalFormatting>
  <conditionalFormatting sqref="C3 C1">
    <cfRule type="duplicateValues" dxfId="13" priority="12" stopIfTrue="1"/>
  </conditionalFormatting>
  <conditionalFormatting sqref="D3">
    <cfRule type="duplicateValues" dxfId="12" priority="5" stopIfTrue="1"/>
  </conditionalFormatting>
  <conditionalFormatting sqref="E3">
    <cfRule type="duplicateValues" dxfId="11" priority="4" stopIfTrue="1"/>
  </conditionalFormatting>
  <conditionalFormatting sqref="F2">
    <cfRule type="containsText" dxfId="10" priority="7" operator="containsText" text="Indirect">
      <formula>NOT(ISERROR(SEARCH("Indirect",F2)))</formula>
    </cfRule>
  </conditionalFormatting>
  <conditionalFormatting sqref="F3">
    <cfRule type="duplicateValues" dxfId="9" priority="3" stopIfTrue="1"/>
  </conditionalFormatting>
  <conditionalFormatting sqref="G3">
    <cfRule type="duplicateValues" dxfId="8" priority="2" stopIfTrue="1"/>
  </conditionalFormatting>
  <conditionalFormatting sqref="H3">
    <cfRule type="duplicateValues" dxfId="7" priority="1" stopIfTrue="1"/>
  </conditionalFormatting>
  <conditionalFormatting sqref="I2:K2">
    <cfRule type="cellIs" dxfId="6" priority="6" operator="lessThan">
      <formula>-1</formula>
    </cfRule>
  </conditionalFormatting>
  <conditionalFormatting sqref="AA2:AB2">
    <cfRule type="cellIs" dxfId="5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C4DC-1FA0-43D3-BF95-ADED28D703D8}">
  <dimension ref="A1:AC14"/>
  <sheetViews>
    <sheetView tabSelected="1" workbookViewId="0">
      <selection activeCell="R23" sqref="R23"/>
    </sheetView>
  </sheetViews>
  <sheetFormatPr defaultRowHeight="15" x14ac:dyDescent="0.25"/>
  <cols>
    <col min="1" max="1" width="13.140625" bestFit="1" customWidth="1"/>
    <col min="2" max="3" width="11.42578125" bestFit="1" customWidth="1"/>
    <col min="4" max="4" width="19.1406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19.140625" bestFit="1" customWidth="1"/>
    <col min="19" max="19" width="17.28515625" bestFit="1" customWidth="1"/>
    <col min="20" max="20" width="14.28515625" bestFit="1" customWidth="1"/>
    <col min="21" max="21" width="23.570312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8" t="s">
        <v>39</v>
      </c>
      <c r="B1" s="38" t="s">
        <v>1</v>
      </c>
      <c r="C1" s="38" t="s">
        <v>40</v>
      </c>
      <c r="D1" s="38" t="s">
        <v>41</v>
      </c>
      <c r="E1" s="39" t="s">
        <v>42</v>
      </c>
      <c r="F1" s="40" t="s">
        <v>43</v>
      </c>
      <c r="G1" s="41" t="s">
        <v>44</v>
      </c>
      <c r="H1" s="40" t="s">
        <v>45</v>
      </c>
      <c r="I1" s="40" t="s">
        <v>46</v>
      </c>
      <c r="J1" s="42" t="s">
        <v>8</v>
      </c>
      <c r="K1" s="42" t="s">
        <v>47</v>
      </c>
      <c r="L1" s="42" t="s">
        <v>48</v>
      </c>
      <c r="M1" s="42" t="s">
        <v>9</v>
      </c>
      <c r="N1" s="42" t="s">
        <v>10</v>
      </c>
      <c r="O1" s="42" t="s">
        <v>14</v>
      </c>
      <c r="P1" s="42" t="s">
        <v>49</v>
      </c>
      <c r="Q1" s="43" t="s">
        <v>50</v>
      </c>
      <c r="R1" s="44" t="s">
        <v>51</v>
      </c>
      <c r="S1" s="44" t="s">
        <v>52</v>
      </c>
      <c r="T1" s="44" t="s">
        <v>53</v>
      </c>
      <c r="U1" s="44" t="s">
        <v>54</v>
      </c>
      <c r="V1" s="45" t="s">
        <v>55</v>
      </c>
      <c r="W1" s="46" t="s">
        <v>16</v>
      </c>
      <c r="X1" s="47"/>
      <c r="Y1" s="48" t="s">
        <v>56</v>
      </c>
      <c r="AC1" t="s">
        <v>57</v>
      </c>
    </row>
    <row r="2" spans="1:29" x14ac:dyDescent="0.25">
      <c r="A2" t="s">
        <v>58</v>
      </c>
      <c r="B2" t="s">
        <v>31</v>
      </c>
      <c r="C2" s="49" t="s">
        <v>31</v>
      </c>
      <c r="D2" t="s">
        <v>32</v>
      </c>
      <c r="E2" s="49">
        <v>10610007</v>
      </c>
      <c r="F2" t="s">
        <v>59</v>
      </c>
      <c r="G2">
        <v>13</v>
      </c>
      <c r="H2" s="50">
        <v>5.2</v>
      </c>
      <c r="I2" s="50">
        <v>325.73582867200003</v>
      </c>
      <c r="J2" s="51">
        <v>0</v>
      </c>
      <c r="K2" s="51">
        <v>325.73582867200003</v>
      </c>
      <c r="L2" s="51">
        <v>0</v>
      </c>
      <c r="M2" s="50">
        <v>0</v>
      </c>
      <c r="N2" s="50">
        <v>0</v>
      </c>
      <c r="O2" s="51" t="s">
        <v>35</v>
      </c>
      <c r="P2" s="51">
        <v>0</v>
      </c>
      <c r="Q2" s="49" t="s">
        <v>34</v>
      </c>
      <c r="R2">
        <v>0</v>
      </c>
      <c r="S2">
        <v>0</v>
      </c>
      <c r="T2">
        <v>0</v>
      </c>
      <c r="U2">
        <v>0</v>
      </c>
      <c r="V2" t="s">
        <v>60</v>
      </c>
      <c r="W2" t="s">
        <v>37</v>
      </c>
      <c r="Y2" s="52">
        <v>0</v>
      </c>
    </row>
    <row r="3" spans="1:29" x14ac:dyDescent="0.25">
      <c r="A3" t="s">
        <v>61</v>
      </c>
      <c r="B3" t="s">
        <v>31</v>
      </c>
      <c r="C3" s="49" t="s">
        <v>31</v>
      </c>
      <c r="D3" t="s">
        <v>32</v>
      </c>
      <c r="E3" s="49">
        <v>10610007</v>
      </c>
      <c r="F3" t="s">
        <v>62</v>
      </c>
      <c r="G3">
        <v>13</v>
      </c>
      <c r="H3" s="50">
        <v>54.300000000000004</v>
      </c>
      <c r="I3" s="50">
        <v>2371.9925715898003</v>
      </c>
      <c r="J3" s="51">
        <v>0</v>
      </c>
      <c r="K3" s="51">
        <v>0</v>
      </c>
      <c r="L3" s="51">
        <v>2371.9925715898003</v>
      </c>
      <c r="M3" s="50">
        <v>0</v>
      </c>
      <c r="N3" s="50">
        <v>0</v>
      </c>
      <c r="O3" s="51" t="s">
        <v>35</v>
      </c>
      <c r="P3" s="51">
        <v>0</v>
      </c>
      <c r="Q3" s="49" t="s">
        <v>34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37</v>
      </c>
      <c r="Y3" s="52">
        <v>28.394017891958931</v>
      </c>
    </row>
    <row r="4" spans="1:29" x14ac:dyDescent="0.25">
      <c r="A4" t="s">
        <v>68</v>
      </c>
      <c r="B4" t="s">
        <v>31</v>
      </c>
      <c r="C4" s="49" t="s">
        <v>31</v>
      </c>
      <c r="D4" t="s">
        <v>32</v>
      </c>
      <c r="E4" s="49">
        <v>10610007</v>
      </c>
      <c r="F4" t="s">
        <v>69</v>
      </c>
      <c r="G4">
        <v>14</v>
      </c>
      <c r="H4" s="50">
        <v>63.699999999999989</v>
      </c>
      <c r="I4" s="50">
        <v>2186.1956422170001</v>
      </c>
      <c r="J4" s="51">
        <v>0</v>
      </c>
      <c r="K4" s="51">
        <v>0</v>
      </c>
      <c r="L4" s="51">
        <v>200</v>
      </c>
      <c r="M4" s="50">
        <v>0</v>
      </c>
      <c r="N4" s="50">
        <v>0</v>
      </c>
      <c r="O4" s="51" t="s">
        <v>35</v>
      </c>
      <c r="P4" s="51">
        <v>1986</v>
      </c>
      <c r="Q4" s="49" t="s">
        <v>34</v>
      </c>
      <c r="R4" t="s">
        <v>70</v>
      </c>
      <c r="S4" t="s">
        <v>71</v>
      </c>
      <c r="T4" t="s">
        <v>72</v>
      </c>
      <c r="U4" t="s">
        <v>73</v>
      </c>
      <c r="V4" t="s">
        <v>67</v>
      </c>
      <c r="W4" t="s">
        <v>37</v>
      </c>
      <c r="Y4" s="52">
        <v>24.024127936450558</v>
      </c>
    </row>
    <row r="5" spans="1:29" x14ac:dyDescent="0.25">
      <c r="A5" t="s">
        <v>74</v>
      </c>
      <c r="B5" t="s">
        <v>31</v>
      </c>
      <c r="C5" s="49" t="s">
        <v>31</v>
      </c>
      <c r="D5" t="s">
        <v>32</v>
      </c>
      <c r="E5" s="49">
        <v>10610007</v>
      </c>
      <c r="F5" t="s">
        <v>75</v>
      </c>
      <c r="G5">
        <v>11</v>
      </c>
      <c r="H5" s="50">
        <v>16.899999999999999</v>
      </c>
      <c r="I5" s="50">
        <v>623.60901738149994</v>
      </c>
      <c r="J5" s="51">
        <v>0</v>
      </c>
      <c r="K5" s="51">
        <v>0</v>
      </c>
      <c r="L5" s="51">
        <v>0</v>
      </c>
      <c r="M5" s="50">
        <v>0</v>
      </c>
      <c r="N5" s="50">
        <v>0</v>
      </c>
      <c r="O5" s="51" t="s">
        <v>35</v>
      </c>
      <c r="P5" s="51">
        <v>624</v>
      </c>
      <c r="Q5" s="49" t="s">
        <v>34</v>
      </c>
      <c r="R5" t="s">
        <v>76</v>
      </c>
      <c r="S5" t="s">
        <v>77</v>
      </c>
      <c r="T5" t="s">
        <v>72</v>
      </c>
      <c r="U5" t="s">
        <v>73</v>
      </c>
      <c r="V5" t="s">
        <v>67</v>
      </c>
      <c r="W5" t="s">
        <v>37</v>
      </c>
      <c r="Y5" s="52">
        <v>20.294968021291421</v>
      </c>
    </row>
    <row r="6" spans="1:29" x14ac:dyDescent="0.25">
      <c r="A6" t="s">
        <v>78</v>
      </c>
      <c r="B6" t="s">
        <v>31</v>
      </c>
      <c r="C6" s="49" t="s">
        <v>31</v>
      </c>
      <c r="D6" t="s">
        <v>32</v>
      </c>
      <c r="E6" s="49">
        <v>10610007</v>
      </c>
      <c r="F6" t="s">
        <v>79</v>
      </c>
      <c r="G6">
        <v>7</v>
      </c>
      <c r="H6" s="50">
        <v>15.899999999999999</v>
      </c>
      <c r="I6" s="50">
        <v>1150.9478838229998</v>
      </c>
      <c r="J6" s="51">
        <v>0</v>
      </c>
      <c r="K6" s="51">
        <v>0</v>
      </c>
      <c r="L6" s="51">
        <v>0</v>
      </c>
      <c r="M6" s="50">
        <v>0</v>
      </c>
      <c r="N6" s="50">
        <v>0</v>
      </c>
      <c r="O6" s="51" t="s">
        <v>35</v>
      </c>
      <c r="P6" s="51">
        <v>1151</v>
      </c>
      <c r="Q6" s="49" t="s">
        <v>34</v>
      </c>
      <c r="R6" t="s">
        <v>80</v>
      </c>
      <c r="S6" t="s">
        <v>81</v>
      </c>
      <c r="T6" t="s">
        <v>82</v>
      </c>
      <c r="U6" t="s">
        <v>83</v>
      </c>
      <c r="V6" t="s">
        <v>67</v>
      </c>
      <c r="W6" t="s">
        <v>37</v>
      </c>
      <c r="Y6" s="52">
        <v>25.335330775977987</v>
      </c>
    </row>
    <row r="7" spans="1:29" x14ac:dyDescent="0.25">
      <c r="A7" t="s">
        <v>84</v>
      </c>
      <c r="B7" t="s">
        <v>31</v>
      </c>
      <c r="C7" s="49" t="s">
        <v>31</v>
      </c>
      <c r="D7" t="s">
        <v>32</v>
      </c>
      <c r="E7" s="49">
        <v>10610007</v>
      </c>
      <c r="F7" t="s">
        <v>85</v>
      </c>
      <c r="G7">
        <v>6</v>
      </c>
      <c r="H7" s="50">
        <v>8.8999999999999986</v>
      </c>
      <c r="I7" s="50">
        <v>341.21167259550003</v>
      </c>
      <c r="J7" s="51">
        <v>0</v>
      </c>
      <c r="K7" s="51">
        <v>0</v>
      </c>
      <c r="L7" s="51">
        <v>0</v>
      </c>
      <c r="M7" s="50">
        <v>0</v>
      </c>
      <c r="N7" s="50">
        <v>0</v>
      </c>
      <c r="O7" s="51" t="s">
        <v>35</v>
      </c>
      <c r="P7" s="51">
        <v>341</v>
      </c>
      <c r="Q7" s="49" t="s">
        <v>34</v>
      </c>
      <c r="R7" t="s">
        <v>86</v>
      </c>
      <c r="S7" t="s">
        <v>87</v>
      </c>
      <c r="T7" t="s">
        <v>88</v>
      </c>
      <c r="U7" t="s">
        <v>89</v>
      </c>
      <c r="V7" t="s">
        <v>67</v>
      </c>
      <c r="W7" t="s">
        <v>37</v>
      </c>
      <c r="Y7" s="52">
        <v>11.501517053780903</v>
      </c>
    </row>
    <row r="8" spans="1:29" x14ac:dyDescent="0.25">
      <c r="A8" t="s">
        <v>90</v>
      </c>
      <c r="B8" t="s">
        <v>31</v>
      </c>
      <c r="C8" s="49" t="s">
        <v>31</v>
      </c>
      <c r="D8" t="s">
        <v>32</v>
      </c>
      <c r="E8" s="49">
        <v>10610007</v>
      </c>
      <c r="F8" t="s">
        <v>91</v>
      </c>
      <c r="G8">
        <v>9</v>
      </c>
      <c r="H8" s="50">
        <v>23.800000000000004</v>
      </c>
      <c r="I8" s="50">
        <v>1809.8665055870001</v>
      </c>
      <c r="J8" s="51">
        <v>0</v>
      </c>
      <c r="K8" s="51">
        <v>0</v>
      </c>
      <c r="L8" s="51">
        <v>200</v>
      </c>
      <c r="M8" s="50">
        <v>0</v>
      </c>
      <c r="N8" s="50">
        <v>0</v>
      </c>
      <c r="O8" s="51" t="s">
        <v>35</v>
      </c>
      <c r="P8" s="51">
        <v>1610</v>
      </c>
      <c r="Q8" s="49" t="s">
        <v>34</v>
      </c>
      <c r="R8" t="s">
        <v>92</v>
      </c>
      <c r="S8" t="s">
        <v>93</v>
      </c>
      <c r="T8" t="s">
        <v>94</v>
      </c>
      <c r="U8" t="s">
        <v>95</v>
      </c>
      <c r="V8" t="s">
        <v>67</v>
      </c>
      <c r="W8" t="s">
        <v>37</v>
      </c>
      <c r="Y8" s="52">
        <v>34.220165021602938</v>
      </c>
    </row>
    <row r="9" spans="1:29" x14ac:dyDescent="0.25">
      <c r="A9" t="s">
        <v>96</v>
      </c>
      <c r="B9" t="s">
        <v>31</v>
      </c>
      <c r="C9" s="49" t="s">
        <v>31</v>
      </c>
      <c r="D9" t="s">
        <v>32</v>
      </c>
      <c r="E9" s="49">
        <v>10610007</v>
      </c>
      <c r="F9" t="s">
        <v>97</v>
      </c>
      <c r="G9">
        <v>7</v>
      </c>
      <c r="H9" s="50">
        <v>11.7</v>
      </c>
      <c r="I9" s="50">
        <v>887.0603068490002</v>
      </c>
      <c r="J9" s="51">
        <v>0</v>
      </c>
      <c r="K9" s="51">
        <v>0</v>
      </c>
      <c r="L9" s="51">
        <v>0</v>
      </c>
      <c r="M9" s="50">
        <v>0</v>
      </c>
      <c r="N9" s="50">
        <v>0</v>
      </c>
      <c r="O9" s="51" t="s">
        <v>35</v>
      </c>
      <c r="P9" s="51">
        <v>887</v>
      </c>
      <c r="Q9" s="49" t="s">
        <v>34</v>
      </c>
      <c r="R9" t="s">
        <v>98</v>
      </c>
      <c r="S9" t="s">
        <v>99</v>
      </c>
      <c r="T9" t="s">
        <v>100</v>
      </c>
      <c r="U9" t="s">
        <v>73</v>
      </c>
      <c r="V9" t="s">
        <v>67</v>
      </c>
      <c r="W9" t="s">
        <v>37</v>
      </c>
      <c r="Y9" s="52">
        <v>26.535992085226503</v>
      </c>
    </row>
    <row r="10" spans="1:29" x14ac:dyDescent="0.25">
      <c r="A10" t="s">
        <v>101</v>
      </c>
      <c r="B10" t="s">
        <v>31</v>
      </c>
      <c r="C10" s="49" t="s">
        <v>31</v>
      </c>
      <c r="D10" t="s">
        <v>32</v>
      </c>
      <c r="E10" s="49">
        <v>10610007</v>
      </c>
      <c r="F10" t="s">
        <v>102</v>
      </c>
      <c r="G10">
        <v>1</v>
      </c>
      <c r="H10" s="50">
        <v>2.7</v>
      </c>
      <c r="I10" s="50">
        <v>134.73386835400001</v>
      </c>
      <c r="J10" s="51">
        <v>0</v>
      </c>
      <c r="K10" s="51">
        <v>0</v>
      </c>
      <c r="L10" s="51">
        <v>0</v>
      </c>
      <c r="M10" s="50">
        <v>0</v>
      </c>
      <c r="N10" s="50">
        <v>0</v>
      </c>
      <c r="O10" s="51" t="s">
        <v>35</v>
      </c>
      <c r="P10" s="51">
        <v>135</v>
      </c>
      <c r="Q10" s="49" t="s">
        <v>34</v>
      </c>
      <c r="R10" t="s">
        <v>103</v>
      </c>
      <c r="S10" t="s">
        <v>104</v>
      </c>
      <c r="T10" t="s">
        <v>72</v>
      </c>
      <c r="U10" t="s">
        <v>73</v>
      </c>
      <c r="V10" t="s">
        <v>67</v>
      </c>
      <c r="W10" t="s">
        <v>37</v>
      </c>
      <c r="Y10" s="52">
        <v>2.4950716361851857</v>
      </c>
    </row>
    <row r="11" spans="1:29" x14ac:dyDescent="0.25">
      <c r="A11" t="s">
        <v>105</v>
      </c>
      <c r="B11" t="s">
        <v>31</v>
      </c>
      <c r="C11" s="49" t="s">
        <v>31</v>
      </c>
      <c r="D11" t="s">
        <v>32</v>
      </c>
      <c r="E11" s="49">
        <v>10610007</v>
      </c>
      <c r="F11" t="s">
        <v>106</v>
      </c>
      <c r="G11">
        <v>14</v>
      </c>
      <c r="H11" s="50">
        <v>24.8</v>
      </c>
      <c r="I11" s="50">
        <v>1130.3627653212</v>
      </c>
      <c r="J11" s="51">
        <v>0</v>
      </c>
      <c r="K11" s="51">
        <v>0</v>
      </c>
      <c r="L11" s="51">
        <v>0</v>
      </c>
      <c r="M11" s="50">
        <v>0</v>
      </c>
      <c r="N11" s="50">
        <v>0</v>
      </c>
      <c r="O11" s="51" t="s">
        <v>35</v>
      </c>
      <c r="P11" s="51">
        <v>1130</v>
      </c>
      <c r="Q11" s="49" t="s">
        <v>34</v>
      </c>
      <c r="R11" t="s">
        <v>107</v>
      </c>
      <c r="S11" t="s">
        <v>108</v>
      </c>
      <c r="T11" t="s">
        <v>72</v>
      </c>
      <c r="U11" t="s">
        <v>73</v>
      </c>
      <c r="V11" t="s">
        <v>67</v>
      </c>
      <c r="W11" t="s">
        <v>37</v>
      </c>
      <c r="Y11" s="52">
        <v>31.90540063406613</v>
      </c>
    </row>
    <row r="12" spans="1:29" x14ac:dyDescent="0.25">
      <c r="A12" t="s">
        <v>109</v>
      </c>
      <c r="B12" t="s">
        <v>31</v>
      </c>
      <c r="C12" s="49" t="s">
        <v>31</v>
      </c>
      <c r="D12" t="s">
        <v>32</v>
      </c>
      <c r="E12" s="49">
        <v>10610007</v>
      </c>
      <c r="F12" t="s">
        <v>110</v>
      </c>
      <c r="G12">
        <v>7</v>
      </c>
      <c r="H12" s="50">
        <v>18.7</v>
      </c>
      <c r="I12" s="50">
        <v>1487.8941645240002</v>
      </c>
      <c r="J12" s="51">
        <v>0</v>
      </c>
      <c r="K12" s="51">
        <v>0</v>
      </c>
      <c r="L12" s="51">
        <v>95</v>
      </c>
      <c r="M12" s="50">
        <v>0</v>
      </c>
      <c r="N12" s="50">
        <v>0</v>
      </c>
      <c r="O12" s="51" t="s">
        <v>35</v>
      </c>
      <c r="P12" s="51">
        <v>1393</v>
      </c>
      <c r="Q12" s="49" t="s">
        <v>34</v>
      </c>
      <c r="R12" t="s">
        <v>111</v>
      </c>
      <c r="S12" t="s">
        <v>112</v>
      </c>
      <c r="T12" t="s">
        <v>100</v>
      </c>
      <c r="U12" t="s">
        <v>113</v>
      </c>
      <c r="V12" t="s">
        <v>67</v>
      </c>
      <c r="W12" t="s">
        <v>37</v>
      </c>
      <c r="Y12" s="52">
        <v>27.848286501786106</v>
      </c>
    </row>
    <row r="13" spans="1:29" ht="15.75" thickBot="1" x14ac:dyDescent="0.3">
      <c r="A13" s="53" t="s">
        <v>114</v>
      </c>
      <c r="B13" s="53" t="s">
        <v>31</v>
      </c>
      <c r="C13" s="54" t="s">
        <v>31</v>
      </c>
      <c r="D13" s="53" t="s">
        <v>32</v>
      </c>
      <c r="E13" s="54">
        <v>10610007</v>
      </c>
      <c r="F13" s="53" t="s">
        <v>115</v>
      </c>
      <c r="G13" s="53">
        <v>14</v>
      </c>
      <c r="H13" s="55">
        <v>57.4</v>
      </c>
      <c r="I13" s="55">
        <v>2216.7676798799998</v>
      </c>
      <c r="J13" s="56">
        <v>0</v>
      </c>
      <c r="K13" s="56">
        <v>0</v>
      </c>
      <c r="L13" s="56">
        <v>200</v>
      </c>
      <c r="M13" s="55">
        <v>0</v>
      </c>
      <c r="N13" s="55">
        <v>0</v>
      </c>
      <c r="O13" s="56" t="s">
        <v>35</v>
      </c>
      <c r="P13" s="56">
        <v>2017</v>
      </c>
      <c r="Q13" s="54" t="s">
        <v>34</v>
      </c>
      <c r="R13" s="53" t="s">
        <v>116</v>
      </c>
      <c r="S13" s="53" t="s">
        <v>117</v>
      </c>
      <c r="T13" s="53" t="s">
        <v>72</v>
      </c>
      <c r="U13" s="53" t="s">
        <v>113</v>
      </c>
      <c r="V13" s="53" t="s">
        <v>67</v>
      </c>
      <c r="W13" s="53" t="s">
        <v>37</v>
      </c>
      <c r="Y13" s="52">
        <v>27.03375219365854</v>
      </c>
    </row>
    <row r="14" spans="1:29" ht="15.75" thickBot="1" x14ac:dyDescent="0.3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8">
        <f>SUM(P2:P13)</f>
        <v>11274</v>
      </c>
      <c r="Q14" s="57"/>
      <c r="R14" s="57"/>
      <c r="S14" s="57"/>
      <c r="T14" s="57"/>
      <c r="U14" s="57"/>
      <c r="V14" s="57"/>
      <c r="W14" s="57"/>
    </row>
  </sheetData>
  <conditionalFormatting sqref="A2:A13">
    <cfRule type="duplicateValues" dxfId="4" priority="2"/>
    <cfRule type="duplicateValues" dxfId="3" priority="3"/>
  </conditionalFormatting>
  <conditionalFormatting sqref="P1:P13">
    <cfRule type="cellIs" dxfId="2" priority="4" operator="lessThan">
      <formula>0</formula>
    </cfRule>
  </conditionalFormatting>
  <conditionalFormatting sqref="P2:P13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2026-06-29T06:49:03Z</dcterms:created>
  <dcterms:modified xsi:type="dcterms:W3CDTF">2026-07-03T07:48:23Z</dcterms:modified>
</cp:coreProperties>
</file>