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"/>
    </mc:Choice>
  </mc:AlternateContent>
  <xr:revisionPtr revIDLastSave="0" documentId="8_{2EC3D818-8D93-4062-AA68-B88371804AB5}" xr6:coauthVersionLast="47" xr6:coauthVersionMax="47" xr10:uidLastSave="{00000000-0000-0000-0000-000000000000}"/>
  <bookViews>
    <workbookView xWindow="-120" yWindow="-120" windowWidth="29040" windowHeight="15720" xr2:uid="{AE3A37EE-8338-48C9-BFC7-D12B4AA4D59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/>
</calcChain>
</file>

<file path=xl/sharedStrings.xml><?xml version="1.0" encoding="utf-8"?>
<sst xmlns="http://schemas.openxmlformats.org/spreadsheetml/2006/main" count="213" uniqueCount="110">
  <si>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</si>
  <si>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</si>
  <si>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</si>
  <si>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</si>
  <si>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</si>
  <si>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</si>
  <si>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</si>
  <si>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</si>
  <si>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</si>
  <si>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</si>
  <si>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</si>
  <si>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</si>
  <si>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</si>
  <si>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</si>
  <si>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</si>
  <si>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</si>
  <si>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</si>
  <si>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</si>
  <si>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</si>
  <si>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</si>
  <si>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</si>
  <si>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</si>
  <si>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</si>
  <si>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</si>
  <si>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</si>
  <si>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</si>
  <si>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</si>
  <si>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</si>
  <si>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</si>
  <si>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</si>
  <si>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</si>
  <si>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Gopalpur Bmc</t>
  </si>
  <si>
    <t>BASMATIYA</t>
  </si>
  <si>
    <t>MPG</t>
  </si>
  <si>
    <t>Direct</t>
  </si>
  <si>
    <t>Release3</t>
  </si>
  <si>
    <t>CF OS&gt;15 Day's</t>
  </si>
  <si>
    <t>12. 12-18 Jun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</si>
  <si>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</si>
  <si>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</si>
  <si>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</si>
  <si>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</si>
  <si>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</si>
  <si>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</si>
  <si>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</si>
  <si>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</si>
  <si>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</si>
  <si>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</si>
  <si>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</si>
  <si>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</si>
  <si>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</si>
  <si>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</si>
  <si>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</si>
  <si>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</si>
  <si>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</si>
  <si>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</si>
  <si>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</si>
  <si>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</si>
  <si>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100600740001</t>
  </si>
  <si>
    <t>0001</t>
  </si>
  <si>
    <t>Not Available</t>
  </si>
  <si>
    <t>100600740002</t>
  </si>
  <si>
    <t>0002</t>
  </si>
  <si>
    <t xml:space="preserve">Sumit Raj </t>
  </si>
  <si>
    <t>1648000100108418</t>
  </si>
  <si>
    <t>PUNB0164800</t>
  </si>
  <si>
    <t xml:space="preserve">Punjab National Bank </t>
  </si>
  <si>
    <t>Available</t>
  </si>
  <si>
    <t>100600740003</t>
  </si>
  <si>
    <t>0003</t>
  </si>
  <si>
    <t xml:space="preserve">Babita Kumari </t>
  </si>
  <si>
    <t>1648000100105165</t>
  </si>
  <si>
    <t>100600740008</t>
  </si>
  <si>
    <t>0008</t>
  </si>
  <si>
    <t xml:space="preserve">Anuradha Devi </t>
  </si>
  <si>
    <t>1648000100121312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</si>
  <si>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</si>
  <si>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</si>
  <si>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</si>
  <si>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</si>
  <si>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</si>
  <si>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</si>
  <si>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100600740011</t>
  </si>
  <si>
    <t>0011</t>
  </si>
  <si>
    <t xml:space="preserve">Akash Kumar </t>
  </si>
  <si>
    <t>1648000100091020</t>
  </si>
  <si>
    <t>100600740012</t>
  </si>
  <si>
    <t>0012</t>
  </si>
  <si>
    <t xml:space="preserve">Randhir Kumar </t>
  </si>
  <si>
    <t>1648000100093903</t>
  </si>
  <si>
    <t>100600740014</t>
  </si>
  <si>
    <t>0014</t>
  </si>
  <si>
    <t xml:space="preserve">Nishant Kumar </t>
  </si>
  <si>
    <t>1648001700134256</t>
  </si>
  <si>
    <t>100600740015</t>
  </si>
  <si>
    <t>0015</t>
  </si>
  <si>
    <t>Puja Kumari</t>
  </si>
  <si>
    <t>1648001700159121</t>
  </si>
  <si>
    <t>100600740028</t>
  </si>
  <si>
    <t>0028</t>
  </si>
  <si>
    <t>Rupam Kumari</t>
  </si>
  <si>
    <t>1648001700120378</t>
  </si>
  <si>
    <t>100600740036</t>
  </si>
  <si>
    <t>0036</t>
  </si>
  <si>
    <t>Sudhir Kumar</t>
  </si>
  <si>
    <t>1648001700115215</t>
  </si>
  <si>
    <t>100600740039</t>
  </si>
  <si>
    <t>0039</t>
  </si>
  <si>
    <t>Sintu Kumar</t>
  </si>
  <si>
    <t>1648001700120509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</si>
</sst>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right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FE1B996C-6A88-4528-8EBA-0AFCF4CE2C96}"/>
    <cellStyle name="Normal" xfId="0" builtinId="0"/>
    <cellStyle name="Normal 2" xfId="5" xr:uid="{DF6574FA-088A-42ED-B5FE-F71BFD95B900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F410-5FF5-4CB6-A431-6E5C28B3A396}">
  <dimension ref="A1:AC3"/>
  <sheetViews>
    <sheetView tabSelected="1" workbookViewId="0">
      <selection activeCell="V26" sqref="V26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9" bestFit="1" customWidth="1"/>
    <col min="4" max="4" width="10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4.28515625" bestFit="1" customWidth="1"/>
    <col min="14" max="14" width="12.140625" bestFit="1" customWidth="1"/>
    <col min="17" max="17" width="7.5703125" bestFit="1" customWidth="1"/>
    <col min="18" max="18" width="10" bestFit="1" customWidth="1"/>
    <col min="19" max="19" width="8.1406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5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1059</v>
      </c>
      <c r="B2" s="13" t="s">
        <v>31</v>
      </c>
      <c r="C2" s="14">
        <v>10060074</v>
      </c>
      <c r="D2" s="15" t="s">
        <v>32</v>
      </c>
      <c r="E2" s="16" t="s">
        <v>33</v>
      </c>
      <c r="F2" s="16" t="s">
        <v>34</v>
      </c>
      <c r="G2" s="17">
        <v>356.40000000000003</v>
      </c>
      <c r="H2" s="17">
        <v>15411.939999999999</v>
      </c>
      <c r="I2" s="18">
        <v>15140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-1.0747613207751998E-2</v>
      </c>
      <c r="Q2" s="24">
        <v>12</v>
      </c>
      <c r="R2" s="25">
        <v>42200</v>
      </c>
      <c r="S2" s="25">
        <v>0</v>
      </c>
      <c r="T2" s="26">
        <v>42200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46203</v>
      </c>
    </row>
    <row r="3" spans="1:29" x14ac:dyDescent="0.25">
      <c r="A3" s="31"/>
      <c r="B3" s="32"/>
      <c r="C3" s="31"/>
      <c r="D3" s="31"/>
      <c r="E3" s="31" t="s">
        <v>38</v>
      </c>
      <c r="F3" s="31">
        <v>977</v>
      </c>
      <c r="G3" s="33">
        <v>356.40000000000003</v>
      </c>
      <c r="H3" s="33">
        <v>15411.939999999999</v>
      </c>
      <c r="I3" s="34">
        <v>15140</v>
      </c>
      <c r="J3" s="34">
        <v>0</v>
      </c>
      <c r="K3" s="34">
        <v>0</v>
      </c>
      <c r="L3" s="19">
        <v>1</v>
      </c>
      <c r="M3" s="14"/>
      <c r="N3" s="27"/>
      <c r="O3" s="6"/>
      <c r="P3" s="35"/>
      <c r="Q3" s="36">
        <v>5798</v>
      </c>
      <c r="R3" s="26">
        <v>42200</v>
      </c>
      <c r="S3" s="26">
        <v>0</v>
      </c>
      <c r="T3" s="26">
        <v>42200</v>
      </c>
      <c r="U3" s="27"/>
      <c r="V3" s="25">
        <v>0</v>
      </c>
      <c r="W3" s="25">
        <v>0</v>
      </c>
      <c r="X3" s="37">
        <v>0</v>
      </c>
      <c r="Y3" s="25">
        <v>0</v>
      </c>
      <c r="Z3" s="25">
        <v>0</v>
      </c>
      <c r="AA3" s="25">
        <v>0</v>
      </c>
      <c r="AB3" s="25">
        <v>0</v>
      </c>
      <c r="AC3" s="27"/>
    </row>
  </sheetData>
  <conditionalFormatting sqref="C3 C1">
    <cfRule type="duplicateValues" dxfId="16" priority="12" stopIfTrue="1"/>
  </conditionalFormatting>
  <conditionalFormatting sqref="C2">
    <cfRule type="duplicateValues" dxfId="15" priority="9"/>
  </conditionalFormatting>
  <conditionalFormatting sqref="C2">
    <cfRule type="duplicateValues" dxfId="14" priority="10"/>
    <cfRule type="duplicateValues" dxfId="13" priority="11"/>
  </conditionalFormatting>
  <conditionalFormatting sqref="F2">
    <cfRule type="containsText" dxfId="12" priority="7" operator="containsText" text="Indirect">
      <formula>NOT(ISERROR(SEARCH("Indirect",F2)))</formula>
    </cfRule>
  </conditionalFormatting>
  <conditionalFormatting sqref="I2:K2">
    <cfRule type="cellIs" dxfId="11" priority="6" operator="lessThan">
      <formula>-1</formula>
    </cfRule>
  </conditionalFormatting>
  <conditionalFormatting sqref="AA2:AB2">
    <cfRule type="cellIs" dxfId="10" priority="8" operator="lessThan">
      <formula>0</formula>
    </cfRule>
  </conditionalFormatting>
  <conditionalFormatting sqref="D3">
    <cfRule type="duplicateValues" dxfId="9" priority="5" stopIfTrue="1"/>
  </conditionalFormatting>
  <conditionalFormatting sqref="E3">
    <cfRule type="duplicateValues" dxfId="8" priority="4" stopIfTrue="1"/>
  </conditionalFormatting>
  <conditionalFormatting sqref="F3">
    <cfRule type="duplicateValues" dxfId="7" priority="3" stopIfTrue="1"/>
  </conditionalFormatting>
  <conditionalFormatting sqref="G3">
    <cfRule type="duplicateValues" dxfId="6" priority="2" stopIfTrue="1"/>
  </conditionalFormatting>
  <conditionalFormatting sqref="H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F6AE-5CB4-469A-AB01-0B55B4CE535F}">
  <dimension ref="A1:AC15"/>
  <sheetViews>
    <sheetView workbookViewId="0">
      <selection activeCell="M13" sqref="M13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10.710937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6.42578125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4.85546875" bestFit="1" customWidth="1"/>
    <col min="19" max="19" width="17.28515625" bestFit="1" customWidth="1"/>
    <col min="20" max="20" width="13.140625" bestFit="1" customWidth="1"/>
    <col min="21" max="21" width="21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8" t="s">
        <v>39</v>
      </c>
      <c r="B1" s="38" t="s">
        <v>1</v>
      </c>
      <c r="C1" s="38" t="s">
        <v>40</v>
      </c>
      <c r="D1" s="38" t="s">
        <v>41</v>
      </c>
      <c r="E1" s="39" t="s">
        <v>42</v>
      </c>
      <c r="F1" s="40" t="s">
        <v>43</v>
      </c>
      <c r="G1" s="41" t="s">
        <v>44</v>
      </c>
      <c r="H1" s="40" t="s">
        <v>45</v>
      </c>
      <c r="I1" s="40" t="s">
        <v>46</v>
      </c>
      <c r="J1" s="42" t="s">
        <v>8</v>
      </c>
      <c r="K1" s="42" t="s">
        <v>47</v>
      </c>
      <c r="L1" s="42" t="s">
        <v>48</v>
      </c>
      <c r="M1" s="42" t="s">
        <v>9</v>
      </c>
      <c r="N1" s="42" t="s">
        <v>10</v>
      </c>
      <c r="O1" s="42" t="s">
        <v>14</v>
      </c>
      <c r="P1" s="42" t="s">
        <v>49</v>
      </c>
      <c r="Q1" s="43" t="s">
        <v>50</v>
      </c>
      <c r="R1" s="44" t="s">
        <v>51</v>
      </c>
      <c r="S1" s="44" t="s">
        <v>52</v>
      </c>
      <c r="T1" s="44" t="s">
        <v>53</v>
      </c>
      <c r="U1" s="44" t="s">
        <v>54</v>
      </c>
      <c r="V1" s="45" t="s">
        <v>55</v>
      </c>
      <c r="W1" s="46" t="s">
        <v>16</v>
      </c>
      <c r="X1" s="47"/>
      <c r="Y1" s="48" t="s">
        <v>56</v>
      </c>
      <c r="AC1" t="s">
        <v>57</v>
      </c>
    </row>
    <row r="2" spans="1:29" x14ac:dyDescent="0.25">
      <c r="A2" t="s">
        <v>58</v>
      </c>
      <c r="B2" t="s">
        <v>31</v>
      </c>
      <c r="C2" s="49" t="s">
        <v>31</v>
      </c>
      <c r="D2" t="s">
        <v>32</v>
      </c>
      <c r="E2" s="49">
        <v>10060074</v>
      </c>
      <c r="F2" t="s">
        <v>59</v>
      </c>
      <c r="G2" s="49">
        <v>14</v>
      </c>
      <c r="H2" s="50">
        <v>6.33</v>
      </c>
      <c r="I2" s="51">
        <v>271.56188388245999</v>
      </c>
      <c r="J2" s="52">
        <v>0</v>
      </c>
      <c r="K2" s="52">
        <v>271.56188388245999</v>
      </c>
      <c r="L2" s="52">
        <v>0</v>
      </c>
      <c r="M2" s="50">
        <v>0</v>
      </c>
      <c r="N2" s="50">
        <v>0</v>
      </c>
      <c r="O2" s="52" t="s">
        <v>35</v>
      </c>
      <c r="P2" s="52">
        <v>0</v>
      </c>
      <c r="Q2" s="49" t="s">
        <v>34</v>
      </c>
      <c r="R2">
        <v>0</v>
      </c>
      <c r="S2">
        <v>0</v>
      </c>
      <c r="T2">
        <v>0</v>
      </c>
      <c r="U2">
        <v>0</v>
      </c>
      <c r="V2" t="s">
        <v>60</v>
      </c>
      <c r="W2" t="s">
        <v>37</v>
      </c>
      <c r="Y2" s="53">
        <v>0</v>
      </c>
    </row>
    <row r="3" spans="1:29" x14ac:dyDescent="0.25">
      <c r="A3" t="s">
        <v>61</v>
      </c>
      <c r="B3" t="s">
        <v>31</v>
      </c>
      <c r="C3" s="49" t="s">
        <v>31</v>
      </c>
      <c r="D3" t="s">
        <v>32</v>
      </c>
      <c r="E3" s="49">
        <v>10060074</v>
      </c>
      <c r="F3" t="s">
        <v>62</v>
      </c>
      <c r="G3" s="49">
        <v>14</v>
      </c>
      <c r="H3" s="50">
        <v>50.940000000000005</v>
      </c>
      <c r="I3" s="51">
        <v>2428.3585658623297</v>
      </c>
      <c r="J3" s="52">
        <v>0</v>
      </c>
      <c r="K3" s="52">
        <v>0</v>
      </c>
      <c r="L3" s="52">
        <v>166</v>
      </c>
      <c r="M3" s="50">
        <v>0</v>
      </c>
      <c r="N3" s="50">
        <v>0</v>
      </c>
      <c r="O3" s="52" t="s">
        <v>35</v>
      </c>
      <c r="P3" s="52">
        <v>2262</v>
      </c>
      <c r="Q3" s="49" t="s">
        <v>34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37</v>
      </c>
      <c r="Y3" s="53">
        <v>33.369670123746182</v>
      </c>
    </row>
    <row r="4" spans="1:29" x14ac:dyDescent="0.25">
      <c r="A4" t="s">
        <v>68</v>
      </c>
      <c r="B4" t="s">
        <v>31</v>
      </c>
      <c r="C4" s="49" t="s">
        <v>31</v>
      </c>
      <c r="D4" t="s">
        <v>32</v>
      </c>
      <c r="E4" s="49">
        <v>10060074</v>
      </c>
      <c r="F4" t="s">
        <v>69</v>
      </c>
      <c r="G4" s="49">
        <v>1</v>
      </c>
      <c r="H4" s="50">
        <v>3.62</v>
      </c>
      <c r="I4" s="51">
        <v>150.454946076</v>
      </c>
      <c r="J4" s="52">
        <v>0</v>
      </c>
      <c r="K4" s="52">
        <v>0</v>
      </c>
      <c r="L4" s="52">
        <v>0</v>
      </c>
      <c r="M4" s="50">
        <v>0</v>
      </c>
      <c r="N4" s="50">
        <v>0</v>
      </c>
      <c r="O4" s="52" t="s">
        <v>35</v>
      </c>
      <c r="P4" s="52">
        <v>150</v>
      </c>
      <c r="Q4" s="49" t="s">
        <v>34</v>
      </c>
      <c r="R4" t="s">
        <v>70</v>
      </c>
      <c r="S4" t="s">
        <v>71</v>
      </c>
      <c r="T4" t="s">
        <v>65</v>
      </c>
      <c r="U4" t="s">
        <v>66</v>
      </c>
      <c r="V4" t="s">
        <v>67</v>
      </c>
      <c r="W4" t="s">
        <v>37</v>
      </c>
      <c r="Y4" s="53">
        <v>2.0781069899999998</v>
      </c>
    </row>
    <row r="5" spans="1:29" x14ac:dyDescent="0.25">
      <c r="A5" t="s">
        <v>72</v>
      </c>
      <c r="B5" t="s">
        <v>31</v>
      </c>
      <c r="C5" s="49" t="s">
        <v>31</v>
      </c>
      <c r="D5" t="s">
        <v>32</v>
      </c>
      <c r="E5" s="49">
        <v>10060074</v>
      </c>
      <c r="F5" t="s">
        <v>73</v>
      </c>
      <c r="G5" s="49">
        <v>5</v>
      </c>
      <c r="H5" s="50">
        <v>8.73</v>
      </c>
      <c r="I5" s="51">
        <v>710.57978699909995</v>
      </c>
      <c r="J5" s="52">
        <v>0</v>
      </c>
      <c r="K5" s="52">
        <v>0</v>
      </c>
      <c r="L5" s="52">
        <v>0</v>
      </c>
      <c r="M5" s="50">
        <v>0</v>
      </c>
      <c r="N5" s="50">
        <v>0</v>
      </c>
      <c r="O5" s="52" t="s">
        <v>35</v>
      </c>
      <c r="P5" s="52">
        <v>711</v>
      </c>
      <c r="Q5" s="49" t="s">
        <v>34</v>
      </c>
      <c r="R5" t="s">
        <v>74</v>
      </c>
      <c r="S5" t="s">
        <v>75</v>
      </c>
      <c r="T5" t="s">
        <v>65</v>
      </c>
      <c r="U5" t="s">
        <v>66</v>
      </c>
      <c r="V5" t="s">
        <v>67</v>
      </c>
      <c r="W5" t="s">
        <v>37</v>
      </c>
      <c r="Y5" s="53">
        <v>20.348791151176975</v>
      </c>
    </row>
    <row r="6" spans="1:29" x14ac:dyDescent="0.25">
      <c r="A6" t="s">
        <v>76</v>
      </c>
      <c r="B6" t="s">
        <v>31</v>
      </c>
      <c r="C6" s="49" t="s">
        <v>31</v>
      </c>
      <c r="D6" t="s">
        <v>32</v>
      </c>
      <c r="E6" s="49">
        <v>10060074</v>
      </c>
      <c r="F6" t="s">
        <v>77</v>
      </c>
      <c r="G6" s="49">
        <v>9</v>
      </c>
      <c r="H6" s="50">
        <v>9.3699999999999992</v>
      </c>
      <c r="I6" s="51">
        <v>446.03238983975103</v>
      </c>
      <c r="J6" s="52">
        <v>0</v>
      </c>
      <c r="K6" s="52">
        <v>0</v>
      </c>
      <c r="L6" s="52">
        <v>0</v>
      </c>
      <c r="M6" s="50">
        <v>0</v>
      </c>
      <c r="N6" s="50">
        <v>0</v>
      </c>
      <c r="O6" s="52" t="s">
        <v>35</v>
      </c>
      <c r="P6" s="52">
        <v>446</v>
      </c>
      <c r="Q6" s="49" t="s">
        <v>34</v>
      </c>
      <c r="R6" t="s">
        <v>78</v>
      </c>
      <c r="S6" t="s">
        <v>79</v>
      </c>
      <c r="T6" t="s">
        <v>80</v>
      </c>
      <c r="U6" t="s">
        <v>81</v>
      </c>
      <c r="V6" t="s">
        <v>67</v>
      </c>
      <c r="W6" t="s">
        <v>37</v>
      </c>
      <c r="Y6" s="53">
        <v>21.420979234566488</v>
      </c>
    </row>
    <row r="7" spans="1:29" x14ac:dyDescent="0.25">
      <c r="A7" t="s">
        <v>82</v>
      </c>
      <c r="B7" t="s">
        <v>31</v>
      </c>
      <c r="C7" s="49" t="s">
        <v>31</v>
      </c>
      <c r="D7" t="s">
        <v>32</v>
      </c>
      <c r="E7" s="49">
        <v>10060074</v>
      </c>
      <c r="F7" t="s">
        <v>83</v>
      </c>
      <c r="G7" s="49">
        <v>10</v>
      </c>
      <c r="H7" s="50">
        <v>30.729999999999997</v>
      </c>
      <c r="I7" s="51">
        <v>1168.3519982010002</v>
      </c>
      <c r="J7" s="52">
        <v>0</v>
      </c>
      <c r="K7" s="52">
        <v>0</v>
      </c>
      <c r="L7" s="52">
        <v>0</v>
      </c>
      <c r="M7" s="50">
        <v>0</v>
      </c>
      <c r="N7" s="50">
        <v>0</v>
      </c>
      <c r="O7" s="52" t="s">
        <v>35</v>
      </c>
      <c r="P7" s="52">
        <v>1168</v>
      </c>
      <c r="Q7" s="49" t="s">
        <v>34</v>
      </c>
      <c r="R7" t="s">
        <v>84</v>
      </c>
      <c r="S7" t="s">
        <v>85</v>
      </c>
      <c r="T7" t="s">
        <v>65</v>
      </c>
      <c r="U7" t="s">
        <v>66</v>
      </c>
      <c r="V7" t="s">
        <v>67</v>
      </c>
      <c r="W7" t="s">
        <v>37</v>
      </c>
      <c r="Y7" s="53">
        <v>19.009957666791415</v>
      </c>
    </row>
    <row r="8" spans="1:29" x14ac:dyDescent="0.25">
      <c r="A8" t="s">
        <v>86</v>
      </c>
      <c r="B8" t="s">
        <v>31</v>
      </c>
      <c r="C8" s="49" t="s">
        <v>31</v>
      </c>
      <c r="D8" t="s">
        <v>32</v>
      </c>
      <c r="E8" s="49">
        <v>10060074</v>
      </c>
      <c r="F8" t="s">
        <v>87</v>
      </c>
      <c r="G8" s="49">
        <v>12</v>
      </c>
      <c r="H8" s="50">
        <v>79.180000000000007</v>
      </c>
      <c r="I8" s="51">
        <v>3554.9673039753825</v>
      </c>
      <c r="J8" s="52">
        <v>0</v>
      </c>
      <c r="K8" s="52">
        <v>0</v>
      </c>
      <c r="L8" s="52">
        <v>0</v>
      </c>
      <c r="M8" s="50">
        <v>0</v>
      </c>
      <c r="N8" s="50">
        <v>0</v>
      </c>
      <c r="O8" s="52" t="s">
        <v>35</v>
      </c>
      <c r="P8" s="52">
        <v>3555</v>
      </c>
      <c r="Q8" s="49" t="s">
        <v>34</v>
      </c>
      <c r="R8" t="s">
        <v>88</v>
      </c>
      <c r="S8" t="s">
        <v>89</v>
      </c>
      <c r="T8" t="s">
        <v>65</v>
      </c>
      <c r="U8" t="s">
        <v>66</v>
      </c>
      <c r="V8" t="s">
        <v>67</v>
      </c>
      <c r="W8" t="s">
        <v>37</v>
      </c>
      <c r="Y8" s="53">
        <v>26.938373104132729</v>
      </c>
    </row>
    <row r="9" spans="1:29" x14ac:dyDescent="0.25">
      <c r="A9" t="s">
        <v>90</v>
      </c>
      <c r="B9" t="s">
        <v>31</v>
      </c>
      <c r="C9" s="49" t="s">
        <v>31</v>
      </c>
      <c r="D9" t="s">
        <v>32</v>
      </c>
      <c r="E9" s="49">
        <v>10060074</v>
      </c>
      <c r="F9" t="s">
        <v>91</v>
      </c>
      <c r="G9" s="49">
        <v>13</v>
      </c>
      <c r="H9" s="50">
        <v>55.160000000000004</v>
      </c>
      <c r="I9" s="51">
        <v>2528.8094299557547</v>
      </c>
      <c r="J9" s="52">
        <v>0</v>
      </c>
      <c r="K9" s="52">
        <v>0</v>
      </c>
      <c r="L9" s="52">
        <v>0</v>
      </c>
      <c r="M9" s="50">
        <v>0</v>
      </c>
      <c r="N9" s="50">
        <v>0</v>
      </c>
      <c r="O9" s="52" t="s">
        <v>35</v>
      </c>
      <c r="P9" s="52">
        <v>2529</v>
      </c>
      <c r="Q9" s="49" t="s">
        <v>34</v>
      </c>
      <c r="R9" t="s">
        <v>92</v>
      </c>
      <c r="S9" t="s">
        <v>93</v>
      </c>
      <c r="T9" t="s">
        <v>65</v>
      </c>
      <c r="U9" t="s">
        <v>66</v>
      </c>
      <c r="V9" t="s">
        <v>67</v>
      </c>
      <c r="W9" t="s">
        <v>37</v>
      </c>
      <c r="Y9" s="53">
        <v>29.799240925874553</v>
      </c>
    </row>
    <row r="10" spans="1:29" x14ac:dyDescent="0.25">
      <c r="A10" t="s">
        <v>94</v>
      </c>
      <c r="B10" t="s">
        <v>31</v>
      </c>
      <c r="C10" s="49" t="s">
        <v>31</v>
      </c>
      <c r="D10" t="s">
        <v>32</v>
      </c>
      <c r="E10" s="49">
        <v>10060074</v>
      </c>
      <c r="F10" t="s">
        <v>95</v>
      </c>
      <c r="G10" s="49">
        <v>2</v>
      </c>
      <c r="H10" s="50">
        <v>5.21</v>
      </c>
      <c r="I10" s="51">
        <v>191.99663932350001</v>
      </c>
      <c r="J10" s="52">
        <v>0</v>
      </c>
      <c r="K10" s="52">
        <v>0</v>
      </c>
      <c r="L10" s="52">
        <v>0</v>
      </c>
      <c r="M10" s="50">
        <v>0</v>
      </c>
      <c r="N10" s="50">
        <v>0</v>
      </c>
      <c r="O10" s="52" t="s">
        <v>35</v>
      </c>
      <c r="P10" s="52">
        <v>192</v>
      </c>
      <c r="Q10" s="49" t="s">
        <v>34</v>
      </c>
      <c r="R10" t="s">
        <v>96</v>
      </c>
      <c r="S10" t="s">
        <v>97</v>
      </c>
      <c r="T10" t="s">
        <v>65</v>
      </c>
      <c r="U10" t="s">
        <v>66</v>
      </c>
      <c r="V10" t="s">
        <v>67</v>
      </c>
      <c r="W10" t="s">
        <v>37</v>
      </c>
      <c r="Y10" s="53">
        <v>3.685156225019194</v>
      </c>
    </row>
    <row r="11" spans="1:29" x14ac:dyDescent="0.25">
      <c r="A11" t="s">
        <v>98</v>
      </c>
      <c r="B11" t="s">
        <v>31</v>
      </c>
      <c r="C11" s="49" t="s">
        <v>31</v>
      </c>
      <c r="D11" t="s">
        <v>32</v>
      </c>
      <c r="E11" s="49">
        <v>10060074</v>
      </c>
      <c r="F11" t="s">
        <v>99</v>
      </c>
      <c r="G11" s="49">
        <v>2</v>
      </c>
      <c r="H11" s="50">
        <v>2.6100000000000003</v>
      </c>
      <c r="I11" s="51">
        <v>109.86583240800002</v>
      </c>
      <c r="J11" s="52">
        <v>0</v>
      </c>
      <c r="K11" s="52">
        <v>0</v>
      </c>
      <c r="L11" s="52">
        <v>0</v>
      </c>
      <c r="M11" s="50">
        <v>0</v>
      </c>
      <c r="N11" s="50">
        <v>0</v>
      </c>
      <c r="O11" s="52" t="s">
        <v>35</v>
      </c>
      <c r="P11" s="52">
        <v>110</v>
      </c>
      <c r="Q11" s="49" t="s">
        <v>34</v>
      </c>
      <c r="R11" t="s">
        <v>100</v>
      </c>
      <c r="S11" t="s">
        <v>101</v>
      </c>
      <c r="T11" t="s">
        <v>65</v>
      </c>
      <c r="U11" t="s">
        <v>66</v>
      </c>
      <c r="V11" t="s">
        <v>67</v>
      </c>
      <c r="W11" t="s">
        <v>37</v>
      </c>
      <c r="Y11" s="53">
        <v>4.2094188662068968</v>
      </c>
    </row>
    <row r="12" spans="1:29" x14ac:dyDescent="0.25">
      <c r="A12" t="s">
        <v>102</v>
      </c>
      <c r="B12" t="s">
        <v>31</v>
      </c>
      <c r="C12" s="49" t="s">
        <v>31</v>
      </c>
      <c r="D12" t="s">
        <v>32</v>
      </c>
      <c r="E12" s="49">
        <v>10060074</v>
      </c>
      <c r="F12" t="s">
        <v>103</v>
      </c>
      <c r="G12" s="49">
        <v>3</v>
      </c>
      <c r="H12" s="50">
        <v>5.4</v>
      </c>
      <c r="I12" s="51">
        <v>287.78758376505004</v>
      </c>
      <c r="J12" s="52">
        <v>0</v>
      </c>
      <c r="K12" s="52">
        <v>0</v>
      </c>
      <c r="L12" s="52">
        <v>0</v>
      </c>
      <c r="M12" s="50">
        <v>0</v>
      </c>
      <c r="N12" s="50">
        <v>0</v>
      </c>
      <c r="O12" s="52" t="s">
        <v>35</v>
      </c>
      <c r="P12" s="52">
        <v>288</v>
      </c>
      <c r="Q12" s="49" t="s">
        <v>34</v>
      </c>
      <c r="R12" t="s">
        <v>104</v>
      </c>
      <c r="S12" t="s">
        <v>105</v>
      </c>
      <c r="T12" t="s">
        <v>65</v>
      </c>
      <c r="U12" t="s">
        <v>66</v>
      </c>
      <c r="V12" t="s">
        <v>67</v>
      </c>
      <c r="W12" t="s">
        <v>37</v>
      </c>
      <c r="Y12" s="53">
        <v>7.9940995490291691</v>
      </c>
    </row>
    <row r="13" spans="1:29" ht="15.75" thickBot="1" x14ac:dyDescent="0.3">
      <c r="A13" s="54" t="s">
        <v>106</v>
      </c>
      <c r="B13" s="54" t="s">
        <v>31</v>
      </c>
      <c r="C13" s="55" t="s">
        <v>31</v>
      </c>
      <c r="D13" s="54" t="s">
        <v>32</v>
      </c>
      <c r="E13" s="55">
        <v>10060074</v>
      </c>
      <c r="F13" s="54" t="s">
        <v>107</v>
      </c>
      <c r="G13" s="55">
        <v>13</v>
      </c>
      <c r="H13" s="56">
        <v>91.41</v>
      </c>
      <c r="I13" s="57">
        <v>3728.8152096127501</v>
      </c>
      <c r="J13" s="58">
        <v>0</v>
      </c>
      <c r="K13" s="58">
        <v>0</v>
      </c>
      <c r="L13" s="58">
        <v>0</v>
      </c>
      <c r="M13" s="56">
        <v>0</v>
      </c>
      <c r="N13" s="56">
        <v>0</v>
      </c>
      <c r="O13" s="58" t="s">
        <v>35</v>
      </c>
      <c r="P13" s="58">
        <v>3729</v>
      </c>
      <c r="Q13" s="55" t="s">
        <v>34</v>
      </c>
      <c r="R13" s="54" t="s">
        <v>108</v>
      </c>
      <c r="S13" s="54" t="s">
        <v>109</v>
      </c>
      <c r="T13" s="54" t="s">
        <v>65</v>
      </c>
      <c r="U13" s="54" t="s">
        <v>66</v>
      </c>
      <c r="V13" s="54" t="s">
        <v>67</v>
      </c>
      <c r="W13" s="54" t="s">
        <v>37</v>
      </c>
      <c r="Y13" s="53">
        <v>26.51493147629677</v>
      </c>
    </row>
    <row r="14" spans="1:29" ht="16.5" thickTop="1" thickBot="1" x14ac:dyDescent="0.3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0">
        <f>SUM(P2:P13)</f>
        <v>15140</v>
      </c>
      <c r="Q14" s="59"/>
      <c r="R14" s="59"/>
      <c r="S14" s="59"/>
      <c r="T14" s="59"/>
      <c r="U14" s="59"/>
      <c r="V14" s="59"/>
      <c r="W14" s="59"/>
    </row>
    <row r="15" spans="1:29" ht="15.75" thickTop="1" x14ac:dyDescent="0.25"/>
  </sheetData>
  <conditionalFormatting sqref="P1:P13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3">
    <cfRule type="duplicateValues" dxfId="2" priority="3"/>
  </conditionalFormatting>
  <conditionalFormatting sqref="A2:A13">
    <cfRule type="duplicateValues" dxfId="1" priority="2"/>
  </conditionalFormatting>
  <conditionalFormatting sqref="P2:P1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2026-07-07T05:28:56Z</dcterms:created>
  <dcterms:modified xsi:type="dcterms:W3CDTF">2026-07-07T05:33:42Z</dcterms:modified>
</cp:coreProperties>
</file>