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7_23-Apr'26\"/>
    </mc:Choice>
  </mc:AlternateContent>
  <xr:revisionPtr revIDLastSave="0" documentId="8_{8053DAD9-680A-40AD-A2E6-760B9703803F}" xr6:coauthVersionLast="47" xr6:coauthVersionMax="47" xr10:uidLastSave="{00000000-0000-0000-0000-000000000000}"/>
  <bookViews>
    <workbookView xWindow="-120" yWindow="-120" windowWidth="29040" windowHeight="15720" xr2:uid="{938832AF-59B9-44CD-BEE5-826FDF4790B5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2" l="1"/>
</calcChain>
</file>

<file path=xl/sharedStrings.xml><?xml version="1.0" encoding="utf-8"?>
<sst xmlns="http://schemas.openxmlformats.org/spreadsheetml/2006/main" count="556" uniqueCount="224">
  <si>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</si>
  <si>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</si>
  <si>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</si>
  <si>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</si>
  <si>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</si>
  <si>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</si>
  <si>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</si>
  <si>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</si>
  <si>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</si>
  <si>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</si>
  <si>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</si>
  <si>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</si>
  <si>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</si>
  <si>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</si>
  <si>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</si>
  <si>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</si>
  <si>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</si>
  <si>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</si>
  <si>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</si>
  <si>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</si>
  <si>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</si>
  <si>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</si>
  <si>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</si>
  <si>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</si>
  <si>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</si>
  <si>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</si>
  <si>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</si>
  <si>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</si>
  <si>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</si>
  <si>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</si>
  <si>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</si>
  <si>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Hasanpur</t>
  </si>
  <si>
    <t>Gomukh Shobhaipura 02</t>
  </si>
  <si>
    <t>MPG</t>
  </si>
  <si>
    <t>Direct</t>
  </si>
  <si>
    <t>Release2</t>
  </si>
  <si>
    <t xml:space="preserve">Letter not received / Lean Penalty </t>
  </si>
  <si>
    <t>04. 17-23 Apr</t>
  </si>
  <si>
    <t>Sonvarsha</t>
  </si>
  <si>
    <t>KHAJURIYA</t>
  </si>
  <si>
    <t>CF OS&gt;15 Day's</t>
  </si>
  <si>
    <t>Araria</t>
  </si>
  <si>
    <t>Gomukh Bari Chak Gogri</t>
  </si>
  <si>
    <t>Halsi</t>
  </si>
  <si>
    <t>BAKHIYA</t>
  </si>
  <si>
    <t>Musrigharari</t>
  </si>
  <si>
    <t>Dagarua</t>
  </si>
  <si>
    <t>Letter not received / Lean Penalty / CF OS&gt;15 Day's</t>
  </si>
  <si>
    <t>Asarganj</t>
  </si>
  <si>
    <t>SHAHJADPUR MPG</t>
  </si>
  <si>
    <t>RMC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</si>
  <si>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</si>
  <si>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</si>
  <si>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</si>
  <si>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</si>
  <si>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</si>
  <si>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</si>
  <si>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</si>
  <si>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</si>
  <si>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</si>
  <si>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</si>
  <si>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</si>
  <si>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</si>
  <si>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</si>
  <si>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</si>
  <si>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</si>
  <si>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</si>
  <si>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</si>
  <si>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</si>
  <si>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</si>
  <si>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</si>
  <si>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100101370001</t>
  </si>
  <si>
    <t>0001</t>
  </si>
  <si>
    <t>Not Available</t>
  </si>
  <si>
    <t>100101370003</t>
  </si>
  <si>
    <t>0003</t>
  </si>
  <si>
    <t>Usha Devi</t>
  </si>
  <si>
    <t>42642167923</t>
  </si>
  <si>
    <t>SBIN0005912</t>
  </si>
  <si>
    <t>SBI-Kiosk Banking</t>
  </si>
  <si>
    <t>Available</t>
  </si>
  <si>
    <t>100101370005</t>
  </si>
  <si>
    <t>0005</t>
  </si>
  <si>
    <t>Manoj Kumar Yadav</t>
  </si>
  <si>
    <t>34989379818</t>
  </si>
  <si>
    <t>SBIN0002944</t>
  </si>
  <si>
    <t xml:space="preserve">State Bank of India </t>
  </si>
  <si>
    <t>100101370006</t>
  </si>
  <si>
    <t>0006</t>
  </si>
  <si>
    <t>Soni Kumari</t>
  </si>
  <si>
    <t>41730613397</t>
  </si>
  <si>
    <t>100101370007</t>
  </si>
  <si>
    <t>0007</t>
  </si>
  <si>
    <t>Amrendra Kumar</t>
  </si>
  <si>
    <t>39430700037051</t>
  </si>
  <si>
    <t>PUNB0MBGB06</t>
  </si>
  <si>
    <t>Bihar Gramin Bank</t>
  </si>
  <si>
    <t>100101370008</t>
  </si>
  <si>
    <t>0008</t>
  </si>
  <si>
    <t>43025880996</t>
  </si>
  <si>
    <t>100101370012</t>
  </si>
  <si>
    <t>0012</t>
  </si>
  <si>
    <t>Pramod Kumar</t>
  </si>
  <si>
    <t>36415046110</t>
  </si>
  <si>
    <t>100101370013</t>
  </si>
  <si>
    <t>0013</t>
  </si>
  <si>
    <t>Priyanshu Kumar</t>
  </si>
  <si>
    <t>42729813632</t>
  </si>
  <si>
    <t>100101370017</t>
  </si>
  <si>
    <t>0017</t>
  </si>
  <si>
    <t>Mangnu Yadav</t>
  </si>
  <si>
    <t>32167427377</t>
  </si>
  <si>
    <t>100101370019</t>
  </si>
  <si>
    <t>0019</t>
  </si>
  <si>
    <t>Puna Kumari</t>
  </si>
  <si>
    <t>31416520473</t>
  </si>
  <si>
    <t>100101370022</t>
  </si>
  <si>
    <t>0022</t>
  </si>
  <si>
    <t>Sulena Devi</t>
  </si>
  <si>
    <t>31620689528</t>
  </si>
  <si>
    <t>100601110002</t>
  </si>
  <si>
    <t>0002</t>
  </si>
  <si>
    <t xml:space="preserve">Niranjan </t>
  </si>
  <si>
    <t>09550110045091</t>
  </si>
  <si>
    <t>UCBA0000955</t>
  </si>
  <si>
    <t xml:space="preserve">Uco Bank </t>
  </si>
  <si>
    <t>100601110004</t>
  </si>
  <si>
    <t>0004</t>
  </si>
  <si>
    <t>Arvind Mandal</t>
  </si>
  <si>
    <t>59112780203</t>
  </si>
  <si>
    <t>IDIB000K652</t>
  </si>
  <si>
    <t>Indian Bank</t>
  </si>
  <si>
    <t>100601110007</t>
  </si>
  <si>
    <t>Shanti Mandal</t>
  </si>
  <si>
    <t>21823925356</t>
  </si>
  <si>
    <t>IDIB000G559</t>
  </si>
  <si>
    <t>100601110008</t>
  </si>
  <si>
    <t>Abhishek  Kumar Singh</t>
  </si>
  <si>
    <t>09550110107041</t>
  </si>
  <si>
    <t>100601110013</t>
  </si>
  <si>
    <t xml:space="preserve">Pushpa Kumari </t>
  </si>
  <si>
    <t>59160378719</t>
  </si>
  <si>
    <t>100601110016</t>
  </si>
  <si>
    <t>0016</t>
  </si>
  <si>
    <t>Preamlata Devi</t>
  </si>
  <si>
    <t>21823935137</t>
  </si>
  <si>
    <t xml:space="preserve">Indian Bank </t>
  </si>
  <si>
    <t>100601110035</t>
  </si>
  <si>
    <t>0035</t>
  </si>
  <si>
    <t>Raj Kumar Mandal</t>
  </si>
  <si>
    <t>20200100775318</t>
  </si>
  <si>
    <t>BDBL0002736</t>
  </si>
  <si>
    <t>Bandhan Bank</t>
  </si>
  <si>
    <t>100700770002</t>
  </si>
  <si>
    <t>Mithun Kumar</t>
  </si>
  <si>
    <t>31560110061985</t>
  </si>
  <si>
    <t>UCBA0003156</t>
  </si>
  <si>
    <t>100900430002</t>
  </si>
  <si>
    <t>Karamveer Kumar</t>
  </si>
  <si>
    <t>39643276753</t>
  </si>
  <si>
    <t>SBIN0017416</t>
  </si>
  <si>
    <t>100900430003</t>
  </si>
  <si>
    <t xml:space="preserve">Dharamveer Kumar </t>
  </si>
  <si>
    <t>42410363375</t>
  </si>
  <si>
    <t>101300730002</t>
  </si>
  <si>
    <t xml:space="preserve">Nitish Kumar </t>
  </si>
  <si>
    <t>461802120025500</t>
  </si>
  <si>
    <t>UBIN0546186</t>
  </si>
  <si>
    <t xml:space="preserve">Union Bank of India </t>
  </si>
  <si>
    <t>102600010001</t>
  </si>
  <si>
    <t>102600010004</t>
  </si>
  <si>
    <t>HOLIKA DEVI</t>
  </si>
  <si>
    <t>50100197390381</t>
  </si>
  <si>
    <t>HDFC0002895</t>
  </si>
  <si>
    <t>HDFC BANK LTD</t>
  </si>
  <si>
    <t>102600010008</t>
  </si>
  <si>
    <t>Nirpesh Singh</t>
  </si>
  <si>
    <t>50100197392908</t>
  </si>
  <si>
    <t>102600010022</t>
  </si>
  <si>
    <t>ABHAY SINGH</t>
  </si>
  <si>
    <t>7542945186</t>
  </si>
  <si>
    <t>AIRP0000001</t>
  </si>
  <si>
    <t>AIRTEL PAYMENTS BANK</t>
  </si>
  <si>
    <t>102600010033</t>
  </si>
  <si>
    <t>0033</t>
  </si>
  <si>
    <t>RATANA DEVI</t>
  </si>
  <si>
    <t>9801590084</t>
  </si>
  <si>
    <t>102600010048</t>
  </si>
  <si>
    <t>0048</t>
  </si>
  <si>
    <t>PAWAN KUMAR SINGH</t>
  </si>
  <si>
    <t>9771513393</t>
  </si>
  <si>
    <t>102600010068</t>
  </si>
  <si>
    <t>0068</t>
  </si>
  <si>
    <t>Dhananjay Singh</t>
  </si>
  <si>
    <t>9939351941</t>
  </si>
  <si>
    <t>102600010128</t>
  </si>
  <si>
    <t>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</si>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</sst>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6" fontId="0" fillId="0" borderId="0" xfId="1" applyNumberFormat="1" applyFont="1" applyAlignment="1">
      <alignment horizontal="center"/>
    </xf>
    <xf numFmtId="43" fontId="0" fillId="0" borderId="0" xfId="1" applyFont="1"/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0" fontId="0" fillId="0" borderId="10" xfId="0" applyBorder="1"/>
    <xf numFmtId="166" fontId="0" fillId="0" borderId="10" xfId="0" applyNumberFormat="1" applyBorder="1"/>
  </cellXfs>
  <cellStyles count="6">
    <cellStyle name="Comma" xfId="1" builtinId="3"/>
    <cellStyle name="Comma 2" xfId="4" xr:uid="{0F23FA23-C9FB-48A8-A1AA-43FE72AEAE92}"/>
    <cellStyle name="Normal" xfId="0" builtinId="0"/>
    <cellStyle name="Normal 2" xfId="5" xr:uid="{16B20479-3C28-4213-8852-9EF4E7ECDC6E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A177-9839-48FA-86A9-4F2A0F17B24A}">
  <dimension ref="A1:AC8"/>
  <sheetViews>
    <sheetView tabSelected="1" workbookViewId="0">
      <selection activeCell="O19" sqref="O19"/>
    </sheetView>
  </sheetViews>
  <sheetFormatPr defaultRowHeight="15" x14ac:dyDescent="0.25"/>
  <cols>
    <col min="1" max="1" width="5.85546875" bestFit="1" customWidth="1"/>
    <col min="2" max="2" width="13.42578125" bestFit="1" customWidth="1"/>
    <col min="3" max="3" width="9" bestFit="1" customWidth="1"/>
    <col min="4" max="4" width="23.1406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9.5703125" bestFit="1" customWidth="1"/>
    <col min="10" max="10" width="8.85546875" bestFit="1" customWidth="1"/>
    <col min="11" max="11" width="9.28515625" bestFit="1" customWidth="1"/>
    <col min="12" max="12" width="9.7109375" bestFit="1" customWidth="1"/>
    <col min="13" max="13" width="45.140625" bestFit="1" customWidth="1"/>
    <col min="14" max="14" width="12.140625" bestFit="1" customWidth="1"/>
    <col min="17" max="17" width="9" bestFit="1" customWidth="1"/>
    <col min="18" max="18" width="10" bestFit="1" customWidth="1"/>
    <col min="19" max="19" width="8.140625" bestFit="1" customWidth="1"/>
    <col min="20" max="20" width="10" bestFit="1" customWidth="1"/>
    <col min="21" max="21" width="5.85546875" bestFit="1" customWidth="1"/>
    <col min="22" max="22" width="8.42578125" bestFit="1" customWidth="1"/>
    <col min="23" max="24" width="7.7109375" bestFit="1" customWidth="1"/>
    <col min="25" max="25" width="7.42578125" bestFit="1" customWidth="1"/>
    <col min="26" max="26" width="8.42578125" bestFit="1" customWidth="1"/>
    <col min="27" max="27" width="8.28515625" bestFit="1" customWidth="1"/>
    <col min="28" max="28" width="8.7109375" bestFit="1" customWidth="1"/>
    <col min="29" max="29" width="8.5703125" bestFit="1" customWidth="1"/>
  </cols>
  <sheetData>
    <row r="1" spans="1:29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29" x14ac:dyDescent="0.25">
      <c r="A2" s="12">
        <v>1058</v>
      </c>
      <c r="B2" s="13" t="s">
        <v>31</v>
      </c>
      <c r="C2" s="14">
        <v>10010137</v>
      </c>
      <c r="D2" s="15" t="s">
        <v>32</v>
      </c>
      <c r="E2" s="16" t="s">
        <v>33</v>
      </c>
      <c r="F2" s="16" t="s">
        <v>34</v>
      </c>
      <c r="G2" s="17">
        <v>146.6</v>
      </c>
      <c r="H2" s="17">
        <v>6089.08</v>
      </c>
      <c r="I2" s="18">
        <v>5844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-0.37894807803064562</v>
      </c>
      <c r="Q2" s="24">
        <v>11</v>
      </c>
      <c r="R2" s="25">
        <v>0</v>
      </c>
      <c r="S2" s="25">
        <v>0</v>
      </c>
      <c r="T2" s="26">
        <v>0</v>
      </c>
      <c r="U2" s="27"/>
      <c r="V2" s="25">
        <v>200.35339285714284</v>
      </c>
      <c r="W2" s="25">
        <v>0</v>
      </c>
      <c r="X2" s="28">
        <v>0</v>
      </c>
      <c r="Y2" s="29">
        <v>200.35339285714284</v>
      </c>
      <c r="Z2" s="28">
        <v>200.35</v>
      </c>
      <c r="AA2" s="26">
        <v>-3.3928571428418763E-3</v>
      </c>
      <c r="AB2" s="26">
        <v>-3.3928571428418763E-3</v>
      </c>
      <c r="AC2" s="30">
        <v>46142</v>
      </c>
    </row>
    <row r="3" spans="1:29" x14ac:dyDescent="0.25">
      <c r="A3" s="12">
        <v>1006</v>
      </c>
      <c r="B3" s="13" t="s">
        <v>38</v>
      </c>
      <c r="C3" s="14">
        <v>10060111</v>
      </c>
      <c r="D3" s="15" t="s">
        <v>39</v>
      </c>
      <c r="E3" s="16" t="s">
        <v>33</v>
      </c>
      <c r="F3" s="16" t="s">
        <v>34</v>
      </c>
      <c r="G3" s="17">
        <v>671.80000000000007</v>
      </c>
      <c r="H3" s="17">
        <v>26210.63</v>
      </c>
      <c r="I3" s="18">
        <v>26211</v>
      </c>
      <c r="J3" s="18">
        <v>0</v>
      </c>
      <c r="K3" s="18">
        <v>0</v>
      </c>
      <c r="L3" s="19" t="s">
        <v>35</v>
      </c>
      <c r="M3" s="20" t="s">
        <v>40</v>
      </c>
      <c r="N3" s="21" t="s">
        <v>37</v>
      </c>
      <c r="O3" s="22"/>
      <c r="P3" s="23">
        <v>-0.58763329068544301</v>
      </c>
      <c r="Q3" s="24">
        <v>7</v>
      </c>
      <c r="R3" s="25">
        <v>6500</v>
      </c>
      <c r="S3" s="25">
        <v>0</v>
      </c>
      <c r="T3" s="26">
        <v>6500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46142</v>
      </c>
    </row>
    <row r="4" spans="1:29" x14ac:dyDescent="0.25">
      <c r="A4" s="12">
        <v>1007</v>
      </c>
      <c r="B4" s="13" t="s">
        <v>41</v>
      </c>
      <c r="C4" s="14">
        <v>10070077</v>
      </c>
      <c r="D4" s="15" t="s">
        <v>42</v>
      </c>
      <c r="E4" s="16" t="s">
        <v>33</v>
      </c>
      <c r="F4" s="16" t="s">
        <v>34</v>
      </c>
      <c r="G4" s="17">
        <v>174.2</v>
      </c>
      <c r="H4" s="17">
        <v>5658.6100000000006</v>
      </c>
      <c r="I4" s="18">
        <v>5659</v>
      </c>
      <c r="J4" s="18">
        <v>0</v>
      </c>
      <c r="K4" s="18">
        <v>0</v>
      </c>
      <c r="L4" s="19" t="s">
        <v>35</v>
      </c>
      <c r="M4" s="20" t="s">
        <v>40</v>
      </c>
      <c r="N4" s="21" t="s">
        <v>37</v>
      </c>
      <c r="O4" s="22"/>
      <c r="P4" s="23">
        <v>-0.38978971036349908</v>
      </c>
      <c r="Q4" s="24">
        <v>1</v>
      </c>
      <c r="R4" s="25">
        <v>3900</v>
      </c>
      <c r="S4" s="25">
        <v>0</v>
      </c>
      <c r="T4" s="26">
        <v>3900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46142</v>
      </c>
    </row>
    <row r="5" spans="1:29" x14ac:dyDescent="0.25">
      <c r="A5" s="12">
        <v>1009</v>
      </c>
      <c r="B5" s="13" t="s">
        <v>43</v>
      </c>
      <c r="C5" s="14">
        <v>10090043</v>
      </c>
      <c r="D5" s="15" t="s">
        <v>44</v>
      </c>
      <c r="E5" s="16" t="s">
        <v>33</v>
      </c>
      <c r="F5" s="16" t="s">
        <v>34</v>
      </c>
      <c r="G5" s="17">
        <v>118.77</v>
      </c>
      <c r="H5" s="17">
        <v>5221.17</v>
      </c>
      <c r="I5" s="18">
        <v>5087</v>
      </c>
      <c r="J5" s="18">
        <v>0</v>
      </c>
      <c r="K5" s="18">
        <v>0</v>
      </c>
      <c r="L5" s="19" t="s">
        <v>35</v>
      </c>
      <c r="M5" s="20" t="s">
        <v>40</v>
      </c>
      <c r="N5" s="21" t="s">
        <v>37</v>
      </c>
      <c r="O5" s="22"/>
      <c r="P5" s="23">
        <v>-0.56199689176372369</v>
      </c>
      <c r="Q5" s="24">
        <v>2</v>
      </c>
      <c r="R5" s="25">
        <v>3971</v>
      </c>
      <c r="S5" s="25">
        <v>0</v>
      </c>
      <c r="T5" s="26">
        <v>3971</v>
      </c>
      <c r="U5" s="27"/>
      <c r="V5" s="25">
        <v>133.76609999999999</v>
      </c>
      <c r="W5" s="25">
        <v>0</v>
      </c>
      <c r="X5" s="28">
        <v>0</v>
      </c>
      <c r="Y5" s="29">
        <v>133.76609999999999</v>
      </c>
      <c r="Z5" s="28">
        <v>133.76609999999999</v>
      </c>
      <c r="AA5" s="26">
        <v>0</v>
      </c>
      <c r="AB5" s="26">
        <v>0</v>
      </c>
      <c r="AC5" s="30">
        <v>46142</v>
      </c>
    </row>
    <row r="6" spans="1:29" x14ac:dyDescent="0.25">
      <c r="A6" s="12">
        <v>1013</v>
      </c>
      <c r="B6" s="13" t="s">
        <v>45</v>
      </c>
      <c r="C6" s="14">
        <v>10130073</v>
      </c>
      <c r="D6" s="15" t="s">
        <v>46</v>
      </c>
      <c r="E6" s="16" t="s">
        <v>33</v>
      </c>
      <c r="F6" s="16" t="s">
        <v>34</v>
      </c>
      <c r="G6" s="17">
        <v>14.4</v>
      </c>
      <c r="H6" s="17">
        <v>459.4</v>
      </c>
      <c r="I6" s="18">
        <v>0</v>
      </c>
      <c r="J6" s="18">
        <v>0</v>
      </c>
      <c r="K6" s="18">
        <v>0</v>
      </c>
      <c r="L6" s="19" t="s">
        <v>35</v>
      </c>
      <c r="M6" s="20" t="s">
        <v>47</v>
      </c>
      <c r="N6" s="21" t="s">
        <v>37</v>
      </c>
      <c r="O6" s="22"/>
      <c r="P6" s="23">
        <v>-3.3289313225947005E-2</v>
      </c>
      <c r="Q6" s="24">
        <v>1</v>
      </c>
      <c r="R6" s="25">
        <v>1500</v>
      </c>
      <c r="S6" s="25">
        <v>0</v>
      </c>
      <c r="T6" s="26">
        <v>1500</v>
      </c>
      <c r="U6" s="27"/>
      <c r="V6" s="25">
        <v>246.95280000000008</v>
      </c>
      <c r="W6" s="25">
        <v>0</v>
      </c>
      <c r="X6" s="28">
        <v>0</v>
      </c>
      <c r="Y6" s="29">
        <v>246.95280000000008</v>
      </c>
      <c r="Z6" s="28">
        <v>0</v>
      </c>
      <c r="AA6" s="26">
        <v>-246.95280000000008</v>
      </c>
      <c r="AB6" s="26">
        <v>-246.95280000000008</v>
      </c>
      <c r="AC6" s="30">
        <v>46142</v>
      </c>
    </row>
    <row r="7" spans="1:29" x14ac:dyDescent="0.25">
      <c r="A7" s="12">
        <v>1003</v>
      </c>
      <c r="B7" s="13" t="s">
        <v>48</v>
      </c>
      <c r="C7" s="14">
        <v>10260001</v>
      </c>
      <c r="D7" s="15" t="s">
        <v>49</v>
      </c>
      <c r="E7" s="16" t="s">
        <v>50</v>
      </c>
      <c r="F7" s="16" t="s">
        <v>34</v>
      </c>
      <c r="G7" s="17">
        <v>1352</v>
      </c>
      <c r="H7" s="17">
        <v>45684.08</v>
      </c>
      <c r="I7" s="18">
        <v>45384</v>
      </c>
      <c r="J7" s="18">
        <v>0</v>
      </c>
      <c r="K7" s="18">
        <v>0</v>
      </c>
      <c r="L7" s="19" t="s">
        <v>35</v>
      </c>
      <c r="M7" s="20" t="s">
        <v>40</v>
      </c>
      <c r="N7" s="21" t="s">
        <v>37</v>
      </c>
      <c r="O7" s="22"/>
      <c r="P7" s="23">
        <v>-0.29796242816409363</v>
      </c>
      <c r="Q7" s="24">
        <v>14</v>
      </c>
      <c r="R7" s="25">
        <v>21750</v>
      </c>
      <c r="S7" s="25">
        <v>0</v>
      </c>
      <c r="T7" s="26">
        <v>21750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46142</v>
      </c>
    </row>
    <row r="8" spans="1:29" x14ac:dyDescent="0.25">
      <c r="A8" s="31"/>
      <c r="B8" s="32"/>
      <c r="C8" s="31"/>
      <c r="D8" s="31"/>
      <c r="E8" s="31" t="s">
        <v>51</v>
      </c>
      <c r="F8" s="31">
        <v>977</v>
      </c>
      <c r="G8" s="33">
        <v>2477.7700000000004</v>
      </c>
      <c r="H8" s="33">
        <v>89322.97</v>
      </c>
      <c r="I8" s="34">
        <v>88185</v>
      </c>
      <c r="J8" s="34">
        <v>0</v>
      </c>
      <c r="K8" s="34">
        <v>0</v>
      </c>
      <c r="L8" s="19">
        <v>4</v>
      </c>
      <c r="M8" s="14"/>
      <c r="N8" s="27"/>
      <c r="O8" s="6"/>
      <c r="P8" s="35"/>
      <c r="Q8" s="26">
        <v>5448</v>
      </c>
      <c r="R8" s="26">
        <v>37621</v>
      </c>
      <c r="S8" s="26">
        <v>0</v>
      </c>
      <c r="T8" s="26">
        <v>37621</v>
      </c>
      <c r="U8" s="27"/>
      <c r="V8" s="25">
        <v>581.07229285714288</v>
      </c>
      <c r="W8" s="25">
        <v>0</v>
      </c>
      <c r="X8" s="36">
        <v>0</v>
      </c>
      <c r="Y8" s="25">
        <v>581.07229285714288</v>
      </c>
      <c r="Z8" s="25">
        <v>334.11609999999996</v>
      </c>
      <c r="AA8" s="25">
        <v>-246.95619285714292</v>
      </c>
      <c r="AB8" s="25">
        <v>-246.95619285714292</v>
      </c>
      <c r="AC8" s="27"/>
    </row>
  </sheetData>
  <conditionalFormatting sqref="C8 C1">
    <cfRule type="duplicateValues" dxfId="16" priority="12" stopIfTrue="1"/>
  </conditionalFormatting>
  <conditionalFormatting sqref="C2:C7">
    <cfRule type="duplicateValues" dxfId="15" priority="9"/>
  </conditionalFormatting>
  <conditionalFormatting sqref="C2:C7">
    <cfRule type="duplicateValues" dxfId="14" priority="10"/>
    <cfRule type="duplicateValues" dxfId="13" priority="11"/>
  </conditionalFormatting>
  <conditionalFormatting sqref="F2:F7">
    <cfRule type="containsText" dxfId="12" priority="7" operator="containsText" text="Indirect">
      <formula>NOT(ISERROR(SEARCH("Indirect",F2)))</formula>
    </cfRule>
  </conditionalFormatting>
  <conditionalFormatting sqref="I2:K7">
    <cfRule type="cellIs" dxfId="11" priority="6" operator="lessThan">
      <formula>-1</formula>
    </cfRule>
  </conditionalFormatting>
  <conditionalFormatting sqref="AA2:AB7">
    <cfRule type="cellIs" dxfId="10" priority="8" operator="lessThan">
      <formula>0</formula>
    </cfRule>
  </conditionalFormatting>
  <conditionalFormatting sqref="D8">
    <cfRule type="duplicateValues" dxfId="9" priority="5" stopIfTrue="1"/>
  </conditionalFormatting>
  <conditionalFormatting sqref="E8">
    <cfRule type="duplicateValues" dxfId="8" priority="4" stopIfTrue="1"/>
  </conditionalFormatting>
  <conditionalFormatting sqref="F8">
    <cfRule type="duplicateValues" dxfId="7" priority="3" stopIfTrue="1"/>
  </conditionalFormatting>
  <conditionalFormatting sqref="G8">
    <cfRule type="duplicateValues" dxfId="6" priority="2" stopIfTrue="1"/>
  </conditionalFormatting>
  <conditionalFormatting sqref="H8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6F1F-D88F-4869-A9DF-44B3A4C67212}">
  <dimension ref="A1:AC38"/>
  <sheetViews>
    <sheetView zoomScale="90" workbookViewId="0">
      <selection activeCell="B39" sqref="B39"/>
    </sheetView>
  </sheetViews>
  <sheetFormatPr defaultRowHeight="15" x14ac:dyDescent="0.25"/>
  <cols>
    <col min="1" max="1" width="14.5703125" bestFit="1" customWidth="1"/>
    <col min="2" max="3" width="12.42578125" bestFit="1" customWidth="1"/>
    <col min="4" max="4" width="23.140625" bestFit="1" customWidth="1"/>
    <col min="5" max="5" width="10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7.7109375" bestFit="1" customWidth="1"/>
    <col min="12" max="12" width="9.28515625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9.28515625" bestFit="1" customWidth="1"/>
    <col min="18" max="18" width="22.42578125" bestFit="1" customWidth="1"/>
    <col min="19" max="19" width="17.85546875" bestFit="1" customWidth="1"/>
    <col min="20" max="20" width="14.28515625" bestFit="1" customWidth="1"/>
    <col min="21" max="21" width="22.140625" bestFit="1" customWidth="1"/>
    <col min="22" max="22" width="12.7109375" bestFit="1" customWidth="1"/>
    <col min="23" max="23" width="12.42578125" bestFit="1" customWidth="1"/>
    <col min="25" max="25" width="7.7109375" bestFit="1" customWidth="1"/>
    <col min="29" max="29" width="7" bestFit="1" customWidth="1"/>
  </cols>
  <sheetData>
    <row r="1" spans="1:29" ht="36.6" customHeight="1" x14ac:dyDescent="0.25">
      <c r="A1" s="37" t="s">
        <v>52</v>
      </c>
      <c r="B1" s="37" t="s">
        <v>1</v>
      </c>
      <c r="C1" s="37" t="s">
        <v>53</v>
      </c>
      <c r="D1" s="37" t="s">
        <v>54</v>
      </c>
      <c r="E1" s="38" t="s">
        <v>55</v>
      </c>
      <c r="F1" s="39" t="s">
        <v>56</v>
      </c>
      <c r="G1" s="40" t="s">
        <v>57</v>
      </c>
      <c r="H1" s="39" t="s">
        <v>58</v>
      </c>
      <c r="I1" s="39" t="s">
        <v>59</v>
      </c>
      <c r="J1" s="41" t="s">
        <v>8</v>
      </c>
      <c r="K1" s="41" t="s">
        <v>60</v>
      </c>
      <c r="L1" s="41" t="s">
        <v>61</v>
      </c>
      <c r="M1" s="41" t="s">
        <v>9</v>
      </c>
      <c r="N1" s="41" t="s">
        <v>10</v>
      </c>
      <c r="O1" s="41" t="s">
        <v>14</v>
      </c>
      <c r="P1" s="41" t="s">
        <v>62</v>
      </c>
      <c r="Q1" s="42" t="s">
        <v>63</v>
      </c>
      <c r="R1" s="43" t="s">
        <v>64</v>
      </c>
      <c r="S1" s="43" t="s">
        <v>65</v>
      </c>
      <c r="T1" s="43" t="s">
        <v>66</v>
      </c>
      <c r="U1" s="43" t="s">
        <v>67</v>
      </c>
      <c r="V1" s="44" t="s">
        <v>68</v>
      </c>
      <c r="W1" s="45" t="s">
        <v>16</v>
      </c>
      <c r="X1" s="46"/>
      <c r="Y1" s="47" t="s">
        <v>69</v>
      </c>
      <c r="AC1" t="s">
        <v>70</v>
      </c>
    </row>
    <row r="2" spans="1:29" x14ac:dyDescent="0.25">
      <c r="A2" t="s">
        <v>71</v>
      </c>
      <c r="B2" t="s">
        <v>31</v>
      </c>
      <c r="C2" s="48" t="s">
        <v>31</v>
      </c>
      <c r="D2" t="s">
        <v>32</v>
      </c>
      <c r="E2" s="48">
        <v>10010137</v>
      </c>
      <c r="F2" t="s">
        <v>72</v>
      </c>
      <c r="G2" s="48">
        <v>2</v>
      </c>
      <c r="H2" s="49">
        <v>1.1000000000000001</v>
      </c>
      <c r="I2" s="50">
        <v>45.013201200000005</v>
      </c>
      <c r="J2" s="51">
        <v>0</v>
      </c>
      <c r="K2" s="51">
        <v>45.013201200000005</v>
      </c>
      <c r="L2" s="51">
        <v>0</v>
      </c>
      <c r="M2" s="49">
        <v>0</v>
      </c>
      <c r="N2" s="49">
        <v>0</v>
      </c>
      <c r="O2" s="51" t="s">
        <v>35</v>
      </c>
      <c r="P2" s="51">
        <v>0</v>
      </c>
      <c r="Q2" s="48" t="s">
        <v>34</v>
      </c>
      <c r="R2">
        <v>0</v>
      </c>
      <c r="S2">
        <v>0</v>
      </c>
      <c r="T2">
        <v>0</v>
      </c>
      <c r="U2">
        <v>0</v>
      </c>
      <c r="V2" t="s">
        <v>73</v>
      </c>
      <c r="W2" t="s">
        <v>37</v>
      </c>
      <c r="Y2" s="52">
        <v>0</v>
      </c>
    </row>
    <row r="3" spans="1:29" x14ac:dyDescent="0.25">
      <c r="A3" t="s">
        <v>74</v>
      </c>
      <c r="B3" t="s">
        <v>31</v>
      </c>
      <c r="C3" s="48" t="s">
        <v>31</v>
      </c>
      <c r="D3" t="s">
        <v>32</v>
      </c>
      <c r="E3" s="48">
        <v>10010137</v>
      </c>
      <c r="F3" t="s">
        <v>75</v>
      </c>
      <c r="G3" s="48">
        <v>10</v>
      </c>
      <c r="H3" s="49">
        <v>34.4</v>
      </c>
      <c r="I3" s="50">
        <v>1481.8557758400002</v>
      </c>
      <c r="J3" s="51">
        <v>0</v>
      </c>
      <c r="K3" s="51">
        <v>0</v>
      </c>
      <c r="L3" s="51">
        <v>0</v>
      </c>
      <c r="M3" s="49">
        <v>0</v>
      </c>
      <c r="N3" s="49">
        <v>200.35</v>
      </c>
      <c r="O3" s="51" t="s">
        <v>35</v>
      </c>
      <c r="P3" s="51">
        <v>1282</v>
      </c>
      <c r="Q3" s="48" t="s">
        <v>34</v>
      </c>
      <c r="R3" t="s">
        <v>76</v>
      </c>
      <c r="S3" t="s">
        <v>77</v>
      </c>
      <c r="T3" t="s">
        <v>78</v>
      </c>
      <c r="U3" t="s">
        <v>79</v>
      </c>
      <c r="V3" t="s">
        <v>80</v>
      </c>
      <c r="W3" t="s">
        <v>37</v>
      </c>
      <c r="Y3" s="52">
        <v>21.53860139302326</v>
      </c>
    </row>
    <row r="4" spans="1:29" x14ac:dyDescent="0.25">
      <c r="A4" t="s">
        <v>81</v>
      </c>
      <c r="B4" t="s">
        <v>31</v>
      </c>
      <c r="C4" s="48" t="s">
        <v>31</v>
      </c>
      <c r="D4" t="s">
        <v>32</v>
      </c>
      <c r="E4" s="48">
        <v>10010137</v>
      </c>
      <c r="F4" t="s">
        <v>82</v>
      </c>
      <c r="G4" s="48">
        <v>6</v>
      </c>
      <c r="H4" s="49">
        <v>20.47</v>
      </c>
      <c r="I4" s="50">
        <v>801.54325128240021</v>
      </c>
      <c r="J4" s="51">
        <v>0</v>
      </c>
      <c r="K4" s="51">
        <v>0</v>
      </c>
      <c r="L4" s="51">
        <v>0</v>
      </c>
      <c r="M4" s="49">
        <v>0</v>
      </c>
      <c r="N4" s="49">
        <v>0</v>
      </c>
      <c r="O4" s="51" t="s">
        <v>35</v>
      </c>
      <c r="P4" s="51">
        <v>802</v>
      </c>
      <c r="Q4" s="48" t="s">
        <v>34</v>
      </c>
      <c r="R4" t="s">
        <v>83</v>
      </c>
      <c r="S4" t="s">
        <v>84</v>
      </c>
      <c r="T4" t="s">
        <v>85</v>
      </c>
      <c r="U4" t="s">
        <v>86</v>
      </c>
      <c r="V4" t="s">
        <v>80</v>
      </c>
      <c r="W4" t="s">
        <v>37</v>
      </c>
      <c r="Y4" s="52">
        <v>11.747092104773822</v>
      </c>
    </row>
    <row r="5" spans="1:29" x14ac:dyDescent="0.25">
      <c r="A5" t="s">
        <v>87</v>
      </c>
      <c r="B5" t="s">
        <v>31</v>
      </c>
      <c r="C5" s="48" t="s">
        <v>31</v>
      </c>
      <c r="D5" t="s">
        <v>32</v>
      </c>
      <c r="E5" s="48">
        <v>10010137</v>
      </c>
      <c r="F5" t="s">
        <v>88</v>
      </c>
      <c r="G5" s="48">
        <v>11</v>
      </c>
      <c r="H5" s="49">
        <v>59.550000000000011</v>
      </c>
      <c r="I5" s="50">
        <v>2469.3636535920004</v>
      </c>
      <c r="J5" s="51">
        <v>0</v>
      </c>
      <c r="K5" s="51">
        <v>0</v>
      </c>
      <c r="L5" s="51">
        <v>2307</v>
      </c>
      <c r="M5" s="49">
        <v>0</v>
      </c>
      <c r="N5" s="49">
        <v>0</v>
      </c>
      <c r="O5" s="51" t="s">
        <v>35</v>
      </c>
      <c r="P5" s="51">
        <v>162</v>
      </c>
      <c r="Q5" s="48" t="s">
        <v>34</v>
      </c>
      <c r="R5" t="s">
        <v>89</v>
      </c>
      <c r="S5" t="s">
        <v>90</v>
      </c>
      <c r="T5" t="s">
        <v>78</v>
      </c>
      <c r="U5" t="s">
        <v>86</v>
      </c>
      <c r="V5" t="s">
        <v>80</v>
      </c>
      <c r="W5" t="s">
        <v>37</v>
      </c>
      <c r="Y5" s="52">
        <v>22.806885129733001</v>
      </c>
    </row>
    <row r="6" spans="1:29" x14ac:dyDescent="0.25">
      <c r="A6" t="s">
        <v>91</v>
      </c>
      <c r="B6" t="s">
        <v>31</v>
      </c>
      <c r="C6" s="48" t="s">
        <v>31</v>
      </c>
      <c r="D6" t="s">
        <v>32</v>
      </c>
      <c r="E6" s="48">
        <v>10010137</v>
      </c>
      <c r="F6" t="s">
        <v>92</v>
      </c>
      <c r="G6" s="48">
        <v>4</v>
      </c>
      <c r="H6" s="49">
        <v>7.1</v>
      </c>
      <c r="I6" s="50">
        <v>315.94992660000003</v>
      </c>
      <c r="J6" s="51">
        <v>0</v>
      </c>
      <c r="K6" s="51">
        <v>0</v>
      </c>
      <c r="L6" s="51">
        <v>0</v>
      </c>
      <c r="M6" s="49">
        <v>0</v>
      </c>
      <c r="N6" s="49">
        <v>0</v>
      </c>
      <c r="O6" s="51" t="s">
        <v>35</v>
      </c>
      <c r="P6" s="51">
        <v>316</v>
      </c>
      <c r="Q6" s="48" t="s">
        <v>34</v>
      </c>
      <c r="R6" t="s">
        <v>93</v>
      </c>
      <c r="S6" t="s">
        <v>94</v>
      </c>
      <c r="T6" t="s">
        <v>95</v>
      </c>
      <c r="U6" t="s">
        <v>96</v>
      </c>
      <c r="V6" t="s">
        <v>80</v>
      </c>
      <c r="W6" t="s">
        <v>37</v>
      </c>
      <c r="Y6" s="52">
        <v>8.8999979323943688</v>
      </c>
    </row>
    <row r="7" spans="1:29" x14ac:dyDescent="0.25">
      <c r="A7" t="s">
        <v>97</v>
      </c>
      <c r="B7" t="s">
        <v>31</v>
      </c>
      <c r="C7" s="48" t="s">
        <v>31</v>
      </c>
      <c r="D7" t="s">
        <v>32</v>
      </c>
      <c r="E7" s="48">
        <v>10010137</v>
      </c>
      <c r="F7" t="s">
        <v>98</v>
      </c>
      <c r="G7" s="48">
        <v>3</v>
      </c>
      <c r="H7" s="49">
        <v>10.7</v>
      </c>
      <c r="I7" s="50">
        <v>465.39808477730003</v>
      </c>
      <c r="J7" s="51">
        <v>0</v>
      </c>
      <c r="K7" s="51">
        <v>0</v>
      </c>
      <c r="L7" s="51">
        <v>0</v>
      </c>
      <c r="M7" s="49">
        <v>0</v>
      </c>
      <c r="N7" s="49">
        <v>0</v>
      </c>
      <c r="O7" s="51" t="s">
        <v>35</v>
      </c>
      <c r="P7" s="51">
        <v>465</v>
      </c>
      <c r="Q7" s="48" t="s">
        <v>34</v>
      </c>
      <c r="R7" t="s">
        <v>76</v>
      </c>
      <c r="S7" t="s">
        <v>99</v>
      </c>
      <c r="T7" t="s">
        <v>78</v>
      </c>
      <c r="U7" t="s">
        <v>79</v>
      </c>
      <c r="V7" t="s">
        <v>80</v>
      </c>
      <c r="W7" t="s">
        <v>37</v>
      </c>
      <c r="Y7" s="52">
        <v>6.5242722165042073</v>
      </c>
    </row>
    <row r="8" spans="1:29" x14ac:dyDescent="0.25">
      <c r="A8" t="s">
        <v>100</v>
      </c>
      <c r="B8" t="s">
        <v>31</v>
      </c>
      <c r="C8" s="48" t="s">
        <v>31</v>
      </c>
      <c r="D8" t="s">
        <v>32</v>
      </c>
      <c r="E8" s="48">
        <v>10010137</v>
      </c>
      <c r="F8" t="s">
        <v>101</v>
      </c>
      <c r="G8" s="48">
        <v>2</v>
      </c>
      <c r="H8" s="49">
        <v>2.5</v>
      </c>
      <c r="I8" s="50">
        <v>125.4945835</v>
      </c>
      <c r="J8" s="51">
        <v>0</v>
      </c>
      <c r="K8" s="51">
        <v>0</v>
      </c>
      <c r="L8" s="51">
        <v>0</v>
      </c>
      <c r="M8" s="49">
        <v>0</v>
      </c>
      <c r="N8" s="49">
        <v>0</v>
      </c>
      <c r="O8" s="51" t="s">
        <v>35</v>
      </c>
      <c r="P8" s="51">
        <v>125</v>
      </c>
      <c r="Q8" s="48" t="s">
        <v>34</v>
      </c>
      <c r="R8" t="s">
        <v>102</v>
      </c>
      <c r="S8" t="s">
        <v>103</v>
      </c>
      <c r="T8" t="s">
        <v>85</v>
      </c>
      <c r="U8" t="s">
        <v>86</v>
      </c>
      <c r="V8" t="s">
        <v>80</v>
      </c>
      <c r="W8" t="s">
        <v>37</v>
      </c>
      <c r="Y8" s="52">
        <v>5.01978334</v>
      </c>
    </row>
    <row r="9" spans="1:29" x14ac:dyDescent="0.25">
      <c r="A9" t="s">
        <v>104</v>
      </c>
      <c r="B9" t="s">
        <v>31</v>
      </c>
      <c r="C9" s="48" t="s">
        <v>31</v>
      </c>
      <c r="D9" t="s">
        <v>32</v>
      </c>
      <c r="E9" s="48">
        <v>10010137</v>
      </c>
      <c r="F9" t="s">
        <v>105</v>
      </c>
      <c r="G9" s="48">
        <v>8</v>
      </c>
      <c r="H9" s="49">
        <v>32.870000000000005</v>
      </c>
      <c r="I9" s="50">
        <v>1655.0605434398028</v>
      </c>
      <c r="J9" s="51">
        <v>0</v>
      </c>
      <c r="K9" s="51">
        <v>0</v>
      </c>
      <c r="L9" s="51">
        <v>0</v>
      </c>
      <c r="M9" s="49">
        <v>0</v>
      </c>
      <c r="N9" s="49">
        <v>0</v>
      </c>
      <c r="O9" s="51" t="s">
        <v>35</v>
      </c>
      <c r="P9" s="51">
        <v>1655</v>
      </c>
      <c r="Q9" s="48" t="s">
        <v>34</v>
      </c>
      <c r="R9" t="s">
        <v>106</v>
      </c>
      <c r="S9" t="s">
        <v>107</v>
      </c>
      <c r="T9" t="s">
        <v>85</v>
      </c>
      <c r="U9" t="s">
        <v>79</v>
      </c>
      <c r="V9" t="s">
        <v>80</v>
      </c>
      <c r="W9" t="s">
        <v>37</v>
      </c>
      <c r="Y9" s="52">
        <v>20.140682001092824</v>
      </c>
    </row>
    <row r="10" spans="1:29" x14ac:dyDescent="0.25">
      <c r="A10" t="s">
        <v>108</v>
      </c>
      <c r="B10" t="s">
        <v>31</v>
      </c>
      <c r="C10" s="48" t="s">
        <v>31</v>
      </c>
      <c r="D10" t="s">
        <v>32</v>
      </c>
      <c r="E10" s="48">
        <v>10010137</v>
      </c>
      <c r="F10" t="s">
        <v>109</v>
      </c>
      <c r="G10" s="48">
        <v>3</v>
      </c>
      <c r="H10" s="49">
        <v>4.57</v>
      </c>
      <c r="I10" s="50">
        <v>225.21568523599998</v>
      </c>
      <c r="J10" s="51">
        <v>0</v>
      </c>
      <c r="K10" s="51">
        <v>0</v>
      </c>
      <c r="L10" s="51">
        <v>0</v>
      </c>
      <c r="M10" s="49">
        <v>0</v>
      </c>
      <c r="N10" s="49">
        <v>0</v>
      </c>
      <c r="O10" s="51" t="s">
        <v>35</v>
      </c>
      <c r="P10" s="51">
        <v>225</v>
      </c>
      <c r="Q10" s="48" t="s">
        <v>34</v>
      </c>
      <c r="R10" t="s">
        <v>110</v>
      </c>
      <c r="S10" t="s">
        <v>111</v>
      </c>
      <c r="T10" t="s">
        <v>85</v>
      </c>
      <c r="U10" t="s">
        <v>86</v>
      </c>
      <c r="V10" t="s">
        <v>80</v>
      </c>
      <c r="W10" t="s">
        <v>37</v>
      </c>
      <c r="Y10" s="52">
        <v>7.3921997342231949</v>
      </c>
    </row>
    <row r="11" spans="1:29" x14ac:dyDescent="0.25">
      <c r="A11" t="s">
        <v>112</v>
      </c>
      <c r="B11" t="s">
        <v>31</v>
      </c>
      <c r="C11" s="48" t="s">
        <v>31</v>
      </c>
      <c r="D11" t="s">
        <v>32</v>
      </c>
      <c r="E11" s="48">
        <v>10010137</v>
      </c>
      <c r="F11" t="s">
        <v>113</v>
      </c>
      <c r="G11" s="48">
        <v>3</v>
      </c>
      <c r="H11" s="49">
        <v>5.9</v>
      </c>
      <c r="I11" s="50">
        <v>287.11195185114002</v>
      </c>
      <c r="J11" s="51">
        <v>0</v>
      </c>
      <c r="K11" s="51">
        <v>0</v>
      </c>
      <c r="L11" s="51">
        <v>0</v>
      </c>
      <c r="M11" s="49">
        <v>0</v>
      </c>
      <c r="N11" s="49">
        <v>0</v>
      </c>
      <c r="O11" s="51" t="s">
        <v>35</v>
      </c>
      <c r="P11" s="51">
        <v>287</v>
      </c>
      <c r="Q11" s="48" t="s">
        <v>34</v>
      </c>
      <c r="R11" t="s">
        <v>114</v>
      </c>
      <c r="S11" t="s">
        <v>115</v>
      </c>
      <c r="T11" t="s">
        <v>78</v>
      </c>
      <c r="U11" t="s">
        <v>86</v>
      </c>
      <c r="V11" t="s">
        <v>80</v>
      </c>
      <c r="W11" t="s">
        <v>37</v>
      </c>
      <c r="Y11" s="52">
        <v>7.2994564029950864</v>
      </c>
    </row>
    <row r="12" spans="1:29" x14ac:dyDescent="0.25">
      <c r="A12" t="s">
        <v>116</v>
      </c>
      <c r="B12" t="s">
        <v>31</v>
      </c>
      <c r="C12" s="48" t="s">
        <v>31</v>
      </c>
      <c r="D12" t="s">
        <v>32</v>
      </c>
      <c r="E12" s="48">
        <v>10010137</v>
      </c>
      <c r="F12" t="s">
        <v>117</v>
      </c>
      <c r="G12" s="48">
        <v>7</v>
      </c>
      <c r="H12" s="49">
        <v>14.200000000000001</v>
      </c>
      <c r="I12" s="50">
        <v>524.51850565619998</v>
      </c>
      <c r="J12" s="51">
        <v>0</v>
      </c>
      <c r="K12" s="51">
        <v>0</v>
      </c>
      <c r="L12" s="51">
        <v>0</v>
      </c>
      <c r="M12" s="49">
        <v>0</v>
      </c>
      <c r="N12" s="49">
        <v>0</v>
      </c>
      <c r="O12" s="51" t="s">
        <v>35</v>
      </c>
      <c r="P12" s="51">
        <v>525</v>
      </c>
      <c r="Q12" s="48" t="s">
        <v>34</v>
      </c>
      <c r="R12" t="s">
        <v>118</v>
      </c>
      <c r="S12" t="s">
        <v>119</v>
      </c>
      <c r="T12" t="s">
        <v>85</v>
      </c>
      <c r="U12" t="s">
        <v>86</v>
      </c>
      <c r="V12" t="s">
        <v>80</v>
      </c>
      <c r="W12" t="s">
        <v>37</v>
      </c>
      <c r="Y12" s="52">
        <v>12.928273026737322</v>
      </c>
    </row>
    <row r="13" spans="1:29" x14ac:dyDescent="0.25">
      <c r="A13" t="s">
        <v>120</v>
      </c>
      <c r="B13" t="s">
        <v>38</v>
      </c>
      <c r="C13" s="48" t="s">
        <v>38</v>
      </c>
      <c r="D13" t="s">
        <v>39</v>
      </c>
      <c r="E13" s="48">
        <v>10060111</v>
      </c>
      <c r="F13" t="s">
        <v>121</v>
      </c>
      <c r="G13" s="48">
        <v>2</v>
      </c>
      <c r="H13" s="49">
        <v>60.45</v>
      </c>
      <c r="I13" s="50">
        <v>2474.6305339800001</v>
      </c>
      <c r="J13" s="51">
        <v>0</v>
      </c>
      <c r="K13" s="51">
        <v>0</v>
      </c>
      <c r="L13" s="51">
        <v>2474.6305339800001</v>
      </c>
      <c r="M13" s="49">
        <v>0</v>
      </c>
      <c r="N13" s="49">
        <v>0</v>
      </c>
      <c r="O13" s="51" t="s">
        <v>35</v>
      </c>
      <c r="P13" s="51">
        <v>0</v>
      </c>
      <c r="Q13" s="48" t="s">
        <v>34</v>
      </c>
      <c r="R13" t="s">
        <v>122</v>
      </c>
      <c r="S13" t="s">
        <v>123</v>
      </c>
      <c r="T13" t="s">
        <v>124</v>
      </c>
      <c r="U13" t="s">
        <v>125</v>
      </c>
      <c r="V13" t="s">
        <v>80</v>
      </c>
      <c r="W13" t="s">
        <v>37</v>
      </c>
      <c r="X13" s="53"/>
      <c r="Y13" s="52">
        <v>4.0936816112158807</v>
      </c>
    </row>
    <row r="14" spans="1:29" x14ac:dyDescent="0.25">
      <c r="A14" t="s">
        <v>126</v>
      </c>
      <c r="B14" t="s">
        <v>38</v>
      </c>
      <c r="C14" s="48" t="s">
        <v>38</v>
      </c>
      <c r="D14" t="s">
        <v>39</v>
      </c>
      <c r="E14" s="48">
        <v>10060111</v>
      </c>
      <c r="F14" t="s">
        <v>127</v>
      </c>
      <c r="G14" s="48">
        <v>6</v>
      </c>
      <c r="H14" s="49">
        <v>22.57</v>
      </c>
      <c r="I14" s="50">
        <v>787.7750035716</v>
      </c>
      <c r="J14" s="51">
        <v>0</v>
      </c>
      <c r="K14" s="51">
        <v>0</v>
      </c>
      <c r="L14" s="51">
        <v>127</v>
      </c>
      <c r="M14" s="49">
        <v>0</v>
      </c>
      <c r="N14" s="49">
        <v>0</v>
      </c>
      <c r="O14" s="51" t="s">
        <v>35</v>
      </c>
      <c r="P14" s="51">
        <v>661</v>
      </c>
      <c r="Q14" s="48" t="s">
        <v>34</v>
      </c>
      <c r="R14" t="s">
        <v>128</v>
      </c>
      <c r="S14" t="s">
        <v>129</v>
      </c>
      <c r="T14" t="s">
        <v>130</v>
      </c>
      <c r="U14" t="s">
        <v>131</v>
      </c>
      <c r="V14" t="s">
        <v>80</v>
      </c>
      <c r="W14" t="s">
        <v>37</v>
      </c>
      <c r="Y14" s="52">
        <v>10.471089989875058</v>
      </c>
    </row>
    <row r="15" spans="1:29" x14ac:dyDescent="0.25">
      <c r="A15" t="s">
        <v>132</v>
      </c>
      <c r="B15" t="s">
        <v>38</v>
      </c>
      <c r="C15" s="48" t="s">
        <v>38</v>
      </c>
      <c r="D15" t="s">
        <v>39</v>
      </c>
      <c r="E15" s="48">
        <v>10060111</v>
      </c>
      <c r="F15" t="s">
        <v>92</v>
      </c>
      <c r="G15" s="48">
        <v>3</v>
      </c>
      <c r="H15" s="49">
        <v>4.51</v>
      </c>
      <c r="I15" s="50">
        <v>169.97454579600003</v>
      </c>
      <c r="J15" s="51">
        <v>0</v>
      </c>
      <c r="K15" s="51">
        <v>0</v>
      </c>
      <c r="L15" s="51">
        <v>0</v>
      </c>
      <c r="M15" s="49">
        <v>0</v>
      </c>
      <c r="N15" s="49">
        <v>0</v>
      </c>
      <c r="O15" s="51" t="s">
        <v>35</v>
      </c>
      <c r="P15" s="51">
        <v>170</v>
      </c>
      <c r="Q15" s="48" t="s">
        <v>34</v>
      </c>
      <c r="R15" t="s">
        <v>133</v>
      </c>
      <c r="S15" t="s">
        <v>134</v>
      </c>
      <c r="T15" t="s">
        <v>135</v>
      </c>
      <c r="U15" t="s">
        <v>131</v>
      </c>
      <c r="V15" t="s">
        <v>80</v>
      </c>
      <c r="W15" t="s">
        <v>37</v>
      </c>
      <c r="Y15" s="52">
        <v>5.6532554034146356</v>
      </c>
    </row>
    <row r="16" spans="1:29" x14ac:dyDescent="0.25">
      <c r="A16" t="s">
        <v>136</v>
      </c>
      <c r="B16" t="s">
        <v>38</v>
      </c>
      <c r="C16" s="48" t="s">
        <v>38</v>
      </c>
      <c r="D16" t="s">
        <v>39</v>
      </c>
      <c r="E16" s="48">
        <v>10060111</v>
      </c>
      <c r="F16" t="s">
        <v>98</v>
      </c>
      <c r="G16" s="48">
        <v>11</v>
      </c>
      <c r="H16" s="49">
        <v>32.75</v>
      </c>
      <c r="I16" s="50">
        <v>1209.3131422746001</v>
      </c>
      <c r="J16" s="51">
        <v>0</v>
      </c>
      <c r="K16" s="51">
        <v>0</v>
      </c>
      <c r="L16" s="51">
        <v>100</v>
      </c>
      <c r="M16" s="49">
        <v>0</v>
      </c>
      <c r="N16" s="49">
        <v>0</v>
      </c>
      <c r="O16" s="51" t="s">
        <v>35</v>
      </c>
      <c r="P16" s="51">
        <v>1109</v>
      </c>
      <c r="Q16" s="48" t="s">
        <v>34</v>
      </c>
      <c r="R16" t="s">
        <v>137</v>
      </c>
      <c r="S16" t="s">
        <v>138</v>
      </c>
      <c r="T16" t="s">
        <v>124</v>
      </c>
      <c r="U16" t="s">
        <v>125</v>
      </c>
      <c r="V16" t="s">
        <v>80</v>
      </c>
      <c r="W16" t="s">
        <v>37</v>
      </c>
      <c r="Y16" s="52">
        <v>20.309075671787181</v>
      </c>
    </row>
    <row r="17" spans="1:25" x14ac:dyDescent="0.25">
      <c r="A17" t="s">
        <v>139</v>
      </c>
      <c r="B17" t="s">
        <v>38</v>
      </c>
      <c r="C17" s="48" t="s">
        <v>38</v>
      </c>
      <c r="D17" t="s">
        <v>39</v>
      </c>
      <c r="E17" s="48">
        <v>10060111</v>
      </c>
      <c r="F17" t="s">
        <v>105</v>
      </c>
      <c r="G17" s="48">
        <v>14</v>
      </c>
      <c r="H17" s="49">
        <v>695.5200000000001</v>
      </c>
      <c r="I17" s="50">
        <v>36363.646767882565</v>
      </c>
      <c r="J17" s="51">
        <v>0</v>
      </c>
      <c r="K17" s="51">
        <v>0</v>
      </c>
      <c r="L17" s="51">
        <v>12700</v>
      </c>
      <c r="M17" s="49">
        <v>0</v>
      </c>
      <c r="N17" s="49">
        <v>0</v>
      </c>
      <c r="O17" s="51" t="s">
        <v>35</v>
      </c>
      <c r="P17" s="51">
        <v>23664</v>
      </c>
      <c r="Q17" s="48" t="s">
        <v>34</v>
      </c>
      <c r="R17" t="s">
        <v>140</v>
      </c>
      <c r="S17" t="s">
        <v>141</v>
      </c>
      <c r="T17" t="s">
        <v>135</v>
      </c>
      <c r="U17" t="s">
        <v>131</v>
      </c>
      <c r="V17" t="s">
        <v>80</v>
      </c>
      <c r="W17" t="s">
        <v>37</v>
      </c>
      <c r="Y17" s="52">
        <v>36.597873156081484</v>
      </c>
    </row>
    <row r="18" spans="1:25" x14ac:dyDescent="0.25">
      <c r="A18" t="s">
        <v>142</v>
      </c>
      <c r="B18" t="s">
        <v>38</v>
      </c>
      <c r="C18" s="48" t="s">
        <v>38</v>
      </c>
      <c r="D18" t="s">
        <v>39</v>
      </c>
      <c r="E18" s="48">
        <v>10060111</v>
      </c>
      <c r="F18" t="s">
        <v>143</v>
      </c>
      <c r="G18" s="48">
        <v>1</v>
      </c>
      <c r="H18" s="49">
        <v>1.23</v>
      </c>
      <c r="I18" s="50">
        <v>63.078361829999999</v>
      </c>
      <c r="J18" s="51">
        <v>0</v>
      </c>
      <c r="K18" s="51">
        <v>0</v>
      </c>
      <c r="L18" s="51">
        <v>0</v>
      </c>
      <c r="M18" s="49">
        <v>0</v>
      </c>
      <c r="N18" s="49">
        <v>0</v>
      </c>
      <c r="O18" s="51" t="s">
        <v>35</v>
      </c>
      <c r="P18" s="51">
        <v>63</v>
      </c>
      <c r="Q18" s="48" t="s">
        <v>34</v>
      </c>
      <c r="R18" t="s">
        <v>144</v>
      </c>
      <c r="S18" t="s">
        <v>145</v>
      </c>
      <c r="T18" t="s">
        <v>135</v>
      </c>
      <c r="U18" t="s">
        <v>146</v>
      </c>
      <c r="V18" t="s">
        <v>80</v>
      </c>
      <c r="W18" t="s">
        <v>37</v>
      </c>
      <c r="Y18" s="52">
        <v>2.5641610500000001</v>
      </c>
    </row>
    <row r="19" spans="1:25" x14ac:dyDescent="0.25">
      <c r="A19" t="s">
        <v>147</v>
      </c>
      <c r="B19" t="s">
        <v>38</v>
      </c>
      <c r="C19" s="48" t="s">
        <v>38</v>
      </c>
      <c r="D19" t="s">
        <v>39</v>
      </c>
      <c r="E19" s="48">
        <v>10060111</v>
      </c>
      <c r="F19" t="s">
        <v>148</v>
      </c>
      <c r="G19" s="48">
        <v>7</v>
      </c>
      <c r="H19" s="49">
        <v>12.589999999999998</v>
      </c>
      <c r="I19" s="50">
        <v>544.45040250383204</v>
      </c>
      <c r="J19" s="51">
        <v>0</v>
      </c>
      <c r="K19" s="51">
        <v>0</v>
      </c>
      <c r="L19" s="51">
        <v>0</v>
      </c>
      <c r="M19" s="49">
        <v>0</v>
      </c>
      <c r="N19" s="49">
        <v>0</v>
      </c>
      <c r="O19" s="51" t="s">
        <v>35</v>
      </c>
      <c r="P19" s="51">
        <v>544</v>
      </c>
      <c r="Q19" s="48" t="s">
        <v>34</v>
      </c>
      <c r="R19" t="s">
        <v>149</v>
      </c>
      <c r="S19" t="s">
        <v>150</v>
      </c>
      <c r="T19" t="s">
        <v>151</v>
      </c>
      <c r="U19" t="s">
        <v>152</v>
      </c>
      <c r="V19" t="s">
        <v>80</v>
      </c>
      <c r="W19" t="s">
        <v>37</v>
      </c>
      <c r="Y19" s="52">
        <v>15.13563470026539</v>
      </c>
    </row>
    <row r="20" spans="1:25" x14ac:dyDescent="0.25">
      <c r="A20" t="s">
        <v>153</v>
      </c>
      <c r="B20" t="s">
        <v>41</v>
      </c>
      <c r="C20" s="48" t="s">
        <v>41</v>
      </c>
      <c r="D20" t="s">
        <v>42</v>
      </c>
      <c r="E20" s="48">
        <v>10070077</v>
      </c>
      <c r="F20" t="s">
        <v>121</v>
      </c>
      <c r="G20" s="48">
        <v>1</v>
      </c>
      <c r="H20" s="49">
        <v>174.2</v>
      </c>
      <c r="I20" s="50">
        <v>7864.2779529600002</v>
      </c>
      <c r="J20" s="51">
        <v>0</v>
      </c>
      <c r="K20" s="51">
        <v>0</v>
      </c>
      <c r="L20" s="51">
        <v>2205</v>
      </c>
      <c r="M20" s="49">
        <v>0</v>
      </c>
      <c r="N20" s="49">
        <v>0</v>
      </c>
      <c r="O20" s="51" t="s">
        <v>35</v>
      </c>
      <c r="P20" s="51">
        <v>5659</v>
      </c>
      <c r="Q20" s="48" t="s">
        <v>34</v>
      </c>
      <c r="R20" t="s">
        <v>154</v>
      </c>
      <c r="S20" t="s">
        <v>155</v>
      </c>
      <c r="T20" t="s">
        <v>156</v>
      </c>
      <c r="U20" t="s">
        <v>125</v>
      </c>
      <c r="V20" t="s">
        <v>80</v>
      </c>
      <c r="W20" t="s">
        <v>37</v>
      </c>
      <c r="X20" s="53"/>
      <c r="Y20" s="52">
        <v>2.2572554400000002</v>
      </c>
    </row>
    <row r="21" spans="1:25" x14ac:dyDescent="0.25">
      <c r="A21" t="s">
        <v>157</v>
      </c>
      <c r="B21" t="s">
        <v>43</v>
      </c>
      <c r="C21" s="48" t="s">
        <v>43</v>
      </c>
      <c r="D21" t="s">
        <v>44</v>
      </c>
      <c r="E21" s="48">
        <v>10090043</v>
      </c>
      <c r="F21" t="s">
        <v>121</v>
      </c>
      <c r="G21" s="48">
        <v>7</v>
      </c>
      <c r="H21" s="49">
        <v>200</v>
      </c>
      <c r="I21" s="50">
        <v>8083.9658205000014</v>
      </c>
      <c r="J21" s="51">
        <v>0</v>
      </c>
      <c r="K21" s="51">
        <v>0</v>
      </c>
      <c r="L21" s="51">
        <v>2934</v>
      </c>
      <c r="M21" s="49">
        <v>0</v>
      </c>
      <c r="N21" s="49">
        <v>133.76609999999999</v>
      </c>
      <c r="O21" s="51" t="s">
        <v>35</v>
      </c>
      <c r="P21" s="51">
        <v>5016</v>
      </c>
      <c r="Q21" s="48" t="s">
        <v>34</v>
      </c>
      <c r="R21" t="s">
        <v>158</v>
      </c>
      <c r="S21" t="s">
        <v>159</v>
      </c>
      <c r="T21" t="s">
        <v>160</v>
      </c>
      <c r="U21" t="s">
        <v>86</v>
      </c>
      <c r="V21" t="s">
        <v>80</v>
      </c>
      <c r="W21" t="s">
        <v>37</v>
      </c>
      <c r="X21" s="53"/>
      <c r="Y21" s="52">
        <v>14.146940185875005</v>
      </c>
    </row>
    <row r="22" spans="1:25" x14ac:dyDescent="0.25">
      <c r="A22" t="s">
        <v>161</v>
      </c>
      <c r="B22" t="s">
        <v>43</v>
      </c>
      <c r="C22" s="48" t="s">
        <v>43</v>
      </c>
      <c r="D22" t="s">
        <v>44</v>
      </c>
      <c r="E22" s="48">
        <v>10090043</v>
      </c>
      <c r="F22" t="s">
        <v>75</v>
      </c>
      <c r="G22" s="48">
        <v>1</v>
      </c>
      <c r="H22" s="49">
        <v>1</v>
      </c>
      <c r="I22" s="50">
        <v>71.485490870000007</v>
      </c>
      <c r="J22" s="51">
        <v>0</v>
      </c>
      <c r="K22" s="51">
        <v>0</v>
      </c>
      <c r="L22" s="51">
        <v>0</v>
      </c>
      <c r="M22" s="49">
        <v>0</v>
      </c>
      <c r="N22" s="49">
        <v>0</v>
      </c>
      <c r="O22" s="51" t="s">
        <v>35</v>
      </c>
      <c r="P22" s="51">
        <v>71</v>
      </c>
      <c r="Q22" s="48" t="s">
        <v>34</v>
      </c>
      <c r="R22" t="s">
        <v>162</v>
      </c>
      <c r="S22" t="s">
        <v>163</v>
      </c>
      <c r="T22" t="s">
        <v>160</v>
      </c>
      <c r="U22" t="s">
        <v>86</v>
      </c>
      <c r="V22" t="s">
        <v>80</v>
      </c>
      <c r="W22" t="s">
        <v>37</v>
      </c>
      <c r="Y22" s="52">
        <v>3.5742745435000005</v>
      </c>
    </row>
    <row r="23" spans="1:25" x14ac:dyDescent="0.25">
      <c r="A23" t="s">
        <v>164</v>
      </c>
      <c r="B23" t="s">
        <v>45</v>
      </c>
      <c r="C23" s="48" t="s">
        <v>45</v>
      </c>
      <c r="D23" t="s">
        <v>46</v>
      </c>
      <c r="E23" s="48">
        <v>10130073</v>
      </c>
      <c r="F23" t="s">
        <v>121</v>
      </c>
      <c r="G23">
        <v>3</v>
      </c>
      <c r="H23" s="49">
        <v>14.2</v>
      </c>
      <c r="I23" s="49">
        <v>474.69311049600003</v>
      </c>
      <c r="J23" s="51">
        <v>0</v>
      </c>
      <c r="K23" s="51">
        <v>0</v>
      </c>
      <c r="L23" s="51">
        <v>16</v>
      </c>
      <c r="M23" s="49">
        <v>459</v>
      </c>
      <c r="N23" s="49">
        <v>0</v>
      </c>
      <c r="O23" s="51" t="s">
        <v>35</v>
      </c>
      <c r="P23" s="51">
        <v>0</v>
      </c>
      <c r="Q23" s="48" t="s">
        <v>34</v>
      </c>
      <c r="R23" t="s">
        <v>165</v>
      </c>
      <c r="S23" t="s">
        <v>166</v>
      </c>
      <c r="T23" t="s">
        <v>167</v>
      </c>
      <c r="U23" t="s">
        <v>168</v>
      </c>
      <c r="V23" t="s">
        <v>80</v>
      </c>
      <c r="W23" t="s">
        <v>37</v>
      </c>
      <c r="X23" s="53"/>
      <c r="Y23" s="52">
        <v>5.0143638432676072</v>
      </c>
    </row>
    <row r="24" spans="1:25" x14ac:dyDescent="0.25">
      <c r="A24" t="s">
        <v>169</v>
      </c>
      <c r="B24" t="s">
        <v>48</v>
      </c>
      <c r="C24" s="48" t="s">
        <v>48</v>
      </c>
      <c r="D24" t="s">
        <v>49</v>
      </c>
      <c r="E24" s="48">
        <v>10260001</v>
      </c>
      <c r="F24" t="s">
        <v>72</v>
      </c>
      <c r="G24">
        <v>11</v>
      </c>
      <c r="H24" s="49">
        <v>6.8999999999999995</v>
      </c>
      <c r="I24" s="49">
        <v>299.92593092699997</v>
      </c>
      <c r="J24" s="51">
        <v>0</v>
      </c>
      <c r="K24" s="51">
        <v>299.92593092699997</v>
      </c>
      <c r="L24" s="51">
        <v>0</v>
      </c>
      <c r="M24" s="49">
        <v>0</v>
      </c>
      <c r="N24" s="49">
        <v>0</v>
      </c>
      <c r="O24" s="51" t="s">
        <v>35</v>
      </c>
      <c r="P24" s="51">
        <v>0</v>
      </c>
      <c r="Q24" s="48" t="s">
        <v>34</v>
      </c>
      <c r="R24">
        <v>0</v>
      </c>
      <c r="S24">
        <v>0</v>
      </c>
      <c r="T24">
        <v>0</v>
      </c>
      <c r="U24">
        <v>0</v>
      </c>
      <c r="V24" t="s">
        <v>73</v>
      </c>
      <c r="W24" t="s">
        <v>37</v>
      </c>
      <c r="Y24" s="52">
        <v>0</v>
      </c>
    </row>
    <row r="25" spans="1:25" x14ac:dyDescent="0.25">
      <c r="A25" t="s">
        <v>170</v>
      </c>
      <c r="B25" t="s">
        <v>48</v>
      </c>
      <c r="C25" s="48" t="s">
        <v>48</v>
      </c>
      <c r="D25" t="s">
        <v>49</v>
      </c>
      <c r="E25" s="48">
        <v>10260001</v>
      </c>
      <c r="F25" t="s">
        <v>127</v>
      </c>
      <c r="G25">
        <v>5</v>
      </c>
      <c r="H25" s="49">
        <v>59.3</v>
      </c>
      <c r="I25" s="49">
        <v>2029.4599881600002</v>
      </c>
      <c r="J25" s="51">
        <v>0</v>
      </c>
      <c r="K25" s="51">
        <v>0</v>
      </c>
      <c r="L25" s="51">
        <v>2029</v>
      </c>
      <c r="M25" s="49">
        <v>0</v>
      </c>
      <c r="N25" s="49">
        <v>0</v>
      </c>
      <c r="O25" s="51" t="s">
        <v>35</v>
      </c>
      <c r="P25" s="51">
        <v>0</v>
      </c>
      <c r="Q25" s="48" t="s">
        <v>34</v>
      </c>
      <c r="R25" t="s">
        <v>171</v>
      </c>
      <c r="S25" t="s">
        <v>172</v>
      </c>
      <c r="T25" t="s">
        <v>173</v>
      </c>
      <c r="U25" t="s">
        <v>174</v>
      </c>
      <c r="V25" t="s">
        <v>80</v>
      </c>
      <c r="W25" t="s">
        <v>37</v>
      </c>
      <c r="Y25" s="52">
        <v>8.5559021423271506</v>
      </c>
    </row>
    <row r="26" spans="1:25" x14ac:dyDescent="0.25">
      <c r="A26" t="s">
        <v>175</v>
      </c>
      <c r="B26" t="s">
        <v>48</v>
      </c>
      <c r="C26" s="48" t="s">
        <v>48</v>
      </c>
      <c r="D26" t="s">
        <v>49</v>
      </c>
      <c r="E26" s="48">
        <v>10260001</v>
      </c>
      <c r="F26" t="s">
        <v>98</v>
      </c>
      <c r="G26">
        <v>7</v>
      </c>
      <c r="H26" s="49">
        <v>80.7</v>
      </c>
      <c r="I26" s="49">
        <v>3069.1916603820005</v>
      </c>
      <c r="J26" s="51">
        <v>0</v>
      </c>
      <c r="K26" s="51">
        <v>0</v>
      </c>
      <c r="L26" s="51">
        <v>3069</v>
      </c>
      <c r="M26" s="49">
        <v>0</v>
      </c>
      <c r="N26" s="49">
        <v>0</v>
      </c>
      <c r="O26" s="51" t="s">
        <v>35</v>
      </c>
      <c r="P26" s="51">
        <v>0</v>
      </c>
      <c r="Q26" s="48" t="s">
        <v>34</v>
      </c>
      <c r="R26" t="s">
        <v>176</v>
      </c>
      <c r="S26" t="s">
        <v>177</v>
      </c>
      <c r="T26" t="s">
        <v>173</v>
      </c>
      <c r="U26" t="s">
        <v>174</v>
      </c>
      <c r="V26" t="s">
        <v>80</v>
      </c>
      <c r="W26" t="s">
        <v>37</v>
      </c>
      <c r="Y26" s="52">
        <v>13.311240162747216</v>
      </c>
    </row>
    <row r="27" spans="1:25" x14ac:dyDescent="0.25">
      <c r="A27" t="s">
        <v>178</v>
      </c>
      <c r="B27" t="s">
        <v>48</v>
      </c>
      <c r="C27" s="48" t="s">
        <v>48</v>
      </c>
      <c r="D27" t="s">
        <v>49</v>
      </c>
      <c r="E27" s="48">
        <v>10260001</v>
      </c>
      <c r="F27" t="s">
        <v>117</v>
      </c>
      <c r="G27">
        <v>14</v>
      </c>
      <c r="H27" s="49">
        <v>185</v>
      </c>
      <c r="I27" s="49">
        <v>6603.9803270100001</v>
      </c>
      <c r="J27" s="51">
        <v>0</v>
      </c>
      <c r="K27" s="51">
        <v>0</v>
      </c>
      <c r="L27" s="51">
        <v>6604</v>
      </c>
      <c r="M27" s="49">
        <v>0</v>
      </c>
      <c r="N27" s="49">
        <v>0</v>
      </c>
      <c r="O27" s="51" t="s">
        <v>35</v>
      </c>
      <c r="P27" s="51">
        <v>0</v>
      </c>
      <c r="Q27" s="48" t="s">
        <v>34</v>
      </c>
      <c r="R27" t="s">
        <v>179</v>
      </c>
      <c r="S27" t="s">
        <v>180</v>
      </c>
      <c r="T27" t="s">
        <v>181</v>
      </c>
      <c r="U27" t="s">
        <v>182</v>
      </c>
      <c r="V27" t="s">
        <v>80</v>
      </c>
      <c r="W27" t="s">
        <v>37</v>
      </c>
      <c r="Y27" s="52">
        <v>24.988033669767571</v>
      </c>
    </row>
    <row r="28" spans="1:25" x14ac:dyDescent="0.25">
      <c r="A28" t="s">
        <v>183</v>
      </c>
      <c r="B28" t="s">
        <v>48</v>
      </c>
      <c r="C28" s="48" t="s">
        <v>48</v>
      </c>
      <c r="D28" t="s">
        <v>49</v>
      </c>
      <c r="E28" s="48">
        <v>10260001</v>
      </c>
      <c r="F28" t="s">
        <v>184</v>
      </c>
      <c r="G28">
        <v>8</v>
      </c>
      <c r="H28" s="49">
        <v>92.6</v>
      </c>
      <c r="I28" s="49">
        <v>4068.4315851018</v>
      </c>
      <c r="J28" s="51">
        <v>0</v>
      </c>
      <c r="K28" s="51">
        <v>0</v>
      </c>
      <c r="L28" s="51">
        <v>1910</v>
      </c>
      <c r="M28" s="49">
        <v>0</v>
      </c>
      <c r="N28" s="49">
        <v>0</v>
      </c>
      <c r="O28" s="51" t="s">
        <v>35</v>
      </c>
      <c r="P28" s="51">
        <v>2158</v>
      </c>
      <c r="Q28" s="48" t="s">
        <v>34</v>
      </c>
      <c r="R28" t="s">
        <v>185</v>
      </c>
      <c r="S28" t="s">
        <v>186</v>
      </c>
      <c r="T28" t="s">
        <v>181</v>
      </c>
      <c r="U28" t="s">
        <v>182</v>
      </c>
      <c r="V28" t="s">
        <v>80</v>
      </c>
      <c r="W28" t="s">
        <v>37</v>
      </c>
      <c r="Y28" s="52">
        <v>17.574218510158968</v>
      </c>
    </row>
    <row r="29" spans="1:25" x14ac:dyDescent="0.25">
      <c r="A29" t="s">
        <v>187</v>
      </c>
      <c r="B29" t="s">
        <v>48</v>
      </c>
      <c r="C29" s="48" t="s">
        <v>48</v>
      </c>
      <c r="D29" t="s">
        <v>49</v>
      </c>
      <c r="E29" s="48">
        <v>10260001</v>
      </c>
      <c r="F29" t="s">
        <v>188</v>
      </c>
      <c r="G29">
        <v>10</v>
      </c>
      <c r="H29" s="49">
        <v>123.19999999999999</v>
      </c>
      <c r="I29" s="49">
        <v>5282.2899637200007</v>
      </c>
      <c r="J29" s="51">
        <v>0</v>
      </c>
      <c r="K29" s="51">
        <v>0</v>
      </c>
      <c r="L29" s="51">
        <v>0</v>
      </c>
      <c r="M29" s="49">
        <v>0</v>
      </c>
      <c r="N29" s="49">
        <v>0</v>
      </c>
      <c r="O29" s="51" t="s">
        <v>35</v>
      </c>
      <c r="P29" s="51">
        <v>5282</v>
      </c>
      <c r="Q29" s="48" t="s">
        <v>34</v>
      </c>
      <c r="R29" t="s">
        <v>189</v>
      </c>
      <c r="S29" t="s">
        <v>190</v>
      </c>
      <c r="T29" t="s">
        <v>181</v>
      </c>
      <c r="U29" t="s">
        <v>182</v>
      </c>
      <c r="V29" t="s">
        <v>80</v>
      </c>
      <c r="W29" t="s">
        <v>37</v>
      </c>
      <c r="Y29" s="52">
        <v>21.437865112500006</v>
      </c>
    </row>
    <row r="30" spans="1:25" x14ac:dyDescent="0.25">
      <c r="A30" t="s">
        <v>191</v>
      </c>
      <c r="B30" t="s">
        <v>48</v>
      </c>
      <c r="C30" s="48" t="s">
        <v>48</v>
      </c>
      <c r="D30" t="s">
        <v>49</v>
      </c>
      <c r="E30" s="48">
        <v>10260001</v>
      </c>
      <c r="F30" t="s">
        <v>192</v>
      </c>
      <c r="G30">
        <v>7</v>
      </c>
      <c r="H30" s="49">
        <v>87.1</v>
      </c>
      <c r="I30" s="49">
        <v>3865.9317647940006</v>
      </c>
      <c r="J30" s="51">
        <v>0</v>
      </c>
      <c r="K30" s="51">
        <v>0</v>
      </c>
      <c r="L30" s="51">
        <v>0</v>
      </c>
      <c r="M30" s="49">
        <v>0</v>
      </c>
      <c r="N30" s="49">
        <v>0</v>
      </c>
      <c r="O30" s="51" t="s">
        <v>35</v>
      </c>
      <c r="P30" s="51">
        <v>3866</v>
      </c>
      <c r="Q30" s="48" t="s">
        <v>34</v>
      </c>
      <c r="R30" t="s">
        <v>193</v>
      </c>
      <c r="S30" t="s">
        <v>194</v>
      </c>
      <c r="T30" t="s">
        <v>181</v>
      </c>
      <c r="U30" t="s">
        <v>182</v>
      </c>
      <c r="V30" t="s">
        <v>80</v>
      </c>
      <c r="W30" t="s">
        <v>37</v>
      </c>
      <c r="Y30" s="52">
        <v>15.534743027300809</v>
      </c>
    </row>
    <row r="31" spans="1:25" x14ac:dyDescent="0.25">
      <c r="A31" t="s">
        <v>195</v>
      </c>
      <c r="B31" t="s">
        <v>48</v>
      </c>
      <c r="C31" s="48" t="s">
        <v>48</v>
      </c>
      <c r="D31" t="s">
        <v>49</v>
      </c>
      <c r="E31" s="48">
        <v>10260001</v>
      </c>
      <c r="F31" t="s">
        <v>196</v>
      </c>
      <c r="G31">
        <v>11</v>
      </c>
      <c r="H31" s="49">
        <v>128.6</v>
      </c>
      <c r="I31" s="49">
        <v>6158.9191161258004</v>
      </c>
      <c r="J31" s="51">
        <v>0</v>
      </c>
      <c r="K31" s="51">
        <v>0</v>
      </c>
      <c r="L31" s="51">
        <v>0</v>
      </c>
      <c r="M31" s="49">
        <v>0</v>
      </c>
      <c r="N31" s="49">
        <v>0</v>
      </c>
      <c r="O31" s="51" t="s">
        <v>35</v>
      </c>
      <c r="P31" s="51">
        <v>6159</v>
      </c>
      <c r="Q31" s="48" t="s">
        <v>34</v>
      </c>
      <c r="R31" t="s">
        <v>197</v>
      </c>
      <c r="S31" t="s">
        <v>198</v>
      </c>
      <c r="T31" t="s">
        <v>181</v>
      </c>
      <c r="U31" t="s">
        <v>182</v>
      </c>
      <c r="V31" t="s">
        <v>80</v>
      </c>
      <c r="W31" t="s">
        <v>37</v>
      </c>
      <c r="Y31" s="52">
        <v>26.340633855903505</v>
      </c>
    </row>
    <row r="32" spans="1:25" x14ac:dyDescent="0.25">
      <c r="A32" t="s">
        <v>199</v>
      </c>
      <c r="B32" t="s">
        <v>48</v>
      </c>
      <c r="C32" s="48" t="s">
        <v>48</v>
      </c>
      <c r="D32" t="s">
        <v>49</v>
      </c>
      <c r="E32" s="48">
        <v>10260001</v>
      </c>
      <c r="F32" t="s">
        <v>200</v>
      </c>
      <c r="G32">
        <v>10</v>
      </c>
      <c r="H32" s="49">
        <v>109</v>
      </c>
      <c r="I32" s="49">
        <v>4799.3075185920006</v>
      </c>
      <c r="J32" s="51">
        <v>0</v>
      </c>
      <c r="K32" s="51">
        <v>0</v>
      </c>
      <c r="L32" s="51">
        <v>0</v>
      </c>
      <c r="M32" s="49">
        <v>0</v>
      </c>
      <c r="N32" s="49">
        <v>0</v>
      </c>
      <c r="O32" s="51" t="s">
        <v>35</v>
      </c>
      <c r="P32" s="51">
        <v>4799</v>
      </c>
      <c r="Q32" s="48" t="s">
        <v>34</v>
      </c>
      <c r="R32" t="s">
        <v>201</v>
      </c>
      <c r="S32" t="s">
        <v>202</v>
      </c>
      <c r="T32" t="s">
        <v>181</v>
      </c>
      <c r="U32" t="s">
        <v>182</v>
      </c>
      <c r="V32" t="s">
        <v>80</v>
      </c>
      <c r="W32" t="s">
        <v>37</v>
      </c>
      <c r="Y32" s="52">
        <v>22.015172103633031</v>
      </c>
    </row>
    <row r="33" spans="1:25" x14ac:dyDescent="0.25">
      <c r="A33" t="s">
        <v>203</v>
      </c>
      <c r="B33" t="s">
        <v>48</v>
      </c>
      <c r="C33" s="48" t="s">
        <v>48</v>
      </c>
      <c r="D33" t="s">
        <v>49</v>
      </c>
      <c r="E33" s="48">
        <v>10260001</v>
      </c>
      <c r="F33" t="s">
        <v>204</v>
      </c>
      <c r="G33">
        <v>7</v>
      </c>
      <c r="H33" s="49">
        <v>92.199999999999989</v>
      </c>
      <c r="I33" s="49">
        <v>4058.2627604640002</v>
      </c>
      <c r="J33" s="51">
        <v>0</v>
      </c>
      <c r="K33" s="51">
        <v>0</v>
      </c>
      <c r="L33" s="51">
        <v>0</v>
      </c>
      <c r="M33" s="49">
        <v>0</v>
      </c>
      <c r="N33" s="49">
        <v>0</v>
      </c>
      <c r="O33" s="51" t="s">
        <v>35</v>
      </c>
      <c r="P33" s="51">
        <v>4058</v>
      </c>
      <c r="Q33" s="48" t="s">
        <v>34</v>
      </c>
      <c r="R33" t="s">
        <v>205</v>
      </c>
      <c r="S33" t="s">
        <v>206</v>
      </c>
      <c r="T33" t="s">
        <v>181</v>
      </c>
      <c r="U33" t="s">
        <v>182</v>
      </c>
      <c r="V33" t="s">
        <v>80</v>
      </c>
      <c r="W33" t="s">
        <v>37</v>
      </c>
      <c r="Y33" s="52">
        <v>15.40555277833406</v>
      </c>
    </row>
    <row r="34" spans="1:25" x14ac:dyDescent="0.25">
      <c r="A34" t="s">
        <v>207</v>
      </c>
      <c r="B34" t="s">
        <v>48</v>
      </c>
      <c r="C34" s="48" t="s">
        <v>48</v>
      </c>
      <c r="D34" t="s">
        <v>49</v>
      </c>
      <c r="E34" s="48">
        <v>10260001</v>
      </c>
      <c r="F34" t="s">
        <v>208</v>
      </c>
      <c r="G34">
        <v>9</v>
      </c>
      <c r="H34" s="49">
        <v>108.5</v>
      </c>
      <c r="I34" s="49">
        <v>4865.5688714629014</v>
      </c>
      <c r="J34" s="51">
        <v>0</v>
      </c>
      <c r="K34" s="51">
        <v>0</v>
      </c>
      <c r="L34" s="51">
        <v>0</v>
      </c>
      <c r="M34" s="49">
        <v>0</v>
      </c>
      <c r="N34" s="49">
        <v>0</v>
      </c>
      <c r="O34" s="51" t="s">
        <v>35</v>
      </c>
      <c r="P34" s="51">
        <v>4866</v>
      </c>
      <c r="Q34" s="48" t="s">
        <v>34</v>
      </c>
      <c r="R34" t="s">
        <v>209</v>
      </c>
      <c r="S34" t="s">
        <v>210</v>
      </c>
      <c r="T34" t="s">
        <v>181</v>
      </c>
      <c r="U34" t="s">
        <v>182</v>
      </c>
      <c r="V34" t="s">
        <v>80</v>
      </c>
      <c r="W34" t="s">
        <v>37</v>
      </c>
      <c r="Y34" s="52">
        <v>20.179778729569637</v>
      </c>
    </row>
    <row r="35" spans="1:25" x14ac:dyDescent="0.25">
      <c r="A35" t="s">
        <v>211</v>
      </c>
      <c r="B35" t="s">
        <v>48</v>
      </c>
      <c r="C35" s="48" t="s">
        <v>48</v>
      </c>
      <c r="D35" t="s">
        <v>49</v>
      </c>
      <c r="E35" s="48">
        <v>10260001</v>
      </c>
      <c r="F35" t="s">
        <v>212</v>
      </c>
      <c r="G35">
        <v>7</v>
      </c>
      <c r="H35" s="49">
        <v>71.600000000000009</v>
      </c>
      <c r="I35" s="49">
        <v>2981.5249313664003</v>
      </c>
      <c r="J35" s="51">
        <v>0</v>
      </c>
      <c r="K35" s="51">
        <v>0</v>
      </c>
      <c r="L35" s="51">
        <v>0</v>
      </c>
      <c r="M35" s="49">
        <v>0</v>
      </c>
      <c r="N35" s="49">
        <v>0</v>
      </c>
      <c r="O35" s="51" t="s">
        <v>35</v>
      </c>
      <c r="P35" s="51">
        <v>2982</v>
      </c>
      <c r="Q35" s="48" t="s">
        <v>34</v>
      </c>
      <c r="R35" t="s">
        <v>213</v>
      </c>
      <c r="S35" t="s">
        <v>214</v>
      </c>
      <c r="T35" t="s">
        <v>181</v>
      </c>
      <c r="U35" t="s">
        <v>182</v>
      </c>
      <c r="V35" t="s">
        <v>80</v>
      </c>
      <c r="W35" t="s">
        <v>37</v>
      </c>
      <c r="Y35" s="52">
        <v>14.574493379584359</v>
      </c>
    </row>
    <row r="36" spans="1:25" x14ac:dyDescent="0.25">
      <c r="A36" t="s">
        <v>215</v>
      </c>
      <c r="B36" t="s">
        <v>48</v>
      </c>
      <c r="C36" s="48" t="s">
        <v>48</v>
      </c>
      <c r="D36" t="s">
        <v>49</v>
      </c>
      <c r="E36" s="48">
        <v>10260001</v>
      </c>
      <c r="F36" t="s">
        <v>216</v>
      </c>
      <c r="G36">
        <v>9</v>
      </c>
      <c r="H36" s="49">
        <v>103.4</v>
      </c>
      <c r="I36" s="49">
        <v>4620.899523808801</v>
      </c>
      <c r="J36" s="51">
        <v>0</v>
      </c>
      <c r="K36" s="51">
        <v>0</v>
      </c>
      <c r="L36" s="51">
        <v>0</v>
      </c>
      <c r="M36" s="49">
        <v>0</v>
      </c>
      <c r="N36" s="49">
        <v>0</v>
      </c>
      <c r="O36" s="51" t="s">
        <v>35</v>
      </c>
      <c r="P36" s="51">
        <v>4621</v>
      </c>
      <c r="Q36" s="48" t="s">
        <v>34</v>
      </c>
      <c r="R36" t="s">
        <v>217</v>
      </c>
      <c r="S36" t="s">
        <v>218</v>
      </c>
      <c r="T36" t="s">
        <v>181</v>
      </c>
      <c r="U36" t="s">
        <v>219</v>
      </c>
      <c r="V36" t="s">
        <v>80</v>
      </c>
      <c r="W36" t="s">
        <v>37</v>
      </c>
      <c r="Y36" s="52">
        <v>20.110297734177568</v>
      </c>
    </row>
    <row r="37" spans="1:25" ht="15.75" thickBot="1" x14ac:dyDescent="0.3">
      <c r="A37" s="54" t="s">
        <v>220</v>
      </c>
      <c r="B37" s="54" t="s">
        <v>48</v>
      </c>
      <c r="C37" s="55" t="s">
        <v>48</v>
      </c>
      <c r="D37" s="54" t="s">
        <v>49</v>
      </c>
      <c r="E37" s="55">
        <v>10260001</v>
      </c>
      <c r="F37" s="54" t="s">
        <v>221</v>
      </c>
      <c r="G37" s="54">
        <v>12</v>
      </c>
      <c r="H37" s="56">
        <v>146</v>
      </c>
      <c r="I37" s="56">
        <v>6592.525463328001</v>
      </c>
      <c r="J37" s="57">
        <v>0</v>
      </c>
      <c r="K37" s="57">
        <v>0</v>
      </c>
      <c r="L37" s="57">
        <v>0</v>
      </c>
      <c r="M37" s="56">
        <v>0</v>
      </c>
      <c r="N37" s="56">
        <v>0</v>
      </c>
      <c r="O37" s="57" t="s">
        <v>35</v>
      </c>
      <c r="P37" s="57">
        <v>6593</v>
      </c>
      <c r="Q37" s="55" t="s">
        <v>34</v>
      </c>
      <c r="R37" s="54" t="s">
        <v>222</v>
      </c>
      <c r="S37" s="54" t="s">
        <v>223</v>
      </c>
      <c r="T37" s="54" t="s">
        <v>181</v>
      </c>
      <c r="U37" s="54" t="s">
        <v>219</v>
      </c>
      <c r="V37" s="54" t="s">
        <v>80</v>
      </c>
      <c r="W37" s="54" t="s">
        <v>37</v>
      </c>
      <c r="Y37" s="52">
        <v>27.092570397238362</v>
      </c>
    </row>
    <row r="38" spans="1:25" ht="16.5" thickTop="1" thickBot="1" x14ac:dyDescent="0.3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9">
        <f>SUM(P2:P37)</f>
        <v>88185</v>
      </c>
      <c r="Q38" s="58"/>
      <c r="R38" s="58"/>
      <c r="S38" s="58"/>
      <c r="T38" s="58"/>
      <c r="U38" s="58"/>
      <c r="V38" s="58"/>
      <c r="W38" s="58"/>
    </row>
  </sheetData>
  <conditionalFormatting sqref="P1:P37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37">
    <cfRule type="duplicateValues" dxfId="2" priority="3"/>
  </conditionalFormatting>
  <conditionalFormatting sqref="A2:A37">
    <cfRule type="duplicateValues" dxfId="1" priority="2"/>
  </conditionalFormatting>
  <conditionalFormatting sqref="P2:P37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2026-05-15T06:45:52Z</dcterms:created>
  <dcterms:modified xsi:type="dcterms:W3CDTF">2026-05-15T06:49:06Z</dcterms:modified>
</cp:coreProperties>
</file>