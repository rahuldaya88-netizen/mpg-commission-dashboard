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7_23-Apr'26\Collection data\"/>
    </mc:Choice>
  </mc:AlternateContent>
  <xr:revisionPtr revIDLastSave="0" documentId="13_ncr:1_{0BEE80EC-16B4-4FD8-A5F2-1E047C4CBA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14" i="1"/>
  <c r="D8" i="1"/>
  <c r="D7" i="1"/>
  <c r="D6" i="1"/>
  <c r="D5" i="1"/>
  <c r="D13" i="1"/>
  <c r="K12" i="1"/>
  <c r="K8" i="1"/>
  <c r="L15" i="1" l="1"/>
</calcChain>
</file>

<file path=xl/sharedStrings.xml><?xml version="1.0" encoding="utf-8"?>
<sst xmlns="http://schemas.openxmlformats.org/spreadsheetml/2006/main" count="58" uniqueCount="29">
  <si>
    <t>BMC NAME</t>
  </si>
  <si>
    <t>MPG CODE</t>
  </si>
  <si>
    <t>Payment type</t>
  </si>
  <si>
    <t>MPG NAME</t>
  </si>
  <si>
    <t>QTY</t>
  </si>
  <si>
    <t>Rate</t>
  </si>
  <si>
    <t>Amount</t>
  </si>
  <si>
    <t>Deduction</t>
  </si>
  <si>
    <t>Deduction cycle</t>
  </si>
  <si>
    <t>19/4/26 to 25/4/26</t>
  </si>
  <si>
    <t>Chalish</t>
  </si>
  <si>
    <t>0163</t>
  </si>
  <si>
    <t>0165</t>
  </si>
  <si>
    <t>0227</t>
  </si>
  <si>
    <t xml:space="preserve">Sonversha </t>
  </si>
  <si>
    <t>Kalyanpur</t>
  </si>
  <si>
    <t>GOMUKH HATHA</t>
  </si>
  <si>
    <t>0002</t>
  </si>
  <si>
    <t>Belsandidih</t>
  </si>
  <si>
    <t>Bharav</t>
  </si>
  <si>
    <t>Susta</t>
  </si>
  <si>
    <t>0019</t>
  </si>
  <si>
    <t>Chandouli</t>
  </si>
  <si>
    <t>0003</t>
  </si>
  <si>
    <t>0010</t>
  </si>
  <si>
    <t>Indirect</t>
  </si>
  <si>
    <t>Direct</t>
  </si>
  <si>
    <t>Farmer Code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</si>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</sst>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vertical="center"/>
    </xf>
    <xf numFmtId="0" fontId="0" fillId="0" borderId="3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31"/>
  <sheetViews>
    <sheetView tabSelected="1" workbookViewId="0">
      <selection activeCell="T14" sqref="T14"/>
    </sheetView>
  </sheetViews>
  <sheetFormatPr defaultRowHeight="15" x14ac:dyDescent="0.25"/>
  <cols>
    <col min="2" max="2" width="17.42578125" bestFit="1" customWidth="1"/>
    <col min="3" max="3" width="11.140625" style="7" bestFit="1" customWidth="1"/>
    <col min="4" max="4" width="13.140625" style="7" bestFit="1" customWidth="1"/>
    <col min="5" max="5" width="10.7109375" style="7" bestFit="1" customWidth="1"/>
    <col min="6" max="6" width="12.28515625" bestFit="1" customWidth="1"/>
    <col min="7" max="7" width="13.42578125" bestFit="1" customWidth="1"/>
    <col min="8" max="8" width="15.85546875" style="7" bestFit="1" customWidth="1"/>
    <col min="9" max="9" width="4.5703125" bestFit="1" customWidth="1"/>
    <col min="10" max="10" width="5" bestFit="1" customWidth="1"/>
    <col min="11" max="11" width="8.140625" bestFit="1" customWidth="1"/>
    <col min="12" max="12" width="10.140625" bestFit="1" customWidth="1"/>
  </cols>
  <sheetData>
    <row r="4" spans="2:15" x14ac:dyDescent="0.25">
      <c r="B4" s="2" t="s">
        <v>8</v>
      </c>
      <c r="C4" s="1" t="s">
        <v>0</v>
      </c>
      <c r="D4" s="1" t="s">
        <v>28</v>
      </c>
      <c r="E4" s="1" t="s">
        <v>1</v>
      </c>
      <c r="F4" s="1" t="s">
        <v>27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</row>
    <row r="5" spans="2:15" x14ac:dyDescent="0.25">
      <c r="B5" s="3" t="s">
        <v>9</v>
      </c>
      <c r="C5" s="6" t="s">
        <v>14</v>
      </c>
      <c r="D5" s="6" t="str">
        <f t="shared" ref="D5:D14" si="0">CONCATENATE(E5,F5)</f>
        <v>100600270163</v>
      </c>
      <c r="E5" s="6">
        <v>10060027</v>
      </c>
      <c r="F5" s="3" t="s">
        <v>11</v>
      </c>
      <c r="G5" s="8" t="s">
        <v>26</v>
      </c>
      <c r="H5" s="6"/>
      <c r="I5" s="3"/>
      <c r="J5" s="3"/>
      <c r="K5" s="3">
        <v>261</v>
      </c>
      <c r="L5" s="3">
        <v>261</v>
      </c>
    </row>
    <row r="6" spans="2:15" x14ac:dyDescent="0.25">
      <c r="B6" s="3" t="s">
        <v>9</v>
      </c>
      <c r="C6" s="6" t="s">
        <v>14</v>
      </c>
      <c r="D6" s="6" t="str">
        <f t="shared" si="0"/>
        <v>100600270165</v>
      </c>
      <c r="E6" s="6">
        <v>10060027</v>
      </c>
      <c r="F6" s="3" t="s">
        <v>12</v>
      </c>
      <c r="G6" s="8" t="s">
        <v>26</v>
      </c>
      <c r="H6" s="6"/>
      <c r="I6" s="3"/>
      <c r="J6" s="3"/>
      <c r="K6" s="3">
        <v>760</v>
      </c>
      <c r="L6" s="3">
        <v>656</v>
      </c>
    </row>
    <row r="7" spans="2:15" x14ac:dyDescent="0.25">
      <c r="B7" s="3" t="s">
        <v>9</v>
      </c>
      <c r="C7" s="6" t="s">
        <v>14</v>
      </c>
      <c r="D7" s="6" t="str">
        <f t="shared" si="0"/>
        <v>100600270227</v>
      </c>
      <c r="E7" s="6">
        <v>10060027</v>
      </c>
      <c r="F7" s="3" t="s">
        <v>13</v>
      </c>
      <c r="G7" s="8" t="s">
        <v>26</v>
      </c>
      <c r="H7" s="6"/>
      <c r="I7" s="3"/>
      <c r="J7" s="3"/>
      <c r="K7" s="3">
        <v>89</v>
      </c>
      <c r="L7" s="3">
        <v>89</v>
      </c>
    </row>
    <row r="8" spans="2:15" x14ac:dyDescent="0.25">
      <c r="B8" s="3" t="s">
        <v>9</v>
      </c>
      <c r="C8" s="5" t="s">
        <v>15</v>
      </c>
      <c r="D8" s="6" t="str">
        <f t="shared" si="0"/>
        <v>105300020002</v>
      </c>
      <c r="E8" s="5">
        <v>10530002</v>
      </c>
      <c r="F8" s="3" t="s">
        <v>17</v>
      </c>
      <c r="G8" s="9" t="s">
        <v>26</v>
      </c>
      <c r="H8" s="5" t="s">
        <v>16</v>
      </c>
      <c r="I8" s="5">
        <v>10</v>
      </c>
      <c r="J8" s="5">
        <v>235</v>
      </c>
      <c r="K8" s="14">
        <f>+J8*I8</f>
        <v>2350</v>
      </c>
      <c r="L8" s="3">
        <v>1878</v>
      </c>
    </row>
    <row r="9" spans="2:15" x14ac:dyDescent="0.25">
      <c r="B9" s="3" t="s">
        <v>9</v>
      </c>
      <c r="C9" s="12" t="s">
        <v>15</v>
      </c>
      <c r="D9" s="6" t="str">
        <f t="shared" si="0"/>
        <v>105300320003</v>
      </c>
      <c r="E9" s="6">
        <v>10530032</v>
      </c>
      <c r="F9" s="3" t="s">
        <v>23</v>
      </c>
      <c r="G9" s="8" t="s">
        <v>26</v>
      </c>
      <c r="H9" s="6" t="s">
        <v>19</v>
      </c>
      <c r="I9" s="13"/>
      <c r="J9" s="13"/>
      <c r="K9" s="15">
        <v>164</v>
      </c>
      <c r="L9" s="3">
        <v>164</v>
      </c>
      <c r="O9" s="4"/>
    </row>
    <row r="10" spans="2:15" x14ac:dyDescent="0.25">
      <c r="B10" s="3" t="s">
        <v>9</v>
      </c>
      <c r="C10" s="6" t="s">
        <v>15</v>
      </c>
      <c r="D10" s="6" t="str">
        <f t="shared" si="0"/>
        <v>105300850002</v>
      </c>
      <c r="E10" s="6">
        <v>10530085</v>
      </c>
      <c r="F10" s="3" t="s">
        <v>17</v>
      </c>
      <c r="G10" s="8" t="s">
        <v>26</v>
      </c>
      <c r="H10" s="6" t="s">
        <v>20</v>
      </c>
      <c r="I10" s="3"/>
      <c r="J10" s="3"/>
      <c r="K10" s="3">
        <v>732</v>
      </c>
      <c r="L10" s="3">
        <v>732</v>
      </c>
    </row>
    <row r="11" spans="2:15" x14ac:dyDescent="0.25">
      <c r="B11" s="3" t="s">
        <v>9</v>
      </c>
      <c r="C11" s="6" t="s">
        <v>15</v>
      </c>
      <c r="D11" s="6" t="str">
        <f t="shared" si="0"/>
        <v>105300850019</v>
      </c>
      <c r="E11" s="6">
        <v>10530085</v>
      </c>
      <c r="F11" s="3" t="s">
        <v>21</v>
      </c>
      <c r="G11" s="8" t="s">
        <v>26</v>
      </c>
      <c r="H11" s="6" t="s">
        <v>20</v>
      </c>
      <c r="I11" s="3">
        <v>1</v>
      </c>
      <c r="J11" s="3">
        <v>235</v>
      </c>
      <c r="K11" s="3">
        <v>235</v>
      </c>
      <c r="L11" s="3">
        <v>235</v>
      </c>
    </row>
    <row r="12" spans="2:15" x14ac:dyDescent="0.25">
      <c r="B12" s="3" t="s">
        <v>9</v>
      </c>
      <c r="C12" s="6" t="s">
        <v>15</v>
      </c>
      <c r="D12" s="6" t="str">
        <f t="shared" si="0"/>
        <v>105300010010</v>
      </c>
      <c r="E12" s="6">
        <v>10530001</v>
      </c>
      <c r="F12" s="3" t="s">
        <v>24</v>
      </c>
      <c r="G12" s="8" t="s">
        <v>26</v>
      </c>
      <c r="H12" s="6" t="s">
        <v>22</v>
      </c>
      <c r="I12" s="3">
        <v>2.5</v>
      </c>
      <c r="J12" s="3">
        <v>235</v>
      </c>
      <c r="K12" s="3">
        <f>I12*J12</f>
        <v>587.5</v>
      </c>
      <c r="L12" s="3">
        <v>587.5</v>
      </c>
    </row>
    <row r="13" spans="2:15" x14ac:dyDescent="0.25">
      <c r="B13" s="2" t="s">
        <v>9</v>
      </c>
      <c r="C13" s="10" t="s">
        <v>14</v>
      </c>
      <c r="D13" s="10" t="str">
        <f t="shared" si="0"/>
        <v>100600050002</v>
      </c>
      <c r="E13" s="10">
        <v>10060005</v>
      </c>
      <c r="F13" s="2" t="s">
        <v>17</v>
      </c>
      <c r="G13" s="11" t="s">
        <v>25</v>
      </c>
      <c r="H13" s="10" t="s">
        <v>10</v>
      </c>
      <c r="I13" s="2"/>
      <c r="J13" s="2"/>
      <c r="K13" s="2">
        <v>6020</v>
      </c>
      <c r="L13" s="3">
        <v>6020</v>
      </c>
    </row>
    <row r="14" spans="2:15" x14ac:dyDescent="0.25">
      <c r="B14" s="3" t="s">
        <v>9</v>
      </c>
      <c r="C14" s="6" t="s">
        <v>15</v>
      </c>
      <c r="D14" s="6" t="str">
        <f t="shared" si="0"/>
        <v>105301040002</v>
      </c>
      <c r="E14" s="6">
        <v>10530104</v>
      </c>
      <c r="F14" s="3" t="s">
        <v>17</v>
      </c>
      <c r="G14" s="8" t="s">
        <v>25</v>
      </c>
      <c r="H14" s="6" t="s">
        <v>18</v>
      </c>
      <c r="I14" s="3">
        <v>4</v>
      </c>
      <c r="J14" s="3">
        <v>235</v>
      </c>
      <c r="K14" s="3"/>
      <c r="L14" s="3">
        <v>0</v>
      </c>
    </row>
    <row r="15" spans="2:15" x14ac:dyDescent="0.25">
      <c r="B15" s="3"/>
      <c r="C15" s="6"/>
      <c r="D15" s="6"/>
      <c r="E15" s="6"/>
      <c r="F15" s="3"/>
      <c r="G15" s="3"/>
      <c r="H15" s="6"/>
      <c r="I15" s="3"/>
      <c r="J15" s="3"/>
      <c r="K15" s="3"/>
      <c r="L15" s="3">
        <f>SUM(L5:L14)</f>
        <v>10622.5</v>
      </c>
    </row>
    <row r="16" spans="2:15" x14ac:dyDescent="0.25">
      <c r="B16" s="3"/>
      <c r="C16" s="6"/>
      <c r="D16" s="6"/>
      <c r="E16" s="6"/>
      <c r="F16" s="3"/>
      <c r="G16" s="3"/>
      <c r="H16" s="6"/>
      <c r="I16" s="3"/>
      <c r="J16" s="3"/>
      <c r="K16" s="3"/>
      <c r="L16" s="3"/>
    </row>
    <row r="17" spans="2:12" x14ac:dyDescent="0.25">
      <c r="B17" s="3"/>
      <c r="C17" s="6"/>
      <c r="D17" s="6"/>
      <c r="E17" s="6"/>
      <c r="F17" s="3"/>
      <c r="G17" s="3"/>
      <c r="H17" s="6"/>
      <c r="I17" s="3"/>
      <c r="J17" s="3"/>
      <c r="K17" s="3"/>
      <c r="L17" s="3"/>
    </row>
    <row r="18" spans="2:12" x14ac:dyDescent="0.25">
      <c r="B18" s="3"/>
      <c r="C18" s="6"/>
      <c r="D18" s="6"/>
      <c r="E18" s="6"/>
      <c r="F18" s="3"/>
      <c r="G18" s="3"/>
      <c r="H18" s="6"/>
      <c r="I18" s="3"/>
      <c r="J18" s="3"/>
      <c r="K18" s="3"/>
      <c r="L18" s="3"/>
    </row>
    <row r="19" spans="2:12" x14ac:dyDescent="0.25">
      <c r="B19" s="3"/>
      <c r="C19" s="6"/>
      <c r="D19" s="6"/>
      <c r="E19" s="6"/>
      <c r="F19" s="3"/>
      <c r="G19" s="3"/>
      <c r="H19" s="6"/>
      <c r="I19" s="3"/>
      <c r="J19" s="3"/>
      <c r="K19" s="3"/>
      <c r="L19" s="3"/>
    </row>
    <row r="20" spans="2:12" x14ac:dyDescent="0.25">
      <c r="B20" s="3"/>
      <c r="C20" s="6"/>
      <c r="D20" s="6"/>
      <c r="E20" s="6"/>
      <c r="F20" s="3"/>
      <c r="G20" s="3"/>
      <c r="H20" s="6"/>
      <c r="I20" s="3"/>
      <c r="J20" s="3"/>
      <c r="K20" s="3"/>
      <c r="L20" s="3"/>
    </row>
    <row r="21" spans="2:12" x14ac:dyDescent="0.25">
      <c r="B21" s="3"/>
      <c r="C21" s="6"/>
      <c r="D21" s="6"/>
      <c r="E21" s="6"/>
      <c r="F21" s="3"/>
      <c r="G21" s="3"/>
      <c r="H21" s="6"/>
      <c r="I21" s="3"/>
      <c r="J21" s="3"/>
      <c r="K21" s="3"/>
      <c r="L21" s="3"/>
    </row>
    <row r="22" spans="2:12" x14ac:dyDescent="0.25">
      <c r="B22" s="3"/>
      <c r="C22" s="6"/>
      <c r="D22" s="6"/>
      <c r="E22" s="6"/>
      <c r="F22" s="3"/>
      <c r="G22" s="3"/>
      <c r="H22" s="6"/>
      <c r="I22" s="3"/>
      <c r="J22" s="3"/>
      <c r="K22" s="3"/>
      <c r="L22" s="3"/>
    </row>
    <row r="23" spans="2:12" x14ac:dyDescent="0.25">
      <c r="B23" s="3"/>
      <c r="C23" s="6"/>
      <c r="D23" s="6"/>
      <c r="E23" s="6"/>
      <c r="F23" s="3"/>
      <c r="G23" s="3"/>
      <c r="H23" s="6"/>
      <c r="I23" s="3"/>
      <c r="J23" s="3"/>
      <c r="K23" s="3"/>
      <c r="L23" s="3"/>
    </row>
    <row r="24" spans="2:12" x14ac:dyDescent="0.25">
      <c r="B24" s="3"/>
      <c r="C24" s="6"/>
      <c r="D24" s="6"/>
      <c r="E24" s="6"/>
      <c r="F24" s="3"/>
      <c r="G24" s="3"/>
      <c r="H24" s="6"/>
      <c r="I24" s="3"/>
      <c r="J24" s="3"/>
      <c r="K24" s="3"/>
      <c r="L24" s="3"/>
    </row>
    <row r="25" spans="2:12" x14ac:dyDescent="0.25">
      <c r="B25" s="3"/>
      <c r="C25" s="6"/>
      <c r="D25" s="6"/>
      <c r="E25" s="6"/>
      <c r="F25" s="3"/>
      <c r="G25" s="3"/>
      <c r="H25" s="6"/>
      <c r="I25" s="3"/>
      <c r="J25" s="3"/>
      <c r="K25" s="3"/>
      <c r="L25" s="3"/>
    </row>
    <row r="26" spans="2:12" x14ac:dyDescent="0.25">
      <c r="B26" s="3"/>
      <c r="C26" s="6"/>
      <c r="D26" s="6"/>
      <c r="E26" s="6"/>
      <c r="F26" s="3"/>
      <c r="G26" s="3"/>
      <c r="H26" s="6"/>
      <c r="I26" s="3"/>
      <c r="J26" s="3"/>
      <c r="K26" s="3"/>
      <c r="L26" s="3"/>
    </row>
    <row r="27" spans="2:12" x14ac:dyDescent="0.25">
      <c r="B27" s="3"/>
      <c r="C27" s="6"/>
      <c r="D27" s="6"/>
      <c r="E27" s="6"/>
      <c r="F27" s="3"/>
      <c r="G27" s="3"/>
      <c r="H27" s="6"/>
      <c r="I27" s="3"/>
      <c r="J27" s="3"/>
      <c r="K27" s="3"/>
      <c r="L27" s="3"/>
    </row>
    <row r="28" spans="2:12" x14ac:dyDescent="0.25">
      <c r="B28" s="3"/>
      <c r="C28" s="6"/>
      <c r="D28" s="6"/>
      <c r="E28" s="6"/>
      <c r="F28" s="3"/>
      <c r="G28" s="3"/>
      <c r="H28" s="6"/>
      <c r="I28" s="3"/>
      <c r="J28" s="3"/>
      <c r="K28" s="3"/>
      <c r="L28" s="3"/>
    </row>
    <row r="29" spans="2:12" x14ac:dyDescent="0.25">
      <c r="B29" s="3"/>
      <c r="C29" s="6"/>
      <c r="D29" s="6"/>
      <c r="E29" s="6"/>
      <c r="F29" s="3"/>
      <c r="G29" s="3"/>
      <c r="H29" s="6"/>
      <c r="I29" s="3"/>
      <c r="J29" s="3"/>
      <c r="K29" s="3"/>
      <c r="L29" s="3"/>
    </row>
    <row r="30" spans="2:12" x14ac:dyDescent="0.25">
      <c r="B30" s="3"/>
      <c r="C30" s="6"/>
      <c r="D30" s="6"/>
      <c r="E30" s="6"/>
      <c r="F30" s="3"/>
      <c r="G30" s="3"/>
      <c r="H30" s="6"/>
      <c r="I30" s="3"/>
      <c r="J30" s="3"/>
      <c r="K30" s="3"/>
      <c r="L30" s="3"/>
    </row>
    <row r="31" spans="2:12" x14ac:dyDescent="0.25">
      <c r="B31" s="3"/>
      <c r="C31" s="6"/>
      <c r="D31" s="6"/>
      <c r="E31" s="6"/>
      <c r="F31" s="3"/>
      <c r="G31" s="3"/>
      <c r="H31" s="6"/>
      <c r="I31" s="3"/>
      <c r="J31" s="3"/>
      <c r="K31" s="3"/>
      <c r="L31" s="3"/>
    </row>
  </sheetData>
  <autoFilter ref="B4:L4" xr:uid="{00000000-0001-0000-0000-000000000000}">
    <sortState xmlns:xlrd2="http://schemas.microsoft.com/office/spreadsheetml/2017/richdata2" ref="B5:L14">
      <sortCondition ref="G4"/>
    </sortState>
  </autoFilter>
  <conditionalFormatting sqref="E4:G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RAHUL PANDIT</cp:lastModifiedBy>
  <dcterms:created xsi:type="dcterms:W3CDTF">2026-04-25T10:11:54Z</dcterms:created>
  <dcterms:modified xsi:type="dcterms:W3CDTF">2026-05-02T09:33:46Z</dcterms:modified>
</cp:coreProperties>
</file>