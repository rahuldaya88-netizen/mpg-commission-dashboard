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1_27-Aug'26\"/>
    </mc:Choice>
  </mc:AlternateContent>
  <xr:revisionPtr revIDLastSave="0" documentId="8_{2434759E-1CAF-4CC2-BF74-EA34CBD89129}" xr6:coauthVersionLast="47" xr6:coauthVersionMax="47" xr10:uidLastSave="{00000000-0000-0000-0000-000000000000}"/>
  <bookViews>
    <workbookView xWindow="-120" yWindow="-120" windowWidth="29040" windowHeight="15720" xr2:uid="{4A84FE70-2D80-40FE-9F4E-642063A6001C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2" l="1"/>
</calcChain>
</file>

<file path=xl/sharedStrings.xml><?xml version="1.0" encoding="utf-8"?>
<sst xmlns="http://schemas.openxmlformats.org/spreadsheetml/2006/main" count="611" uniqueCount="240">
  <si>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</si>
  <si>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</si>
  <si>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</si>
  <si>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</si>
  <si>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</si>
  <si>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</si>
  <si>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</si>
  <si>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</si>
  <si>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</si>
  <si>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</si>
  <si>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</si>
  <si>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</si>
  <si>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</si>
  <si>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</si>
  <si>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</si>
  <si>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</si>
  <si>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Stop Amount</t>
  </si>
  <si>
    <t>Docket number</t>
  </si>
  <si>
    <t>Loss Remarks</t>
  </si>
  <si>
    <t>Cycle</t>
  </si>
  <si>
    <t>loss/gain</t>
  </si>
  <si>
    <t>Nos.Of farmer</t>
  </si>
  <si>
    <t>CF OS</t>
  </si>
  <si>
    <t>Deduction</t>
  </si>
  <si>
    <t>Balance</t>
  </si>
  <si>
    <t>Asarganj</t>
  </si>
  <si>
    <t>SAJUA-2</t>
  </si>
  <si>
    <t>MPG</t>
  </si>
  <si>
    <t>Direct</t>
  </si>
  <si>
    <t>Release2</t>
  </si>
  <si>
    <t>CF OS &gt; 15 Day's</t>
  </si>
  <si>
    <t>22. 21-27 Aug</t>
  </si>
  <si>
    <t>Dumraon</t>
  </si>
  <si>
    <t>NANDAN</t>
  </si>
  <si>
    <t>Letter not received</t>
  </si>
  <si>
    <t>Dubki</t>
  </si>
  <si>
    <t xml:space="preserve">PURANA BHOJPUR                                                                                      </t>
  </si>
  <si>
    <t>Gomukh Dhakaich</t>
  </si>
  <si>
    <t>Letter not received UPI-744760284556</t>
  </si>
  <si>
    <t>Gomukh Sikraul Lakh</t>
  </si>
  <si>
    <t>Letter not received UPI-635465892946</t>
  </si>
  <si>
    <t>Total:</t>
  </si>
  <si>
    <t>PURANA BHOJPUR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</si>
  <si>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</si>
  <si>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</si>
  <si>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</si>
  <si>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</si>
  <si>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</si>
  <si>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</si>
  <si>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</si>
  <si>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</si>
  <si>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</si>
  <si>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</si>
  <si>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</si>
  <si>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</si>
  <si>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</si>
  <si>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</si>
  <si>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</si>
  <si>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</si>
  <si>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</si>
  <si>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100300260002</t>
  </si>
  <si>
    <t>0002</t>
  </si>
  <si>
    <t xml:space="preserve">Satyam Vishwash </t>
  </si>
  <si>
    <t>39433274971</t>
  </si>
  <si>
    <t>SBIN0014274</t>
  </si>
  <si>
    <t xml:space="preserve">State Bank of India </t>
  </si>
  <si>
    <t>Available</t>
  </si>
  <si>
    <t>100300260010</t>
  </si>
  <si>
    <t>0010</t>
  </si>
  <si>
    <t xml:space="preserve">Ramchandra Bishwas </t>
  </si>
  <si>
    <t>11657420982</t>
  </si>
  <si>
    <t>SBIN0003527</t>
  </si>
  <si>
    <t>100300260015</t>
  </si>
  <si>
    <t>0015</t>
  </si>
  <si>
    <t xml:space="preserve">Rajesh Kumar </t>
  </si>
  <si>
    <t>27680110020432</t>
  </si>
  <si>
    <t>UCBA0002768</t>
  </si>
  <si>
    <t>Uco Bank</t>
  </si>
  <si>
    <t>100300260024</t>
  </si>
  <si>
    <t>0024</t>
  </si>
  <si>
    <t>Suman Kumar Yadav</t>
  </si>
  <si>
    <t>35523777347</t>
  </si>
  <si>
    <t>SBI-Kiosk Banking</t>
  </si>
  <si>
    <t>100300260027</t>
  </si>
  <si>
    <t>0027</t>
  </si>
  <si>
    <t xml:space="preserve">Pinki Devi </t>
  </si>
  <si>
    <t>32160131020996</t>
  </si>
  <si>
    <t>PUNB0MBGB06</t>
  </si>
  <si>
    <t xml:space="preserve">Dakshin Bihar Gramin Bank </t>
  </si>
  <si>
    <t>100300260028</t>
  </si>
  <si>
    <t>0028</t>
  </si>
  <si>
    <t xml:space="preserve">Dilip Bishwas </t>
  </si>
  <si>
    <t>32160131019980</t>
  </si>
  <si>
    <t xml:space="preserve">Bihar Gramin Bank </t>
  </si>
  <si>
    <t>100300260030</t>
  </si>
  <si>
    <t>0030</t>
  </si>
  <si>
    <t xml:space="preserve">Sanjay Vishwas </t>
  </si>
  <si>
    <t>31862006320</t>
  </si>
  <si>
    <t>100300260032</t>
  </si>
  <si>
    <t>0032</t>
  </si>
  <si>
    <t xml:space="preserve">Uma Devi </t>
  </si>
  <si>
    <t>9497000100046705</t>
  </si>
  <si>
    <t>PUNB0949700</t>
  </si>
  <si>
    <t xml:space="preserve">Punjab National Bank </t>
  </si>
  <si>
    <t>100300260070</t>
  </si>
  <si>
    <t>0070</t>
  </si>
  <si>
    <t>Sonam Kumar Alok</t>
  </si>
  <si>
    <t>50230014252626</t>
  </si>
  <si>
    <t>BDBL0001147</t>
  </si>
  <si>
    <t xml:space="preserve">Bandhan Bank </t>
  </si>
  <si>
    <t>100300260077</t>
  </si>
  <si>
    <t>0077</t>
  </si>
  <si>
    <t>Ramlakhan Yadav</t>
  </si>
  <si>
    <t>32160110090827</t>
  </si>
  <si>
    <t>100300260089</t>
  </si>
  <si>
    <t>0089</t>
  </si>
  <si>
    <t xml:space="preserve">Dipak Kumar </t>
  </si>
  <si>
    <t>32160100002080</t>
  </si>
  <si>
    <t>100300260095</t>
  </si>
  <si>
    <t>0095</t>
  </si>
  <si>
    <t>UmeshBisshwas</t>
  </si>
  <si>
    <t>11657448681</t>
  </si>
  <si>
    <t>100300260097</t>
  </si>
  <si>
    <t>0097</t>
  </si>
  <si>
    <t>Umesh Manjhi</t>
  </si>
  <si>
    <t>32043383428</t>
  </si>
  <si>
    <t>100300260102</t>
  </si>
  <si>
    <t>0102</t>
  </si>
  <si>
    <t>Munna Manzi</t>
  </si>
  <si>
    <t>31924097901</t>
  </si>
  <si>
    <t>100300260106</t>
  </si>
  <si>
    <t>0106</t>
  </si>
  <si>
    <t>Anuj Kumar</t>
  </si>
  <si>
    <t>8340380913</t>
  </si>
  <si>
    <t>AIRP0000001</t>
  </si>
  <si>
    <t>Airtel Bank</t>
  </si>
  <si>
    <t>100300260108</t>
  </si>
  <si>
    <t>0108</t>
  </si>
  <si>
    <t>Chulhan Yadav</t>
  </si>
  <si>
    <t>44435504246</t>
  </si>
  <si>
    <t>100300260109</t>
  </si>
  <si>
    <t>0109</t>
  </si>
  <si>
    <t>Ganga Devi</t>
  </si>
  <si>
    <t>32160131045548</t>
  </si>
  <si>
    <t>Bihar Gramin Bank</t>
  </si>
  <si>
    <t>100300260116</t>
  </si>
  <si>
    <t>0116</t>
  </si>
  <si>
    <t>Golki Kumari Manjhi</t>
  </si>
  <si>
    <t>16373211150398</t>
  </si>
  <si>
    <t>UCBA0001637</t>
  </si>
  <si>
    <t>100300260118</t>
  </si>
  <si>
    <t>0118</t>
  </si>
  <si>
    <t xml:space="preserve">Sarita Devi </t>
  </si>
  <si>
    <t>32160110022127</t>
  </si>
  <si>
    <t>100300260124</t>
  </si>
  <si>
    <t>0124</t>
  </si>
  <si>
    <t>Sunita Devi</t>
  </si>
  <si>
    <t>461502120003713</t>
  </si>
  <si>
    <t>UBIN0546151</t>
  </si>
  <si>
    <t>Union Bank Of india</t>
  </si>
  <si>
    <t>100300260125</t>
  </si>
  <si>
    <t>0125</t>
  </si>
  <si>
    <t>Anita Devi</t>
  </si>
  <si>
    <t>38941917935</t>
  </si>
  <si>
    <t>101400180002</t>
  </si>
  <si>
    <t>Ram Bahadur Singh</t>
  </si>
  <si>
    <t>69500100004388</t>
  </si>
  <si>
    <t xml:space="preserve">Bihar Garmin Bank </t>
  </si>
  <si>
    <t>101400180025</t>
  </si>
  <si>
    <t>0025</t>
  </si>
  <si>
    <t>Sadhana Singh</t>
  </si>
  <si>
    <t>69500700000163</t>
  </si>
  <si>
    <t>Madhya Bihar Gramin Bank</t>
  </si>
  <si>
    <t>101400180055</t>
  </si>
  <si>
    <t>0055</t>
  </si>
  <si>
    <t>Not Available</t>
  </si>
  <si>
    <t>101400180057</t>
  </si>
  <si>
    <t>0057</t>
  </si>
  <si>
    <t>101400180058</t>
  </si>
  <si>
    <t>0058</t>
  </si>
  <si>
    <t>101400180059</t>
  </si>
  <si>
    <t>0059</t>
  </si>
  <si>
    <t>101400180060</t>
  </si>
  <si>
    <t>0060</t>
  </si>
  <si>
    <t>101400180061</t>
  </si>
  <si>
    <t>0061</t>
  </si>
  <si>
    <t>101400180062</t>
  </si>
  <si>
    <t>0062</t>
  </si>
  <si>
    <t>101400470001</t>
  </si>
  <si>
    <t>0001</t>
  </si>
  <si>
    <t>101400470002</t>
  </si>
  <si>
    <t xml:space="preserve">Saroj Kumar </t>
  </si>
  <si>
    <t>31913513256</t>
  </si>
  <si>
    <t>SBIN0003027</t>
  </si>
  <si>
    <t>101400470006</t>
  </si>
  <si>
    <t>0006</t>
  </si>
  <si>
    <t>Narbdeshwar Prasad Singh</t>
  </si>
  <si>
    <t>1139000400054926</t>
  </si>
  <si>
    <t>PUNB0113900</t>
  </si>
  <si>
    <t>101400470011</t>
  </si>
  <si>
    <t>0011</t>
  </si>
  <si>
    <t xml:space="preserve">Anita devi </t>
  </si>
  <si>
    <t>6006001700097419</t>
  </si>
  <si>
    <t>PUNB0600600</t>
  </si>
  <si>
    <t>101400470030</t>
  </si>
  <si>
    <t>Pintu Kumar Yadav</t>
  </si>
  <si>
    <t>20107095891</t>
  </si>
  <si>
    <t>SBIN0012217</t>
  </si>
  <si>
    <t>State Bank Of India</t>
  </si>
  <si>
    <t>101400550002</t>
  </si>
  <si>
    <t xml:space="preserve">Prem Kumar </t>
  </si>
  <si>
    <t>59122216696</t>
  </si>
  <si>
    <t>IDIB000P686</t>
  </si>
  <si>
    <t xml:space="preserve">Allahabad Bank </t>
  </si>
  <si>
    <t>101400990002</t>
  </si>
  <si>
    <t xml:space="preserve">Niraj Kumar Pandey </t>
  </si>
  <si>
    <t>70310100072050</t>
  </si>
  <si>
    <t xml:space="preserve">Madhya Bihar Gramin Bank </t>
  </si>
  <si>
    <t>101400990003</t>
  </si>
  <si>
    <t>0003</t>
  </si>
  <si>
    <t xml:space="preserve">Rakesh Pradhan </t>
  </si>
  <si>
    <t>42422235329</t>
  </si>
  <si>
    <t>101400990005</t>
  </si>
  <si>
    <t>0005</t>
  </si>
  <si>
    <t xml:space="preserve">Aman Pradhan </t>
  </si>
  <si>
    <t>39748069838</t>
  </si>
  <si>
    <t>101400990007</t>
  </si>
  <si>
    <t>0007</t>
  </si>
  <si>
    <t xml:space="preserve">Amit Kumar Pradhan </t>
  </si>
  <si>
    <t>39673069468</t>
  </si>
  <si>
    <t>101400990013</t>
  </si>
  <si>
    <t>0013</t>
  </si>
  <si>
    <t xml:space="preserve">Geeta Devi </t>
  </si>
  <si>
    <t>7938490090</t>
  </si>
  <si>
    <t xml:space="preserve">Indian Bank </t>
  </si>
  <si>
    <t>101401200001</t>
  </si>
  <si>
    <t>101401200004</t>
  </si>
  <si>
    <t>0004</t>
  </si>
  <si>
    <t>Janardan Singh</t>
  </si>
  <si>
    <t>69410700006147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</si>
</sst>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43" fontId="2" fillId="3" borderId="2" xfId="4" applyFont="1" applyFill="1" applyBorder="1" applyAlignment="1">
      <alignment horizontal="center" vertical="center" wrapText="1"/>
    </xf>
    <xf numFmtId="43" fontId="2" fillId="3" borderId="2" xfId="4" applyFont="1" applyFill="1" applyBorder="1" applyAlignment="1">
      <alignment horizontal="left" vertical="center" wrapText="1"/>
    </xf>
    <xf numFmtId="43" fontId="2" fillId="4" borderId="2" xfId="4" applyFont="1" applyFill="1" applyBorder="1" applyAlignment="1">
      <alignment horizontal="center" vertical="center" wrapText="1"/>
    </xf>
    <xf numFmtId="43" fontId="2" fillId="6" borderId="3" xfId="4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0" borderId="0" xfId="0" quotePrefix="1" applyFont="1"/>
    <xf numFmtId="0" fontId="2" fillId="7" borderId="2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4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/>
    </xf>
    <xf numFmtId="164" fontId="3" fillId="5" borderId="4" xfId="4" applyNumberFormat="1" applyFont="1" applyFill="1" applyBorder="1" applyAlignment="1">
      <alignment horizontal="center" vertical="center"/>
    </xf>
    <xf numFmtId="164" fontId="3" fillId="5" borderId="4" xfId="0" applyNumberFormat="1" applyFont="1" applyFill="1" applyBorder="1"/>
    <xf numFmtId="164" fontId="4" fillId="2" borderId="1" xfId="3" applyNumberFormat="1" applyFont="1" applyAlignment="1">
      <alignment horizontal="center"/>
    </xf>
    <xf numFmtId="164" fontId="5" fillId="0" borderId="2" xfId="1" applyNumberFormat="1" applyFont="1" applyBorder="1" applyAlignment="1">
      <alignment horizontal="center" vertical="center"/>
    </xf>
    <xf numFmtId="1" fontId="2" fillId="0" borderId="2" xfId="1" quotePrefix="1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/>
    </xf>
    <xf numFmtId="0" fontId="3" fillId="0" borderId="2" xfId="0" quotePrefix="1" applyFont="1" applyBorder="1"/>
    <xf numFmtId="0" fontId="3" fillId="0" borderId="5" xfId="0" applyFont="1" applyBorder="1"/>
    <xf numFmtId="9" fontId="3" fillId="0" borderId="2" xfId="2" applyFont="1" applyBorder="1" applyAlignment="1">
      <alignment horizontal="center"/>
    </xf>
    <xf numFmtId="1" fontId="3" fillId="0" borderId="2" xfId="2" applyNumberFormat="1" applyFont="1" applyBorder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43" fontId="3" fillId="0" borderId="2" xfId="1" applyFont="1" applyBorder="1"/>
    <xf numFmtId="0" fontId="2" fillId="8" borderId="2" xfId="0" applyFont="1" applyFill="1" applyBorder="1" applyAlignment="1">
      <alignment horizontal="center"/>
    </xf>
    <xf numFmtId="0" fontId="2" fillId="8" borderId="2" xfId="0" applyFont="1" applyFill="1" applyBorder="1"/>
    <xf numFmtId="1" fontId="2" fillId="8" borderId="2" xfId="0" applyNumberFormat="1" applyFont="1" applyFill="1" applyBorder="1" applyAlignment="1">
      <alignment horizontal="center"/>
    </xf>
    <xf numFmtId="164" fontId="2" fillId="8" borderId="2" xfId="4" applyNumberFormat="1" applyFont="1" applyFill="1" applyBorder="1" applyAlignment="1">
      <alignment horizontal="center" vertical="center"/>
    </xf>
    <xf numFmtId="0" fontId="3" fillId="0" borderId="2" xfId="0" applyFont="1" applyBorder="1"/>
    <xf numFmtId="9" fontId="3" fillId="0" borderId="2" xfId="2" applyFont="1" applyBorder="1"/>
    <xf numFmtId="2" fontId="3" fillId="0" borderId="2" xfId="2" applyNumberFormat="1" applyFont="1" applyBorder="1"/>
    <xf numFmtId="0" fontId="6" fillId="9" borderId="6" xfId="5" applyFont="1" applyFill="1" applyBorder="1" applyAlignment="1">
      <alignment horizontal="center" vertical="center" wrapText="1"/>
    </xf>
    <xf numFmtId="0" fontId="6" fillId="10" borderId="6" xfId="5" applyFont="1" applyFill="1" applyBorder="1" applyAlignment="1">
      <alignment horizontal="center" vertical="center" wrapText="1"/>
    </xf>
    <xf numFmtId="49" fontId="6" fillId="10" borderId="6" xfId="5" applyNumberFormat="1" applyFont="1" applyFill="1" applyBorder="1" applyAlignment="1">
      <alignment horizontal="center" vertical="center" wrapText="1"/>
    </xf>
    <xf numFmtId="43" fontId="6" fillId="10" borderId="6" xfId="1" applyFont="1" applyFill="1" applyBorder="1" applyAlignment="1">
      <alignment horizontal="center" vertical="center" wrapText="1"/>
    </xf>
    <xf numFmtId="49" fontId="6" fillId="9" borderId="6" xfId="5" applyNumberFormat="1" applyFont="1" applyFill="1" applyBorder="1" applyAlignment="1">
      <alignment horizontal="center" vertical="center" wrapText="1"/>
    </xf>
    <xf numFmtId="0" fontId="6" fillId="9" borderId="6" xfId="5" applyFont="1" applyFill="1" applyBorder="1" applyAlignment="1">
      <alignment horizontal="left" vertical="center" wrapText="1"/>
    </xf>
    <xf numFmtId="0" fontId="6" fillId="11" borderId="6" xfId="5" applyFont="1" applyFill="1" applyBorder="1" applyAlignment="1">
      <alignment horizontal="center" vertical="center" wrapText="1"/>
    </xf>
    <xf numFmtId="0" fontId="6" fillId="11" borderId="7" xfId="5" applyFont="1" applyFill="1" applyBorder="1" applyAlignment="1">
      <alignment horizontal="center" vertical="center" wrapText="1"/>
    </xf>
    <xf numFmtId="0" fontId="6" fillId="11" borderId="8" xfId="5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right"/>
    </xf>
    <xf numFmtId="165" fontId="3" fillId="0" borderId="0" xfId="1" applyNumberFormat="1" applyFont="1" applyAlignment="1">
      <alignment horizontal="center"/>
    </xf>
    <xf numFmtId="165" fontId="3" fillId="0" borderId="0" xfId="1" applyNumberFormat="1" applyFont="1" applyAlignment="1"/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164" fontId="3" fillId="0" borderId="9" xfId="1" applyNumberFormat="1" applyFont="1" applyBorder="1" applyAlignment="1">
      <alignment horizontal="center"/>
    </xf>
    <xf numFmtId="165" fontId="3" fillId="0" borderId="9" xfId="1" applyNumberFormat="1" applyFont="1" applyBorder="1" applyAlignment="1">
      <alignment horizontal="center"/>
    </xf>
    <xf numFmtId="0" fontId="3" fillId="0" borderId="10" xfId="0" applyFont="1" applyBorder="1"/>
    <xf numFmtId="165" fontId="3" fillId="0" borderId="10" xfId="0" applyNumberFormat="1" applyFont="1" applyBorder="1"/>
  </cellXfs>
  <cellStyles count="6">
    <cellStyle name="Comma" xfId="1" builtinId="3"/>
    <cellStyle name="Comma 2" xfId="4" xr:uid="{4DDAC54F-1EE2-4FC6-ABFC-A9C07A3447C5}"/>
    <cellStyle name="Normal" xfId="0" builtinId="0"/>
    <cellStyle name="Normal 2" xfId="5" xr:uid="{31E05E32-9442-4597-8B11-07C014AE2909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B205B-7A5F-4CDC-9E6D-74A6AEF12C0B}">
  <dimension ref="A1:W8"/>
  <sheetViews>
    <sheetView tabSelected="1" workbookViewId="0">
      <selection activeCell="V30" sqref="V30"/>
    </sheetView>
  </sheetViews>
  <sheetFormatPr defaultRowHeight="13.5" x14ac:dyDescent="0.25"/>
  <cols>
    <col min="1" max="1" width="5.85546875" style="8" bestFit="1" customWidth="1"/>
    <col min="2" max="2" width="10.140625" style="8" bestFit="1" customWidth="1"/>
    <col min="3" max="3" width="9" style="8" bestFit="1" customWidth="1"/>
    <col min="4" max="4" width="19.85546875" style="8" bestFit="1" customWidth="1"/>
    <col min="5" max="5" width="6" style="8" bestFit="1" customWidth="1"/>
    <col min="6" max="6" width="8.85546875" style="8" bestFit="1" customWidth="1"/>
    <col min="7" max="7" width="7.85546875" style="8" bestFit="1" customWidth="1"/>
    <col min="8" max="8" width="8" style="8" bestFit="1" customWidth="1"/>
    <col min="9" max="11" width="8.85546875" style="8" bestFit="1" customWidth="1"/>
    <col min="12" max="12" width="8.42578125" style="8" bestFit="1" customWidth="1"/>
    <col min="13" max="13" width="9.7109375" style="8" bestFit="1" customWidth="1"/>
    <col min="14" max="15" width="8" style="8" bestFit="1" customWidth="1"/>
    <col min="16" max="16" width="33.5703125" style="8" bestFit="1" customWidth="1"/>
    <col min="17" max="17" width="12.42578125" style="8" bestFit="1" customWidth="1"/>
    <col min="18" max="19" width="9.140625" style="8"/>
    <col min="20" max="20" width="7.5703125" style="8" bestFit="1" customWidth="1"/>
    <col min="21" max="21" width="9" style="8" bestFit="1" customWidth="1"/>
    <col min="22" max="22" width="8.140625" style="8" bestFit="1" customWidth="1"/>
    <col min="23" max="23" width="9" style="8" bestFit="1" customWidth="1"/>
    <col min="24" max="16384" width="9.140625" style="8"/>
  </cols>
  <sheetData>
    <row r="1" spans="1:23" ht="40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6"/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</row>
    <row r="2" spans="1:23" x14ac:dyDescent="0.25">
      <c r="A2" s="9">
        <v>1003</v>
      </c>
      <c r="B2" s="10" t="s">
        <v>25</v>
      </c>
      <c r="C2" s="11">
        <v>10030026</v>
      </c>
      <c r="D2" s="12" t="s">
        <v>26</v>
      </c>
      <c r="E2" s="13" t="s">
        <v>27</v>
      </c>
      <c r="F2" s="13" t="s">
        <v>28</v>
      </c>
      <c r="G2" s="14">
        <v>286.45000000000005</v>
      </c>
      <c r="H2" s="14">
        <v>10648.84</v>
      </c>
      <c r="I2" s="15">
        <v>10488</v>
      </c>
      <c r="J2" s="15">
        <v>0</v>
      </c>
      <c r="K2" s="15">
        <v>0</v>
      </c>
      <c r="L2" s="16">
        <v>0</v>
      </c>
      <c r="M2" s="17" t="s">
        <v>29</v>
      </c>
      <c r="N2" s="18">
        <v>-1</v>
      </c>
      <c r="O2" s="19"/>
      <c r="P2" s="20" t="s">
        <v>30</v>
      </c>
      <c r="Q2" s="21" t="s">
        <v>31</v>
      </c>
      <c r="R2" s="22"/>
      <c r="S2" s="23">
        <v>1.5243451377633579E-2</v>
      </c>
      <c r="T2" s="24">
        <v>21</v>
      </c>
      <c r="U2" s="25">
        <v>3832.5</v>
      </c>
      <c r="V2" s="25">
        <v>0</v>
      </c>
      <c r="W2" s="26">
        <v>3832.5</v>
      </c>
    </row>
    <row r="3" spans="1:23" x14ac:dyDescent="0.25">
      <c r="A3" s="9">
        <v>1014</v>
      </c>
      <c r="B3" s="10" t="s">
        <v>32</v>
      </c>
      <c r="C3" s="11">
        <v>10140018</v>
      </c>
      <c r="D3" s="12" t="s">
        <v>33</v>
      </c>
      <c r="E3" s="13" t="s">
        <v>27</v>
      </c>
      <c r="F3" s="13" t="s">
        <v>28</v>
      </c>
      <c r="G3" s="14">
        <v>166.9</v>
      </c>
      <c r="H3" s="14">
        <v>10474.720000000001</v>
      </c>
      <c r="I3" s="15">
        <v>212</v>
      </c>
      <c r="J3" s="15">
        <v>10263</v>
      </c>
      <c r="K3" s="15">
        <v>0</v>
      </c>
      <c r="L3" s="16">
        <v>0</v>
      </c>
      <c r="M3" s="17" t="s">
        <v>29</v>
      </c>
      <c r="N3" s="18">
        <v>0</v>
      </c>
      <c r="O3" s="19"/>
      <c r="P3" s="20" t="s">
        <v>34</v>
      </c>
      <c r="Q3" s="21" t="s">
        <v>31</v>
      </c>
      <c r="R3" s="22"/>
      <c r="S3" s="23">
        <v>-0.26653519101356377</v>
      </c>
      <c r="T3" s="24">
        <v>9</v>
      </c>
      <c r="U3" s="25">
        <v>0</v>
      </c>
      <c r="V3" s="25">
        <v>0</v>
      </c>
      <c r="W3" s="26">
        <v>0</v>
      </c>
    </row>
    <row r="4" spans="1:23" x14ac:dyDescent="0.25">
      <c r="A4" s="9">
        <v>1014</v>
      </c>
      <c r="B4" s="10" t="s">
        <v>32</v>
      </c>
      <c r="C4" s="11">
        <v>10140047</v>
      </c>
      <c r="D4" s="12" t="s">
        <v>35</v>
      </c>
      <c r="E4" s="13" t="s">
        <v>27</v>
      </c>
      <c r="F4" s="13" t="s">
        <v>28</v>
      </c>
      <c r="G4" s="14">
        <v>85.7</v>
      </c>
      <c r="H4" s="14">
        <v>2649.47</v>
      </c>
      <c r="I4" s="15">
        <v>2628</v>
      </c>
      <c r="J4" s="15">
        <v>0</v>
      </c>
      <c r="K4" s="15">
        <v>0</v>
      </c>
      <c r="L4" s="16">
        <v>0</v>
      </c>
      <c r="M4" s="17" t="s">
        <v>29</v>
      </c>
      <c r="N4" s="18">
        <v>0</v>
      </c>
      <c r="O4" s="19"/>
      <c r="P4" s="20" t="s">
        <v>34</v>
      </c>
      <c r="Q4" s="21" t="s">
        <v>31</v>
      </c>
      <c r="R4" s="22"/>
      <c r="S4" s="23">
        <v>-0.77057249713673681</v>
      </c>
      <c r="T4" s="24">
        <v>5</v>
      </c>
      <c r="U4" s="25">
        <v>0</v>
      </c>
      <c r="V4" s="25">
        <v>0</v>
      </c>
      <c r="W4" s="26">
        <v>0</v>
      </c>
    </row>
    <row r="5" spans="1:23" x14ac:dyDescent="0.25">
      <c r="A5" s="9">
        <v>1014</v>
      </c>
      <c r="B5" s="10" t="s">
        <v>32</v>
      </c>
      <c r="C5" s="11">
        <v>10140055</v>
      </c>
      <c r="D5" s="12" t="s">
        <v>42</v>
      </c>
      <c r="E5" s="13" t="s">
        <v>27</v>
      </c>
      <c r="F5" s="13" t="s">
        <v>28</v>
      </c>
      <c r="G5" s="14">
        <v>14.5</v>
      </c>
      <c r="H5" s="14">
        <v>564.34</v>
      </c>
      <c r="I5" s="15">
        <v>0</v>
      </c>
      <c r="J5" s="15">
        <v>0</v>
      </c>
      <c r="K5" s="15">
        <v>0</v>
      </c>
      <c r="L5" s="16">
        <v>0</v>
      </c>
      <c r="M5" s="17" t="s">
        <v>29</v>
      </c>
      <c r="N5" s="18">
        <v>0</v>
      </c>
      <c r="O5" s="19"/>
      <c r="P5" s="20" t="s">
        <v>30</v>
      </c>
      <c r="Q5" s="21" t="s">
        <v>31</v>
      </c>
      <c r="R5" s="22"/>
      <c r="S5" s="23">
        <v>-2.8571428571613543E-5</v>
      </c>
      <c r="T5" s="24">
        <v>1</v>
      </c>
      <c r="U5" s="25">
        <v>1663</v>
      </c>
      <c r="V5" s="25">
        <v>0</v>
      </c>
      <c r="W5" s="26">
        <v>1663</v>
      </c>
    </row>
    <row r="6" spans="1:23" x14ac:dyDescent="0.25">
      <c r="A6" s="9">
        <v>1014</v>
      </c>
      <c r="B6" s="10" t="s">
        <v>32</v>
      </c>
      <c r="C6" s="11">
        <v>10140099</v>
      </c>
      <c r="D6" s="12" t="s">
        <v>37</v>
      </c>
      <c r="E6" s="13" t="s">
        <v>27</v>
      </c>
      <c r="F6" s="13" t="s">
        <v>28</v>
      </c>
      <c r="G6" s="14">
        <v>64.2</v>
      </c>
      <c r="H6" s="14">
        <v>2577.0199999999995</v>
      </c>
      <c r="I6" s="15">
        <v>2888</v>
      </c>
      <c r="J6" s="15">
        <v>0</v>
      </c>
      <c r="K6" s="15">
        <v>0</v>
      </c>
      <c r="L6" s="16">
        <v>-311</v>
      </c>
      <c r="M6" s="17" t="s">
        <v>29</v>
      </c>
      <c r="N6" s="18">
        <v>-311</v>
      </c>
      <c r="O6" s="19"/>
      <c r="P6" s="20" t="s">
        <v>38</v>
      </c>
      <c r="Q6" s="21" t="s">
        <v>31</v>
      </c>
      <c r="R6" s="22"/>
      <c r="S6" s="23">
        <v>-0.24292012995995402</v>
      </c>
      <c r="T6" s="24">
        <v>5</v>
      </c>
      <c r="U6" s="25">
        <v>0</v>
      </c>
      <c r="V6" s="25">
        <v>0</v>
      </c>
      <c r="W6" s="26">
        <v>0</v>
      </c>
    </row>
    <row r="7" spans="1:23" x14ac:dyDescent="0.25">
      <c r="A7" s="9">
        <v>1014</v>
      </c>
      <c r="B7" s="10" t="s">
        <v>32</v>
      </c>
      <c r="C7" s="11">
        <v>10140120</v>
      </c>
      <c r="D7" s="12" t="s">
        <v>39</v>
      </c>
      <c r="E7" s="13" t="s">
        <v>27</v>
      </c>
      <c r="F7" s="13" t="s">
        <v>28</v>
      </c>
      <c r="G7" s="14">
        <v>454.2</v>
      </c>
      <c r="H7" s="14">
        <v>19273.839999999997</v>
      </c>
      <c r="I7" s="15">
        <v>19461</v>
      </c>
      <c r="J7" s="15">
        <v>0</v>
      </c>
      <c r="K7" s="15">
        <v>0</v>
      </c>
      <c r="L7" s="16">
        <v>-548</v>
      </c>
      <c r="M7" s="17" t="s">
        <v>29</v>
      </c>
      <c r="N7" s="18">
        <v>-548</v>
      </c>
      <c r="O7" s="19"/>
      <c r="P7" s="20" t="s">
        <v>40</v>
      </c>
      <c r="Q7" s="21" t="s">
        <v>31</v>
      </c>
      <c r="R7" s="22"/>
      <c r="S7" s="23">
        <v>-2.8435918320672493E-2</v>
      </c>
      <c r="T7" s="24">
        <v>2</v>
      </c>
      <c r="U7" s="25">
        <v>0</v>
      </c>
      <c r="V7" s="25">
        <v>0</v>
      </c>
      <c r="W7" s="26">
        <v>0</v>
      </c>
    </row>
    <row r="8" spans="1:23" x14ac:dyDescent="0.25">
      <c r="A8" s="27"/>
      <c r="B8" s="28"/>
      <c r="C8" s="27"/>
      <c r="D8" s="27"/>
      <c r="E8" s="27" t="s">
        <v>41</v>
      </c>
      <c r="F8" s="27">
        <v>939</v>
      </c>
      <c r="G8" s="29">
        <v>1071.95</v>
      </c>
      <c r="H8" s="29">
        <v>46188.229999999996</v>
      </c>
      <c r="I8" s="30">
        <v>35677</v>
      </c>
      <c r="J8" s="30">
        <v>10263</v>
      </c>
      <c r="K8" s="30">
        <v>0</v>
      </c>
      <c r="L8" s="30">
        <v>-698</v>
      </c>
      <c r="M8" s="17">
        <v>2</v>
      </c>
      <c r="N8" s="30">
        <v>-860</v>
      </c>
      <c r="O8" s="30"/>
      <c r="P8" s="11"/>
      <c r="Q8" s="31"/>
      <c r="R8" s="6"/>
      <c r="S8" s="32"/>
      <c r="T8" s="33">
        <v>5921</v>
      </c>
      <c r="U8" s="26">
        <v>5495.5</v>
      </c>
      <c r="V8" s="26">
        <v>0</v>
      </c>
      <c r="W8" s="26">
        <v>5495.5</v>
      </c>
    </row>
  </sheetData>
  <conditionalFormatting sqref="C8 C1">
    <cfRule type="duplicateValues" dxfId="16" priority="12" stopIfTrue="1"/>
  </conditionalFormatting>
  <conditionalFormatting sqref="C2:C7">
    <cfRule type="duplicateValues" dxfId="15" priority="9"/>
  </conditionalFormatting>
  <conditionalFormatting sqref="C2:C7">
    <cfRule type="duplicateValues" dxfId="14" priority="10"/>
    <cfRule type="duplicateValues" dxfId="13" priority="11"/>
  </conditionalFormatting>
  <conditionalFormatting sqref="F2:F7">
    <cfRule type="containsText" dxfId="12" priority="7" operator="containsText" text="Indirect">
      <formula>NOT(ISERROR(SEARCH("Indirect",F2)))</formula>
    </cfRule>
  </conditionalFormatting>
  <conditionalFormatting sqref="I2:K7">
    <cfRule type="cellIs" dxfId="11" priority="6" operator="lessThan">
      <formula>-1</formula>
    </cfRule>
  </conditionalFormatting>
  <conditionalFormatting sqref="L2:L7">
    <cfRule type="cellIs" dxfId="10" priority="8" operator="lessThan">
      <formula>0</formula>
    </cfRule>
  </conditionalFormatting>
  <conditionalFormatting sqref="D8">
    <cfRule type="duplicateValues" dxfId="9" priority="5" stopIfTrue="1"/>
  </conditionalFormatting>
  <conditionalFormatting sqref="E8">
    <cfRule type="duplicateValues" dxfId="8" priority="4" stopIfTrue="1"/>
  </conditionalFormatting>
  <conditionalFormatting sqref="F8">
    <cfRule type="duplicateValues" dxfId="7" priority="3" stopIfTrue="1"/>
  </conditionalFormatting>
  <conditionalFormatting sqref="G8">
    <cfRule type="duplicateValues" dxfId="6" priority="2" stopIfTrue="1"/>
  </conditionalFormatting>
  <conditionalFormatting sqref="H8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FE577-67C3-4B11-94C7-447623F4B58E}">
  <dimension ref="A1:W46"/>
  <sheetViews>
    <sheetView topLeftCell="A7" workbookViewId="0">
      <selection activeCell="A46" sqref="A46"/>
    </sheetView>
  </sheetViews>
  <sheetFormatPr defaultRowHeight="13.5" x14ac:dyDescent="0.25"/>
  <cols>
    <col min="1" max="1" width="13.140625" style="8" bestFit="1" customWidth="1"/>
    <col min="2" max="3" width="9.28515625" style="8" bestFit="1" customWidth="1"/>
    <col min="4" max="4" width="55.28515625" style="8" bestFit="1" customWidth="1"/>
    <col min="5" max="5" width="9" style="8" bestFit="1" customWidth="1"/>
    <col min="6" max="6" width="8.28515625" style="8" bestFit="1" customWidth="1"/>
    <col min="7" max="7" width="6.28515625" style="8" bestFit="1" customWidth="1"/>
    <col min="8" max="8" width="5.7109375" style="8" bestFit="1" customWidth="1"/>
    <col min="9" max="9" width="8" style="8" bestFit="1" customWidth="1"/>
    <col min="10" max="10" width="8.140625" style="8" bestFit="1" customWidth="1"/>
    <col min="11" max="11" width="7.7109375" style="8" bestFit="1" customWidth="1"/>
    <col min="12" max="12" width="8" style="8" bestFit="1" customWidth="1"/>
    <col min="13" max="13" width="8.140625" style="8" bestFit="1" customWidth="1"/>
    <col min="14" max="14" width="6.140625" style="8" bestFit="1" customWidth="1"/>
    <col min="15" max="15" width="9.7109375" style="8" bestFit="1" customWidth="1"/>
    <col min="16" max="16" width="9" style="8" bestFit="1" customWidth="1"/>
    <col min="17" max="17" width="9.140625" style="8"/>
    <col min="18" max="18" width="25.5703125" style="8" bestFit="1" customWidth="1"/>
    <col min="19" max="19" width="17.28515625" style="8" bestFit="1" customWidth="1"/>
    <col min="20" max="20" width="14.28515625" style="8" bestFit="1" customWidth="1"/>
    <col min="21" max="21" width="26.28515625" style="8" bestFit="1" customWidth="1"/>
    <col min="22" max="22" width="12.7109375" style="8" bestFit="1" customWidth="1"/>
    <col min="23" max="23" width="12.42578125" style="8" bestFit="1" customWidth="1"/>
    <col min="24" max="16384" width="9.140625" style="8"/>
  </cols>
  <sheetData>
    <row r="1" spans="1:23" ht="40.5" x14ac:dyDescent="0.25">
      <c r="A1" s="34" t="s">
        <v>43</v>
      </c>
      <c r="B1" s="34" t="s">
        <v>1</v>
      </c>
      <c r="C1" s="34" t="s">
        <v>44</v>
      </c>
      <c r="D1" s="34" t="s">
        <v>45</v>
      </c>
      <c r="E1" s="35" t="s">
        <v>46</v>
      </c>
      <c r="F1" s="36" t="s">
        <v>47</v>
      </c>
      <c r="G1" s="37" t="s">
        <v>48</v>
      </c>
      <c r="H1" s="36" t="s">
        <v>49</v>
      </c>
      <c r="I1" s="36" t="s">
        <v>50</v>
      </c>
      <c r="J1" s="38" t="s">
        <v>8</v>
      </c>
      <c r="K1" s="38" t="s">
        <v>51</v>
      </c>
      <c r="L1" s="38" t="s">
        <v>52</v>
      </c>
      <c r="M1" s="38" t="s">
        <v>9</v>
      </c>
      <c r="N1" s="38" t="s">
        <v>10</v>
      </c>
      <c r="O1" s="38" t="s">
        <v>15</v>
      </c>
      <c r="P1" s="38" t="s">
        <v>53</v>
      </c>
      <c r="Q1" s="39" t="s">
        <v>54</v>
      </c>
      <c r="R1" s="40" t="s">
        <v>55</v>
      </c>
      <c r="S1" s="40" t="s">
        <v>56</v>
      </c>
      <c r="T1" s="40" t="s">
        <v>57</v>
      </c>
      <c r="U1" s="40" t="s">
        <v>58</v>
      </c>
      <c r="V1" s="41" t="s">
        <v>59</v>
      </c>
      <c r="W1" s="42" t="s">
        <v>19</v>
      </c>
    </row>
    <row r="2" spans="1:23" x14ac:dyDescent="0.25">
      <c r="A2" s="8" t="s">
        <v>60</v>
      </c>
      <c r="B2" s="8" t="s">
        <v>25</v>
      </c>
      <c r="C2" s="43" t="s">
        <v>25</v>
      </c>
      <c r="D2" s="8" t="s">
        <v>26</v>
      </c>
      <c r="E2" s="43">
        <v>10030026</v>
      </c>
      <c r="F2" s="8" t="s">
        <v>61</v>
      </c>
      <c r="G2" s="43">
        <v>1</v>
      </c>
      <c r="H2" s="44">
        <v>12.31</v>
      </c>
      <c r="I2" s="45">
        <v>435.14270362335003</v>
      </c>
      <c r="J2" s="46">
        <v>0</v>
      </c>
      <c r="K2" s="46">
        <v>0</v>
      </c>
      <c r="L2" s="46">
        <v>0</v>
      </c>
      <c r="M2" s="44">
        <v>0</v>
      </c>
      <c r="N2" s="44">
        <v>0</v>
      </c>
      <c r="O2" s="46" t="s">
        <v>29</v>
      </c>
      <c r="P2" s="46">
        <v>435</v>
      </c>
      <c r="Q2" s="43" t="s">
        <v>28</v>
      </c>
      <c r="R2" s="8" t="s">
        <v>62</v>
      </c>
      <c r="S2" s="8" t="s">
        <v>63</v>
      </c>
      <c r="T2" s="8" t="s">
        <v>64</v>
      </c>
      <c r="U2" s="8" t="s">
        <v>65</v>
      </c>
      <c r="V2" s="8" t="s">
        <v>66</v>
      </c>
      <c r="W2" s="8" t="s">
        <v>31</v>
      </c>
    </row>
    <row r="3" spans="1:23" x14ac:dyDescent="0.25">
      <c r="A3" s="8" t="s">
        <v>67</v>
      </c>
      <c r="B3" s="8" t="s">
        <v>25</v>
      </c>
      <c r="C3" s="43" t="s">
        <v>25</v>
      </c>
      <c r="D3" s="8" t="s">
        <v>26</v>
      </c>
      <c r="E3" s="43">
        <v>10030026</v>
      </c>
      <c r="F3" s="8" t="s">
        <v>68</v>
      </c>
      <c r="G3" s="43">
        <v>5</v>
      </c>
      <c r="H3" s="44">
        <v>11.370000000000001</v>
      </c>
      <c r="I3" s="45">
        <v>596.78868332510001</v>
      </c>
      <c r="J3" s="46">
        <v>0</v>
      </c>
      <c r="K3" s="46">
        <v>0</v>
      </c>
      <c r="L3" s="46">
        <v>0</v>
      </c>
      <c r="M3" s="44">
        <v>0</v>
      </c>
      <c r="N3" s="44">
        <v>0</v>
      </c>
      <c r="O3" s="46" t="s">
        <v>29</v>
      </c>
      <c r="P3" s="46">
        <v>597</v>
      </c>
      <c r="Q3" s="43" t="s">
        <v>28</v>
      </c>
      <c r="R3" s="8" t="s">
        <v>69</v>
      </c>
      <c r="S3" s="8" t="s">
        <v>70</v>
      </c>
      <c r="T3" s="8" t="s">
        <v>71</v>
      </c>
      <c r="U3" s="8" t="s">
        <v>65</v>
      </c>
      <c r="V3" s="8" t="s">
        <v>66</v>
      </c>
      <c r="W3" s="8" t="s">
        <v>31</v>
      </c>
    </row>
    <row r="4" spans="1:23" x14ac:dyDescent="0.25">
      <c r="A4" s="8" t="s">
        <v>72</v>
      </c>
      <c r="B4" s="8" t="s">
        <v>25</v>
      </c>
      <c r="C4" s="43" t="s">
        <v>25</v>
      </c>
      <c r="D4" s="8" t="s">
        <v>26</v>
      </c>
      <c r="E4" s="43">
        <v>10030026</v>
      </c>
      <c r="F4" s="8" t="s">
        <v>73</v>
      </c>
      <c r="G4" s="43">
        <v>1</v>
      </c>
      <c r="H4" s="44">
        <v>2.0699999999999998</v>
      </c>
      <c r="I4" s="45">
        <v>94.665615704999993</v>
      </c>
      <c r="J4" s="46">
        <v>0</v>
      </c>
      <c r="K4" s="46">
        <v>0</v>
      </c>
      <c r="L4" s="46">
        <v>0</v>
      </c>
      <c r="M4" s="44">
        <v>0</v>
      </c>
      <c r="N4" s="44">
        <v>0</v>
      </c>
      <c r="O4" s="46" t="s">
        <v>29</v>
      </c>
      <c r="P4" s="46">
        <v>95</v>
      </c>
      <c r="Q4" s="43" t="s">
        <v>28</v>
      </c>
      <c r="R4" s="8" t="s">
        <v>74</v>
      </c>
      <c r="S4" s="8" t="s">
        <v>75</v>
      </c>
      <c r="T4" s="8" t="s">
        <v>76</v>
      </c>
      <c r="U4" s="8" t="s">
        <v>77</v>
      </c>
      <c r="V4" s="8" t="s">
        <v>66</v>
      </c>
      <c r="W4" s="8" t="s">
        <v>31</v>
      </c>
    </row>
    <row r="5" spans="1:23" x14ac:dyDescent="0.25">
      <c r="A5" s="8" t="s">
        <v>78</v>
      </c>
      <c r="B5" s="8" t="s">
        <v>25</v>
      </c>
      <c r="C5" s="43" t="s">
        <v>25</v>
      </c>
      <c r="D5" s="8" t="s">
        <v>26</v>
      </c>
      <c r="E5" s="43">
        <v>10030026</v>
      </c>
      <c r="F5" s="8" t="s">
        <v>79</v>
      </c>
      <c r="G5" s="43">
        <v>5</v>
      </c>
      <c r="H5" s="44">
        <v>5.28</v>
      </c>
      <c r="I5" s="45">
        <v>253.23566779754998</v>
      </c>
      <c r="J5" s="46">
        <v>0</v>
      </c>
      <c r="K5" s="46">
        <v>0</v>
      </c>
      <c r="L5" s="46">
        <v>0</v>
      </c>
      <c r="M5" s="44">
        <v>0</v>
      </c>
      <c r="N5" s="44">
        <v>0</v>
      </c>
      <c r="O5" s="46" t="s">
        <v>29</v>
      </c>
      <c r="P5" s="46">
        <v>253</v>
      </c>
      <c r="Q5" s="43" t="s">
        <v>28</v>
      </c>
      <c r="R5" s="8" t="s">
        <v>80</v>
      </c>
      <c r="S5" s="8" t="s">
        <v>81</v>
      </c>
      <c r="T5" s="8" t="s">
        <v>71</v>
      </c>
      <c r="U5" s="8" t="s">
        <v>82</v>
      </c>
      <c r="V5" s="8" t="s">
        <v>66</v>
      </c>
      <c r="W5" s="8" t="s">
        <v>31</v>
      </c>
    </row>
    <row r="6" spans="1:23" x14ac:dyDescent="0.25">
      <c r="A6" s="8" t="s">
        <v>83</v>
      </c>
      <c r="B6" s="8" t="s">
        <v>25</v>
      </c>
      <c r="C6" s="43" t="s">
        <v>25</v>
      </c>
      <c r="D6" s="8" t="s">
        <v>26</v>
      </c>
      <c r="E6" s="43">
        <v>10030026</v>
      </c>
      <c r="F6" s="8" t="s">
        <v>84</v>
      </c>
      <c r="G6" s="43">
        <v>3</v>
      </c>
      <c r="H6" s="44">
        <v>4.21</v>
      </c>
      <c r="I6" s="45">
        <v>180.71053411500003</v>
      </c>
      <c r="J6" s="46">
        <v>0</v>
      </c>
      <c r="K6" s="46">
        <v>0</v>
      </c>
      <c r="L6" s="46">
        <v>0</v>
      </c>
      <c r="M6" s="44">
        <v>0</v>
      </c>
      <c r="N6" s="44">
        <v>0</v>
      </c>
      <c r="O6" s="46" t="s">
        <v>29</v>
      </c>
      <c r="P6" s="46">
        <v>181</v>
      </c>
      <c r="Q6" s="43" t="s">
        <v>28</v>
      </c>
      <c r="R6" s="8" t="s">
        <v>85</v>
      </c>
      <c r="S6" s="8" t="s">
        <v>86</v>
      </c>
      <c r="T6" s="8" t="s">
        <v>87</v>
      </c>
      <c r="U6" s="8" t="s">
        <v>88</v>
      </c>
      <c r="V6" s="8" t="s">
        <v>66</v>
      </c>
      <c r="W6" s="8" t="s">
        <v>31</v>
      </c>
    </row>
    <row r="7" spans="1:23" x14ac:dyDescent="0.25">
      <c r="A7" s="8" t="s">
        <v>89</v>
      </c>
      <c r="B7" s="8" t="s">
        <v>25</v>
      </c>
      <c r="C7" s="43" t="s">
        <v>25</v>
      </c>
      <c r="D7" s="8" t="s">
        <v>26</v>
      </c>
      <c r="E7" s="43">
        <v>10030026</v>
      </c>
      <c r="F7" s="8" t="s">
        <v>90</v>
      </c>
      <c r="G7" s="43">
        <v>12</v>
      </c>
      <c r="H7" s="44">
        <v>21.17</v>
      </c>
      <c r="I7" s="45">
        <v>890.71981643565005</v>
      </c>
      <c r="J7" s="46">
        <v>0</v>
      </c>
      <c r="K7" s="46">
        <v>0</v>
      </c>
      <c r="L7" s="46">
        <v>0</v>
      </c>
      <c r="M7" s="44">
        <v>0</v>
      </c>
      <c r="N7" s="44">
        <v>0</v>
      </c>
      <c r="O7" s="46" t="s">
        <v>29</v>
      </c>
      <c r="P7" s="46">
        <v>891</v>
      </c>
      <c r="Q7" s="43" t="s">
        <v>28</v>
      </c>
      <c r="R7" s="8" t="s">
        <v>91</v>
      </c>
      <c r="S7" s="8" t="s">
        <v>92</v>
      </c>
      <c r="T7" s="8" t="s">
        <v>87</v>
      </c>
      <c r="U7" s="8" t="s">
        <v>93</v>
      </c>
      <c r="V7" s="8" t="s">
        <v>66</v>
      </c>
      <c r="W7" s="8" t="s">
        <v>31</v>
      </c>
    </row>
    <row r="8" spans="1:23" x14ac:dyDescent="0.25">
      <c r="A8" s="8" t="s">
        <v>94</v>
      </c>
      <c r="B8" s="8" t="s">
        <v>25</v>
      </c>
      <c r="C8" s="43" t="s">
        <v>25</v>
      </c>
      <c r="D8" s="8" t="s">
        <v>26</v>
      </c>
      <c r="E8" s="43">
        <v>10030026</v>
      </c>
      <c r="F8" s="8" t="s">
        <v>95</v>
      </c>
      <c r="G8" s="43">
        <v>11</v>
      </c>
      <c r="H8" s="44">
        <v>24.1</v>
      </c>
      <c r="I8" s="45">
        <v>866.87252134965001</v>
      </c>
      <c r="J8" s="46">
        <v>0</v>
      </c>
      <c r="K8" s="46">
        <v>0</v>
      </c>
      <c r="L8" s="46">
        <v>0</v>
      </c>
      <c r="M8" s="44">
        <v>0</v>
      </c>
      <c r="N8" s="44">
        <v>0</v>
      </c>
      <c r="O8" s="46" t="s">
        <v>29</v>
      </c>
      <c r="P8" s="46">
        <v>867</v>
      </c>
      <c r="Q8" s="43" t="s">
        <v>28</v>
      </c>
      <c r="R8" s="8" t="s">
        <v>96</v>
      </c>
      <c r="S8" s="8" t="s">
        <v>97</v>
      </c>
      <c r="T8" s="8" t="s">
        <v>71</v>
      </c>
      <c r="U8" s="8" t="s">
        <v>65</v>
      </c>
      <c r="V8" s="8" t="s">
        <v>66</v>
      </c>
      <c r="W8" s="8" t="s">
        <v>31</v>
      </c>
    </row>
    <row r="9" spans="1:23" x14ac:dyDescent="0.25">
      <c r="A9" s="8" t="s">
        <v>98</v>
      </c>
      <c r="B9" s="8" t="s">
        <v>25</v>
      </c>
      <c r="C9" s="43" t="s">
        <v>25</v>
      </c>
      <c r="D9" s="8" t="s">
        <v>26</v>
      </c>
      <c r="E9" s="43">
        <v>10030026</v>
      </c>
      <c r="F9" s="8" t="s">
        <v>99</v>
      </c>
      <c r="G9" s="43">
        <v>11</v>
      </c>
      <c r="H9" s="44">
        <v>15.000000000000002</v>
      </c>
      <c r="I9" s="45">
        <v>623.10013831200013</v>
      </c>
      <c r="J9" s="46">
        <v>0</v>
      </c>
      <c r="K9" s="46">
        <v>0</v>
      </c>
      <c r="L9" s="46">
        <v>0</v>
      </c>
      <c r="M9" s="44">
        <v>0</v>
      </c>
      <c r="N9" s="44">
        <v>0</v>
      </c>
      <c r="O9" s="46" t="s">
        <v>29</v>
      </c>
      <c r="P9" s="46">
        <v>623</v>
      </c>
      <c r="Q9" s="43" t="s">
        <v>28</v>
      </c>
      <c r="R9" s="8" t="s">
        <v>100</v>
      </c>
      <c r="S9" s="8" t="s">
        <v>101</v>
      </c>
      <c r="T9" s="8" t="s">
        <v>102</v>
      </c>
      <c r="U9" s="8" t="s">
        <v>103</v>
      </c>
      <c r="V9" s="8" t="s">
        <v>66</v>
      </c>
      <c r="W9" s="8" t="s">
        <v>31</v>
      </c>
    </row>
    <row r="10" spans="1:23" x14ac:dyDescent="0.25">
      <c r="A10" s="8" t="s">
        <v>104</v>
      </c>
      <c r="B10" s="8" t="s">
        <v>25</v>
      </c>
      <c r="C10" s="43" t="s">
        <v>25</v>
      </c>
      <c r="D10" s="8" t="s">
        <v>26</v>
      </c>
      <c r="E10" s="43">
        <v>10030026</v>
      </c>
      <c r="F10" s="8" t="s">
        <v>105</v>
      </c>
      <c r="G10" s="43">
        <v>1</v>
      </c>
      <c r="H10" s="44">
        <v>8.01</v>
      </c>
      <c r="I10" s="45">
        <v>319.55239381500002</v>
      </c>
      <c r="J10" s="46">
        <v>0</v>
      </c>
      <c r="K10" s="46">
        <v>0</v>
      </c>
      <c r="L10" s="46">
        <v>0</v>
      </c>
      <c r="M10" s="44">
        <v>0</v>
      </c>
      <c r="N10" s="44">
        <v>0</v>
      </c>
      <c r="O10" s="46" t="s">
        <v>29</v>
      </c>
      <c r="P10" s="46">
        <v>320</v>
      </c>
      <c r="Q10" s="43" t="s">
        <v>28</v>
      </c>
      <c r="R10" s="8" t="s">
        <v>106</v>
      </c>
      <c r="S10" s="8" t="s">
        <v>107</v>
      </c>
      <c r="T10" s="8" t="s">
        <v>108</v>
      </c>
      <c r="U10" s="8" t="s">
        <v>109</v>
      </c>
      <c r="V10" s="8" t="s">
        <v>66</v>
      </c>
      <c r="W10" s="8" t="s">
        <v>31</v>
      </c>
    </row>
    <row r="11" spans="1:23" x14ac:dyDescent="0.25">
      <c r="A11" s="8" t="s">
        <v>110</v>
      </c>
      <c r="B11" s="8" t="s">
        <v>25</v>
      </c>
      <c r="C11" s="43" t="s">
        <v>25</v>
      </c>
      <c r="D11" s="8" t="s">
        <v>26</v>
      </c>
      <c r="E11" s="43">
        <v>10030026</v>
      </c>
      <c r="F11" s="8" t="s">
        <v>111</v>
      </c>
      <c r="G11" s="43">
        <v>4</v>
      </c>
      <c r="H11" s="44">
        <v>6.5100000000000007</v>
      </c>
      <c r="I11" s="45">
        <v>233.03481437010004</v>
      </c>
      <c r="J11" s="46">
        <v>0</v>
      </c>
      <c r="K11" s="46">
        <v>0</v>
      </c>
      <c r="L11" s="46">
        <v>0</v>
      </c>
      <c r="M11" s="44">
        <v>0</v>
      </c>
      <c r="N11" s="44">
        <v>0</v>
      </c>
      <c r="O11" s="46" t="s">
        <v>29</v>
      </c>
      <c r="P11" s="46">
        <v>233</v>
      </c>
      <c r="Q11" s="43" t="s">
        <v>28</v>
      </c>
      <c r="R11" s="8" t="s">
        <v>112</v>
      </c>
      <c r="S11" s="8" t="s">
        <v>113</v>
      </c>
      <c r="T11" s="8" t="s">
        <v>87</v>
      </c>
      <c r="U11" s="8" t="s">
        <v>93</v>
      </c>
      <c r="V11" s="8" t="s">
        <v>66</v>
      </c>
      <c r="W11" s="8" t="s">
        <v>31</v>
      </c>
    </row>
    <row r="12" spans="1:23" x14ac:dyDescent="0.25">
      <c r="A12" s="8" t="s">
        <v>114</v>
      </c>
      <c r="B12" s="8" t="s">
        <v>25</v>
      </c>
      <c r="C12" s="43" t="s">
        <v>25</v>
      </c>
      <c r="D12" s="8" t="s">
        <v>26</v>
      </c>
      <c r="E12" s="43">
        <v>10030026</v>
      </c>
      <c r="F12" s="8" t="s">
        <v>115</v>
      </c>
      <c r="G12" s="43">
        <v>4</v>
      </c>
      <c r="H12" s="44">
        <v>10.210000000000001</v>
      </c>
      <c r="I12" s="45">
        <v>376.73960784899998</v>
      </c>
      <c r="J12" s="46">
        <v>0</v>
      </c>
      <c r="K12" s="46">
        <v>0</v>
      </c>
      <c r="L12" s="46">
        <v>0</v>
      </c>
      <c r="M12" s="44">
        <v>0</v>
      </c>
      <c r="N12" s="44">
        <v>0</v>
      </c>
      <c r="O12" s="46" t="s">
        <v>29</v>
      </c>
      <c r="P12" s="46">
        <v>377</v>
      </c>
      <c r="Q12" s="43" t="s">
        <v>28</v>
      </c>
      <c r="R12" s="8" t="s">
        <v>116</v>
      </c>
      <c r="S12" s="8" t="s">
        <v>117</v>
      </c>
      <c r="T12" s="8" t="s">
        <v>87</v>
      </c>
      <c r="U12" s="8" t="s">
        <v>93</v>
      </c>
      <c r="V12" s="8" t="s">
        <v>66</v>
      </c>
      <c r="W12" s="8" t="s">
        <v>31</v>
      </c>
    </row>
    <row r="13" spans="1:23" x14ac:dyDescent="0.25">
      <c r="A13" s="8" t="s">
        <v>118</v>
      </c>
      <c r="B13" s="8" t="s">
        <v>25</v>
      </c>
      <c r="C13" s="43" t="s">
        <v>25</v>
      </c>
      <c r="D13" s="8" t="s">
        <v>26</v>
      </c>
      <c r="E13" s="43">
        <v>10030026</v>
      </c>
      <c r="F13" s="8" t="s">
        <v>119</v>
      </c>
      <c r="G13" s="43">
        <v>12</v>
      </c>
      <c r="H13" s="44">
        <v>25.229999999999997</v>
      </c>
      <c r="I13" s="45">
        <v>931.62227532945008</v>
      </c>
      <c r="J13" s="46">
        <v>0</v>
      </c>
      <c r="K13" s="46">
        <v>0</v>
      </c>
      <c r="L13" s="46">
        <v>0</v>
      </c>
      <c r="M13" s="44">
        <v>0</v>
      </c>
      <c r="N13" s="44">
        <v>0</v>
      </c>
      <c r="O13" s="46" t="s">
        <v>29</v>
      </c>
      <c r="P13" s="46">
        <v>932</v>
      </c>
      <c r="Q13" s="43" t="s">
        <v>28</v>
      </c>
      <c r="R13" s="8" t="s">
        <v>120</v>
      </c>
      <c r="S13" s="8" t="s">
        <v>121</v>
      </c>
      <c r="T13" s="8" t="s">
        <v>71</v>
      </c>
      <c r="U13" s="8" t="s">
        <v>65</v>
      </c>
      <c r="V13" s="8" t="s">
        <v>66</v>
      </c>
      <c r="W13" s="8" t="s">
        <v>31</v>
      </c>
    </row>
    <row r="14" spans="1:23" x14ac:dyDescent="0.25">
      <c r="A14" s="8" t="s">
        <v>122</v>
      </c>
      <c r="B14" s="8" t="s">
        <v>25</v>
      </c>
      <c r="C14" s="43" t="s">
        <v>25</v>
      </c>
      <c r="D14" s="8" t="s">
        <v>26</v>
      </c>
      <c r="E14" s="43">
        <v>10030026</v>
      </c>
      <c r="F14" s="8" t="s">
        <v>123</v>
      </c>
      <c r="G14" s="43">
        <v>7</v>
      </c>
      <c r="H14" s="44">
        <v>27.240000000000002</v>
      </c>
      <c r="I14" s="45">
        <v>1108.8301508700001</v>
      </c>
      <c r="J14" s="46">
        <v>0</v>
      </c>
      <c r="K14" s="46">
        <v>0</v>
      </c>
      <c r="L14" s="46">
        <v>0</v>
      </c>
      <c r="M14" s="44">
        <v>0</v>
      </c>
      <c r="N14" s="44">
        <v>0</v>
      </c>
      <c r="O14" s="46" t="s">
        <v>29</v>
      </c>
      <c r="P14" s="46">
        <v>1109</v>
      </c>
      <c r="Q14" s="43" t="s">
        <v>28</v>
      </c>
      <c r="R14" s="8" t="s">
        <v>124</v>
      </c>
      <c r="S14" s="8" t="s">
        <v>125</v>
      </c>
      <c r="T14" s="8" t="s">
        <v>71</v>
      </c>
      <c r="U14" s="8" t="s">
        <v>65</v>
      </c>
      <c r="V14" s="8" t="s">
        <v>66</v>
      </c>
      <c r="W14" s="8" t="s">
        <v>31</v>
      </c>
    </row>
    <row r="15" spans="1:23" x14ac:dyDescent="0.25">
      <c r="A15" s="8" t="s">
        <v>126</v>
      </c>
      <c r="B15" s="8" t="s">
        <v>25</v>
      </c>
      <c r="C15" s="43" t="s">
        <v>25</v>
      </c>
      <c r="D15" s="8" t="s">
        <v>26</v>
      </c>
      <c r="E15" s="43">
        <v>10030026</v>
      </c>
      <c r="F15" s="8" t="s">
        <v>127</v>
      </c>
      <c r="G15" s="43">
        <v>2</v>
      </c>
      <c r="H15" s="44">
        <v>2.06</v>
      </c>
      <c r="I15" s="45">
        <v>78.886283163000002</v>
      </c>
      <c r="J15" s="46">
        <v>0</v>
      </c>
      <c r="K15" s="46">
        <v>0</v>
      </c>
      <c r="L15" s="46">
        <v>0</v>
      </c>
      <c r="M15" s="44">
        <v>0</v>
      </c>
      <c r="N15" s="44">
        <v>0</v>
      </c>
      <c r="O15" s="46" t="s">
        <v>29</v>
      </c>
      <c r="P15" s="46">
        <v>79</v>
      </c>
      <c r="Q15" s="43" t="s">
        <v>28</v>
      </c>
      <c r="R15" s="8" t="s">
        <v>128</v>
      </c>
      <c r="S15" s="8" t="s">
        <v>129</v>
      </c>
      <c r="T15" s="8" t="s">
        <v>71</v>
      </c>
      <c r="U15" s="8" t="s">
        <v>65</v>
      </c>
      <c r="V15" s="8" t="s">
        <v>66</v>
      </c>
      <c r="W15" s="8" t="s">
        <v>31</v>
      </c>
    </row>
    <row r="16" spans="1:23" x14ac:dyDescent="0.25">
      <c r="A16" s="8" t="s">
        <v>130</v>
      </c>
      <c r="B16" s="8" t="s">
        <v>25</v>
      </c>
      <c r="C16" s="43" t="s">
        <v>25</v>
      </c>
      <c r="D16" s="8" t="s">
        <v>26</v>
      </c>
      <c r="E16" s="43">
        <v>10030026</v>
      </c>
      <c r="F16" s="8" t="s">
        <v>131</v>
      </c>
      <c r="G16" s="43">
        <v>2</v>
      </c>
      <c r="H16" s="44">
        <v>2.58</v>
      </c>
      <c r="I16" s="45">
        <v>118.18088913600002</v>
      </c>
      <c r="J16" s="46">
        <v>0</v>
      </c>
      <c r="K16" s="46">
        <v>0</v>
      </c>
      <c r="L16" s="46">
        <v>0</v>
      </c>
      <c r="M16" s="44">
        <v>0</v>
      </c>
      <c r="N16" s="44">
        <v>0</v>
      </c>
      <c r="O16" s="46" t="s">
        <v>29</v>
      </c>
      <c r="P16" s="46">
        <v>118</v>
      </c>
      <c r="Q16" s="43" t="s">
        <v>28</v>
      </c>
      <c r="R16" s="8" t="s">
        <v>132</v>
      </c>
      <c r="S16" s="8" t="s">
        <v>133</v>
      </c>
      <c r="T16" s="8" t="s">
        <v>134</v>
      </c>
      <c r="U16" s="8" t="s">
        <v>135</v>
      </c>
      <c r="V16" s="8" t="s">
        <v>66</v>
      </c>
      <c r="W16" s="8" t="s">
        <v>31</v>
      </c>
    </row>
    <row r="17" spans="1:23" x14ac:dyDescent="0.25">
      <c r="A17" s="8" t="s">
        <v>136</v>
      </c>
      <c r="B17" s="8" t="s">
        <v>25</v>
      </c>
      <c r="C17" s="43" t="s">
        <v>25</v>
      </c>
      <c r="D17" s="8" t="s">
        <v>26</v>
      </c>
      <c r="E17" s="43">
        <v>10030026</v>
      </c>
      <c r="F17" s="8" t="s">
        <v>137</v>
      </c>
      <c r="G17" s="43">
        <v>7</v>
      </c>
      <c r="H17" s="44">
        <v>23.880000000000003</v>
      </c>
      <c r="I17" s="45">
        <v>849.36491310480017</v>
      </c>
      <c r="J17" s="46">
        <v>0</v>
      </c>
      <c r="K17" s="46">
        <v>0</v>
      </c>
      <c r="L17" s="46">
        <v>0</v>
      </c>
      <c r="M17" s="44">
        <v>0</v>
      </c>
      <c r="N17" s="44">
        <v>0</v>
      </c>
      <c r="O17" s="46" t="s">
        <v>29</v>
      </c>
      <c r="P17" s="46">
        <v>849</v>
      </c>
      <c r="Q17" s="43" t="s">
        <v>28</v>
      </c>
      <c r="R17" s="8" t="s">
        <v>138</v>
      </c>
      <c r="S17" s="8" t="s">
        <v>139</v>
      </c>
      <c r="T17" s="8" t="s">
        <v>71</v>
      </c>
      <c r="U17" s="8" t="s">
        <v>65</v>
      </c>
      <c r="V17" s="8" t="s">
        <v>66</v>
      </c>
      <c r="W17" s="8" t="s">
        <v>31</v>
      </c>
    </row>
    <row r="18" spans="1:23" x14ac:dyDescent="0.25">
      <c r="A18" s="8" t="s">
        <v>140</v>
      </c>
      <c r="B18" s="8" t="s">
        <v>25</v>
      </c>
      <c r="C18" s="43" t="s">
        <v>25</v>
      </c>
      <c r="D18" s="8" t="s">
        <v>26</v>
      </c>
      <c r="E18" s="43">
        <v>10030026</v>
      </c>
      <c r="F18" s="8" t="s">
        <v>141</v>
      </c>
      <c r="G18" s="43">
        <v>9</v>
      </c>
      <c r="H18" s="44">
        <v>19.79</v>
      </c>
      <c r="I18" s="45">
        <v>672.67614199030004</v>
      </c>
      <c r="J18" s="46">
        <v>0</v>
      </c>
      <c r="K18" s="46">
        <v>0</v>
      </c>
      <c r="L18" s="46">
        <v>0</v>
      </c>
      <c r="M18" s="44">
        <v>0</v>
      </c>
      <c r="N18" s="44">
        <v>0</v>
      </c>
      <c r="O18" s="46" t="s">
        <v>29</v>
      </c>
      <c r="P18" s="46">
        <v>673</v>
      </c>
      <c r="Q18" s="43" t="s">
        <v>28</v>
      </c>
      <c r="R18" s="8" t="s">
        <v>142</v>
      </c>
      <c r="S18" s="8" t="s">
        <v>143</v>
      </c>
      <c r="T18" s="8" t="s">
        <v>87</v>
      </c>
      <c r="U18" s="8" t="s">
        <v>144</v>
      </c>
      <c r="V18" s="8" t="s">
        <v>66</v>
      </c>
      <c r="W18" s="8" t="s">
        <v>31</v>
      </c>
    </row>
    <row r="19" spans="1:23" x14ac:dyDescent="0.25">
      <c r="A19" s="8" t="s">
        <v>145</v>
      </c>
      <c r="B19" s="8" t="s">
        <v>25</v>
      </c>
      <c r="C19" s="43" t="s">
        <v>25</v>
      </c>
      <c r="D19" s="8" t="s">
        <v>26</v>
      </c>
      <c r="E19" s="43">
        <v>10030026</v>
      </c>
      <c r="F19" s="8" t="s">
        <v>146</v>
      </c>
      <c r="G19" s="43">
        <v>10</v>
      </c>
      <c r="H19" s="44">
        <v>13.559999999999999</v>
      </c>
      <c r="I19" s="45">
        <v>576.95436465990008</v>
      </c>
      <c r="J19" s="46">
        <v>0</v>
      </c>
      <c r="K19" s="46">
        <v>0</v>
      </c>
      <c r="L19" s="46">
        <v>0</v>
      </c>
      <c r="M19" s="44">
        <v>0</v>
      </c>
      <c r="N19" s="44">
        <v>0</v>
      </c>
      <c r="O19" s="46" t="s">
        <v>29</v>
      </c>
      <c r="P19" s="46">
        <v>577</v>
      </c>
      <c r="Q19" s="43" t="s">
        <v>28</v>
      </c>
      <c r="R19" s="8" t="s">
        <v>147</v>
      </c>
      <c r="S19" s="8" t="s">
        <v>148</v>
      </c>
      <c r="T19" s="8" t="s">
        <v>149</v>
      </c>
      <c r="U19" s="8" t="s">
        <v>77</v>
      </c>
      <c r="V19" s="8" t="s">
        <v>66</v>
      </c>
      <c r="W19" s="8" t="s">
        <v>31</v>
      </c>
    </row>
    <row r="20" spans="1:23" x14ac:dyDescent="0.25">
      <c r="A20" s="8" t="s">
        <v>150</v>
      </c>
      <c r="B20" s="8" t="s">
        <v>25</v>
      </c>
      <c r="C20" s="43" t="s">
        <v>25</v>
      </c>
      <c r="D20" s="8" t="s">
        <v>26</v>
      </c>
      <c r="E20" s="43">
        <v>10030026</v>
      </c>
      <c r="F20" s="8" t="s">
        <v>151</v>
      </c>
      <c r="G20" s="43">
        <v>6</v>
      </c>
      <c r="H20" s="44">
        <v>9.8000000000000007</v>
      </c>
      <c r="I20" s="45">
        <v>432.89057940229998</v>
      </c>
      <c r="J20" s="46">
        <v>0</v>
      </c>
      <c r="K20" s="46">
        <v>0</v>
      </c>
      <c r="L20" s="46">
        <v>0</v>
      </c>
      <c r="M20" s="44">
        <v>0</v>
      </c>
      <c r="N20" s="44">
        <v>0</v>
      </c>
      <c r="O20" s="46" t="s">
        <v>29</v>
      </c>
      <c r="P20" s="46">
        <v>433</v>
      </c>
      <c r="Q20" s="43" t="s">
        <v>28</v>
      </c>
      <c r="R20" s="8" t="s">
        <v>152</v>
      </c>
      <c r="S20" s="8" t="s">
        <v>153</v>
      </c>
      <c r="T20" s="8" t="s">
        <v>87</v>
      </c>
      <c r="U20" s="8" t="s">
        <v>144</v>
      </c>
      <c r="V20" s="8" t="s">
        <v>66</v>
      </c>
      <c r="W20" s="8" t="s">
        <v>31</v>
      </c>
    </row>
    <row r="21" spans="1:23" x14ac:dyDescent="0.25">
      <c r="A21" s="8" t="s">
        <v>154</v>
      </c>
      <c r="B21" s="8" t="s">
        <v>25</v>
      </c>
      <c r="C21" s="43" t="s">
        <v>25</v>
      </c>
      <c r="D21" s="8" t="s">
        <v>26</v>
      </c>
      <c r="E21" s="43">
        <v>10030026</v>
      </c>
      <c r="F21" s="8" t="s">
        <v>155</v>
      </c>
      <c r="G21" s="43">
        <v>6</v>
      </c>
      <c r="H21" s="44">
        <v>19.11</v>
      </c>
      <c r="I21" s="45">
        <v>772.2815584650001</v>
      </c>
      <c r="J21" s="46">
        <v>0</v>
      </c>
      <c r="K21" s="46">
        <v>0</v>
      </c>
      <c r="L21" s="46">
        <v>0</v>
      </c>
      <c r="M21" s="44">
        <v>0</v>
      </c>
      <c r="N21" s="44">
        <v>0</v>
      </c>
      <c r="O21" s="46" t="s">
        <v>29</v>
      </c>
      <c r="P21" s="46">
        <v>772</v>
      </c>
      <c r="Q21" s="43" t="s">
        <v>28</v>
      </c>
      <c r="R21" s="8" t="s">
        <v>156</v>
      </c>
      <c r="S21" s="8" t="s">
        <v>157</v>
      </c>
      <c r="T21" s="8" t="s">
        <v>158</v>
      </c>
      <c r="U21" s="8" t="s">
        <v>159</v>
      </c>
      <c r="V21" s="8" t="s">
        <v>66</v>
      </c>
      <c r="W21" s="8" t="s">
        <v>31</v>
      </c>
    </row>
    <row r="22" spans="1:23" x14ac:dyDescent="0.25">
      <c r="A22" s="8" t="s">
        <v>160</v>
      </c>
      <c r="B22" s="8" t="s">
        <v>25</v>
      </c>
      <c r="C22" s="43" t="s">
        <v>25</v>
      </c>
      <c r="D22" s="8" t="s">
        <v>26</v>
      </c>
      <c r="E22" s="43">
        <v>10030026</v>
      </c>
      <c r="F22" s="8" t="s">
        <v>161</v>
      </c>
      <c r="G22" s="43">
        <v>1</v>
      </c>
      <c r="H22" s="44">
        <v>2.0699999999999998</v>
      </c>
      <c r="I22" s="45">
        <v>74.265272413649996</v>
      </c>
      <c r="J22" s="46">
        <v>0</v>
      </c>
      <c r="K22" s="46">
        <v>0</v>
      </c>
      <c r="L22" s="46">
        <v>0</v>
      </c>
      <c r="M22" s="44">
        <v>0</v>
      </c>
      <c r="N22" s="44">
        <v>0</v>
      </c>
      <c r="O22" s="46" t="s">
        <v>29</v>
      </c>
      <c r="P22" s="46">
        <v>74</v>
      </c>
      <c r="Q22" s="43" t="s">
        <v>28</v>
      </c>
      <c r="R22" s="8" t="s">
        <v>162</v>
      </c>
      <c r="S22" s="8" t="s">
        <v>163</v>
      </c>
      <c r="T22" s="8" t="s">
        <v>71</v>
      </c>
      <c r="U22" s="8" t="s">
        <v>82</v>
      </c>
      <c r="V22" s="8" t="s">
        <v>66</v>
      </c>
      <c r="W22" s="8" t="s">
        <v>31</v>
      </c>
    </row>
    <row r="23" spans="1:23" x14ac:dyDescent="0.25">
      <c r="A23" s="8" t="s">
        <v>164</v>
      </c>
      <c r="B23" s="8" t="s">
        <v>32</v>
      </c>
      <c r="C23" s="43" t="s">
        <v>32</v>
      </c>
      <c r="D23" s="8" t="s">
        <v>33</v>
      </c>
      <c r="E23" s="43">
        <v>10140018</v>
      </c>
      <c r="F23" s="8" t="s">
        <v>61</v>
      </c>
      <c r="G23" s="43">
        <v>4</v>
      </c>
      <c r="H23" s="44">
        <v>21.599999999999998</v>
      </c>
      <c r="I23" s="44">
        <v>927.3080663592001</v>
      </c>
      <c r="J23" s="46">
        <v>0</v>
      </c>
      <c r="K23" s="46">
        <v>0</v>
      </c>
      <c r="L23" s="46">
        <v>927.3080663592001</v>
      </c>
      <c r="M23" s="44">
        <v>0</v>
      </c>
      <c r="N23" s="44">
        <v>0</v>
      </c>
      <c r="O23" s="46" t="s">
        <v>29</v>
      </c>
      <c r="P23" s="46">
        <v>0</v>
      </c>
      <c r="Q23" s="43" t="s">
        <v>28</v>
      </c>
      <c r="R23" s="8" t="s">
        <v>165</v>
      </c>
      <c r="S23" s="8" t="s">
        <v>166</v>
      </c>
      <c r="T23" s="8" t="s">
        <v>87</v>
      </c>
      <c r="U23" s="8" t="s">
        <v>167</v>
      </c>
      <c r="V23" s="8" t="s">
        <v>66</v>
      </c>
      <c r="W23" s="8" t="s">
        <v>31</v>
      </c>
    </row>
    <row r="24" spans="1:23" x14ac:dyDescent="0.25">
      <c r="A24" s="8" t="s">
        <v>168</v>
      </c>
      <c r="B24" s="8" t="s">
        <v>32</v>
      </c>
      <c r="C24" s="43" t="s">
        <v>32</v>
      </c>
      <c r="D24" s="8" t="s">
        <v>33</v>
      </c>
      <c r="E24" s="43">
        <v>10140018</v>
      </c>
      <c r="F24" s="8" t="s">
        <v>169</v>
      </c>
      <c r="G24" s="43">
        <v>14</v>
      </c>
      <c r="H24" s="44">
        <v>29.8</v>
      </c>
      <c r="I24" s="44">
        <v>2076.2243974515</v>
      </c>
      <c r="J24" s="46">
        <v>0</v>
      </c>
      <c r="K24" s="46">
        <v>0</v>
      </c>
      <c r="L24" s="46">
        <v>1864</v>
      </c>
      <c r="M24" s="44">
        <v>0</v>
      </c>
      <c r="N24" s="44">
        <v>0</v>
      </c>
      <c r="O24" s="46" t="s">
        <v>29</v>
      </c>
      <c r="P24" s="46">
        <v>212</v>
      </c>
      <c r="Q24" s="43" t="s">
        <v>28</v>
      </c>
      <c r="R24" s="8" t="s">
        <v>170</v>
      </c>
      <c r="S24" s="8" t="s">
        <v>171</v>
      </c>
      <c r="T24" s="8" t="s">
        <v>87</v>
      </c>
      <c r="U24" s="8" t="s">
        <v>172</v>
      </c>
      <c r="V24" s="8" t="s">
        <v>66</v>
      </c>
      <c r="W24" s="8" t="s">
        <v>31</v>
      </c>
    </row>
    <row r="25" spans="1:23" x14ac:dyDescent="0.25">
      <c r="A25" s="8" t="s">
        <v>173</v>
      </c>
      <c r="B25" s="8" t="s">
        <v>32</v>
      </c>
      <c r="C25" s="43" t="s">
        <v>32</v>
      </c>
      <c r="D25" s="8" t="s">
        <v>33</v>
      </c>
      <c r="E25" s="43">
        <v>10140018</v>
      </c>
      <c r="F25" s="8" t="s">
        <v>174</v>
      </c>
      <c r="G25" s="43">
        <v>14</v>
      </c>
      <c r="H25" s="44">
        <v>27.200000000000003</v>
      </c>
      <c r="I25" s="44">
        <v>1927.7654504541001</v>
      </c>
      <c r="J25" s="46">
        <v>0</v>
      </c>
      <c r="K25" s="46">
        <v>0</v>
      </c>
      <c r="L25" s="46">
        <v>0</v>
      </c>
      <c r="M25" s="44">
        <v>0</v>
      </c>
      <c r="N25" s="44">
        <v>0</v>
      </c>
      <c r="O25" s="46" t="s">
        <v>29</v>
      </c>
      <c r="P25" s="46">
        <v>1928</v>
      </c>
      <c r="Q25" s="43" t="s">
        <v>28</v>
      </c>
      <c r="R25" s="8">
        <v>0</v>
      </c>
      <c r="S25" s="8">
        <v>0</v>
      </c>
      <c r="T25" s="8">
        <v>0</v>
      </c>
      <c r="U25" s="8">
        <v>0</v>
      </c>
      <c r="V25" s="8" t="s">
        <v>175</v>
      </c>
      <c r="W25" s="8" t="s">
        <v>31</v>
      </c>
    </row>
    <row r="26" spans="1:23" x14ac:dyDescent="0.25">
      <c r="A26" s="8" t="s">
        <v>176</v>
      </c>
      <c r="B26" s="8" t="s">
        <v>32</v>
      </c>
      <c r="C26" s="43" t="s">
        <v>32</v>
      </c>
      <c r="D26" s="8" t="s">
        <v>33</v>
      </c>
      <c r="E26" s="43">
        <v>10140018</v>
      </c>
      <c r="F26" s="8" t="s">
        <v>177</v>
      </c>
      <c r="G26" s="43">
        <v>14</v>
      </c>
      <c r="H26" s="44">
        <v>39.200000000000003</v>
      </c>
      <c r="I26" s="44">
        <v>2641.4906785098001</v>
      </c>
      <c r="J26" s="46">
        <v>0</v>
      </c>
      <c r="K26" s="46">
        <v>0</v>
      </c>
      <c r="L26" s="46">
        <v>0</v>
      </c>
      <c r="M26" s="44">
        <v>0</v>
      </c>
      <c r="N26" s="44">
        <v>0</v>
      </c>
      <c r="O26" s="46" t="s">
        <v>29</v>
      </c>
      <c r="P26" s="46">
        <v>2641</v>
      </c>
      <c r="Q26" s="43" t="s">
        <v>28</v>
      </c>
      <c r="R26" s="8">
        <v>0</v>
      </c>
      <c r="S26" s="8">
        <v>0</v>
      </c>
      <c r="T26" s="8">
        <v>0</v>
      </c>
      <c r="U26" s="8">
        <v>0</v>
      </c>
      <c r="V26" s="8" t="s">
        <v>175</v>
      </c>
      <c r="W26" s="8" t="s">
        <v>31</v>
      </c>
    </row>
    <row r="27" spans="1:23" x14ac:dyDescent="0.25">
      <c r="A27" s="8" t="s">
        <v>178</v>
      </c>
      <c r="B27" s="8" t="s">
        <v>32</v>
      </c>
      <c r="C27" s="43" t="s">
        <v>32</v>
      </c>
      <c r="D27" s="8" t="s">
        <v>33</v>
      </c>
      <c r="E27" s="43">
        <v>10140018</v>
      </c>
      <c r="F27" s="8" t="s">
        <v>179</v>
      </c>
      <c r="G27" s="43">
        <v>14</v>
      </c>
      <c r="H27" s="44">
        <v>32.9</v>
      </c>
      <c r="I27" s="44">
        <v>2206.1084556676001</v>
      </c>
      <c r="J27" s="46">
        <v>0</v>
      </c>
      <c r="K27" s="46">
        <v>0</v>
      </c>
      <c r="L27" s="46">
        <v>0</v>
      </c>
      <c r="M27" s="44">
        <v>0</v>
      </c>
      <c r="N27" s="44">
        <v>0</v>
      </c>
      <c r="O27" s="46" t="s">
        <v>29</v>
      </c>
      <c r="P27" s="46">
        <v>2206</v>
      </c>
      <c r="Q27" s="43" t="s">
        <v>28</v>
      </c>
      <c r="R27" s="8">
        <v>0</v>
      </c>
      <c r="S27" s="8">
        <v>0</v>
      </c>
      <c r="T27" s="8">
        <v>0</v>
      </c>
      <c r="U27" s="8">
        <v>0</v>
      </c>
      <c r="V27" s="8" t="s">
        <v>175</v>
      </c>
      <c r="W27" s="8" t="s">
        <v>31</v>
      </c>
    </row>
    <row r="28" spans="1:23" x14ac:dyDescent="0.25">
      <c r="A28" s="8" t="s">
        <v>180</v>
      </c>
      <c r="B28" s="8" t="s">
        <v>32</v>
      </c>
      <c r="C28" s="43" t="s">
        <v>32</v>
      </c>
      <c r="D28" s="8" t="s">
        <v>33</v>
      </c>
      <c r="E28" s="43">
        <v>10140018</v>
      </c>
      <c r="F28" s="8" t="s">
        <v>181</v>
      </c>
      <c r="G28" s="43">
        <v>11</v>
      </c>
      <c r="H28" s="44">
        <v>26.4</v>
      </c>
      <c r="I28" s="44">
        <v>1966.5466259772002</v>
      </c>
      <c r="J28" s="46">
        <v>0</v>
      </c>
      <c r="K28" s="46">
        <v>0</v>
      </c>
      <c r="L28" s="46">
        <v>0</v>
      </c>
      <c r="M28" s="44">
        <v>0</v>
      </c>
      <c r="N28" s="44">
        <v>0</v>
      </c>
      <c r="O28" s="46" t="s">
        <v>29</v>
      </c>
      <c r="P28" s="46">
        <v>1967</v>
      </c>
      <c r="Q28" s="43" t="s">
        <v>28</v>
      </c>
      <c r="R28" s="8">
        <v>0</v>
      </c>
      <c r="S28" s="8">
        <v>0</v>
      </c>
      <c r="T28" s="8">
        <v>0</v>
      </c>
      <c r="U28" s="8">
        <v>0</v>
      </c>
      <c r="V28" s="8" t="s">
        <v>175</v>
      </c>
      <c r="W28" s="8" t="s">
        <v>31</v>
      </c>
    </row>
    <row r="29" spans="1:23" x14ac:dyDescent="0.25">
      <c r="A29" s="8" t="s">
        <v>182</v>
      </c>
      <c r="B29" s="8" t="s">
        <v>32</v>
      </c>
      <c r="C29" s="43" t="s">
        <v>32</v>
      </c>
      <c r="D29" s="8" t="s">
        <v>33</v>
      </c>
      <c r="E29" s="43">
        <v>10140018</v>
      </c>
      <c r="F29" s="8" t="s">
        <v>183</v>
      </c>
      <c r="G29" s="43">
        <v>8</v>
      </c>
      <c r="H29" s="44">
        <v>14.600000000000001</v>
      </c>
      <c r="I29" s="44">
        <v>1166.0233860617998</v>
      </c>
      <c r="J29" s="46">
        <v>0</v>
      </c>
      <c r="K29" s="46">
        <v>0</v>
      </c>
      <c r="L29" s="46">
        <v>0</v>
      </c>
      <c r="M29" s="44">
        <v>0</v>
      </c>
      <c r="N29" s="44">
        <v>0</v>
      </c>
      <c r="O29" s="46" t="s">
        <v>29</v>
      </c>
      <c r="P29" s="46">
        <v>1166</v>
      </c>
      <c r="Q29" s="43" t="s">
        <v>28</v>
      </c>
      <c r="R29" s="8">
        <v>0</v>
      </c>
      <c r="S29" s="8">
        <v>0</v>
      </c>
      <c r="T29" s="8">
        <v>0</v>
      </c>
      <c r="U29" s="8">
        <v>0</v>
      </c>
      <c r="V29" s="8" t="s">
        <v>175</v>
      </c>
      <c r="W29" s="8" t="s">
        <v>31</v>
      </c>
    </row>
    <row r="30" spans="1:23" x14ac:dyDescent="0.25">
      <c r="A30" s="8" t="s">
        <v>184</v>
      </c>
      <c r="B30" s="8" t="s">
        <v>32</v>
      </c>
      <c r="C30" s="43" t="s">
        <v>32</v>
      </c>
      <c r="D30" s="8" t="s">
        <v>33</v>
      </c>
      <c r="E30" s="43">
        <v>10140018</v>
      </c>
      <c r="F30" s="8" t="s">
        <v>185</v>
      </c>
      <c r="G30" s="43">
        <v>2</v>
      </c>
      <c r="H30" s="44">
        <v>4</v>
      </c>
      <c r="I30" s="44">
        <v>279.85252418480002</v>
      </c>
      <c r="J30" s="46">
        <v>0</v>
      </c>
      <c r="K30" s="46">
        <v>0</v>
      </c>
      <c r="L30" s="46">
        <v>0</v>
      </c>
      <c r="M30" s="44">
        <v>0</v>
      </c>
      <c r="N30" s="44">
        <v>0</v>
      </c>
      <c r="O30" s="46" t="s">
        <v>29</v>
      </c>
      <c r="P30" s="46">
        <v>280</v>
      </c>
      <c r="Q30" s="43" t="s">
        <v>28</v>
      </c>
      <c r="R30" s="8">
        <v>0</v>
      </c>
      <c r="S30" s="8">
        <v>0</v>
      </c>
      <c r="T30" s="8">
        <v>0</v>
      </c>
      <c r="U30" s="8">
        <v>0</v>
      </c>
      <c r="V30" s="8" t="s">
        <v>175</v>
      </c>
      <c r="W30" s="8" t="s">
        <v>31</v>
      </c>
    </row>
    <row r="31" spans="1:23" x14ac:dyDescent="0.25">
      <c r="A31" s="8" t="s">
        <v>186</v>
      </c>
      <c r="B31" s="8" t="s">
        <v>32</v>
      </c>
      <c r="C31" s="43" t="s">
        <v>32</v>
      </c>
      <c r="D31" s="8" t="s">
        <v>33</v>
      </c>
      <c r="E31" s="43">
        <v>10140018</v>
      </c>
      <c r="F31" s="8" t="s">
        <v>187</v>
      </c>
      <c r="G31" s="43">
        <v>1</v>
      </c>
      <c r="H31" s="44">
        <v>0.9</v>
      </c>
      <c r="I31" s="44">
        <v>75.281911347599987</v>
      </c>
      <c r="J31" s="46">
        <v>0</v>
      </c>
      <c r="K31" s="46">
        <v>0</v>
      </c>
      <c r="L31" s="46">
        <v>0</v>
      </c>
      <c r="M31" s="44">
        <v>0</v>
      </c>
      <c r="N31" s="44">
        <v>0</v>
      </c>
      <c r="O31" s="46" t="s">
        <v>29</v>
      </c>
      <c r="P31" s="46">
        <v>75</v>
      </c>
      <c r="Q31" s="43" t="s">
        <v>28</v>
      </c>
      <c r="R31" s="8">
        <v>0</v>
      </c>
      <c r="S31" s="8">
        <v>0</v>
      </c>
      <c r="T31" s="8">
        <v>0</v>
      </c>
      <c r="U31" s="8">
        <v>0</v>
      </c>
      <c r="V31" s="8" t="s">
        <v>175</v>
      </c>
      <c r="W31" s="8" t="s">
        <v>31</v>
      </c>
    </row>
    <row r="32" spans="1:23" x14ac:dyDescent="0.25">
      <c r="A32" s="8" t="s">
        <v>188</v>
      </c>
      <c r="B32" s="8" t="s">
        <v>32</v>
      </c>
      <c r="C32" s="43" t="s">
        <v>32</v>
      </c>
      <c r="D32" s="8" t="s">
        <v>35</v>
      </c>
      <c r="E32" s="43">
        <v>10140047</v>
      </c>
      <c r="F32" s="8" t="s">
        <v>189</v>
      </c>
      <c r="G32" s="43">
        <v>3</v>
      </c>
      <c r="H32" s="44">
        <v>0.62</v>
      </c>
      <c r="I32" s="44">
        <v>21.770841918000002</v>
      </c>
      <c r="J32" s="46">
        <v>0</v>
      </c>
      <c r="K32" s="47">
        <v>21.770841918000002</v>
      </c>
      <c r="L32" s="46">
        <v>0</v>
      </c>
      <c r="M32" s="44">
        <v>0</v>
      </c>
      <c r="N32" s="44">
        <v>0</v>
      </c>
      <c r="O32" s="46" t="s">
        <v>29</v>
      </c>
      <c r="P32" s="46">
        <v>0</v>
      </c>
      <c r="Q32" s="43" t="s">
        <v>28</v>
      </c>
      <c r="R32" s="8">
        <v>0</v>
      </c>
      <c r="S32" s="8">
        <v>0</v>
      </c>
      <c r="T32" s="8">
        <v>0</v>
      </c>
      <c r="U32" s="8">
        <v>0</v>
      </c>
      <c r="V32" s="8" t="s">
        <v>175</v>
      </c>
      <c r="W32" s="8" t="s">
        <v>31</v>
      </c>
    </row>
    <row r="33" spans="1:23" x14ac:dyDescent="0.25">
      <c r="A33" s="8" t="s">
        <v>190</v>
      </c>
      <c r="B33" s="8" t="s">
        <v>32</v>
      </c>
      <c r="C33" s="43" t="s">
        <v>32</v>
      </c>
      <c r="D33" s="8" t="s">
        <v>35</v>
      </c>
      <c r="E33" s="43">
        <v>10140047</v>
      </c>
      <c r="F33" s="8" t="s">
        <v>61</v>
      </c>
      <c r="G33" s="43">
        <v>3</v>
      </c>
      <c r="H33" s="44">
        <v>43.25</v>
      </c>
      <c r="I33" s="44">
        <v>1510.5844998903001</v>
      </c>
      <c r="J33" s="46">
        <v>0</v>
      </c>
      <c r="K33" s="46">
        <v>0</v>
      </c>
      <c r="L33" s="46">
        <v>1510.5844998903001</v>
      </c>
      <c r="M33" s="44">
        <v>0</v>
      </c>
      <c r="N33" s="44">
        <v>0</v>
      </c>
      <c r="O33" s="46" t="s">
        <v>29</v>
      </c>
      <c r="P33" s="46">
        <v>0</v>
      </c>
      <c r="Q33" s="43" t="s">
        <v>28</v>
      </c>
      <c r="R33" s="8" t="s">
        <v>191</v>
      </c>
      <c r="S33" s="8" t="s">
        <v>192</v>
      </c>
      <c r="T33" s="8" t="s">
        <v>193</v>
      </c>
      <c r="U33" s="8" t="s">
        <v>65</v>
      </c>
      <c r="V33" s="8" t="s">
        <v>66</v>
      </c>
      <c r="W33" s="8" t="s">
        <v>31</v>
      </c>
    </row>
    <row r="34" spans="1:23" x14ac:dyDescent="0.25">
      <c r="A34" s="8" t="s">
        <v>194</v>
      </c>
      <c r="B34" s="8" t="s">
        <v>32</v>
      </c>
      <c r="C34" s="43" t="s">
        <v>32</v>
      </c>
      <c r="D34" s="8" t="s">
        <v>35</v>
      </c>
      <c r="E34" s="43">
        <v>10140047</v>
      </c>
      <c r="F34" s="8" t="s">
        <v>195</v>
      </c>
      <c r="G34" s="43">
        <v>6</v>
      </c>
      <c r="H34" s="44">
        <v>14.530000000000001</v>
      </c>
      <c r="I34" s="44">
        <v>589.23643191899998</v>
      </c>
      <c r="J34" s="46">
        <v>0</v>
      </c>
      <c r="K34" s="46">
        <v>0</v>
      </c>
      <c r="L34" s="46">
        <v>0</v>
      </c>
      <c r="M34" s="44">
        <v>0</v>
      </c>
      <c r="N34" s="44">
        <v>0</v>
      </c>
      <c r="O34" s="46" t="s">
        <v>29</v>
      </c>
      <c r="P34" s="46">
        <v>589</v>
      </c>
      <c r="Q34" s="43" t="s">
        <v>28</v>
      </c>
      <c r="R34" s="8" t="s">
        <v>196</v>
      </c>
      <c r="S34" s="8" t="s">
        <v>197</v>
      </c>
      <c r="T34" s="8" t="s">
        <v>198</v>
      </c>
      <c r="U34" s="8" t="s">
        <v>103</v>
      </c>
      <c r="V34" s="8" t="s">
        <v>66</v>
      </c>
      <c r="W34" s="8" t="s">
        <v>31</v>
      </c>
    </row>
    <row r="35" spans="1:23" x14ac:dyDescent="0.25">
      <c r="A35" s="8" t="s">
        <v>199</v>
      </c>
      <c r="B35" s="8" t="s">
        <v>32</v>
      </c>
      <c r="C35" s="43" t="s">
        <v>32</v>
      </c>
      <c r="D35" s="8" t="s">
        <v>35</v>
      </c>
      <c r="E35" s="43">
        <v>10140047</v>
      </c>
      <c r="F35" s="8" t="s">
        <v>200</v>
      </c>
      <c r="G35" s="43">
        <v>3</v>
      </c>
      <c r="H35" s="44">
        <v>23.47</v>
      </c>
      <c r="I35" s="44">
        <v>823.16312970465015</v>
      </c>
      <c r="J35" s="46">
        <v>0</v>
      </c>
      <c r="K35" s="46">
        <v>0</v>
      </c>
      <c r="L35" s="46">
        <v>0</v>
      </c>
      <c r="M35" s="44">
        <v>0</v>
      </c>
      <c r="N35" s="44">
        <v>0</v>
      </c>
      <c r="O35" s="46" t="s">
        <v>29</v>
      </c>
      <c r="P35" s="46">
        <v>823</v>
      </c>
      <c r="Q35" s="43" t="s">
        <v>28</v>
      </c>
      <c r="R35" s="8" t="s">
        <v>201</v>
      </c>
      <c r="S35" s="8" t="s">
        <v>202</v>
      </c>
      <c r="T35" s="8" t="s">
        <v>203</v>
      </c>
      <c r="U35" s="8" t="s">
        <v>103</v>
      </c>
      <c r="V35" s="8" t="s">
        <v>66</v>
      </c>
      <c r="W35" s="8" t="s">
        <v>31</v>
      </c>
    </row>
    <row r="36" spans="1:23" x14ac:dyDescent="0.25">
      <c r="A36" s="8" t="s">
        <v>204</v>
      </c>
      <c r="B36" s="8" t="s">
        <v>32</v>
      </c>
      <c r="C36" s="43" t="s">
        <v>32</v>
      </c>
      <c r="D36" s="8" t="s">
        <v>35</v>
      </c>
      <c r="E36" s="43">
        <v>10140047</v>
      </c>
      <c r="F36" s="8" t="s">
        <v>95</v>
      </c>
      <c r="G36" s="43">
        <v>6</v>
      </c>
      <c r="H36" s="44">
        <v>31.43</v>
      </c>
      <c r="I36" s="44">
        <v>1746.3238105569199</v>
      </c>
      <c r="J36" s="46">
        <v>0</v>
      </c>
      <c r="K36" s="46">
        <v>0</v>
      </c>
      <c r="L36" s="46">
        <v>530</v>
      </c>
      <c r="M36" s="44">
        <v>0</v>
      </c>
      <c r="N36" s="44">
        <v>0</v>
      </c>
      <c r="O36" s="46" t="s">
        <v>29</v>
      </c>
      <c r="P36" s="46">
        <v>1216</v>
      </c>
      <c r="Q36" s="43" t="s">
        <v>28</v>
      </c>
      <c r="R36" s="8" t="s">
        <v>205</v>
      </c>
      <c r="S36" s="8" t="s">
        <v>206</v>
      </c>
      <c r="T36" s="8" t="s">
        <v>207</v>
      </c>
      <c r="U36" s="8" t="s">
        <v>208</v>
      </c>
      <c r="V36" s="8" t="s">
        <v>66</v>
      </c>
      <c r="W36" s="8" t="s">
        <v>31</v>
      </c>
    </row>
    <row r="37" spans="1:23" x14ac:dyDescent="0.25">
      <c r="A37" s="8" t="s">
        <v>209</v>
      </c>
      <c r="B37" s="8" t="s">
        <v>32</v>
      </c>
      <c r="C37" s="43" t="s">
        <v>32</v>
      </c>
      <c r="D37" s="8" t="s">
        <v>36</v>
      </c>
      <c r="E37" s="43">
        <v>10140055</v>
      </c>
      <c r="F37" s="8" t="s">
        <v>61</v>
      </c>
      <c r="G37" s="43">
        <v>1</v>
      </c>
      <c r="H37" s="44">
        <v>14.5</v>
      </c>
      <c r="I37" s="44">
        <v>564.35612400000014</v>
      </c>
      <c r="J37" s="46">
        <v>0</v>
      </c>
      <c r="K37" s="46">
        <v>0</v>
      </c>
      <c r="L37" s="46">
        <v>0</v>
      </c>
      <c r="M37" s="44">
        <v>564</v>
      </c>
      <c r="N37" s="44">
        <v>0</v>
      </c>
      <c r="O37" s="46" t="s">
        <v>29</v>
      </c>
      <c r="P37" s="46">
        <v>0</v>
      </c>
      <c r="Q37" s="43" t="s">
        <v>28</v>
      </c>
      <c r="R37" s="8" t="s">
        <v>210</v>
      </c>
      <c r="S37" s="8" t="s">
        <v>211</v>
      </c>
      <c r="T37" s="8" t="s">
        <v>212</v>
      </c>
      <c r="U37" s="8" t="s">
        <v>213</v>
      </c>
      <c r="V37" s="8" t="s">
        <v>66</v>
      </c>
      <c r="W37" s="8" t="s">
        <v>31</v>
      </c>
    </row>
    <row r="38" spans="1:23" x14ac:dyDescent="0.25">
      <c r="A38" s="8" t="s">
        <v>214</v>
      </c>
      <c r="B38" s="8" t="s">
        <v>32</v>
      </c>
      <c r="C38" s="43" t="s">
        <v>32</v>
      </c>
      <c r="D38" s="8" t="s">
        <v>37</v>
      </c>
      <c r="E38" s="43">
        <v>10140099</v>
      </c>
      <c r="F38" s="8" t="s">
        <v>61</v>
      </c>
      <c r="G38" s="43">
        <v>2</v>
      </c>
      <c r="H38" s="44">
        <v>7.83</v>
      </c>
      <c r="I38" s="44">
        <v>315.17301521684999</v>
      </c>
      <c r="J38" s="46">
        <v>0</v>
      </c>
      <c r="K38" s="46">
        <v>0</v>
      </c>
      <c r="L38" s="46">
        <v>315.17301521684999</v>
      </c>
      <c r="M38" s="44">
        <v>0</v>
      </c>
      <c r="N38" s="44">
        <v>0</v>
      </c>
      <c r="O38" s="46" t="s">
        <v>29</v>
      </c>
      <c r="P38" s="46">
        <v>0</v>
      </c>
      <c r="Q38" s="43" t="s">
        <v>28</v>
      </c>
      <c r="R38" s="8" t="s">
        <v>215</v>
      </c>
      <c r="S38" s="8" t="s">
        <v>216</v>
      </c>
      <c r="T38" s="8" t="s">
        <v>87</v>
      </c>
      <c r="U38" s="8" t="s">
        <v>217</v>
      </c>
      <c r="V38" s="8" t="s">
        <v>66</v>
      </c>
      <c r="W38" s="8" t="s">
        <v>31</v>
      </c>
    </row>
    <row r="39" spans="1:23" x14ac:dyDescent="0.25">
      <c r="A39" s="8" t="s">
        <v>218</v>
      </c>
      <c r="B39" s="8" t="s">
        <v>32</v>
      </c>
      <c r="C39" s="43" t="s">
        <v>32</v>
      </c>
      <c r="D39" s="8" t="s">
        <v>37</v>
      </c>
      <c r="E39" s="43">
        <v>10140099</v>
      </c>
      <c r="F39" s="8" t="s">
        <v>219</v>
      </c>
      <c r="G39" s="43">
        <v>4</v>
      </c>
      <c r="H39" s="44">
        <v>8.74</v>
      </c>
      <c r="I39" s="44">
        <v>282.91718824500003</v>
      </c>
      <c r="J39" s="46">
        <v>0</v>
      </c>
      <c r="K39" s="46">
        <v>0</v>
      </c>
      <c r="L39" s="46">
        <v>0</v>
      </c>
      <c r="M39" s="44">
        <v>0</v>
      </c>
      <c r="N39" s="44">
        <v>0</v>
      </c>
      <c r="O39" s="46" t="s">
        <v>29</v>
      </c>
      <c r="P39" s="46">
        <v>283</v>
      </c>
      <c r="Q39" s="43" t="s">
        <v>28</v>
      </c>
      <c r="R39" s="8" t="s">
        <v>220</v>
      </c>
      <c r="S39" s="8" t="s">
        <v>221</v>
      </c>
      <c r="T39" s="8" t="s">
        <v>193</v>
      </c>
      <c r="U39" s="8" t="s">
        <v>65</v>
      </c>
      <c r="V39" s="8" t="s">
        <v>66</v>
      </c>
      <c r="W39" s="8" t="s">
        <v>31</v>
      </c>
    </row>
    <row r="40" spans="1:23" x14ac:dyDescent="0.25">
      <c r="A40" s="8" t="s">
        <v>222</v>
      </c>
      <c r="B40" s="8" t="s">
        <v>32</v>
      </c>
      <c r="C40" s="43" t="s">
        <v>32</v>
      </c>
      <c r="D40" s="8" t="s">
        <v>37</v>
      </c>
      <c r="E40" s="43">
        <v>10140099</v>
      </c>
      <c r="F40" s="8" t="s">
        <v>223</v>
      </c>
      <c r="G40" s="43">
        <v>5</v>
      </c>
      <c r="H40" s="44">
        <v>17.21</v>
      </c>
      <c r="I40" s="44">
        <v>603.23741264594992</v>
      </c>
      <c r="J40" s="46">
        <v>0</v>
      </c>
      <c r="K40" s="46">
        <v>0</v>
      </c>
      <c r="L40" s="46">
        <v>0</v>
      </c>
      <c r="M40" s="44">
        <v>0</v>
      </c>
      <c r="N40" s="44">
        <v>0</v>
      </c>
      <c r="O40" s="46" t="s">
        <v>29</v>
      </c>
      <c r="P40" s="46">
        <v>603</v>
      </c>
      <c r="Q40" s="43" t="s">
        <v>28</v>
      </c>
      <c r="R40" s="8" t="s">
        <v>224</v>
      </c>
      <c r="S40" s="8" t="s">
        <v>225</v>
      </c>
      <c r="T40" s="8" t="s">
        <v>193</v>
      </c>
      <c r="U40" s="8" t="s">
        <v>65</v>
      </c>
      <c r="V40" s="8" t="s">
        <v>66</v>
      </c>
      <c r="W40" s="8" t="s">
        <v>31</v>
      </c>
    </row>
    <row r="41" spans="1:23" x14ac:dyDescent="0.25">
      <c r="A41" s="8" t="s">
        <v>226</v>
      </c>
      <c r="B41" s="8" t="s">
        <v>32</v>
      </c>
      <c r="C41" s="43" t="s">
        <v>32</v>
      </c>
      <c r="D41" s="8" t="s">
        <v>37</v>
      </c>
      <c r="E41" s="43">
        <v>10140099</v>
      </c>
      <c r="F41" s="8" t="s">
        <v>227</v>
      </c>
      <c r="G41" s="43">
        <v>7</v>
      </c>
      <c r="H41" s="44">
        <v>29.84</v>
      </c>
      <c r="I41" s="44">
        <v>1305.0334251029999</v>
      </c>
      <c r="J41" s="46">
        <v>0</v>
      </c>
      <c r="K41" s="46">
        <v>0</v>
      </c>
      <c r="L41" s="46">
        <v>0</v>
      </c>
      <c r="M41" s="44">
        <v>0</v>
      </c>
      <c r="N41" s="44">
        <v>0</v>
      </c>
      <c r="O41" s="46" t="s">
        <v>29</v>
      </c>
      <c r="P41" s="46">
        <v>1305</v>
      </c>
      <c r="Q41" s="43" t="s">
        <v>28</v>
      </c>
      <c r="R41" s="8" t="s">
        <v>228</v>
      </c>
      <c r="S41" s="8" t="s">
        <v>229</v>
      </c>
      <c r="T41" s="8" t="s">
        <v>193</v>
      </c>
      <c r="U41" s="8" t="s">
        <v>65</v>
      </c>
      <c r="V41" s="8" t="s">
        <v>66</v>
      </c>
      <c r="W41" s="8" t="s">
        <v>31</v>
      </c>
    </row>
    <row r="42" spans="1:23" x14ac:dyDescent="0.25">
      <c r="A42" s="8" t="s">
        <v>230</v>
      </c>
      <c r="B42" s="8" t="s">
        <v>32</v>
      </c>
      <c r="C42" s="43" t="s">
        <v>32</v>
      </c>
      <c r="D42" s="8" t="s">
        <v>37</v>
      </c>
      <c r="E42" s="43">
        <v>10140099</v>
      </c>
      <c r="F42" s="8" t="s">
        <v>231</v>
      </c>
      <c r="G42" s="43">
        <v>7</v>
      </c>
      <c r="H42" s="44">
        <v>17.919999999999998</v>
      </c>
      <c r="I42" s="44">
        <v>696.66899209860003</v>
      </c>
      <c r="J42" s="46">
        <v>0</v>
      </c>
      <c r="K42" s="46">
        <v>0</v>
      </c>
      <c r="L42" s="46">
        <v>0</v>
      </c>
      <c r="M42" s="44">
        <v>0</v>
      </c>
      <c r="N42" s="44">
        <v>0</v>
      </c>
      <c r="O42" s="46" t="s">
        <v>29</v>
      </c>
      <c r="P42" s="46">
        <v>697</v>
      </c>
      <c r="Q42" s="43" t="s">
        <v>28</v>
      </c>
      <c r="R42" s="8" t="s">
        <v>232</v>
      </c>
      <c r="S42" s="8" t="s">
        <v>233</v>
      </c>
      <c r="T42" s="8" t="s">
        <v>212</v>
      </c>
      <c r="U42" s="8" t="s">
        <v>234</v>
      </c>
      <c r="V42" s="8" t="s">
        <v>66</v>
      </c>
      <c r="W42" s="8" t="s">
        <v>31</v>
      </c>
    </row>
    <row r="43" spans="1:23" x14ac:dyDescent="0.25">
      <c r="A43" s="8" t="s">
        <v>235</v>
      </c>
      <c r="B43" s="8" t="s">
        <v>32</v>
      </c>
      <c r="C43" s="43" t="s">
        <v>32</v>
      </c>
      <c r="D43" s="8" t="s">
        <v>39</v>
      </c>
      <c r="E43" s="43">
        <v>10140120</v>
      </c>
      <c r="F43" s="8" t="s">
        <v>189</v>
      </c>
      <c r="G43" s="43">
        <v>14</v>
      </c>
      <c r="H43" s="44">
        <v>9.2100000000000009</v>
      </c>
      <c r="I43" s="44">
        <v>360.51727706669999</v>
      </c>
      <c r="J43" s="46">
        <v>0</v>
      </c>
      <c r="K43" s="47">
        <v>360.51727706669999</v>
      </c>
      <c r="L43" s="46">
        <v>0</v>
      </c>
      <c r="M43" s="44">
        <v>0</v>
      </c>
      <c r="N43" s="44">
        <v>0</v>
      </c>
      <c r="O43" s="46" t="s">
        <v>29</v>
      </c>
      <c r="P43" s="46">
        <v>0</v>
      </c>
      <c r="Q43" s="43" t="s">
        <v>28</v>
      </c>
      <c r="R43" s="8">
        <v>0</v>
      </c>
      <c r="S43" s="8">
        <v>0</v>
      </c>
      <c r="T43" s="8">
        <v>0</v>
      </c>
      <c r="U43" s="8">
        <v>0</v>
      </c>
      <c r="V43" s="8" t="s">
        <v>175</v>
      </c>
      <c r="W43" s="8" t="s">
        <v>31</v>
      </c>
    </row>
    <row r="44" spans="1:23" ht="14.25" thickBot="1" x14ac:dyDescent="0.3">
      <c r="A44" s="48" t="s">
        <v>236</v>
      </c>
      <c r="B44" s="48" t="s">
        <v>32</v>
      </c>
      <c r="C44" s="49" t="s">
        <v>32</v>
      </c>
      <c r="D44" s="48" t="s">
        <v>39</v>
      </c>
      <c r="E44" s="49">
        <v>10140120</v>
      </c>
      <c r="F44" s="48" t="s">
        <v>237</v>
      </c>
      <c r="G44" s="49">
        <v>14</v>
      </c>
      <c r="H44" s="50">
        <v>447.85</v>
      </c>
      <c r="I44" s="50">
        <v>19461.392062899005</v>
      </c>
      <c r="J44" s="51">
        <v>0</v>
      </c>
      <c r="K44" s="51">
        <v>0</v>
      </c>
      <c r="L44" s="51">
        <v>0</v>
      </c>
      <c r="M44" s="50">
        <v>0</v>
      </c>
      <c r="N44" s="50">
        <v>0</v>
      </c>
      <c r="O44" s="51" t="s">
        <v>29</v>
      </c>
      <c r="P44" s="51">
        <v>19461</v>
      </c>
      <c r="Q44" s="49" t="s">
        <v>28</v>
      </c>
      <c r="R44" s="48" t="s">
        <v>238</v>
      </c>
      <c r="S44" s="48" t="s">
        <v>239</v>
      </c>
      <c r="T44" s="48" t="s">
        <v>87</v>
      </c>
      <c r="U44" s="48" t="s">
        <v>217</v>
      </c>
      <c r="V44" s="48" t="s">
        <v>66</v>
      </c>
      <c r="W44" s="48" t="s">
        <v>31</v>
      </c>
    </row>
    <row r="45" spans="1:23" ht="14.25" thickBot="1" x14ac:dyDescent="0.3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3">
        <f>SUM(P2:P44)</f>
        <v>45940</v>
      </c>
      <c r="Q45" s="52"/>
      <c r="R45" s="52"/>
      <c r="S45" s="52"/>
      <c r="T45" s="52"/>
      <c r="U45" s="52"/>
      <c r="V45" s="52"/>
      <c r="W45" s="52"/>
    </row>
    <row r="46" spans="1:23" ht="14.25" thickTop="1" x14ac:dyDescent="0.25"/>
  </sheetData>
  <conditionalFormatting sqref="P1:P44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44">
    <cfRule type="duplicateValues" dxfId="2" priority="3"/>
  </conditionalFormatting>
  <conditionalFormatting sqref="A2:A44">
    <cfRule type="duplicateValues" dxfId="1" priority="2"/>
  </conditionalFormatting>
  <conditionalFormatting sqref="P2:P44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2026-09-15T04:55:46Z</dcterms:created>
  <dcterms:modified xsi:type="dcterms:W3CDTF">2026-09-15T05:00:45Z</dcterms:modified>
</cp:coreProperties>
</file>