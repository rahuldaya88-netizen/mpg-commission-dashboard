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1_27-Aug'26\Collection data\"/>
    </mc:Choice>
  </mc:AlternateContent>
  <xr:revisionPtr revIDLastSave="0" documentId="13_ncr:1_{733B50D0-8ACD-4DEE-B515-498F82ED1C44}" xr6:coauthVersionLast="47" xr6:coauthVersionMax="47" xr10:uidLastSave="{00000000-0000-0000-0000-000000000000}"/>
  <bookViews>
    <workbookView xWindow="-120" yWindow="-120" windowWidth="29040" windowHeight="15720" activeTab="1" xr2:uid="{6DC0B3DA-9096-40B7-8009-F451D7B52D3A}"/>
  </bookViews>
  <sheets>
    <sheet name="Sheet1" sheetId="2" r:id="rId1"/>
    <sheet name="Minerals mixture" sheetId="1" r:id="rId2"/>
  </sheets>
  <definedNames>
    <definedName name="_xlnm._FilterDatabase" localSheetId="1" hidden="1">'Minerals mixture'!$A$2:$K$2</definedName>
  </definedNames>
  <calcPr calcId="191029"/>
  <pivotCaches>
    <pivotCache cacheId="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5" i="1" l="1"/>
  <c r="C19" i="1"/>
  <c r="C18" i="1"/>
  <c r="C17" i="1"/>
  <c r="C16" i="1"/>
  <c r="C15" i="1"/>
  <c r="C14" i="1"/>
  <c r="C13" i="1"/>
  <c r="C24" i="1"/>
  <c r="C23" i="1"/>
  <c r="C22" i="1"/>
  <c r="C12" i="1"/>
  <c r="C21" i="1"/>
  <c r="C11" i="1"/>
  <c r="C10" i="1"/>
  <c r="C9" i="1"/>
  <c r="C8" i="1"/>
  <c r="C7" i="1"/>
  <c r="C6" i="1"/>
  <c r="C5" i="1"/>
  <c r="C20" i="1"/>
  <c r="C4" i="1"/>
  <c r="C3" i="1"/>
  <c r="K4" i="1"/>
  <c r="K20" i="1"/>
  <c r="K5" i="1"/>
  <c r="K6" i="1"/>
  <c r="K7" i="1"/>
  <c r="K8" i="1"/>
  <c r="K9" i="1"/>
  <c r="K10" i="1"/>
  <c r="K11" i="1"/>
  <c r="K21" i="1"/>
  <c r="K12" i="1"/>
  <c r="K22" i="1"/>
  <c r="K23" i="1"/>
  <c r="K24" i="1"/>
  <c r="K13" i="1"/>
  <c r="K14" i="1"/>
  <c r="K15" i="1"/>
  <c r="K16" i="1"/>
  <c r="K17" i="1"/>
  <c r="K18" i="1"/>
  <c r="K19" i="1"/>
  <c r="K3" i="1"/>
</calcChain>
</file>

<file path=xl/sharedStrings.xml><?xml version="1.0" encoding="utf-8"?>
<sst xmlns="http://schemas.openxmlformats.org/spreadsheetml/2006/main" count="149" uniqueCount="52">
  <si>
    <t>Minerals Mixture Deduction Details</t>
  </si>
  <si>
    <t>BMC Name</t>
  </si>
  <si>
    <t>MPG code</t>
  </si>
  <si>
    <t>MPG Name</t>
  </si>
  <si>
    <t>No of Qty</t>
  </si>
  <si>
    <t>Deduct from Code</t>
  </si>
  <si>
    <t>Supervisor Name</t>
  </si>
  <si>
    <t>Parbatta</t>
  </si>
  <si>
    <t>Vishan Pur</t>
  </si>
  <si>
    <t>Gomukh Madhawpur</t>
  </si>
  <si>
    <t>Gomukh Kanhaiyachak Pachhim</t>
  </si>
  <si>
    <t>Gomukh Srirampur Thuthi</t>
  </si>
  <si>
    <t xml:space="preserve">Gomukh Bandahera                                                                                    </t>
  </si>
  <si>
    <t>Gomukh Kabela                                                                                       </t>
  </si>
  <si>
    <t>Gomukh Thebhay B</t>
  </si>
  <si>
    <t>Gomukh Bandehra Purbi</t>
  </si>
  <si>
    <t>Gomukh Mathurapur</t>
  </si>
  <si>
    <t>Dumaria Madhya</t>
  </si>
  <si>
    <t>Gomukh Muradpur VLC</t>
  </si>
  <si>
    <t>Gomukh Khutha VLC</t>
  </si>
  <si>
    <t>Muradpur Deepak VLC</t>
  </si>
  <si>
    <t>Pawan Kumar</t>
  </si>
  <si>
    <t>Araria</t>
  </si>
  <si>
    <t>Araria VLC</t>
  </si>
  <si>
    <t>Ankesh Kumar</t>
  </si>
  <si>
    <t>Mahadad Pur</t>
  </si>
  <si>
    <t xml:space="preserve"> RMC Ganaul</t>
  </si>
  <si>
    <t>RMC Bhrammerpur</t>
  </si>
  <si>
    <t>RMC Gauripur</t>
  </si>
  <si>
    <t>RMC Mahdadpur</t>
  </si>
  <si>
    <t>Brajesh Kumar</t>
  </si>
  <si>
    <t>Dev Nandan Kumar</t>
  </si>
  <si>
    <t>Go Mukh banni</t>
  </si>
  <si>
    <t>Go Mukh Khatha</t>
  </si>
  <si>
    <t>Go Mukh Sondiha</t>
  </si>
  <si>
    <t>Go Mukh Bari Chuck</t>
  </si>
  <si>
    <t>Mpg Rate</t>
  </si>
  <si>
    <t>Total Amt.</t>
  </si>
  <si>
    <t>Minerals Mixture</t>
  </si>
  <si>
    <t>Payaswini Min Boon</t>
  </si>
  <si>
    <t>0027</t>
  </si>
  <si>
    <t>0003</t>
  </si>
  <si>
    <t>0002</t>
  </si>
  <si>
    <t>0010</t>
  </si>
  <si>
    <t>ID</t>
  </si>
  <si>
    <t>Type</t>
  </si>
  <si>
    <t>Direct</t>
  </si>
  <si>
    <t>Indirect</t>
  </si>
  <si>
    <t>Deduction</t>
  </si>
  <si>
    <t>Grand Total</t>
  </si>
  <si>
    <t>Sum of Deduction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</si>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</sst>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67.532960532408" createdVersion="8" refreshedVersion="8" minRefreshableVersion="3" recordCount="22" xr:uid="{2A66FB4C-6984-42A4-9056-D31A82CF3D5D}">
  <cacheSource type="worksheet">
    <worksheetSource ref="A2:L24" sheet="Minerals mixture"/>
  </cacheSource>
  <cacheFields count="12">
    <cacheField name="Minerals Mixture" numFmtId="0">
      <sharedItems/>
    </cacheField>
    <cacheField name="BMC Name" numFmtId="0">
      <sharedItems/>
    </cacheField>
    <cacheField name="ID" numFmtId="0">
      <sharedItems/>
    </cacheField>
    <cacheField name="MPG code" numFmtId="0">
      <sharedItems containsSemiMixedTypes="0" containsString="0" containsNumber="1" containsInteger="1" minValue="10070033" maxValue="10410001" count="22">
        <n v="10100001"/>
        <n v="10100003"/>
        <n v="10100009"/>
        <n v="10100014"/>
        <n v="10100021"/>
        <n v="10070033"/>
        <n v="10100054"/>
        <n v="10070063"/>
        <n v="10100074"/>
        <n v="10100016"/>
        <n v="10410001"/>
        <n v="10400001"/>
        <n v="10360001"/>
        <n v="10070080"/>
        <n v="10070078"/>
        <n v="10100051"/>
        <n v="10070077"/>
        <n v="10100004"/>
        <n v="10100062"/>
        <n v="10100028"/>
        <n v="10070043"/>
        <n v="10390001"/>
      </sharedItems>
    </cacheField>
    <cacheField name="MPG Name" numFmtId="0">
      <sharedItems/>
    </cacheField>
    <cacheField name="Type" numFmtId="0">
      <sharedItems/>
    </cacheField>
    <cacheField name="No of Qty" numFmtId="0">
      <sharedItems containsSemiMixedTypes="0" containsString="0" containsNumber="1" containsInteger="1" minValue="2" maxValue="50"/>
    </cacheField>
    <cacheField name="Deduct from Code" numFmtId="0">
      <sharedItems/>
    </cacheField>
    <cacheField name="Supervisor Name" numFmtId="0">
      <sharedItems/>
    </cacheField>
    <cacheField name="Mpg Rate" numFmtId="0">
      <sharedItems containsSemiMixedTypes="0" containsString="0" containsNumber="1" containsInteger="1" minValue="225" maxValue="250"/>
    </cacheField>
    <cacheField name="Total Amt." numFmtId="0">
      <sharedItems containsSemiMixedTypes="0" containsString="0" containsNumber="1" containsInteger="1" minValue="450" maxValue="11250"/>
    </cacheField>
    <cacheField name="Deduction" numFmtId="0">
      <sharedItems containsSemiMixedTypes="0" containsString="0" containsNumber="1" containsInteger="1" minValue="450" maxValue="11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Payaswini Min Boon"/>
    <s v="Parbatta"/>
    <s v="101000010027"/>
    <x v="0"/>
    <s v="Vishan Pur"/>
    <s v="Direct"/>
    <n v="5"/>
    <s v="0027"/>
    <s v="Pawan Kumar"/>
    <n v="225"/>
    <n v="1125"/>
    <n v="1125"/>
  </r>
  <r>
    <s v="Payaswini Min Boon"/>
    <s v="Parbatta"/>
    <s v="101000030003"/>
    <x v="1"/>
    <s v="Gomukh Madhawpur"/>
    <s v="Direct"/>
    <n v="5"/>
    <s v="0003"/>
    <s v="Pawan Kumar"/>
    <n v="225"/>
    <n v="1125"/>
    <n v="1125"/>
  </r>
  <r>
    <s v="Payaswini Min Boon"/>
    <s v="Parbatta"/>
    <s v="101000090002"/>
    <x v="2"/>
    <s v="Gomukh Kanhaiyachak Pachhim"/>
    <s v="Direct"/>
    <n v="5"/>
    <s v="0002"/>
    <s v="Pawan Kumar"/>
    <n v="225"/>
    <n v="1125"/>
    <n v="1125"/>
  </r>
  <r>
    <s v="Payaswini Min Boon"/>
    <s v="Parbatta"/>
    <s v="101000140003"/>
    <x v="3"/>
    <s v="Gomukh Srirampur Thuthi"/>
    <s v="Direct"/>
    <n v="2"/>
    <s v="0003"/>
    <s v="Pawan Kumar"/>
    <n v="225"/>
    <n v="450"/>
    <n v="450"/>
  </r>
  <r>
    <s v="Payaswini Min Boon"/>
    <s v="Parbatta"/>
    <s v="101000210003"/>
    <x v="4"/>
    <s v="Gomukh Bandahera                                                                                    "/>
    <s v="Direct"/>
    <n v="5"/>
    <s v="0003"/>
    <s v="Pawan Kumar"/>
    <n v="225"/>
    <n v="1125"/>
    <n v="1125"/>
  </r>
  <r>
    <s v="Payaswini Min Boon"/>
    <s v="Parbatta"/>
    <s v="100700330002"/>
    <x v="5"/>
    <s v="Gomukh Kabela                                                                                       "/>
    <s v="Direct"/>
    <n v="5"/>
    <s v="0002"/>
    <s v="Pawan Kumar"/>
    <n v="225"/>
    <n v="1125"/>
    <n v="1125"/>
  </r>
  <r>
    <s v="Payaswini Min Boon"/>
    <s v="Parbatta"/>
    <s v="101000540002"/>
    <x v="6"/>
    <s v="Gomukh Thebhay B"/>
    <s v="Direct"/>
    <n v="3"/>
    <s v="0002"/>
    <s v="Pawan Kumar"/>
    <n v="225"/>
    <n v="675"/>
    <n v="675"/>
  </r>
  <r>
    <s v="Payaswini Min Boon"/>
    <s v="Parbatta"/>
    <s v="100700630002"/>
    <x v="7"/>
    <s v="Gomukh Bandehra Purbi"/>
    <s v="Direct"/>
    <n v="3"/>
    <s v="0002"/>
    <s v="Pawan Kumar"/>
    <n v="225"/>
    <n v="675"/>
    <n v="675"/>
  </r>
  <r>
    <s v="Payaswini Min Boon"/>
    <s v="Parbatta"/>
    <s v="101000740002"/>
    <x v="8"/>
    <s v="Gomukh Mathurapur"/>
    <s v="Direct"/>
    <n v="5"/>
    <s v="0002"/>
    <s v="Pawan Kumar"/>
    <n v="225"/>
    <n v="1125"/>
    <n v="1125"/>
  </r>
  <r>
    <s v="Payaswini Min Boon"/>
    <s v="Parbatta"/>
    <s v="101000160010"/>
    <x v="9"/>
    <s v="Dumaria Madhya"/>
    <s v="Direct"/>
    <n v="2"/>
    <s v="0010"/>
    <s v="Pawan Kumar"/>
    <n v="225"/>
    <n v="450"/>
    <n v="450"/>
  </r>
  <r>
    <s v="Payaswini Min Boon"/>
    <s v="Mahadad Pur"/>
    <s v="104100010002"/>
    <x v="10"/>
    <s v="RMC Bhrammerpur"/>
    <s v="Direct"/>
    <n v="20"/>
    <s v="0002"/>
    <s v="Dev Nandan Kumar"/>
    <n v="225"/>
    <n v="4500"/>
    <n v="4500"/>
  </r>
  <r>
    <s v="Payaswini Min Boon"/>
    <s v="Mahadad Pur"/>
    <s v="104000010002"/>
    <x v="11"/>
    <s v="RMC Gauripur"/>
    <s v="Direct"/>
    <n v="5"/>
    <s v="0002"/>
    <s v="Dev Nandan Kumar"/>
    <n v="225"/>
    <n v="1125"/>
    <n v="1125"/>
  </r>
  <r>
    <s v="Payaswini Min Boon"/>
    <s v="Mahadad Pur"/>
    <s v="103600010002"/>
    <x v="12"/>
    <s v="RMC Mahdadpur"/>
    <s v="Direct"/>
    <n v="20"/>
    <s v="0002"/>
    <s v="Dev Nandan Kumar"/>
    <n v="225"/>
    <n v="4500"/>
    <n v="4500"/>
  </r>
  <r>
    <s v="Payaswini Min Boon"/>
    <s v="Araria"/>
    <s v="100700800002"/>
    <x v="13"/>
    <s v="Go Mukh banni"/>
    <s v="Direct"/>
    <n v="10"/>
    <s v="0002"/>
    <s v="Brajesh Kumar"/>
    <n v="250"/>
    <n v="2500"/>
    <n v="2500"/>
  </r>
  <r>
    <s v="Payaswini Min Boon"/>
    <s v="Araria"/>
    <s v="100700780002"/>
    <x v="14"/>
    <s v="Go Mukh Khatha"/>
    <s v="Direct"/>
    <n v="10"/>
    <s v="0002"/>
    <s v="Brajesh Kumar"/>
    <n v="250"/>
    <n v="2500"/>
    <n v="2500"/>
  </r>
  <r>
    <s v="Payaswini Min Boon"/>
    <s v="Araria"/>
    <s v="101000510002"/>
    <x v="15"/>
    <s v="Go Mukh Sondiha"/>
    <s v="Direct"/>
    <n v="10"/>
    <s v="0002"/>
    <s v="Brajesh Kumar"/>
    <n v="250"/>
    <n v="2500"/>
    <n v="2500"/>
  </r>
  <r>
    <s v="Payaswini Min Boon"/>
    <s v="Araria"/>
    <s v="100700770002"/>
    <x v="16"/>
    <s v="Go Mukh Bari Chuck"/>
    <s v="Direct"/>
    <n v="10"/>
    <s v="0002"/>
    <s v="Brajesh Kumar"/>
    <n v="250"/>
    <n v="2500"/>
    <n v="2500"/>
  </r>
  <r>
    <s v="Payaswini Min Boon"/>
    <s v="Parbatta"/>
    <s v="101000040002"/>
    <x v="17"/>
    <s v="Gomukh Muradpur VLC"/>
    <s v="Indirect"/>
    <n v="2"/>
    <s v="0002"/>
    <s v="Pawan Kumar"/>
    <n v="225"/>
    <n v="450"/>
    <n v="450"/>
  </r>
  <r>
    <s v="Payaswini Min Boon"/>
    <s v="Parbatta"/>
    <s v="101000620002"/>
    <x v="18"/>
    <s v="Gomukh Khutha VLC"/>
    <s v="Indirect"/>
    <n v="5"/>
    <s v="0002"/>
    <s v="Pawan Kumar"/>
    <n v="225"/>
    <n v="1125"/>
    <n v="1125"/>
  </r>
  <r>
    <s v="Payaswini Min Boon"/>
    <s v="Parbatta"/>
    <s v="101000280002"/>
    <x v="19"/>
    <s v="Muradpur Deepak VLC"/>
    <s v="Indirect"/>
    <n v="3"/>
    <s v="0002"/>
    <s v="Pawan Kumar"/>
    <n v="225"/>
    <n v="675"/>
    <n v="675"/>
  </r>
  <r>
    <s v="Payaswini Min Boon"/>
    <s v="Araria"/>
    <s v="100700430002"/>
    <x v="20"/>
    <s v="Araria VLC"/>
    <s v="Indirect"/>
    <n v="50"/>
    <s v="0002"/>
    <s v="Ankesh Kumar"/>
    <n v="225"/>
    <n v="11250"/>
    <n v="11250"/>
  </r>
  <r>
    <s v="Payaswini Min Boon"/>
    <s v="Mahadad Pur"/>
    <s v="103900010002"/>
    <x v="21"/>
    <s v=" RMC Ganaul"/>
    <s v="Indirect"/>
    <n v="5"/>
    <s v="0002"/>
    <s v="Dev Nandan Kumar"/>
    <n v="225"/>
    <n v="1125"/>
    <n v="11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15BED-4354-43CF-9732-48FF0F51C2C4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27" firstHeaderRow="2" firstDataRow="2" firstDataCol="1"/>
  <pivotFields count="12">
    <pivotField compact="0" outline="0" showAll="0"/>
    <pivotField compact="0" outline="0" showAll="0"/>
    <pivotField compact="0" outline="0" showAll="0"/>
    <pivotField axis="axisRow" compact="0" outline="0" showAll="0">
      <items count="23">
        <item x="5"/>
        <item x="20"/>
        <item x="7"/>
        <item x="16"/>
        <item x="14"/>
        <item x="13"/>
        <item x="0"/>
        <item x="1"/>
        <item x="17"/>
        <item x="2"/>
        <item x="3"/>
        <item x="9"/>
        <item x="4"/>
        <item x="19"/>
        <item x="15"/>
        <item x="6"/>
        <item x="18"/>
        <item x="8"/>
        <item x="12"/>
        <item x="21"/>
        <item x="11"/>
        <item x="1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um of Deduction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2617-AC94-48C6-A798-A830F407963D}">
  <dimension ref="A3:B27"/>
  <sheetViews>
    <sheetView workbookViewId="0">
      <selection activeCell="A4" sqref="A4"/>
    </sheetView>
  </sheetViews>
  <sheetFormatPr defaultRowHeight="15" x14ac:dyDescent="0.25"/>
  <cols>
    <col min="1" max="1" width="16.85546875" bestFit="1" customWidth="1"/>
    <col min="2" max="2" width="6" bestFit="1" customWidth="1"/>
  </cols>
  <sheetData>
    <row r="3" spans="1:2" x14ac:dyDescent="0.25">
      <c r="A3" s="9" t="s">
        <v>50</v>
      </c>
    </row>
    <row r="4" spans="1:2" x14ac:dyDescent="0.25">
      <c r="A4" s="9" t="s">
        <v>2</v>
      </c>
      <c r="B4" t="s">
        <v>51</v>
      </c>
    </row>
    <row r="5" spans="1:2" x14ac:dyDescent="0.25">
      <c r="A5">
        <v>10070033</v>
      </c>
      <c r="B5" s="10">
        <v>1125</v>
      </c>
    </row>
    <row r="6" spans="1:2" x14ac:dyDescent="0.25">
      <c r="A6">
        <v>10070043</v>
      </c>
      <c r="B6" s="10">
        <v>11250</v>
      </c>
    </row>
    <row r="7" spans="1:2" x14ac:dyDescent="0.25">
      <c r="A7">
        <v>10070063</v>
      </c>
      <c r="B7" s="10">
        <v>675</v>
      </c>
    </row>
    <row r="8" spans="1:2" x14ac:dyDescent="0.25">
      <c r="A8">
        <v>10070077</v>
      </c>
      <c r="B8" s="10">
        <v>2500</v>
      </c>
    </row>
    <row r="9" spans="1:2" x14ac:dyDescent="0.25">
      <c r="A9">
        <v>10070078</v>
      </c>
      <c r="B9" s="10">
        <v>2500</v>
      </c>
    </row>
    <row r="10" spans="1:2" x14ac:dyDescent="0.25">
      <c r="A10">
        <v>10070080</v>
      </c>
      <c r="B10" s="10">
        <v>2500</v>
      </c>
    </row>
    <row r="11" spans="1:2" x14ac:dyDescent="0.25">
      <c r="A11">
        <v>10100001</v>
      </c>
      <c r="B11" s="10">
        <v>1125</v>
      </c>
    </row>
    <row r="12" spans="1:2" x14ac:dyDescent="0.25">
      <c r="A12">
        <v>10100003</v>
      </c>
      <c r="B12" s="10">
        <v>1125</v>
      </c>
    </row>
    <row r="13" spans="1:2" x14ac:dyDescent="0.25">
      <c r="A13">
        <v>10100004</v>
      </c>
      <c r="B13" s="10">
        <v>450</v>
      </c>
    </row>
    <row r="14" spans="1:2" x14ac:dyDescent="0.25">
      <c r="A14">
        <v>10100009</v>
      </c>
      <c r="B14" s="10">
        <v>1125</v>
      </c>
    </row>
    <row r="15" spans="1:2" x14ac:dyDescent="0.25">
      <c r="A15">
        <v>10100014</v>
      </c>
      <c r="B15" s="10">
        <v>450</v>
      </c>
    </row>
    <row r="16" spans="1:2" x14ac:dyDescent="0.25">
      <c r="A16">
        <v>10100016</v>
      </c>
      <c r="B16" s="10">
        <v>450</v>
      </c>
    </row>
    <row r="17" spans="1:2" x14ac:dyDescent="0.25">
      <c r="A17">
        <v>10100021</v>
      </c>
      <c r="B17" s="10">
        <v>1125</v>
      </c>
    </row>
    <row r="18" spans="1:2" x14ac:dyDescent="0.25">
      <c r="A18">
        <v>10100028</v>
      </c>
      <c r="B18" s="10">
        <v>675</v>
      </c>
    </row>
    <row r="19" spans="1:2" x14ac:dyDescent="0.25">
      <c r="A19">
        <v>10100051</v>
      </c>
      <c r="B19" s="10">
        <v>2500</v>
      </c>
    </row>
    <row r="20" spans="1:2" x14ac:dyDescent="0.25">
      <c r="A20">
        <v>10100054</v>
      </c>
      <c r="B20" s="10">
        <v>675</v>
      </c>
    </row>
    <row r="21" spans="1:2" x14ac:dyDescent="0.25">
      <c r="A21">
        <v>10100062</v>
      </c>
      <c r="B21" s="10">
        <v>1125</v>
      </c>
    </row>
    <row r="22" spans="1:2" x14ac:dyDescent="0.25">
      <c r="A22">
        <v>10100074</v>
      </c>
      <c r="B22" s="10">
        <v>1125</v>
      </c>
    </row>
    <row r="23" spans="1:2" x14ac:dyDescent="0.25">
      <c r="A23">
        <v>10360001</v>
      </c>
      <c r="B23" s="10">
        <v>4500</v>
      </c>
    </row>
    <row r="24" spans="1:2" x14ac:dyDescent="0.25">
      <c r="A24">
        <v>10390001</v>
      </c>
      <c r="B24" s="10">
        <v>1125</v>
      </c>
    </row>
    <row r="25" spans="1:2" x14ac:dyDescent="0.25">
      <c r="A25">
        <v>10400001</v>
      </c>
      <c r="B25" s="10">
        <v>1125</v>
      </c>
    </row>
    <row r="26" spans="1:2" x14ac:dyDescent="0.25">
      <c r="A26">
        <v>10410001</v>
      </c>
      <c r="B26" s="10">
        <v>4500</v>
      </c>
    </row>
    <row r="27" spans="1:2" x14ac:dyDescent="0.25">
      <c r="A27" t="s">
        <v>49</v>
      </c>
      <c r="B27" s="10">
        <v>43750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9C66-054F-4EC2-9237-AE0FD2E2845B}">
  <dimension ref="A1:L25"/>
  <sheetViews>
    <sheetView tabSelected="1" workbookViewId="0">
      <selection activeCell="P23" sqref="P23"/>
    </sheetView>
  </sheetViews>
  <sheetFormatPr defaultRowHeight="15" x14ac:dyDescent="0.25"/>
  <cols>
    <col min="1" max="1" width="30.140625" bestFit="1" customWidth="1"/>
    <col min="2" max="3" width="13.5703125" customWidth="1"/>
    <col min="4" max="4" width="12.85546875" customWidth="1"/>
    <col min="5" max="5" width="27.85546875" customWidth="1"/>
    <col min="6" max="6" width="7.85546875" bestFit="1" customWidth="1"/>
    <col min="7" max="7" width="8.85546875" customWidth="1"/>
    <col min="8" max="8" width="16.85546875" customWidth="1"/>
    <col min="9" max="9" width="19.42578125" customWidth="1"/>
    <col min="10" max="10" width="13.85546875" customWidth="1"/>
    <col min="11" max="11" width="9.5703125" bestFit="1" customWidth="1"/>
  </cols>
  <sheetData>
    <row r="1" spans="1:1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2" x14ac:dyDescent="0.25">
      <c r="A2" s="5" t="s">
        <v>38</v>
      </c>
      <c r="B2" s="6" t="s">
        <v>1</v>
      </c>
      <c r="C2" s="6" t="s">
        <v>44</v>
      </c>
      <c r="D2" s="6" t="s">
        <v>2</v>
      </c>
      <c r="E2" s="7" t="s">
        <v>3</v>
      </c>
      <c r="F2" s="7" t="s">
        <v>45</v>
      </c>
      <c r="G2" s="6" t="s">
        <v>4</v>
      </c>
      <c r="H2" s="6" t="s">
        <v>5</v>
      </c>
      <c r="I2" s="6" t="s">
        <v>6</v>
      </c>
      <c r="J2" s="6" t="s">
        <v>36</v>
      </c>
      <c r="K2" s="6" t="s">
        <v>37</v>
      </c>
      <c r="L2" s="6" t="s">
        <v>48</v>
      </c>
    </row>
    <row r="3" spans="1:12" x14ac:dyDescent="0.25">
      <c r="A3" s="4" t="s">
        <v>39</v>
      </c>
      <c r="B3" s="1" t="s">
        <v>7</v>
      </c>
      <c r="C3" s="1" t="str">
        <f t="shared" ref="C3:C24" si="0">CONCATENATE(D3,H3)</f>
        <v>101000010027</v>
      </c>
      <c r="D3" s="1">
        <v>10100001</v>
      </c>
      <c r="E3" s="2" t="s">
        <v>8</v>
      </c>
      <c r="F3" s="2" t="s">
        <v>46</v>
      </c>
      <c r="G3" s="1">
        <v>5</v>
      </c>
      <c r="H3" s="1" t="s">
        <v>40</v>
      </c>
      <c r="I3" s="1" t="s">
        <v>21</v>
      </c>
      <c r="J3" s="1">
        <v>225</v>
      </c>
      <c r="K3" s="2">
        <f t="shared" ref="K3:K24" si="1">J3*G3</f>
        <v>1125</v>
      </c>
      <c r="L3" s="2">
        <v>1125</v>
      </c>
    </row>
    <row r="4" spans="1:12" x14ac:dyDescent="0.25">
      <c r="A4" s="4" t="s">
        <v>39</v>
      </c>
      <c r="B4" s="1" t="s">
        <v>7</v>
      </c>
      <c r="C4" s="1" t="str">
        <f t="shared" si="0"/>
        <v>101000030003</v>
      </c>
      <c r="D4" s="1">
        <v>10100003</v>
      </c>
      <c r="E4" s="2" t="s">
        <v>9</v>
      </c>
      <c r="F4" s="2" t="s">
        <v>46</v>
      </c>
      <c r="G4" s="1">
        <v>5</v>
      </c>
      <c r="H4" s="1" t="s">
        <v>41</v>
      </c>
      <c r="I4" s="1" t="s">
        <v>21</v>
      </c>
      <c r="J4" s="1">
        <v>225</v>
      </c>
      <c r="K4" s="2">
        <f t="shared" si="1"/>
        <v>1125</v>
      </c>
      <c r="L4" s="2">
        <v>1125</v>
      </c>
    </row>
    <row r="5" spans="1:12" x14ac:dyDescent="0.25">
      <c r="A5" s="4" t="s">
        <v>39</v>
      </c>
      <c r="B5" s="1" t="s">
        <v>7</v>
      </c>
      <c r="C5" s="1" t="str">
        <f t="shared" si="0"/>
        <v>101000090002</v>
      </c>
      <c r="D5" s="1">
        <v>10100009</v>
      </c>
      <c r="E5" s="2" t="s">
        <v>10</v>
      </c>
      <c r="F5" s="2" t="s">
        <v>46</v>
      </c>
      <c r="G5" s="1">
        <v>5</v>
      </c>
      <c r="H5" s="1" t="s">
        <v>42</v>
      </c>
      <c r="I5" s="1" t="s">
        <v>21</v>
      </c>
      <c r="J5" s="1">
        <v>225</v>
      </c>
      <c r="K5" s="2">
        <f t="shared" si="1"/>
        <v>1125</v>
      </c>
      <c r="L5" s="2">
        <v>1125</v>
      </c>
    </row>
    <row r="6" spans="1:12" x14ac:dyDescent="0.25">
      <c r="A6" s="4" t="s">
        <v>39</v>
      </c>
      <c r="B6" s="1" t="s">
        <v>7</v>
      </c>
      <c r="C6" s="1" t="str">
        <f t="shared" si="0"/>
        <v>101000140003</v>
      </c>
      <c r="D6" s="1">
        <v>10100014</v>
      </c>
      <c r="E6" s="2" t="s">
        <v>11</v>
      </c>
      <c r="F6" s="2" t="s">
        <v>46</v>
      </c>
      <c r="G6" s="1">
        <v>2</v>
      </c>
      <c r="H6" s="1" t="s">
        <v>41</v>
      </c>
      <c r="I6" s="1" t="s">
        <v>21</v>
      </c>
      <c r="J6" s="1">
        <v>225</v>
      </c>
      <c r="K6" s="2">
        <f t="shared" si="1"/>
        <v>450</v>
      </c>
      <c r="L6" s="2">
        <v>450</v>
      </c>
    </row>
    <row r="7" spans="1:12" x14ac:dyDescent="0.25">
      <c r="A7" s="4" t="s">
        <v>39</v>
      </c>
      <c r="B7" s="1" t="s">
        <v>7</v>
      </c>
      <c r="C7" s="1" t="str">
        <f t="shared" si="0"/>
        <v>101000210003</v>
      </c>
      <c r="D7" s="1">
        <v>10100021</v>
      </c>
      <c r="E7" s="3" t="s">
        <v>12</v>
      </c>
      <c r="F7" s="2" t="s">
        <v>46</v>
      </c>
      <c r="G7" s="1">
        <v>5</v>
      </c>
      <c r="H7" s="1" t="s">
        <v>41</v>
      </c>
      <c r="I7" s="1" t="s">
        <v>21</v>
      </c>
      <c r="J7" s="1">
        <v>225</v>
      </c>
      <c r="K7" s="2">
        <f t="shared" si="1"/>
        <v>1125</v>
      </c>
      <c r="L7" s="2">
        <v>1125</v>
      </c>
    </row>
    <row r="8" spans="1:12" x14ac:dyDescent="0.25">
      <c r="A8" s="4" t="s">
        <v>39</v>
      </c>
      <c r="B8" s="1" t="s">
        <v>7</v>
      </c>
      <c r="C8" s="1" t="str">
        <f t="shared" si="0"/>
        <v>100700330002</v>
      </c>
      <c r="D8" s="1">
        <v>10070033</v>
      </c>
      <c r="E8" s="2" t="s">
        <v>13</v>
      </c>
      <c r="F8" s="2" t="s">
        <v>46</v>
      </c>
      <c r="G8" s="1">
        <v>5</v>
      </c>
      <c r="H8" s="1" t="s">
        <v>42</v>
      </c>
      <c r="I8" s="1" t="s">
        <v>21</v>
      </c>
      <c r="J8" s="1">
        <v>225</v>
      </c>
      <c r="K8" s="2">
        <f t="shared" si="1"/>
        <v>1125</v>
      </c>
      <c r="L8" s="2">
        <v>1125</v>
      </c>
    </row>
    <row r="9" spans="1:12" x14ac:dyDescent="0.25">
      <c r="A9" s="4" t="s">
        <v>39</v>
      </c>
      <c r="B9" s="1" t="s">
        <v>7</v>
      </c>
      <c r="C9" s="1" t="str">
        <f t="shared" si="0"/>
        <v>101000540002</v>
      </c>
      <c r="D9" s="1">
        <v>10100054</v>
      </c>
      <c r="E9" s="2" t="s">
        <v>14</v>
      </c>
      <c r="F9" s="2" t="s">
        <v>46</v>
      </c>
      <c r="G9" s="1">
        <v>3</v>
      </c>
      <c r="H9" s="1" t="s">
        <v>42</v>
      </c>
      <c r="I9" s="1" t="s">
        <v>21</v>
      </c>
      <c r="J9" s="1">
        <v>225</v>
      </c>
      <c r="K9" s="2">
        <f t="shared" si="1"/>
        <v>675</v>
      </c>
      <c r="L9" s="2">
        <v>675</v>
      </c>
    </row>
    <row r="10" spans="1:12" x14ac:dyDescent="0.25">
      <c r="A10" s="4" t="s">
        <v>39</v>
      </c>
      <c r="B10" s="1" t="s">
        <v>7</v>
      </c>
      <c r="C10" s="1" t="str">
        <f t="shared" si="0"/>
        <v>100700630002</v>
      </c>
      <c r="D10" s="1">
        <v>10070063</v>
      </c>
      <c r="E10" s="2" t="s">
        <v>15</v>
      </c>
      <c r="F10" s="2" t="s">
        <v>46</v>
      </c>
      <c r="G10" s="1">
        <v>3</v>
      </c>
      <c r="H10" s="1" t="s">
        <v>42</v>
      </c>
      <c r="I10" s="1" t="s">
        <v>21</v>
      </c>
      <c r="J10" s="1">
        <v>225</v>
      </c>
      <c r="K10" s="2">
        <f t="shared" si="1"/>
        <v>675</v>
      </c>
      <c r="L10" s="2">
        <v>675</v>
      </c>
    </row>
    <row r="11" spans="1:12" x14ac:dyDescent="0.25">
      <c r="A11" s="4" t="s">
        <v>39</v>
      </c>
      <c r="B11" s="1" t="s">
        <v>7</v>
      </c>
      <c r="C11" s="1" t="str">
        <f t="shared" si="0"/>
        <v>101000740002</v>
      </c>
      <c r="D11" s="1">
        <v>10100074</v>
      </c>
      <c r="E11" s="2" t="s">
        <v>16</v>
      </c>
      <c r="F11" s="2" t="s">
        <v>46</v>
      </c>
      <c r="G11" s="1">
        <v>5</v>
      </c>
      <c r="H11" s="1" t="s">
        <v>42</v>
      </c>
      <c r="I11" s="1" t="s">
        <v>21</v>
      </c>
      <c r="J11" s="1">
        <v>225</v>
      </c>
      <c r="K11" s="2">
        <f t="shared" si="1"/>
        <v>1125</v>
      </c>
      <c r="L11" s="2">
        <v>1125</v>
      </c>
    </row>
    <row r="12" spans="1:12" x14ac:dyDescent="0.25">
      <c r="A12" s="4" t="s">
        <v>39</v>
      </c>
      <c r="B12" s="1" t="s">
        <v>7</v>
      </c>
      <c r="C12" s="1" t="str">
        <f t="shared" si="0"/>
        <v>101000160010</v>
      </c>
      <c r="D12" s="1">
        <v>10100016</v>
      </c>
      <c r="E12" s="2" t="s">
        <v>17</v>
      </c>
      <c r="F12" s="2" t="s">
        <v>46</v>
      </c>
      <c r="G12" s="1">
        <v>2</v>
      </c>
      <c r="H12" s="1" t="s">
        <v>43</v>
      </c>
      <c r="I12" s="1" t="s">
        <v>21</v>
      </c>
      <c r="J12" s="1">
        <v>225</v>
      </c>
      <c r="K12" s="2">
        <f t="shared" si="1"/>
        <v>450</v>
      </c>
      <c r="L12" s="2">
        <v>450</v>
      </c>
    </row>
    <row r="13" spans="1:12" x14ac:dyDescent="0.25">
      <c r="A13" s="4" t="s">
        <v>39</v>
      </c>
      <c r="B13" s="1" t="s">
        <v>25</v>
      </c>
      <c r="C13" s="1" t="str">
        <f t="shared" si="0"/>
        <v>104100010002</v>
      </c>
      <c r="D13" s="1">
        <v>10410001</v>
      </c>
      <c r="E13" s="2" t="s">
        <v>27</v>
      </c>
      <c r="F13" s="2" t="s">
        <v>46</v>
      </c>
      <c r="G13" s="1">
        <v>20</v>
      </c>
      <c r="H13" s="1" t="s">
        <v>42</v>
      </c>
      <c r="I13" s="1" t="s">
        <v>31</v>
      </c>
      <c r="J13" s="1">
        <v>225</v>
      </c>
      <c r="K13" s="2">
        <f t="shared" si="1"/>
        <v>4500</v>
      </c>
      <c r="L13" s="2">
        <v>4500</v>
      </c>
    </row>
    <row r="14" spans="1:12" x14ac:dyDescent="0.25">
      <c r="A14" s="4" t="s">
        <v>39</v>
      </c>
      <c r="B14" s="1" t="s">
        <v>25</v>
      </c>
      <c r="C14" s="1" t="str">
        <f t="shared" si="0"/>
        <v>104000010002</v>
      </c>
      <c r="D14" s="1">
        <v>10400001</v>
      </c>
      <c r="E14" s="2" t="s">
        <v>28</v>
      </c>
      <c r="F14" s="2" t="s">
        <v>46</v>
      </c>
      <c r="G14" s="1">
        <v>5</v>
      </c>
      <c r="H14" s="1" t="s">
        <v>42</v>
      </c>
      <c r="I14" s="1" t="s">
        <v>31</v>
      </c>
      <c r="J14" s="1">
        <v>225</v>
      </c>
      <c r="K14" s="2">
        <f t="shared" si="1"/>
        <v>1125</v>
      </c>
      <c r="L14" s="2">
        <v>1125</v>
      </c>
    </row>
    <row r="15" spans="1:12" x14ac:dyDescent="0.25">
      <c r="A15" s="4" t="s">
        <v>39</v>
      </c>
      <c r="B15" s="1" t="s">
        <v>25</v>
      </c>
      <c r="C15" s="1" t="str">
        <f t="shared" si="0"/>
        <v>103600010002</v>
      </c>
      <c r="D15" s="1">
        <v>10360001</v>
      </c>
      <c r="E15" s="2" t="s">
        <v>29</v>
      </c>
      <c r="F15" s="2" t="s">
        <v>46</v>
      </c>
      <c r="G15" s="1">
        <v>20</v>
      </c>
      <c r="H15" s="1" t="s">
        <v>42</v>
      </c>
      <c r="I15" s="1" t="s">
        <v>31</v>
      </c>
      <c r="J15" s="1">
        <v>225</v>
      </c>
      <c r="K15" s="2">
        <f t="shared" si="1"/>
        <v>4500</v>
      </c>
      <c r="L15" s="2">
        <v>4500</v>
      </c>
    </row>
    <row r="16" spans="1:12" x14ac:dyDescent="0.25">
      <c r="A16" s="4" t="s">
        <v>39</v>
      </c>
      <c r="B16" s="1" t="s">
        <v>22</v>
      </c>
      <c r="C16" s="1" t="str">
        <f t="shared" si="0"/>
        <v>100700800002</v>
      </c>
      <c r="D16" s="1">
        <v>10070080</v>
      </c>
      <c r="E16" s="2" t="s">
        <v>32</v>
      </c>
      <c r="F16" s="2" t="s">
        <v>46</v>
      </c>
      <c r="G16" s="1">
        <v>10</v>
      </c>
      <c r="H16" s="1" t="s">
        <v>42</v>
      </c>
      <c r="I16" s="1" t="s">
        <v>30</v>
      </c>
      <c r="J16" s="1">
        <v>250</v>
      </c>
      <c r="K16" s="2">
        <f t="shared" si="1"/>
        <v>2500</v>
      </c>
      <c r="L16" s="2">
        <v>2500</v>
      </c>
    </row>
    <row r="17" spans="1:12" x14ac:dyDescent="0.25">
      <c r="A17" s="4" t="s">
        <v>39</v>
      </c>
      <c r="B17" s="1" t="s">
        <v>22</v>
      </c>
      <c r="C17" s="1" t="str">
        <f t="shared" si="0"/>
        <v>100700780002</v>
      </c>
      <c r="D17" s="1">
        <v>10070078</v>
      </c>
      <c r="E17" s="2" t="s">
        <v>33</v>
      </c>
      <c r="F17" s="2" t="s">
        <v>46</v>
      </c>
      <c r="G17" s="1">
        <v>10</v>
      </c>
      <c r="H17" s="1" t="s">
        <v>42</v>
      </c>
      <c r="I17" s="1" t="s">
        <v>30</v>
      </c>
      <c r="J17" s="1">
        <v>250</v>
      </c>
      <c r="K17" s="2">
        <f t="shared" si="1"/>
        <v>2500</v>
      </c>
      <c r="L17" s="2">
        <v>2500</v>
      </c>
    </row>
    <row r="18" spans="1:12" x14ac:dyDescent="0.25">
      <c r="A18" s="4" t="s">
        <v>39</v>
      </c>
      <c r="B18" s="1" t="s">
        <v>22</v>
      </c>
      <c r="C18" s="1" t="str">
        <f t="shared" si="0"/>
        <v>101000510002</v>
      </c>
      <c r="D18" s="1">
        <v>10100051</v>
      </c>
      <c r="E18" s="2" t="s">
        <v>34</v>
      </c>
      <c r="F18" s="2" t="s">
        <v>46</v>
      </c>
      <c r="G18" s="1">
        <v>10</v>
      </c>
      <c r="H18" s="1" t="s">
        <v>42</v>
      </c>
      <c r="I18" s="1" t="s">
        <v>30</v>
      </c>
      <c r="J18" s="1">
        <v>250</v>
      </c>
      <c r="K18" s="2">
        <f t="shared" si="1"/>
        <v>2500</v>
      </c>
      <c r="L18" s="2">
        <v>2500</v>
      </c>
    </row>
    <row r="19" spans="1:12" x14ac:dyDescent="0.25">
      <c r="A19" s="4" t="s">
        <v>39</v>
      </c>
      <c r="B19" s="1" t="s">
        <v>22</v>
      </c>
      <c r="C19" s="1" t="str">
        <f t="shared" si="0"/>
        <v>100700770002</v>
      </c>
      <c r="D19" s="1">
        <v>10070077</v>
      </c>
      <c r="E19" s="2" t="s">
        <v>35</v>
      </c>
      <c r="F19" s="2" t="s">
        <v>46</v>
      </c>
      <c r="G19" s="1">
        <v>10</v>
      </c>
      <c r="H19" s="1" t="s">
        <v>42</v>
      </c>
      <c r="I19" s="1" t="s">
        <v>30</v>
      </c>
      <c r="J19" s="1">
        <v>250</v>
      </c>
      <c r="K19" s="2">
        <f t="shared" si="1"/>
        <v>2500</v>
      </c>
      <c r="L19" s="2">
        <v>2500</v>
      </c>
    </row>
    <row r="20" spans="1:12" x14ac:dyDescent="0.25">
      <c r="A20" s="4" t="s">
        <v>39</v>
      </c>
      <c r="B20" s="1" t="s">
        <v>7</v>
      </c>
      <c r="C20" s="1" t="str">
        <f t="shared" si="0"/>
        <v>101000040002</v>
      </c>
      <c r="D20" s="1">
        <v>10100004</v>
      </c>
      <c r="E20" s="2" t="s">
        <v>18</v>
      </c>
      <c r="F20" s="2" t="s">
        <v>47</v>
      </c>
      <c r="G20" s="1">
        <v>2</v>
      </c>
      <c r="H20" s="1" t="s">
        <v>42</v>
      </c>
      <c r="I20" s="1" t="s">
        <v>21</v>
      </c>
      <c r="J20" s="1">
        <v>225</v>
      </c>
      <c r="K20" s="2">
        <f t="shared" si="1"/>
        <v>450</v>
      </c>
      <c r="L20" s="2">
        <v>450</v>
      </c>
    </row>
    <row r="21" spans="1:12" x14ac:dyDescent="0.25">
      <c r="A21" s="4" t="s">
        <v>39</v>
      </c>
      <c r="B21" s="1" t="s">
        <v>7</v>
      </c>
      <c r="C21" s="1" t="str">
        <f t="shared" si="0"/>
        <v>101000620002</v>
      </c>
      <c r="D21" s="1">
        <v>10100062</v>
      </c>
      <c r="E21" s="2" t="s">
        <v>19</v>
      </c>
      <c r="F21" s="2" t="s">
        <v>47</v>
      </c>
      <c r="G21" s="1">
        <v>5</v>
      </c>
      <c r="H21" s="1" t="s">
        <v>42</v>
      </c>
      <c r="I21" s="1" t="s">
        <v>21</v>
      </c>
      <c r="J21" s="1">
        <v>225</v>
      </c>
      <c r="K21" s="2">
        <f t="shared" si="1"/>
        <v>1125</v>
      </c>
      <c r="L21" s="2">
        <v>1125</v>
      </c>
    </row>
    <row r="22" spans="1:12" x14ac:dyDescent="0.25">
      <c r="A22" s="4" t="s">
        <v>39</v>
      </c>
      <c r="B22" s="1" t="s">
        <v>7</v>
      </c>
      <c r="C22" s="1" t="str">
        <f t="shared" si="0"/>
        <v>101000280002</v>
      </c>
      <c r="D22" s="1">
        <v>10100028</v>
      </c>
      <c r="E22" s="2" t="s">
        <v>20</v>
      </c>
      <c r="F22" s="2" t="s">
        <v>47</v>
      </c>
      <c r="G22" s="1">
        <v>3</v>
      </c>
      <c r="H22" s="1" t="s">
        <v>42</v>
      </c>
      <c r="I22" s="1" t="s">
        <v>21</v>
      </c>
      <c r="J22" s="1">
        <v>225</v>
      </c>
      <c r="K22" s="2">
        <f t="shared" si="1"/>
        <v>675</v>
      </c>
      <c r="L22" s="2">
        <v>675</v>
      </c>
    </row>
    <row r="23" spans="1:12" x14ac:dyDescent="0.25">
      <c r="A23" s="4" t="s">
        <v>39</v>
      </c>
      <c r="B23" s="1" t="s">
        <v>22</v>
      </c>
      <c r="C23" s="1" t="str">
        <f t="shared" si="0"/>
        <v>100700430002</v>
      </c>
      <c r="D23" s="1">
        <v>10070043</v>
      </c>
      <c r="E23" s="2" t="s">
        <v>23</v>
      </c>
      <c r="F23" s="2" t="s">
        <v>47</v>
      </c>
      <c r="G23" s="1">
        <v>50</v>
      </c>
      <c r="H23" s="1" t="s">
        <v>42</v>
      </c>
      <c r="I23" s="1" t="s">
        <v>24</v>
      </c>
      <c r="J23" s="1">
        <v>225</v>
      </c>
      <c r="K23" s="2">
        <f t="shared" si="1"/>
        <v>11250</v>
      </c>
      <c r="L23" s="2">
        <v>11250</v>
      </c>
    </row>
    <row r="24" spans="1:12" x14ac:dyDescent="0.25">
      <c r="A24" s="4" t="s">
        <v>39</v>
      </c>
      <c r="B24" s="1" t="s">
        <v>25</v>
      </c>
      <c r="C24" s="1" t="str">
        <f t="shared" si="0"/>
        <v>103900010002</v>
      </c>
      <c r="D24" s="1">
        <v>10390001</v>
      </c>
      <c r="E24" s="2" t="s">
        <v>26</v>
      </c>
      <c r="F24" s="2" t="s">
        <v>47</v>
      </c>
      <c r="G24" s="1">
        <v>5</v>
      </c>
      <c r="H24" s="1" t="s">
        <v>42</v>
      </c>
      <c r="I24" s="1" t="s">
        <v>31</v>
      </c>
      <c r="J24" s="1">
        <v>225</v>
      </c>
      <c r="K24" s="2">
        <f t="shared" si="1"/>
        <v>1125</v>
      </c>
      <c r="L24" s="2">
        <v>1125</v>
      </c>
    </row>
    <row r="25" spans="1:12" x14ac:dyDescent="0.25">
      <c r="L25">
        <f>SUM(L3:L24)</f>
        <v>43750</v>
      </c>
    </row>
  </sheetData>
  <autoFilter ref="A2:K2" xr:uid="{298E9C66-054F-4EC2-9237-AE0FD2E2845B}">
    <sortState xmlns:xlrd2="http://schemas.microsoft.com/office/spreadsheetml/2017/richdata2" ref="A3:K24">
      <sortCondition ref="F2"/>
    </sortState>
  </autoFilter>
  <mergeCells count="1">
    <mergeCell ref="A1:K1"/>
  </mergeCells>
  <conditionalFormatting sqref="D3:D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Minerals mixture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Pandhari Yadav</dc:creator>
  <cp:lastModifiedBy>RAHUL PANDIT</cp:lastModifiedBy>
  <dcterms:created xsi:type="dcterms:W3CDTF">2026-08-20T06:06:33Z</dcterms:created>
  <dcterms:modified xsi:type="dcterms:W3CDTF">2026-09-02T07:30:18Z</dcterms:modified>
</cp:coreProperties>
</file>