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Apr'26\"/>
    </mc:Choice>
  </mc:AlternateContent>
  <xr:revisionPtr revIDLastSave="0" documentId="13_ncr:1_{680AB999-4904-42E2-918D-4D7BB3D6046D}" xr6:coauthVersionLast="47" xr6:coauthVersionMax="47" xr10:uidLastSave="{00000000-0000-0000-0000-000000000000}"/>
  <bookViews>
    <workbookView xWindow="-120" yWindow="-120" windowWidth="29040" windowHeight="15720" xr2:uid="{FDF01A4E-6F21-4742-A788-CC2367296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<sst xmlns="http://schemas.openxmlformats.org/spreadsheetml/2006/main" count="67" uniqueCount="46">
  <si>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</si>
  <si>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</si>
  <si>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</si>
  <si>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</si>
  <si>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</si>
  <si>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</si>
  <si>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</si>
  <si>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</si>
  <si>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MPGs A/c</t>
  </si>
  <si>
    <t>Closing Reserve</t>
  </si>
  <si>
    <t>Stop Payment</t>
  </si>
  <si>
    <t>Loss Remarks</t>
  </si>
  <si>
    <t>Cycle</t>
  </si>
  <si>
    <t>Chautham</t>
  </si>
  <si>
    <t>Gomukh Pachout</t>
  </si>
  <si>
    <t>MPG</t>
  </si>
  <si>
    <t>Direct</t>
  </si>
  <si>
    <t>Data Missing (Release payment dtd.14-05)</t>
  </si>
  <si>
    <t>05. 24-30 Apr</t>
  </si>
  <si>
    <t>Gomukh Purani Hrdia</t>
  </si>
  <si>
    <t>Gomukh Uttari Hardia</t>
  </si>
  <si>
    <t>Gomukh Thuthi Vlc</t>
  </si>
  <si>
    <t>vlc</t>
  </si>
  <si>
    <t>Gomukh Soharba Purvi</t>
  </si>
  <si>
    <t xml:space="preserve">Jyoti Kumari </t>
  </si>
  <si>
    <t>380702120000864</t>
  </si>
  <si>
    <t>UBIN0538078</t>
  </si>
  <si>
    <t xml:space="preserve">Union Bank Of India </t>
  </si>
  <si>
    <t xml:space="preserve">Dhirendra Kumar </t>
  </si>
  <si>
    <t>583210110001261</t>
  </si>
  <si>
    <t>BKID0005832</t>
  </si>
  <si>
    <t xml:space="preserve">Bank Of India </t>
  </si>
  <si>
    <t xml:space="preserve">Kunal Kumar </t>
  </si>
  <si>
    <t>38378598134</t>
  </si>
  <si>
    <t>SBIN0003212</t>
  </si>
  <si>
    <t>State Bank Of India</t>
  </si>
  <si>
    <t>Rinku Devi</t>
  </si>
  <si>
    <t>35250131018012</t>
  </si>
  <si>
    <t>PUNB0MBGB06</t>
  </si>
  <si>
    <t>Bihar Gramin Bank</t>
  </si>
  <si>
    <t>Kumod Yadav</t>
  </si>
  <si>
    <t>35180110086587</t>
  </si>
  <si>
    <t>Farmers Account Name</t>
  </si>
  <si>
    <t>Account no</t>
  </si>
  <si>
    <t>IFSC code</t>
  </si>
  <si>
    <t xml:space="preserve">Bank Of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</si>
</sst>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2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0" fontId="0" fillId="0" borderId="5" xfId="0" applyBorder="1" applyAlignment="1">
      <alignment horizontal="center"/>
    </xf>
    <xf numFmtId="43" fontId="0" fillId="0" borderId="5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164" fontId="1" fillId="5" borderId="5" xfId="3" applyNumberFormat="1" applyFont="1" applyFill="1" applyBorder="1" applyAlignment="1">
      <alignment horizontal="center" vertical="center"/>
    </xf>
    <xf numFmtId="164" fontId="0" fillId="5" borderId="5" xfId="0" applyNumberFormat="1" applyFill="1" applyBorder="1"/>
    <xf numFmtId="164" fontId="2" fillId="2" borderId="7" xfId="2" applyNumberFormat="1" applyFon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6" xfId="0" quotePrefix="1" applyBorder="1"/>
    <xf numFmtId="0" fontId="0" fillId="0" borderId="6" xfId="0" applyBorder="1"/>
    <xf numFmtId="0" fontId="0" fillId="0" borderId="8" xfId="0" applyBorder="1"/>
    <xf numFmtId="164" fontId="0" fillId="0" borderId="8" xfId="0" applyNumberFormat="1" applyBorder="1"/>
  </cellXfs>
  <cellStyles count="4">
    <cellStyle name="Comma" xfId="1" builtinId="3"/>
    <cellStyle name="Comma 2" xfId="3" xr:uid="{FE2EBFD0-9178-4F36-87A6-06BD53BA529F}"/>
    <cellStyle name="Normal" xfId="0" builtinId="0"/>
    <cellStyle name="Note" xfId="2" builtinId="1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6F25-7302-4A22-8FBB-C62EAA7162AD}">
  <dimension ref="A1:Q7"/>
  <sheetViews>
    <sheetView tabSelected="1" workbookViewId="0">
      <selection activeCell="O15" sqref="O15"/>
    </sheetView>
  </sheetViews>
  <sheetFormatPr defaultRowHeight="15" x14ac:dyDescent="0.25"/>
  <cols>
    <col min="1" max="1" width="5.85546875" bestFit="1" customWidth="1"/>
    <col min="2" max="2" width="11" bestFit="1" customWidth="1"/>
    <col min="3" max="3" width="9" bestFit="1" customWidth="1"/>
    <col min="4" max="4" width="21.5703125" bestFit="1" customWidth="1"/>
    <col min="5" max="5" width="5.7109375" bestFit="1" customWidth="1"/>
    <col min="6" max="6" width="8.85546875" bestFit="1" customWidth="1"/>
    <col min="7" max="7" width="7.85546875" bestFit="1" customWidth="1"/>
    <col min="8" max="8" width="8" bestFit="1" customWidth="1"/>
    <col min="9" max="9" width="9.28515625" bestFit="1" customWidth="1"/>
    <col min="10" max="10" width="8.42578125" bestFit="1" customWidth="1"/>
    <col min="11" max="11" width="8.85546875" bestFit="1" customWidth="1"/>
    <col min="12" max="12" width="38.7109375" bestFit="1" customWidth="1"/>
    <col min="13" max="14" width="12.140625" bestFit="1" customWidth="1"/>
    <col min="15" max="15" width="16.140625" bestFit="1" customWidth="1"/>
    <col min="16" max="16" width="12.42578125" bestFit="1" customWidth="1"/>
    <col min="17" max="17" width="19.28515625" bestFit="1" customWidth="1"/>
  </cols>
  <sheetData>
    <row r="1" spans="1:17" s="6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5" t="s">
        <v>42</v>
      </c>
      <c r="O1" s="5" t="s">
        <v>43</v>
      </c>
      <c r="P1" s="5" t="s">
        <v>44</v>
      </c>
      <c r="Q1" s="5" t="s">
        <v>45</v>
      </c>
    </row>
    <row r="2" spans="1:17" x14ac:dyDescent="0.25">
      <c r="A2" s="7">
        <v>1056</v>
      </c>
      <c r="B2" s="8" t="s">
        <v>13</v>
      </c>
      <c r="C2" s="9">
        <v>10560016</v>
      </c>
      <c r="D2" s="10" t="s">
        <v>14</v>
      </c>
      <c r="E2" s="11" t="s">
        <v>15</v>
      </c>
      <c r="F2" s="11" t="s">
        <v>16</v>
      </c>
      <c r="G2" s="12">
        <v>1014.8599999999999</v>
      </c>
      <c r="H2" s="12">
        <v>37424.35</v>
      </c>
      <c r="I2" s="13">
        <v>35855</v>
      </c>
      <c r="J2" s="14">
        <v>0</v>
      </c>
      <c r="K2" s="15">
        <v>0</v>
      </c>
      <c r="L2" s="16" t="s">
        <v>17</v>
      </c>
      <c r="M2" s="17" t="s">
        <v>18</v>
      </c>
      <c r="N2" s="18" t="s">
        <v>40</v>
      </c>
      <c r="O2" s="18" t="s">
        <v>41</v>
      </c>
      <c r="P2" s="18" t="s">
        <v>38</v>
      </c>
      <c r="Q2" s="18" t="s">
        <v>39</v>
      </c>
    </row>
    <row r="3" spans="1:17" x14ac:dyDescent="0.25">
      <c r="A3" s="7">
        <v>1056</v>
      </c>
      <c r="B3" s="8" t="s">
        <v>13</v>
      </c>
      <c r="C3" s="9">
        <v>10560027</v>
      </c>
      <c r="D3" s="10" t="s">
        <v>19</v>
      </c>
      <c r="E3" s="11" t="s">
        <v>15</v>
      </c>
      <c r="F3" s="11" t="s">
        <v>16</v>
      </c>
      <c r="G3" s="12">
        <v>336.96</v>
      </c>
      <c r="H3" s="12">
        <v>13036.68</v>
      </c>
      <c r="I3" s="13">
        <v>13037</v>
      </c>
      <c r="J3" s="14">
        <v>0</v>
      </c>
      <c r="K3" s="15">
        <v>0</v>
      </c>
      <c r="L3" s="16" t="s">
        <v>17</v>
      </c>
      <c r="M3" s="17" t="s">
        <v>18</v>
      </c>
      <c r="N3" s="18" t="s">
        <v>36</v>
      </c>
      <c r="O3" s="18" t="s">
        <v>37</v>
      </c>
      <c r="P3" s="18" t="s">
        <v>38</v>
      </c>
      <c r="Q3" s="18" t="s">
        <v>39</v>
      </c>
    </row>
    <row r="4" spans="1:17" x14ac:dyDescent="0.25">
      <c r="A4" s="7">
        <v>1056</v>
      </c>
      <c r="B4" s="8" t="s">
        <v>13</v>
      </c>
      <c r="C4" s="9">
        <v>10560028</v>
      </c>
      <c r="D4" s="10" t="s">
        <v>20</v>
      </c>
      <c r="E4" s="11" t="s">
        <v>15</v>
      </c>
      <c r="F4" s="11" t="s">
        <v>16</v>
      </c>
      <c r="G4" s="12">
        <v>263.11999999999995</v>
      </c>
      <c r="H4" s="12">
        <v>10603.34</v>
      </c>
      <c r="I4" s="13">
        <v>10603</v>
      </c>
      <c r="J4" s="14">
        <v>0</v>
      </c>
      <c r="K4" s="15">
        <v>0</v>
      </c>
      <c r="L4" s="16" t="s">
        <v>17</v>
      </c>
      <c r="M4" s="17" t="s">
        <v>18</v>
      </c>
      <c r="N4" s="18" t="s">
        <v>32</v>
      </c>
      <c r="O4" s="18" t="s">
        <v>33</v>
      </c>
      <c r="P4" s="18" t="s">
        <v>34</v>
      </c>
      <c r="Q4" s="18" t="s">
        <v>35</v>
      </c>
    </row>
    <row r="5" spans="1:17" x14ac:dyDescent="0.25">
      <c r="A5" s="7">
        <v>1056</v>
      </c>
      <c r="B5" s="8" t="s">
        <v>13</v>
      </c>
      <c r="C5" s="9">
        <v>10560033</v>
      </c>
      <c r="D5" s="10" t="s">
        <v>21</v>
      </c>
      <c r="E5" s="11" t="s">
        <v>22</v>
      </c>
      <c r="F5" s="11" t="s">
        <v>16</v>
      </c>
      <c r="G5" s="12">
        <v>257.8</v>
      </c>
      <c r="H5" s="12">
        <v>10305.59</v>
      </c>
      <c r="I5" s="13">
        <v>10306</v>
      </c>
      <c r="J5" s="14">
        <v>0</v>
      </c>
      <c r="K5" s="15">
        <v>0</v>
      </c>
      <c r="L5" s="16" t="s">
        <v>17</v>
      </c>
      <c r="M5" s="17" t="s">
        <v>18</v>
      </c>
      <c r="N5" s="18" t="s">
        <v>24</v>
      </c>
      <c r="O5" s="18" t="s">
        <v>25</v>
      </c>
      <c r="P5" s="18" t="s">
        <v>26</v>
      </c>
      <c r="Q5" s="18" t="s">
        <v>27</v>
      </c>
    </row>
    <row r="6" spans="1:17" ht="15.75" thickBot="1" x14ac:dyDescent="0.3">
      <c r="A6" s="19">
        <v>1056</v>
      </c>
      <c r="B6" s="20" t="s">
        <v>13</v>
      </c>
      <c r="C6" s="21">
        <v>10560037</v>
      </c>
      <c r="D6" s="22" t="s">
        <v>23</v>
      </c>
      <c r="E6" s="23" t="s">
        <v>15</v>
      </c>
      <c r="F6" s="23" t="s">
        <v>16</v>
      </c>
      <c r="G6" s="24">
        <v>123.39999999999998</v>
      </c>
      <c r="H6" s="24">
        <v>4420.49</v>
      </c>
      <c r="I6" s="25">
        <v>3636</v>
      </c>
      <c r="J6" s="26">
        <v>0</v>
      </c>
      <c r="K6" s="27">
        <v>0</v>
      </c>
      <c r="L6" s="28" t="s">
        <v>17</v>
      </c>
      <c r="M6" s="29" t="s">
        <v>18</v>
      </c>
      <c r="N6" s="30" t="s">
        <v>28</v>
      </c>
      <c r="O6" s="30" t="s">
        <v>29</v>
      </c>
      <c r="P6" s="30" t="s">
        <v>30</v>
      </c>
      <c r="Q6" s="30" t="s">
        <v>31</v>
      </c>
    </row>
    <row r="7" spans="1:17" ht="15.75" thickBot="1" x14ac:dyDescent="0.3">
      <c r="A7" s="31"/>
      <c r="B7" s="31"/>
      <c r="C7" s="31"/>
      <c r="D7" s="31"/>
      <c r="E7" s="31"/>
      <c r="F7" s="31"/>
      <c r="G7" s="31"/>
      <c r="H7" s="31"/>
      <c r="I7" s="32">
        <f>SUM(I2:I6)</f>
        <v>73437</v>
      </c>
      <c r="J7" s="31"/>
      <c r="K7" s="31"/>
      <c r="L7" s="31"/>
      <c r="M7" s="31"/>
    </row>
  </sheetData>
  <conditionalFormatting sqref="C1">
    <cfRule type="duplicateValues" dxfId="7" priority="8" stopIfTrue="1"/>
  </conditionalFormatting>
  <conditionalFormatting sqref="C2:C6">
    <cfRule type="duplicateValues" dxfId="6" priority="5"/>
  </conditionalFormatting>
  <conditionalFormatting sqref="C2:C6">
    <cfRule type="duplicateValues" dxfId="5" priority="6"/>
    <cfRule type="duplicateValues" dxfId="4" priority="7"/>
  </conditionalFormatting>
  <conditionalFormatting sqref="F2:F6">
    <cfRule type="containsText" dxfId="3" priority="3" operator="containsText" text="Indirect">
      <formula>NOT(ISERROR(SEARCH("Indirect",F2)))</formula>
    </cfRule>
  </conditionalFormatting>
  <conditionalFormatting sqref="I2:I6">
    <cfRule type="cellIs" dxfId="2" priority="2" operator="lessThan">
      <formula>-1</formula>
    </cfRule>
  </conditionalFormatting>
  <conditionalFormatting sqref="J2:J6">
    <cfRule type="cellIs" dxfId="1" priority="4" operator="lessThan">
      <formula>0</formula>
    </cfRule>
  </conditionalFormatting>
  <conditionalFormatting sqref="O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2026-05-13T07:37:07Z</dcterms:created>
  <dcterms:modified xsi:type="dcterms:W3CDTF">2026-05-13T07:48:46Z</dcterms:modified>
</cp:coreProperties>
</file>