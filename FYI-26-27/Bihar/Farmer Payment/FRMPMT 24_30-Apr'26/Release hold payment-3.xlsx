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Apr'26\"/>
    </mc:Choice>
  </mc:AlternateContent>
  <xr:revisionPtr revIDLastSave="0" documentId="8_{4869329B-A56A-45B4-8268-0A901B2780A8}" xr6:coauthVersionLast="47" xr6:coauthVersionMax="47" xr10:uidLastSave="{00000000-0000-0000-0000-000000000000}"/>
  <bookViews>
    <workbookView xWindow="-120" yWindow="-120" windowWidth="29040" windowHeight="15720" xr2:uid="{E6FD2C70-B6C1-459A-8802-CA3FBF081DBD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4" i="2" l="1"/>
</calcChain>
</file>

<file path=xl/sharedStrings.xml><?xml version="1.0" encoding="utf-8"?>
<sst xmlns="http://schemas.openxmlformats.org/spreadsheetml/2006/main" count="1290" uniqueCount="449">
  <si>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</si>
  <si>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</si>
  <si>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</si>
  <si>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</si>
  <si>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</si>
  <si>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</si>
  <si>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</si>
  <si>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</si>
  <si>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</si>
  <si>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</si>
  <si>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</si>
  <si>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</si>
  <si>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</si>
  <si>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</si>
  <si>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</si>
  <si>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</si>
  <si>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</si>
  <si>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</si>
  <si>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</si>
  <si>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</si>
  <si>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</si>
  <si>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</si>
  <si>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</si>
  <si>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</si>
  <si>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</si>
  <si>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</si>
  <si>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</si>
  <si>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</si>
  <si>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</si>
  <si>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</si>
  <si>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</si>
  <si>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Sonvarsha</t>
  </si>
  <si>
    <t>Farda Ravi Tola</t>
  </si>
  <si>
    <t>MPG</t>
  </si>
  <si>
    <t>Direct</t>
  </si>
  <si>
    <t>Release3</t>
  </si>
  <si>
    <t>Letter Not received / CF OS&gt;15 Day's</t>
  </si>
  <si>
    <t>05. 24-30 Apr</t>
  </si>
  <si>
    <t xml:space="preserve">LAKHOCHAK                                                                                           </t>
  </si>
  <si>
    <t>Letter Not received</t>
  </si>
  <si>
    <t>KHAJURIYA</t>
  </si>
  <si>
    <t>CF OS&gt;15 Day's</t>
  </si>
  <si>
    <t>Araria</t>
  </si>
  <si>
    <t>Gomukh Bari Chak Gogri</t>
  </si>
  <si>
    <t>Sahibpur Kamal</t>
  </si>
  <si>
    <t>Gomukh Bakiya</t>
  </si>
  <si>
    <t>GOMUKH SRINAGAR</t>
  </si>
  <si>
    <t>Dumraon</t>
  </si>
  <si>
    <t>Dumri Purvi Tola</t>
  </si>
  <si>
    <t>Kulharia Agriculture Producer Company Limited</t>
  </si>
  <si>
    <t>Gomukh Rajpur</t>
  </si>
  <si>
    <t>Gumukh Orap Khurd</t>
  </si>
  <si>
    <t>Gomukh Barja</t>
  </si>
  <si>
    <t>Total:</t>
  </si>
  <si>
    <t xml:space="preserve">LAKHOCHAK 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</si>
  <si>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</si>
  <si>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</si>
  <si>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</si>
  <si>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</si>
  <si>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</si>
  <si>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</si>
  <si>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</si>
  <si>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</si>
  <si>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</si>
  <si>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</si>
  <si>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</si>
  <si>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</si>
  <si>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</si>
  <si>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</si>
  <si>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</si>
  <si>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</si>
  <si>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</si>
  <si>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</si>
  <si>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</si>
  <si>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100600220001</t>
  </si>
  <si>
    <t>0001</t>
  </si>
  <si>
    <t>Not Available</t>
  </si>
  <si>
    <t>100600220002</t>
  </si>
  <si>
    <t>0002</t>
  </si>
  <si>
    <t>Ramashish Ray</t>
  </si>
  <si>
    <t>32300110025230</t>
  </si>
  <si>
    <t>PUNB0MBGB06</t>
  </si>
  <si>
    <t xml:space="preserve">Bihar Garmin Bank </t>
  </si>
  <si>
    <t>Available</t>
  </si>
  <si>
    <t>100600220006</t>
  </si>
  <si>
    <t>0006</t>
  </si>
  <si>
    <t xml:space="preserve">Sanu Kumar </t>
  </si>
  <si>
    <t>50100577025796</t>
  </si>
  <si>
    <t>HDFC0002684</t>
  </si>
  <si>
    <t>HDFC BANK LTD</t>
  </si>
  <si>
    <t>100600220018</t>
  </si>
  <si>
    <t>0018</t>
  </si>
  <si>
    <t xml:space="preserve">Vishal Kumar </t>
  </si>
  <si>
    <t>50100577045596</t>
  </si>
  <si>
    <t>HDFC Bank Ltd</t>
  </si>
  <si>
    <t>100600220050</t>
  </si>
  <si>
    <t>0050</t>
  </si>
  <si>
    <t>Madhur Jee</t>
  </si>
  <si>
    <t>50100379421872</t>
  </si>
  <si>
    <t xml:space="preserve">HDFC Bank </t>
  </si>
  <si>
    <t>100600310095</t>
  </si>
  <si>
    <t>0095</t>
  </si>
  <si>
    <t>Ramniwas Kumar</t>
  </si>
  <si>
    <t>39160179188</t>
  </si>
  <si>
    <t>SBIN0002968</t>
  </si>
  <si>
    <t xml:space="preserve">State Bank of India </t>
  </si>
  <si>
    <t>100600310097</t>
  </si>
  <si>
    <t>0097</t>
  </si>
  <si>
    <t>Sunny Kumar</t>
  </si>
  <si>
    <t>44043633720</t>
  </si>
  <si>
    <t>SBIN0012593</t>
  </si>
  <si>
    <t>100600310100</t>
  </si>
  <si>
    <t>0100</t>
  </si>
  <si>
    <t>Chalisha Yadav</t>
  </si>
  <si>
    <t>36417030833</t>
  </si>
  <si>
    <t>100600310101</t>
  </si>
  <si>
    <t>0101</t>
  </si>
  <si>
    <t>Rajiv Ranjan Kumar</t>
  </si>
  <si>
    <t>31090100001854</t>
  </si>
  <si>
    <t>Bihar Gramin Bank</t>
  </si>
  <si>
    <t>100600310102</t>
  </si>
  <si>
    <t>0102</t>
  </si>
  <si>
    <t>Nago Ram</t>
  </si>
  <si>
    <t>479102010008782</t>
  </si>
  <si>
    <t>UBIN0547913</t>
  </si>
  <si>
    <t xml:space="preserve">Union Bank of India </t>
  </si>
  <si>
    <t>100600310105</t>
  </si>
  <si>
    <t>0105</t>
  </si>
  <si>
    <t>Ravindra Kumar</t>
  </si>
  <si>
    <t>41784210895</t>
  </si>
  <si>
    <t>100600310108</t>
  </si>
  <si>
    <t>0108</t>
  </si>
  <si>
    <t>Madan Yadav</t>
  </si>
  <si>
    <t>479102010002383</t>
  </si>
  <si>
    <t>100600310118</t>
  </si>
  <si>
    <t>0118</t>
  </si>
  <si>
    <t xml:space="preserve">Manish Kumar </t>
  </si>
  <si>
    <t>479102010017845</t>
  </si>
  <si>
    <t xml:space="preserve">Union Bank </t>
  </si>
  <si>
    <t>100601110002</t>
  </si>
  <si>
    <t xml:space="preserve">Niranjan </t>
  </si>
  <si>
    <t>09550110045091</t>
  </si>
  <si>
    <t>UCBA0000955</t>
  </si>
  <si>
    <t xml:space="preserve">Uco Bank </t>
  </si>
  <si>
    <t>100601110004</t>
  </si>
  <si>
    <t>0004</t>
  </si>
  <si>
    <t>Arvind Mandal</t>
  </si>
  <si>
    <t>59112780203</t>
  </si>
  <si>
    <t>IDIB000K652</t>
  </si>
  <si>
    <t>Indian Bank</t>
  </si>
  <si>
    <t>100601110008</t>
  </si>
  <si>
    <t>0008</t>
  </si>
  <si>
    <t>Abhishek  Kumar Singh</t>
  </si>
  <si>
    <t>09550110107041</t>
  </si>
  <si>
    <t>100601110013</t>
  </si>
  <si>
    <t>0013</t>
  </si>
  <si>
    <t xml:space="preserve">Pushpa Kumari </t>
  </si>
  <si>
    <t>59160378719</t>
  </si>
  <si>
    <t>IDIB000G559</t>
  </si>
  <si>
    <t>100601110035</t>
  </si>
  <si>
    <t>0035</t>
  </si>
  <si>
    <t>Raj Kumar Mandal</t>
  </si>
  <si>
    <t>20200100775318</t>
  </si>
  <si>
    <t>BDBL0002736</t>
  </si>
  <si>
    <t>Bandhan Bank</t>
  </si>
  <si>
    <t>100700770002</t>
  </si>
  <si>
    <t>Mithun Kumar</t>
  </si>
  <si>
    <t>31560110061985</t>
  </si>
  <si>
    <t>UCBA0003156</t>
  </si>
  <si>
    <t>101100660001</t>
  </si>
  <si>
    <t>101100660002</t>
  </si>
  <si>
    <t xml:space="preserve">Mukesh Kumar </t>
  </si>
  <si>
    <t>50180020563472</t>
  </si>
  <si>
    <t>BDBL0001439</t>
  </si>
  <si>
    <t xml:space="preserve">Bandhan Bank </t>
  </si>
  <si>
    <t>101100660004</t>
  </si>
  <si>
    <t xml:space="preserve">Jamni Devi </t>
  </si>
  <si>
    <t>21530100007382</t>
  </si>
  <si>
    <t>BARB0BANNIX</t>
  </si>
  <si>
    <t>Bank Of Baroda</t>
  </si>
  <si>
    <t>101100660008</t>
  </si>
  <si>
    <t xml:space="preserve">Niti Paswan </t>
  </si>
  <si>
    <t>39211817673</t>
  </si>
  <si>
    <t>SBIN0003212</t>
  </si>
  <si>
    <t>SBI-Kiosk Banking</t>
  </si>
  <si>
    <t>101100660013</t>
  </si>
  <si>
    <t>Amir Paswan</t>
  </si>
  <si>
    <t>35220110023676</t>
  </si>
  <si>
    <t xml:space="preserve">Bihar Gramin Bank </t>
  </si>
  <si>
    <t>101100660015</t>
  </si>
  <si>
    <t>0015</t>
  </si>
  <si>
    <t xml:space="preserve">Raviraj Kumar Paswan </t>
  </si>
  <si>
    <t>37718915342</t>
  </si>
  <si>
    <t>SBIN0002964</t>
  </si>
  <si>
    <t xml:space="preserve">State Bank Of India </t>
  </si>
  <si>
    <t>101100660016</t>
  </si>
  <si>
    <t>0016</t>
  </si>
  <si>
    <t xml:space="preserve">Madhu Kumari </t>
  </si>
  <si>
    <t>35130131130605</t>
  </si>
  <si>
    <t xml:space="preserve">Dakshin Bihar Gramin Bank </t>
  </si>
  <si>
    <t>101100660019</t>
  </si>
  <si>
    <t>0019</t>
  </si>
  <si>
    <t xml:space="preserve">Lali Kumari </t>
  </si>
  <si>
    <t>35220131205489</t>
  </si>
  <si>
    <t>101100660020</t>
  </si>
  <si>
    <t>0020</t>
  </si>
  <si>
    <t xml:space="preserve">Kalpana Devi </t>
  </si>
  <si>
    <t>21538100006124</t>
  </si>
  <si>
    <t>101100660021</t>
  </si>
  <si>
    <t>0021</t>
  </si>
  <si>
    <t xml:space="preserve">Badal Kumar </t>
  </si>
  <si>
    <t>35220700013359</t>
  </si>
  <si>
    <t>101100660024</t>
  </si>
  <si>
    <t>0024</t>
  </si>
  <si>
    <t xml:space="preserve">Supriya Kumari </t>
  </si>
  <si>
    <t>35220110012360</t>
  </si>
  <si>
    <t>101100660027</t>
  </si>
  <si>
    <t>0027</t>
  </si>
  <si>
    <t xml:space="preserve">Lakhana Paswan </t>
  </si>
  <si>
    <t>21530100003593</t>
  </si>
  <si>
    <t>101100660028</t>
  </si>
  <si>
    <t>0028</t>
  </si>
  <si>
    <t xml:space="preserve">Ajit Kumar  </t>
  </si>
  <si>
    <t>701102120012526</t>
  </si>
  <si>
    <t>UBIN0570117</t>
  </si>
  <si>
    <t>101100660032</t>
  </si>
  <si>
    <t>0032</t>
  </si>
  <si>
    <t xml:space="preserve">Ramesh Paswan </t>
  </si>
  <si>
    <t>35220131042049</t>
  </si>
  <si>
    <t>101100660034</t>
  </si>
  <si>
    <t>0034</t>
  </si>
  <si>
    <t xml:space="preserve">Anju devi </t>
  </si>
  <si>
    <t>35220700041115</t>
  </si>
  <si>
    <t>101100660035</t>
  </si>
  <si>
    <t>Mohan Thakur</t>
  </si>
  <si>
    <t>30303898870</t>
  </si>
  <si>
    <t>SBIN0006015</t>
  </si>
  <si>
    <t>101100660036</t>
  </si>
  <si>
    <t>0036</t>
  </si>
  <si>
    <t>Safalta Kumari</t>
  </si>
  <si>
    <t>35220700035565</t>
  </si>
  <si>
    <t xml:space="preserve">Bihar Gramin bank </t>
  </si>
  <si>
    <t>101100760001</t>
  </si>
  <si>
    <t>101100760002</t>
  </si>
  <si>
    <t xml:space="preserve">Satyaveer Kumar </t>
  </si>
  <si>
    <t>38220110049373</t>
  </si>
  <si>
    <t>101100760004</t>
  </si>
  <si>
    <t xml:space="preserve">Pavan Kumar Paswan </t>
  </si>
  <si>
    <t>38110700019199</t>
  </si>
  <si>
    <t>101100760005</t>
  </si>
  <si>
    <t>0005</t>
  </si>
  <si>
    <t>Chhaatish Yadav</t>
  </si>
  <si>
    <t>38110110118140</t>
  </si>
  <si>
    <t>101100760008</t>
  </si>
  <si>
    <t xml:space="preserve">Mamta Devi </t>
  </si>
  <si>
    <t>38110700011988</t>
  </si>
  <si>
    <t>101100760009</t>
  </si>
  <si>
    <t>0009</t>
  </si>
  <si>
    <t xml:space="preserve">Shilpy Kumari </t>
  </si>
  <si>
    <t>370502010972630</t>
  </si>
  <si>
    <t>UBIN0537055</t>
  </si>
  <si>
    <t>101100760010</t>
  </si>
  <si>
    <t>0010</t>
  </si>
  <si>
    <t>Dropadi Devi</t>
  </si>
  <si>
    <t>38110700054989</t>
  </si>
  <si>
    <t>101100760011</t>
  </si>
  <si>
    <t>0011</t>
  </si>
  <si>
    <t>101100760012</t>
  </si>
  <si>
    <t>0012</t>
  </si>
  <si>
    <t>101100760014</t>
  </si>
  <si>
    <t>0014</t>
  </si>
  <si>
    <t>101100760015</t>
  </si>
  <si>
    <t>101400010030</t>
  </si>
  <si>
    <t>0030</t>
  </si>
  <si>
    <t xml:space="preserve">Ashutosh kumar </t>
  </si>
  <si>
    <t>1547001700004216</t>
  </si>
  <si>
    <t>PUNB0154700</t>
  </si>
  <si>
    <t xml:space="preserve">Punjab national Bank </t>
  </si>
  <si>
    <t>101400010038</t>
  </si>
  <si>
    <t>0038</t>
  </si>
  <si>
    <t xml:space="preserve">Shio Shankar Kumar </t>
  </si>
  <si>
    <t>1547000100045306</t>
  </si>
  <si>
    <t>101400010059</t>
  </si>
  <si>
    <t>0059</t>
  </si>
  <si>
    <t xml:space="preserve">sunita Devi </t>
  </si>
  <si>
    <t>1547001700002582</t>
  </si>
  <si>
    <t>101400010088</t>
  </si>
  <si>
    <t>0088</t>
  </si>
  <si>
    <t>1547001500013656</t>
  </si>
  <si>
    <t xml:space="preserve">Punjab National Bank </t>
  </si>
  <si>
    <t>101400980001</t>
  </si>
  <si>
    <t>101400980002</t>
  </si>
  <si>
    <t xml:space="preserve">Anil Kumar </t>
  </si>
  <si>
    <t>460510410001428</t>
  </si>
  <si>
    <t>BKID0004605</t>
  </si>
  <si>
    <t xml:space="preserve">Bank Of India </t>
  </si>
  <si>
    <t>101400980007</t>
  </si>
  <si>
    <t>0007</t>
  </si>
  <si>
    <t xml:space="preserve">Pramod Kumar </t>
  </si>
  <si>
    <t>6935000100030647</t>
  </si>
  <si>
    <t>PUNB0693500</t>
  </si>
  <si>
    <t>Punjab National Bank</t>
  </si>
  <si>
    <t>101400980013</t>
  </si>
  <si>
    <t xml:space="preserve">Amod Kumar </t>
  </si>
  <si>
    <t>1831101004524</t>
  </si>
  <si>
    <t>CNRB0001831</t>
  </si>
  <si>
    <t xml:space="preserve">Canara Bank </t>
  </si>
  <si>
    <t>101400980021</t>
  </si>
  <si>
    <t xml:space="preserve">Khushi Kumari </t>
  </si>
  <si>
    <t>3877001700070509</t>
  </si>
  <si>
    <t>PUNB0387700</t>
  </si>
  <si>
    <t>101400980026</t>
  </si>
  <si>
    <t>0026</t>
  </si>
  <si>
    <t xml:space="preserve">Pradeep Kumar </t>
  </si>
  <si>
    <t>578810110002442</t>
  </si>
  <si>
    <t>BKID0005788</t>
  </si>
  <si>
    <t>101401790001</t>
  </si>
  <si>
    <t>101401790003</t>
  </si>
  <si>
    <t>0003</t>
  </si>
  <si>
    <t>Shri Bhagwan Thakur</t>
  </si>
  <si>
    <t>1748101002540</t>
  </si>
  <si>
    <t>CNRB0001748</t>
  </si>
  <si>
    <t>101401790005</t>
  </si>
  <si>
    <t xml:space="preserve">Chandan Kumar Thakur </t>
  </si>
  <si>
    <t>6005000100122928</t>
  </si>
  <si>
    <t>PUNB0600500</t>
  </si>
  <si>
    <t>101401790006</t>
  </si>
  <si>
    <t>Shiva Kumar Thakur</t>
  </si>
  <si>
    <t>110098626388</t>
  </si>
  <si>
    <t>101401790007</t>
  </si>
  <si>
    <t>Raj Narayan Thakur</t>
  </si>
  <si>
    <t>1748101009440</t>
  </si>
  <si>
    <t>101401790008</t>
  </si>
  <si>
    <t>Omprakash thakur</t>
  </si>
  <si>
    <t>1748101011003</t>
  </si>
  <si>
    <t>101401790010</t>
  </si>
  <si>
    <t>Amarnath Kahar</t>
  </si>
  <si>
    <t>6005001700051685</t>
  </si>
  <si>
    <t>101401790012</t>
  </si>
  <si>
    <t>Bharat Kunwar</t>
  </si>
  <si>
    <t>1748101003298</t>
  </si>
  <si>
    <t>101401790019</t>
  </si>
  <si>
    <t>Sant Kumari Devi</t>
  </si>
  <si>
    <t>70700700063240</t>
  </si>
  <si>
    <t>101401790020</t>
  </si>
  <si>
    <t>Ravishankar Thakur</t>
  </si>
  <si>
    <t>43087024986</t>
  </si>
  <si>
    <t>SBIN0002923</t>
  </si>
  <si>
    <t>101401790022</t>
  </si>
  <si>
    <t>0022</t>
  </si>
  <si>
    <t>Rajadhan Thakur</t>
  </si>
  <si>
    <t>1748101003861</t>
  </si>
  <si>
    <t>101401790023</t>
  </si>
  <si>
    <t>0023</t>
  </si>
  <si>
    <t>Abhishek Thakur</t>
  </si>
  <si>
    <t>6483001700065576</t>
  </si>
  <si>
    <t>PUNB0648300</t>
  </si>
  <si>
    <t>101401790024</t>
  </si>
  <si>
    <t>Sitaram Thakur</t>
  </si>
  <si>
    <t>70700100009396</t>
  </si>
  <si>
    <t>101401790025</t>
  </si>
  <si>
    <t>0025</t>
  </si>
  <si>
    <t>Prince Thakur</t>
  </si>
  <si>
    <t>43655098966</t>
  </si>
  <si>
    <t>101401790028</t>
  </si>
  <si>
    <t>Shrinivas Thakur</t>
  </si>
  <si>
    <t>70700100133718</t>
  </si>
  <si>
    <t xml:space="preserve">Madhya Bihar Gramin Bank </t>
  </si>
  <si>
    <t>101401790030</t>
  </si>
  <si>
    <t>Lalpati Yadav</t>
  </si>
  <si>
    <t>1748101008538</t>
  </si>
  <si>
    <t>Canara Bank</t>
  </si>
  <si>
    <t>101401790032</t>
  </si>
  <si>
    <t>Golu Thakur</t>
  </si>
  <si>
    <t>45508100038608</t>
  </si>
  <si>
    <t>BARB0DUMRAO</t>
  </si>
  <si>
    <t>101401790033</t>
  </si>
  <si>
    <t>0033</t>
  </si>
  <si>
    <t>Naresh Pandey</t>
  </si>
  <si>
    <t>39176362701</t>
  </si>
  <si>
    <t>101401790039</t>
  </si>
  <si>
    <t>0039</t>
  </si>
  <si>
    <t>Birbal Singh</t>
  </si>
  <si>
    <t>456618210000037</t>
  </si>
  <si>
    <t>BKID0004566</t>
  </si>
  <si>
    <t>Bank Of India</t>
  </si>
  <si>
    <t>101401790041</t>
  </si>
  <si>
    <t>0041</t>
  </si>
  <si>
    <t xml:space="preserve">Pawan Kumar Gupta </t>
  </si>
  <si>
    <t>6005001700138197</t>
  </si>
  <si>
    <t>101401790043</t>
  </si>
  <si>
    <t>0043</t>
  </si>
  <si>
    <t xml:space="preserve">Lalita Devi </t>
  </si>
  <si>
    <t>6005001700028182</t>
  </si>
  <si>
    <t>101401790044</t>
  </si>
  <si>
    <t>0044</t>
  </si>
  <si>
    <t>Fudera Thakur</t>
  </si>
  <si>
    <t>70700700055904</t>
  </si>
  <si>
    <t>101401790048</t>
  </si>
  <si>
    <t>0048</t>
  </si>
  <si>
    <t>Brij Kumari Devi</t>
  </si>
  <si>
    <t>39324761584</t>
  </si>
  <si>
    <t>101401790051</t>
  </si>
  <si>
    <t>0051</t>
  </si>
  <si>
    <t>Sachchidanand Thakur</t>
  </si>
  <si>
    <t>1748101001636</t>
  </si>
  <si>
    <t>101401790052</t>
  </si>
  <si>
    <t>0052</t>
  </si>
  <si>
    <t>Rinku Devi</t>
  </si>
  <si>
    <t>6005001700186547</t>
  </si>
  <si>
    <t>101401790057</t>
  </si>
  <si>
    <t>0057</t>
  </si>
  <si>
    <t>Ashok Kumar Thakur</t>
  </si>
  <si>
    <t>1748101011551</t>
  </si>
  <si>
    <t>101401790058</t>
  </si>
  <si>
    <t>0058</t>
  </si>
  <si>
    <t>Suresh Thakur</t>
  </si>
  <si>
    <t>6005000100003252</t>
  </si>
  <si>
    <t>101401790059</t>
  </si>
  <si>
    <t>Nandlal Ram</t>
  </si>
  <si>
    <t>31859747251</t>
  </si>
  <si>
    <t>101401790061</t>
  </si>
  <si>
    <t>0061</t>
  </si>
  <si>
    <t>Manju Devi</t>
  </si>
  <si>
    <t>45508100026569</t>
  </si>
  <si>
    <t>101401790063</t>
  </si>
  <si>
    <t>0063</t>
  </si>
  <si>
    <t xml:space="preserve">Ramita Kumari </t>
  </si>
  <si>
    <t>45508100038602</t>
  </si>
  <si>
    <t>101401790064</t>
  </si>
  <si>
    <t>0064</t>
  </si>
  <si>
    <t>Sunny Thakur</t>
  </si>
  <si>
    <t>6483001700065512</t>
  </si>
  <si>
    <t>101401790065</t>
  </si>
  <si>
    <t>0065</t>
  </si>
  <si>
    <t xml:space="preserve">Rajnish Tiwari </t>
  </si>
  <si>
    <t>456618210007334</t>
  </si>
  <si>
    <t>101401790066</t>
  </si>
  <si>
    <t>0066</t>
  </si>
  <si>
    <t xml:space="preserve">Manisha Kumari </t>
  </si>
  <si>
    <t>70700700050653</t>
  </si>
  <si>
    <t>101401940002</t>
  </si>
  <si>
    <t>Nandji Singh</t>
  </si>
  <si>
    <t>43972784046</t>
  </si>
  <si>
    <t>SBIN0000051</t>
  </si>
  <si>
    <t>106000050002</t>
  </si>
  <si>
    <t>Rahul Tiwari</t>
  </si>
  <si>
    <t>42754974972</t>
  </si>
  <si>
    <t>SBIN0006286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</si>
</sst>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164" fontId="0" fillId="0" borderId="0" xfId="1" applyNumberFormat="1" applyFont="1"/>
    <xf numFmtId="43" fontId="0" fillId="0" borderId="0" xfId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0" fontId="0" fillId="0" borderId="10" xfId="0" applyBorder="1"/>
    <xf numFmtId="167" fontId="0" fillId="0" borderId="10" xfId="0" applyNumberFormat="1" applyBorder="1"/>
  </cellXfs>
  <cellStyles count="6">
    <cellStyle name="Comma" xfId="1" builtinId="3"/>
    <cellStyle name="Comma 2" xfId="4" xr:uid="{51B4BC0D-8BB8-408F-A1AF-84A85434896F}"/>
    <cellStyle name="Normal" xfId="0" builtinId="0"/>
    <cellStyle name="Normal 2" xfId="5" xr:uid="{41B9005F-FC7B-4255-922C-B0EB62836A67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6795-5CFE-463D-AC54-0CD168F25540}">
  <dimension ref="A1:AD13"/>
  <sheetViews>
    <sheetView tabSelected="1" topLeftCell="B1" workbookViewId="0">
      <selection activeCell="S21" sqref="S21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43.710937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.5703125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32.42578125" bestFit="1" customWidth="1"/>
    <col min="14" max="14" width="12.140625" bestFit="1" customWidth="1"/>
    <col min="17" max="17" width="7.5703125" bestFit="1" customWidth="1"/>
    <col min="18" max="18" width="11.5703125" bestFit="1" customWidth="1"/>
    <col min="19" max="19" width="10" bestFit="1" customWidth="1"/>
    <col min="20" max="20" width="11.5703125" bestFit="1" customWidth="1"/>
    <col min="21" max="21" width="5.85546875" bestFit="1" customWidth="1"/>
    <col min="22" max="22" width="8.42578125" bestFit="1" customWidth="1"/>
    <col min="23" max="24" width="7.7109375" bestFit="1" customWidth="1"/>
    <col min="25" max="26" width="9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30" s="11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30" x14ac:dyDescent="0.25">
      <c r="A2" s="12">
        <v>1006</v>
      </c>
      <c r="B2" s="13" t="s">
        <v>31</v>
      </c>
      <c r="C2" s="14">
        <v>10060022</v>
      </c>
      <c r="D2" s="15" t="s">
        <v>32</v>
      </c>
      <c r="E2" s="16" t="s">
        <v>33</v>
      </c>
      <c r="F2" s="16" t="s">
        <v>34</v>
      </c>
      <c r="G2" s="17">
        <v>222.29999999999998</v>
      </c>
      <c r="H2" s="17">
        <v>8454.2900000000009</v>
      </c>
      <c r="I2" s="18">
        <v>0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-0.22094779168445816</v>
      </c>
      <c r="Q2" s="24">
        <v>5</v>
      </c>
      <c r="R2" s="25">
        <v>14000</v>
      </c>
      <c r="S2" s="25">
        <v>4506</v>
      </c>
      <c r="T2" s="26">
        <v>9494</v>
      </c>
      <c r="U2" s="27"/>
      <c r="V2" s="25">
        <v>3374.8176600000006</v>
      </c>
      <c r="W2" s="25">
        <v>0</v>
      </c>
      <c r="X2" s="28">
        <v>0</v>
      </c>
      <c r="Y2" s="29">
        <v>3374.8176600000006</v>
      </c>
      <c r="Z2" s="28">
        <v>3374.82</v>
      </c>
      <c r="AA2" s="26">
        <v>2.3399999995490361E-3</v>
      </c>
      <c r="AB2" s="26">
        <v>2.3399999995490361E-3</v>
      </c>
      <c r="AC2" s="30">
        <v>46142</v>
      </c>
    </row>
    <row r="3" spans="1:30" x14ac:dyDescent="0.25">
      <c r="A3" s="12">
        <v>1006</v>
      </c>
      <c r="B3" s="13" t="s">
        <v>31</v>
      </c>
      <c r="C3" s="14">
        <v>10060031</v>
      </c>
      <c r="D3" s="15" t="s">
        <v>54</v>
      </c>
      <c r="E3" s="16" t="s">
        <v>33</v>
      </c>
      <c r="F3" s="16" t="s">
        <v>34</v>
      </c>
      <c r="G3" s="17">
        <v>314.8</v>
      </c>
      <c r="H3" s="17">
        <v>12735.080000000002</v>
      </c>
      <c r="I3" s="18">
        <v>12735</v>
      </c>
      <c r="J3" s="18">
        <v>0</v>
      </c>
      <c r="K3" s="18">
        <v>0</v>
      </c>
      <c r="L3" s="19" t="s">
        <v>35</v>
      </c>
      <c r="M3" s="20" t="s">
        <v>39</v>
      </c>
      <c r="N3" s="21" t="s">
        <v>37</v>
      </c>
      <c r="O3" s="22"/>
      <c r="P3" s="23">
        <v>-8.7217747645118832E-2</v>
      </c>
      <c r="Q3" s="24">
        <v>8</v>
      </c>
      <c r="R3" s="25">
        <v>0</v>
      </c>
      <c r="S3" s="25">
        <v>0</v>
      </c>
      <c r="T3" s="26">
        <v>0</v>
      </c>
      <c r="U3" s="27"/>
      <c r="V3" s="25">
        <v>0</v>
      </c>
      <c r="W3" s="25">
        <v>0</v>
      </c>
      <c r="X3" s="28">
        <v>0</v>
      </c>
      <c r="Y3" s="29">
        <v>0</v>
      </c>
      <c r="Z3" s="28">
        <v>0</v>
      </c>
      <c r="AA3" s="26">
        <v>0</v>
      </c>
      <c r="AB3" s="26">
        <v>0</v>
      </c>
      <c r="AC3" s="30">
        <v>46142</v>
      </c>
      <c r="AD3" s="31"/>
    </row>
    <row r="4" spans="1:30" x14ac:dyDescent="0.25">
      <c r="A4" s="12">
        <v>1006</v>
      </c>
      <c r="B4" s="13" t="s">
        <v>31</v>
      </c>
      <c r="C4" s="14">
        <v>10060111</v>
      </c>
      <c r="D4" s="15" t="s">
        <v>40</v>
      </c>
      <c r="E4" s="16" t="s">
        <v>33</v>
      </c>
      <c r="F4" s="16" t="s">
        <v>34</v>
      </c>
      <c r="G4" s="17">
        <v>549.79999999999984</v>
      </c>
      <c r="H4" s="17">
        <v>22484.870000000003</v>
      </c>
      <c r="I4" s="18">
        <v>15985</v>
      </c>
      <c r="J4" s="18">
        <v>0</v>
      </c>
      <c r="K4" s="18">
        <v>0</v>
      </c>
      <c r="L4" s="19" t="s">
        <v>35</v>
      </c>
      <c r="M4" s="20" t="s">
        <v>41</v>
      </c>
      <c r="N4" s="21" t="s">
        <v>37</v>
      </c>
      <c r="O4" s="22"/>
      <c r="P4" s="23">
        <v>-0.53161249068338423</v>
      </c>
      <c r="Q4" s="24">
        <v>5</v>
      </c>
      <c r="R4" s="25">
        <v>6500</v>
      </c>
      <c r="S4" s="25">
        <v>6500</v>
      </c>
      <c r="T4" s="26">
        <v>0</v>
      </c>
      <c r="U4" s="27"/>
      <c r="V4" s="25">
        <v>0</v>
      </c>
      <c r="W4" s="25">
        <v>0</v>
      </c>
      <c r="X4" s="28">
        <v>0</v>
      </c>
      <c r="Y4" s="29">
        <v>0</v>
      </c>
      <c r="Z4" s="28">
        <v>0</v>
      </c>
      <c r="AA4" s="26">
        <v>0</v>
      </c>
      <c r="AB4" s="26">
        <v>0</v>
      </c>
      <c r="AC4" s="30">
        <v>46142</v>
      </c>
    </row>
    <row r="5" spans="1:30" x14ac:dyDescent="0.25">
      <c r="A5" s="12">
        <v>1007</v>
      </c>
      <c r="B5" s="13" t="s">
        <v>42</v>
      </c>
      <c r="C5" s="14">
        <v>10070077</v>
      </c>
      <c r="D5" s="15" t="s">
        <v>43</v>
      </c>
      <c r="E5" s="16" t="s">
        <v>33</v>
      </c>
      <c r="F5" s="16" t="s">
        <v>34</v>
      </c>
      <c r="G5" s="17">
        <v>211.39999999999998</v>
      </c>
      <c r="H5" s="17">
        <v>7302.6500000000005</v>
      </c>
      <c r="I5" s="18">
        <v>7303</v>
      </c>
      <c r="J5" s="18">
        <v>0</v>
      </c>
      <c r="K5" s="18">
        <v>0</v>
      </c>
      <c r="L5" s="19" t="s">
        <v>35</v>
      </c>
      <c r="M5" s="20" t="s">
        <v>41</v>
      </c>
      <c r="N5" s="21" t="s">
        <v>37</v>
      </c>
      <c r="O5" s="22"/>
      <c r="P5" s="23">
        <v>-0.13110418694583489</v>
      </c>
      <c r="Q5" s="24">
        <v>1</v>
      </c>
      <c r="R5" s="25">
        <v>3900</v>
      </c>
      <c r="S5" s="25">
        <v>0</v>
      </c>
      <c r="T5" s="26">
        <v>3900</v>
      </c>
      <c r="U5" s="27"/>
      <c r="V5" s="25">
        <v>0</v>
      </c>
      <c r="W5" s="25">
        <v>0</v>
      </c>
      <c r="X5" s="28">
        <v>0</v>
      </c>
      <c r="Y5" s="29">
        <v>0</v>
      </c>
      <c r="Z5" s="28">
        <v>0</v>
      </c>
      <c r="AA5" s="26">
        <v>0</v>
      </c>
      <c r="AB5" s="26">
        <v>0</v>
      </c>
      <c r="AC5" s="30">
        <v>46142</v>
      </c>
    </row>
    <row r="6" spans="1:30" x14ac:dyDescent="0.25">
      <c r="A6" s="12">
        <v>1011</v>
      </c>
      <c r="B6" s="13" t="s">
        <v>44</v>
      </c>
      <c r="C6" s="14">
        <v>10110066</v>
      </c>
      <c r="D6" s="15" t="s">
        <v>45</v>
      </c>
      <c r="E6" s="16" t="s">
        <v>33</v>
      </c>
      <c r="F6" s="16" t="s">
        <v>34</v>
      </c>
      <c r="G6" s="17">
        <v>921.7</v>
      </c>
      <c r="H6" s="17">
        <v>36906.47</v>
      </c>
      <c r="I6" s="18">
        <v>32765</v>
      </c>
      <c r="J6" s="18">
        <v>0</v>
      </c>
      <c r="K6" s="18">
        <v>0</v>
      </c>
      <c r="L6" s="19" t="s">
        <v>35</v>
      </c>
      <c r="M6" s="20" t="s">
        <v>41</v>
      </c>
      <c r="N6" s="21" t="s">
        <v>37</v>
      </c>
      <c r="O6" s="22"/>
      <c r="P6" s="23">
        <v>-4.1440508602152461E-3</v>
      </c>
      <c r="Q6" s="24">
        <v>17</v>
      </c>
      <c r="R6" s="25">
        <v>4050</v>
      </c>
      <c r="S6" s="25">
        <v>0</v>
      </c>
      <c r="T6" s="26">
        <v>4050</v>
      </c>
      <c r="U6" s="27"/>
      <c r="V6" s="25">
        <v>0</v>
      </c>
      <c r="W6" s="25">
        <v>0</v>
      </c>
      <c r="X6" s="28">
        <v>0</v>
      </c>
      <c r="Y6" s="29">
        <v>0</v>
      </c>
      <c r="Z6" s="28">
        <v>0</v>
      </c>
      <c r="AA6" s="26">
        <v>0</v>
      </c>
      <c r="AB6" s="26">
        <v>0</v>
      </c>
      <c r="AC6" s="30">
        <v>46142</v>
      </c>
    </row>
    <row r="7" spans="1:30" x14ac:dyDescent="0.25">
      <c r="A7" s="12">
        <v>1011</v>
      </c>
      <c r="B7" s="13" t="s">
        <v>44</v>
      </c>
      <c r="C7" s="14">
        <v>10110076</v>
      </c>
      <c r="D7" s="15" t="s">
        <v>46</v>
      </c>
      <c r="E7" s="16" t="s">
        <v>33</v>
      </c>
      <c r="F7" s="16" t="s">
        <v>34</v>
      </c>
      <c r="G7" s="17">
        <v>1062.3</v>
      </c>
      <c r="H7" s="17">
        <v>42540.499999999993</v>
      </c>
      <c r="I7" s="18">
        <v>19213</v>
      </c>
      <c r="J7" s="18">
        <v>7372</v>
      </c>
      <c r="K7" s="18">
        <v>0</v>
      </c>
      <c r="L7" s="19" t="s">
        <v>35</v>
      </c>
      <c r="M7" s="20"/>
      <c r="N7" s="21" t="s">
        <v>37</v>
      </c>
      <c r="O7" s="22"/>
      <c r="P7" s="23">
        <v>-0.11508819762814006</v>
      </c>
      <c r="Q7" s="24">
        <v>11</v>
      </c>
      <c r="R7" s="25">
        <v>26250</v>
      </c>
      <c r="S7" s="25">
        <v>0</v>
      </c>
      <c r="T7" s="26">
        <v>26250</v>
      </c>
      <c r="U7" s="27"/>
      <c r="V7" s="25">
        <v>1030.2738786885241</v>
      </c>
      <c r="W7" s="25">
        <v>0</v>
      </c>
      <c r="X7" s="28">
        <v>0</v>
      </c>
      <c r="Y7" s="29">
        <v>1030.2738786885241</v>
      </c>
      <c r="Z7" s="28">
        <v>1030.2738786885241</v>
      </c>
      <c r="AA7" s="26">
        <v>0</v>
      </c>
      <c r="AB7" s="26">
        <v>0</v>
      </c>
      <c r="AC7" s="30">
        <v>46142</v>
      </c>
    </row>
    <row r="8" spans="1:30" x14ac:dyDescent="0.25">
      <c r="A8" s="12">
        <v>1014</v>
      </c>
      <c r="B8" s="13" t="s">
        <v>47</v>
      </c>
      <c r="C8" s="14">
        <v>10140001</v>
      </c>
      <c r="D8" s="15" t="s">
        <v>48</v>
      </c>
      <c r="E8" s="16" t="s">
        <v>33</v>
      </c>
      <c r="F8" s="16" t="s">
        <v>34</v>
      </c>
      <c r="G8" s="17">
        <v>43</v>
      </c>
      <c r="H8" s="17">
        <v>1778.1599999999999</v>
      </c>
      <c r="I8" s="18">
        <v>0</v>
      </c>
      <c r="J8" s="18">
        <v>0</v>
      </c>
      <c r="K8" s="18">
        <v>0</v>
      </c>
      <c r="L8" s="19" t="s">
        <v>35</v>
      </c>
      <c r="M8" s="20" t="s">
        <v>36</v>
      </c>
      <c r="N8" s="21" t="s">
        <v>37</v>
      </c>
      <c r="O8" s="22"/>
      <c r="P8" s="23">
        <v>-0.71621572706786818</v>
      </c>
      <c r="Q8" s="24">
        <v>4</v>
      </c>
      <c r="R8" s="25">
        <v>12800</v>
      </c>
      <c r="S8" s="25">
        <v>124</v>
      </c>
      <c r="T8" s="26">
        <v>12676</v>
      </c>
      <c r="U8" s="27"/>
      <c r="V8" s="25">
        <v>0</v>
      </c>
      <c r="W8" s="25">
        <v>0</v>
      </c>
      <c r="X8" s="28">
        <v>0</v>
      </c>
      <c r="Y8" s="29">
        <v>0</v>
      </c>
      <c r="Z8" s="28">
        <v>0</v>
      </c>
      <c r="AA8" s="26">
        <v>0</v>
      </c>
      <c r="AB8" s="26">
        <v>0</v>
      </c>
      <c r="AC8" s="30">
        <v>46142</v>
      </c>
    </row>
    <row r="9" spans="1:30" x14ac:dyDescent="0.25">
      <c r="A9" s="12">
        <v>1014</v>
      </c>
      <c r="B9" s="13" t="s">
        <v>47</v>
      </c>
      <c r="C9" s="14">
        <v>10140098</v>
      </c>
      <c r="D9" s="15" t="s">
        <v>49</v>
      </c>
      <c r="E9" s="16" t="s">
        <v>33</v>
      </c>
      <c r="F9" s="16" t="s">
        <v>34</v>
      </c>
      <c r="G9" s="17">
        <v>1140.3</v>
      </c>
      <c r="H9" s="17">
        <v>45370.200000000004</v>
      </c>
      <c r="I9" s="18">
        <v>22449</v>
      </c>
      <c r="J9" s="18">
        <v>0</v>
      </c>
      <c r="K9" s="18">
        <v>0</v>
      </c>
      <c r="L9" s="19" t="s">
        <v>35</v>
      </c>
      <c r="M9" s="20" t="s">
        <v>41</v>
      </c>
      <c r="N9" s="21" t="s">
        <v>37</v>
      </c>
      <c r="O9" s="22"/>
      <c r="P9" s="23">
        <v>1.1084981007650442E-3</v>
      </c>
      <c r="Q9" s="24">
        <v>6</v>
      </c>
      <c r="R9" s="25">
        <v>26000</v>
      </c>
      <c r="S9" s="25">
        <v>0</v>
      </c>
      <c r="T9" s="26">
        <v>26000</v>
      </c>
      <c r="U9" s="27"/>
      <c r="V9" s="25">
        <v>0</v>
      </c>
      <c r="W9" s="25">
        <v>0</v>
      </c>
      <c r="X9" s="28">
        <v>0</v>
      </c>
      <c r="Y9" s="29">
        <v>0</v>
      </c>
      <c r="Z9" s="28">
        <v>0</v>
      </c>
      <c r="AA9" s="26">
        <v>0</v>
      </c>
      <c r="AB9" s="26">
        <v>0</v>
      </c>
      <c r="AC9" s="30">
        <v>46142</v>
      </c>
    </row>
    <row r="10" spans="1:30" x14ac:dyDescent="0.25">
      <c r="A10" s="12">
        <v>1014</v>
      </c>
      <c r="B10" s="13" t="s">
        <v>47</v>
      </c>
      <c r="C10" s="14">
        <v>10140179</v>
      </c>
      <c r="D10" s="15" t="s">
        <v>50</v>
      </c>
      <c r="E10" s="16" t="s">
        <v>33</v>
      </c>
      <c r="F10" s="16" t="s">
        <v>34</v>
      </c>
      <c r="G10" s="17">
        <v>983.50000000000011</v>
      </c>
      <c r="H10" s="17">
        <v>37692.870000000003</v>
      </c>
      <c r="I10" s="18">
        <v>37158</v>
      </c>
      <c r="J10" s="18">
        <v>0</v>
      </c>
      <c r="K10" s="18">
        <v>0</v>
      </c>
      <c r="L10" s="19" t="s">
        <v>35</v>
      </c>
      <c r="M10" s="20" t="s">
        <v>41</v>
      </c>
      <c r="N10" s="21" t="s">
        <v>37</v>
      </c>
      <c r="O10" s="22"/>
      <c r="P10" s="23">
        <v>2.514873962311261E-3</v>
      </c>
      <c r="Q10" s="24">
        <v>33</v>
      </c>
      <c r="R10" s="25">
        <v>12800</v>
      </c>
      <c r="S10" s="25">
        <v>0</v>
      </c>
      <c r="T10" s="26">
        <v>12800</v>
      </c>
      <c r="U10" s="27"/>
      <c r="V10" s="25">
        <v>0</v>
      </c>
      <c r="W10" s="25">
        <v>0</v>
      </c>
      <c r="X10" s="28">
        <v>0</v>
      </c>
      <c r="Y10" s="29">
        <v>0</v>
      </c>
      <c r="Z10" s="28">
        <v>0</v>
      </c>
      <c r="AA10" s="26">
        <v>0</v>
      </c>
      <c r="AB10" s="26">
        <v>0</v>
      </c>
      <c r="AC10" s="30">
        <v>46142</v>
      </c>
    </row>
    <row r="11" spans="1:30" x14ac:dyDescent="0.25">
      <c r="A11" s="12">
        <v>1014</v>
      </c>
      <c r="B11" s="13" t="s">
        <v>47</v>
      </c>
      <c r="C11" s="14">
        <v>10140194</v>
      </c>
      <c r="D11" s="15" t="s">
        <v>51</v>
      </c>
      <c r="E11" s="16" t="s">
        <v>33</v>
      </c>
      <c r="F11" s="16" t="s">
        <v>34</v>
      </c>
      <c r="G11" s="17">
        <v>54.599999999999994</v>
      </c>
      <c r="H11" s="17">
        <v>2018.8600000000001</v>
      </c>
      <c r="I11" s="18">
        <v>0</v>
      </c>
      <c r="J11" s="18">
        <v>0</v>
      </c>
      <c r="K11" s="18">
        <v>0</v>
      </c>
      <c r="L11" s="19" t="s">
        <v>35</v>
      </c>
      <c r="M11" s="20" t="s">
        <v>41</v>
      </c>
      <c r="N11" s="21" t="s">
        <v>37</v>
      </c>
      <c r="O11" s="22"/>
      <c r="P11" s="23">
        <v>-3.2720786978789143E-3</v>
      </c>
      <c r="Q11" s="24">
        <v>1</v>
      </c>
      <c r="R11" s="25">
        <v>2560</v>
      </c>
      <c r="S11" s="25">
        <v>0</v>
      </c>
      <c r="T11" s="26">
        <v>2560</v>
      </c>
      <c r="U11" s="27"/>
      <c r="V11" s="25">
        <v>0</v>
      </c>
      <c r="W11" s="25">
        <v>0</v>
      </c>
      <c r="X11" s="28">
        <v>0</v>
      </c>
      <c r="Y11" s="29">
        <v>0</v>
      </c>
      <c r="Z11" s="28">
        <v>0</v>
      </c>
      <c r="AA11" s="26">
        <v>0</v>
      </c>
      <c r="AB11" s="26">
        <v>0</v>
      </c>
      <c r="AC11" s="30">
        <v>46142</v>
      </c>
    </row>
    <row r="12" spans="1:30" x14ac:dyDescent="0.25">
      <c r="A12" s="12">
        <v>1014</v>
      </c>
      <c r="B12" s="13" t="s">
        <v>47</v>
      </c>
      <c r="C12" s="14">
        <v>10600005</v>
      </c>
      <c r="D12" s="15" t="s">
        <v>52</v>
      </c>
      <c r="E12" s="16" t="s">
        <v>33</v>
      </c>
      <c r="F12" s="16" t="s">
        <v>34</v>
      </c>
      <c r="G12" s="17">
        <v>222.8</v>
      </c>
      <c r="H12" s="17">
        <v>7999.77</v>
      </c>
      <c r="I12" s="18">
        <v>5382</v>
      </c>
      <c r="J12" s="18">
        <v>0</v>
      </c>
      <c r="K12" s="18">
        <v>0</v>
      </c>
      <c r="L12" s="19" t="s">
        <v>35</v>
      </c>
      <c r="M12" s="20" t="s">
        <v>41</v>
      </c>
      <c r="N12" s="21" t="s">
        <v>37</v>
      </c>
      <c r="O12" s="22"/>
      <c r="P12" s="23">
        <v>7.2691549882058252E-3</v>
      </c>
      <c r="Q12" s="24">
        <v>1</v>
      </c>
      <c r="R12" s="25">
        <v>7680</v>
      </c>
      <c r="S12" s="25">
        <v>0</v>
      </c>
      <c r="T12" s="26">
        <v>7680</v>
      </c>
      <c r="U12" s="27"/>
      <c r="V12" s="25">
        <v>0</v>
      </c>
      <c r="W12" s="25">
        <v>0</v>
      </c>
      <c r="X12" s="28">
        <v>0</v>
      </c>
      <c r="Y12" s="29">
        <v>0</v>
      </c>
      <c r="Z12" s="28">
        <v>0</v>
      </c>
      <c r="AA12" s="26">
        <v>0</v>
      </c>
      <c r="AB12" s="26">
        <v>0</v>
      </c>
      <c r="AC12" s="30">
        <v>46142</v>
      </c>
    </row>
    <row r="13" spans="1:30" x14ac:dyDescent="0.25">
      <c r="A13" s="32"/>
      <c r="B13" s="33"/>
      <c r="C13" s="32"/>
      <c r="D13" s="32"/>
      <c r="E13" s="32" t="s">
        <v>53</v>
      </c>
      <c r="F13" s="32">
        <v>907</v>
      </c>
      <c r="G13" s="34">
        <v>5726.5000000000009</v>
      </c>
      <c r="H13" s="34">
        <v>225283.72</v>
      </c>
      <c r="I13" s="35">
        <v>152990</v>
      </c>
      <c r="J13" s="35">
        <v>7372</v>
      </c>
      <c r="K13" s="35">
        <v>0</v>
      </c>
      <c r="L13" s="19">
        <v>3</v>
      </c>
      <c r="M13" s="14"/>
      <c r="N13" s="27"/>
      <c r="O13" s="6"/>
      <c r="P13" s="36"/>
      <c r="Q13" s="37">
        <v>5110</v>
      </c>
      <c r="R13" s="26">
        <v>116540</v>
      </c>
      <c r="S13" s="26">
        <v>11130</v>
      </c>
      <c r="T13" s="26">
        <v>105410</v>
      </c>
      <c r="U13" s="27"/>
      <c r="V13" s="25">
        <v>4405.0915386885245</v>
      </c>
      <c r="W13" s="25">
        <v>0</v>
      </c>
      <c r="X13" s="38">
        <v>0</v>
      </c>
      <c r="Y13" s="25">
        <v>4405.0915386885245</v>
      </c>
      <c r="Z13" s="25">
        <v>4405.0938786885245</v>
      </c>
      <c r="AA13" s="25">
        <v>2.3399999995490361E-3</v>
      </c>
      <c r="AB13" s="25">
        <v>2.3399999995490361E-3</v>
      </c>
      <c r="AC13" s="27"/>
    </row>
  </sheetData>
  <conditionalFormatting sqref="C2:C12">
    <cfRule type="duplicateValues" dxfId="16" priority="9"/>
    <cfRule type="duplicateValues" dxfId="15" priority="10"/>
    <cfRule type="duplicateValues" dxfId="14" priority="11"/>
  </conditionalFormatting>
  <conditionalFormatting sqref="C13 C1">
    <cfRule type="duplicateValues" dxfId="13" priority="12" stopIfTrue="1"/>
  </conditionalFormatting>
  <conditionalFormatting sqref="D13">
    <cfRule type="duplicateValues" dxfId="12" priority="5" stopIfTrue="1"/>
  </conditionalFormatting>
  <conditionalFormatting sqref="E13">
    <cfRule type="duplicateValues" dxfId="11" priority="4" stopIfTrue="1"/>
  </conditionalFormatting>
  <conditionalFormatting sqref="F2:F12">
    <cfRule type="containsText" dxfId="10" priority="7" operator="containsText" text="Indirect">
      <formula>NOT(ISERROR(SEARCH("Indirect",F2)))</formula>
    </cfRule>
  </conditionalFormatting>
  <conditionalFormatting sqref="F13">
    <cfRule type="duplicateValues" dxfId="9" priority="3" stopIfTrue="1"/>
  </conditionalFormatting>
  <conditionalFormatting sqref="G13">
    <cfRule type="duplicateValues" dxfId="8" priority="2" stopIfTrue="1"/>
  </conditionalFormatting>
  <conditionalFormatting sqref="H13">
    <cfRule type="duplicateValues" dxfId="7" priority="1" stopIfTrue="1"/>
  </conditionalFormatting>
  <conditionalFormatting sqref="I2:K12">
    <cfRule type="cellIs" dxfId="6" priority="6" operator="lessThan">
      <formula>-1</formula>
    </cfRule>
  </conditionalFormatting>
  <conditionalFormatting sqref="AA2:AB12">
    <cfRule type="cellIs" dxfId="5" priority="8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51CF-2184-44C1-A001-7485C1825D1E}">
  <dimension ref="A1:AC95"/>
  <sheetViews>
    <sheetView zoomScale="89" workbookViewId="0">
      <selection activeCell="W1" sqref="W1"/>
    </sheetView>
  </sheetViews>
  <sheetFormatPr defaultRowHeight="15" x14ac:dyDescent="0.25"/>
  <cols>
    <col min="1" max="1" width="14.7109375" bestFit="1" customWidth="1"/>
    <col min="2" max="3" width="15.28515625" bestFit="1" customWidth="1"/>
    <col min="4" max="4" width="30.140625" customWidth="1"/>
    <col min="5" max="5" width="10.140625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9.42578125" bestFit="1" customWidth="1"/>
    <col min="13" max="13" width="10.42578125" bestFit="1" customWidth="1"/>
    <col min="14" max="14" width="6.7109375" bestFit="1" customWidth="1"/>
    <col min="15" max="15" width="9.7109375" bestFit="1" customWidth="1"/>
    <col min="16" max="16" width="11" bestFit="1" customWidth="1"/>
    <col min="18" max="18" width="22.7109375" bestFit="1" customWidth="1"/>
    <col min="19" max="19" width="19.42578125" bestFit="1" customWidth="1"/>
    <col min="20" max="20" width="14.5703125" bestFit="1" customWidth="1"/>
    <col min="21" max="21" width="26.28515625" bestFit="1" customWidth="1"/>
    <col min="22" max="22" width="12.7109375" bestFit="1" customWidth="1"/>
    <col min="23" max="23" width="12.570312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9" t="s">
        <v>55</v>
      </c>
      <c r="B1" s="39" t="s">
        <v>1</v>
      </c>
      <c r="C1" s="39" t="s">
        <v>56</v>
      </c>
      <c r="D1" s="39" t="s">
        <v>57</v>
      </c>
      <c r="E1" s="40" t="s">
        <v>58</v>
      </c>
      <c r="F1" s="41" t="s">
        <v>59</v>
      </c>
      <c r="G1" s="42" t="s">
        <v>60</v>
      </c>
      <c r="H1" s="41" t="s">
        <v>61</v>
      </c>
      <c r="I1" s="41" t="s">
        <v>62</v>
      </c>
      <c r="J1" s="43" t="s">
        <v>8</v>
      </c>
      <c r="K1" s="43" t="s">
        <v>63</v>
      </c>
      <c r="L1" s="43" t="s">
        <v>64</v>
      </c>
      <c r="M1" s="43" t="s">
        <v>9</v>
      </c>
      <c r="N1" s="43" t="s">
        <v>10</v>
      </c>
      <c r="O1" s="43" t="s">
        <v>14</v>
      </c>
      <c r="P1" s="43" t="s">
        <v>65</v>
      </c>
      <c r="Q1" s="44" t="s">
        <v>66</v>
      </c>
      <c r="R1" s="45" t="s">
        <v>67</v>
      </c>
      <c r="S1" s="45" t="s">
        <v>68</v>
      </c>
      <c r="T1" s="45" t="s">
        <v>69</v>
      </c>
      <c r="U1" s="45" t="s">
        <v>70</v>
      </c>
      <c r="V1" s="46" t="s">
        <v>71</v>
      </c>
      <c r="W1" s="47" t="s">
        <v>16</v>
      </c>
      <c r="X1" s="48"/>
      <c r="Y1" s="49" t="s">
        <v>72</v>
      </c>
      <c r="AC1" t="s">
        <v>73</v>
      </c>
    </row>
    <row r="2" spans="1:29" x14ac:dyDescent="0.25">
      <c r="A2" t="s">
        <v>74</v>
      </c>
      <c r="B2" t="s">
        <v>31</v>
      </c>
      <c r="C2" s="50" t="s">
        <v>31</v>
      </c>
      <c r="D2" t="s">
        <v>32</v>
      </c>
      <c r="E2" s="50">
        <v>10060022</v>
      </c>
      <c r="F2" t="s">
        <v>75</v>
      </c>
      <c r="G2" s="50">
        <v>14</v>
      </c>
      <c r="H2" s="51">
        <v>14.599999999999998</v>
      </c>
      <c r="I2" s="52">
        <v>573.2263310400001</v>
      </c>
      <c r="J2" s="53">
        <v>0</v>
      </c>
      <c r="K2" s="53">
        <v>573.2263310400001</v>
      </c>
      <c r="L2" s="53">
        <v>0</v>
      </c>
      <c r="M2" s="51">
        <v>0</v>
      </c>
      <c r="N2" s="51">
        <v>0</v>
      </c>
      <c r="O2" s="53" t="s">
        <v>35</v>
      </c>
      <c r="P2" s="53">
        <v>0</v>
      </c>
      <c r="Q2" s="50" t="s">
        <v>34</v>
      </c>
      <c r="R2">
        <v>0</v>
      </c>
      <c r="S2">
        <v>0</v>
      </c>
      <c r="T2">
        <v>0</v>
      </c>
      <c r="U2">
        <v>0</v>
      </c>
      <c r="V2" t="s">
        <v>76</v>
      </c>
      <c r="W2" t="s">
        <v>37</v>
      </c>
      <c r="X2" s="54"/>
      <c r="Y2" s="55">
        <v>0</v>
      </c>
    </row>
    <row r="3" spans="1:29" x14ac:dyDescent="0.25">
      <c r="A3" t="s">
        <v>77</v>
      </c>
      <c r="B3" t="s">
        <v>31</v>
      </c>
      <c r="C3" s="50" t="s">
        <v>31</v>
      </c>
      <c r="D3" t="s">
        <v>32</v>
      </c>
      <c r="E3" s="50">
        <v>10060022</v>
      </c>
      <c r="F3" t="s">
        <v>78</v>
      </c>
      <c r="G3" s="50">
        <v>2</v>
      </c>
      <c r="H3" s="51">
        <v>38.6</v>
      </c>
      <c r="I3" s="52">
        <v>1518.5446610400002</v>
      </c>
      <c r="J3" s="53">
        <v>0</v>
      </c>
      <c r="K3" s="53">
        <v>0</v>
      </c>
      <c r="L3" s="53">
        <v>1518.5446610400002</v>
      </c>
      <c r="M3" s="51">
        <v>0</v>
      </c>
      <c r="N3" s="51">
        <v>0</v>
      </c>
      <c r="O3" s="53" t="s">
        <v>35</v>
      </c>
      <c r="P3" s="53">
        <v>0</v>
      </c>
      <c r="Q3" s="50" t="s">
        <v>34</v>
      </c>
      <c r="R3" t="s">
        <v>79</v>
      </c>
      <c r="S3" t="s">
        <v>80</v>
      </c>
      <c r="T3" t="s">
        <v>81</v>
      </c>
      <c r="U3" t="s">
        <v>82</v>
      </c>
      <c r="V3" t="s">
        <v>83</v>
      </c>
      <c r="W3" t="s">
        <v>37</v>
      </c>
      <c r="Y3" s="55">
        <v>3.9340535260103628</v>
      </c>
    </row>
    <row r="4" spans="1:29" x14ac:dyDescent="0.25">
      <c r="A4" t="s">
        <v>84</v>
      </c>
      <c r="B4" t="s">
        <v>31</v>
      </c>
      <c r="C4" s="50" t="s">
        <v>31</v>
      </c>
      <c r="D4" t="s">
        <v>32</v>
      </c>
      <c r="E4" s="50">
        <v>10060022</v>
      </c>
      <c r="F4" t="s">
        <v>85</v>
      </c>
      <c r="G4" s="50">
        <v>2</v>
      </c>
      <c r="H4" s="51">
        <v>35.700000000000003</v>
      </c>
      <c r="I4" s="52">
        <v>1382.5552554000001</v>
      </c>
      <c r="J4" s="53">
        <v>0</v>
      </c>
      <c r="K4" s="53">
        <v>0</v>
      </c>
      <c r="L4" s="53">
        <v>350</v>
      </c>
      <c r="M4" s="51">
        <v>0</v>
      </c>
      <c r="N4" s="51">
        <v>1033</v>
      </c>
      <c r="O4" s="53" t="s">
        <v>35</v>
      </c>
      <c r="P4" s="53">
        <v>0</v>
      </c>
      <c r="Q4" s="50" t="s">
        <v>34</v>
      </c>
      <c r="R4" t="s">
        <v>86</v>
      </c>
      <c r="S4" t="s">
        <v>87</v>
      </c>
      <c r="T4" t="s">
        <v>88</v>
      </c>
      <c r="U4" t="s">
        <v>89</v>
      </c>
      <c r="V4" t="s">
        <v>83</v>
      </c>
      <c r="W4" t="s">
        <v>37</v>
      </c>
      <c r="Y4" s="55">
        <v>3.8727037966386555</v>
      </c>
    </row>
    <row r="5" spans="1:29" x14ac:dyDescent="0.25">
      <c r="A5" t="s">
        <v>90</v>
      </c>
      <c r="B5" t="s">
        <v>31</v>
      </c>
      <c r="C5" s="50" t="s">
        <v>31</v>
      </c>
      <c r="D5" t="s">
        <v>32</v>
      </c>
      <c r="E5" s="50">
        <v>10060022</v>
      </c>
      <c r="F5" t="s">
        <v>91</v>
      </c>
      <c r="G5" s="50">
        <v>4</v>
      </c>
      <c r="H5" s="51">
        <v>67.2</v>
      </c>
      <c r="I5" s="52">
        <v>2569.1645232000001</v>
      </c>
      <c r="J5" s="53">
        <v>0</v>
      </c>
      <c r="K5" s="53">
        <v>0</v>
      </c>
      <c r="L5" s="53">
        <v>0</v>
      </c>
      <c r="M5" s="51">
        <v>227</v>
      </c>
      <c r="N5" s="51">
        <v>2341.8200000000002</v>
      </c>
      <c r="O5" s="53" t="s">
        <v>35</v>
      </c>
      <c r="P5" s="53">
        <v>0</v>
      </c>
      <c r="Q5" s="50" t="s">
        <v>34</v>
      </c>
      <c r="R5" t="s">
        <v>92</v>
      </c>
      <c r="S5" t="s">
        <v>93</v>
      </c>
      <c r="T5" t="s">
        <v>88</v>
      </c>
      <c r="U5" t="s">
        <v>94</v>
      </c>
      <c r="V5" t="s">
        <v>83</v>
      </c>
      <c r="W5" t="s">
        <v>37</v>
      </c>
      <c r="Y5" s="55">
        <v>7.6463229857142849</v>
      </c>
    </row>
    <row r="6" spans="1:29" x14ac:dyDescent="0.25">
      <c r="A6" t="s">
        <v>95</v>
      </c>
      <c r="B6" t="s">
        <v>31</v>
      </c>
      <c r="C6" s="50" t="s">
        <v>31</v>
      </c>
      <c r="D6" t="s">
        <v>32</v>
      </c>
      <c r="E6" s="50">
        <v>10060022</v>
      </c>
      <c r="F6" t="s">
        <v>96</v>
      </c>
      <c r="G6" s="50">
        <v>6</v>
      </c>
      <c r="H6" s="51">
        <v>108.20000000000002</v>
      </c>
      <c r="I6" s="52">
        <v>4278.7559350800002</v>
      </c>
      <c r="J6" s="53">
        <v>0</v>
      </c>
      <c r="K6" s="53">
        <v>0</v>
      </c>
      <c r="L6" s="53">
        <v>0</v>
      </c>
      <c r="M6" s="51">
        <v>4279</v>
      </c>
      <c r="N6" s="51">
        <v>0</v>
      </c>
      <c r="O6" s="53" t="s">
        <v>35</v>
      </c>
      <c r="P6" s="53">
        <v>0</v>
      </c>
      <c r="Q6" s="50" t="s">
        <v>34</v>
      </c>
      <c r="R6" t="s">
        <v>97</v>
      </c>
      <c r="S6" t="s">
        <v>98</v>
      </c>
      <c r="T6" t="s">
        <v>88</v>
      </c>
      <c r="U6" t="s">
        <v>99</v>
      </c>
      <c r="V6" t="s">
        <v>83</v>
      </c>
      <c r="W6" t="s">
        <v>37</v>
      </c>
      <c r="X6" s="54"/>
      <c r="Y6" s="55">
        <v>11.863463775637708</v>
      </c>
    </row>
    <row r="7" spans="1:29" x14ac:dyDescent="0.25">
      <c r="A7" t="s">
        <v>100</v>
      </c>
      <c r="B7" t="s">
        <v>31</v>
      </c>
      <c r="C7" s="50" t="s">
        <v>31</v>
      </c>
      <c r="D7" t="s">
        <v>38</v>
      </c>
      <c r="E7" s="50">
        <v>10060031</v>
      </c>
      <c r="F7" t="s">
        <v>101</v>
      </c>
      <c r="G7" s="50">
        <v>14</v>
      </c>
      <c r="H7" s="51">
        <v>48.78</v>
      </c>
      <c r="I7" s="52">
        <v>2158.7308684919999</v>
      </c>
      <c r="J7" s="53">
        <v>0</v>
      </c>
      <c r="K7" s="53">
        <v>0</v>
      </c>
      <c r="L7" s="53">
        <v>0</v>
      </c>
      <c r="M7" s="51">
        <v>0</v>
      </c>
      <c r="N7" s="51">
        <v>0</v>
      </c>
      <c r="O7" s="53" t="s">
        <v>35</v>
      </c>
      <c r="P7" s="53">
        <v>2159</v>
      </c>
      <c r="Q7" s="50" t="s">
        <v>34</v>
      </c>
      <c r="R7" t="s">
        <v>102</v>
      </c>
      <c r="S7" t="s">
        <v>103</v>
      </c>
      <c r="T7" t="s">
        <v>104</v>
      </c>
      <c r="U7" t="s">
        <v>105</v>
      </c>
      <c r="V7" t="s">
        <v>83</v>
      </c>
      <c r="W7" t="s">
        <v>37</v>
      </c>
      <c r="Y7" s="55">
        <v>30.97809774383764</v>
      </c>
    </row>
    <row r="8" spans="1:29" x14ac:dyDescent="0.25">
      <c r="A8" t="s">
        <v>106</v>
      </c>
      <c r="B8" t="s">
        <v>31</v>
      </c>
      <c r="C8" s="50" t="s">
        <v>31</v>
      </c>
      <c r="D8" t="s">
        <v>38</v>
      </c>
      <c r="E8" s="50">
        <v>10060031</v>
      </c>
      <c r="F8" t="s">
        <v>107</v>
      </c>
      <c r="G8" s="50">
        <v>13</v>
      </c>
      <c r="H8" s="51">
        <v>44.96</v>
      </c>
      <c r="I8" s="52">
        <v>1646.1307261080003</v>
      </c>
      <c r="J8" s="53">
        <v>0</v>
      </c>
      <c r="K8" s="53">
        <v>0</v>
      </c>
      <c r="L8" s="53">
        <v>129</v>
      </c>
      <c r="M8" s="51">
        <v>0</v>
      </c>
      <c r="N8" s="51">
        <v>0</v>
      </c>
      <c r="O8" s="53" t="s">
        <v>35</v>
      </c>
      <c r="P8" s="53">
        <v>1517</v>
      </c>
      <c r="Q8" s="50" t="s">
        <v>34</v>
      </c>
      <c r="R8" t="s">
        <v>108</v>
      </c>
      <c r="S8" t="s">
        <v>109</v>
      </c>
      <c r="T8" t="s">
        <v>110</v>
      </c>
      <c r="U8" t="s">
        <v>105</v>
      </c>
      <c r="V8" t="s">
        <v>83</v>
      </c>
      <c r="W8" t="s">
        <v>37</v>
      </c>
      <c r="Y8" s="55">
        <v>23.79859813100979</v>
      </c>
    </row>
    <row r="9" spans="1:29" x14ac:dyDescent="0.25">
      <c r="A9" t="s">
        <v>111</v>
      </c>
      <c r="B9" t="s">
        <v>31</v>
      </c>
      <c r="C9" s="50" t="s">
        <v>31</v>
      </c>
      <c r="D9" t="s">
        <v>38</v>
      </c>
      <c r="E9" s="50">
        <v>10060031</v>
      </c>
      <c r="F9" t="s">
        <v>112</v>
      </c>
      <c r="G9" s="50">
        <v>7</v>
      </c>
      <c r="H9" s="51">
        <v>24.950000000000003</v>
      </c>
      <c r="I9" s="52">
        <v>1870.4654790749003</v>
      </c>
      <c r="J9" s="53">
        <v>0</v>
      </c>
      <c r="K9" s="53">
        <v>0</v>
      </c>
      <c r="L9" s="53">
        <v>201</v>
      </c>
      <c r="M9" s="51">
        <v>0</v>
      </c>
      <c r="N9" s="51">
        <v>0</v>
      </c>
      <c r="O9" s="53" t="s">
        <v>35</v>
      </c>
      <c r="P9" s="53">
        <v>1669</v>
      </c>
      <c r="Q9" s="50" t="s">
        <v>34</v>
      </c>
      <c r="R9" t="s">
        <v>113</v>
      </c>
      <c r="S9" t="s">
        <v>114</v>
      </c>
      <c r="T9" t="s">
        <v>110</v>
      </c>
      <c r="U9" t="s">
        <v>105</v>
      </c>
      <c r="V9" t="s">
        <v>83</v>
      </c>
      <c r="W9" t="s">
        <v>37</v>
      </c>
      <c r="Y9" s="55">
        <v>26.238994696441488</v>
      </c>
    </row>
    <row r="10" spans="1:29" x14ac:dyDescent="0.25">
      <c r="A10" t="s">
        <v>115</v>
      </c>
      <c r="B10" t="s">
        <v>31</v>
      </c>
      <c r="C10" s="50" t="s">
        <v>31</v>
      </c>
      <c r="D10" t="s">
        <v>38</v>
      </c>
      <c r="E10" s="50">
        <v>10060031</v>
      </c>
      <c r="F10" t="s">
        <v>116</v>
      </c>
      <c r="G10" s="50">
        <v>14</v>
      </c>
      <c r="H10" s="51">
        <v>46.93</v>
      </c>
      <c r="I10" s="52">
        <v>1909.2184911360002</v>
      </c>
      <c r="J10" s="53">
        <v>0</v>
      </c>
      <c r="K10" s="53">
        <v>0</v>
      </c>
      <c r="L10" s="53">
        <v>196</v>
      </c>
      <c r="M10" s="51">
        <v>0</v>
      </c>
      <c r="N10" s="51">
        <v>0</v>
      </c>
      <c r="O10" s="53" t="s">
        <v>35</v>
      </c>
      <c r="P10" s="53">
        <v>1713</v>
      </c>
      <c r="Q10" s="50" t="s">
        <v>34</v>
      </c>
      <c r="R10" t="s">
        <v>117</v>
      </c>
      <c r="S10" t="s">
        <v>118</v>
      </c>
      <c r="T10" t="s">
        <v>81</v>
      </c>
      <c r="U10" t="s">
        <v>119</v>
      </c>
      <c r="V10" t="s">
        <v>83</v>
      </c>
      <c r="W10" t="s">
        <v>37</v>
      </c>
      <c r="Y10" s="55">
        <v>28.477582437570859</v>
      </c>
    </row>
    <row r="11" spans="1:29" x14ac:dyDescent="0.25">
      <c r="A11" t="s">
        <v>120</v>
      </c>
      <c r="B11" t="s">
        <v>31</v>
      </c>
      <c r="C11" s="50" t="s">
        <v>31</v>
      </c>
      <c r="D11" t="s">
        <v>38</v>
      </c>
      <c r="E11" s="50">
        <v>10060031</v>
      </c>
      <c r="F11" t="s">
        <v>121</v>
      </c>
      <c r="G11" s="50">
        <v>5</v>
      </c>
      <c r="H11" s="51">
        <v>7.9700000000000006</v>
      </c>
      <c r="I11" s="52">
        <v>334.82821957200008</v>
      </c>
      <c r="J11" s="53">
        <v>0</v>
      </c>
      <c r="K11" s="53">
        <v>0</v>
      </c>
      <c r="L11" s="53">
        <v>0</v>
      </c>
      <c r="M11" s="51">
        <v>0</v>
      </c>
      <c r="N11" s="51">
        <v>0</v>
      </c>
      <c r="O11" s="53" t="s">
        <v>35</v>
      </c>
      <c r="P11" s="53">
        <v>335</v>
      </c>
      <c r="Q11" s="50" t="s">
        <v>34</v>
      </c>
      <c r="R11" t="s">
        <v>122</v>
      </c>
      <c r="S11" t="s">
        <v>123</v>
      </c>
      <c r="T11" t="s">
        <v>124</v>
      </c>
      <c r="U11" t="s">
        <v>125</v>
      </c>
      <c r="V11" t="s">
        <v>83</v>
      </c>
      <c r="W11" t="s">
        <v>37</v>
      </c>
      <c r="X11" s="54"/>
      <c r="Y11" s="55">
        <v>10.502767238770391</v>
      </c>
    </row>
    <row r="12" spans="1:29" x14ac:dyDescent="0.25">
      <c r="A12" t="s">
        <v>126</v>
      </c>
      <c r="B12" t="s">
        <v>31</v>
      </c>
      <c r="C12" s="50" t="s">
        <v>31</v>
      </c>
      <c r="D12" t="s">
        <v>38</v>
      </c>
      <c r="E12" s="50">
        <v>10060031</v>
      </c>
      <c r="F12" t="s">
        <v>127</v>
      </c>
      <c r="G12" s="50">
        <v>13</v>
      </c>
      <c r="H12" s="51">
        <v>79.45</v>
      </c>
      <c r="I12" s="52">
        <v>2989.467750535201</v>
      </c>
      <c r="J12" s="53">
        <v>0</v>
      </c>
      <c r="K12" s="53">
        <v>0</v>
      </c>
      <c r="L12" s="53">
        <v>405</v>
      </c>
      <c r="M12" s="51">
        <v>0</v>
      </c>
      <c r="N12" s="51">
        <v>0</v>
      </c>
      <c r="O12" s="53" t="s">
        <v>35</v>
      </c>
      <c r="P12" s="53">
        <v>2584</v>
      </c>
      <c r="Q12" s="50" t="s">
        <v>34</v>
      </c>
      <c r="R12" t="s">
        <v>128</v>
      </c>
      <c r="S12" t="s">
        <v>129</v>
      </c>
      <c r="T12" t="s">
        <v>110</v>
      </c>
      <c r="U12" t="s">
        <v>105</v>
      </c>
      <c r="V12" t="s">
        <v>83</v>
      </c>
      <c r="W12" t="s">
        <v>37</v>
      </c>
      <c r="Y12" s="55">
        <v>24.457571275618385</v>
      </c>
    </row>
    <row r="13" spans="1:29" x14ac:dyDescent="0.25">
      <c r="A13" t="s">
        <v>130</v>
      </c>
      <c r="B13" t="s">
        <v>31</v>
      </c>
      <c r="C13" s="50" t="s">
        <v>31</v>
      </c>
      <c r="D13" t="s">
        <v>38</v>
      </c>
      <c r="E13" s="50">
        <v>10060031</v>
      </c>
      <c r="F13" t="s">
        <v>131</v>
      </c>
      <c r="G13" s="50">
        <v>14</v>
      </c>
      <c r="H13" s="51">
        <v>26.470000000000002</v>
      </c>
      <c r="I13" s="52">
        <v>1628.8977774222999</v>
      </c>
      <c r="J13" s="53">
        <v>0</v>
      </c>
      <c r="K13" s="53">
        <v>0</v>
      </c>
      <c r="L13" s="53">
        <v>129</v>
      </c>
      <c r="M13" s="51">
        <v>0</v>
      </c>
      <c r="N13" s="51">
        <v>0</v>
      </c>
      <c r="O13" s="53" t="s">
        <v>35</v>
      </c>
      <c r="P13" s="53">
        <v>1500</v>
      </c>
      <c r="Q13" s="50" t="s">
        <v>34</v>
      </c>
      <c r="R13" t="s">
        <v>132</v>
      </c>
      <c r="S13" t="s">
        <v>133</v>
      </c>
      <c r="T13" t="s">
        <v>124</v>
      </c>
      <c r="U13" t="s">
        <v>125</v>
      </c>
      <c r="V13" t="s">
        <v>83</v>
      </c>
      <c r="W13" t="s">
        <v>37</v>
      </c>
      <c r="Y13" s="55">
        <v>43.076254030812613</v>
      </c>
    </row>
    <row r="14" spans="1:29" x14ac:dyDescent="0.25">
      <c r="A14" t="s">
        <v>134</v>
      </c>
      <c r="B14" t="s">
        <v>31</v>
      </c>
      <c r="C14" s="50" t="s">
        <v>31</v>
      </c>
      <c r="D14" t="s">
        <v>38</v>
      </c>
      <c r="E14" s="50">
        <v>10060031</v>
      </c>
      <c r="F14" t="s">
        <v>135</v>
      </c>
      <c r="G14" s="50">
        <v>12</v>
      </c>
      <c r="H14" s="51">
        <v>37.54</v>
      </c>
      <c r="I14" s="52">
        <v>1308.0656813400001</v>
      </c>
      <c r="J14" s="53">
        <v>0</v>
      </c>
      <c r="K14" s="53">
        <v>0</v>
      </c>
      <c r="L14" s="53">
        <v>50</v>
      </c>
      <c r="M14" s="51">
        <v>0</v>
      </c>
      <c r="N14" s="51">
        <v>0</v>
      </c>
      <c r="O14" s="53" t="s">
        <v>35</v>
      </c>
      <c r="P14" s="53">
        <v>1258</v>
      </c>
      <c r="Q14" s="50" t="s">
        <v>34</v>
      </c>
      <c r="R14" t="s">
        <v>136</v>
      </c>
      <c r="S14" t="s">
        <v>137</v>
      </c>
      <c r="T14" t="s">
        <v>124</v>
      </c>
      <c r="U14" t="s">
        <v>138</v>
      </c>
      <c r="V14" t="s">
        <v>83</v>
      </c>
      <c r="W14" t="s">
        <v>37</v>
      </c>
      <c r="Y14" s="55">
        <v>20.906750367714441</v>
      </c>
    </row>
    <row r="15" spans="1:29" x14ac:dyDescent="0.25">
      <c r="A15" t="s">
        <v>139</v>
      </c>
      <c r="B15" t="s">
        <v>31</v>
      </c>
      <c r="C15" s="50" t="s">
        <v>31</v>
      </c>
      <c r="D15" t="s">
        <v>40</v>
      </c>
      <c r="E15" s="50">
        <v>10060111</v>
      </c>
      <c r="F15" t="s">
        <v>78</v>
      </c>
      <c r="G15" s="50">
        <v>1</v>
      </c>
      <c r="H15" s="51">
        <v>43.57</v>
      </c>
      <c r="I15" s="52">
        <v>1771.4290801679999</v>
      </c>
      <c r="J15" s="53">
        <v>0</v>
      </c>
      <c r="K15" s="53">
        <v>0</v>
      </c>
      <c r="L15" s="53">
        <v>1771.4290801679999</v>
      </c>
      <c r="M15" s="51">
        <v>0</v>
      </c>
      <c r="N15" s="51">
        <v>0</v>
      </c>
      <c r="O15" s="53" t="s">
        <v>35</v>
      </c>
      <c r="P15" s="53">
        <v>0</v>
      </c>
      <c r="Q15" s="50" t="s">
        <v>34</v>
      </c>
      <c r="R15" t="s">
        <v>140</v>
      </c>
      <c r="S15" t="s">
        <v>141</v>
      </c>
      <c r="T15" t="s">
        <v>142</v>
      </c>
      <c r="U15" t="s">
        <v>143</v>
      </c>
      <c r="V15" t="s">
        <v>83</v>
      </c>
      <c r="W15" t="s">
        <v>37</v>
      </c>
      <c r="Y15" s="55">
        <v>2.0328541200000001</v>
      </c>
    </row>
    <row r="16" spans="1:29" x14ac:dyDescent="0.25">
      <c r="A16" t="s">
        <v>144</v>
      </c>
      <c r="B16" t="s">
        <v>31</v>
      </c>
      <c r="C16" s="50" t="s">
        <v>31</v>
      </c>
      <c r="D16" t="s">
        <v>40</v>
      </c>
      <c r="E16" s="50">
        <v>10060111</v>
      </c>
      <c r="F16" t="s">
        <v>145</v>
      </c>
      <c r="G16" s="50">
        <v>4</v>
      </c>
      <c r="H16" s="51">
        <v>17.93</v>
      </c>
      <c r="I16" s="52">
        <v>622.40441036400011</v>
      </c>
      <c r="J16" s="53">
        <v>0</v>
      </c>
      <c r="K16" s="53">
        <v>0</v>
      </c>
      <c r="L16" s="53">
        <v>81</v>
      </c>
      <c r="M16" s="51">
        <v>0</v>
      </c>
      <c r="N16" s="51">
        <v>0</v>
      </c>
      <c r="O16" s="53" t="s">
        <v>35</v>
      </c>
      <c r="P16" s="53">
        <v>541</v>
      </c>
      <c r="Q16" s="50" t="s">
        <v>34</v>
      </c>
      <c r="R16" t="s">
        <v>146</v>
      </c>
      <c r="S16" t="s">
        <v>147</v>
      </c>
      <c r="T16" t="s">
        <v>148</v>
      </c>
      <c r="U16" t="s">
        <v>149</v>
      </c>
      <c r="V16" t="s">
        <v>83</v>
      </c>
      <c r="W16" t="s">
        <v>37</v>
      </c>
      <c r="Y16" s="55">
        <v>6.9426035734969336</v>
      </c>
    </row>
    <row r="17" spans="1:25" x14ac:dyDescent="0.25">
      <c r="A17" t="s">
        <v>150</v>
      </c>
      <c r="B17" t="s">
        <v>31</v>
      </c>
      <c r="C17" s="50" t="s">
        <v>31</v>
      </c>
      <c r="D17" t="s">
        <v>40</v>
      </c>
      <c r="E17" s="50">
        <v>10060111</v>
      </c>
      <c r="F17" t="s">
        <v>151</v>
      </c>
      <c r="G17" s="50">
        <v>11</v>
      </c>
      <c r="H17" s="51">
        <v>30.71</v>
      </c>
      <c r="I17" s="52">
        <v>1102.8384011898002</v>
      </c>
      <c r="J17" s="53">
        <v>0</v>
      </c>
      <c r="K17" s="53">
        <v>0</v>
      </c>
      <c r="L17" s="53">
        <v>100</v>
      </c>
      <c r="M17" s="51">
        <v>0</v>
      </c>
      <c r="N17" s="51">
        <v>0</v>
      </c>
      <c r="O17" s="53" t="s">
        <v>35</v>
      </c>
      <c r="P17" s="53">
        <v>1003</v>
      </c>
      <c r="Q17" s="50" t="s">
        <v>34</v>
      </c>
      <c r="R17" t="s">
        <v>152</v>
      </c>
      <c r="S17" t="s">
        <v>153</v>
      </c>
      <c r="T17" t="s">
        <v>142</v>
      </c>
      <c r="U17" t="s">
        <v>143</v>
      </c>
      <c r="V17" t="s">
        <v>83</v>
      </c>
      <c r="W17" t="s">
        <v>37</v>
      </c>
      <c r="Y17" s="55">
        <v>19.751257592132536</v>
      </c>
    </row>
    <row r="18" spans="1:25" x14ac:dyDescent="0.25">
      <c r="A18" t="s">
        <v>154</v>
      </c>
      <c r="B18" t="s">
        <v>31</v>
      </c>
      <c r="C18" s="50" t="s">
        <v>31</v>
      </c>
      <c r="D18" t="s">
        <v>40</v>
      </c>
      <c r="E18" s="50">
        <v>10060111</v>
      </c>
      <c r="F18" t="s">
        <v>155</v>
      </c>
      <c r="G18" s="50">
        <v>13</v>
      </c>
      <c r="H18" s="51">
        <v>560.66999999999996</v>
      </c>
      <c r="I18" s="52">
        <v>30564.282481037699</v>
      </c>
      <c r="J18" s="53">
        <v>0</v>
      </c>
      <c r="K18" s="53">
        <v>0</v>
      </c>
      <c r="L18" s="53">
        <v>10000</v>
      </c>
      <c r="M18" s="51">
        <v>6500</v>
      </c>
      <c r="N18" s="51">
        <v>0</v>
      </c>
      <c r="O18" s="53" t="s">
        <v>35</v>
      </c>
      <c r="P18" s="53">
        <v>14064</v>
      </c>
      <c r="Q18" s="50" t="s">
        <v>34</v>
      </c>
      <c r="R18" t="s">
        <v>156</v>
      </c>
      <c r="S18" t="s">
        <v>157</v>
      </c>
      <c r="T18" t="s">
        <v>158</v>
      </c>
      <c r="U18" t="s">
        <v>149</v>
      </c>
      <c r="V18" t="s">
        <v>83</v>
      </c>
      <c r="W18" t="s">
        <v>37</v>
      </c>
      <c r="Y18" s="55">
        <v>35.434005052302616</v>
      </c>
    </row>
    <row r="19" spans="1:25" x14ac:dyDescent="0.25">
      <c r="A19" t="s">
        <v>159</v>
      </c>
      <c r="B19" t="s">
        <v>31</v>
      </c>
      <c r="C19" s="50" t="s">
        <v>31</v>
      </c>
      <c r="D19" t="s">
        <v>40</v>
      </c>
      <c r="E19" s="50">
        <v>10060111</v>
      </c>
      <c r="F19" t="s">
        <v>160</v>
      </c>
      <c r="G19" s="50">
        <v>7</v>
      </c>
      <c r="H19" s="51">
        <v>9.24</v>
      </c>
      <c r="I19" s="52">
        <v>377.15337063261148</v>
      </c>
      <c r="J19" s="53">
        <v>0</v>
      </c>
      <c r="K19" s="53">
        <v>0</v>
      </c>
      <c r="L19" s="53">
        <v>0</v>
      </c>
      <c r="M19" s="51">
        <v>0</v>
      </c>
      <c r="N19" s="51">
        <v>0</v>
      </c>
      <c r="O19" s="53" t="s">
        <v>35</v>
      </c>
      <c r="P19" s="53">
        <v>377</v>
      </c>
      <c r="Q19" s="50" t="s">
        <v>34</v>
      </c>
      <c r="R19" t="s">
        <v>161</v>
      </c>
      <c r="S19" t="s">
        <v>162</v>
      </c>
      <c r="T19" t="s">
        <v>163</v>
      </c>
      <c r="U19" t="s">
        <v>164</v>
      </c>
      <c r="V19" t="s">
        <v>83</v>
      </c>
      <c r="W19" t="s">
        <v>37</v>
      </c>
      <c r="Y19" s="55">
        <v>14.286112523962558</v>
      </c>
    </row>
    <row r="20" spans="1:25" x14ac:dyDescent="0.25">
      <c r="A20" t="s">
        <v>165</v>
      </c>
      <c r="B20" t="s">
        <v>42</v>
      </c>
      <c r="C20" s="50" t="s">
        <v>42</v>
      </c>
      <c r="D20" t="s">
        <v>43</v>
      </c>
      <c r="E20" s="50">
        <v>10070077</v>
      </c>
      <c r="F20" t="s">
        <v>78</v>
      </c>
      <c r="G20" s="50">
        <v>1</v>
      </c>
      <c r="H20" s="51">
        <v>211.4</v>
      </c>
      <c r="I20" s="52">
        <v>8260.0579908000018</v>
      </c>
      <c r="J20" s="53">
        <v>0</v>
      </c>
      <c r="K20" s="53">
        <v>0</v>
      </c>
      <c r="L20" s="53">
        <v>957</v>
      </c>
      <c r="M20" s="51">
        <v>0</v>
      </c>
      <c r="N20" s="51">
        <v>0</v>
      </c>
      <c r="O20" s="53" t="s">
        <v>35</v>
      </c>
      <c r="P20" s="53">
        <v>7303</v>
      </c>
      <c r="Q20" s="50" t="s">
        <v>34</v>
      </c>
      <c r="R20" t="s">
        <v>166</v>
      </c>
      <c r="S20" t="s">
        <v>167</v>
      </c>
      <c r="T20" t="s">
        <v>168</v>
      </c>
      <c r="U20" t="s">
        <v>143</v>
      </c>
      <c r="V20" t="s">
        <v>83</v>
      </c>
      <c r="W20" t="s">
        <v>37</v>
      </c>
      <c r="Y20" s="55">
        <v>1.9536561000000003</v>
      </c>
    </row>
    <row r="21" spans="1:25" x14ac:dyDescent="0.25">
      <c r="A21" t="s">
        <v>169</v>
      </c>
      <c r="B21" t="s">
        <v>44</v>
      </c>
      <c r="C21" s="50" t="s">
        <v>44</v>
      </c>
      <c r="D21" t="s">
        <v>45</v>
      </c>
      <c r="E21" s="50">
        <v>10110066</v>
      </c>
      <c r="F21" t="s">
        <v>75</v>
      </c>
      <c r="G21" s="50">
        <v>12</v>
      </c>
      <c r="H21" s="51">
        <v>6.1600000000000019</v>
      </c>
      <c r="I21" s="52">
        <v>241.23146493600004</v>
      </c>
      <c r="J21" s="53">
        <v>0</v>
      </c>
      <c r="K21" s="53">
        <v>241.23146493600004</v>
      </c>
      <c r="L21" s="53">
        <v>0</v>
      </c>
      <c r="M21" s="51">
        <v>0</v>
      </c>
      <c r="N21" s="51">
        <v>0</v>
      </c>
      <c r="O21" s="53" t="s">
        <v>35</v>
      </c>
      <c r="P21" s="53">
        <v>0</v>
      </c>
      <c r="Q21" s="50" t="s">
        <v>34</v>
      </c>
      <c r="R21">
        <v>0</v>
      </c>
      <c r="S21">
        <v>0</v>
      </c>
      <c r="T21">
        <v>0</v>
      </c>
      <c r="U21">
        <v>0</v>
      </c>
      <c r="V21" t="s">
        <v>76</v>
      </c>
      <c r="W21" t="s">
        <v>37</v>
      </c>
      <c r="Y21" s="55">
        <v>0</v>
      </c>
    </row>
    <row r="22" spans="1:25" x14ac:dyDescent="0.25">
      <c r="A22" t="s">
        <v>170</v>
      </c>
      <c r="B22" t="s">
        <v>44</v>
      </c>
      <c r="C22" s="50" t="s">
        <v>44</v>
      </c>
      <c r="D22" t="s">
        <v>45</v>
      </c>
      <c r="E22" s="50">
        <v>10110066</v>
      </c>
      <c r="F22" t="s">
        <v>78</v>
      </c>
      <c r="G22" s="50">
        <v>1</v>
      </c>
      <c r="H22" s="51">
        <v>2.1</v>
      </c>
      <c r="I22" s="52">
        <v>81.221956199999994</v>
      </c>
      <c r="J22" s="53">
        <v>0</v>
      </c>
      <c r="K22" s="53">
        <v>0</v>
      </c>
      <c r="L22" s="53">
        <v>81.221956199999994</v>
      </c>
      <c r="M22" s="51">
        <v>0</v>
      </c>
      <c r="N22" s="51">
        <v>0</v>
      </c>
      <c r="O22" s="53" t="s">
        <v>35</v>
      </c>
      <c r="P22" s="53">
        <v>0</v>
      </c>
      <c r="Q22" s="50" t="s">
        <v>34</v>
      </c>
      <c r="R22" t="s">
        <v>171</v>
      </c>
      <c r="S22" t="s">
        <v>172</v>
      </c>
      <c r="T22" t="s">
        <v>173</v>
      </c>
      <c r="U22" t="s">
        <v>174</v>
      </c>
      <c r="V22" t="s">
        <v>83</v>
      </c>
      <c r="W22" t="s">
        <v>37</v>
      </c>
      <c r="Y22" s="55">
        <v>1.9338560999999999</v>
      </c>
    </row>
    <row r="23" spans="1:25" x14ac:dyDescent="0.25">
      <c r="A23" t="s">
        <v>175</v>
      </c>
      <c r="B23" t="s">
        <v>44</v>
      </c>
      <c r="C23" s="50" t="s">
        <v>44</v>
      </c>
      <c r="D23" t="s">
        <v>45</v>
      </c>
      <c r="E23" s="50">
        <v>10110066</v>
      </c>
      <c r="F23" t="s">
        <v>145</v>
      </c>
      <c r="G23" s="50">
        <v>12</v>
      </c>
      <c r="H23" s="51">
        <v>30.699999999999996</v>
      </c>
      <c r="I23" s="52">
        <v>1667.1420391411002</v>
      </c>
      <c r="J23" s="53">
        <v>0</v>
      </c>
      <c r="K23" s="53">
        <v>0</v>
      </c>
      <c r="L23" s="53">
        <v>0</v>
      </c>
      <c r="M23" s="51">
        <v>0</v>
      </c>
      <c r="N23" s="51">
        <v>0</v>
      </c>
      <c r="O23" s="53" t="s">
        <v>35</v>
      </c>
      <c r="P23" s="53">
        <v>1667</v>
      </c>
      <c r="Q23" s="50" t="s">
        <v>34</v>
      </c>
      <c r="R23" t="s">
        <v>176</v>
      </c>
      <c r="S23" t="s">
        <v>177</v>
      </c>
      <c r="T23" t="s">
        <v>178</v>
      </c>
      <c r="U23" t="s">
        <v>179</v>
      </c>
      <c r="V23" t="s">
        <v>83</v>
      </c>
      <c r="W23" t="s">
        <v>37</v>
      </c>
      <c r="Y23" s="55">
        <v>32.582580569532915</v>
      </c>
    </row>
    <row r="24" spans="1:25" x14ac:dyDescent="0.25">
      <c r="A24" t="s">
        <v>180</v>
      </c>
      <c r="B24" t="s">
        <v>44</v>
      </c>
      <c r="C24" s="50" t="s">
        <v>44</v>
      </c>
      <c r="D24" t="s">
        <v>45</v>
      </c>
      <c r="E24" s="50">
        <v>10110066</v>
      </c>
      <c r="F24" t="s">
        <v>151</v>
      </c>
      <c r="G24" s="50">
        <v>13</v>
      </c>
      <c r="H24" s="51">
        <v>35.040000000000006</v>
      </c>
      <c r="I24" s="52">
        <v>1947.54005295052</v>
      </c>
      <c r="J24" s="53">
        <v>0</v>
      </c>
      <c r="K24" s="53">
        <v>0</v>
      </c>
      <c r="L24" s="53">
        <v>0</v>
      </c>
      <c r="M24" s="51">
        <v>0</v>
      </c>
      <c r="N24" s="51">
        <v>0</v>
      </c>
      <c r="O24" s="53" t="s">
        <v>35</v>
      </c>
      <c r="P24" s="53">
        <v>1948</v>
      </c>
      <c r="Q24" s="50" t="s">
        <v>34</v>
      </c>
      <c r="R24" t="s">
        <v>181</v>
      </c>
      <c r="S24" t="s">
        <v>182</v>
      </c>
      <c r="T24" t="s">
        <v>183</v>
      </c>
      <c r="U24" t="s">
        <v>184</v>
      </c>
      <c r="V24" t="s">
        <v>83</v>
      </c>
      <c r="W24" t="s">
        <v>37</v>
      </c>
      <c r="Y24" s="55">
        <v>36.127312626079849</v>
      </c>
    </row>
    <row r="25" spans="1:25" x14ac:dyDescent="0.25">
      <c r="A25" t="s">
        <v>185</v>
      </c>
      <c r="B25" t="s">
        <v>44</v>
      </c>
      <c r="C25" s="50" t="s">
        <v>44</v>
      </c>
      <c r="D25" t="s">
        <v>45</v>
      </c>
      <c r="E25" s="50">
        <v>10110066</v>
      </c>
      <c r="F25" t="s">
        <v>155</v>
      </c>
      <c r="G25" s="50">
        <v>13</v>
      </c>
      <c r="H25" s="51">
        <v>24.04</v>
      </c>
      <c r="I25" s="52">
        <v>970.13619426240007</v>
      </c>
      <c r="J25" s="53">
        <v>0</v>
      </c>
      <c r="K25" s="53">
        <v>0</v>
      </c>
      <c r="L25" s="53">
        <v>0</v>
      </c>
      <c r="M25" s="51">
        <v>0</v>
      </c>
      <c r="N25" s="51">
        <v>0</v>
      </c>
      <c r="O25" s="53" t="s">
        <v>35</v>
      </c>
      <c r="P25" s="53">
        <v>970</v>
      </c>
      <c r="Q25" s="50" t="s">
        <v>34</v>
      </c>
      <c r="R25" t="s">
        <v>186</v>
      </c>
      <c r="S25" t="s">
        <v>187</v>
      </c>
      <c r="T25" t="s">
        <v>81</v>
      </c>
      <c r="U25" t="s">
        <v>188</v>
      </c>
      <c r="V25" t="s">
        <v>83</v>
      </c>
      <c r="W25" t="s">
        <v>37</v>
      </c>
      <c r="Y25" s="55">
        <v>26.23080392140433</v>
      </c>
    </row>
    <row r="26" spans="1:25" x14ac:dyDescent="0.25">
      <c r="A26" t="s">
        <v>189</v>
      </c>
      <c r="B26" t="s">
        <v>44</v>
      </c>
      <c r="C26" s="50" t="s">
        <v>44</v>
      </c>
      <c r="D26" t="s">
        <v>45</v>
      </c>
      <c r="E26" s="50">
        <v>10110066</v>
      </c>
      <c r="F26" t="s">
        <v>190</v>
      </c>
      <c r="G26" s="50">
        <v>5</v>
      </c>
      <c r="H26" s="51">
        <v>11.899999999999999</v>
      </c>
      <c r="I26" s="52">
        <v>480.76788196799998</v>
      </c>
      <c r="J26" s="53">
        <v>0</v>
      </c>
      <c r="K26" s="53">
        <v>0</v>
      </c>
      <c r="L26" s="53">
        <v>0</v>
      </c>
      <c r="M26" s="51">
        <v>0</v>
      </c>
      <c r="N26" s="51">
        <v>0</v>
      </c>
      <c r="O26" s="53" t="s">
        <v>35</v>
      </c>
      <c r="P26" s="53">
        <v>481</v>
      </c>
      <c r="Q26" s="50" t="s">
        <v>34</v>
      </c>
      <c r="R26" t="s">
        <v>191</v>
      </c>
      <c r="S26" t="s">
        <v>192</v>
      </c>
      <c r="T26" t="s">
        <v>193</v>
      </c>
      <c r="U26" t="s">
        <v>194</v>
      </c>
      <c r="V26" t="s">
        <v>83</v>
      </c>
      <c r="W26" t="s">
        <v>37</v>
      </c>
      <c r="Y26" s="55">
        <v>10.100165587563026</v>
      </c>
    </row>
    <row r="27" spans="1:25" x14ac:dyDescent="0.25">
      <c r="A27" t="s">
        <v>195</v>
      </c>
      <c r="B27" t="s">
        <v>44</v>
      </c>
      <c r="C27" s="50" t="s">
        <v>44</v>
      </c>
      <c r="D27" t="s">
        <v>45</v>
      </c>
      <c r="E27" s="50">
        <v>10110066</v>
      </c>
      <c r="F27" t="s">
        <v>196</v>
      </c>
      <c r="G27" s="50">
        <v>14</v>
      </c>
      <c r="H27" s="51">
        <v>440.44000000000017</v>
      </c>
      <c r="I27" s="52">
        <v>17842.6792035324</v>
      </c>
      <c r="J27" s="53">
        <v>0</v>
      </c>
      <c r="K27" s="53">
        <v>0</v>
      </c>
      <c r="L27" s="53">
        <v>0</v>
      </c>
      <c r="M27" s="51">
        <v>1300</v>
      </c>
      <c r="N27" s="51">
        <v>0</v>
      </c>
      <c r="O27" s="53" t="s">
        <v>35</v>
      </c>
      <c r="P27" s="53">
        <v>16543</v>
      </c>
      <c r="Q27" s="50" t="s">
        <v>34</v>
      </c>
      <c r="R27" t="s">
        <v>197</v>
      </c>
      <c r="S27" t="s">
        <v>198</v>
      </c>
      <c r="T27" t="s">
        <v>81</v>
      </c>
      <c r="U27" t="s">
        <v>199</v>
      </c>
      <c r="V27" t="s">
        <v>83</v>
      </c>
      <c r="W27" t="s">
        <v>37</v>
      </c>
      <c r="Y27" s="55">
        <v>28.357722828246018</v>
      </c>
    </row>
    <row r="28" spans="1:25" x14ac:dyDescent="0.25">
      <c r="A28" t="s">
        <v>200</v>
      </c>
      <c r="B28" t="s">
        <v>44</v>
      </c>
      <c r="C28" s="50" t="s">
        <v>44</v>
      </c>
      <c r="D28" t="s">
        <v>45</v>
      </c>
      <c r="E28" s="50">
        <v>10110066</v>
      </c>
      <c r="F28" t="s">
        <v>201</v>
      </c>
      <c r="G28" s="50">
        <v>14</v>
      </c>
      <c r="H28" s="51">
        <v>81.199999999999989</v>
      </c>
      <c r="I28" s="52">
        <v>3013.2887819760003</v>
      </c>
      <c r="J28" s="53">
        <v>0</v>
      </c>
      <c r="K28" s="53">
        <v>0</v>
      </c>
      <c r="L28" s="53">
        <v>0</v>
      </c>
      <c r="M28" s="51">
        <v>1300</v>
      </c>
      <c r="N28" s="51">
        <v>0</v>
      </c>
      <c r="O28" s="53" t="s">
        <v>35</v>
      </c>
      <c r="P28" s="53">
        <v>1713</v>
      </c>
      <c r="Q28" s="50" t="s">
        <v>34</v>
      </c>
      <c r="R28" t="s">
        <v>202</v>
      </c>
      <c r="S28" t="s">
        <v>203</v>
      </c>
      <c r="T28" t="s">
        <v>81</v>
      </c>
      <c r="U28" t="s">
        <v>188</v>
      </c>
      <c r="V28" t="s">
        <v>83</v>
      </c>
      <c r="W28" t="s">
        <v>37</v>
      </c>
      <c r="Y28" s="55">
        <v>25.976627430827595</v>
      </c>
    </row>
    <row r="29" spans="1:25" x14ac:dyDescent="0.25">
      <c r="A29" t="s">
        <v>204</v>
      </c>
      <c r="B29" t="s">
        <v>44</v>
      </c>
      <c r="C29" s="50" t="s">
        <v>44</v>
      </c>
      <c r="D29" t="s">
        <v>45</v>
      </c>
      <c r="E29" s="50">
        <v>10110066</v>
      </c>
      <c r="F29" t="s">
        <v>205</v>
      </c>
      <c r="G29" s="50">
        <v>12</v>
      </c>
      <c r="H29" s="51">
        <v>16.839999999999996</v>
      </c>
      <c r="I29" s="52">
        <v>573.85830320280013</v>
      </c>
      <c r="J29" s="53">
        <v>0</v>
      </c>
      <c r="K29" s="53">
        <v>0</v>
      </c>
      <c r="L29" s="53">
        <v>0</v>
      </c>
      <c r="M29" s="51">
        <v>0</v>
      </c>
      <c r="N29" s="51">
        <v>0</v>
      </c>
      <c r="O29" s="53" t="s">
        <v>35</v>
      </c>
      <c r="P29" s="53">
        <v>574</v>
      </c>
      <c r="Q29" s="50" t="s">
        <v>34</v>
      </c>
      <c r="R29" t="s">
        <v>206</v>
      </c>
      <c r="S29" t="s">
        <v>207</v>
      </c>
      <c r="T29" t="s">
        <v>178</v>
      </c>
      <c r="U29" t="s">
        <v>179</v>
      </c>
      <c r="V29" t="s">
        <v>83</v>
      </c>
      <c r="W29" t="s">
        <v>37</v>
      </c>
      <c r="Y29" s="55">
        <v>20.446257833828991</v>
      </c>
    </row>
    <row r="30" spans="1:25" x14ac:dyDescent="0.25">
      <c r="A30" t="s">
        <v>208</v>
      </c>
      <c r="B30" t="s">
        <v>44</v>
      </c>
      <c r="C30" s="50" t="s">
        <v>44</v>
      </c>
      <c r="D30" t="s">
        <v>45</v>
      </c>
      <c r="E30" s="50">
        <v>10110066</v>
      </c>
      <c r="F30" t="s">
        <v>209</v>
      </c>
      <c r="G30" s="50">
        <v>13</v>
      </c>
      <c r="H30" s="51">
        <v>22.5</v>
      </c>
      <c r="I30" s="52">
        <v>831.26805775200012</v>
      </c>
      <c r="J30" s="53">
        <v>0</v>
      </c>
      <c r="K30" s="53">
        <v>0</v>
      </c>
      <c r="L30" s="53">
        <v>0</v>
      </c>
      <c r="M30" s="51">
        <v>0</v>
      </c>
      <c r="N30" s="51">
        <v>0</v>
      </c>
      <c r="O30" s="53" t="s">
        <v>35</v>
      </c>
      <c r="P30" s="53">
        <v>831</v>
      </c>
      <c r="Q30" s="50" t="s">
        <v>34</v>
      </c>
      <c r="R30" t="s">
        <v>210</v>
      </c>
      <c r="S30" t="s">
        <v>211</v>
      </c>
      <c r="T30" t="s">
        <v>81</v>
      </c>
      <c r="U30" t="s">
        <v>199</v>
      </c>
      <c r="V30" t="s">
        <v>83</v>
      </c>
      <c r="W30" t="s">
        <v>37</v>
      </c>
      <c r="Y30" s="55">
        <v>24.014410557280002</v>
      </c>
    </row>
    <row r="31" spans="1:25" x14ac:dyDescent="0.25">
      <c r="A31" t="s">
        <v>212</v>
      </c>
      <c r="B31" t="s">
        <v>44</v>
      </c>
      <c r="C31" s="50" t="s">
        <v>44</v>
      </c>
      <c r="D31" t="s">
        <v>45</v>
      </c>
      <c r="E31" s="50">
        <v>10110066</v>
      </c>
      <c r="F31" t="s">
        <v>213</v>
      </c>
      <c r="G31" s="50">
        <v>6</v>
      </c>
      <c r="H31" s="51">
        <v>8.8400000000000016</v>
      </c>
      <c r="I31" s="52">
        <v>382.62951889659206</v>
      </c>
      <c r="J31" s="53">
        <v>0</v>
      </c>
      <c r="K31" s="53">
        <v>0</v>
      </c>
      <c r="L31" s="53">
        <v>73</v>
      </c>
      <c r="M31" s="51">
        <v>0</v>
      </c>
      <c r="N31" s="51">
        <v>0</v>
      </c>
      <c r="O31" s="53" t="s">
        <v>35</v>
      </c>
      <c r="P31" s="53">
        <v>310</v>
      </c>
      <c r="Q31" s="50" t="s">
        <v>34</v>
      </c>
      <c r="R31" t="s">
        <v>214</v>
      </c>
      <c r="S31" t="s">
        <v>215</v>
      </c>
      <c r="T31" t="s">
        <v>81</v>
      </c>
      <c r="U31" t="s">
        <v>188</v>
      </c>
      <c r="V31" t="s">
        <v>83</v>
      </c>
      <c r="W31" t="s">
        <v>37</v>
      </c>
      <c r="Y31" s="55">
        <v>12.985164668436381</v>
      </c>
    </row>
    <row r="32" spans="1:25" x14ac:dyDescent="0.25">
      <c r="A32" t="s">
        <v>216</v>
      </c>
      <c r="B32" t="s">
        <v>44</v>
      </c>
      <c r="C32" s="50" t="s">
        <v>44</v>
      </c>
      <c r="D32" t="s">
        <v>45</v>
      </c>
      <c r="E32" s="50">
        <v>10110066</v>
      </c>
      <c r="F32" t="s">
        <v>217</v>
      </c>
      <c r="G32" s="50">
        <v>11</v>
      </c>
      <c r="H32" s="51">
        <v>18.02</v>
      </c>
      <c r="I32" s="52">
        <v>711.43048587599992</v>
      </c>
      <c r="J32" s="53">
        <v>0</v>
      </c>
      <c r="K32" s="53">
        <v>0</v>
      </c>
      <c r="L32" s="53">
        <v>0</v>
      </c>
      <c r="M32" s="51">
        <v>0</v>
      </c>
      <c r="N32" s="51">
        <v>0</v>
      </c>
      <c r="O32" s="53" t="s">
        <v>35</v>
      </c>
      <c r="P32" s="53">
        <v>711</v>
      </c>
      <c r="Q32" s="50" t="s">
        <v>34</v>
      </c>
      <c r="R32" t="s">
        <v>218</v>
      </c>
      <c r="S32" t="s">
        <v>219</v>
      </c>
      <c r="T32" t="s">
        <v>178</v>
      </c>
      <c r="U32" t="s">
        <v>179</v>
      </c>
      <c r="V32" t="s">
        <v>83</v>
      </c>
      <c r="W32" t="s">
        <v>37</v>
      </c>
      <c r="Y32" s="55">
        <v>21.714027038390675</v>
      </c>
    </row>
    <row r="33" spans="1:25" x14ac:dyDescent="0.25">
      <c r="A33" t="s">
        <v>220</v>
      </c>
      <c r="B33" t="s">
        <v>44</v>
      </c>
      <c r="C33" s="50" t="s">
        <v>44</v>
      </c>
      <c r="D33" t="s">
        <v>45</v>
      </c>
      <c r="E33" s="50">
        <v>10110066</v>
      </c>
      <c r="F33" t="s">
        <v>221</v>
      </c>
      <c r="G33" s="50">
        <v>3</v>
      </c>
      <c r="H33" s="51">
        <v>4.68</v>
      </c>
      <c r="I33" s="52">
        <v>259.33630812520005</v>
      </c>
      <c r="J33" s="53">
        <v>0</v>
      </c>
      <c r="K33" s="53">
        <v>0</v>
      </c>
      <c r="L33" s="53">
        <v>0</v>
      </c>
      <c r="M33" s="51">
        <v>0</v>
      </c>
      <c r="N33" s="51">
        <v>0</v>
      </c>
      <c r="O33" s="53" t="s">
        <v>35</v>
      </c>
      <c r="P33" s="53">
        <v>259</v>
      </c>
      <c r="Q33" s="50" t="s">
        <v>34</v>
      </c>
      <c r="R33" t="s">
        <v>222</v>
      </c>
      <c r="S33" t="s">
        <v>223</v>
      </c>
      <c r="T33" t="s">
        <v>224</v>
      </c>
      <c r="U33" t="s">
        <v>125</v>
      </c>
      <c r="V33" t="s">
        <v>83</v>
      </c>
      <c r="W33" t="s">
        <v>37</v>
      </c>
      <c r="Y33" s="55">
        <v>8.3120611578589774</v>
      </c>
    </row>
    <row r="34" spans="1:25" x14ac:dyDescent="0.25">
      <c r="A34" t="s">
        <v>225</v>
      </c>
      <c r="B34" t="s">
        <v>44</v>
      </c>
      <c r="C34" s="50" t="s">
        <v>44</v>
      </c>
      <c r="D34" t="s">
        <v>45</v>
      </c>
      <c r="E34" s="50">
        <v>10110066</v>
      </c>
      <c r="F34" t="s">
        <v>226</v>
      </c>
      <c r="G34" s="50">
        <v>14</v>
      </c>
      <c r="H34" s="51">
        <v>75.11999999999999</v>
      </c>
      <c r="I34" s="52">
        <v>2706.0880682484003</v>
      </c>
      <c r="J34" s="53">
        <v>0</v>
      </c>
      <c r="K34" s="53">
        <v>0</v>
      </c>
      <c r="L34" s="53">
        <v>0</v>
      </c>
      <c r="M34" s="51">
        <v>0</v>
      </c>
      <c r="N34" s="51">
        <v>0</v>
      </c>
      <c r="O34" s="53" t="s">
        <v>35</v>
      </c>
      <c r="P34" s="53">
        <v>2706</v>
      </c>
      <c r="Q34" s="50" t="s">
        <v>34</v>
      </c>
      <c r="R34" t="s">
        <v>227</v>
      </c>
      <c r="S34" t="s">
        <v>228</v>
      </c>
      <c r="T34" t="s">
        <v>81</v>
      </c>
      <c r="U34" t="s">
        <v>188</v>
      </c>
      <c r="V34" t="s">
        <v>83</v>
      </c>
      <c r="W34" t="s">
        <v>37</v>
      </c>
      <c r="Y34" s="55">
        <v>25.216475609343458</v>
      </c>
    </row>
    <row r="35" spans="1:25" x14ac:dyDescent="0.25">
      <c r="A35" t="s">
        <v>229</v>
      </c>
      <c r="B35" t="s">
        <v>44</v>
      </c>
      <c r="C35" s="50" t="s">
        <v>44</v>
      </c>
      <c r="D35" t="s">
        <v>45</v>
      </c>
      <c r="E35" s="50">
        <v>10110066</v>
      </c>
      <c r="F35" t="s">
        <v>230</v>
      </c>
      <c r="G35" s="50">
        <v>7</v>
      </c>
      <c r="H35" s="51">
        <v>7.08</v>
      </c>
      <c r="I35" s="52">
        <v>253.6701361524</v>
      </c>
      <c r="J35" s="53">
        <v>0</v>
      </c>
      <c r="K35" s="53">
        <v>0</v>
      </c>
      <c r="L35" s="53">
        <v>0</v>
      </c>
      <c r="M35" s="51">
        <v>0</v>
      </c>
      <c r="N35" s="51">
        <v>0</v>
      </c>
      <c r="O35" s="53" t="s">
        <v>35</v>
      </c>
      <c r="P35" s="53">
        <v>254</v>
      </c>
      <c r="Q35" s="50" t="s">
        <v>34</v>
      </c>
      <c r="R35" t="s">
        <v>231</v>
      </c>
      <c r="S35" t="s">
        <v>232</v>
      </c>
      <c r="T35" t="s">
        <v>81</v>
      </c>
      <c r="U35" t="s">
        <v>199</v>
      </c>
      <c r="V35" t="s">
        <v>83</v>
      </c>
      <c r="W35" t="s">
        <v>37</v>
      </c>
      <c r="Y35" s="55">
        <v>12.540190346516949</v>
      </c>
    </row>
    <row r="36" spans="1:25" x14ac:dyDescent="0.25">
      <c r="A36" t="s">
        <v>233</v>
      </c>
      <c r="B36" t="s">
        <v>44</v>
      </c>
      <c r="C36" s="50" t="s">
        <v>44</v>
      </c>
      <c r="D36" t="s">
        <v>45</v>
      </c>
      <c r="E36" s="50">
        <v>10110066</v>
      </c>
      <c r="F36" t="s">
        <v>160</v>
      </c>
      <c r="G36" s="50">
        <v>13</v>
      </c>
      <c r="H36" s="51">
        <v>117</v>
      </c>
      <c r="I36" s="52">
        <v>4162.6033829424005</v>
      </c>
      <c r="J36" s="53">
        <v>0</v>
      </c>
      <c r="K36" s="53">
        <v>0</v>
      </c>
      <c r="L36" s="53">
        <v>0</v>
      </c>
      <c r="M36" s="51">
        <v>1300</v>
      </c>
      <c r="N36" s="51">
        <v>0</v>
      </c>
      <c r="O36" s="53" t="s">
        <v>35</v>
      </c>
      <c r="P36" s="53">
        <v>2863</v>
      </c>
      <c r="Q36" s="50" t="s">
        <v>34</v>
      </c>
      <c r="R36" t="s">
        <v>234</v>
      </c>
      <c r="S36" t="s">
        <v>235</v>
      </c>
      <c r="T36" t="s">
        <v>236</v>
      </c>
      <c r="U36" t="s">
        <v>105</v>
      </c>
      <c r="V36" t="s">
        <v>83</v>
      </c>
      <c r="W36" t="s">
        <v>37</v>
      </c>
      <c r="Y36" s="55">
        <v>23.125574349680004</v>
      </c>
    </row>
    <row r="37" spans="1:25" x14ac:dyDescent="0.25">
      <c r="A37" t="s">
        <v>237</v>
      </c>
      <c r="B37" t="s">
        <v>44</v>
      </c>
      <c r="C37" s="50" t="s">
        <v>44</v>
      </c>
      <c r="D37" t="s">
        <v>45</v>
      </c>
      <c r="E37" s="50">
        <v>10110066</v>
      </c>
      <c r="F37" t="s">
        <v>238</v>
      </c>
      <c r="G37" s="50">
        <v>6</v>
      </c>
      <c r="H37" s="51">
        <v>26.18</v>
      </c>
      <c r="I37" s="52">
        <v>934.52045258880014</v>
      </c>
      <c r="J37" s="53">
        <v>0</v>
      </c>
      <c r="K37" s="53">
        <v>0</v>
      </c>
      <c r="L37" s="53">
        <v>0</v>
      </c>
      <c r="M37" s="51">
        <v>0</v>
      </c>
      <c r="N37" s="51">
        <v>0</v>
      </c>
      <c r="O37" s="53" t="s">
        <v>35</v>
      </c>
      <c r="P37" s="53">
        <v>935</v>
      </c>
      <c r="Q37" s="50" t="s">
        <v>34</v>
      </c>
      <c r="R37" t="s">
        <v>239</v>
      </c>
      <c r="S37" t="s">
        <v>240</v>
      </c>
      <c r="T37" t="s">
        <v>81</v>
      </c>
      <c r="U37" t="s">
        <v>241</v>
      </c>
      <c r="V37" t="s">
        <v>83</v>
      </c>
      <c r="W37" t="s">
        <v>37</v>
      </c>
      <c r="Y37" s="55">
        <v>10.708790518588238</v>
      </c>
    </row>
    <row r="38" spans="1:25" x14ac:dyDescent="0.25">
      <c r="A38" t="s">
        <v>242</v>
      </c>
      <c r="B38" t="s">
        <v>44</v>
      </c>
      <c r="C38" s="50" t="s">
        <v>44</v>
      </c>
      <c r="D38" t="s">
        <v>46</v>
      </c>
      <c r="E38" s="50">
        <v>10110076</v>
      </c>
      <c r="F38" t="s">
        <v>75</v>
      </c>
      <c r="G38" s="50">
        <v>14</v>
      </c>
      <c r="H38" s="51">
        <v>4.3000000000000016</v>
      </c>
      <c r="I38" s="52">
        <v>175.30253011340002</v>
      </c>
      <c r="J38" s="53">
        <v>0</v>
      </c>
      <c r="K38" s="53">
        <v>175.30253011340002</v>
      </c>
      <c r="L38" s="53">
        <v>0</v>
      </c>
      <c r="M38" s="51">
        <v>0</v>
      </c>
      <c r="N38" s="51">
        <v>0</v>
      </c>
      <c r="O38" s="53" t="s">
        <v>35</v>
      </c>
      <c r="P38" s="53">
        <v>0</v>
      </c>
      <c r="Q38" s="50" t="s">
        <v>34</v>
      </c>
      <c r="R38">
        <v>0</v>
      </c>
      <c r="S38">
        <v>0</v>
      </c>
      <c r="T38">
        <v>0</v>
      </c>
      <c r="U38">
        <v>0</v>
      </c>
      <c r="V38" t="s">
        <v>76</v>
      </c>
      <c r="W38" t="s">
        <v>37</v>
      </c>
      <c r="Y38" s="55">
        <v>0</v>
      </c>
    </row>
    <row r="39" spans="1:25" x14ac:dyDescent="0.25">
      <c r="A39" t="s">
        <v>243</v>
      </c>
      <c r="B39" t="s">
        <v>44</v>
      </c>
      <c r="C39" s="50" t="s">
        <v>44</v>
      </c>
      <c r="D39" t="s">
        <v>46</v>
      </c>
      <c r="E39" s="50">
        <v>10110076</v>
      </c>
      <c r="F39" t="s">
        <v>78</v>
      </c>
      <c r="G39" s="50">
        <v>14</v>
      </c>
      <c r="H39" s="51">
        <v>252.74000000000007</v>
      </c>
      <c r="I39" s="52">
        <v>12545.93796780736</v>
      </c>
      <c r="J39" s="53">
        <v>0</v>
      </c>
      <c r="K39" s="53">
        <v>0</v>
      </c>
      <c r="L39" s="53">
        <v>4897</v>
      </c>
      <c r="M39" s="51">
        <v>6619</v>
      </c>
      <c r="N39" s="51">
        <v>1030.2738786885241</v>
      </c>
      <c r="O39" s="53" t="s">
        <v>35</v>
      </c>
      <c r="P39" s="53">
        <v>0</v>
      </c>
      <c r="Q39" s="50" t="s">
        <v>34</v>
      </c>
      <c r="R39" t="s">
        <v>244</v>
      </c>
      <c r="S39" t="s">
        <v>245</v>
      </c>
      <c r="T39" t="s">
        <v>81</v>
      </c>
      <c r="U39" t="s">
        <v>199</v>
      </c>
      <c r="V39" t="s">
        <v>83</v>
      </c>
      <c r="W39" t="s">
        <v>37</v>
      </c>
      <c r="Y39" s="55">
        <v>34.747790525698946</v>
      </c>
    </row>
    <row r="40" spans="1:25" x14ac:dyDescent="0.25">
      <c r="A40" t="s">
        <v>246</v>
      </c>
      <c r="B40" t="s">
        <v>44</v>
      </c>
      <c r="C40" s="50" t="s">
        <v>44</v>
      </c>
      <c r="D40" t="s">
        <v>46</v>
      </c>
      <c r="E40" s="50">
        <v>10110076</v>
      </c>
      <c r="F40" t="s">
        <v>145</v>
      </c>
      <c r="G40" s="50">
        <v>13</v>
      </c>
      <c r="H40" s="51">
        <v>187.98</v>
      </c>
      <c r="I40" s="52">
        <v>8130.6808442674601</v>
      </c>
      <c r="J40" s="53">
        <v>0</v>
      </c>
      <c r="K40" s="53">
        <v>0</v>
      </c>
      <c r="L40" s="53">
        <v>0</v>
      </c>
      <c r="M40" s="51">
        <v>8131</v>
      </c>
      <c r="N40" s="51">
        <v>0</v>
      </c>
      <c r="O40" s="53" t="s">
        <v>35</v>
      </c>
      <c r="P40" s="53">
        <v>0</v>
      </c>
      <c r="Q40" s="50" t="s">
        <v>34</v>
      </c>
      <c r="R40" t="s">
        <v>247</v>
      </c>
      <c r="S40" t="s">
        <v>248</v>
      </c>
      <c r="T40" t="s">
        <v>81</v>
      </c>
      <c r="U40" t="s">
        <v>199</v>
      </c>
      <c r="V40" t="s">
        <v>83</v>
      </c>
      <c r="W40" t="s">
        <v>37</v>
      </c>
      <c r="Y40" s="55">
        <v>28.114387428310721</v>
      </c>
    </row>
    <row r="41" spans="1:25" x14ac:dyDescent="0.25">
      <c r="A41" t="s">
        <v>249</v>
      </c>
      <c r="B41" t="s">
        <v>44</v>
      </c>
      <c r="C41" s="50" t="s">
        <v>44</v>
      </c>
      <c r="D41" t="s">
        <v>46</v>
      </c>
      <c r="E41" s="50">
        <v>10110076</v>
      </c>
      <c r="F41" t="s">
        <v>250</v>
      </c>
      <c r="G41" s="50">
        <v>14</v>
      </c>
      <c r="H41" s="51">
        <v>218.04</v>
      </c>
      <c r="I41" s="52">
        <v>9235.3476870083214</v>
      </c>
      <c r="J41" s="53">
        <v>0</v>
      </c>
      <c r="K41" s="53">
        <v>0</v>
      </c>
      <c r="L41" s="53">
        <v>0</v>
      </c>
      <c r="M41" s="51">
        <v>0</v>
      </c>
      <c r="N41" s="51">
        <v>0</v>
      </c>
      <c r="O41" s="53" t="s">
        <v>35</v>
      </c>
      <c r="P41" s="53">
        <v>9235</v>
      </c>
      <c r="Q41" s="50" t="s">
        <v>34</v>
      </c>
      <c r="R41" t="s">
        <v>251</v>
      </c>
      <c r="S41" t="s">
        <v>252</v>
      </c>
      <c r="T41" t="s">
        <v>81</v>
      </c>
      <c r="U41" t="s">
        <v>199</v>
      </c>
      <c r="V41" t="s">
        <v>83</v>
      </c>
      <c r="W41" t="s">
        <v>37</v>
      </c>
      <c r="Y41" s="55">
        <v>29.649345903989293</v>
      </c>
    </row>
    <row r="42" spans="1:25" x14ac:dyDescent="0.25">
      <c r="A42" t="s">
        <v>253</v>
      </c>
      <c r="B42" t="s">
        <v>44</v>
      </c>
      <c r="C42" s="50" t="s">
        <v>44</v>
      </c>
      <c r="D42" t="s">
        <v>46</v>
      </c>
      <c r="E42" s="50">
        <v>10110076</v>
      </c>
      <c r="F42" t="s">
        <v>151</v>
      </c>
      <c r="G42" s="50">
        <v>10</v>
      </c>
      <c r="H42" s="51">
        <v>86.240000000000009</v>
      </c>
      <c r="I42" s="52">
        <v>3577.3003708761203</v>
      </c>
      <c r="J42" s="53">
        <v>0</v>
      </c>
      <c r="K42" s="53">
        <v>0</v>
      </c>
      <c r="L42" s="53">
        <v>0</v>
      </c>
      <c r="M42" s="51">
        <v>0</v>
      </c>
      <c r="N42" s="51">
        <v>0</v>
      </c>
      <c r="O42" s="53" t="s">
        <v>35</v>
      </c>
      <c r="P42" s="53">
        <v>3577</v>
      </c>
      <c r="Q42" s="50" t="s">
        <v>34</v>
      </c>
      <c r="R42" t="s">
        <v>254</v>
      </c>
      <c r="S42" t="s">
        <v>255</v>
      </c>
      <c r="T42" t="s">
        <v>81</v>
      </c>
      <c r="U42" t="s">
        <v>199</v>
      </c>
      <c r="V42" t="s">
        <v>83</v>
      </c>
      <c r="W42" t="s">
        <v>37</v>
      </c>
      <c r="Y42" s="55">
        <v>20.740377845988636</v>
      </c>
    </row>
    <row r="43" spans="1:25" x14ac:dyDescent="0.25">
      <c r="A43" t="s">
        <v>256</v>
      </c>
      <c r="B43" t="s">
        <v>44</v>
      </c>
      <c r="C43" s="50" t="s">
        <v>44</v>
      </c>
      <c r="D43" t="s">
        <v>46</v>
      </c>
      <c r="E43" s="50">
        <v>10110076</v>
      </c>
      <c r="F43" t="s">
        <v>257</v>
      </c>
      <c r="G43" s="50">
        <v>11</v>
      </c>
      <c r="H43" s="51">
        <v>87.840000000000018</v>
      </c>
      <c r="I43" s="52">
        <v>3517.6422580975996</v>
      </c>
      <c r="J43" s="53">
        <v>0</v>
      </c>
      <c r="K43" s="53">
        <v>0</v>
      </c>
      <c r="L43" s="53">
        <v>0</v>
      </c>
      <c r="M43" s="51">
        <v>0</v>
      </c>
      <c r="N43" s="51">
        <v>0</v>
      </c>
      <c r="O43" s="53" t="s">
        <v>35</v>
      </c>
      <c r="P43" s="53">
        <v>3518</v>
      </c>
      <c r="Q43" s="50" t="s">
        <v>34</v>
      </c>
      <c r="R43" t="s">
        <v>258</v>
      </c>
      <c r="S43" t="s">
        <v>259</v>
      </c>
      <c r="T43" t="s">
        <v>260</v>
      </c>
      <c r="U43" t="s">
        <v>125</v>
      </c>
      <c r="V43" t="s">
        <v>83</v>
      </c>
      <c r="W43" t="s">
        <v>37</v>
      </c>
      <c r="Y43" s="55">
        <v>22.025310131530961</v>
      </c>
    </row>
    <row r="44" spans="1:25" x14ac:dyDescent="0.25">
      <c r="A44" t="s">
        <v>261</v>
      </c>
      <c r="B44" t="s">
        <v>44</v>
      </c>
      <c r="C44" s="50" t="s">
        <v>44</v>
      </c>
      <c r="D44" t="s">
        <v>46</v>
      </c>
      <c r="E44" s="50">
        <v>10110076</v>
      </c>
      <c r="F44" t="s">
        <v>262</v>
      </c>
      <c r="G44" s="50">
        <v>8</v>
      </c>
      <c r="H44" s="51">
        <v>66.92</v>
      </c>
      <c r="I44" s="52">
        <v>2882.6573624152206</v>
      </c>
      <c r="J44" s="53">
        <v>0</v>
      </c>
      <c r="K44" s="53">
        <v>0</v>
      </c>
      <c r="L44" s="53">
        <v>0</v>
      </c>
      <c r="M44" s="51">
        <v>0</v>
      </c>
      <c r="N44" s="51">
        <v>0</v>
      </c>
      <c r="O44" s="53" t="s">
        <v>35</v>
      </c>
      <c r="P44" s="53">
        <v>2883</v>
      </c>
      <c r="Q44" s="50" t="s">
        <v>34</v>
      </c>
      <c r="R44" t="s">
        <v>263</v>
      </c>
      <c r="S44" t="s">
        <v>264</v>
      </c>
      <c r="T44" t="s">
        <v>81</v>
      </c>
      <c r="U44" t="s">
        <v>199</v>
      </c>
      <c r="V44" t="s">
        <v>83</v>
      </c>
      <c r="W44" t="s">
        <v>37</v>
      </c>
      <c r="Y44" s="55">
        <v>17.230468394591878</v>
      </c>
    </row>
    <row r="45" spans="1:25" x14ac:dyDescent="0.25">
      <c r="A45" t="s">
        <v>265</v>
      </c>
      <c r="B45" t="s">
        <v>44</v>
      </c>
      <c r="C45" s="50" t="s">
        <v>44</v>
      </c>
      <c r="D45" t="s">
        <v>46</v>
      </c>
      <c r="E45" s="50">
        <v>10110076</v>
      </c>
      <c r="F45" t="s">
        <v>266</v>
      </c>
      <c r="G45" s="50">
        <v>8</v>
      </c>
      <c r="H45" s="51">
        <v>82.100000000000009</v>
      </c>
      <c r="I45" s="52">
        <v>3195.3952039680007</v>
      </c>
      <c r="J45" s="53">
        <v>0</v>
      </c>
      <c r="K45" s="53">
        <v>0</v>
      </c>
      <c r="L45" s="53">
        <v>0</v>
      </c>
      <c r="M45" s="51">
        <v>0</v>
      </c>
      <c r="N45" s="51">
        <v>0</v>
      </c>
      <c r="O45" s="53" t="s">
        <v>35</v>
      </c>
      <c r="P45" s="53">
        <v>3195</v>
      </c>
      <c r="Q45" s="50" t="s">
        <v>34</v>
      </c>
      <c r="R45">
        <v>0</v>
      </c>
      <c r="S45">
        <v>0</v>
      </c>
      <c r="T45">
        <v>0</v>
      </c>
      <c r="U45">
        <v>0</v>
      </c>
      <c r="V45" t="s">
        <v>76</v>
      </c>
      <c r="W45" t="s">
        <v>37</v>
      </c>
      <c r="Y45" s="55">
        <v>15.568307936506702</v>
      </c>
    </row>
    <row r="46" spans="1:25" x14ac:dyDescent="0.25">
      <c r="A46" t="s">
        <v>267</v>
      </c>
      <c r="B46" t="s">
        <v>44</v>
      </c>
      <c r="C46" s="50" t="s">
        <v>44</v>
      </c>
      <c r="D46" t="s">
        <v>46</v>
      </c>
      <c r="E46" s="50">
        <v>10110076</v>
      </c>
      <c r="F46" t="s">
        <v>268</v>
      </c>
      <c r="G46" s="50">
        <v>6</v>
      </c>
      <c r="H46" s="51">
        <v>37.56</v>
      </c>
      <c r="I46" s="52">
        <v>1518.7910211144003</v>
      </c>
      <c r="J46" s="53">
        <v>0</v>
      </c>
      <c r="K46" s="53">
        <v>0</v>
      </c>
      <c r="L46" s="53">
        <v>0</v>
      </c>
      <c r="M46" s="51">
        <v>0</v>
      </c>
      <c r="N46" s="51">
        <v>0</v>
      </c>
      <c r="O46" s="53" t="s">
        <v>35</v>
      </c>
      <c r="P46" s="53">
        <v>1519</v>
      </c>
      <c r="Q46" s="50" t="s">
        <v>34</v>
      </c>
      <c r="R46">
        <v>0</v>
      </c>
      <c r="S46">
        <v>0</v>
      </c>
      <c r="T46">
        <v>0</v>
      </c>
      <c r="U46">
        <v>0</v>
      </c>
      <c r="V46" t="s">
        <v>76</v>
      </c>
      <c r="W46" t="s">
        <v>37</v>
      </c>
      <c r="Y46" s="55">
        <v>12.13091869899681</v>
      </c>
    </row>
    <row r="47" spans="1:25" x14ac:dyDescent="0.25">
      <c r="A47" t="s">
        <v>269</v>
      </c>
      <c r="B47" t="s">
        <v>44</v>
      </c>
      <c r="C47" s="50" t="s">
        <v>44</v>
      </c>
      <c r="D47" t="s">
        <v>46</v>
      </c>
      <c r="E47" s="50">
        <v>10110076</v>
      </c>
      <c r="F47" t="s">
        <v>270</v>
      </c>
      <c r="G47" s="50">
        <v>6</v>
      </c>
      <c r="H47" s="51">
        <v>29.060000000000002</v>
      </c>
      <c r="I47" s="52">
        <v>1197.6654399480003</v>
      </c>
      <c r="J47" s="53">
        <v>0</v>
      </c>
      <c r="K47" s="53">
        <v>0</v>
      </c>
      <c r="L47" s="53">
        <v>0</v>
      </c>
      <c r="M47" s="51">
        <v>0</v>
      </c>
      <c r="N47" s="51">
        <v>0</v>
      </c>
      <c r="O47" s="53" t="s">
        <v>35</v>
      </c>
      <c r="P47" s="53">
        <v>1198</v>
      </c>
      <c r="Q47" s="50" t="s">
        <v>34</v>
      </c>
      <c r="R47">
        <v>0</v>
      </c>
      <c r="S47">
        <v>0</v>
      </c>
      <c r="T47">
        <v>0</v>
      </c>
      <c r="U47">
        <v>0</v>
      </c>
      <c r="V47" t="s">
        <v>76</v>
      </c>
      <c r="W47" t="s">
        <v>37</v>
      </c>
      <c r="Y47" s="55">
        <v>12.364061664982797</v>
      </c>
    </row>
    <row r="48" spans="1:25" x14ac:dyDescent="0.25">
      <c r="A48" t="s">
        <v>271</v>
      </c>
      <c r="B48" t="s">
        <v>44</v>
      </c>
      <c r="C48" s="50" t="s">
        <v>44</v>
      </c>
      <c r="D48" t="s">
        <v>46</v>
      </c>
      <c r="E48" s="50">
        <v>10110076</v>
      </c>
      <c r="F48" t="s">
        <v>190</v>
      </c>
      <c r="G48" s="50">
        <v>6</v>
      </c>
      <c r="H48" s="51">
        <v>35.159999999999997</v>
      </c>
      <c r="I48" s="52">
        <v>1459.6887855840002</v>
      </c>
      <c r="J48" s="53">
        <v>0</v>
      </c>
      <c r="K48" s="53">
        <v>0</v>
      </c>
      <c r="L48" s="53">
        <v>0</v>
      </c>
      <c r="M48" s="51">
        <v>0</v>
      </c>
      <c r="N48" s="51">
        <v>0</v>
      </c>
      <c r="O48" s="53" t="s">
        <v>35</v>
      </c>
      <c r="P48" s="53">
        <v>1460</v>
      </c>
      <c r="Q48" s="50" t="s">
        <v>34</v>
      </c>
      <c r="R48">
        <v>0</v>
      </c>
      <c r="S48">
        <v>0</v>
      </c>
      <c r="T48">
        <v>0</v>
      </c>
      <c r="U48">
        <v>0</v>
      </c>
      <c r="V48" t="s">
        <v>76</v>
      </c>
      <c r="W48" t="s">
        <v>37</v>
      </c>
      <c r="Y48" s="55">
        <v>12.454682470853248</v>
      </c>
    </row>
    <row r="49" spans="1:25" x14ac:dyDescent="0.25">
      <c r="A49" t="s">
        <v>272</v>
      </c>
      <c r="B49" t="s">
        <v>47</v>
      </c>
      <c r="C49" s="50" t="s">
        <v>47</v>
      </c>
      <c r="D49" t="s">
        <v>48</v>
      </c>
      <c r="E49" s="50">
        <v>10140001</v>
      </c>
      <c r="F49" t="s">
        <v>273</v>
      </c>
      <c r="G49">
        <v>7</v>
      </c>
      <c r="H49" s="51">
        <v>12.3</v>
      </c>
      <c r="I49" s="51">
        <v>519.4995141600001</v>
      </c>
      <c r="J49" s="53">
        <v>0</v>
      </c>
      <c r="K49" s="53">
        <v>0</v>
      </c>
      <c r="L49" s="53">
        <v>519</v>
      </c>
      <c r="M49" s="51">
        <v>0</v>
      </c>
      <c r="N49" s="51">
        <v>0</v>
      </c>
      <c r="O49" s="53" t="s">
        <v>35</v>
      </c>
      <c r="P49" s="53">
        <v>0</v>
      </c>
      <c r="Q49" s="50" t="s">
        <v>34</v>
      </c>
      <c r="R49" t="s">
        <v>274</v>
      </c>
      <c r="S49" t="s">
        <v>275</v>
      </c>
      <c r="T49" t="s">
        <v>276</v>
      </c>
      <c r="U49" t="s">
        <v>277</v>
      </c>
      <c r="V49" t="s">
        <v>83</v>
      </c>
      <c r="W49" t="s">
        <v>37</v>
      </c>
      <c r="Y49" s="55">
        <v>14.782506500487809</v>
      </c>
    </row>
    <row r="50" spans="1:25" x14ac:dyDescent="0.25">
      <c r="A50" t="s">
        <v>278</v>
      </c>
      <c r="B50" t="s">
        <v>47</v>
      </c>
      <c r="C50" s="50" t="s">
        <v>47</v>
      </c>
      <c r="D50" t="s">
        <v>48</v>
      </c>
      <c r="E50" s="50">
        <v>10140001</v>
      </c>
      <c r="F50" t="s">
        <v>279</v>
      </c>
      <c r="G50">
        <v>6</v>
      </c>
      <c r="H50" s="51">
        <v>48.8</v>
      </c>
      <c r="I50" s="51">
        <v>1653.5243062800002</v>
      </c>
      <c r="J50" s="53">
        <v>0</v>
      </c>
      <c r="K50" s="53">
        <v>0</v>
      </c>
      <c r="L50" s="53">
        <v>0</v>
      </c>
      <c r="M50" s="51">
        <v>1654</v>
      </c>
      <c r="N50" s="51">
        <v>0</v>
      </c>
      <c r="O50" s="53" t="s">
        <v>35</v>
      </c>
      <c r="P50" s="53">
        <v>0</v>
      </c>
      <c r="Q50" s="50" t="s">
        <v>34</v>
      </c>
      <c r="R50" t="s">
        <v>280</v>
      </c>
      <c r="S50" t="s">
        <v>281</v>
      </c>
      <c r="T50" t="s">
        <v>276</v>
      </c>
      <c r="U50" t="s">
        <v>277</v>
      </c>
      <c r="V50" t="s">
        <v>83</v>
      </c>
      <c r="W50" t="s">
        <v>37</v>
      </c>
      <c r="X50" s="54"/>
      <c r="Y50" s="55">
        <v>10.165108440245904</v>
      </c>
    </row>
    <row r="51" spans="1:25" x14ac:dyDescent="0.25">
      <c r="A51" t="s">
        <v>282</v>
      </c>
      <c r="B51" t="s">
        <v>47</v>
      </c>
      <c r="C51" s="50" t="s">
        <v>47</v>
      </c>
      <c r="D51" t="s">
        <v>48</v>
      </c>
      <c r="E51" s="50">
        <v>10140001</v>
      </c>
      <c r="F51" t="s">
        <v>283</v>
      </c>
      <c r="G51">
        <v>5</v>
      </c>
      <c r="H51" s="51">
        <v>7.1</v>
      </c>
      <c r="I51" s="51">
        <v>492.80972412110003</v>
      </c>
      <c r="J51" s="53">
        <v>0</v>
      </c>
      <c r="K51" s="53">
        <v>0</v>
      </c>
      <c r="L51" s="53">
        <v>493</v>
      </c>
      <c r="M51" s="51">
        <v>0</v>
      </c>
      <c r="N51" s="51">
        <v>0</v>
      </c>
      <c r="O51" s="53" t="s">
        <v>35</v>
      </c>
      <c r="P51" s="53">
        <v>0</v>
      </c>
      <c r="Q51" s="50" t="s">
        <v>34</v>
      </c>
      <c r="R51" t="s">
        <v>284</v>
      </c>
      <c r="S51" t="s">
        <v>285</v>
      </c>
      <c r="T51" t="s">
        <v>276</v>
      </c>
      <c r="U51" t="s">
        <v>277</v>
      </c>
      <c r="V51" t="s">
        <v>83</v>
      </c>
      <c r="W51" t="s">
        <v>37</v>
      </c>
      <c r="Y51" s="55">
        <v>17.35245507468662</v>
      </c>
    </row>
    <row r="52" spans="1:25" x14ac:dyDescent="0.25">
      <c r="A52" t="s">
        <v>286</v>
      </c>
      <c r="B52" t="s">
        <v>47</v>
      </c>
      <c r="C52" s="50" t="s">
        <v>47</v>
      </c>
      <c r="D52" t="s">
        <v>48</v>
      </c>
      <c r="E52" s="50">
        <v>10140001</v>
      </c>
      <c r="F52" t="s">
        <v>287</v>
      </c>
      <c r="G52">
        <v>2</v>
      </c>
      <c r="H52" s="51">
        <v>8.1</v>
      </c>
      <c r="I52" s="51">
        <v>385.87261268190002</v>
      </c>
      <c r="J52" s="53">
        <v>0</v>
      </c>
      <c r="K52" s="53">
        <v>0</v>
      </c>
      <c r="L52" s="53">
        <v>262</v>
      </c>
      <c r="M52" s="51">
        <v>124</v>
      </c>
      <c r="N52" s="51">
        <v>0</v>
      </c>
      <c r="O52" s="53" t="s">
        <v>35</v>
      </c>
      <c r="P52" s="53">
        <v>0</v>
      </c>
      <c r="Q52" s="50" t="s">
        <v>34</v>
      </c>
      <c r="R52" t="s">
        <v>92</v>
      </c>
      <c r="S52" t="s">
        <v>288</v>
      </c>
      <c r="T52" t="s">
        <v>276</v>
      </c>
      <c r="U52" t="s">
        <v>289</v>
      </c>
      <c r="V52" t="s">
        <v>83</v>
      </c>
      <c r="W52" t="s">
        <v>37</v>
      </c>
      <c r="X52" s="54"/>
      <c r="Y52" s="55">
        <v>4.7638594158259266</v>
      </c>
    </row>
    <row r="53" spans="1:25" x14ac:dyDescent="0.25">
      <c r="A53" t="s">
        <v>290</v>
      </c>
      <c r="B53" t="s">
        <v>47</v>
      </c>
      <c r="C53" s="50" t="s">
        <v>47</v>
      </c>
      <c r="D53" t="s">
        <v>49</v>
      </c>
      <c r="E53" s="50">
        <v>10140098</v>
      </c>
      <c r="F53" t="s">
        <v>75</v>
      </c>
      <c r="G53">
        <v>10</v>
      </c>
      <c r="H53" s="51">
        <v>7.51</v>
      </c>
      <c r="I53" s="51">
        <v>287.87362084800003</v>
      </c>
      <c r="J53" s="53">
        <v>0</v>
      </c>
      <c r="K53" s="53">
        <v>287.87362084800003</v>
      </c>
      <c r="L53" s="53">
        <v>0</v>
      </c>
      <c r="M53" s="51">
        <v>0</v>
      </c>
      <c r="N53" s="51">
        <v>0</v>
      </c>
      <c r="O53" s="53" t="s">
        <v>35</v>
      </c>
      <c r="P53" s="53">
        <v>0</v>
      </c>
      <c r="Q53" s="50" t="s">
        <v>34</v>
      </c>
      <c r="R53">
        <v>0</v>
      </c>
      <c r="S53">
        <v>0</v>
      </c>
      <c r="T53">
        <v>0</v>
      </c>
      <c r="U53">
        <v>0</v>
      </c>
      <c r="V53" t="s">
        <v>76</v>
      </c>
      <c r="W53" t="s">
        <v>37</v>
      </c>
      <c r="Y53" s="55">
        <v>0</v>
      </c>
    </row>
    <row r="54" spans="1:25" x14ac:dyDescent="0.25">
      <c r="A54" t="s">
        <v>291</v>
      </c>
      <c r="B54" t="s">
        <v>47</v>
      </c>
      <c r="C54" s="50" t="s">
        <v>47</v>
      </c>
      <c r="D54" t="s">
        <v>49</v>
      </c>
      <c r="E54" s="50">
        <v>10140098</v>
      </c>
      <c r="F54" t="s">
        <v>78</v>
      </c>
      <c r="G54">
        <v>13</v>
      </c>
      <c r="H54" s="51">
        <v>548.25</v>
      </c>
      <c r="I54" s="51">
        <v>22582.12919105183</v>
      </c>
      <c r="J54" s="53">
        <v>0</v>
      </c>
      <c r="K54" s="53">
        <v>0</v>
      </c>
      <c r="L54" s="53">
        <v>0</v>
      </c>
      <c r="M54" s="51">
        <v>22582</v>
      </c>
      <c r="N54" s="51">
        <v>0</v>
      </c>
      <c r="O54" s="53" t="s">
        <v>35</v>
      </c>
      <c r="P54" s="53">
        <v>0</v>
      </c>
      <c r="Q54" s="50" t="s">
        <v>34</v>
      </c>
      <c r="R54" t="s">
        <v>292</v>
      </c>
      <c r="S54" t="s">
        <v>293</v>
      </c>
      <c r="T54" t="s">
        <v>294</v>
      </c>
      <c r="U54" t="s">
        <v>295</v>
      </c>
      <c r="V54" t="s">
        <v>83</v>
      </c>
      <c r="W54" t="s">
        <v>37</v>
      </c>
      <c r="Y54" s="55">
        <v>26.773158183645585</v>
      </c>
    </row>
    <row r="55" spans="1:25" x14ac:dyDescent="0.25">
      <c r="A55" t="s">
        <v>296</v>
      </c>
      <c r="B55" t="s">
        <v>47</v>
      </c>
      <c r="C55" s="50" t="s">
        <v>47</v>
      </c>
      <c r="D55" t="s">
        <v>49</v>
      </c>
      <c r="E55" s="50">
        <v>10140098</v>
      </c>
      <c r="F55" t="s">
        <v>297</v>
      </c>
      <c r="G55">
        <v>1</v>
      </c>
      <c r="H55" s="51">
        <v>141</v>
      </c>
      <c r="I55" s="51">
        <v>4932.328896</v>
      </c>
      <c r="J55" s="53">
        <v>0</v>
      </c>
      <c r="K55" s="53">
        <v>0</v>
      </c>
      <c r="L55" s="53">
        <v>0</v>
      </c>
      <c r="M55" s="51">
        <v>0</v>
      </c>
      <c r="N55" s="51">
        <v>0</v>
      </c>
      <c r="O55" s="53" t="s">
        <v>35</v>
      </c>
      <c r="P55" s="53">
        <v>4932</v>
      </c>
      <c r="Q55" s="50" t="s">
        <v>34</v>
      </c>
      <c r="R55" t="s">
        <v>298</v>
      </c>
      <c r="S55" t="s">
        <v>299</v>
      </c>
      <c r="T55" t="s">
        <v>300</v>
      </c>
      <c r="U55" t="s">
        <v>301</v>
      </c>
      <c r="V55" t="s">
        <v>83</v>
      </c>
      <c r="W55" t="s">
        <v>37</v>
      </c>
      <c r="Y55" s="55">
        <v>1.7490528000000003</v>
      </c>
    </row>
    <row r="56" spans="1:25" x14ac:dyDescent="0.25">
      <c r="A56" t="s">
        <v>302</v>
      </c>
      <c r="B56" t="s">
        <v>47</v>
      </c>
      <c r="C56" s="50" t="s">
        <v>47</v>
      </c>
      <c r="D56" t="s">
        <v>49</v>
      </c>
      <c r="E56" s="50">
        <v>10140098</v>
      </c>
      <c r="F56" t="s">
        <v>155</v>
      </c>
      <c r="G56">
        <v>10</v>
      </c>
      <c r="H56" s="51">
        <v>299.12999999999994</v>
      </c>
      <c r="I56" s="51">
        <v>12189.124010800848</v>
      </c>
      <c r="J56" s="53">
        <v>0</v>
      </c>
      <c r="K56" s="53">
        <v>0</v>
      </c>
      <c r="L56" s="53">
        <v>0</v>
      </c>
      <c r="M56" s="51">
        <v>0</v>
      </c>
      <c r="N56" s="51">
        <v>0</v>
      </c>
      <c r="O56" s="53" t="s">
        <v>35</v>
      </c>
      <c r="P56" s="53">
        <v>12189</v>
      </c>
      <c r="Q56" s="50" t="s">
        <v>34</v>
      </c>
      <c r="R56" t="s">
        <v>303</v>
      </c>
      <c r="S56" t="s">
        <v>304</v>
      </c>
      <c r="T56" t="s">
        <v>305</v>
      </c>
      <c r="U56" t="s">
        <v>306</v>
      </c>
      <c r="V56" t="s">
        <v>83</v>
      </c>
      <c r="W56" t="s">
        <v>37</v>
      </c>
      <c r="Y56" s="55">
        <v>20.374292131850449</v>
      </c>
    </row>
    <row r="57" spans="1:25" x14ac:dyDescent="0.25">
      <c r="A57" t="s">
        <v>307</v>
      </c>
      <c r="B57" t="s">
        <v>47</v>
      </c>
      <c r="C57" s="50" t="s">
        <v>47</v>
      </c>
      <c r="D57" t="s">
        <v>49</v>
      </c>
      <c r="E57" s="50">
        <v>10140098</v>
      </c>
      <c r="F57" t="s">
        <v>209</v>
      </c>
      <c r="G57">
        <v>3</v>
      </c>
      <c r="H57" s="51">
        <v>42.699999999999996</v>
      </c>
      <c r="I57" s="51">
        <v>1662.0905343240001</v>
      </c>
      <c r="J57" s="53">
        <v>0</v>
      </c>
      <c r="K57" s="53">
        <v>0</v>
      </c>
      <c r="L57" s="53">
        <v>0</v>
      </c>
      <c r="M57" s="51">
        <v>0</v>
      </c>
      <c r="N57" s="51">
        <v>0</v>
      </c>
      <c r="O57" s="53" t="s">
        <v>35</v>
      </c>
      <c r="P57" s="53">
        <v>1662</v>
      </c>
      <c r="Q57" s="50" t="s">
        <v>34</v>
      </c>
      <c r="R57" t="s">
        <v>308</v>
      </c>
      <c r="S57" t="s">
        <v>309</v>
      </c>
      <c r="T57" t="s">
        <v>310</v>
      </c>
      <c r="U57" t="s">
        <v>289</v>
      </c>
      <c r="V57" t="s">
        <v>83</v>
      </c>
      <c r="W57" t="s">
        <v>37</v>
      </c>
      <c r="Y57" s="55">
        <v>5.8387255304121801</v>
      </c>
    </row>
    <row r="58" spans="1:25" x14ac:dyDescent="0.25">
      <c r="A58" t="s">
        <v>311</v>
      </c>
      <c r="B58" t="s">
        <v>47</v>
      </c>
      <c r="C58" s="50" t="s">
        <v>47</v>
      </c>
      <c r="D58" t="s">
        <v>49</v>
      </c>
      <c r="E58" s="50">
        <v>10140098</v>
      </c>
      <c r="F58" t="s">
        <v>312</v>
      </c>
      <c r="G58">
        <v>5</v>
      </c>
      <c r="H58" s="51">
        <v>101.63999999999999</v>
      </c>
      <c r="I58" s="51">
        <v>3666.360966444</v>
      </c>
      <c r="J58" s="53">
        <v>0</v>
      </c>
      <c r="K58" s="53">
        <v>0</v>
      </c>
      <c r="L58" s="53">
        <v>0</v>
      </c>
      <c r="M58" s="51">
        <v>0</v>
      </c>
      <c r="N58" s="51">
        <v>0</v>
      </c>
      <c r="O58" s="53" t="s">
        <v>35</v>
      </c>
      <c r="P58" s="53">
        <v>3666</v>
      </c>
      <c r="Q58" s="50" t="s">
        <v>34</v>
      </c>
      <c r="R58" t="s">
        <v>313</v>
      </c>
      <c r="S58" t="s">
        <v>314</v>
      </c>
      <c r="T58" t="s">
        <v>315</v>
      </c>
      <c r="U58" t="s">
        <v>295</v>
      </c>
      <c r="V58" t="s">
        <v>83</v>
      </c>
      <c r="W58" t="s">
        <v>37</v>
      </c>
      <c r="Y58" s="55">
        <v>9.0180070996753265</v>
      </c>
    </row>
    <row r="59" spans="1:25" x14ac:dyDescent="0.25">
      <c r="A59" t="s">
        <v>316</v>
      </c>
      <c r="B59" t="s">
        <v>47</v>
      </c>
      <c r="C59" s="50" t="s">
        <v>47</v>
      </c>
      <c r="D59" t="s">
        <v>50</v>
      </c>
      <c r="E59" s="50">
        <v>10140179</v>
      </c>
      <c r="F59" t="s">
        <v>75</v>
      </c>
      <c r="G59">
        <v>12</v>
      </c>
      <c r="H59" s="51">
        <v>11.37</v>
      </c>
      <c r="I59" s="51">
        <v>442.54216947600003</v>
      </c>
      <c r="J59" s="53">
        <v>0</v>
      </c>
      <c r="K59" s="53">
        <v>442.54216947600003</v>
      </c>
      <c r="L59" s="53">
        <v>0</v>
      </c>
      <c r="M59" s="51">
        <v>0</v>
      </c>
      <c r="N59" s="51">
        <v>0</v>
      </c>
      <c r="O59" s="53" t="s">
        <v>35</v>
      </c>
      <c r="P59" s="53">
        <v>0</v>
      </c>
      <c r="Q59" s="50" t="s">
        <v>34</v>
      </c>
      <c r="R59">
        <v>0</v>
      </c>
      <c r="S59">
        <v>0</v>
      </c>
      <c r="T59">
        <v>0</v>
      </c>
      <c r="U59">
        <v>0</v>
      </c>
      <c r="V59" t="s">
        <v>76</v>
      </c>
      <c r="W59" t="s">
        <v>37</v>
      </c>
      <c r="Y59" s="55">
        <v>0</v>
      </c>
    </row>
    <row r="60" spans="1:25" x14ac:dyDescent="0.25">
      <c r="A60" t="s">
        <v>317</v>
      </c>
      <c r="B60" t="s">
        <v>47</v>
      </c>
      <c r="C60" s="50" t="s">
        <v>47</v>
      </c>
      <c r="D60" t="s">
        <v>50</v>
      </c>
      <c r="E60" s="50">
        <v>10140179</v>
      </c>
      <c r="F60" t="s">
        <v>318</v>
      </c>
      <c r="G60">
        <v>13</v>
      </c>
      <c r="H60" s="51">
        <v>102.25</v>
      </c>
      <c r="I60" s="51">
        <v>4093.0862957280006</v>
      </c>
      <c r="J60" s="53">
        <v>0</v>
      </c>
      <c r="K60" s="53">
        <v>0</v>
      </c>
      <c r="L60" s="53">
        <v>0</v>
      </c>
      <c r="M60" s="51">
        <v>0</v>
      </c>
      <c r="N60" s="51">
        <v>0</v>
      </c>
      <c r="O60" s="53" t="s">
        <v>35</v>
      </c>
      <c r="P60" s="53">
        <v>4093</v>
      </c>
      <c r="Q60" s="50" t="s">
        <v>34</v>
      </c>
      <c r="R60" t="s">
        <v>319</v>
      </c>
      <c r="S60" t="s">
        <v>320</v>
      </c>
      <c r="T60" t="s">
        <v>321</v>
      </c>
      <c r="U60" t="s">
        <v>306</v>
      </c>
      <c r="V60" t="s">
        <v>83</v>
      </c>
      <c r="W60" t="s">
        <v>37</v>
      </c>
      <c r="Y60" s="55">
        <v>26.019619483845482</v>
      </c>
    </row>
    <row r="61" spans="1:25" x14ac:dyDescent="0.25">
      <c r="A61" t="s">
        <v>322</v>
      </c>
      <c r="B61" t="s">
        <v>47</v>
      </c>
      <c r="C61" s="50" t="s">
        <v>47</v>
      </c>
      <c r="D61" t="s">
        <v>50</v>
      </c>
      <c r="E61" s="50">
        <v>10140179</v>
      </c>
      <c r="F61" t="s">
        <v>250</v>
      </c>
      <c r="G61">
        <v>13</v>
      </c>
      <c r="H61" s="51">
        <v>58.83</v>
      </c>
      <c r="I61" s="51">
        <v>2114.7129566640001</v>
      </c>
      <c r="J61" s="53">
        <v>0</v>
      </c>
      <c r="K61" s="53">
        <v>0</v>
      </c>
      <c r="L61" s="53">
        <v>0</v>
      </c>
      <c r="M61" s="51">
        <v>0</v>
      </c>
      <c r="N61" s="51">
        <v>0</v>
      </c>
      <c r="O61" s="53" t="s">
        <v>35</v>
      </c>
      <c r="P61" s="53">
        <v>2115</v>
      </c>
      <c r="Q61" s="50" t="s">
        <v>34</v>
      </c>
      <c r="R61" t="s">
        <v>323</v>
      </c>
      <c r="S61" t="s">
        <v>324</v>
      </c>
      <c r="T61" t="s">
        <v>325</v>
      </c>
      <c r="U61" t="s">
        <v>289</v>
      </c>
      <c r="V61" t="s">
        <v>83</v>
      </c>
      <c r="W61" t="s">
        <v>37</v>
      </c>
      <c r="Y61" s="55">
        <v>23.365008020254976</v>
      </c>
    </row>
    <row r="62" spans="1:25" x14ac:dyDescent="0.25">
      <c r="A62" t="s">
        <v>326</v>
      </c>
      <c r="B62" t="s">
        <v>47</v>
      </c>
      <c r="C62" s="50" t="s">
        <v>47</v>
      </c>
      <c r="D62" t="s">
        <v>50</v>
      </c>
      <c r="E62" s="50">
        <v>10140179</v>
      </c>
      <c r="F62" t="s">
        <v>85</v>
      </c>
      <c r="G62">
        <v>13</v>
      </c>
      <c r="H62" s="51">
        <v>77.510000000000005</v>
      </c>
      <c r="I62" s="51">
        <v>2799.7253836200002</v>
      </c>
      <c r="J62" s="53">
        <v>0</v>
      </c>
      <c r="K62" s="53">
        <v>0</v>
      </c>
      <c r="L62" s="53">
        <v>0</v>
      </c>
      <c r="M62" s="51">
        <v>0</v>
      </c>
      <c r="N62" s="51">
        <v>0</v>
      </c>
      <c r="O62" s="53" t="s">
        <v>35</v>
      </c>
      <c r="P62" s="53">
        <v>2800</v>
      </c>
      <c r="Q62" s="50" t="s">
        <v>34</v>
      </c>
      <c r="R62" t="s">
        <v>327</v>
      </c>
      <c r="S62" t="s">
        <v>328</v>
      </c>
      <c r="T62" t="s">
        <v>321</v>
      </c>
      <c r="U62" t="s">
        <v>306</v>
      </c>
      <c r="V62" t="s">
        <v>83</v>
      </c>
      <c r="W62" t="s">
        <v>37</v>
      </c>
      <c r="X62" s="54"/>
      <c r="Y62" s="55">
        <v>23.478538244781319</v>
      </c>
    </row>
    <row r="63" spans="1:25" x14ac:dyDescent="0.25">
      <c r="A63" t="s">
        <v>329</v>
      </c>
      <c r="B63" t="s">
        <v>47</v>
      </c>
      <c r="C63" s="50" t="s">
        <v>47</v>
      </c>
      <c r="D63" t="s">
        <v>50</v>
      </c>
      <c r="E63" s="50">
        <v>10140179</v>
      </c>
      <c r="F63" t="s">
        <v>297</v>
      </c>
      <c r="G63">
        <v>13</v>
      </c>
      <c r="H63" s="51">
        <v>53.82</v>
      </c>
      <c r="I63" s="51">
        <v>1872.6891155280007</v>
      </c>
      <c r="J63" s="53">
        <v>0</v>
      </c>
      <c r="K63" s="53">
        <v>0</v>
      </c>
      <c r="L63" s="53">
        <v>0</v>
      </c>
      <c r="M63" s="51">
        <v>0</v>
      </c>
      <c r="N63" s="51">
        <v>0</v>
      </c>
      <c r="O63" s="53" t="s">
        <v>35</v>
      </c>
      <c r="P63" s="53">
        <v>1873</v>
      </c>
      <c r="Q63" s="50" t="s">
        <v>34</v>
      </c>
      <c r="R63" t="s">
        <v>330</v>
      </c>
      <c r="S63" t="s">
        <v>331</v>
      </c>
      <c r="T63" t="s">
        <v>321</v>
      </c>
      <c r="U63" t="s">
        <v>306</v>
      </c>
      <c r="V63" t="s">
        <v>83</v>
      </c>
      <c r="W63" t="s">
        <v>37</v>
      </c>
      <c r="Y63" s="55">
        <v>22.617018303478272</v>
      </c>
    </row>
    <row r="64" spans="1:25" x14ac:dyDescent="0.25">
      <c r="A64" t="s">
        <v>332</v>
      </c>
      <c r="B64" t="s">
        <v>47</v>
      </c>
      <c r="C64" s="50" t="s">
        <v>47</v>
      </c>
      <c r="D64" t="s">
        <v>50</v>
      </c>
      <c r="E64" s="50">
        <v>10140179</v>
      </c>
      <c r="F64" t="s">
        <v>151</v>
      </c>
      <c r="G64">
        <v>7</v>
      </c>
      <c r="H64" s="51">
        <v>17.03</v>
      </c>
      <c r="I64" s="51">
        <v>581.99003042400011</v>
      </c>
      <c r="J64" s="53">
        <v>0</v>
      </c>
      <c r="K64" s="53">
        <v>0</v>
      </c>
      <c r="L64" s="53">
        <v>0</v>
      </c>
      <c r="M64" s="51">
        <v>0</v>
      </c>
      <c r="N64" s="51">
        <v>0</v>
      </c>
      <c r="O64" s="53" t="s">
        <v>35</v>
      </c>
      <c r="P64" s="53">
        <v>582</v>
      </c>
      <c r="Q64" s="50" t="s">
        <v>34</v>
      </c>
      <c r="R64" t="s">
        <v>333</v>
      </c>
      <c r="S64" t="s">
        <v>334</v>
      </c>
      <c r="T64" t="s">
        <v>321</v>
      </c>
      <c r="U64" t="s">
        <v>306</v>
      </c>
      <c r="V64" t="s">
        <v>83</v>
      </c>
      <c r="W64" t="s">
        <v>37</v>
      </c>
      <c r="Y64" s="55">
        <v>11.961039967610104</v>
      </c>
    </row>
    <row r="65" spans="1:25" x14ac:dyDescent="0.25">
      <c r="A65" t="s">
        <v>335</v>
      </c>
      <c r="B65" t="s">
        <v>47</v>
      </c>
      <c r="C65" s="50" t="s">
        <v>47</v>
      </c>
      <c r="D65" t="s">
        <v>50</v>
      </c>
      <c r="E65" s="50">
        <v>10140179</v>
      </c>
      <c r="F65" t="s">
        <v>262</v>
      </c>
      <c r="G65">
        <v>5</v>
      </c>
      <c r="H65" s="51">
        <v>9.06</v>
      </c>
      <c r="I65" s="51">
        <v>338.35980657600004</v>
      </c>
      <c r="J65" s="53">
        <v>0</v>
      </c>
      <c r="K65" s="53">
        <v>0</v>
      </c>
      <c r="L65" s="53">
        <v>0</v>
      </c>
      <c r="M65" s="51">
        <v>0</v>
      </c>
      <c r="N65" s="51">
        <v>0</v>
      </c>
      <c r="O65" s="53" t="s">
        <v>35</v>
      </c>
      <c r="P65" s="53">
        <v>338</v>
      </c>
      <c r="Q65" s="50" t="s">
        <v>34</v>
      </c>
      <c r="R65" t="s">
        <v>336</v>
      </c>
      <c r="S65" t="s">
        <v>337</v>
      </c>
      <c r="T65" t="s">
        <v>325</v>
      </c>
      <c r="U65" t="s">
        <v>289</v>
      </c>
      <c r="V65" t="s">
        <v>83</v>
      </c>
      <c r="W65" t="s">
        <v>37</v>
      </c>
      <c r="Y65" s="55">
        <v>9.3366392543046359</v>
      </c>
    </row>
    <row r="66" spans="1:25" x14ac:dyDescent="0.25">
      <c r="A66" t="s">
        <v>338</v>
      </c>
      <c r="B66" t="s">
        <v>47</v>
      </c>
      <c r="C66" s="50" t="s">
        <v>47</v>
      </c>
      <c r="D66" t="s">
        <v>50</v>
      </c>
      <c r="E66" s="50">
        <v>10140179</v>
      </c>
      <c r="F66" t="s">
        <v>268</v>
      </c>
      <c r="G66">
        <v>12</v>
      </c>
      <c r="H66" s="51">
        <v>12.5</v>
      </c>
      <c r="I66" s="51">
        <v>857.75459801689999</v>
      </c>
      <c r="J66" s="53">
        <v>0</v>
      </c>
      <c r="K66" s="53">
        <v>0</v>
      </c>
      <c r="L66" s="53">
        <v>0</v>
      </c>
      <c r="M66" s="51">
        <v>0</v>
      </c>
      <c r="N66" s="51">
        <v>0</v>
      </c>
      <c r="O66" s="53" t="s">
        <v>35</v>
      </c>
      <c r="P66" s="53">
        <v>858</v>
      </c>
      <c r="Q66" s="50" t="s">
        <v>34</v>
      </c>
      <c r="R66" t="s">
        <v>339</v>
      </c>
      <c r="S66" t="s">
        <v>340</v>
      </c>
      <c r="T66" t="s">
        <v>321</v>
      </c>
      <c r="U66" t="s">
        <v>306</v>
      </c>
      <c r="V66" t="s">
        <v>83</v>
      </c>
      <c r="W66" t="s">
        <v>37</v>
      </c>
      <c r="Y66" s="55">
        <v>41.172220704811203</v>
      </c>
    </row>
    <row r="67" spans="1:25" x14ac:dyDescent="0.25">
      <c r="A67" t="s">
        <v>341</v>
      </c>
      <c r="B67" t="s">
        <v>47</v>
      </c>
      <c r="C67" s="50" t="s">
        <v>47</v>
      </c>
      <c r="D67" t="s">
        <v>50</v>
      </c>
      <c r="E67" s="50">
        <v>10140179</v>
      </c>
      <c r="F67" t="s">
        <v>201</v>
      </c>
      <c r="G67">
        <v>10</v>
      </c>
      <c r="H67" s="51">
        <v>43.31</v>
      </c>
      <c r="I67" s="51">
        <v>1704.582786852</v>
      </c>
      <c r="J67" s="53">
        <v>0</v>
      </c>
      <c r="K67" s="53">
        <v>0</v>
      </c>
      <c r="L67" s="53">
        <v>0</v>
      </c>
      <c r="M67" s="51">
        <v>0</v>
      </c>
      <c r="N67" s="51">
        <v>0</v>
      </c>
      <c r="O67" s="53" t="s">
        <v>35</v>
      </c>
      <c r="P67" s="53">
        <v>1705</v>
      </c>
      <c r="Q67" s="50" t="s">
        <v>34</v>
      </c>
      <c r="R67" t="s">
        <v>342</v>
      </c>
      <c r="S67" t="s">
        <v>343</v>
      </c>
      <c r="T67" t="s">
        <v>81</v>
      </c>
      <c r="U67" t="s">
        <v>199</v>
      </c>
      <c r="V67" t="s">
        <v>83</v>
      </c>
      <c r="W67" t="s">
        <v>37</v>
      </c>
      <c r="Y67" s="55">
        <v>19.678859234033709</v>
      </c>
    </row>
    <row r="68" spans="1:25" x14ac:dyDescent="0.25">
      <c r="A68" t="s">
        <v>344</v>
      </c>
      <c r="B68" t="s">
        <v>47</v>
      </c>
      <c r="C68" s="50" t="s">
        <v>47</v>
      </c>
      <c r="D68" t="s">
        <v>50</v>
      </c>
      <c r="E68" s="50">
        <v>10140179</v>
      </c>
      <c r="F68" t="s">
        <v>205</v>
      </c>
      <c r="G68">
        <v>13</v>
      </c>
      <c r="H68" s="51">
        <v>34.559999999999995</v>
      </c>
      <c r="I68" s="51">
        <v>1698.7666463670801</v>
      </c>
      <c r="J68" s="53">
        <v>0</v>
      </c>
      <c r="K68" s="53">
        <v>0</v>
      </c>
      <c r="L68" s="53">
        <v>0</v>
      </c>
      <c r="M68" s="51">
        <v>0</v>
      </c>
      <c r="N68" s="51">
        <v>0</v>
      </c>
      <c r="O68" s="53" t="s">
        <v>35</v>
      </c>
      <c r="P68" s="53">
        <v>1699</v>
      </c>
      <c r="Q68" s="50" t="s">
        <v>34</v>
      </c>
      <c r="R68" t="s">
        <v>345</v>
      </c>
      <c r="S68" t="s">
        <v>346</v>
      </c>
      <c r="T68" t="s">
        <v>347</v>
      </c>
      <c r="U68" t="s">
        <v>105</v>
      </c>
      <c r="V68" t="s">
        <v>83</v>
      </c>
      <c r="W68" t="s">
        <v>37</v>
      </c>
      <c r="Y68" s="55">
        <v>31.95018287438085</v>
      </c>
    </row>
    <row r="69" spans="1:25" x14ac:dyDescent="0.25">
      <c r="A69" t="s">
        <v>348</v>
      </c>
      <c r="B69" t="s">
        <v>47</v>
      </c>
      <c r="C69" s="50" t="s">
        <v>47</v>
      </c>
      <c r="D69" t="s">
        <v>50</v>
      </c>
      <c r="E69" s="50">
        <v>10140179</v>
      </c>
      <c r="F69" t="s">
        <v>349</v>
      </c>
      <c r="G69">
        <v>11</v>
      </c>
      <c r="H69" s="51">
        <v>29</v>
      </c>
      <c r="I69" s="51">
        <v>1133.2926554400001</v>
      </c>
      <c r="J69" s="53">
        <v>0</v>
      </c>
      <c r="K69" s="53">
        <v>0</v>
      </c>
      <c r="L69" s="53">
        <v>0</v>
      </c>
      <c r="M69" s="51">
        <v>0</v>
      </c>
      <c r="N69" s="51">
        <v>0</v>
      </c>
      <c r="O69" s="53" t="s">
        <v>35</v>
      </c>
      <c r="P69" s="53">
        <v>1133</v>
      </c>
      <c r="Q69" s="50" t="s">
        <v>34</v>
      </c>
      <c r="R69" t="s">
        <v>350</v>
      </c>
      <c r="S69" t="s">
        <v>351</v>
      </c>
      <c r="T69" t="s">
        <v>321</v>
      </c>
      <c r="U69" t="s">
        <v>306</v>
      </c>
      <c r="V69" t="s">
        <v>83</v>
      </c>
      <c r="W69" t="s">
        <v>37</v>
      </c>
      <c r="Y69" s="55">
        <v>21.493481396275868</v>
      </c>
    </row>
    <row r="70" spans="1:25" x14ac:dyDescent="0.25">
      <c r="A70" t="s">
        <v>352</v>
      </c>
      <c r="B70" t="s">
        <v>47</v>
      </c>
      <c r="C70" s="50" t="s">
        <v>47</v>
      </c>
      <c r="D70" t="s">
        <v>50</v>
      </c>
      <c r="E70" s="50">
        <v>10140179</v>
      </c>
      <c r="F70" t="s">
        <v>353</v>
      </c>
      <c r="G70">
        <v>13</v>
      </c>
      <c r="H70" s="51">
        <v>64.53</v>
      </c>
      <c r="I70" s="51">
        <v>2025.1606703328002</v>
      </c>
      <c r="J70" s="53">
        <v>0</v>
      </c>
      <c r="K70" s="53">
        <v>0</v>
      </c>
      <c r="L70" s="53">
        <v>0</v>
      </c>
      <c r="M70" s="51">
        <v>0</v>
      </c>
      <c r="N70" s="51">
        <v>0</v>
      </c>
      <c r="O70" s="53" t="s">
        <v>35</v>
      </c>
      <c r="P70" s="53">
        <v>2025</v>
      </c>
      <c r="Q70" s="50" t="s">
        <v>34</v>
      </c>
      <c r="R70" t="s">
        <v>354</v>
      </c>
      <c r="S70" t="s">
        <v>355</v>
      </c>
      <c r="T70" t="s">
        <v>356</v>
      </c>
      <c r="U70" t="s">
        <v>289</v>
      </c>
      <c r="V70" t="s">
        <v>83</v>
      </c>
      <c r="W70" t="s">
        <v>37</v>
      </c>
      <c r="Y70" s="55">
        <v>20.399107945394704</v>
      </c>
    </row>
    <row r="71" spans="1:25" x14ac:dyDescent="0.25">
      <c r="A71" t="s">
        <v>357</v>
      </c>
      <c r="B71" t="s">
        <v>47</v>
      </c>
      <c r="C71" s="50" t="s">
        <v>47</v>
      </c>
      <c r="D71" t="s">
        <v>50</v>
      </c>
      <c r="E71" s="50">
        <v>10140179</v>
      </c>
      <c r="F71" t="s">
        <v>213</v>
      </c>
      <c r="G71">
        <v>4</v>
      </c>
      <c r="H71" s="51">
        <v>13.09</v>
      </c>
      <c r="I71" s="51">
        <v>392.16878078400009</v>
      </c>
      <c r="J71" s="53">
        <v>0</v>
      </c>
      <c r="K71" s="53">
        <v>0</v>
      </c>
      <c r="L71" s="53">
        <v>0</v>
      </c>
      <c r="M71" s="51">
        <v>0</v>
      </c>
      <c r="N71" s="51">
        <v>0</v>
      </c>
      <c r="O71" s="53" t="s">
        <v>35</v>
      </c>
      <c r="P71" s="53">
        <v>392</v>
      </c>
      <c r="Q71" s="50" t="s">
        <v>34</v>
      </c>
      <c r="R71" t="s">
        <v>358</v>
      </c>
      <c r="S71" t="s">
        <v>359</v>
      </c>
      <c r="T71" t="s">
        <v>81</v>
      </c>
      <c r="U71" t="s">
        <v>199</v>
      </c>
      <c r="V71" t="s">
        <v>83</v>
      </c>
      <c r="W71" t="s">
        <v>37</v>
      </c>
      <c r="Y71" s="55">
        <v>5.9918835872268925</v>
      </c>
    </row>
    <row r="72" spans="1:25" x14ac:dyDescent="0.25">
      <c r="A72" t="s">
        <v>360</v>
      </c>
      <c r="B72" t="s">
        <v>47</v>
      </c>
      <c r="C72" s="50" t="s">
        <v>47</v>
      </c>
      <c r="D72" t="s">
        <v>50</v>
      </c>
      <c r="E72" s="50">
        <v>10140179</v>
      </c>
      <c r="F72" t="s">
        <v>361</v>
      </c>
      <c r="G72">
        <v>12</v>
      </c>
      <c r="H72" s="51">
        <v>40.5</v>
      </c>
      <c r="I72" s="51">
        <v>1623.4272525240001</v>
      </c>
      <c r="J72" s="53">
        <v>0</v>
      </c>
      <c r="K72" s="53">
        <v>0</v>
      </c>
      <c r="L72" s="53">
        <v>0</v>
      </c>
      <c r="M72" s="51">
        <v>0</v>
      </c>
      <c r="N72" s="51">
        <v>0</v>
      </c>
      <c r="O72" s="53" t="s">
        <v>35</v>
      </c>
      <c r="P72" s="53">
        <v>1623</v>
      </c>
      <c r="Q72" s="50" t="s">
        <v>34</v>
      </c>
      <c r="R72" t="s">
        <v>362</v>
      </c>
      <c r="S72" t="s">
        <v>363</v>
      </c>
      <c r="T72" t="s">
        <v>347</v>
      </c>
      <c r="U72" t="s">
        <v>105</v>
      </c>
      <c r="V72" t="s">
        <v>83</v>
      </c>
      <c r="W72" t="s">
        <v>37</v>
      </c>
      <c r="Y72" s="55">
        <v>24.050774111466669</v>
      </c>
    </row>
    <row r="73" spans="1:25" x14ac:dyDescent="0.25">
      <c r="A73" t="s">
        <v>364</v>
      </c>
      <c r="B73" t="s">
        <v>47</v>
      </c>
      <c r="C73" s="50" t="s">
        <v>47</v>
      </c>
      <c r="D73" t="s">
        <v>50</v>
      </c>
      <c r="E73" s="50">
        <v>10140179</v>
      </c>
      <c r="F73" t="s">
        <v>221</v>
      </c>
      <c r="G73">
        <v>13</v>
      </c>
      <c r="H73" s="51">
        <v>78.789999999999992</v>
      </c>
      <c r="I73" s="51">
        <v>2575.3253867352</v>
      </c>
      <c r="J73" s="53">
        <v>0</v>
      </c>
      <c r="K73" s="53">
        <v>0</v>
      </c>
      <c r="L73" s="53">
        <v>0</v>
      </c>
      <c r="M73" s="51">
        <v>0</v>
      </c>
      <c r="N73" s="51">
        <v>0</v>
      </c>
      <c r="O73" s="53" t="s">
        <v>35</v>
      </c>
      <c r="P73" s="53">
        <v>2575</v>
      </c>
      <c r="Q73" s="50" t="s">
        <v>34</v>
      </c>
      <c r="R73" t="s">
        <v>365</v>
      </c>
      <c r="S73" t="s">
        <v>366</v>
      </c>
      <c r="T73" t="s">
        <v>81</v>
      </c>
      <c r="U73" t="s">
        <v>367</v>
      </c>
      <c r="V73" t="s">
        <v>83</v>
      </c>
      <c r="W73" t="s">
        <v>37</v>
      </c>
      <c r="Y73" s="55">
        <v>21.245862436576726</v>
      </c>
    </row>
    <row r="74" spans="1:25" x14ac:dyDescent="0.25">
      <c r="A74" t="s">
        <v>368</v>
      </c>
      <c r="B74" t="s">
        <v>47</v>
      </c>
      <c r="C74" s="50" t="s">
        <v>47</v>
      </c>
      <c r="D74" t="s">
        <v>50</v>
      </c>
      <c r="E74" s="50">
        <v>10140179</v>
      </c>
      <c r="F74" t="s">
        <v>273</v>
      </c>
      <c r="G74">
        <v>6</v>
      </c>
      <c r="H74" s="51">
        <v>13.07</v>
      </c>
      <c r="I74" s="51">
        <v>681.26011669722004</v>
      </c>
      <c r="J74" s="53">
        <v>0</v>
      </c>
      <c r="K74" s="53">
        <v>0</v>
      </c>
      <c r="L74" s="53">
        <v>0</v>
      </c>
      <c r="M74" s="51">
        <v>0</v>
      </c>
      <c r="N74" s="51">
        <v>0</v>
      </c>
      <c r="O74" s="53" t="s">
        <v>35</v>
      </c>
      <c r="P74" s="53">
        <v>681</v>
      </c>
      <c r="Q74" s="50" t="s">
        <v>34</v>
      </c>
      <c r="R74" t="s">
        <v>369</v>
      </c>
      <c r="S74" t="s">
        <v>370</v>
      </c>
      <c r="T74" t="s">
        <v>321</v>
      </c>
      <c r="U74" t="s">
        <v>371</v>
      </c>
      <c r="V74" t="s">
        <v>83</v>
      </c>
      <c r="W74" t="s">
        <v>37</v>
      </c>
      <c r="Y74" s="55">
        <v>15.6371870703264</v>
      </c>
    </row>
    <row r="75" spans="1:25" x14ac:dyDescent="0.25">
      <c r="A75" t="s">
        <v>372</v>
      </c>
      <c r="B75" t="s">
        <v>47</v>
      </c>
      <c r="C75" s="50" t="s">
        <v>47</v>
      </c>
      <c r="D75" t="s">
        <v>50</v>
      </c>
      <c r="E75" s="50">
        <v>10140179</v>
      </c>
      <c r="F75" t="s">
        <v>226</v>
      </c>
      <c r="G75">
        <v>12</v>
      </c>
      <c r="H75" s="51">
        <v>33.21</v>
      </c>
      <c r="I75" s="51">
        <v>1368.643436154355</v>
      </c>
      <c r="J75" s="53">
        <v>0</v>
      </c>
      <c r="K75" s="53">
        <v>0</v>
      </c>
      <c r="L75" s="53">
        <v>0</v>
      </c>
      <c r="M75" s="51">
        <v>0</v>
      </c>
      <c r="N75" s="51">
        <v>0</v>
      </c>
      <c r="O75" s="53" t="s">
        <v>35</v>
      </c>
      <c r="P75" s="53">
        <v>1369</v>
      </c>
      <c r="Q75" s="50" t="s">
        <v>34</v>
      </c>
      <c r="R75" t="s">
        <v>373</v>
      </c>
      <c r="S75" t="s">
        <v>374</v>
      </c>
      <c r="T75" t="s">
        <v>375</v>
      </c>
      <c r="U75" t="s">
        <v>179</v>
      </c>
      <c r="V75" t="s">
        <v>83</v>
      </c>
      <c r="W75" t="s">
        <v>37</v>
      </c>
      <c r="Y75" s="55">
        <v>24.727072017242186</v>
      </c>
    </row>
    <row r="76" spans="1:25" x14ac:dyDescent="0.25">
      <c r="A76" t="s">
        <v>376</v>
      </c>
      <c r="B76" t="s">
        <v>47</v>
      </c>
      <c r="C76" s="50" t="s">
        <v>47</v>
      </c>
      <c r="D76" t="s">
        <v>50</v>
      </c>
      <c r="E76" s="50">
        <v>10140179</v>
      </c>
      <c r="F76" t="s">
        <v>377</v>
      </c>
      <c r="G76">
        <v>13</v>
      </c>
      <c r="H76" s="51">
        <v>43.29</v>
      </c>
      <c r="I76" s="51">
        <v>1795.7413136520004</v>
      </c>
      <c r="J76" s="53">
        <v>0</v>
      </c>
      <c r="K76" s="53">
        <v>0</v>
      </c>
      <c r="L76" s="53">
        <v>0</v>
      </c>
      <c r="M76" s="51">
        <v>0</v>
      </c>
      <c r="N76" s="51">
        <v>0</v>
      </c>
      <c r="O76" s="53" t="s">
        <v>35</v>
      </c>
      <c r="P76" s="53">
        <v>1796</v>
      </c>
      <c r="Q76" s="50" t="s">
        <v>34</v>
      </c>
      <c r="R76" t="s">
        <v>378</v>
      </c>
      <c r="S76" t="s">
        <v>379</v>
      </c>
      <c r="T76" t="s">
        <v>347</v>
      </c>
      <c r="U76" t="s">
        <v>184</v>
      </c>
      <c r="V76" t="s">
        <v>83</v>
      </c>
      <c r="W76" t="s">
        <v>37</v>
      </c>
      <c r="Y76" s="55">
        <v>26.963082787567576</v>
      </c>
    </row>
    <row r="77" spans="1:25" x14ac:dyDescent="0.25">
      <c r="A77" t="s">
        <v>380</v>
      </c>
      <c r="B77" t="s">
        <v>47</v>
      </c>
      <c r="C77" s="50" t="s">
        <v>47</v>
      </c>
      <c r="D77" t="s">
        <v>50</v>
      </c>
      <c r="E77" s="50">
        <v>10140179</v>
      </c>
      <c r="F77" t="s">
        <v>381</v>
      </c>
      <c r="G77">
        <v>6</v>
      </c>
      <c r="H77" s="51">
        <v>11.79</v>
      </c>
      <c r="I77" s="51">
        <v>476.46798883199995</v>
      </c>
      <c r="J77" s="53">
        <v>0</v>
      </c>
      <c r="K77" s="53">
        <v>0</v>
      </c>
      <c r="L77" s="53">
        <v>0</v>
      </c>
      <c r="M77" s="51">
        <v>0</v>
      </c>
      <c r="N77" s="51">
        <v>0</v>
      </c>
      <c r="O77" s="53" t="s">
        <v>35</v>
      </c>
      <c r="P77" s="53">
        <v>476</v>
      </c>
      <c r="Q77" s="50" t="s">
        <v>34</v>
      </c>
      <c r="R77" t="s">
        <v>382</v>
      </c>
      <c r="S77" t="s">
        <v>383</v>
      </c>
      <c r="T77" t="s">
        <v>384</v>
      </c>
      <c r="U77" t="s">
        <v>385</v>
      </c>
      <c r="V77" t="s">
        <v>83</v>
      </c>
      <c r="W77" t="s">
        <v>37</v>
      </c>
      <c r="Y77" s="55">
        <v>12.123867400305345</v>
      </c>
    </row>
    <row r="78" spans="1:25" x14ac:dyDescent="0.25">
      <c r="A78" t="s">
        <v>386</v>
      </c>
      <c r="B78" t="s">
        <v>47</v>
      </c>
      <c r="C78" s="50" t="s">
        <v>47</v>
      </c>
      <c r="D78" t="s">
        <v>50</v>
      </c>
      <c r="E78" s="50">
        <v>10140179</v>
      </c>
      <c r="F78" t="s">
        <v>387</v>
      </c>
      <c r="G78">
        <v>8</v>
      </c>
      <c r="H78" s="51">
        <v>20.32</v>
      </c>
      <c r="I78" s="51">
        <v>723.65705834399989</v>
      </c>
      <c r="J78" s="53">
        <v>0</v>
      </c>
      <c r="K78" s="53">
        <v>0</v>
      </c>
      <c r="L78" s="53">
        <v>0</v>
      </c>
      <c r="M78" s="51">
        <v>0</v>
      </c>
      <c r="N78" s="51">
        <v>0</v>
      </c>
      <c r="O78" s="53" t="s">
        <v>35</v>
      </c>
      <c r="P78" s="53">
        <v>724</v>
      </c>
      <c r="Q78" s="50" t="s">
        <v>34</v>
      </c>
      <c r="R78" t="s">
        <v>388</v>
      </c>
      <c r="S78" t="s">
        <v>389</v>
      </c>
      <c r="T78" t="s">
        <v>325</v>
      </c>
      <c r="U78" t="s">
        <v>289</v>
      </c>
      <c r="V78" t="s">
        <v>83</v>
      </c>
      <c r="W78" t="s">
        <v>37</v>
      </c>
      <c r="Y78" s="55">
        <v>14.245217683937007</v>
      </c>
    </row>
    <row r="79" spans="1:25" x14ac:dyDescent="0.25">
      <c r="A79" t="s">
        <v>390</v>
      </c>
      <c r="B79" t="s">
        <v>47</v>
      </c>
      <c r="C79" s="50" t="s">
        <v>47</v>
      </c>
      <c r="D79" t="s">
        <v>50</v>
      </c>
      <c r="E79" s="50">
        <v>10140179</v>
      </c>
      <c r="F79" t="s">
        <v>391</v>
      </c>
      <c r="G79">
        <v>6</v>
      </c>
      <c r="H79" s="51">
        <v>12.8</v>
      </c>
      <c r="I79" s="51">
        <v>539.58569272264003</v>
      </c>
      <c r="J79" s="53">
        <v>0</v>
      </c>
      <c r="K79" s="53">
        <v>0</v>
      </c>
      <c r="L79" s="53">
        <v>0</v>
      </c>
      <c r="M79" s="51">
        <v>0</v>
      </c>
      <c r="N79" s="51">
        <v>0</v>
      </c>
      <c r="O79" s="53" t="s">
        <v>35</v>
      </c>
      <c r="P79" s="53">
        <v>540</v>
      </c>
      <c r="Q79" s="50" t="s">
        <v>34</v>
      </c>
      <c r="R79" t="s">
        <v>392</v>
      </c>
      <c r="S79" t="s">
        <v>393</v>
      </c>
      <c r="T79" t="s">
        <v>325</v>
      </c>
      <c r="U79" t="s">
        <v>289</v>
      </c>
      <c r="V79" t="s">
        <v>83</v>
      </c>
      <c r="W79" t="s">
        <v>37</v>
      </c>
      <c r="Y79" s="55">
        <v>12.646539673186878</v>
      </c>
    </row>
    <row r="80" spans="1:25" x14ac:dyDescent="0.25">
      <c r="A80" t="s">
        <v>394</v>
      </c>
      <c r="B80" t="s">
        <v>47</v>
      </c>
      <c r="C80" s="50" t="s">
        <v>47</v>
      </c>
      <c r="D80" t="s">
        <v>50</v>
      </c>
      <c r="E80" s="50">
        <v>10140179</v>
      </c>
      <c r="F80" t="s">
        <v>395</v>
      </c>
      <c r="G80">
        <v>6</v>
      </c>
      <c r="H80" s="51">
        <v>9.57</v>
      </c>
      <c r="I80" s="51">
        <v>376.42110937200005</v>
      </c>
      <c r="J80" s="53">
        <v>0</v>
      </c>
      <c r="K80" s="53">
        <v>0</v>
      </c>
      <c r="L80" s="53">
        <v>0</v>
      </c>
      <c r="M80" s="51">
        <v>0</v>
      </c>
      <c r="N80" s="51">
        <v>0</v>
      </c>
      <c r="O80" s="53" t="s">
        <v>35</v>
      </c>
      <c r="P80" s="53">
        <v>376</v>
      </c>
      <c r="Q80" s="50" t="s">
        <v>34</v>
      </c>
      <c r="R80" t="s">
        <v>396</v>
      </c>
      <c r="S80" t="s">
        <v>397</v>
      </c>
      <c r="T80" t="s">
        <v>81</v>
      </c>
      <c r="U80" t="s">
        <v>367</v>
      </c>
      <c r="V80" t="s">
        <v>83</v>
      </c>
      <c r="W80" t="s">
        <v>37</v>
      </c>
      <c r="Y80" s="55">
        <v>11.800034776551728</v>
      </c>
    </row>
    <row r="81" spans="1:25" x14ac:dyDescent="0.25">
      <c r="A81" t="s">
        <v>398</v>
      </c>
      <c r="B81" t="s">
        <v>47</v>
      </c>
      <c r="C81" s="50" t="s">
        <v>47</v>
      </c>
      <c r="D81" t="s">
        <v>50</v>
      </c>
      <c r="E81" s="50">
        <v>10140179</v>
      </c>
      <c r="F81" t="s">
        <v>399</v>
      </c>
      <c r="G81">
        <v>9</v>
      </c>
      <c r="H81" s="51">
        <v>17.43</v>
      </c>
      <c r="I81" s="51">
        <v>604.71520116479996</v>
      </c>
      <c r="J81" s="53">
        <v>0</v>
      </c>
      <c r="K81" s="53">
        <v>0</v>
      </c>
      <c r="L81" s="53">
        <v>0</v>
      </c>
      <c r="M81" s="51">
        <v>0</v>
      </c>
      <c r="N81" s="51">
        <v>0</v>
      </c>
      <c r="O81" s="53" t="s">
        <v>35</v>
      </c>
      <c r="P81" s="53">
        <v>605</v>
      </c>
      <c r="Q81" s="50" t="s">
        <v>34</v>
      </c>
      <c r="R81" t="s">
        <v>400</v>
      </c>
      <c r="S81" t="s">
        <v>401</v>
      </c>
      <c r="T81" t="s">
        <v>347</v>
      </c>
      <c r="U81" t="s">
        <v>184</v>
      </c>
      <c r="V81" t="s">
        <v>83</v>
      </c>
      <c r="W81" t="s">
        <v>37</v>
      </c>
      <c r="Y81" s="55">
        <v>15.612268532654044</v>
      </c>
    </row>
    <row r="82" spans="1:25" x14ac:dyDescent="0.25">
      <c r="A82" t="s">
        <v>402</v>
      </c>
      <c r="B82" t="s">
        <v>47</v>
      </c>
      <c r="C82" s="50" t="s">
        <v>47</v>
      </c>
      <c r="D82" t="s">
        <v>50</v>
      </c>
      <c r="E82" s="50">
        <v>10140179</v>
      </c>
      <c r="F82" t="s">
        <v>403</v>
      </c>
      <c r="G82">
        <v>7</v>
      </c>
      <c r="H82" s="51">
        <v>9.86</v>
      </c>
      <c r="I82" s="51">
        <v>312.99809840640006</v>
      </c>
      <c r="J82" s="53">
        <v>0</v>
      </c>
      <c r="K82" s="53">
        <v>0</v>
      </c>
      <c r="L82" s="53">
        <v>0</v>
      </c>
      <c r="M82" s="51">
        <v>0</v>
      </c>
      <c r="N82" s="51">
        <v>0</v>
      </c>
      <c r="O82" s="53" t="s">
        <v>35</v>
      </c>
      <c r="P82" s="53">
        <v>313</v>
      </c>
      <c r="Q82" s="50" t="s">
        <v>34</v>
      </c>
      <c r="R82" t="s">
        <v>404</v>
      </c>
      <c r="S82" t="s">
        <v>405</v>
      </c>
      <c r="T82" t="s">
        <v>321</v>
      </c>
      <c r="U82" t="s">
        <v>371</v>
      </c>
      <c r="V82" t="s">
        <v>83</v>
      </c>
      <c r="W82" t="s">
        <v>37</v>
      </c>
      <c r="Y82" s="55">
        <v>11.110480166555783</v>
      </c>
    </row>
    <row r="83" spans="1:25" x14ac:dyDescent="0.25">
      <c r="A83" t="s">
        <v>406</v>
      </c>
      <c r="B83" t="s">
        <v>47</v>
      </c>
      <c r="C83" s="50" t="s">
        <v>47</v>
      </c>
      <c r="D83" t="s">
        <v>50</v>
      </c>
      <c r="E83" s="50">
        <v>10140179</v>
      </c>
      <c r="F83" t="s">
        <v>407</v>
      </c>
      <c r="G83">
        <v>7</v>
      </c>
      <c r="H83" s="51">
        <v>21.189999999999998</v>
      </c>
      <c r="I83" s="51">
        <v>684.1513643976001</v>
      </c>
      <c r="J83" s="53">
        <v>0</v>
      </c>
      <c r="K83" s="53">
        <v>0</v>
      </c>
      <c r="L83" s="53">
        <v>0</v>
      </c>
      <c r="M83" s="51">
        <v>0</v>
      </c>
      <c r="N83" s="51">
        <v>0</v>
      </c>
      <c r="O83" s="53" t="s">
        <v>35</v>
      </c>
      <c r="P83" s="53">
        <v>684</v>
      </c>
      <c r="Q83" s="50" t="s">
        <v>34</v>
      </c>
      <c r="R83" t="s">
        <v>408</v>
      </c>
      <c r="S83" t="s">
        <v>409</v>
      </c>
      <c r="T83" t="s">
        <v>325</v>
      </c>
      <c r="U83" t="s">
        <v>289</v>
      </c>
      <c r="V83" t="s">
        <v>83</v>
      </c>
      <c r="W83" t="s">
        <v>37</v>
      </c>
      <c r="Y83" s="55">
        <v>11.300282092456824</v>
      </c>
    </row>
    <row r="84" spans="1:25" x14ac:dyDescent="0.25">
      <c r="A84" t="s">
        <v>410</v>
      </c>
      <c r="B84" t="s">
        <v>47</v>
      </c>
      <c r="C84" s="50" t="s">
        <v>47</v>
      </c>
      <c r="D84" t="s">
        <v>50</v>
      </c>
      <c r="E84" s="50">
        <v>10140179</v>
      </c>
      <c r="F84" t="s">
        <v>411</v>
      </c>
      <c r="G84">
        <v>5</v>
      </c>
      <c r="H84" s="51">
        <v>6.56</v>
      </c>
      <c r="I84" s="51">
        <v>222.692263596</v>
      </c>
      <c r="J84" s="53">
        <v>0</v>
      </c>
      <c r="K84" s="53">
        <v>0</v>
      </c>
      <c r="L84" s="53">
        <v>0</v>
      </c>
      <c r="M84" s="51">
        <v>0</v>
      </c>
      <c r="N84" s="51">
        <v>0</v>
      </c>
      <c r="O84" s="53" t="s">
        <v>35</v>
      </c>
      <c r="P84" s="53">
        <v>223</v>
      </c>
      <c r="Q84" s="50" t="s">
        <v>34</v>
      </c>
      <c r="R84" t="s">
        <v>412</v>
      </c>
      <c r="S84" t="s">
        <v>413</v>
      </c>
      <c r="T84" t="s">
        <v>321</v>
      </c>
      <c r="U84" t="s">
        <v>371</v>
      </c>
      <c r="V84" t="s">
        <v>83</v>
      </c>
      <c r="W84" t="s">
        <v>37</v>
      </c>
      <c r="Y84" s="55">
        <v>8.4867478504573182</v>
      </c>
    </row>
    <row r="85" spans="1:25" x14ac:dyDescent="0.25">
      <c r="A85" t="s">
        <v>414</v>
      </c>
      <c r="B85" t="s">
        <v>47</v>
      </c>
      <c r="C85" s="50" t="s">
        <v>47</v>
      </c>
      <c r="D85" t="s">
        <v>50</v>
      </c>
      <c r="E85" s="50">
        <v>10140179</v>
      </c>
      <c r="F85" t="s">
        <v>415</v>
      </c>
      <c r="G85">
        <v>2</v>
      </c>
      <c r="H85" s="51">
        <v>4.43</v>
      </c>
      <c r="I85" s="51">
        <v>153.12846265200002</v>
      </c>
      <c r="J85" s="53">
        <v>0</v>
      </c>
      <c r="K85" s="53">
        <v>0</v>
      </c>
      <c r="L85" s="53">
        <v>0</v>
      </c>
      <c r="M85" s="51">
        <v>0</v>
      </c>
      <c r="N85" s="51">
        <v>0</v>
      </c>
      <c r="O85" s="53" t="s">
        <v>35</v>
      </c>
      <c r="P85" s="53">
        <v>153</v>
      </c>
      <c r="Q85" s="50" t="s">
        <v>34</v>
      </c>
      <c r="R85" t="s">
        <v>416</v>
      </c>
      <c r="S85" t="s">
        <v>417</v>
      </c>
      <c r="T85" t="s">
        <v>325</v>
      </c>
      <c r="U85" t="s">
        <v>289</v>
      </c>
      <c r="V85" t="s">
        <v>83</v>
      </c>
      <c r="W85" t="s">
        <v>37</v>
      </c>
      <c r="Y85" s="55">
        <v>3.456624439097066</v>
      </c>
    </row>
    <row r="86" spans="1:25" x14ac:dyDescent="0.25">
      <c r="A86" t="s">
        <v>418</v>
      </c>
      <c r="B86" t="s">
        <v>47</v>
      </c>
      <c r="C86" s="50" t="s">
        <v>47</v>
      </c>
      <c r="D86" t="s">
        <v>50</v>
      </c>
      <c r="E86" s="50">
        <v>10140179</v>
      </c>
      <c r="F86" t="s">
        <v>283</v>
      </c>
      <c r="G86">
        <v>4</v>
      </c>
      <c r="H86" s="51">
        <v>13.649999999999999</v>
      </c>
      <c r="I86" s="51">
        <v>587.10921073200007</v>
      </c>
      <c r="J86" s="53">
        <v>0</v>
      </c>
      <c r="K86" s="53">
        <v>0</v>
      </c>
      <c r="L86" s="53">
        <v>0</v>
      </c>
      <c r="M86" s="51">
        <v>0</v>
      </c>
      <c r="N86" s="51">
        <v>0</v>
      </c>
      <c r="O86" s="53" t="s">
        <v>35</v>
      </c>
      <c r="P86" s="53">
        <v>587</v>
      </c>
      <c r="Q86" s="50" t="s">
        <v>34</v>
      </c>
      <c r="R86" t="s">
        <v>419</v>
      </c>
      <c r="S86" t="s">
        <v>420</v>
      </c>
      <c r="T86" t="s">
        <v>347</v>
      </c>
      <c r="U86" t="s">
        <v>105</v>
      </c>
      <c r="V86" t="s">
        <v>83</v>
      </c>
      <c r="W86" t="s">
        <v>37</v>
      </c>
      <c r="Y86" s="55">
        <v>8.602332757978024</v>
      </c>
    </row>
    <row r="87" spans="1:25" x14ac:dyDescent="0.25">
      <c r="A87" t="s">
        <v>421</v>
      </c>
      <c r="B87" t="s">
        <v>47</v>
      </c>
      <c r="C87" s="50" t="s">
        <v>47</v>
      </c>
      <c r="D87" t="s">
        <v>50</v>
      </c>
      <c r="E87" s="50">
        <v>10140179</v>
      </c>
      <c r="F87" t="s">
        <v>422</v>
      </c>
      <c r="G87">
        <v>11</v>
      </c>
      <c r="H87" s="51">
        <v>25.61</v>
      </c>
      <c r="I87" s="51">
        <v>894.61503778680014</v>
      </c>
      <c r="J87" s="53">
        <v>0</v>
      </c>
      <c r="K87" s="53">
        <v>0</v>
      </c>
      <c r="L87" s="53">
        <v>0</v>
      </c>
      <c r="M87" s="51">
        <v>0</v>
      </c>
      <c r="N87" s="51">
        <v>0</v>
      </c>
      <c r="O87" s="53" t="s">
        <v>35</v>
      </c>
      <c r="P87" s="53">
        <v>895</v>
      </c>
      <c r="Q87" s="50" t="s">
        <v>34</v>
      </c>
      <c r="R87" t="s">
        <v>423</v>
      </c>
      <c r="S87" t="s">
        <v>424</v>
      </c>
      <c r="T87" t="s">
        <v>375</v>
      </c>
      <c r="U87" t="s">
        <v>179</v>
      </c>
      <c r="V87" t="s">
        <v>83</v>
      </c>
      <c r="W87" t="s">
        <v>37</v>
      </c>
      <c r="Y87" s="55">
        <v>19.212739975897701</v>
      </c>
    </row>
    <row r="88" spans="1:25" x14ac:dyDescent="0.25">
      <c r="A88" t="s">
        <v>425</v>
      </c>
      <c r="B88" t="s">
        <v>47</v>
      </c>
      <c r="C88" s="50" t="s">
        <v>47</v>
      </c>
      <c r="D88" t="s">
        <v>50</v>
      </c>
      <c r="E88" s="50">
        <v>10140179</v>
      </c>
      <c r="F88" t="s">
        <v>426</v>
      </c>
      <c r="G88">
        <v>6</v>
      </c>
      <c r="H88" s="51">
        <v>10.42</v>
      </c>
      <c r="I88" s="51">
        <v>563.69651965622006</v>
      </c>
      <c r="J88" s="53">
        <v>0</v>
      </c>
      <c r="K88" s="53">
        <v>0</v>
      </c>
      <c r="L88" s="53">
        <v>0</v>
      </c>
      <c r="M88" s="51">
        <v>0</v>
      </c>
      <c r="N88" s="51">
        <v>0</v>
      </c>
      <c r="O88" s="53" t="s">
        <v>35</v>
      </c>
      <c r="P88" s="53">
        <v>564</v>
      </c>
      <c r="Q88" s="50" t="s">
        <v>34</v>
      </c>
      <c r="R88" t="s">
        <v>427</v>
      </c>
      <c r="S88" t="s">
        <v>428</v>
      </c>
      <c r="T88" t="s">
        <v>375</v>
      </c>
      <c r="U88" t="s">
        <v>179</v>
      </c>
      <c r="V88" t="s">
        <v>83</v>
      </c>
      <c r="W88" t="s">
        <v>37</v>
      </c>
      <c r="Y88" s="55">
        <v>16.229266400850868</v>
      </c>
    </row>
    <row r="89" spans="1:25" x14ac:dyDescent="0.25">
      <c r="A89" t="s">
        <v>429</v>
      </c>
      <c r="B89" t="s">
        <v>47</v>
      </c>
      <c r="C89" s="50" t="s">
        <v>47</v>
      </c>
      <c r="D89" t="s">
        <v>50</v>
      </c>
      <c r="E89" s="50">
        <v>10140179</v>
      </c>
      <c r="F89" t="s">
        <v>430</v>
      </c>
      <c r="G89">
        <v>13</v>
      </c>
      <c r="H89" s="51">
        <v>68.77000000000001</v>
      </c>
      <c r="I89" s="51">
        <v>2639.5206686640004</v>
      </c>
      <c r="J89" s="53">
        <v>0</v>
      </c>
      <c r="K89" s="53">
        <v>0</v>
      </c>
      <c r="L89" s="53">
        <v>0</v>
      </c>
      <c r="M89" s="51">
        <v>0</v>
      </c>
      <c r="N89" s="51">
        <v>0</v>
      </c>
      <c r="O89" s="53" t="s">
        <v>35</v>
      </c>
      <c r="P89" s="53">
        <v>2640</v>
      </c>
      <c r="Q89" s="50" t="s">
        <v>34</v>
      </c>
      <c r="R89" t="s">
        <v>431</v>
      </c>
      <c r="S89" t="s">
        <v>432</v>
      </c>
      <c r="T89" t="s">
        <v>356</v>
      </c>
      <c r="U89" t="s">
        <v>301</v>
      </c>
      <c r="V89" t="s">
        <v>83</v>
      </c>
      <c r="W89" t="s">
        <v>37</v>
      </c>
      <c r="Y89" s="55">
        <v>24.948210478865786</v>
      </c>
    </row>
    <row r="90" spans="1:25" x14ac:dyDescent="0.25">
      <c r="A90" t="s">
        <v>433</v>
      </c>
      <c r="B90" t="s">
        <v>47</v>
      </c>
      <c r="C90" s="50" t="s">
        <v>47</v>
      </c>
      <c r="D90" t="s">
        <v>50</v>
      </c>
      <c r="E90" s="50">
        <v>10140179</v>
      </c>
      <c r="F90" t="s">
        <v>434</v>
      </c>
      <c r="G90">
        <v>6</v>
      </c>
      <c r="H90" s="51">
        <v>14.24</v>
      </c>
      <c r="I90" s="51">
        <v>676.51191599820004</v>
      </c>
      <c r="J90" s="53">
        <v>0</v>
      </c>
      <c r="K90" s="53">
        <v>0</v>
      </c>
      <c r="L90" s="53">
        <v>0</v>
      </c>
      <c r="M90" s="51">
        <v>0</v>
      </c>
      <c r="N90" s="51">
        <v>0</v>
      </c>
      <c r="O90" s="53" t="s">
        <v>35</v>
      </c>
      <c r="P90" s="53">
        <v>677</v>
      </c>
      <c r="Q90" s="50" t="s">
        <v>34</v>
      </c>
      <c r="R90" t="s">
        <v>435</v>
      </c>
      <c r="S90" t="s">
        <v>436</v>
      </c>
      <c r="T90" t="s">
        <v>384</v>
      </c>
      <c r="U90" t="s">
        <v>295</v>
      </c>
      <c r="V90" t="s">
        <v>83</v>
      </c>
      <c r="W90" t="s">
        <v>37</v>
      </c>
      <c r="Y90" s="55">
        <v>14.252357780860958</v>
      </c>
    </row>
    <row r="91" spans="1:25" x14ac:dyDescent="0.25">
      <c r="A91" t="s">
        <v>437</v>
      </c>
      <c r="B91" t="s">
        <v>47</v>
      </c>
      <c r="C91" s="50" t="s">
        <v>47</v>
      </c>
      <c r="D91" t="s">
        <v>50</v>
      </c>
      <c r="E91" s="50">
        <v>10140179</v>
      </c>
      <c r="F91" t="s">
        <v>438</v>
      </c>
      <c r="G91">
        <v>1</v>
      </c>
      <c r="H91" s="51">
        <v>1.31</v>
      </c>
      <c r="I91" s="51">
        <v>43.577188776000007</v>
      </c>
      <c r="J91" s="53">
        <v>0</v>
      </c>
      <c r="K91" s="53">
        <v>0</v>
      </c>
      <c r="L91" s="53">
        <v>0</v>
      </c>
      <c r="M91" s="51">
        <v>0</v>
      </c>
      <c r="N91" s="51">
        <v>0</v>
      </c>
      <c r="O91" s="53" t="s">
        <v>35</v>
      </c>
      <c r="P91" s="53">
        <v>44</v>
      </c>
      <c r="Q91" s="50" t="s">
        <v>34</v>
      </c>
      <c r="R91" t="s">
        <v>439</v>
      </c>
      <c r="S91" t="s">
        <v>440</v>
      </c>
      <c r="T91" t="s">
        <v>81</v>
      </c>
      <c r="U91" t="s">
        <v>367</v>
      </c>
      <c r="V91" t="s">
        <v>83</v>
      </c>
      <c r="W91" t="s">
        <v>37</v>
      </c>
      <c r="Y91" s="55">
        <v>1.6632514800000004</v>
      </c>
    </row>
    <row r="92" spans="1:25" x14ac:dyDescent="0.25">
      <c r="A92" t="s">
        <v>441</v>
      </c>
      <c r="B92" t="s">
        <v>47</v>
      </c>
      <c r="C92" s="50" t="s">
        <v>47</v>
      </c>
      <c r="D92" t="s">
        <v>51</v>
      </c>
      <c r="E92" s="50">
        <v>10140194</v>
      </c>
      <c r="F92" t="s">
        <v>78</v>
      </c>
      <c r="G92">
        <v>1</v>
      </c>
      <c r="H92" s="51">
        <v>54.8</v>
      </c>
      <c r="I92" s="51">
        <v>2025.4658688</v>
      </c>
      <c r="J92" s="53">
        <v>0</v>
      </c>
      <c r="K92" s="53">
        <v>0</v>
      </c>
      <c r="L92" s="53">
        <v>6</v>
      </c>
      <c r="M92" s="51">
        <v>2019</v>
      </c>
      <c r="N92" s="51">
        <v>0</v>
      </c>
      <c r="O92" s="53" t="s">
        <v>35</v>
      </c>
      <c r="P92" s="53">
        <v>0</v>
      </c>
      <c r="Q92" s="50" t="s">
        <v>34</v>
      </c>
      <c r="R92" t="s">
        <v>442</v>
      </c>
      <c r="S92" t="s">
        <v>443</v>
      </c>
      <c r="T92" t="s">
        <v>444</v>
      </c>
      <c r="U92" t="s">
        <v>105</v>
      </c>
      <c r="V92" t="s">
        <v>83</v>
      </c>
      <c r="W92" t="s">
        <v>37</v>
      </c>
      <c r="Y92" s="55">
        <v>1.8480528000000001</v>
      </c>
    </row>
    <row r="93" spans="1:25" ht="15.75" thickBot="1" x14ac:dyDescent="0.3">
      <c r="A93" s="56" t="s">
        <v>445</v>
      </c>
      <c r="B93" s="56" t="s">
        <v>47</v>
      </c>
      <c r="C93" s="57" t="s">
        <v>47</v>
      </c>
      <c r="D93" s="56" t="s">
        <v>52</v>
      </c>
      <c r="E93" s="57">
        <v>10600005</v>
      </c>
      <c r="F93" s="56" t="s">
        <v>78</v>
      </c>
      <c r="G93" s="56">
        <v>1</v>
      </c>
      <c r="H93" s="58">
        <v>222</v>
      </c>
      <c r="I93" s="58">
        <v>7941.6184320000011</v>
      </c>
      <c r="J93" s="59">
        <v>0</v>
      </c>
      <c r="K93" s="59">
        <v>0</v>
      </c>
      <c r="L93" s="59">
        <v>0</v>
      </c>
      <c r="M93" s="58">
        <v>2560</v>
      </c>
      <c r="N93" s="58">
        <v>0</v>
      </c>
      <c r="O93" s="59" t="s">
        <v>35</v>
      </c>
      <c r="P93" s="59">
        <v>5382</v>
      </c>
      <c r="Q93" s="57" t="s">
        <v>34</v>
      </c>
      <c r="R93" s="56" t="s">
        <v>446</v>
      </c>
      <c r="S93" s="56" t="s">
        <v>447</v>
      </c>
      <c r="T93" s="56" t="s">
        <v>448</v>
      </c>
      <c r="U93" s="56" t="s">
        <v>184</v>
      </c>
      <c r="V93" s="56" t="s">
        <v>83</v>
      </c>
      <c r="W93" s="56" t="s">
        <v>37</v>
      </c>
      <c r="Y93" s="55">
        <v>1.7886528000000004</v>
      </c>
    </row>
    <row r="94" spans="1:25" ht="16.5" thickTop="1" thickBot="1" x14ac:dyDescent="0.3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1">
        <f>SUM(P2:P93)</f>
        <v>160362</v>
      </c>
      <c r="Q94" s="60"/>
      <c r="R94" s="60"/>
      <c r="S94" s="60"/>
      <c r="T94" s="60"/>
      <c r="U94" s="60"/>
      <c r="V94" s="60"/>
      <c r="W94" s="60"/>
    </row>
    <row r="95" spans="1:25" ht="15.75" thickTop="1" x14ac:dyDescent="0.25"/>
  </sheetData>
  <conditionalFormatting sqref="A2:A93">
    <cfRule type="duplicateValues" dxfId="4" priority="2"/>
    <cfRule type="duplicateValues" dxfId="3" priority="3"/>
  </conditionalFormatting>
  <conditionalFormatting sqref="P1:P93">
    <cfRule type="cellIs" dxfId="2" priority="4" operator="lessThan">
      <formula>0</formula>
    </cfRule>
  </conditionalFormatting>
  <conditionalFormatting sqref="P2:P93">
    <cfRule type="cellIs" dxfId="1" priority="1" operator="lessThan">
      <formula>-1</formula>
    </cfRule>
  </conditionalFormatting>
  <conditionalFormatting sqref="S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2026-05-13T05:34:39Z</dcterms:created>
  <dcterms:modified xsi:type="dcterms:W3CDTF">2026-06-01T09:35:28Z</dcterms:modified>
</cp:coreProperties>
</file>