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Apr'26\Collection data\"/>
    </mc:Choice>
  </mc:AlternateContent>
  <xr:revisionPtr revIDLastSave="0" documentId="13_ncr:1_{E9793CBB-45A0-4DE6-80FC-14341989B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D6" i="1" l="1"/>
  <c r="D7" i="1"/>
  <c r="D8" i="1"/>
  <c r="D9" i="1"/>
  <c r="D10" i="1"/>
  <c r="D11" i="1"/>
  <c r="D5" i="1"/>
  <c r="K11" i="1"/>
  <c r="K6" i="1" l="1"/>
  <c r="K7" i="1"/>
  <c r="K8" i="1"/>
  <c r="K9" i="1"/>
  <c r="K10" i="1"/>
  <c r="K5" i="1"/>
  <c r="K12" i="1" s="1"/>
</calcChain>
</file>

<file path=xl/sharedStrings.xml><?xml version="1.0" encoding="utf-8"?>
<sst xmlns="http://schemas.openxmlformats.org/spreadsheetml/2006/main" count="47" uniqueCount="24">
  <si>
    <t>BMC NAME</t>
  </si>
  <si>
    <t>MPG CODE</t>
  </si>
  <si>
    <t>Payment type</t>
  </si>
  <si>
    <t>MPG NAME</t>
  </si>
  <si>
    <t>Farmer  Code</t>
  </si>
  <si>
    <t>QTY</t>
  </si>
  <si>
    <t>Rate</t>
  </si>
  <si>
    <t>Amount</t>
  </si>
  <si>
    <t>Deduction</t>
  </si>
  <si>
    <t>Deduction cycle</t>
  </si>
  <si>
    <t>kalyanpur</t>
  </si>
  <si>
    <t>Madanpur</t>
  </si>
  <si>
    <t>Harpur ward 13</t>
  </si>
  <si>
    <t>24/4/26 To 30/4/26</t>
  </si>
  <si>
    <t>Total Amount</t>
  </si>
  <si>
    <t>0068</t>
  </si>
  <si>
    <t>0063</t>
  </si>
  <si>
    <t>0038</t>
  </si>
  <si>
    <t>0011</t>
  </si>
  <si>
    <t>0003</t>
  </si>
  <si>
    <t>0022</t>
  </si>
  <si>
    <t>0019</t>
  </si>
  <si>
    <t>ID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</si>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</sst>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12"/>
  <sheetViews>
    <sheetView tabSelected="1" workbookViewId="0">
      <selection activeCell="T24" sqref="T24"/>
    </sheetView>
  </sheetViews>
  <sheetFormatPr defaultRowHeight="15" x14ac:dyDescent="0.25"/>
  <cols>
    <col min="2" max="2" width="18.42578125" customWidth="1"/>
    <col min="3" max="3" width="13.140625" style="8" bestFit="1" customWidth="1"/>
    <col min="4" max="4" width="13.140625" style="8" customWidth="1"/>
    <col min="5" max="5" width="12.28515625" style="8" customWidth="1"/>
    <col min="6" max="6" width="13.5703125" customWidth="1"/>
    <col min="7" max="7" width="17.7109375" style="8" customWidth="1"/>
    <col min="8" max="8" width="12.7109375" style="8" bestFit="1" customWidth="1"/>
    <col min="12" max="12" width="10.140625" bestFit="1" customWidth="1"/>
  </cols>
  <sheetData>
    <row r="4" spans="2:15" x14ac:dyDescent="0.25">
      <c r="B4" s="2" t="s">
        <v>9</v>
      </c>
      <c r="C4" s="1" t="s">
        <v>0</v>
      </c>
      <c r="D4" s="1" t="s">
        <v>22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</row>
    <row r="5" spans="2:15" x14ac:dyDescent="0.25">
      <c r="B5" s="10" t="s">
        <v>13</v>
      </c>
      <c r="C5" s="7" t="s">
        <v>10</v>
      </c>
      <c r="D5" s="7" t="str">
        <f t="shared" ref="D5:D11" si="0">CONCATENATE(E5,H5)</f>
        <v>105300760068</v>
      </c>
      <c r="E5" s="7">
        <v>10530076</v>
      </c>
      <c r="F5" s="7" t="s">
        <v>23</v>
      </c>
      <c r="G5" s="7" t="s">
        <v>11</v>
      </c>
      <c r="H5" s="9" t="s">
        <v>15</v>
      </c>
      <c r="I5" s="7">
        <v>1</v>
      </c>
      <c r="J5" s="7">
        <v>235</v>
      </c>
      <c r="K5" s="3">
        <f>I5*J5</f>
        <v>235</v>
      </c>
      <c r="L5" s="3">
        <v>235</v>
      </c>
    </row>
    <row r="6" spans="2:15" x14ac:dyDescent="0.25">
      <c r="B6" s="10" t="s">
        <v>13</v>
      </c>
      <c r="C6" s="7" t="s">
        <v>10</v>
      </c>
      <c r="D6" s="7" t="str">
        <f t="shared" si="0"/>
        <v>105300760063</v>
      </c>
      <c r="E6" s="7">
        <v>10530076</v>
      </c>
      <c r="F6" s="7" t="s">
        <v>23</v>
      </c>
      <c r="G6" s="7" t="s">
        <v>11</v>
      </c>
      <c r="H6" s="9" t="s">
        <v>16</v>
      </c>
      <c r="I6" s="7">
        <v>2</v>
      </c>
      <c r="J6" s="7">
        <v>235</v>
      </c>
      <c r="K6" s="3">
        <f t="shared" ref="K6:K11" si="1">I6*J6</f>
        <v>470</v>
      </c>
      <c r="L6" s="3">
        <v>470</v>
      </c>
    </row>
    <row r="7" spans="2:15" x14ac:dyDescent="0.25">
      <c r="B7" s="10" t="s">
        <v>13</v>
      </c>
      <c r="C7" s="7" t="s">
        <v>10</v>
      </c>
      <c r="D7" s="7" t="str">
        <f t="shared" si="0"/>
        <v>105300760038</v>
      </c>
      <c r="E7" s="7">
        <v>10530076</v>
      </c>
      <c r="F7" s="7" t="s">
        <v>23</v>
      </c>
      <c r="G7" s="7" t="s">
        <v>11</v>
      </c>
      <c r="H7" s="9" t="s">
        <v>17</v>
      </c>
      <c r="I7" s="7">
        <v>4</v>
      </c>
      <c r="J7" s="7">
        <v>235</v>
      </c>
      <c r="K7" s="3">
        <f t="shared" si="1"/>
        <v>940</v>
      </c>
      <c r="L7" s="3">
        <v>940</v>
      </c>
    </row>
    <row r="8" spans="2:15" x14ac:dyDescent="0.25">
      <c r="B8" s="10" t="s">
        <v>13</v>
      </c>
      <c r="C8" s="7" t="s">
        <v>10</v>
      </c>
      <c r="D8" s="7" t="str">
        <f t="shared" si="0"/>
        <v>105300760011</v>
      </c>
      <c r="E8" s="7">
        <v>10530076</v>
      </c>
      <c r="F8" s="7" t="s">
        <v>23</v>
      </c>
      <c r="G8" s="7" t="s">
        <v>11</v>
      </c>
      <c r="H8" s="9" t="s">
        <v>18</v>
      </c>
      <c r="I8" s="7">
        <v>2</v>
      </c>
      <c r="J8" s="7">
        <v>235</v>
      </c>
      <c r="K8" s="3">
        <f t="shared" si="1"/>
        <v>470</v>
      </c>
      <c r="L8" s="3">
        <v>470</v>
      </c>
    </row>
    <row r="9" spans="2:15" x14ac:dyDescent="0.25">
      <c r="B9" s="10" t="s">
        <v>13</v>
      </c>
      <c r="C9" s="4" t="s">
        <v>10</v>
      </c>
      <c r="D9" s="7" t="str">
        <f t="shared" si="0"/>
        <v>105300760003</v>
      </c>
      <c r="E9" s="5">
        <v>10530076</v>
      </c>
      <c r="F9" s="7" t="s">
        <v>23</v>
      </c>
      <c r="G9" s="5" t="s">
        <v>11</v>
      </c>
      <c r="H9" s="6" t="s">
        <v>19</v>
      </c>
      <c r="I9" s="4">
        <v>1</v>
      </c>
      <c r="J9" s="4">
        <v>235</v>
      </c>
      <c r="K9" s="3">
        <f t="shared" si="1"/>
        <v>235</v>
      </c>
      <c r="L9" s="3">
        <v>235</v>
      </c>
      <c r="O9" s="4"/>
    </row>
    <row r="10" spans="2:15" x14ac:dyDescent="0.25">
      <c r="B10" s="10" t="s">
        <v>13</v>
      </c>
      <c r="C10" s="7" t="s">
        <v>10</v>
      </c>
      <c r="D10" s="7" t="str">
        <f t="shared" si="0"/>
        <v>105300760022</v>
      </c>
      <c r="E10" s="7">
        <v>10530076</v>
      </c>
      <c r="F10" s="7" t="s">
        <v>23</v>
      </c>
      <c r="G10" s="7" t="s">
        <v>11</v>
      </c>
      <c r="H10" s="9" t="s">
        <v>20</v>
      </c>
      <c r="I10" s="7">
        <v>4</v>
      </c>
      <c r="J10" s="7">
        <v>235</v>
      </c>
      <c r="K10" s="3">
        <f t="shared" si="1"/>
        <v>940</v>
      </c>
      <c r="L10" s="3">
        <v>940</v>
      </c>
    </row>
    <row r="11" spans="2:15" x14ac:dyDescent="0.25">
      <c r="B11" s="10" t="s">
        <v>13</v>
      </c>
      <c r="C11" s="7" t="s">
        <v>10</v>
      </c>
      <c r="D11" s="7" t="str">
        <f t="shared" si="0"/>
        <v>105300550019</v>
      </c>
      <c r="E11" s="7">
        <v>10530055</v>
      </c>
      <c r="F11" s="7" t="s">
        <v>23</v>
      </c>
      <c r="G11" s="7" t="s">
        <v>12</v>
      </c>
      <c r="H11" s="9" t="s">
        <v>21</v>
      </c>
      <c r="I11" s="7">
        <v>4</v>
      </c>
      <c r="J11" s="7">
        <v>235</v>
      </c>
      <c r="K11" s="3">
        <f t="shared" si="1"/>
        <v>940</v>
      </c>
      <c r="L11" s="3">
        <v>940</v>
      </c>
    </row>
    <row r="12" spans="2:15" x14ac:dyDescent="0.25">
      <c r="B12" s="3"/>
      <c r="C12" s="11" t="s">
        <v>14</v>
      </c>
      <c r="D12" s="12"/>
      <c r="E12" s="12"/>
      <c r="F12" s="12"/>
      <c r="G12" s="12"/>
      <c r="H12" s="12"/>
      <c r="I12" s="12"/>
      <c r="J12" s="13"/>
      <c r="K12" s="2">
        <f>SUM(K5:K11)</f>
        <v>4230</v>
      </c>
      <c r="L12" s="3">
        <f>SUM(L5:L11)</f>
        <v>4230</v>
      </c>
    </row>
  </sheetData>
  <conditionalFormatting sqref="E4:F4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2026-04-25T10:11:54Z</dcterms:created>
  <dcterms:modified xsi:type="dcterms:W3CDTF">2026-05-09T10:16:24Z</dcterms:modified>
</cp:coreProperties>
</file>