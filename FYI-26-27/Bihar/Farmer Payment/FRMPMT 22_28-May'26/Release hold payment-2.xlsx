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22_28-May'26\"/>
    </mc:Choice>
  </mc:AlternateContent>
  <xr:revisionPtr revIDLastSave="0" documentId="8_{60F5B083-04A9-4447-93F9-4BA34D16E85B}" xr6:coauthVersionLast="47" xr6:coauthVersionMax="47" xr10:uidLastSave="{00000000-0000-0000-0000-000000000000}"/>
  <bookViews>
    <workbookView xWindow="-120" yWindow="-120" windowWidth="29040" windowHeight="15720" xr2:uid="{55F3DCBF-FFA3-4D1F-88C7-1983BDB3354B}"/>
  </bookViews>
  <sheets>
    <sheet name="MPG" sheetId="1" r:id="rId1"/>
    <sheet name="Farm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2" i="2" l="1"/>
</calcChain>
</file>

<file path=xl/sharedStrings.xml><?xml version="1.0" encoding="utf-8"?>
<sst xmlns="http://schemas.openxmlformats.org/spreadsheetml/2006/main" count="722" uniqueCount="277">
  <si>
    <t xml:space="preserve">BMC Code </t>
  </si>
  <si>
    <t>MCC Name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</si>
  <si>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</si>
  <si>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</si>
  <si>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</si>
  <si>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</si>
  <si>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</si>
  <si>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</si>
  <si>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Vet Deduction</t>
  </si>
  <si>
    <t>CF Deduction</t>
  </si>
  <si>
    <t>Other</t>
  </si>
  <si>
    <t>Payment to Farmer A/c</t>
  </si>
  <si>
    <t>Unreg. Farmer payment</t>
  </si>
  <si>
    <t>Payment to MPGs A/c</t>
  </si>
  <si>
    <t>Stop Payment</t>
  </si>
  <si>
    <t>Loss Remarks</t>
  </si>
  <si>
    <t>Cycle</t>
  </si>
  <si>
    <t>loss/gain</t>
  </si>
  <si>
    <t>Nos.Of farmer</t>
  </si>
  <si>
    <t>CF OS</t>
  </si>
  <si>
    <t>Deduction</t>
  </si>
  <si>
    <t>Balance</t>
  </si>
  <si>
    <t>Blank</t>
  </si>
  <si>
    <t>EMI Recovery</t>
  </si>
  <si>
    <t>Sample milk</t>
  </si>
  <si>
    <t>Inward Penalty</t>
  </si>
  <si>
    <t>Total</t>
  </si>
  <si>
    <t>Recovered</t>
  </si>
  <si>
    <t>Pending</t>
  </si>
  <si>
    <t>Total Adj Pending</t>
  </si>
  <si>
    <t>Payment month</t>
  </si>
  <si>
    <t>Sahibpur Kamal</t>
  </si>
  <si>
    <t>GOMUKH SANHA NAYATOLA</t>
  </si>
  <si>
    <t>MPG</t>
  </si>
  <si>
    <t>Direct</t>
  </si>
  <si>
    <t>Release2</t>
  </si>
  <si>
    <t>CF OS &gt;15 Day's</t>
  </si>
  <si>
    <t>09. 22-28 May</t>
  </si>
  <si>
    <t xml:space="preserve">Gomukh Raghunathpur 2 </t>
  </si>
  <si>
    <t>Letter not received</t>
  </si>
  <si>
    <t>Singhia BMC</t>
  </si>
  <si>
    <t>Mithilanchal Dairy Products</t>
  </si>
  <si>
    <t>vlc</t>
  </si>
  <si>
    <t>Indirect</t>
  </si>
  <si>
    <t>Hold by manish sir</t>
  </si>
  <si>
    <t xml:space="preserve">Alauli </t>
  </si>
  <si>
    <t>GOMUKH GADBANNI</t>
  </si>
  <si>
    <t>GOMUKH BHIKHARI GHAT</t>
  </si>
  <si>
    <t>GOMUKH AMBA ICHARUA</t>
  </si>
  <si>
    <t>CF OS &gt; Daya's</t>
  </si>
  <si>
    <t>Total:</t>
  </si>
  <si>
    <t>ID</t>
  </si>
  <si>
    <t>BMC Area</t>
  </si>
  <si>
    <t>MPG/RMC Name</t>
  </si>
  <si>
    <t>Code</t>
  </si>
  <si>
    <t>Farmers Code</t>
  </si>
  <si>
    <t>No of Shift</t>
  </si>
  <si>
    <t>Vol_L</t>
  </si>
  <si>
    <t>Amount</t>
  </si>
  <si>
    <t>Sample Milk</t>
  </si>
  <si>
    <t>Milk Short</t>
  </si>
  <si>
    <t>Net Amount</t>
  </si>
  <si>
    <t>Category</t>
  </si>
  <si>
    <t>Farmers Account Name</t>
  </si>
  <si>
    <t>Accont no</t>
  </si>
  <si>
    <t>IFSC code</t>
  </si>
  <si>
    <t>Bank Name</t>
  </si>
  <si>
    <t>Account Details</t>
  </si>
  <si>
    <t>Sample</t>
  </si>
  <si>
    <t>Values</t>
  </si>
  <si>
    <t>101100830002</t>
  </si>
  <si>
    <t>0002</t>
  </si>
  <si>
    <t xml:space="preserve">Asha Devi </t>
  </si>
  <si>
    <t>38050110122276</t>
  </si>
  <si>
    <t>PUNB0MBGB06</t>
  </si>
  <si>
    <t xml:space="preserve">Bihar Gramin Bank </t>
  </si>
  <si>
    <t>Available</t>
  </si>
  <si>
    <t>101101670002</t>
  </si>
  <si>
    <t>Tuntun Kumar</t>
  </si>
  <si>
    <t>14993211052340</t>
  </si>
  <si>
    <t>UCBA0001499</t>
  </si>
  <si>
    <t xml:space="preserve">Uco Bank </t>
  </si>
  <si>
    <t>105400050002</t>
  </si>
  <si>
    <t>Sunita Kumari</t>
  </si>
  <si>
    <t>36377717342</t>
  </si>
  <si>
    <t>SBIN0015727</t>
  </si>
  <si>
    <t>SBI-Kiosk Banking</t>
  </si>
  <si>
    <t>105400050003</t>
  </si>
  <si>
    <t>0003</t>
  </si>
  <si>
    <t>Mala Devi</t>
  </si>
  <si>
    <t>23980100005792</t>
  </si>
  <si>
    <t>BARB0AMBAIC</t>
  </si>
  <si>
    <t>Bank Of Baroda</t>
  </si>
  <si>
    <t>105400050005</t>
  </si>
  <si>
    <t>0005</t>
  </si>
  <si>
    <t>Chandra kala Yadav</t>
  </si>
  <si>
    <t>35070110144025</t>
  </si>
  <si>
    <t>105400050006</t>
  </si>
  <si>
    <t>0006</t>
  </si>
  <si>
    <t>Gondi Devi</t>
  </si>
  <si>
    <t>23980100011552</t>
  </si>
  <si>
    <t>105400050010</t>
  </si>
  <si>
    <t>0010</t>
  </si>
  <si>
    <t>Tilki Devi</t>
  </si>
  <si>
    <t>582610110005661</t>
  </si>
  <si>
    <t>BKID0005826</t>
  </si>
  <si>
    <t xml:space="preserve">Bank Of India </t>
  </si>
  <si>
    <t>105400050015</t>
  </si>
  <si>
    <t>0015</t>
  </si>
  <si>
    <t>36905804362</t>
  </si>
  <si>
    <t>105400050023</t>
  </si>
  <si>
    <t>0023</t>
  </si>
  <si>
    <t>Rinku Devi</t>
  </si>
  <si>
    <t>23980100020113</t>
  </si>
  <si>
    <t>105400050029</t>
  </si>
  <si>
    <t>0029</t>
  </si>
  <si>
    <t>Pankaj Kumar</t>
  </si>
  <si>
    <t>20491667666</t>
  </si>
  <si>
    <t>SBIN0017440</t>
  </si>
  <si>
    <t xml:space="preserve">State Bank of India </t>
  </si>
  <si>
    <t>105400050037</t>
  </si>
  <si>
    <t>0037</t>
  </si>
  <si>
    <t>Sita Devi</t>
  </si>
  <si>
    <t>462418210005794</t>
  </si>
  <si>
    <t>BKID0004624</t>
  </si>
  <si>
    <t>Bank Of India</t>
  </si>
  <si>
    <t>105400050039</t>
  </si>
  <si>
    <t>0039</t>
  </si>
  <si>
    <t>Prmila Devi</t>
  </si>
  <si>
    <t>1266010000000366</t>
  </si>
  <si>
    <t>UTKS0001266</t>
  </si>
  <si>
    <t>UTKARSH SMALL FINANCE BANK</t>
  </si>
  <si>
    <t>105400090002</t>
  </si>
  <si>
    <t>Krishnanandan Yadav</t>
  </si>
  <si>
    <t>35110131159408</t>
  </si>
  <si>
    <t>105400090005</t>
  </si>
  <si>
    <t>Jaymala Devi</t>
  </si>
  <si>
    <t>52880100006183</t>
  </si>
  <si>
    <t>BARB0HARPUR</t>
  </si>
  <si>
    <t>105400090009</t>
  </si>
  <si>
    <t>0009</t>
  </si>
  <si>
    <t>Sarita Devi</t>
  </si>
  <si>
    <t>35110131160265</t>
  </si>
  <si>
    <t xml:space="preserve">Dakshin Bihar Gramin Bank </t>
  </si>
  <si>
    <t>105400090010</t>
  </si>
  <si>
    <t>Sulena Devi</t>
  </si>
  <si>
    <t>100252804217</t>
  </si>
  <si>
    <t>INDB0001462</t>
  </si>
  <si>
    <t xml:space="preserve">Induslnd Bank </t>
  </si>
  <si>
    <t>105400090012</t>
  </si>
  <si>
    <t>0012</t>
  </si>
  <si>
    <t>Foolan Devi</t>
  </si>
  <si>
    <t>52888100010138</t>
  </si>
  <si>
    <t>105400090013</t>
  </si>
  <si>
    <t>0013</t>
  </si>
  <si>
    <t xml:space="preserve">Indu Devi </t>
  </si>
  <si>
    <t>23988100002523</t>
  </si>
  <si>
    <t>105400090024</t>
  </si>
  <si>
    <t>0024</t>
  </si>
  <si>
    <t>Riva Devi</t>
  </si>
  <si>
    <t>52880100006048</t>
  </si>
  <si>
    <t>105400090025</t>
  </si>
  <si>
    <t>0025</t>
  </si>
  <si>
    <t>Bibha Devi</t>
  </si>
  <si>
    <t>52880100000032</t>
  </si>
  <si>
    <t>105400090033</t>
  </si>
  <si>
    <t>0033</t>
  </si>
  <si>
    <t>Pramila Devi</t>
  </si>
  <si>
    <t>52880100010877</t>
  </si>
  <si>
    <t>105400090036</t>
  </si>
  <si>
    <t>0036</t>
  </si>
  <si>
    <t>Mannu Yadav</t>
  </si>
  <si>
    <t>52888100014718</t>
  </si>
  <si>
    <t>105400090038</t>
  </si>
  <si>
    <t>0038</t>
  </si>
  <si>
    <t>Upendra Paswan</t>
  </si>
  <si>
    <t>35110700030800</t>
  </si>
  <si>
    <t>105400090040</t>
  </si>
  <si>
    <t>0040</t>
  </si>
  <si>
    <t>Daya Bharti Devi</t>
  </si>
  <si>
    <t>52880100012169</t>
  </si>
  <si>
    <t>105400090042</t>
  </si>
  <si>
    <t>0042</t>
  </si>
  <si>
    <t>Nilam Devi</t>
  </si>
  <si>
    <t>007010078889</t>
  </si>
  <si>
    <t>IPOS0000001</t>
  </si>
  <si>
    <t xml:space="preserve">Indian Post Payment Bank </t>
  </si>
  <si>
    <t>105400090043</t>
  </si>
  <si>
    <t>0043</t>
  </si>
  <si>
    <t>Nisha Devi</t>
  </si>
  <si>
    <t>52880100004105</t>
  </si>
  <si>
    <t>105400090049</t>
  </si>
  <si>
    <t>0049</t>
  </si>
  <si>
    <t>Punam Devi</t>
  </si>
  <si>
    <t>35110700020813</t>
  </si>
  <si>
    <t>105400090052</t>
  </si>
  <si>
    <t>0052</t>
  </si>
  <si>
    <t>Sachin kumar</t>
  </si>
  <si>
    <t>35110700002476</t>
  </si>
  <si>
    <t>105400090055</t>
  </si>
  <si>
    <t>0055</t>
  </si>
  <si>
    <t>Sharmila Devi</t>
  </si>
  <si>
    <t>52888100007712</t>
  </si>
  <si>
    <t>105400090058</t>
  </si>
  <si>
    <t>0058</t>
  </si>
  <si>
    <t>Nitish Kumar</t>
  </si>
  <si>
    <t>35110700003952</t>
  </si>
  <si>
    <t>105400090059</t>
  </si>
  <si>
    <t>0059</t>
  </si>
  <si>
    <t>Butan Yadav</t>
  </si>
  <si>
    <t>52888100018618</t>
  </si>
  <si>
    <t>105400090061</t>
  </si>
  <si>
    <t>0061</t>
  </si>
  <si>
    <t>Gaurav Kumar</t>
  </si>
  <si>
    <t>35110131152452</t>
  </si>
  <si>
    <t>105400090062</t>
  </si>
  <si>
    <t>0062</t>
  </si>
  <si>
    <t>Gyani Yadav</t>
  </si>
  <si>
    <t>52888100015216</t>
  </si>
  <si>
    <t>105400090065</t>
  </si>
  <si>
    <t>0065</t>
  </si>
  <si>
    <t>Bhushan Kumar</t>
  </si>
  <si>
    <t>100194154890</t>
  </si>
  <si>
    <t>105400090066</t>
  </si>
  <si>
    <t>0066</t>
  </si>
  <si>
    <t>Rambalak Yadav</t>
  </si>
  <si>
    <t>54880100004592</t>
  </si>
  <si>
    <t>BARB0KUWART</t>
  </si>
  <si>
    <t>105400090068</t>
  </si>
  <si>
    <t>0068</t>
  </si>
  <si>
    <t>Rita Devi</t>
  </si>
  <si>
    <t>35110131173714</t>
  </si>
  <si>
    <t>105400090069</t>
  </si>
  <si>
    <t>0069</t>
  </si>
  <si>
    <t>Rina Devi</t>
  </si>
  <si>
    <t>52888100019995</t>
  </si>
  <si>
    <t>105400090070</t>
  </si>
  <si>
    <t>0070</t>
  </si>
  <si>
    <t>Nitu Devi</t>
  </si>
  <si>
    <t>35110131240414</t>
  </si>
  <si>
    <t>105400090073</t>
  </si>
  <si>
    <t>0073</t>
  </si>
  <si>
    <t>Mina Devi</t>
  </si>
  <si>
    <t>52880100002995</t>
  </si>
  <si>
    <t>105400090075</t>
  </si>
  <si>
    <t>0075</t>
  </si>
  <si>
    <t>Kavita Devi</t>
  </si>
  <si>
    <t>52888100012093</t>
  </si>
  <si>
    <t>105400090078</t>
  </si>
  <si>
    <t>0078</t>
  </si>
  <si>
    <t>Lakhindra Yadav</t>
  </si>
  <si>
    <t>35110131314235</t>
  </si>
  <si>
    <t>Bihar Gramin Bank</t>
  </si>
  <si>
    <t>105400090083</t>
  </si>
  <si>
    <t>0083</t>
  </si>
  <si>
    <t>Dropati Devi</t>
  </si>
  <si>
    <t>52880100004132</t>
  </si>
  <si>
    <t>105400090096</t>
  </si>
  <si>
    <t>0096</t>
  </si>
  <si>
    <t>Jagamaya Devi</t>
  </si>
  <si>
    <t>6642001700032658</t>
  </si>
  <si>
    <t>PUNB0664200</t>
  </si>
  <si>
    <t xml:space="preserve">Punjab National Bank </t>
  </si>
  <si>
    <t>105400090101</t>
  </si>
  <si>
    <t>0101</t>
  </si>
  <si>
    <t>Puja Devi</t>
  </si>
  <si>
    <t>52880100007246</t>
  </si>
  <si>
    <t>105400260003</t>
  </si>
  <si>
    <t>Not Available</t>
  </si>
  <si>
    <t>105400260004</t>
  </si>
  <si>
    <t>0004</t>
  </si>
  <si>
    <t>105400260005</t>
  </si>
  <si>
    <t>105400260006</t>
  </si>
  <si>
    <t>105400260007</t>
  </si>
  <si>
    <t>0007</t>
  </si>
  <si>
    <t>105400260008</t>
  </si>
  <si>
    <t>0008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</si>
</sst>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_ ;_ * \-#,##0_ ;_ * &quot;-&quot;??_ ;_ @_ "/>
    <numFmt numFmtId="165" formatCode="[$-409]mmm/yy;@"/>
    <numFmt numFmtId="166" formatCode="_ * #,##0.0_ ;_ * \-#,##0.0_ ;_ * &quot;-&quot;??_ ;_ 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00B050"/>
        <bgColor theme="8"/>
      </patternFill>
    </fill>
    <fill>
      <patternFill patternType="solid">
        <fgColor rgb="FF7030A0"/>
        <bgColor theme="8"/>
      </patternFill>
    </fill>
  </fills>
  <borders count="1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theme="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2" borderId="1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61">
    <xf numFmtId="0" fontId="0" fillId="0" borderId="0" xfId="0"/>
    <xf numFmtId="43" fontId="4" fillId="3" borderId="2" xfId="4" applyFont="1" applyFill="1" applyBorder="1" applyAlignment="1">
      <alignment horizontal="center" vertical="center" wrapText="1"/>
    </xf>
    <xf numFmtId="43" fontId="4" fillId="3" borderId="2" xfId="4" applyFont="1" applyFill="1" applyBorder="1" applyAlignment="1">
      <alignment horizontal="left" vertical="center" wrapText="1"/>
    </xf>
    <xf numFmtId="43" fontId="4" fillId="4" borderId="2" xfId="4" applyFont="1" applyFill="1" applyBorder="1" applyAlignment="1">
      <alignment horizontal="center" vertical="center" wrapText="1"/>
    </xf>
    <xf numFmtId="43" fontId="4" fillId="6" borderId="3" xfId="4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0" fillId="0" borderId="0" xfId="0" quotePrefix="1"/>
    <xf numFmtId="0" fontId="4" fillId="7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0" xfId="0" applyAlignment="1">
      <alignment wrapText="1"/>
    </xf>
    <xf numFmtId="0" fontId="0" fillId="0" borderId="4" xfId="0" applyBorder="1" applyAlignment="1">
      <alignment horizontal="center"/>
    </xf>
    <xf numFmtId="43" fontId="0" fillId="0" borderId="4" xfId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1" fontId="0" fillId="0" borderId="2" xfId="0" applyNumberFormat="1" applyBorder="1" applyAlignment="1">
      <alignment horizontal="center"/>
    </xf>
    <xf numFmtId="164" fontId="1" fillId="5" borderId="4" xfId="4" applyNumberFormat="1" applyFont="1" applyFill="1" applyBorder="1" applyAlignment="1">
      <alignment horizontal="center" vertical="center"/>
    </xf>
    <xf numFmtId="164" fontId="3" fillId="2" borderId="1" xfId="3" applyNumberFormat="1" applyFont="1" applyAlignment="1">
      <alignment horizontal="center"/>
    </xf>
    <xf numFmtId="0" fontId="0" fillId="0" borderId="2" xfId="0" quotePrefix="1" applyBorder="1" applyAlignment="1">
      <alignment horizontal="center"/>
    </xf>
    <xf numFmtId="0" fontId="0" fillId="0" borderId="2" xfId="0" quotePrefix="1" applyBorder="1"/>
    <xf numFmtId="0" fontId="0" fillId="0" borderId="5" xfId="0" applyBorder="1"/>
    <xf numFmtId="9" fontId="0" fillId="0" borderId="2" xfId="2" applyFont="1" applyBorder="1" applyAlignment="1">
      <alignment horizontal="center"/>
    </xf>
    <xf numFmtId="1" fontId="0" fillId="0" borderId="2" xfId="2" applyNumberFormat="1" applyFont="1" applyBorder="1" applyAlignment="1">
      <alignment horizontal="center"/>
    </xf>
    <xf numFmtId="164" fontId="0" fillId="0" borderId="2" xfId="1" applyNumberFormat="1" applyFont="1" applyBorder="1" applyAlignment="1">
      <alignment horizontal="center"/>
    </xf>
    <xf numFmtId="43" fontId="0" fillId="0" borderId="2" xfId="1" applyFont="1" applyBorder="1"/>
    <xf numFmtId="0" fontId="0" fillId="0" borderId="2" xfId="0" applyBorder="1"/>
    <xf numFmtId="43" fontId="0" fillId="0" borderId="2" xfId="1" applyFont="1" applyBorder="1" applyAlignment="1">
      <alignment horizontal="center"/>
    </xf>
    <xf numFmtId="43" fontId="0" fillId="8" borderId="2" xfId="1" applyFont="1" applyFill="1" applyBorder="1" applyAlignment="1">
      <alignment horizontal="center"/>
    </xf>
    <xf numFmtId="165" fontId="0" fillId="0" borderId="2" xfId="0" applyNumberFormat="1" applyBorder="1"/>
    <xf numFmtId="0" fontId="4" fillId="0" borderId="2" xfId="0" quotePrefix="1" applyFont="1" applyBorder="1" applyAlignment="1">
      <alignment horizontal="center"/>
    </xf>
    <xf numFmtId="0" fontId="4" fillId="9" borderId="2" xfId="0" applyFont="1" applyFill="1" applyBorder="1" applyAlignment="1">
      <alignment horizontal="center"/>
    </xf>
    <xf numFmtId="0" fontId="4" fillId="9" borderId="2" xfId="0" applyFont="1" applyFill="1" applyBorder="1"/>
    <xf numFmtId="1" fontId="4" fillId="9" borderId="2" xfId="0" applyNumberFormat="1" applyFont="1" applyFill="1" applyBorder="1" applyAlignment="1">
      <alignment horizontal="center"/>
    </xf>
    <xf numFmtId="164" fontId="4" fillId="9" borderId="2" xfId="4" applyNumberFormat="1" applyFont="1" applyFill="1" applyBorder="1" applyAlignment="1">
      <alignment horizontal="center" vertical="center"/>
    </xf>
    <xf numFmtId="9" fontId="0" fillId="0" borderId="2" xfId="2" applyFont="1" applyBorder="1"/>
    <xf numFmtId="2" fontId="0" fillId="0" borderId="2" xfId="2" applyNumberFormat="1" applyFont="1" applyBorder="1"/>
    <xf numFmtId="164" fontId="0" fillId="0" borderId="2" xfId="1" applyNumberFormat="1" applyFont="1" applyBorder="1"/>
    <xf numFmtId="0" fontId="2" fillId="10" borderId="6" xfId="5" applyFont="1" applyFill="1" applyBorder="1" applyAlignment="1">
      <alignment horizontal="center" vertical="center" wrapText="1"/>
    </xf>
    <xf numFmtId="0" fontId="2" fillId="11" borderId="6" xfId="5" applyFont="1" applyFill="1" applyBorder="1" applyAlignment="1">
      <alignment horizontal="center" vertical="center" wrapText="1"/>
    </xf>
    <xf numFmtId="49" fontId="2" fillId="11" borderId="6" xfId="5" applyNumberFormat="1" applyFont="1" applyFill="1" applyBorder="1" applyAlignment="1">
      <alignment horizontal="center" vertical="center" wrapText="1"/>
    </xf>
    <xf numFmtId="43" fontId="2" fillId="11" borderId="6" xfId="1" applyFont="1" applyFill="1" applyBorder="1" applyAlignment="1">
      <alignment horizontal="center" vertical="center" wrapText="1"/>
    </xf>
    <xf numFmtId="49" fontId="2" fillId="10" borderId="6" xfId="5" applyNumberFormat="1" applyFont="1" applyFill="1" applyBorder="1" applyAlignment="1">
      <alignment horizontal="center" vertical="center" wrapText="1"/>
    </xf>
    <xf numFmtId="0" fontId="2" fillId="10" borderId="6" xfId="5" applyFont="1" applyFill="1" applyBorder="1" applyAlignment="1">
      <alignment horizontal="left" vertical="center" wrapText="1"/>
    </xf>
    <xf numFmtId="0" fontId="2" fillId="12" borderId="6" xfId="5" applyFont="1" applyFill="1" applyBorder="1" applyAlignment="1">
      <alignment horizontal="center" vertical="center" wrapText="1"/>
    </xf>
    <xf numFmtId="0" fontId="2" fillId="12" borderId="7" xfId="5" applyFont="1" applyFill="1" applyBorder="1" applyAlignment="1">
      <alignment horizontal="center" vertical="center" wrapText="1"/>
    </xf>
    <xf numFmtId="0" fontId="2" fillId="12" borderId="8" xfId="5" applyFont="1" applyFill="1" applyBorder="1" applyAlignment="1">
      <alignment horizontal="center" vertical="center" wrapText="1"/>
    </xf>
    <xf numFmtId="0" fontId="2" fillId="0" borderId="3" xfId="5" applyFont="1" applyBorder="1" applyAlignment="1">
      <alignment horizontal="center" vertical="center" wrapText="1"/>
    </xf>
    <xf numFmtId="0" fontId="2" fillId="12" borderId="3" xfId="5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  <xf numFmtId="166" fontId="0" fillId="0" borderId="0" xfId="1" applyNumberFormat="1" applyFont="1" applyAlignment="1">
      <alignment horizontal="center"/>
    </xf>
    <xf numFmtId="43" fontId="0" fillId="0" borderId="0" xfId="1" applyFont="1"/>
    <xf numFmtId="164" fontId="0" fillId="0" borderId="0" xfId="1" applyNumberFormat="1" applyFont="1"/>
    <xf numFmtId="0" fontId="0" fillId="0" borderId="9" xfId="0" applyBorder="1"/>
    <xf numFmtId="0" fontId="0" fillId="0" borderId="9" xfId="0" applyBorder="1" applyAlignment="1">
      <alignment horizontal="center"/>
    </xf>
    <xf numFmtId="164" fontId="0" fillId="0" borderId="9" xfId="1" applyNumberFormat="1" applyFont="1" applyBorder="1" applyAlignment="1">
      <alignment horizontal="center"/>
    </xf>
    <xf numFmtId="166" fontId="0" fillId="0" borderId="9" xfId="1" applyNumberFormat="1" applyFont="1" applyBorder="1" applyAlignment="1">
      <alignment horizontal="center"/>
    </xf>
    <xf numFmtId="0" fontId="0" fillId="0" borderId="10" xfId="0" applyBorder="1"/>
    <xf numFmtId="166" fontId="0" fillId="0" borderId="10" xfId="0" applyNumberFormat="1" applyBorder="1"/>
  </cellXfs>
  <cellStyles count="6">
    <cellStyle name="Comma" xfId="1" builtinId="3"/>
    <cellStyle name="Comma 2" xfId="4" xr:uid="{D70F4C9B-BBE3-40B3-8D3D-416CFDF3F14F}"/>
    <cellStyle name="Normal" xfId="0" builtinId="0"/>
    <cellStyle name="Normal 2" xfId="5" xr:uid="{6B14FD0F-CD86-4C46-9566-0D9587473716}"/>
    <cellStyle name="Note" xfId="3" builtinId="10"/>
    <cellStyle name="Percent" xfId="2" builtinId="5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F6E83-F3B0-41EF-9ECD-4D30C132CADC}">
  <dimension ref="A1:AC8"/>
  <sheetViews>
    <sheetView tabSelected="1" workbookViewId="0">
      <selection activeCell="M19" sqref="M19"/>
    </sheetView>
  </sheetViews>
  <sheetFormatPr defaultRowHeight="15" x14ac:dyDescent="0.25"/>
  <cols>
    <col min="1" max="1" width="5.85546875" bestFit="1" customWidth="1"/>
    <col min="2" max="2" width="16.140625" bestFit="1" customWidth="1"/>
    <col min="3" max="3" width="9" bestFit="1" customWidth="1"/>
    <col min="4" max="4" width="26" bestFit="1" customWidth="1"/>
    <col min="5" max="5" width="6" bestFit="1" customWidth="1"/>
    <col min="6" max="6" width="8.85546875" bestFit="1" customWidth="1"/>
    <col min="7" max="7" width="7.85546875" bestFit="1" customWidth="1"/>
    <col min="8" max="8" width="8" bestFit="1" customWidth="1"/>
    <col min="9" max="9" width="11.5703125" bestFit="1" customWidth="1"/>
    <col min="10" max="10" width="14.140625" bestFit="1" customWidth="1"/>
    <col min="11" max="11" width="11.5703125" bestFit="1" customWidth="1"/>
    <col min="12" max="12" width="9.7109375" bestFit="1" customWidth="1"/>
    <col min="13" max="13" width="17.85546875" bestFit="1" customWidth="1"/>
    <col min="14" max="14" width="12.7109375" bestFit="1" customWidth="1"/>
    <col min="17" max="17" width="7.5703125" bestFit="1" customWidth="1"/>
    <col min="18" max="18" width="10" bestFit="1" customWidth="1"/>
    <col min="19" max="19" width="11.5703125" bestFit="1" customWidth="1"/>
    <col min="20" max="20" width="10" bestFit="1" customWidth="1"/>
    <col min="21" max="21" width="5.85546875" bestFit="1" customWidth="1"/>
    <col min="22" max="22" width="9.42578125" bestFit="1" customWidth="1"/>
    <col min="23" max="24" width="7.7109375" bestFit="1" customWidth="1"/>
    <col min="25" max="25" width="7.42578125" bestFit="1" customWidth="1"/>
    <col min="26" max="26" width="8.42578125" bestFit="1" customWidth="1"/>
    <col min="27" max="27" width="8.28515625" bestFit="1" customWidth="1"/>
    <col min="28" max="28" width="8.7109375" bestFit="1" customWidth="1"/>
    <col min="29" max="29" width="8.5703125" bestFit="1" customWidth="1"/>
  </cols>
  <sheetData>
    <row r="1" spans="1:29" s="11" customFormat="1" ht="40.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11</v>
      </c>
      <c r="J1" s="1" t="s">
        <v>12</v>
      </c>
      <c r="K1" s="1" t="s">
        <v>13</v>
      </c>
      <c r="L1" s="4" t="s">
        <v>14</v>
      </c>
      <c r="M1" s="5" t="s">
        <v>15</v>
      </c>
      <c r="N1" s="5" t="s">
        <v>16</v>
      </c>
      <c r="O1" s="6"/>
      <c r="P1" s="7" t="s">
        <v>17</v>
      </c>
      <c r="Q1" s="7" t="s">
        <v>18</v>
      </c>
      <c r="R1" s="7" t="s">
        <v>19</v>
      </c>
      <c r="S1" s="7" t="s">
        <v>20</v>
      </c>
      <c r="T1" s="7" t="s">
        <v>21</v>
      </c>
      <c r="U1" s="8" t="s">
        <v>22</v>
      </c>
      <c r="V1" s="8" t="s">
        <v>23</v>
      </c>
      <c r="W1" s="8" t="s">
        <v>24</v>
      </c>
      <c r="X1" s="8" t="s">
        <v>25</v>
      </c>
      <c r="Y1" s="8" t="s">
        <v>26</v>
      </c>
      <c r="Z1" s="8" t="s">
        <v>27</v>
      </c>
      <c r="AA1" s="8" t="s">
        <v>28</v>
      </c>
      <c r="AB1" s="9" t="s">
        <v>29</v>
      </c>
      <c r="AC1" s="10" t="s">
        <v>30</v>
      </c>
    </row>
    <row r="2" spans="1:29" x14ac:dyDescent="0.25">
      <c r="A2" s="12">
        <v>1011</v>
      </c>
      <c r="B2" s="13" t="s">
        <v>31</v>
      </c>
      <c r="C2" s="14">
        <v>10110083</v>
      </c>
      <c r="D2" s="15" t="s">
        <v>32</v>
      </c>
      <c r="E2" s="16" t="s">
        <v>33</v>
      </c>
      <c r="F2" s="16" t="s">
        <v>34</v>
      </c>
      <c r="G2" s="17">
        <v>213.6</v>
      </c>
      <c r="H2" s="17">
        <v>7962.8757917310013</v>
      </c>
      <c r="I2" s="18">
        <v>7963</v>
      </c>
      <c r="J2" s="18">
        <v>0</v>
      </c>
      <c r="K2" s="18">
        <v>0</v>
      </c>
      <c r="L2" s="19" t="s">
        <v>35</v>
      </c>
      <c r="M2" s="20" t="s">
        <v>36</v>
      </c>
      <c r="N2" s="21" t="s">
        <v>37</v>
      </c>
      <c r="O2" s="22"/>
      <c r="P2" s="23">
        <v>-1.1885021067773933</v>
      </c>
      <c r="Q2" s="24">
        <v>1</v>
      </c>
      <c r="R2" s="25">
        <v>50</v>
      </c>
      <c r="S2" s="25">
        <v>0</v>
      </c>
      <c r="T2" s="26">
        <v>50</v>
      </c>
      <c r="U2" s="27"/>
      <c r="V2" s="25">
        <v>0</v>
      </c>
      <c r="W2" s="25">
        <v>0</v>
      </c>
      <c r="X2" s="28">
        <v>0</v>
      </c>
      <c r="Y2" s="29">
        <v>0</v>
      </c>
      <c r="Z2" s="28">
        <v>0</v>
      </c>
      <c r="AA2" s="26">
        <v>0</v>
      </c>
      <c r="AB2" s="26">
        <v>0</v>
      </c>
      <c r="AC2" s="30">
        <v>46173</v>
      </c>
    </row>
    <row r="3" spans="1:29" x14ac:dyDescent="0.25">
      <c r="A3" s="12">
        <v>1011</v>
      </c>
      <c r="B3" s="13" t="s">
        <v>31</v>
      </c>
      <c r="C3" s="14">
        <v>10110167</v>
      </c>
      <c r="D3" s="15" t="s">
        <v>38</v>
      </c>
      <c r="E3" s="16" t="s">
        <v>33</v>
      </c>
      <c r="F3" s="16" t="s">
        <v>34</v>
      </c>
      <c r="G3" s="17">
        <v>5.6</v>
      </c>
      <c r="H3" s="17">
        <v>195.85431360000001</v>
      </c>
      <c r="I3" s="18">
        <v>0</v>
      </c>
      <c r="J3" s="18">
        <v>0</v>
      </c>
      <c r="K3" s="18">
        <v>0</v>
      </c>
      <c r="L3" s="19" t="s">
        <v>35</v>
      </c>
      <c r="M3" s="20" t="s">
        <v>39</v>
      </c>
      <c r="N3" s="21" t="s">
        <v>37</v>
      </c>
      <c r="O3" s="22"/>
      <c r="P3" s="23">
        <v>0</v>
      </c>
      <c r="Q3" s="24">
        <v>1</v>
      </c>
      <c r="R3" s="25">
        <v>0</v>
      </c>
      <c r="S3" s="25">
        <v>0</v>
      </c>
      <c r="T3" s="26">
        <v>0</v>
      </c>
      <c r="U3" s="27"/>
      <c r="V3" s="25">
        <v>500</v>
      </c>
      <c r="W3" s="25">
        <v>0</v>
      </c>
      <c r="X3" s="28">
        <v>0</v>
      </c>
      <c r="Y3" s="29">
        <v>500</v>
      </c>
      <c r="Z3" s="28">
        <v>196</v>
      </c>
      <c r="AA3" s="26">
        <v>-304</v>
      </c>
      <c r="AB3" s="26">
        <v>-304</v>
      </c>
      <c r="AC3" s="30">
        <v>46173</v>
      </c>
    </row>
    <row r="4" spans="1:29" x14ac:dyDescent="0.25">
      <c r="A4" s="12">
        <v>1062</v>
      </c>
      <c r="B4" s="13" t="s">
        <v>40</v>
      </c>
      <c r="C4" s="14">
        <v>10120088</v>
      </c>
      <c r="D4" s="15" t="s">
        <v>41</v>
      </c>
      <c r="E4" s="16" t="s">
        <v>42</v>
      </c>
      <c r="F4" s="16" t="s">
        <v>43</v>
      </c>
      <c r="G4" s="17">
        <v>3428.9</v>
      </c>
      <c r="H4" s="17">
        <v>131868.83539731</v>
      </c>
      <c r="I4" s="18">
        <v>0</v>
      </c>
      <c r="J4" s="18">
        <v>0</v>
      </c>
      <c r="K4" s="18">
        <v>131868.83539731</v>
      </c>
      <c r="L4" s="19" t="s">
        <v>35</v>
      </c>
      <c r="M4" s="31" t="s">
        <v>44</v>
      </c>
      <c r="N4" s="21" t="s">
        <v>37</v>
      </c>
      <c r="O4" s="22"/>
      <c r="P4" s="23">
        <v>0</v>
      </c>
      <c r="Q4" s="24">
        <v>0</v>
      </c>
      <c r="R4" s="25">
        <v>0</v>
      </c>
      <c r="S4" s="25">
        <v>0</v>
      </c>
      <c r="T4" s="26">
        <v>0</v>
      </c>
      <c r="U4" s="27"/>
      <c r="V4" s="25">
        <v>0</v>
      </c>
      <c r="W4" s="25">
        <v>0</v>
      </c>
      <c r="X4" s="28">
        <v>0</v>
      </c>
      <c r="Y4" s="29">
        <v>0</v>
      </c>
      <c r="Z4" s="28">
        <v>0</v>
      </c>
      <c r="AA4" s="26">
        <v>0</v>
      </c>
      <c r="AB4" s="26">
        <v>0</v>
      </c>
      <c r="AC4" s="30">
        <v>46173</v>
      </c>
    </row>
    <row r="5" spans="1:29" x14ac:dyDescent="0.25">
      <c r="A5" s="12">
        <v>1054</v>
      </c>
      <c r="B5" s="13" t="s">
        <v>45</v>
      </c>
      <c r="C5" s="14">
        <v>10540005</v>
      </c>
      <c r="D5" s="15" t="s">
        <v>46</v>
      </c>
      <c r="E5" s="16" t="s">
        <v>33</v>
      </c>
      <c r="F5" s="16" t="s">
        <v>34</v>
      </c>
      <c r="G5" s="17">
        <v>254.9</v>
      </c>
      <c r="H5" s="17">
        <v>10139.075938380003</v>
      </c>
      <c r="I5" s="18">
        <v>7439</v>
      </c>
      <c r="J5" s="18">
        <v>0</v>
      </c>
      <c r="K5" s="18">
        <v>0</v>
      </c>
      <c r="L5" s="19" t="s">
        <v>35</v>
      </c>
      <c r="M5" s="20" t="s">
        <v>36</v>
      </c>
      <c r="N5" s="21" t="s">
        <v>37</v>
      </c>
      <c r="O5" s="22"/>
      <c r="P5" s="23">
        <v>-0.38192615630977989</v>
      </c>
      <c r="Q5" s="24">
        <v>10</v>
      </c>
      <c r="R5" s="25">
        <v>2700</v>
      </c>
      <c r="S5" s="25">
        <v>2700</v>
      </c>
      <c r="T5" s="26">
        <v>0</v>
      </c>
      <c r="U5" s="27"/>
      <c r="V5" s="25">
        <v>0</v>
      </c>
      <c r="W5" s="25">
        <v>0</v>
      </c>
      <c r="X5" s="28">
        <v>0</v>
      </c>
      <c r="Y5" s="29">
        <v>0</v>
      </c>
      <c r="Z5" s="28">
        <v>0</v>
      </c>
      <c r="AA5" s="26">
        <v>0</v>
      </c>
      <c r="AB5" s="26">
        <v>0</v>
      </c>
      <c r="AC5" s="30">
        <v>46173</v>
      </c>
    </row>
    <row r="6" spans="1:29" x14ac:dyDescent="0.25">
      <c r="A6" s="12">
        <v>1054</v>
      </c>
      <c r="B6" s="13" t="s">
        <v>45</v>
      </c>
      <c r="C6" s="14">
        <v>10540009</v>
      </c>
      <c r="D6" s="15" t="s">
        <v>47</v>
      </c>
      <c r="E6" s="16" t="s">
        <v>33</v>
      </c>
      <c r="F6" s="16" t="s">
        <v>34</v>
      </c>
      <c r="G6" s="17">
        <v>1134.2</v>
      </c>
      <c r="H6" s="17">
        <v>46706.148046950002</v>
      </c>
      <c r="I6" s="18">
        <v>41152</v>
      </c>
      <c r="J6" s="18">
        <v>0</v>
      </c>
      <c r="K6" s="18">
        <v>0</v>
      </c>
      <c r="L6" s="19" t="s">
        <v>35</v>
      </c>
      <c r="M6" s="20" t="s">
        <v>36</v>
      </c>
      <c r="N6" s="21" t="s">
        <v>37</v>
      </c>
      <c r="O6" s="22"/>
      <c r="P6" s="23">
        <v>-1.1192296756760102E-2</v>
      </c>
      <c r="Q6" s="24">
        <v>32</v>
      </c>
      <c r="R6" s="25">
        <v>24300</v>
      </c>
      <c r="S6" s="25">
        <v>5554</v>
      </c>
      <c r="T6" s="26">
        <v>18746</v>
      </c>
      <c r="U6" s="27"/>
      <c r="V6" s="25">
        <v>0</v>
      </c>
      <c r="W6" s="25">
        <v>0</v>
      </c>
      <c r="X6" s="28">
        <v>0</v>
      </c>
      <c r="Y6" s="29">
        <v>0</v>
      </c>
      <c r="Z6" s="28">
        <v>0</v>
      </c>
      <c r="AA6" s="26">
        <v>0</v>
      </c>
      <c r="AB6" s="26">
        <v>0</v>
      </c>
      <c r="AC6" s="30">
        <v>46173</v>
      </c>
    </row>
    <row r="7" spans="1:29" x14ac:dyDescent="0.25">
      <c r="A7" s="12">
        <v>1054</v>
      </c>
      <c r="B7" s="13" t="s">
        <v>45</v>
      </c>
      <c r="C7" s="14">
        <v>10540026</v>
      </c>
      <c r="D7" s="15" t="s">
        <v>48</v>
      </c>
      <c r="E7" s="16" t="s">
        <v>33</v>
      </c>
      <c r="F7" s="16" t="s">
        <v>34</v>
      </c>
      <c r="G7" s="17">
        <v>548.68000000000006</v>
      </c>
      <c r="H7" s="17">
        <v>22884.896580001605</v>
      </c>
      <c r="I7" s="18">
        <v>0</v>
      </c>
      <c r="J7" s="18">
        <v>16135</v>
      </c>
      <c r="K7" s="18">
        <v>0</v>
      </c>
      <c r="L7" s="19" t="s">
        <v>35</v>
      </c>
      <c r="M7" s="20" t="s">
        <v>49</v>
      </c>
      <c r="N7" s="21" t="s">
        <v>37</v>
      </c>
      <c r="O7" s="22"/>
      <c r="P7" s="23">
        <v>-0.10613879733122333</v>
      </c>
      <c r="Q7" s="24">
        <v>6</v>
      </c>
      <c r="R7" s="25">
        <v>6750</v>
      </c>
      <c r="S7" s="25">
        <v>6750</v>
      </c>
      <c r="T7" s="26">
        <v>0</v>
      </c>
      <c r="U7" s="27"/>
      <c r="V7" s="25">
        <v>0</v>
      </c>
      <c r="W7" s="25">
        <v>0</v>
      </c>
      <c r="X7" s="28">
        <v>0</v>
      </c>
      <c r="Y7" s="29">
        <v>0</v>
      </c>
      <c r="Z7" s="28">
        <v>0</v>
      </c>
      <c r="AA7" s="26">
        <v>0</v>
      </c>
      <c r="AB7" s="26">
        <v>0</v>
      </c>
      <c r="AC7" s="30">
        <v>46173</v>
      </c>
    </row>
    <row r="8" spans="1:29" x14ac:dyDescent="0.25">
      <c r="A8" s="32"/>
      <c r="B8" s="33"/>
      <c r="C8" s="32"/>
      <c r="D8" s="32"/>
      <c r="E8" s="32" t="s">
        <v>50</v>
      </c>
      <c r="F8" s="32">
        <v>983</v>
      </c>
      <c r="G8" s="34">
        <v>5585.88</v>
      </c>
      <c r="H8" s="34">
        <v>219757.68606797259</v>
      </c>
      <c r="I8" s="35">
        <v>56554</v>
      </c>
      <c r="J8" s="35">
        <v>16135</v>
      </c>
      <c r="K8" s="35">
        <v>131868.83539731</v>
      </c>
      <c r="L8" s="19">
        <v>5</v>
      </c>
      <c r="M8" s="14"/>
      <c r="N8" s="27"/>
      <c r="O8" s="6"/>
      <c r="P8" s="36"/>
      <c r="Q8" s="37">
        <v>5373</v>
      </c>
      <c r="R8" s="26">
        <v>33800</v>
      </c>
      <c r="S8" s="26">
        <v>194197</v>
      </c>
      <c r="T8" s="26">
        <v>18796</v>
      </c>
      <c r="U8" s="27"/>
      <c r="V8" s="25">
        <v>500</v>
      </c>
      <c r="W8" s="25">
        <v>0</v>
      </c>
      <c r="X8" s="38">
        <v>0</v>
      </c>
      <c r="Y8" s="25">
        <v>500</v>
      </c>
      <c r="Z8" s="25">
        <v>196</v>
      </c>
      <c r="AA8" s="25">
        <v>-304</v>
      </c>
      <c r="AB8" s="25">
        <v>-304</v>
      </c>
      <c r="AC8" s="27"/>
    </row>
  </sheetData>
  <conditionalFormatting sqref="C2:C7">
    <cfRule type="duplicateValues" dxfId="16" priority="9"/>
    <cfRule type="duplicateValues" dxfId="15" priority="10"/>
    <cfRule type="duplicateValues" dxfId="14" priority="11"/>
  </conditionalFormatting>
  <conditionalFormatting sqref="C8 C1">
    <cfRule type="duplicateValues" dxfId="13" priority="12" stopIfTrue="1"/>
  </conditionalFormatting>
  <conditionalFormatting sqref="D8">
    <cfRule type="duplicateValues" dxfId="12" priority="5" stopIfTrue="1"/>
  </conditionalFormatting>
  <conditionalFormatting sqref="E8">
    <cfRule type="duplicateValues" dxfId="11" priority="4" stopIfTrue="1"/>
  </conditionalFormatting>
  <conditionalFormatting sqref="F2:F7">
    <cfRule type="containsText" dxfId="10" priority="7" operator="containsText" text="Indirect">
      <formula>NOT(ISERROR(SEARCH("Indirect",F2)))</formula>
    </cfRule>
  </conditionalFormatting>
  <conditionalFormatting sqref="F8">
    <cfRule type="duplicateValues" dxfId="9" priority="3" stopIfTrue="1"/>
  </conditionalFormatting>
  <conditionalFormatting sqref="G8">
    <cfRule type="duplicateValues" dxfId="8" priority="2" stopIfTrue="1"/>
  </conditionalFormatting>
  <conditionalFormatting sqref="H8">
    <cfRule type="duplicateValues" dxfId="7" priority="1" stopIfTrue="1"/>
  </conditionalFormatting>
  <conditionalFormatting sqref="I2:K7">
    <cfRule type="cellIs" dxfId="6" priority="6" operator="lessThan">
      <formula>-1</formula>
    </cfRule>
  </conditionalFormatting>
  <conditionalFormatting sqref="AA2:AB7">
    <cfRule type="cellIs" dxfId="5" priority="8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BABC8-8D10-441C-A98C-4AC8FF2FE324}">
  <dimension ref="A1:AC52"/>
  <sheetViews>
    <sheetView topLeftCell="A22" zoomScale="89" workbookViewId="0">
      <selection activeCell="D60" sqref="D60"/>
    </sheetView>
  </sheetViews>
  <sheetFormatPr defaultRowHeight="15" x14ac:dyDescent="0.25"/>
  <cols>
    <col min="1" max="1" width="14.7109375" bestFit="1" customWidth="1"/>
    <col min="2" max="3" width="15.28515625" bestFit="1" customWidth="1"/>
    <col min="4" max="4" width="25.5703125" bestFit="1" customWidth="1"/>
    <col min="5" max="5" width="10.140625" bestFit="1" customWidth="1"/>
    <col min="6" max="6" width="8.28515625" bestFit="1" customWidth="1"/>
    <col min="7" max="7" width="6.28515625" bestFit="1" customWidth="1"/>
    <col min="8" max="8" width="5.7109375" bestFit="1" customWidth="1"/>
    <col min="9" max="9" width="8" bestFit="1" customWidth="1"/>
    <col min="10" max="10" width="10.42578125" bestFit="1" customWidth="1"/>
    <col min="11" max="11" width="7.7109375" bestFit="1" customWidth="1"/>
    <col min="12" max="12" width="8.28515625" bestFit="1" customWidth="1"/>
    <col min="13" max="13" width="10.42578125" bestFit="1" customWidth="1"/>
    <col min="14" max="14" width="6.140625" bestFit="1" customWidth="1"/>
    <col min="15" max="15" width="9.7109375" bestFit="1" customWidth="1"/>
    <col min="16" max="16" width="9.42578125" bestFit="1" customWidth="1"/>
    <col min="18" max="18" width="20.7109375" bestFit="1" customWidth="1"/>
    <col min="19" max="19" width="19.42578125" bestFit="1" customWidth="1"/>
    <col min="20" max="20" width="14.28515625" bestFit="1" customWidth="1"/>
    <col min="21" max="21" width="28.85546875" bestFit="1" customWidth="1"/>
    <col min="22" max="22" width="12.7109375" bestFit="1" customWidth="1"/>
    <col min="23" max="23" width="12.85546875" bestFit="1" customWidth="1"/>
    <col min="25" max="25" width="7.7109375" bestFit="1" customWidth="1"/>
    <col min="29" max="29" width="7" bestFit="1" customWidth="1"/>
  </cols>
  <sheetData>
    <row r="1" spans="1:29" ht="36.6" customHeight="1" x14ac:dyDescent="0.25">
      <c r="A1" s="39" t="s">
        <v>51</v>
      </c>
      <c r="B1" s="39" t="s">
        <v>1</v>
      </c>
      <c r="C1" s="39" t="s">
        <v>52</v>
      </c>
      <c r="D1" s="39" t="s">
        <v>53</v>
      </c>
      <c r="E1" s="40" t="s">
        <v>54</v>
      </c>
      <c r="F1" s="41" t="s">
        <v>55</v>
      </c>
      <c r="G1" s="42" t="s">
        <v>56</v>
      </c>
      <c r="H1" s="41" t="s">
        <v>57</v>
      </c>
      <c r="I1" s="41" t="s">
        <v>58</v>
      </c>
      <c r="J1" s="43" t="s">
        <v>8</v>
      </c>
      <c r="K1" s="43" t="s">
        <v>59</v>
      </c>
      <c r="L1" s="43" t="s">
        <v>60</v>
      </c>
      <c r="M1" s="43" t="s">
        <v>9</v>
      </c>
      <c r="N1" s="43" t="s">
        <v>10</v>
      </c>
      <c r="O1" s="43" t="s">
        <v>14</v>
      </c>
      <c r="P1" s="43" t="s">
        <v>61</v>
      </c>
      <c r="Q1" s="44" t="s">
        <v>62</v>
      </c>
      <c r="R1" s="45" t="s">
        <v>63</v>
      </c>
      <c r="S1" s="45" t="s">
        <v>64</v>
      </c>
      <c r="T1" s="45" t="s">
        <v>65</v>
      </c>
      <c r="U1" s="45" t="s">
        <v>66</v>
      </c>
      <c r="V1" s="46" t="s">
        <v>67</v>
      </c>
      <c r="W1" s="47" t="s">
        <v>16</v>
      </c>
      <c r="X1" s="48"/>
      <c r="Y1" s="49" t="s">
        <v>68</v>
      </c>
      <c r="AC1" t="s">
        <v>69</v>
      </c>
    </row>
    <row r="2" spans="1:29" x14ac:dyDescent="0.25">
      <c r="A2" t="s">
        <v>70</v>
      </c>
      <c r="B2" t="s">
        <v>31</v>
      </c>
      <c r="C2" s="50" t="s">
        <v>31</v>
      </c>
      <c r="D2" t="s">
        <v>32</v>
      </c>
      <c r="E2" s="50">
        <v>10110083</v>
      </c>
      <c r="F2" t="s">
        <v>71</v>
      </c>
      <c r="G2">
        <v>14</v>
      </c>
      <c r="H2" s="51">
        <v>460.40000000000003</v>
      </c>
      <c r="I2" s="51">
        <v>17426.770446210001</v>
      </c>
      <c r="J2" s="52">
        <v>0</v>
      </c>
      <c r="K2" s="52">
        <v>0</v>
      </c>
      <c r="L2" s="52">
        <v>9464</v>
      </c>
      <c r="M2" s="51">
        <v>0</v>
      </c>
      <c r="N2" s="51">
        <v>0</v>
      </c>
      <c r="O2" s="52" t="s">
        <v>35</v>
      </c>
      <c r="P2" s="52">
        <v>7963</v>
      </c>
      <c r="Q2" s="50" t="s">
        <v>34</v>
      </c>
      <c r="R2" t="s">
        <v>72</v>
      </c>
      <c r="S2" t="s">
        <v>73</v>
      </c>
      <c r="T2" t="s">
        <v>74</v>
      </c>
      <c r="U2" t="s">
        <v>75</v>
      </c>
      <c r="V2" t="s">
        <v>76</v>
      </c>
      <c r="W2" t="s">
        <v>37</v>
      </c>
      <c r="Y2" s="53">
        <v>26.495958541153346</v>
      </c>
    </row>
    <row r="3" spans="1:29" x14ac:dyDescent="0.25">
      <c r="A3" t="s">
        <v>77</v>
      </c>
      <c r="B3" t="s">
        <v>31</v>
      </c>
      <c r="C3" s="50" t="s">
        <v>31</v>
      </c>
      <c r="D3" t="s">
        <v>38</v>
      </c>
      <c r="E3" s="50">
        <v>10110167</v>
      </c>
      <c r="F3" t="s">
        <v>71</v>
      </c>
      <c r="G3">
        <v>2</v>
      </c>
      <c r="H3" s="51">
        <v>5.6</v>
      </c>
      <c r="I3" s="51">
        <v>195.85431360000001</v>
      </c>
      <c r="J3" s="52">
        <v>0</v>
      </c>
      <c r="K3" s="52">
        <v>0</v>
      </c>
      <c r="L3" s="52">
        <v>0</v>
      </c>
      <c r="M3" s="51">
        <v>0</v>
      </c>
      <c r="N3" s="51">
        <v>196</v>
      </c>
      <c r="O3" s="52" t="s">
        <v>35</v>
      </c>
      <c r="P3" s="52">
        <v>0</v>
      </c>
      <c r="Q3" s="50" t="s">
        <v>34</v>
      </c>
      <c r="R3" t="s">
        <v>78</v>
      </c>
      <c r="S3" t="s">
        <v>79</v>
      </c>
      <c r="T3" t="s">
        <v>80</v>
      </c>
      <c r="U3" t="s">
        <v>81</v>
      </c>
      <c r="V3" t="s">
        <v>76</v>
      </c>
      <c r="W3" t="s">
        <v>37</v>
      </c>
      <c r="X3" s="54"/>
      <c r="Y3" s="53">
        <v>3.4973984571428574</v>
      </c>
    </row>
    <row r="4" spans="1:29" x14ac:dyDescent="0.25">
      <c r="A4" t="s">
        <v>82</v>
      </c>
      <c r="B4" t="s">
        <v>45</v>
      </c>
      <c r="C4" s="50" t="s">
        <v>45</v>
      </c>
      <c r="D4" t="s">
        <v>46</v>
      </c>
      <c r="E4" s="50">
        <v>10540005</v>
      </c>
      <c r="F4" t="s">
        <v>71</v>
      </c>
      <c r="G4">
        <v>1</v>
      </c>
      <c r="H4" s="51">
        <v>98</v>
      </c>
      <c r="I4" s="51">
        <v>4154.8257870000007</v>
      </c>
      <c r="J4" s="52">
        <v>0</v>
      </c>
      <c r="K4" s="52">
        <v>0</v>
      </c>
      <c r="L4" s="52">
        <v>3872</v>
      </c>
      <c r="M4" s="51">
        <v>0</v>
      </c>
      <c r="N4" s="51">
        <v>0</v>
      </c>
      <c r="O4" s="52" t="s">
        <v>35</v>
      </c>
      <c r="P4" s="52">
        <v>283</v>
      </c>
      <c r="Q4" s="50" t="s">
        <v>34</v>
      </c>
      <c r="R4" t="s">
        <v>83</v>
      </c>
      <c r="S4" t="s">
        <v>84</v>
      </c>
      <c r="T4" t="s">
        <v>85</v>
      </c>
      <c r="U4" t="s">
        <v>86</v>
      </c>
      <c r="V4" t="s">
        <v>76</v>
      </c>
      <c r="W4" t="s">
        <v>37</v>
      </c>
      <c r="Y4" s="53">
        <v>2.1198090750000005</v>
      </c>
    </row>
    <row r="5" spans="1:29" x14ac:dyDescent="0.25">
      <c r="A5" t="s">
        <v>87</v>
      </c>
      <c r="B5" t="s">
        <v>45</v>
      </c>
      <c r="C5" s="50" t="s">
        <v>45</v>
      </c>
      <c r="D5" t="s">
        <v>46</v>
      </c>
      <c r="E5" s="50">
        <v>10540005</v>
      </c>
      <c r="F5" t="s">
        <v>88</v>
      </c>
      <c r="G5">
        <v>14</v>
      </c>
      <c r="H5" s="51">
        <v>24.91</v>
      </c>
      <c r="I5" s="51">
        <v>797.34918315945015</v>
      </c>
      <c r="J5" s="52">
        <v>0</v>
      </c>
      <c r="K5" s="52">
        <v>0</v>
      </c>
      <c r="L5" s="52">
        <v>0</v>
      </c>
      <c r="M5" s="51">
        <v>0</v>
      </c>
      <c r="N5" s="51">
        <v>0</v>
      </c>
      <c r="O5" s="52" t="s">
        <v>35</v>
      </c>
      <c r="P5" s="52">
        <v>797</v>
      </c>
      <c r="Q5" s="50" t="s">
        <v>34</v>
      </c>
      <c r="R5" t="s">
        <v>89</v>
      </c>
      <c r="S5" t="s">
        <v>90</v>
      </c>
      <c r="T5" t="s">
        <v>91</v>
      </c>
      <c r="U5" t="s">
        <v>92</v>
      </c>
      <c r="V5" t="s">
        <v>76</v>
      </c>
      <c r="W5" t="s">
        <v>37</v>
      </c>
      <c r="Y5" s="53">
        <v>22.406440313593542</v>
      </c>
    </row>
    <row r="6" spans="1:29" x14ac:dyDescent="0.25">
      <c r="A6" t="s">
        <v>93</v>
      </c>
      <c r="B6" t="s">
        <v>45</v>
      </c>
      <c r="C6" s="50" t="s">
        <v>45</v>
      </c>
      <c r="D6" t="s">
        <v>46</v>
      </c>
      <c r="E6" s="50">
        <v>10540005</v>
      </c>
      <c r="F6" t="s">
        <v>94</v>
      </c>
      <c r="G6">
        <v>14</v>
      </c>
      <c r="H6" s="51">
        <v>86.58</v>
      </c>
      <c r="I6" s="51">
        <v>3630.5609098650002</v>
      </c>
      <c r="J6" s="52">
        <v>0</v>
      </c>
      <c r="K6" s="52">
        <v>0</v>
      </c>
      <c r="L6" s="52">
        <v>0</v>
      </c>
      <c r="M6" s="51">
        <v>2700</v>
      </c>
      <c r="N6" s="51">
        <v>0</v>
      </c>
      <c r="O6" s="52" t="s">
        <v>35</v>
      </c>
      <c r="P6" s="52">
        <v>931</v>
      </c>
      <c r="Q6" s="50" t="s">
        <v>34</v>
      </c>
      <c r="R6" t="s">
        <v>95</v>
      </c>
      <c r="S6" t="s">
        <v>96</v>
      </c>
      <c r="T6" t="s">
        <v>74</v>
      </c>
      <c r="U6" t="s">
        <v>75</v>
      </c>
      <c r="V6" t="s">
        <v>76</v>
      </c>
      <c r="W6" t="s">
        <v>37</v>
      </c>
      <c r="Y6" s="53">
        <v>29.353114309372842</v>
      </c>
    </row>
    <row r="7" spans="1:29" x14ac:dyDescent="0.25">
      <c r="A7" t="s">
        <v>97</v>
      </c>
      <c r="B7" t="s">
        <v>45</v>
      </c>
      <c r="C7" s="50" t="s">
        <v>45</v>
      </c>
      <c r="D7" t="s">
        <v>46</v>
      </c>
      <c r="E7" s="50">
        <v>10540005</v>
      </c>
      <c r="F7" t="s">
        <v>98</v>
      </c>
      <c r="G7">
        <v>3</v>
      </c>
      <c r="H7" s="51">
        <v>3.91</v>
      </c>
      <c r="I7" s="51">
        <v>176.75335359600001</v>
      </c>
      <c r="J7" s="52">
        <v>0</v>
      </c>
      <c r="K7" s="52">
        <v>0</v>
      </c>
      <c r="L7" s="52">
        <v>0</v>
      </c>
      <c r="M7" s="51">
        <v>0</v>
      </c>
      <c r="N7" s="51">
        <v>0</v>
      </c>
      <c r="O7" s="52" t="s">
        <v>35</v>
      </c>
      <c r="P7" s="52">
        <v>177</v>
      </c>
      <c r="Q7" s="50" t="s">
        <v>34</v>
      </c>
      <c r="R7" t="s">
        <v>99</v>
      </c>
      <c r="S7" t="s">
        <v>100</v>
      </c>
      <c r="T7" t="s">
        <v>91</v>
      </c>
      <c r="U7" t="s">
        <v>92</v>
      </c>
      <c r="V7" t="s">
        <v>76</v>
      </c>
      <c r="W7" t="s">
        <v>37</v>
      </c>
      <c r="Y7" s="53">
        <v>6.7808191916624061</v>
      </c>
    </row>
    <row r="8" spans="1:29" x14ac:dyDescent="0.25">
      <c r="A8" t="s">
        <v>101</v>
      </c>
      <c r="B8" t="s">
        <v>45</v>
      </c>
      <c r="C8" s="50" t="s">
        <v>45</v>
      </c>
      <c r="D8" t="s">
        <v>46</v>
      </c>
      <c r="E8" s="50">
        <v>10540005</v>
      </c>
      <c r="F8" t="s">
        <v>102</v>
      </c>
      <c r="G8">
        <v>13</v>
      </c>
      <c r="H8" s="51">
        <v>27.849999999999998</v>
      </c>
      <c r="I8" s="51">
        <v>994.09480531380018</v>
      </c>
      <c r="J8" s="52">
        <v>0</v>
      </c>
      <c r="K8" s="52">
        <v>0</v>
      </c>
      <c r="L8" s="52">
        <v>0</v>
      </c>
      <c r="M8" s="51">
        <v>0</v>
      </c>
      <c r="N8" s="51">
        <v>0</v>
      </c>
      <c r="O8" s="52" t="s">
        <v>35</v>
      </c>
      <c r="P8" s="52">
        <v>994</v>
      </c>
      <c r="Q8" s="50" t="s">
        <v>34</v>
      </c>
      <c r="R8" t="s">
        <v>103</v>
      </c>
      <c r="S8" t="s">
        <v>104</v>
      </c>
      <c r="T8" t="s">
        <v>105</v>
      </c>
      <c r="U8" t="s">
        <v>106</v>
      </c>
      <c r="V8" t="s">
        <v>76</v>
      </c>
      <c r="W8" t="s">
        <v>37</v>
      </c>
      <c r="X8" s="54"/>
      <c r="Y8" s="53">
        <v>23.20149455849085</v>
      </c>
    </row>
    <row r="9" spans="1:29" x14ac:dyDescent="0.25">
      <c r="A9" t="s">
        <v>107</v>
      </c>
      <c r="B9" t="s">
        <v>45</v>
      </c>
      <c r="C9" s="50" t="s">
        <v>45</v>
      </c>
      <c r="D9" t="s">
        <v>46</v>
      </c>
      <c r="E9" s="50">
        <v>10540005</v>
      </c>
      <c r="F9" t="s">
        <v>108</v>
      </c>
      <c r="G9">
        <v>13</v>
      </c>
      <c r="H9" s="51">
        <v>54.82</v>
      </c>
      <c r="I9" s="51">
        <v>2054.2532804807997</v>
      </c>
      <c r="J9" s="52">
        <v>0</v>
      </c>
      <c r="K9" s="52">
        <v>0</v>
      </c>
      <c r="L9" s="52">
        <v>0</v>
      </c>
      <c r="M9" s="51">
        <v>0</v>
      </c>
      <c r="N9" s="51">
        <v>0</v>
      </c>
      <c r="O9" s="52" t="s">
        <v>35</v>
      </c>
      <c r="P9" s="52">
        <v>2054</v>
      </c>
      <c r="Q9" s="50" t="s">
        <v>34</v>
      </c>
      <c r="R9" t="s">
        <v>72</v>
      </c>
      <c r="S9" t="s">
        <v>109</v>
      </c>
      <c r="T9" t="s">
        <v>85</v>
      </c>
      <c r="U9" t="s">
        <v>86</v>
      </c>
      <c r="V9" t="s">
        <v>76</v>
      </c>
      <c r="W9" t="s">
        <v>37</v>
      </c>
      <c r="Y9" s="53">
        <v>24.357253416864648</v>
      </c>
    </row>
    <row r="10" spans="1:29" x14ac:dyDescent="0.25">
      <c r="A10" t="s">
        <v>110</v>
      </c>
      <c r="B10" t="s">
        <v>45</v>
      </c>
      <c r="C10" s="50" t="s">
        <v>45</v>
      </c>
      <c r="D10" t="s">
        <v>46</v>
      </c>
      <c r="E10" s="50">
        <v>10540005</v>
      </c>
      <c r="F10" t="s">
        <v>111</v>
      </c>
      <c r="G10">
        <v>6</v>
      </c>
      <c r="H10" s="51">
        <v>8.83</v>
      </c>
      <c r="I10" s="51">
        <v>295.11066982665</v>
      </c>
      <c r="J10" s="52">
        <v>0</v>
      </c>
      <c r="K10" s="52">
        <v>0</v>
      </c>
      <c r="L10" s="52">
        <v>0</v>
      </c>
      <c r="M10" s="51">
        <v>0</v>
      </c>
      <c r="N10" s="51">
        <v>0</v>
      </c>
      <c r="O10" s="52" t="s">
        <v>35</v>
      </c>
      <c r="P10" s="52">
        <v>295</v>
      </c>
      <c r="Q10" s="50" t="s">
        <v>34</v>
      </c>
      <c r="R10" t="s">
        <v>112</v>
      </c>
      <c r="S10" t="s">
        <v>113</v>
      </c>
      <c r="T10" t="s">
        <v>91</v>
      </c>
      <c r="U10" t="s">
        <v>92</v>
      </c>
      <c r="V10" t="s">
        <v>76</v>
      </c>
      <c r="W10" t="s">
        <v>37</v>
      </c>
      <c r="Y10" s="53">
        <v>10.026410073385618</v>
      </c>
    </row>
    <row r="11" spans="1:29" x14ac:dyDescent="0.25">
      <c r="A11" t="s">
        <v>114</v>
      </c>
      <c r="B11" t="s">
        <v>45</v>
      </c>
      <c r="C11" s="50" t="s">
        <v>45</v>
      </c>
      <c r="D11" t="s">
        <v>46</v>
      </c>
      <c r="E11" s="50">
        <v>10540005</v>
      </c>
      <c r="F11" t="s">
        <v>115</v>
      </c>
      <c r="G11">
        <v>6</v>
      </c>
      <c r="H11" s="51">
        <v>23.17</v>
      </c>
      <c r="I11" s="51">
        <v>866.06409535500018</v>
      </c>
      <c r="J11" s="52">
        <v>0</v>
      </c>
      <c r="K11" s="52">
        <v>0</v>
      </c>
      <c r="L11" s="52">
        <v>0</v>
      </c>
      <c r="M11" s="51">
        <v>0</v>
      </c>
      <c r="N11" s="51">
        <v>0</v>
      </c>
      <c r="O11" s="52" t="s">
        <v>35</v>
      </c>
      <c r="P11" s="52">
        <v>866</v>
      </c>
      <c r="Q11" s="50" t="s">
        <v>34</v>
      </c>
      <c r="R11" t="s">
        <v>116</v>
      </c>
      <c r="S11" t="s">
        <v>117</v>
      </c>
      <c r="T11" t="s">
        <v>118</v>
      </c>
      <c r="U11" t="s">
        <v>119</v>
      </c>
      <c r="V11" t="s">
        <v>76</v>
      </c>
      <c r="W11" t="s">
        <v>37</v>
      </c>
      <c r="Y11" s="53">
        <v>11.213605032649982</v>
      </c>
    </row>
    <row r="12" spans="1:29" x14ac:dyDescent="0.25">
      <c r="A12" t="s">
        <v>120</v>
      </c>
      <c r="B12" t="s">
        <v>45</v>
      </c>
      <c r="C12" s="50" t="s">
        <v>45</v>
      </c>
      <c r="D12" t="s">
        <v>46</v>
      </c>
      <c r="E12" s="50">
        <v>10540005</v>
      </c>
      <c r="F12" t="s">
        <v>121</v>
      </c>
      <c r="G12">
        <v>13</v>
      </c>
      <c r="H12" s="51">
        <v>22.8</v>
      </c>
      <c r="I12" s="51">
        <v>993.13624456575019</v>
      </c>
      <c r="J12" s="52">
        <v>0</v>
      </c>
      <c r="K12" s="52">
        <v>0</v>
      </c>
      <c r="L12" s="52">
        <v>0</v>
      </c>
      <c r="M12" s="51">
        <v>0</v>
      </c>
      <c r="N12" s="51">
        <v>0</v>
      </c>
      <c r="O12" s="52" t="s">
        <v>35</v>
      </c>
      <c r="P12" s="52">
        <v>993</v>
      </c>
      <c r="Q12" s="50" t="s">
        <v>34</v>
      </c>
      <c r="R12" t="s">
        <v>122</v>
      </c>
      <c r="S12" t="s">
        <v>123</v>
      </c>
      <c r="T12" t="s">
        <v>124</v>
      </c>
      <c r="U12" t="s">
        <v>125</v>
      </c>
      <c r="V12" t="s">
        <v>76</v>
      </c>
      <c r="W12" t="s">
        <v>37</v>
      </c>
      <c r="X12" s="54"/>
      <c r="Y12" s="53">
        <v>28.313094691567439</v>
      </c>
    </row>
    <row r="13" spans="1:29" x14ac:dyDescent="0.25">
      <c r="A13" t="s">
        <v>126</v>
      </c>
      <c r="B13" t="s">
        <v>45</v>
      </c>
      <c r="C13" s="50" t="s">
        <v>45</v>
      </c>
      <c r="D13" t="s">
        <v>46</v>
      </c>
      <c r="E13" s="50">
        <v>10540005</v>
      </c>
      <c r="F13" t="s">
        <v>127</v>
      </c>
      <c r="G13">
        <v>1</v>
      </c>
      <c r="H13" s="51">
        <v>1.1599999999999999</v>
      </c>
      <c r="I13" s="51">
        <v>49.305910896</v>
      </c>
      <c r="J13" s="52">
        <v>0</v>
      </c>
      <c r="K13" s="52">
        <v>0</v>
      </c>
      <c r="L13" s="52">
        <v>0</v>
      </c>
      <c r="M13" s="51">
        <v>0</v>
      </c>
      <c r="N13" s="51">
        <v>0</v>
      </c>
      <c r="O13" s="52" t="s">
        <v>35</v>
      </c>
      <c r="P13" s="52">
        <v>49</v>
      </c>
      <c r="Q13" s="50" t="s">
        <v>34</v>
      </c>
      <c r="R13" t="s">
        <v>128</v>
      </c>
      <c r="S13" t="s">
        <v>129</v>
      </c>
      <c r="T13" t="s">
        <v>130</v>
      </c>
      <c r="U13" t="s">
        <v>131</v>
      </c>
      <c r="V13" t="s">
        <v>76</v>
      </c>
      <c r="W13" t="s">
        <v>37</v>
      </c>
      <c r="Y13" s="53">
        <v>2.1252547800000001</v>
      </c>
    </row>
    <row r="14" spans="1:29" x14ac:dyDescent="0.25">
      <c r="A14" t="s">
        <v>132</v>
      </c>
      <c r="B14" t="s">
        <v>45</v>
      </c>
      <c r="C14" s="50" t="s">
        <v>45</v>
      </c>
      <c r="D14" t="s">
        <v>47</v>
      </c>
      <c r="E14" s="50">
        <v>10540009</v>
      </c>
      <c r="F14" t="s">
        <v>71</v>
      </c>
      <c r="G14">
        <v>2</v>
      </c>
      <c r="H14" s="51">
        <v>13</v>
      </c>
      <c r="I14" s="51">
        <v>551.15035950000004</v>
      </c>
      <c r="J14" s="52">
        <v>0</v>
      </c>
      <c r="K14" s="52">
        <v>0</v>
      </c>
      <c r="L14" s="52">
        <v>523</v>
      </c>
      <c r="M14" s="51">
        <v>0</v>
      </c>
      <c r="N14" s="51">
        <v>0</v>
      </c>
      <c r="O14" s="52" t="s">
        <v>35</v>
      </c>
      <c r="P14" s="52">
        <v>28</v>
      </c>
      <c r="Q14" s="50" t="s">
        <v>34</v>
      </c>
      <c r="R14" t="s">
        <v>133</v>
      </c>
      <c r="S14" t="s">
        <v>134</v>
      </c>
      <c r="T14" t="s">
        <v>74</v>
      </c>
      <c r="U14" t="s">
        <v>75</v>
      </c>
      <c r="V14" t="s">
        <v>76</v>
      </c>
      <c r="W14" t="s">
        <v>37</v>
      </c>
      <c r="Y14" s="53">
        <v>4.239618150000001</v>
      </c>
    </row>
    <row r="15" spans="1:29" x14ac:dyDescent="0.25">
      <c r="A15" t="s">
        <v>135</v>
      </c>
      <c r="B15" t="s">
        <v>45</v>
      </c>
      <c r="C15" s="50" t="s">
        <v>45</v>
      </c>
      <c r="D15" t="s">
        <v>47</v>
      </c>
      <c r="E15" s="50">
        <v>10540009</v>
      </c>
      <c r="F15" t="s">
        <v>94</v>
      </c>
      <c r="G15">
        <v>11</v>
      </c>
      <c r="H15" s="51">
        <v>22.029999999999998</v>
      </c>
      <c r="I15" s="51">
        <v>1077.2527309131001</v>
      </c>
      <c r="J15" s="52">
        <v>0</v>
      </c>
      <c r="K15" s="52">
        <v>0</v>
      </c>
      <c r="L15" s="52">
        <v>0</v>
      </c>
      <c r="M15" s="51">
        <v>0</v>
      </c>
      <c r="N15" s="51">
        <v>0</v>
      </c>
      <c r="O15" s="52" t="s">
        <v>35</v>
      </c>
      <c r="P15" s="52">
        <v>1077</v>
      </c>
      <c r="Q15" s="50" t="s">
        <v>34</v>
      </c>
      <c r="R15" t="s">
        <v>136</v>
      </c>
      <c r="S15" t="s">
        <v>137</v>
      </c>
      <c r="T15" t="s">
        <v>138</v>
      </c>
      <c r="U15" t="s">
        <v>92</v>
      </c>
      <c r="V15" t="s">
        <v>76</v>
      </c>
      <c r="W15" t="s">
        <v>37</v>
      </c>
      <c r="Y15" s="53">
        <v>26.89464375861122</v>
      </c>
    </row>
    <row r="16" spans="1:29" x14ac:dyDescent="0.25">
      <c r="A16" t="s">
        <v>139</v>
      </c>
      <c r="B16" t="s">
        <v>45</v>
      </c>
      <c r="C16" s="50" t="s">
        <v>45</v>
      </c>
      <c r="D16" t="s">
        <v>47</v>
      </c>
      <c r="E16" s="50">
        <v>10540009</v>
      </c>
      <c r="F16" t="s">
        <v>140</v>
      </c>
      <c r="G16">
        <v>10</v>
      </c>
      <c r="H16" s="51">
        <v>17.91</v>
      </c>
      <c r="I16" s="51">
        <v>881.79558164040009</v>
      </c>
      <c r="J16" s="52">
        <v>0</v>
      </c>
      <c r="K16" s="52">
        <v>0</v>
      </c>
      <c r="L16" s="52">
        <v>0</v>
      </c>
      <c r="M16" s="51">
        <v>0</v>
      </c>
      <c r="N16" s="51">
        <v>0</v>
      </c>
      <c r="O16" s="52" t="s">
        <v>35</v>
      </c>
      <c r="P16" s="52">
        <v>882</v>
      </c>
      <c r="Q16" s="50" t="s">
        <v>34</v>
      </c>
      <c r="R16" t="s">
        <v>141</v>
      </c>
      <c r="S16" t="s">
        <v>142</v>
      </c>
      <c r="T16" t="s">
        <v>74</v>
      </c>
      <c r="U16" t="s">
        <v>143</v>
      </c>
      <c r="V16" t="s">
        <v>76</v>
      </c>
      <c r="W16" t="s">
        <v>37</v>
      </c>
      <c r="Y16" s="53">
        <v>24.617408756013404</v>
      </c>
    </row>
    <row r="17" spans="1:25" x14ac:dyDescent="0.25">
      <c r="A17" t="s">
        <v>144</v>
      </c>
      <c r="B17" t="s">
        <v>45</v>
      </c>
      <c r="C17" s="50" t="s">
        <v>45</v>
      </c>
      <c r="D17" t="s">
        <v>47</v>
      </c>
      <c r="E17" s="50">
        <v>10540009</v>
      </c>
      <c r="F17" t="s">
        <v>102</v>
      </c>
      <c r="G17">
        <v>1</v>
      </c>
      <c r="H17" s="51">
        <v>3.19</v>
      </c>
      <c r="I17" s="51">
        <v>122.95885496400003</v>
      </c>
      <c r="J17" s="52">
        <v>0</v>
      </c>
      <c r="K17" s="52">
        <v>0</v>
      </c>
      <c r="L17" s="52">
        <v>0</v>
      </c>
      <c r="M17" s="51">
        <v>0</v>
      </c>
      <c r="N17" s="51">
        <v>0</v>
      </c>
      <c r="O17" s="52" t="s">
        <v>35</v>
      </c>
      <c r="P17" s="52">
        <v>123</v>
      </c>
      <c r="Q17" s="50" t="s">
        <v>34</v>
      </c>
      <c r="R17" t="s">
        <v>145</v>
      </c>
      <c r="S17" t="s">
        <v>146</v>
      </c>
      <c r="T17" t="s">
        <v>147</v>
      </c>
      <c r="U17" t="s">
        <v>148</v>
      </c>
      <c r="V17" t="s">
        <v>76</v>
      </c>
      <c r="W17" t="s">
        <v>37</v>
      </c>
      <c r="Y17" s="53">
        <v>1.9272547800000006</v>
      </c>
    </row>
    <row r="18" spans="1:25" x14ac:dyDescent="0.25">
      <c r="A18" t="s">
        <v>149</v>
      </c>
      <c r="B18" t="s">
        <v>45</v>
      </c>
      <c r="C18" s="50" t="s">
        <v>45</v>
      </c>
      <c r="D18" t="s">
        <v>47</v>
      </c>
      <c r="E18" s="50">
        <v>10540009</v>
      </c>
      <c r="F18" t="s">
        <v>150</v>
      </c>
      <c r="G18">
        <v>14</v>
      </c>
      <c r="H18" s="51">
        <v>36.020000000000003</v>
      </c>
      <c r="I18" s="51">
        <v>1685.9652873212801</v>
      </c>
      <c r="J18" s="52">
        <v>0</v>
      </c>
      <c r="K18" s="52">
        <v>0</v>
      </c>
      <c r="L18" s="52">
        <v>0</v>
      </c>
      <c r="M18" s="51">
        <v>0</v>
      </c>
      <c r="N18" s="51">
        <v>0</v>
      </c>
      <c r="O18" s="52" t="s">
        <v>35</v>
      </c>
      <c r="P18" s="52">
        <v>1686</v>
      </c>
      <c r="Q18" s="50" t="s">
        <v>34</v>
      </c>
      <c r="R18" t="s">
        <v>151</v>
      </c>
      <c r="S18" t="s">
        <v>152</v>
      </c>
      <c r="T18" t="s">
        <v>138</v>
      </c>
      <c r="U18" t="s">
        <v>92</v>
      </c>
      <c r="V18" t="s">
        <v>76</v>
      </c>
      <c r="W18" t="s">
        <v>37</v>
      </c>
      <c r="Y18" s="53">
        <v>32.764455889086506</v>
      </c>
    </row>
    <row r="19" spans="1:25" x14ac:dyDescent="0.25">
      <c r="A19" t="s">
        <v>153</v>
      </c>
      <c r="B19" t="s">
        <v>45</v>
      </c>
      <c r="C19" s="50" t="s">
        <v>45</v>
      </c>
      <c r="D19" t="s">
        <v>47</v>
      </c>
      <c r="E19" s="50">
        <v>10540009</v>
      </c>
      <c r="F19" t="s">
        <v>154</v>
      </c>
      <c r="G19">
        <v>10</v>
      </c>
      <c r="H19" s="51">
        <v>10.620000000000001</v>
      </c>
      <c r="I19" s="51">
        <v>426.249902814</v>
      </c>
      <c r="J19" s="52">
        <v>0</v>
      </c>
      <c r="K19" s="52">
        <v>0</v>
      </c>
      <c r="L19" s="52">
        <v>0</v>
      </c>
      <c r="M19" s="51">
        <v>0</v>
      </c>
      <c r="N19" s="51">
        <v>0</v>
      </c>
      <c r="O19" s="52" t="s">
        <v>35</v>
      </c>
      <c r="P19" s="52">
        <v>426</v>
      </c>
      <c r="Q19" s="50" t="s">
        <v>34</v>
      </c>
      <c r="R19" t="s">
        <v>155</v>
      </c>
      <c r="S19" t="s">
        <v>156</v>
      </c>
      <c r="T19" t="s">
        <v>91</v>
      </c>
      <c r="U19" t="s">
        <v>92</v>
      </c>
      <c r="V19" t="s">
        <v>76</v>
      </c>
      <c r="W19" t="s">
        <v>37</v>
      </c>
      <c r="Y19" s="53">
        <v>20.068262844350279</v>
      </c>
    </row>
    <row r="20" spans="1:25" x14ac:dyDescent="0.25">
      <c r="A20" t="s">
        <v>157</v>
      </c>
      <c r="B20" t="s">
        <v>45</v>
      </c>
      <c r="C20" s="50" t="s">
        <v>45</v>
      </c>
      <c r="D20" t="s">
        <v>47</v>
      </c>
      <c r="E20" s="50">
        <v>10540009</v>
      </c>
      <c r="F20" t="s">
        <v>158</v>
      </c>
      <c r="G20">
        <v>9</v>
      </c>
      <c r="H20" s="51">
        <v>15.72</v>
      </c>
      <c r="I20" s="51">
        <v>600.35293319220011</v>
      </c>
      <c r="J20" s="52">
        <v>0</v>
      </c>
      <c r="K20" s="52">
        <v>0</v>
      </c>
      <c r="L20" s="52">
        <v>0</v>
      </c>
      <c r="M20" s="51">
        <v>0</v>
      </c>
      <c r="N20" s="51">
        <v>0</v>
      </c>
      <c r="O20" s="52" t="s">
        <v>35</v>
      </c>
      <c r="P20" s="52">
        <v>600</v>
      </c>
      <c r="Q20" s="50" t="s">
        <v>34</v>
      </c>
      <c r="R20" t="s">
        <v>159</v>
      </c>
      <c r="S20" t="s">
        <v>160</v>
      </c>
      <c r="T20" t="s">
        <v>138</v>
      </c>
      <c r="U20" t="s">
        <v>92</v>
      </c>
      <c r="V20" t="s">
        <v>76</v>
      </c>
      <c r="W20" t="s">
        <v>37</v>
      </c>
      <c r="Y20" s="53">
        <v>17.185675568479013</v>
      </c>
    </row>
    <row r="21" spans="1:25" x14ac:dyDescent="0.25">
      <c r="A21" t="s">
        <v>161</v>
      </c>
      <c r="B21" t="s">
        <v>45</v>
      </c>
      <c r="C21" s="50" t="s">
        <v>45</v>
      </c>
      <c r="D21" t="s">
        <v>47</v>
      </c>
      <c r="E21" s="50">
        <v>10540009</v>
      </c>
      <c r="F21" t="s">
        <v>162</v>
      </c>
      <c r="G21">
        <v>8</v>
      </c>
      <c r="H21" s="51">
        <v>10.17</v>
      </c>
      <c r="I21" s="51">
        <v>444.96414830100002</v>
      </c>
      <c r="J21" s="52">
        <v>0</v>
      </c>
      <c r="K21" s="52">
        <v>0</v>
      </c>
      <c r="L21" s="52">
        <v>0</v>
      </c>
      <c r="M21" s="51">
        <v>0</v>
      </c>
      <c r="N21" s="51">
        <v>0</v>
      </c>
      <c r="O21" s="52" t="s">
        <v>35</v>
      </c>
      <c r="P21" s="52">
        <v>445</v>
      </c>
      <c r="Q21" s="50" t="s">
        <v>34</v>
      </c>
      <c r="R21" t="s">
        <v>163</v>
      </c>
      <c r="S21" t="s">
        <v>164</v>
      </c>
      <c r="T21" t="s">
        <v>138</v>
      </c>
      <c r="U21" t="s">
        <v>92</v>
      </c>
      <c r="V21" t="s">
        <v>76</v>
      </c>
      <c r="W21" t="s">
        <v>37</v>
      </c>
      <c r="Y21" s="53">
        <v>17.501048114100296</v>
      </c>
    </row>
    <row r="22" spans="1:25" x14ac:dyDescent="0.25">
      <c r="A22" t="s">
        <v>165</v>
      </c>
      <c r="B22" t="s">
        <v>45</v>
      </c>
      <c r="C22" s="50" t="s">
        <v>45</v>
      </c>
      <c r="D22" t="s">
        <v>47</v>
      </c>
      <c r="E22" s="50">
        <v>10540009</v>
      </c>
      <c r="F22" t="s">
        <v>166</v>
      </c>
      <c r="G22">
        <v>7</v>
      </c>
      <c r="H22" s="51">
        <v>40.959999999999994</v>
      </c>
      <c r="I22" s="51">
        <v>1602.6588254160001</v>
      </c>
      <c r="J22" s="52">
        <v>0</v>
      </c>
      <c r="K22" s="52">
        <v>0</v>
      </c>
      <c r="L22" s="52">
        <v>0</v>
      </c>
      <c r="M22" s="51">
        <v>0</v>
      </c>
      <c r="N22" s="51">
        <v>0</v>
      </c>
      <c r="O22" s="52" t="s">
        <v>35</v>
      </c>
      <c r="P22" s="52">
        <v>1603</v>
      </c>
      <c r="Q22" s="50" t="s">
        <v>34</v>
      </c>
      <c r="R22" t="s">
        <v>167</v>
      </c>
      <c r="S22" t="s">
        <v>168</v>
      </c>
      <c r="T22" t="s">
        <v>138</v>
      </c>
      <c r="U22" t="s">
        <v>92</v>
      </c>
      <c r="V22" t="s">
        <v>76</v>
      </c>
      <c r="W22" t="s">
        <v>37</v>
      </c>
      <c r="Y22" s="53">
        <v>13.694594455458988</v>
      </c>
    </row>
    <row r="23" spans="1:25" x14ac:dyDescent="0.25">
      <c r="A23" t="s">
        <v>169</v>
      </c>
      <c r="B23" t="s">
        <v>45</v>
      </c>
      <c r="C23" s="50" t="s">
        <v>45</v>
      </c>
      <c r="D23" t="s">
        <v>47</v>
      </c>
      <c r="E23" s="50">
        <v>10540009</v>
      </c>
      <c r="F23" t="s">
        <v>170</v>
      </c>
      <c r="G23">
        <v>14</v>
      </c>
      <c r="H23" s="51">
        <v>73.260000000000005</v>
      </c>
      <c r="I23" s="51">
        <v>2750.9928013833901</v>
      </c>
      <c r="J23" s="52">
        <v>0</v>
      </c>
      <c r="K23" s="52">
        <v>0</v>
      </c>
      <c r="L23" s="52">
        <v>0</v>
      </c>
      <c r="M23" s="51">
        <v>0</v>
      </c>
      <c r="N23" s="51">
        <v>0</v>
      </c>
      <c r="O23" s="52" t="s">
        <v>35</v>
      </c>
      <c r="P23" s="52">
        <v>2751</v>
      </c>
      <c r="Q23" s="50" t="s">
        <v>34</v>
      </c>
      <c r="R23" t="s">
        <v>171</v>
      </c>
      <c r="S23" t="s">
        <v>172</v>
      </c>
      <c r="T23" t="s">
        <v>138</v>
      </c>
      <c r="U23" t="s">
        <v>92</v>
      </c>
      <c r="V23" t="s">
        <v>76</v>
      </c>
      <c r="W23" t="s">
        <v>37</v>
      </c>
      <c r="Y23" s="53">
        <v>26.285762502980795</v>
      </c>
    </row>
    <row r="24" spans="1:25" x14ac:dyDescent="0.25">
      <c r="A24" t="s">
        <v>173</v>
      </c>
      <c r="B24" t="s">
        <v>45</v>
      </c>
      <c r="C24" s="50" t="s">
        <v>45</v>
      </c>
      <c r="D24" t="s">
        <v>47</v>
      </c>
      <c r="E24" s="50">
        <v>10540009</v>
      </c>
      <c r="F24" t="s">
        <v>174</v>
      </c>
      <c r="G24">
        <v>14</v>
      </c>
      <c r="H24" s="51">
        <v>78.389999999999986</v>
      </c>
      <c r="I24" s="51">
        <v>3554.5209519018094</v>
      </c>
      <c r="J24" s="52">
        <v>0</v>
      </c>
      <c r="K24" s="52">
        <v>0</v>
      </c>
      <c r="L24" s="52">
        <v>0</v>
      </c>
      <c r="M24" s="51">
        <v>0</v>
      </c>
      <c r="N24" s="51">
        <v>0</v>
      </c>
      <c r="O24" s="52" t="s">
        <v>35</v>
      </c>
      <c r="P24" s="52">
        <v>3555</v>
      </c>
      <c r="Q24" s="50" t="s">
        <v>34</v>
      </c>
      <c r="R24" t="s">
        <v>175</v>
      </c>
      <c r="S24" t="s">
        <v>176</v>
      </c>
      <c r="T24" t="s">
        <v>74</v>
      </c>
      <c r="U24" t="s">
        <v>143</v>
      </c>
      <c r="V24" t="s">
        <v>76</v>
      </c>
      <c r="W24" t="s">
        <v>37</v>
      </c>
      <c r="Y24" s="53">
        <v>31.740842790295538</v>
      </c>
    </row>
    <row r="25" spans="1:25" x14ac:dyDescent="0.25">
      <c r="A25" t="s">
        <v>177</v>
      </c>
      <c r="B25" t="s">
        <v>45</v>
      </c>
      <c r="C25" s="50" t="s">
        <v>45</v>
      </c>
      <c r="D25" t="s">
        <v>47</v>
      </c>
      <c r="E25" s="50">
        <v>10540009</v>
      </c>
      <c r="F25" t="s">
        <v>178</v>
      </c>
      <c r="G25">
        <v>14</v>
      </c>
      <c r="H25" s="51">
        <v>15.34</v>
      </c>
      <c r="I25" s="51">
        <v>687.90067907143498</v>
      </c>
      <c r="J25" s="52">
        <v>0</v>
      </c>
      <c r="K25" s="52">
        <v>0</v>
      </c>
      <c r="L25" s="52">
        <v>0</v>
      </c>
      <c r="M25" s="51">
        <v>0</v>
      </c>
      <c r="N25" s="51">
        <v>0</v>
      </c>
      <c r="O25" s="52" t="s">
        <v>35</v>
      </c>
      <c r="P25" s="52">
        <v>688</v>
      </c>
      <c r="Q25" s="50" t="s">
        <v>34</v>
      </c>
      <c r="R25" t="s">
        <v>179</v>
      </c>
      <c r="S25" t="s">
        <v>180</v>
      </c>
      <c r="T25" t="s">
        <v>138</v>
      </c>
      <c r="U25" t="s">
        <v>92</v>
      </c>
      <c r="V25" t="s">
        <v>76</v>
      </c>
      <c r="W25" t="s">
        <v>37</v>
      </c>
      <c r="Y25" s="53">
        <v>31.390513386571353</v>
      </c>
    </row>
    <row r="26" spans="1:25" x14ac:dyDescent="0.25">
      <c r="A26" t="s">
        <v>181</v>
      </c>
      <c r="B26" t="s">
        <v>45</v>
      </c>
      <c r="C26" s="50" t="s">
        <v>45</v>
      </c>
      <c r="D26" t="s">
        <v>47</v>
      </c>
      <c r="E26" s="50">
        <v>10540009</v>
      </c>
      <c r="F26" t="s">
        <v>182</v>
      </c>
      <c r="G26">
        <v>7</v>
      </c>
      <c r="H26" s="51">
        <v>8.17</v>
      </c>
      <c r="I26" s="51">
        <v>359.14399268700004</v>
      </c>
      <c r="J26" s="52">
        <v>0</v>
      </c>
      <c r="K26" s="52">
        <v>0</v>
      </c>
      <c r="L26" s="52">
        <v>0</v>
      </c>
      <c r="M26" s="51">
        <v>0</v>
      </c>
      <c r="N26" s="51">
        <v>0</v>
      </c>
      <c r="O26" s="52" t="s">
        <v>35</v>
      </c>
      <c r="P26" s="52">
        <v>359</v>
      </c>
      <c r="Q26" s="50" t="s">
        <v>34</v>
      </c>
      <c r="R26" t="s">
        <v>183</v>
      </c>
      <c r="S26" t="s">
        <v>184</v>
      </c>
      <c r="T26" t="s">
        <v>185</v>
      </c>
      <c r="U26" t="s">
        <v>186</v>
      </c>
      <c r="V26" t="s">
        <v>76</v>
      </c>
      <c r="W26" t="s">
        <v>37</v>
      </c>
      <c r="Y26" s="53">
        <v>15.385605561866587</v>
      </c>
    </row>
    <row r="27" spans="1:25" x14ac:dyDescent="0.25">
      <c r="A27" t="s">
        <v>187</v>
      </c>
      <c r="B27" t="s">
        <v>45</v>
      </c>
      <c r="C27" s="50" t="s">
        <v>45</v>
      </c>
      <c r="D27" t="s">
        <v>47</v>
      </c>
      <c r="E27" s="50">
        <v>10540009</v>
      </c>
      <c r="F27" t="s">
        <v>188</v>
      </c>
      <c r="G27">
        <v>2</v>
      </c>
      <c r="H27" s="51">
        <v>3.88</v>
      </c>
      <c r="I27" s="51">
        <v>161.48212949880002</v>
      </c>
      <c r="J27" s="52">
        <v>0</v>
      </c>
      <c r="K27" s="52">
        <v>0</v>
      </c>
      <c r="L27" s="52">
        <v>0</v>
      </c>
      <c r="M27" s="51">
        <v>0</v>
      </c>
      <c r="N27" s="51">
        <v>0</v>
      </c>
      <c r="O27" s="52" t="s">
        <v>35</v>
      </c>
      <c r="P27" s="52">
        <v>161</v>
      </c>
      <c r="Q27" s="50" t="s">
        <v>34</v>
      </c>
      <c r="R27" t="s">
        <v>189</v>
      </c>
      <c r="S27" t="s">
        <v>190</v>
      </c>
      <c r="T27" t="s">
        <v>138</v>
      </c>
      <c r="U27" t="s">
        <v>92</v>
      </c>
      <c r="V27" t="s">
        <v>76</v>
      </c>
      <c r="W27" t="s">
        <v>37</v>
      </c>
      <c r="Y27" s="53">
        <v>4.1619105540927839</v>
      </c>
    </row>
    <row r="28" spans="1:25" x14ac:dyDescent="0.25">
      <c r="A28" t="s">
        <v>191</v>
      </c>
      <c r="B28" t="s">
        <v>45</v>
      </c>
      <c r="C28" s="50" t="s">
        <v>45</v>
      </c>
      <c r="D28" t="s">
        <v>47</v>
      </c>
      <c r="E28" s="50">
        <v>10540009</v>
      </c>
      <c r="F28" t="s">
        <v>192</v>
      </c>
      <c r="G28">
        <v>14</v>
      </c>
      <c r="H28" s="51">
        <v>87.070000000000007</v>
      </c>
      <c r="I28" s="51">
        <v>3158.6226538440005</v>
      </c>
      <c r="J28" s="52">
        <v>0</v>
      </c>
      <c r="K28" s="52">
        <v>0</v>
      </c>
      <c r="L28" s="52">
        <v>0</v>
      </c>
      <c r="M28" s="51">
        <v>0</v>
      </c>
      <c r="N28" s="51">
        <v>0</v>
      </c>
      <c r="O28" s="52" t="s">
        <v>35</v>
      </c>
      <c r="P28" s="52">
        <v>3159</v>
      </c>
      <c r="Q28" s="50" t="s">
        <v>34</v>
      </c>
      <c r="R28" t="s">
        <v>193</v>
      </c>
      <c r="S28" t="s">
        <v>194</v>
      </c>
      <c r="T28" t="s">
        <v>74</v>
      </c>
      <c r="U28" t="s">
        <v>143</v>
      </c>
      <c r="V28" t="s">
        <v>76</v>
      </c>
      <c r="W28" t="s">
        <v>37</v>
      </c>
      <c r="Y28" s="53">
        <v>25.393773489041003</v>
      </c>
    </row>
    <row r="29" spans="1:25" x14ac:dyDescent="0.25">
      <c r="A29" t="s">
        <v>195</v>
      </c>
      <c r="B29" t="s">
        <v>45</v>
      </c>
      <c r="C29" s="50" t="s">
        <v>45</v>
      </c>
      <c r="D29" t="s">
        <v>47</v>
      </c>
      <c r="E29" s="50">
        <v>10540009</v>
      </c>
      <c r="F29" t="s">
        <v>196</v>
      </c>
      <c r="G29">
        <v>13</v>
      </c>
      <c r="H29" s="51">
        <v>126.14</v>
      </c>
      <c r="I29" s="51">
        <v>5553.6728896924797</v>
      </c>
      <c r="J29" s="52">
        <v>0</v>
      </c>
      <c r="K29" s="52">
        <v>0</v>
      </c>
      <c r="L29" s="52">
        <v>0</v>
      </c>
      <c r="M29" s="51">
        <v>5554</v>
      </c>
      <c r="N29" s="51">
        <v>0</v>
      </c>
      <c r="O29" s="52" t="s">
        <v>35</v>
      </c>
      <c r="P29" s="52">
        <v>0</v>
      </c>
      <c r="Q29" s="50" t="s">
        <v>34</v>
      </c>
      <c r="R29" t="s">
        <v>197</v>
      </c>
      <c r="S29" t="s">
        <v>198</v>
      </c>
      <c r="T29" t="s">
        <v>74</v>
      </c>
      <c r="U29" t="s">
        <v>143</v>
      </c>
      <c r="V29" t="s">
        <v>76</v>
      </c>
      <c r="W29" t="s">
        <v>37</v>
      </c>
      <c r="Y29" s="53">
        <v>28.618101936737844</v>
      </c>
    </row>
    <row r="30" spans="1:25" x14ac:dyDescent="0.25">
      <c r="A30" t="s">
        <v>199</v>
      </c>
      <c r="B30" t="s">
        <v>45</v>
      </c>
      <c r="C30" s="50" t="s">
        <v>45</v>
      </c>
      <c r="D30" t="s">
        <v>47</v>
      </c>
      <c r="E30" s="50">
        <v>10540009</v>
      </c>
      <c r="F30" t="s">
        <v>200</v>
      </c>
      <c r="G30">
        <v>13</v>
      </c>
      <c r="H30" s="51">
        <v>116.07000000000002</v>
      </c>
      <c r="I30" s="51">
        <v>4250.8139965701012</v>
      </c>
      <c r="J30" s="52">
        <v>0</v>
      </c>
      <c r="K30" s="52">
        <v>0</v>
      </c>
      <c r="L30" s="52">
        <v>0</v>
      </c>
      <c r="M30" s="51">
        <v>0</v>
      </c>
      <c r="N30" s="51">
        <v>0</v>
      </c>
      <c r="O30" s="52" t="s">
        <v>35</v>
      </c>
      <c r="P30" s="52">
        <v>4251</v>
      </c>
      <c r="Q30" s="50" t="s">
        <v>34</v>
      </c>
      <c r="R30" t="s">
        <v>201</v>
      </c>
      <c r="S30" t="s">
        <v>202</v>
      </c>
      <c r="T30" t="s">
        <v>138</v>
      </c>
      <c r="U30" t="s">
        <v>92</v>
      </c>
      <c r="V30" t="s">
        <v>76</v>
      </c>
      <c r="W30" t="s">
        <v>37</v>
      </c>
      <c r="Y30" s="53">
        <v>23.804851363578578</v>
      </c>
    </row>
    <row r="31" spans="1:25" x14ac:dyDescent="0.25">
      <c r="A31" t="s">
        <v>203</v>
      </c>
      <c r="B31" t="s">
        <v>45</v>
      </c>
      <c r="C31" s="50" t="s">
        <v>45</v>
      </c>
      <c r="D31" t="s">
        <v>47</v>
      </c>
      <c r="E31" s="50">
        <v>10540009</v>
      </c>
      <c r="F31" t="s">
        <v>204</v>
      </c>
      <c r="G31">
        <v>4</v>
      </c>
      <c r="H31" s="51">
        <v>22.28</v>
      </c>
      <c r="I31" s="51">
        <v>1157.72624115228</v>
      </c>
      <c r="J31" s="52">
        <v>0</v>
      </c>
      <c r="K31" s="52">
        <v>0</v>
      </c>
      <c r="L31" s="52">
        <v>0</v>
      </c>
      <c r="M31" s="51">
        <v>0</v>
      </c>
      <c r="N31" s="51">
        <v>0</v>
      </c>
      <c r="O31" s="52" t="s">
        <v>35</v>
      </c>
      <c r="P31" s="52">
        <v>1158</v>
      </c>
      <c r="Q31" s="50" t="s">
        <v>34</v>
      </c>
      <c r="R31" t="s">
        <v>205</v>
      </c>
      <c r="S31" t="s">
        <v>206</v>
      </c>
      <c r="T31" t="s">
        <v>74</v>
      </c>
      <c r="U31" t="s">
        <v>143</v>
      </c>
      <c r="V31" t="s">
        <v>76</v>
      </c>
      <c r="W31" t="s">
        <v>37</v>
      </c>
      <c r="Y31" s="53">
        <v>10.392515629733213</v>
      </c>
    </row>
    <row r="32" spans="1:25" x14ac:dyDescent="0.25">
      <c r="A32" t="s">
        <v>207</v>
      </c>
      <c r="B32" t="s">
        <v>45</v>
      </c>
      <c r="C32" s="50" t="s">
        <v>45</v>
      </c>
      <c r="D32" t="s">
        <v>47</v>
      </c>
      <c r="E32" s="50">
        <v>10540009</v>
      </c>
      <c r="F32" t="s">
        <v>208</v>
      </c>
      <c r="G32">
        <v>13</v>
      </c>
      <c r="H32" s="51">
        <v>100.11999999999999</v>
      </c>
      <c r="I32" s="51">
        <v>3674.9272292639998</v>
      </c>
      <c r="J32" s="52">
        <v>0</v>
      </c>
      <c r="K32" s="52">
        <v>0</v>
      </c>
      <c r="L32" s="52">
        <v>0</v>
      </c>
      <c r="M32" s="51">
        <v>0</v>
      </c>
      <c r="N32" s="51">
        <v>0</v>
      </c>
      <c r="O32" s="52" t="s">
        <v>35</v>
      </c>
      <c r="P32" s="52">
        <v>3675</v>
      </c>
      <c r="Q32" s="50" t="s">
        <v>34</v>
      </c>
      <c r="R32" t="s">
        <v>209</v>
      </c>
      <c r="S32" t="s">
        <v>210</v>
      </c>
      <c r="T32" t="s">
        <v>138</v>
      </c>
      <c r="U32" t="s">
        <v>92</v>
      </c>
      <c r="V32" t="s">
        <v>76</v>
      </c>
      <c r="W32" t="s">
        <v>37</v>
      </c>
      <c r="X32" s="54"/>
      <c r="Y32" s="53">
        <v>23.8583969139193</v>
      </c>
    </row>
    <row r="33" spans="1:25" x14ac:dyDescent="0.25">
      <c r="A33" t="s">
        <v>211</v>
      </c>
      <c r="B33" t="s">
        <v>45</v>
      </c>
      <c r="C33" s="50" t="s">
        <v>45</v>
      </c>
      <c r="D33" t="s">
        <v>47</v>
      </c>
      <c r="E33" s="50">
        <v>10540009</v>
      </c>
      <c r="F33" t="s">
        <v>212</v>
      </c>
      <c r="G33">
        <v>12</v>
      </c>
      <c r="H33" s="51">
        <v>16.18</v>
      </c>
      <c r="I33" s="51">
        <v>668.10057606619807</v>
      </c>
      <c r="J33" s="52">
        <v>0</v>
      </c>
      <c r="K33" s="52">
        <v>0</v>
      </c>
      <c r="L33" s="52">
        <v>0</v>
      </c>
      <c r="M33" s="51">
        <v>0</v>
      </c>
      <c r="N33" s="51">
        <v>0</v>
      </c>
      <c r="O33" s="52" t="s">
        <v>35</v>
      </c>
      <c r="P33" s="52">
        <v>668</v>
      </c>
      <c r="Q33" s="50" t="s">
        <v>34</v>
      </c>
      <c r="R33" t="s">
        <v>213</v>
      </c>
      <c r="S33" t="s">
        <v>214</v>
      </c>
      <c r="T33" t="s">
        <v>74</v>
      </c>
      <c r="U33" t="s">
        <v>75</v>
      </c>
      <c r="V33" t="s">
        <v>76</v>
      </c>
      <c r="W33" t="s">
        <v>37</v>
      </c>
      <c r="Y33" s="53">
        <v>24.77505226450673</v>
      </c>
    </row>
    <row r="34" spans="1:25" x14ac:dyDescent="0.25">
      <c r="A34" t="s">
        <v>215</v>
      </c>
      <c r="B34" t="s">
        <v>45</v>
      </c>
      <c r="C34" s="50" t="s">
        <v>45</v>
      </c>
      <c r="D34" t="s">
        <v>47</v>
      </c>
      <c r="E34" s="50">
        <v>10540009</v>
      </c>
      <c r="F34" t="s">
        <v>216</v>
      </c>
      <c r="G34">
        <v>10</v>
      </c>
      <c r="H34" s="51">
        <v>59.800000000000004</v>
      </c>
      <c r="I34" s="51">
        <v>2233.9135461600004</v>
      </c>
      <c r="J34" s="52">
        <v>0</v>
      </c>
      <c r="K34" s="52">
        <v>0</v>
      </c>
      <c r="L34" s="52">
        <v>0</v>
      </c>
      <c r="M34" s="51">
        <v>0</v>
      </c>
      <c r="N34" s="51">
        <v>0</v>
      </c>
      <c r="O34" s="52" t="s">
        <v>35</v>
      </c>
      <c r="P34" s="52">
        <v>2234</v>
      </c>
      <c r="Q34" s="50" t="s">
        <v>34</v>
      </c>
      <c r="R34" t="s">
        <v>217</v>
      </c>
      <c r="S34" t="s">
        <v>218</v>
      </c>
      <c r="T34" t="s">
        <v>138</v>
      </c>
      <c r="U34" t="s">
        <v>92</v>
      </c>
      <c r="V34" t="s">
        <v>76</v>
      </c>
      <c r="W34" t="s">
        <v>37</v>
      </c>
      <c r="Y34" s="53">
        <v>18.67820690769231</v>
      </c>
    </row>
    <row r="35" spans="1:25" x14ac:dyDescent="0.25">
      <c r="A35" t="s">
        <v>219</v>
      </c>
      <c r="B35" t="s">
        <v>45</v>
      </c>
      <c r="C35" s="50" t="s">
        <v>45</v>
      </c>
      <c r="D35" t="s">
        <v>47</v>
      </c>
      <c r="E35" s="50">
        <v>10540009</v>
      </c>
      <c r="F35" t="s">
        <v>220</v>
      </c>
      <c r="G35">
        <v>1</v>
      </c>
      <c r="H35" s="51">
        <v>16.12</v>
      </c>
      <c r="I35" s="51">
        <v>623.47456828800011</v>
      </c>
      <c r="J35" s="52">
        <v>0</v>
      </c>
      <c r="K35" s="52">
        <v>0</v>
      </c>
      <c r="L35" s="52">
        <v>0</v>
      </c>
      <c r="M35" s="51">
        <v>0</v>
      </c>
      <c r="N35" s="51">
        <v>0</v>
      </c>
      <c r="O35" s="52" t="s">
        <v>35</v>
      </c>
      <c r="P35" s="52">
        <v>623</v>
      </c>
      <c r="Q35" s="50" t="s">
        <v>34</v>
      </c>
      <c r="R35" t="s">
        <v>221</v>
      </c>
      <c r="S35" t="s">
        <v>222</v>
      </c>
      <c r="T35" t="s">
        <v>147</v>
      </c>
      <c r="U35" t="s">
        <v>148</v>
      </c>
      <c r="V35" t="s">
        <v>76</v>
      </c>
      <c r="W35" t="s">
        <v>37</v>
      </c>
      <c r="Y35" s="53">
        <v>1.9338541200000003</v>
      </c>
    </row>
    <row r="36" spans="1:25" x14ac:dyDescent="0.25">
      <c r="A36" t="s">
        <v>223</v>
      </c>
      <c r="B36" t="s">
        <v>45</v>
      </c>
      <c r="C36" s="50" t="s">
        <v>45</v>
      </c>
      <c r="D36" t="s">
        <v>47</v>
      </c>
      <c r="E36" s="50">
        <v>10540009</v>
      </c>
      <c r="F36" t="s">
        <v>224</v>
      </c>
      <c r="G36">
        <v>11</v>
      </c>
      <c r="H36" s="51">
        <v>30.599999999999998</v>
      </c>
      <c r="I36" s="51">
        <v>1790.1825633088033</v>
      </c>
      <c r="J36" s="52">
        <v>0</v>
      </c>
      <c r="K36" s="52">
        <v>0</v>
      </c>
      <c r="L36" s="52">
        <v>0</v>
      </c>
      <c r="M36" s="51">
        <v>0</v>
      </c>
      <c r="N36" s="51">
        <v>0</v>
      </c>
      <c r="O36" s="52" t="s">
        <v>35</v>
      </c>
      <c r="P36" s="52">
        <v>1790</v>
      </c>
      <c r="Q36" s="50" t="s">
        <v>34</v>
      </c>
      <c r="R36" t="s">
        <v>225</v>
      </c>
      <c r="S36" t="s">
        <v>226</v>
      </c>
      <c r="T36" t="s">
        <v>227</v>
      </c>
      <c r="U36" t="s">
        <v>92</v>
      </c>
      <c r="V36" t="s">
        <v>76</v>
      </c>
      <c r="W36" t="s">
        <v>37</v>
      </c>
      <c r="Y36" s="53">
        <v>32.176483981040583</v>
      </c>
    </row>
    <row r="37" spans="1:25" x14ac:dyDescent="0.25">
      <c r="A37" t="s">
        <v>228</v>
      </c>
      <c r="B37" t="s">
        <v>45</v>
      </c>
      <c r="C37" s="50" t="s">
        <v>45</v>
      </c>
      <c r="D37" t="s">
        <v>47</v>
      </c>
      <c r="E37" s="50">
        <v>10540009</v>
      </c>
      <c r="F37" t="s">
        <v>229</v>
      </c>
      <c r="G37">
        <v>13</v>
      </c>
      <c r="H37" s="51">
        <v>43.67</v>
      </c>
      <c r="I37" s="51">
        <v>1826.3319345136802</v>
      </c>
      <c r="J37" s="52">
        <v>0</v>
      </c>
      <c r="K37" s="52">
        <v>0</v>
      </c>
      <c r="L37" s="52">
        <v>0</v>
      </c>
      <c r="M37" s="51">
        <v>0</v>
      </c>
      <c r="N37" s="51">
        <v>0</v>
      </c>
      <c r="O37" s="52" t="s">
        <v>35</v>
      </c>
      <c r="P37" s="52">
        <v>1826</v>
      </c>
      <c r="Q37" s="50" t="s">
        <v>34</v>
      </c>
      <c r="R37" t="s">
        <v>230</v>
      </c>
      <c r="S37" t="s">
        <v>231</v>
      </c>
      <c r="T37" t="s">
        <v>74</v>
      </c>
      <c r="U37" t="s">
        <v>143</v>
      </c>
      <c r="V37" t="s">
        <v>76</v>
      </c>
      <c r="W37" t="s">
        <v>37</v>
      </c>
      <c r="Y37" s="53">
        <v>27.183781942612594</v>
      </c>
    </row>
    <row r="38" spans="1:25" x14ac:dyDescent="0.25">
      <c r="A38" t="s">
        <v>232</v>
      </c>
      <c r="B38" t="s">
        <v>45</v>
      </c>
      <c r="C38" s="50" t="s">
        <v>45</v>
      </c>
      <c r="D38" t="s">
        <v>47</v>
      </c>
      <c r="E38" s="50">
        <v>10540009</v>
      </c>
      <c r="F38" t="s">
        <v>233</v>
      </c>
      <c r="G38">
        <v>4</v>
      </c>
      <c r="H38" s="51">
        <v>13.120000000000001</v>
      </c>
      <c r="I38" s="51">
        <v>574.90968362514013</v>
      </c>
      <c r="J38" s="52">
        <v>0</v>
      </c>
      <c r="K38" s="52">
        <v>0</v>
      </c>
      <c r="L38" s="52">
        <v>0</v>
      </c>
      <c r="M38" s="51">
        <v>0</v>
      </c>
      <c r="N38" s="51">
        <v>0</v>
      </c>
      <c r="O38" s="52" t="s">
        <v>35</v>
      </c>
      <c r="P38" s="52">
        <v>575</v>
      </c>
      <c r="Q38" s="50" t="s">
        <v>34</v>
      </c>
      <c r="R38" t="s">
        <v>234</v>
      </c>
      <c r="S38" t="s">
        <v>235</v>
      </c>
      <c r="T38" t="s">
        <v>138</v>
      </c>
      <c r="U38" t="s">
        <v>92</v>
      </c>
      <c r="V38" t="s">
        <v>76</v>
      </c>
      <c r="W38" t="s">
        <v>37</v>
      </c>
      <c r="Y38" s="53">
        <v>8.7638671284320147</v>
      </c>
    </row>
    <row r="39" spans="1:25" x14ac:dyDescent="0.25">
      <c r="A39" t="s">
        <v>236</v>
      </c>
      <c r="B39" t="s">
        <v>45</v>
      </c>
      <c r="C39" s="50" t="s">
        <v>45</v>
      </c>
      <c r="D39" t="s">
        <v>47</v>
      </c>
      <c r="E39" s="50">
        <v>10540009</v>
      </c>
      <c r="F39" t="s">
        <v>237</v>
      </c>
      <c r="G39">
        <v>14</v>
      </c>
      <c r="H39" s="51">
        <v>27.119999999999994</v>
      </c>
      <c r="I39" s="51">
        <v>942.23418902190008</v>
      </c>
      <c r="J39" s="52">
        <v>0</v>
      </c>
      <c r="K39" s="52">
        <v>0</v>
      </c>
      <c r="L39" s="52">
        <v>0</v>
      </c>
      <c r="M39" s="51">
        <v>0</v>
      </c>
      <c r="N39" s="51">
        <v>0</v>
      </c>
      <c r="O39" s="52" t="s">
        <v>35</v>
      </c>
      <c r="P39" s="52">
        <v>942</v>
      </c>
      <c r="Q39" s="50" t="s">
        <v>34</v>
      </c>
      <c r="R39" t="s">
        <v>238</v>
      </c>
      <c r="S39" t="s">
        <v>239</v>
      </c>
      <c r="T39" t="s">
        <v>74</v>
      </c>
      <c r="U39" t="s">
        <v>75</v>
      </c>
      <c r="V39" t="s">
        <v>76</v>
      </c>
      <c r="W39" t="s">
        <v>37</v>
      </c>
      <c r="Y39" s="53">
        <v>24.320203993928107</v>
      </c>
    </row>
    <row r="40" spans="1:25" x14ac:dyDescent="0.25">
      <c r="A40" t="s">
        <v>240</v>
      </c>
      <c r="B40" t="s">
        <v>45</v>
      </c>
      <c r="C40" s="50" t="s">
        <v>45</v>
      </c>
      <c r="D40" t="s">
        <v>47</v>
      </c>
      <c r="E40" s="50">
        <v>10540009</v>
      </c>
      <c r="F40" t="s">
        <v>241</v>
      </c>
      <c r="G40">
        <v>13</v>
      </c>
      <c r="H40" s="51">
        <v>46.26</v>
      </c>
      <c r="I40" s="51">
        <v>1999.0196574819004</v>
      </c>
      <c r="J40" s="52">
        <v>0</v>
      </c>
      <c r="K40" s="52">
        <v>0</v>
      </c>
      <c r="L40" s="52">
        <v>0</v>
      </c>
      <c r="M40" s="51">
        <v>0</v>
      </c>
      <c r="N40" s="51">
        <v>0</v>
      </c>
      <c r="O40" s="52" t="s">
        <v>35</v>
      </c>
      <c r="P40" s="52">
        <v>1999</v>
      </c>
      <c r="Q40" s="50" t="s">
        <v>34</v>
      </c>
      <c r="R40" t="s">
        <v>242</v>
      </c>
      <c r="S40" t="s">
        <v>243</v>
      </c>
      <c r="T40" t="s">
        <v>138</v>
      </c>
      <c r="U40" t="s">
        <v>92</v>
      </c>
      <c r="V40" t="s">
        <v>76</v>
      </c>
      <c r="W40" t="s">
        <v>37</v>
      </c>
      <c r="Y40" s="53">
        <v>28.088257184678671</v>
      </c>
    </row>
    <row r="41" spans="1:25" x14ac:dyDescent="0.25">
      <c r="A41" t="s">
        <v>244</v>
      </c>
      <c r="B41" t="s">
        <v>45</v>
      </c>
      <c r="C41" s="50" t="s">
        <v>45</v>
      </c>
      <c r="D41" t="s">
        <v>47</v>
      </c>
      <c r="E41" s="50">
        <v>10540009</v>
      </c>
      <c r="F41" t="s">
        <v>245</v>
      </c>
      <c r="G41">
        <v>5</v>
      </c>
      <c r="H41" s="51">
        <v>7.5600000000000005</v>
      </c>
      <c r="I41" s="51">
        <v>372.6973768711</v>
      </c>
      <c r="J41" s="52">
        <v>0</v>
      </c>
      <c r="K41" s="52">
        <v>0</v>
      </c>
      <c r="L41" s="52">
        <v>0</v>
      </c>
      <c r="M41" s="51">
        <v>0</v>
      </c>
      <c r="N41" s="51">
        <v>0</v>
      </c>
      <c r="O41" s="52" t="s">
        <v>35</v>
      </c>
      <c r="P41" s="52">
        <v>373</v>
      </c>
      <c r="Q41" s="50" t="s">
        <v>34</v>
      </c>
      <c r="R41" t="s">
        <v>246</v>
      </c>
      <c r="S41" t="s">
        <v>247</v>
      </c>
      <c r="T41" t="s">
        <v>138</v>
      </c>
      <c r="U41" t="s">
        <v>92</v>
      </c>
      <c r="V41" t="s">
        <v>76</v>
      </c>
      <c r="W41" t="s">
        <v>37</v>
      </c>
      <c r="Y41" s="53">
        <v>12.324648706054894</v>
      </c>
    </row>
    <row r="42" spans="1:25" x14ac:dyDescent="0.25">
      <c r="A42" t="s">
        <v>248</v>
      </c>
      <c r="B42" t="s">
        <v>45</v>
      </c>
      <c r="C42" s="50" t="s">
        <v>45</v>
      </c>
      <c r="D42" t="s">
        <v>47</v>
      </c>
      <c r="E42" s="50">
        <v>10540009</v>
      </c>
      <c r="F42" t="s">
        <v>249</v>
      </c>
      <c r="G42">
        <v>10</v>
      </c>
      <c r="H42" s="51">
        <v>22.450000000000003</v>
      </c>
      <c r="I42" s="51">
        <v>1058.7177927763801</v>
      </c>
      <c r="J42" s="52">
        <v>0</v>
      </c>
      <c r="K42" s="52">
        <v>0</v>
      </c>
      <c r="L42" s="52">
        <v>0</v>
      </c>
      <c r="M42" s="51">
        <v>0</v>
      </c>
      <c r="N42" s="51">
        <v>0</v>
      </c>
      <c r="O42" s="52" t="s">
        <v>35</v>
      </c>
      <c r="P42" s="52">
        <v>1059</v>
      </c>
      <c r="Q42" s="50" t="s">
        <v>34</v>
      </c>
      <c r="R42" t="s">
        <v>250</v>
      </c>
      <c r="S42" t="s">
        <v>251</v>
      </c>
      <c r="T42" t="s">
        <v>74</v>
      </c>
      <c r="U42" t="s">
        <v>252</v>
      </c>
      <c r="V42" t="s">
        <v>76</v>
      </c>
      <c r="W42" t="s">
        <v>37</v>
      </c>
      <c r="Y42" s="53">
        <v>23.579460863616479</v>
      </c>
    </row>
    <row r="43" spans="1:25" x14ac:dyDescent="0.25">
      <c r="A43" t="s">
        <v>253</v>
      </c>
      <c r="B43" t="s">
        <v>45</v>
      </c>
      <c r="C43" s="50" t="s">
        <v>45</v>
      </c>
      <c r="D43" t="s">
        <v>47</v>
      </c>
      <c r="E43" s="50">
        <v>10540009</v>
      </c>
      <c r="F43" t="s">
        <v>254</v>
      </c>
      <c r="G43">
        <v>10</v>
      </c>
      <c r="H43" s="51">
        <v>18.690000000000001</v>
      </c>
      <c r="I43" s="51">
        <v>694.46061784139999</v>
      </c>
      <c r="J43" s="52">
        <v>0</v>
      </c>
      <c r="K43" s="52">
        <v>0</v>
      </c>
      <c r="L43" s="52">
        <v>0</v>
      </c>
      <c r="M43" s="51">
        <v>0</v>
      </c>
      <c r="N43" s="51">
        <v>0</v>
      </c>
      <c r="O43" s="52" t="s">
        <v>35</v>
      </c>
      <c r="P43" s="52">
        <v>694</v>
      </c>
      <c r="Q43" s="50" t="s">
        <v>34</v>
      </c>
      <c r="R43" t="s">
        <v>255</v>
      </c>
      <c r="S43" t="s">
        <v>256</v>
      </c>
      <c r="T43" t="s">
        <v>138</v>
      </c>
      <c r="U43" t="s">
        <v>92</v>
      </c>
      <c r="V43" t="s">
        <v>76</v>
      </c>
      <c r="W43" t="s">
        <v>37</v>
      </c>
      <c r="Y43" s="53">
        <v>18.578400691316212</v>
      </c>
    </row>
    <row r="44" spans="1:25" x14ac:dyDescent="0.25">
      <c r="A44" t="s">
        <v>257</v>
      </c>
      <c r="B44" t="s">
        <v>45</v>
      </c>
      <c r="C44" s="50" t="s">
        <v>45</v>
      </c>
      <c r="D44" t="s">
        <v>47</v>
      </c>
      <c r="E44" s="50">
        <v>10540009</v>
      </c>
      <c r="F44" t="s">
        <v>258</v>
      </c>
      <c r="G44">
        <v>7</v>
      </c>
      <c r="H44" s="51">
        <v>11</v>
      </c>
      <c r="I44" s="51">
        <v>443.52296812499998</v>
      </c>
      <c r="J44" s="52">
        <v>0</v>
      </c>
      <c r="K44" s="52">
        <v>0</v>
      </c>
      <c r="L44" s="52">
        <v>0</v>
      </c>
      <c r="M44" s="51">
        <v>0</v>
      </c>
      <c r="N44" s="51">
        <v>0</v>
      </c>
      <c r="O44" s="52" t="s">
        <v>35</v>
      </c>
      <c r="P44" s="52">
        <v>444</v>
      </c>
      <c r="Q44" s="50" t="s">
        <v>34</v>
      </c>
      <c r="R44" t="s">
        <v>259</v>
      </c>
      <c r="S44" t="s">
        <v>260</v>
      </c>
      <c r="T44" t="s">
        <v>261</v>
      </c>
      <c r="U44" t="s">
        <v>262</v>
      </c>
      <c r="V44" t="s">
        <v>76</v>
      </c>
      <c r="W44" t="s">
        <v>37</v>
      </c>
      <c r="Y44" s="53">
        <v>14.112094440340909</v>
      </c>
    </row>
    <row r="45" spans="1:25" x14ac:dyDescent="0.25">
      <c r="A45" t="s">
        <v>263</v>
      </c>
      <c r="B45" t="s">
        <v>45</v>
      </c>
      <c r="C45" s="50" t="s">
        <v>45</v>
      </c>
      <c r="D45" t="s">
        <v>47</v>
      </c>
      <c r="E45" s="50">
        <v>10540009</v>
      </c>
      <c r="F45" t="s">
        <v>264</v>
      </c>
      <c r="G45">
        <v>12</v>
      </c>
      <c r="H45" s="51">
        <v>38.570000000000007</v>
      </c>
      <c r="I45" s="51">
        <v>1298.1794530498501</v>
      </c>
      <c r="J45" s="52">
        <v>0</v>
      </c>
      <c r="K45" s="52">
        <v>0</v>
      </c>
      <c r="L45" s="52">
        <v>0</v>
      </c>
      <c r="M45" s="51">
        <v>0</v>
      </c>
      <c r="N45" s="51">
        <v>0</v>
      </c>
      <c r="O45" s="52" t="s">
        <v>35</v>
      </c>
      <c r="P45" s="52">
        <v>1298</v>
      </c>
      <c r="Q45" s="50" t="s">
        <v>34</v>
      </c>
      <c r="R45" t="s">
        <v>265</v>
      </c>
      <c r="S45" t="s">
        <v>266</v>
      </c>
      <c r="T45" t="s">
        <v>138</v>
      </c>
      <c r="U45" t="s">
        <v>92</v>
      </c>
      <c r="V45" t="s">
        <v>76</v>
      </c>
      <c r="W45" t="s">
        <v>37</v>
      </c>
      <c r="Y45" s="53">
        <v>20.19465055301815</v>
      </c>
    </row>
    <row r="46" spans="1:25" x14ac:dyDescent="0.25">
      <c r="A46" t="s">
        <v>267</v>
      </c>
      <c r="B46" t="s">
        <v>45</v>
      </c>
      <c r="C46" s="50" t="s">
        <v>45</v>
      </c>
      <c r="D46" t="s">
        <v>48</v>
      </c>
      <c r="E46" s="50">
        <v>10540026</v>
      </c>
      <c r="F46" t="s">
        <v>88</v>
      </c>
      <c r="G46">
        <v>4</v>
      </c>
      <c r="H46" s="51">
        <v>122.38</v>
      </c>
      <c r="I46" s="51">
        <v>5566.9335974430005</v>
      </c>
      <c r="J46" s="52">
        <v>0</v>
      </c>
      <c r="K46" s="52">
        <v>0</v>
      </c>
      <c r="L46" s="52">
        <v>2429</v>
      </c>
      <c r="M46" s="51">
        <v>3138</v>
      </c>
      <c r="N46" s="51">
        <v>0</v>
      </c>
      <c r="O46" s="52" t="s">
        <v>35</v>
      </c>
      <c r="P46" s="52">
        <v>0</v>
      </c>
      <c r="Q46" s="50" t="s">
        <v>34</v>
      </c>
      <c r="R46">
        <v>0</v>
      </c>
      <c r="S46">
        <v>0</v>
      </c>
      <c r="T46">
        <v>0</v>
      </c>
      <c r="U46">
        <v>0</v>
      </c>
      <c r="V46" t="s">
        <v>268</v>
      </c>
      <c r="W46" t="s">
        <v>37</v>
      </c>
      <c r="Y46" s="53">
        <v>9.0977832937457119</v>
      </c>
    </row>
    <row r="47" spans="1:25" x14ac:dyDescent="0.25">
      <c r="A47" t="s">
        <v>269</v>
      </c>
      <c r="B47" t="s">
        <v>45</v>
      </c>
      <c r="C47" s="50" t="s">
        <v>45</v>
      </c>
      <c r="D47" t="s">
        <v>48</v>
      </c>
      <c r="E47" s="50">
        <v>10540026</v>
      </c>
      <c r="F47" t="s">
        <v>270</v>
      </c>
      <c r="G47">
        <v>1</v>
      </c>
      <c r="H47" s="51">
        <v>22.6</v>
      </c>
      <c r="I47" s="51">
        <v>1064.9636476444</v>
      </c>
      <c r="J47" s="52">
        <v>0</v>
      </c>
      <c r="K47" s="52">
        <v>0</v>
      </c>
      <c r="L47" s="52">
        <v>0</v>
      </c>
      <c r="M47" s="51">
        <v>1065</v>
      </c>
      <c r="N47" s="51">
        <v>0</v>
      </c>
      <c r="O47" s="52" t="s">
        <v>35</v>
      </c>
      <c r="P47" s="52">
        <v>0</v>
      </c>
      <c r="Q47" s="50" t="s">
        <v>34</v>
      </c>
      <c r="R47">
        <v>0</v>
      </c>
      <c r="S47">
        <v>0</v>
      </c>
      <c r="T47">
        <v>0</v>
      </c>
      <c r="U47">
        <v>0</v>
      </c>
      <c r="V47" t="s">
        <v>268</v>
      </c>
      <c r="W47" t="s">
        <v>37</v>
      </c>
      <c r="Y47" s="53">
        <v>2.3561142647</v>
      </c>
    </row>
    <row r="48" spans="1:25" x14ac:dyDescent="0.25">
      <c r="A48" t="s">
        <v>271</v>
      </c>
      <c r="B48" t="s">
        <v>45</v>
      </c>
      <c r="C48" s="50" t="s">
        <v>45</v>
      </c>
      <c r="D48" t="s">
        <v>48</v>
      </c>
      <c r="E48" s="50">
        <v>10540026</v>
      </c>
      <c r="F48" t="s">
        <v>94</v>
      </c>
      <c r="G48">
        <v>5</v>
      </c>
      <c r="H48" s="51">
        <v>114.55999999999999</v>
      </c>
      <c r="I48" s="51">
        <v>4781.0241700794004</v>
      </c>
      <c r="J48" s="52">
        <v>0</v>
      </c>
      <c r="K48" s="52">
        <v>0</v>
      </c>
      <c r="L48" s="52">
        <v>0</v>
      </c>
      <c r="M48" s="51">
        <v>2547</v>
      </c>
      <c r="N48" s="51">
        <v>0</v>
      </c>
      <c r="O48" s="52" t="s">
        <v>35</v>
      </c>
      <c r="P48" s="52">
        <v>2234</v>
      </c>
      <c r="Q48" s="50" t="s">
        <v>34</v>
      </c>
      <c r="R48">
        <v>0</v>
      </c>
      <c r="S48">
        <v>0</v>
      </c>
      <c r="T48">
        <v>0</v>
      </c>
      <c r="U48">
        <v>0</v>
      </c>
      <c r="V48" t="s">
        <v>268</v>
      </c>
      <c r="W48" t="s">
        <v>37</v>
      </c>
      <c r="Y48" s="53">
        <v>10.433450091828302</v>
      </c>
    </row>
    <row r="49" spans="1:25" x14ac:dyDescent="0.25">
      <c r="A49" t="s">
        <v>272</v>
      </c>
      <c r="B49" t="s">
        <v>45</v>
      </c>
      <c r="C49" s="50" t="s">
        <v>45</v>
      </c>
      <c r="D49" t="s">
        <v>48</v>
      </c>
      <c r="E49" s="50">
        <v>10540026</v>
      </c>
      <c r="F49" t="s">
        <v>98</v>
      </c>
      <c r="G49">
        <v>5</v>
      </c>
      <c r="H49" s="51">
        <v>54.5</v>
      </c>
      <c r="I49" s="51">
        <v>2854.2874388047999</v>
      </c>
      <c r="J49" s="52">
        <v>0</v>
      </c>
      <c r="K49" s="52">
        <v>0</v>
      </c>
      <c r="L49" s="52">
        <v>0</v>
      </c>
      <c r="M49" s="51">
        <v>0</v>
      </c>
      <c r="N49" s="51">
        <v>0</v>
      </c>
      <c r="O49" s="52" t="s">
        <v>35</v>
      </c>
      <c r="P49" s="52">
        <v>2854</v>
      </c>
      <c r="Q49" s="50" t="s">
        <v>34</v>
      </c>
      <c r="R49">
        <v>0</v>
      </c>
      <c r="S49">
        <v>0</v>
      </c>
      <c r="T49">
        <v>0</v>
      </c>
      <c r="U49">
        <v>0</v>
      </c>
      <c r="V49" t="s">
        <v>268</v>
      </c>
      <c r="W49" t="s">
        <v>37</v>
      </c>
      <c r="Y49" s="53">
        <v>13.093061645893577</v>
      </c>
    </row>
    <row r="50" spans="1:25" x14ac:dyDescent="0.25">
      <c r="A50" t="s">
        <v>273</v>
      </c>
      <c r="B50" t="s">
        <v>45</v>
      </c>
      <c r="C50" s="50" t="s">
        <v>45</v>
      </c>
      <c r="D50" t="s">
        <v>48</v>
      </c>
      <c r="E50" s="50">
        <v>10540026</v>
      </c>
      <c r="F50" t="s">
        <v>274</v>
      </c>
      <c r="G50">
        <v>10</v>
      </c>
      <c r="H50" s="51">
        <v>216.84000000000003</v>
      </c>
      <c r="I50" s="51">
        <v>8999.7498942504008</v>
      </c>
      <c r="J50" s="52">
        <v>0</v>
      </c>
      <c r="K50" s="52">
        <v>0</v>
      </c>
      <c r="L50" s="52">
        <v>0</v>
      </c>
      <c r="M50" s="51">
        <v>0</v>
      </c>
      <c r="N50" s="51">
        <v>0</v>
      </c>
      <c r="O50" s="52" t="s">
        <v>35</v>
      </c>
      <c r="P50" s="52">
        <v>9000</v>
      </c>
      <c r="Q50" s="50" t="s">
        <v>34</v>
      </c>
      <c r="R50">
        <v>0</v>
      </c>
      <c r="S50">
        <v>0</v>
      </c>
      <c r="T50">
        <v>0</v>
      </c>
      <c r="U50">
        <v>0</v>
      </c>
      <c r="V50" t="s">
        <v>268</v>
      </c>
      <c r="W50" t="s">
        <v>37</v>
      </c>
      <c r="Y50" s="53">
        <v>20.752051960547867</v>
      </c>
    </row>
    <row r="51" spans="1:25" ht="15.75" thickBot="1" x14ac:dyDescent="0.3">
      <c r="A51" s="55" t="s">
        <v>275</v>
      </c>
      <c r="B51" s="55" t="s">
        <v>45</v>
      </c>
      <c r="C51" s="56" t="s">
        <v>45</v>
      </c>
      <c r="D51" s="55" t="s">
        <v>48</v>
      </c>
      <c r="E51" s="56">
        <v>10540026</v>
      </c>
      <c r="F51" s="55" t="s">
        <v>276</v>
      </c>
      <c r="G51" s="55">
        <v>3</v>
      </c>
      <c r="H51" s="57">
        <v>46.379999999999995</v>
      </c>
      <c r="I51" s="57">
        <v>2046.9132318304005</v>
      </c>
      <c r="J51" s="58">
        <v>0</v>
      </c>
      <c r="K51" s="58">
        <v>0</v>
      </c>
      <c r="L51" s="58">
        <v>0</v>
      </c>
      <c r="M51" s="57">
        <v>0</v>
      </c>
      <c r="N51" s="57">
        <v>0</v>
      </c>
      <c r="O51" s="58" t="s">
        <v>35</v>
      </c>
      <c r="P51" s="58">
        <v>2047</v>
      </c>
      <c r="Q51" s="56" t="s">
        <v>34</v>
      </c>
      <c r="R51" s="55">
        <v>0</v>
      </c>
      <c r="S51" s="55">
        <v>0</v>
      </c>
      <c r="T51" s="55">
        <v>0</v>
      </c>
      <c r="U51" s="55">
        <v>0</v>
      </c>
      <c r="V51" s="55" t="s">
        <v>268</v>
      </c>
      <c r="W51" s="55" t="s">
        <v>37</v>
      </c>
      <c r="Y51" s="53">
        <v>6.6200298571487748</v>
      </c>
    </row>
    <row r="52" spans="1:25" ht="16.5" thickTop="1" thickBot="1" x14ac:dyDescent="0.3">
      <c r="A52" s="59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60">
        <f>SUM(P2:P51)</f>
        <v>72689</v>
      </c>
      <c r="Q52" s="59"/>
      <c r="R52" s="59"/>
      <c r="S52" s="59"/>
      <c r="T52" s="59"/>
      <c r="U52" s="59"/>
      <c r="V52" s="59"/>
      <c r="W52" s="59"/>
    </row>
  </sheetData>
  <conditionalFormatting sqref="A2:A51">
    <cfRule type="duplicateValues" dxfId="4" priority="2"/>
    <cfRule type="duplicateValues" dxfId="3" priority="3"/>
  </conditionalFormatting>
  <conditionalFormatting sqref="P1:P51">
    <cfRule type="cellIs" dxfId="2" priority="4" operator="lessThan">
      <formula>0</formula>
    </cfRule>
  </conditionalFormatting>
  <conditionalFormatting sqref="P2:P51">
    <cfRule type="cellIs" dxfId="1" priority="1" operator="lessThan">
      <formula>-1</formula>
    </cfRule>
  </conditionalFormatting>
  <conditionalFormatting sqref="S1"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MPG</vt:lpstr>
      <vt:lpstr>Farmer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2026-06-12T06:55:53Z</dcterms:created>
  <dcterms:modified xsi:type="dcterms:W3CDTF">2026-06-12T07:01:52Z</dcterms:modified>
</cp:coreProperties>
</file>