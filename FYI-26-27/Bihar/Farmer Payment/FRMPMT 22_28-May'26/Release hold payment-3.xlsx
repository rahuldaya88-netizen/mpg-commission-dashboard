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22_28-May'26\"/>
    </mc:Choice>
  </mc:AlternateContent>
  <xr:revisionPtr revIDLastSave="0" documentId="8_{DF27297C-78CD-49A7-A652-3407270CBEAC}" xr6:coauthVersionLast="47" xr6:coauthVersionMax="47" xr10:uidLastSave="{00000000-0000-0000-0000-000000000000}"/>
  <bookViews>
    <workbookView xWindow="-120" yWindow="-120" windowWidth="29040" windowHeight="15720" xr2:uid="{A98FB5B2-2EDC-4D62-A376-08773978C6C7}"/>
  </bookViews>
  <sheets>
    <sheet name="MPG" sheetId="1" r:id="rId1"/>
    <sheet name="Farm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5" i="2" l="1"/>
</calcChain>
</file>

<file path=xl/sharedStrings.xml><?xml version="1.0" encoding="utf-8"?>
<sst xmlns="http://schemas.openxmlformats.org/spreadsheetml/2006/main" count="220" uniqueCount="109">
  <si>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</si>
  <si>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</si>
  <si>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</si>
  <si>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</si>
  <si>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</si>
  <si>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</si>
  <si>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</si>
  <si>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</si>
  <si>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Vet Deduction</t>
  </si>
  <si>
    <t>CF Deduction</t>
  </si>
  <si>
    <t>Other</t>
  </si>
  <si>
    <t>Payment to Farmer A/c</t>
  </si>
  <si>
    <t>Unreg. Farmer payment</t>
  </si>
  <si>
    <t>Payment to MPGs A/c</t>
  </si>
  <si>
    <t>Stop Payment</t>
  </si>
  <si>
    <t>Loss Remarks</t>
  </si>
  <si>
    <t>Cycle</t>
  </si>
  <si>
    <t>loss/gain</t>
  </si>
  <si>
    <t>Nos.Of farmer</t>
  </si>
  <si>
    <t>CF OS</t>
  </si>
  <si>
    <t>Deduction</t>
  </si>
  <si>
    <t>Balance</t>
  </si>
  <si>
    <t>Blank</t>
  </si>
  <si>
    <t>EMI Recovery</t>
  </si>
  <si>
    <t>Sample milk</t>
  </si>
  <si>
    <t>Inward Penalty</t>
  </si>
  <si>
    <t>Total</t>
  </si>
  <si>
    <t>Recovered</t>
  </si>
  <si>
    <t>Pending</t>
  </si>
  <si>
    <t>Total Adj Pending</t>
  </si>
  <si>
    <t>Payment month</t>
  </si>
  <si>
    <t>Laldiyara</t>
  </si>
  <si>
    <t>CHETAN-TOLA-KHUTHA</t>
  </si>
  <si>
    <t>MPG</t>
  </si>
  <si>
    <t>Direct</t>
  </si>
  <si>
    <t>Release3</t>
  </si>
  <si>
    <t>CF OS &gt;15 Day's</t>
  </si>
  <si>
    <t>09. 22-28 May</t>
  </si>
  <si>
    <t>Chautham</t>
  </si>
  <si>
    <t>Gomukh Bangalia</t>
  </si>
  <si>
    <t>Warisnagar</t>
  </si>
  <si>
    <t>Kamopur</t>
  </si>
  <si>
    <t>Total:</t>
  </si>
  <si>
    <t>ID</t>
  </si>
  <si>
    <t>BMC Area</t>
  </si>
  <si>
    <t>MPG/RMC Name</t>
  </si>
  <si>
    <t>Code</t>
  </si>
  <si>
    <t>Farmers Code</t>
  </si>
  <si>
    <t>No of Shift</t>
  </si>
  <si>
    <t>Vol_L</t>
  </si>
  <si>
    <t>Amount</t>
  </si>
  <si>
    <t>Sample Milk</t>
  </si>
  <si>
    <t>Milk Short</t>
  </si>
  <si>
    <t>Net Amount</t>
  </si>
  <si>
    <t>Category</t>
  </si>
  <si>
    <t>Farmers Account Name</t>
  </si>
  <si>
    <t>Accont no</t>
  </si>
  <si>
    <t>IFSC code</t>
  </si>
  <si>
    <t>Bank Name</t>
  </si>
  <si>
    <t>Account Details</t>
  </si>
  <si>
    <t>Sample</t>
  </si>
  <si>
    <t>Values</t>
  </si>
  <si>
    <t>100200690001</t>
  </si>
  <si>
    <t>0001</t>
  </si>
  <si>
    <t>Not Available</t>
  </si>
  <si>
    <t>100200690002</t>
  </si>
  <si>
    <t>0002</t>
  </si>
  <si>
    <t>Ramadhar Singh</t>
  </si>
  <si>
    <t>30537549763</t>
  </si>
  <si>
    <t>SBIN0002916</t>
  </si>
  <si>
    <t xml:space="preserve">State Bank of India </t>
  </si>
  <si>
    <t>Available</t>
  </si>
  <si>
    <t>100200690003</t>
  </si>
  <si>
    <t>0003</t>
  </si>
  <si>
    <t xml:space="preserve">Chandan Kumar </t>
  </si>
  <si>
    <t>31100110075697</t>
  </si>
  <si>
    <t>PUNB0MBGB06</t>
  </si>
  <si>
    <t xml:space="preserve">Dakshin Bihar Gramin Bank </t>
  </si>
  <si>
    <t>105600360002</t>
  </si>
  <si>
    <t xml:space="preserve">Pinki Kumari </t>
  </si>
  <si>
    <t>35250700030339</t>
  </si>
  <si>
    <t>Dakshin Bihar Gramin Bank</t>
  </si>
  <si>
    <t>105700470003</t>
  </si>
  <si>
    <t xml:space="preserve">Ram Vinay Ray </t>
  </si>
  <si>
    <t>2385897631</t>
  </si>
  <si>
    <t>CBIN0282962</t>
  </si>
  <si>
    <t>Central Bank Of India</t>
  </si>
  <si>
    <t>105700470005</t>
  </si>
  <si>
    <t>0005</t>
  </si>
  <si>
    <t>3598886721</t>
  </si>
  <si>
    <t>105700470010</t>
  </si>
  <si>
    <t>0010</t>
  </si>
  <si>
    <t xml:space="preserve">Rajeev Kumar </t>
  </si>
  <si>
    <t>4001691510</t>
  </si>
  <si>
    <t>105700470011</t>
  </si>
  <si>
    <t>0011</t>
  </si>
  <si>
    <t>105700470012</t>
  </si>
  <si>
    <t>0012</t>
  </si>
  <si>
    <t>105700470013</t>
  </si>
  <si>
    <t>0013</t>
  </si>
  <si>
    <t>105700470014</t>
  </si>
  <si>
    <t>0014</t>
  </si>
  <si>
    <t>105700470015</t>
  </si>
  <si>
    <t>0015</t>
  </si>
  <si>
    <t>105700470016</t>
  </si>
  <si>
    <t>0016</t>
  </si>
  <si>
    <t xml:space="preserve">Ful Kumari Devi </t>
  </si>
  <si>
    <t>3363700076</t>
  </si>
  <si>
    <t>CBIN0281794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</si>
</sst>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_ ;_ * \-#,##0_ ;_ * &quot;-&quot;??_ ;_ @_ "/>
    <numFmt numFmtId="165" formatCode="[$-409]mmm/yy;@"/>
    <numFmt numFmtId="166" formatCode="_ * #,##0.0_ ;_ * \-#,##0.0_ ;_ * &quot;-&quot;??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00B050"/>
        <bgColor theme="8"/>
      </patternFill>
    </fill>
    <fill>
      <patternFill patternType="solid">
        <fgColor rgb="FF7030A0"/>
        <bgColor theme="8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theme="4"/>
      </top>
      <bottom/>
      <diagonal/>
    </border>
    <border>
      <left/>
      <right/>
      <top/>
      <bottom style="double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2" borderId="1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60">
    <xf numFmtId="0" fontId="0" fillId="0" borderId="0" xfId="0"/>
    <xf numFmtId="43" fontId="4" fillId="3" borderId="2" xfId="4" applyFont="1" applyFill="1" applyBorder="1" applyAlignment="1">
      <alignment horizontal="center" vertical="center" wrapText="1"/>
    </xf>
    <xf numFmtId="43" fontId="4" fillId="3" borderId="2" xfId="4" applyFont="1" applyFill="1" applyBorder="1" applyAlignment="1">
      <alignment horizontal="left" vertical="center" wrapText="1"/>
    </xf>
    <xf numFmtId="43" fontId="4" fillId="4" borderId="2" xfId="4" applyFont="1" applyFill="1" applyBorder="1" applyAlignment="1">
      <alignment horizontal="center" vertical="center" wrapText="1"/>
    </xf>
    <xf numFmtId="43" fontId="4" fillId="6" borderId="3" xfId="4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0" fillId="0" borderId="0" xfId="0" quotePrefix="1"/>
    <xf numFmtId="0" fontId="4" fillId="7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0" xfId="0" applyAlignment="1">
      <alignment wrapText="1"/>
    </xf>
    <xf numFmtId="0" fontId="0" fillId="0" borderId="4" xfId="0" applyBorder="1" applyAlignment="1">
      <alignment horizontal="center"/>
    </xf>
    <xf numFmtId="43" fontId="0" fillId="0" borderId="4" xfId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1" fontId="0" fillId="0" borderId="2" xfId="0" applyNumberFormat="1" applyBorder="1" applyAlignment="1">
      <alignment horizontal="center"/>
    </xf>
    <xf numFmtId="164" fontId="1" fillId="5" borderId="4" xfId="4" applyNumberFormat="1" applyFont="1" applyFill="1" applyBorder="1" applyAlignment="1">
      <alignment horizontal="center" vertical="center"/>
    </xf>
    <xf numFmtId="164" fontId="3" fillId="2" borderId="1" xfId="3" applyNumberFormat="1" applyFont="1" applyAlignment="1">
      <alignment horizontal="center"/>
    </xf>
    <xf numFmtId="0" fontId="0" fillId="0" borderId="2" xfId="0" quotePrefix="1" applyBorder="1" applyAlignment="1">
      <alignment horizontal="center"/>
    </xf>
    <xf numFmtId="0" fontId="0" fillId="0" borderId="2" xfId="0" quotePrefix="1" applyBorder="1"/>
    <xf numFmtId="0" fontId="0" fillId="0" borderId="5" xfId="0" applyBorder="1"/>
    <xf numFmtId="9" fontId="0" fillId="0" borderId="2" xfId="2" applyFont="1" applyBorder="1" applyAlignment="1">
      <alignment horizontal="center"/>
    </xf>
    <xf numFmtId="1" fontId="0" fillId="0" borderId="2" xfId="2" applyNumberFormat="1" applyFont="1" applyBorder="1" applyAlignment="1">
      <alignment horizontal="center"/>
    </xf>
    <xf numFmtId="164" fontId="0" fillId="0" borderId="2" xfId="1" applyNumberFormat="1" applyFont="1" applyBorder="1" applyAlignment="1">
      <alignment horizontal="center"/>
    </xf>
    <xf numFmtId="43" fontId="0" fillId="0" borderId="2" xfId="1" applyFont="1" applyBorder="1"/>
    <xf numFmtId="0" fontId="0" fillId="0" borderId="2" xfId="0" applyBorder="1"/>
    <xf numFmtId="43" fontId="0" fillId="0" borderId="2" xfId="1" applyFont="1" applyBorder="1" applyAlignment="1">
      <alignment horizontal="center"/>
    </xf>
    <xf numFmtId="43" fontId="0" fillId="8" borderId="2" xfId="1" applyFont="1" applyFill="1" applyBorder="1" applyAlignment="1">
      <alignment horizontal="center"/>
    </xf>
    <xf numFmtId="165" fontId="0" fillId="0" borderId="2" xfId="0" applyNumberFormat="1" applyBorder="1"/>
    <xf numFmtId="0" fontId="4" fillId="9" borderId="2" xfId="0" applyFont="1" applyFill="1" applyBorder="1" applyAlignment="1">
      <alignment horizontal="center"/>
    </xf>
    <xf numFmtId="0" fontId="4" fillId="9" borderId="2" xfId="0" applyFont="1" applyFill="1" applyBorder="1"/>
    <xf numFmtId="1" fontId="4" fillId="9" borderId="2" xfId="0" applyNumberFormat="1" applyFont="1" applyFill="1" applyBorder="1" applyAlignment="1">
      <alignment horizontal="center"/>
    </xf>
    <xf numFmtId="164" fontId="4" fillId="9" borderId="2" xfId="4" applyNumberFormat="1" applyFont="1" applyFill="1" applyBorder="1" applyAlignment="1">
      <alignment horizontal="center" vertical="center"/>
    </xf>
    <xf numFmtId="9" fontId="0" fillId="0" borderId="2" xfId="2" applyFont="1" applyBorder="1"/>
    <xf numFmtId="2" fontId="0" fillId="0" borderId="2" xfId="2" applyNumberFormat="1" applyFont="1" applyBorder="1"/>
    <xf numFmtId="164" fontId="0" fillId="0" borderId="2" xfId="1" applyNumberFormat="1" applyFont="1" applyBorder="1"/>
    <xf numFmtId="0" fontId="2" fillId="10" borderId="6" xfId="5" applyFont="1" applyFill="1" applyBorder="1" applyAlignment="1">
      <alignment horizontal="center" vertical="center" wrapText="1"/>
    </xf>
    <xf numFmtId="0" fontId="2" fillId="11" borderId="6" xfId="5" applyFont="1" applyFill="1" applyBorder="1" applyAlignment="1">
      <alignment horizontal="center" vertical="center" wrapText="1"/>
    </xf>
    <xf numFmtId="49" fontId="2" fillId="11" borderId="6" xfId="5" applyNumberFormat="1" applyFont="1" applyFill="1" applyBorder="1" applyAlignment="1">
      <alignment horizontal="center" vertical="center" wrapText="1"/>
    </xf>
    <xf numFmtId="43" fontId="2" fillId="11" borderId="6" xfId="1" applyFont="1" applyFill="1" applyBorder="1" applyAlignment="1">
      <alignment horizontal="center" vertical="center" wrapText="1"/>
    </xf>
    <xf numFmtId="49" fontId="2" fillId="10" borderId="6" xfId="5" applyNumberFormat="1" applyFont="1" applyFill="1" applyBorder="1" applyAlignment="1">
      <alignment horizontal="center" vertical="center" wrapText="1"/>
    </xf>
    <xf numFmtId="0" fontId="2" fillId="10" borderId="6" xfId="5" applyFont="1" applyFill="1" applyBorder="1" applyAlignment="1">
      <alignment horizontal="left" vertical="center" wrapText="1"/>
    </xf>
    <xf numFmtId="0" fontId="2" fillId="12" borderId="6" xfId="5" applyFont="1" applyFill="1" applyBorder="1" applyAlignment="1">
      <alignment horizontal="center" vertical="center" wrapText="1"/>
    </xf>
    <xf numFmtId="0" fontId="2" fillId="12" borderId="7" xfId="5" applyFont="1" applyFill="1" applyBorder="1" applyAlignment="1">
      <alignment horizontal="center" vertical="center" wrapText="1"/>
    </xf>
    <xf numFmtId="0" fontId="2" fillId="12" borderId="8" xfId="5" applyFont="1" applyFill="1" applyBorder="1" applyAlignment="1">
      <alignment horizontal="center" vertical="center" wrapText="1"/>
    </xf>
    <xf numFmtId="0" fontId="2" fillId="0" borderId="3" xfId="5" applyFont="1" applyBorder="1" applyAlignment="1">
      <alignment horizontal="center" vertical="center" wrapText="1"/>
    </xf>
    <xf numFmtId="0" fontId="2" fillId="12" borderId="3" xfId="5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1" applyNumberFormat="1" applyFont="1" applyAlignment="1">
      <alignment horizontal="right"/>
    </xf>
    <xf numFmtId="166" fontId="0" fillId="0" borderId="0" xfId="1" applyNumberFormat="1" applyFont="1" applyAlignment="1">
      <alignment horizontal="center"/>
    </xf>
    <xf numFmtId="43" fontId="0" fillId="0" borderId="0" xfId="1" applyFont="1"/>
    <xf numFmtId="164" fontId="0" fillId="0" borderId="0" xfId="1" applyNumberFormat="1" applyFont="1"/>
    <xf numFmtId="0" fontId="0" fillId="0" borderId="9" xfId="0" applyBorder="1"/>
    <xf numFmtId="0" fontId="0" fillId="0" borderId="9" xfId="0" applyBorder="1" applyAlignment="1">
      <alignment horizontal="center"/>
    </xf>
    <xf numFmtId="164" fontId="0" fillId="0" borderId="9" xfId="1" applyNumberFormat="1" applyFont="1" applyBorder="1" applyAlignment="1">
      <alignment horizontal="center"/>
    </xf>
    <xf numFmtId="166" fontId="0" fillId="0" borderId="9" xfId="1" applyNumberFormat="1" applyFont="1" applyBorder="1" applyAlignment="1">
      <alignment horizontal="center"/>
    </xf>
    <xf numFmtId="166" fontId="0" fillId="0" borderId="0" xfId="0" applyNumberFormat="1"/>
  </cellXfs>
  <cellStyles count="6">
    <cellStyle name="Comma" xfId="1" builtinId="3"/>
    <cellStyle name="Comma 2" xfId="4" xr:uid="{833B9E5A-C645-4244-A309-E492A9DDB8D0}"/>
    <cellStyle name="Normal" xfId="0" builtinId="0"/>
    <cellStyle name="Normal 2" xfId="5" xr:uid="{4DC3858A-9684-441F-B599-0FD6BC2AB616}"/>
    <cellStyle name="Note" xfId="3" builtinId="10"/>
    <cellStyle name="Percent" xfId="2" builtinId="5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1FCF2-2A17-4FDD-BE6D-341D467573B6}">
  <dimension ref="A1:AC5"/>
  <sheetViews>
    <sheetView tabSelected="1" workbookViewId="0">
      <selection activeCell="P22" sqref="P22"/>
    </sheetView>
  </sheetViews>
  <sheetFormatPr defaultRowHeight="15" x14ac:dyDescent="0.25"/>
  <cols>
    <col min="1" max="1" width="5.85546875" bestFit="1" customWidth="1"/>
    <col min="2" max="2" width="12.140625" bestFit="1" customWidth="1"/>
    <col min="3" max="3" width="9" bestFit="1" customWidth="1"/>
    <col min="4" max="4" width="21.42578125" bestFit="1" customWidth="1"/>
    <col min="5" max="5" width="6" bestFit="1" customWidth="1"/>
    <col min="6" max="6" width="8.85546875" bestFit="1" customWidth="1"/>
    <col min="7" max="7" width="7.85546875" bestFit="1" customWidth="1"/>
    <col min="8" max="8" width="8" bestFit="1" customWidth="1"/>
    <col min="9" max="9" width="11.5703125" bestFit="1" customWidth="1"/>
    <col min="10" max="10" width="14.140625" bestFit="1" customWidth="1"/>
    <col min="11" max="11" width="11.5703125" bestFit="1" customWidth="1"/>
    <col min="12" max="12" width="9.7109375" bestFit="1" customWidth="1"/>
    <col min="13" max="13" width="14.7109375" bestFit="1" customWidth="1"/>
    <col min="14" max="14" width="12.7109375" bestFit="1" customWidth="1"/>
    <col min="17" max="17" width="7.5703125" bestFit="1" customWidth="1"/>
    <col min="18" max="18" width="10" bestFit="1" customWidth="1"/>
    <col min="19" max="19" width="11.5703125" bestFit="1" customWidth="1"/>
    <col min="20" max="20" width="10" bestFit="1" customWidth="1"/>
    <col min="21" max="21" width="5.85546875" bestFit="1" customWidth="1"/>
    <col min="22" max="22" width="9.42578125" bestFit="1" customWidth="1"/>
    <col min="23" max="24" width="7.7109375" bestFit="1" customWidth="1"/>
    <col min="25" max="25" width="7.42578125" bestFit="1" customWidth="1"/>
    <col min="26" max="26" width="8.42578125" bestFit="1" customWidth="1"/>
    <col min="27" max="27" width="8.28515625" bestFit="1" customWidth="1"/>
    <col min="28" max="28" width="8.7109375" bestFit="1" customWidth="1"/>
    <col min="29" max="29" width="8.5703125" bestFit="1" customWidth="1"/>
  </cols>
  <sheetData>
    <row r="1" spans="1:29" s="11" customFormat="1" ht="40.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11</v>
      </c>
      <c r="J1" s="1" t="s">
        <v>12</v>
      </c>
      <c r="K1" s="1" t="s">
        <v>13</v>
      </c>
      <c r="L1" s="4" t="s">
        <v>14</v>
      </c>
      <c r="M1" s="5" t="s">
        <v>15</v>
      </c>
      <c r="N1" s="5" t="s">
        <v>16</v>
      </c>
      <c r="O1" s="6"/>
      <c r="P1" s="7" t="s">
        <v>17</v>
      </c>
      <c r="Q1" s="7" t="s">
        <v>18</v>
      </c>
      <c r="R1" s="7" t="s">
        <v>19</v>
      </c>
      <c r="S1" s="7" t="s">
        <v>20</v>
      </c>
      <c r="T1" s="7" t="s">
        <v>21</v>
      </c>
      <c r="U1" s="8" t="s">
        <v>22</v>
      </c>
      <c r="V1" s="8" t="s">
        <v>23</v>
      </c>
      <c r="W1" s="8" t="s">
        <v>24</v>
      </c>
      <c r="X1" s="8" t="s">
        <v>25</v>
      </c>
      <c r="Y1" s="8" t="s">
        <v>26</v>
      </c>
      <c r="Z1" s="8" t="s">
        <v>27</v>
      </c>
      <c r="AA1" s="8" t="s">
        <v>28</v>
      </c>
      <c r="AB1" s="9" t="s">
        <v>29</v>
      </c>
      <c r="AC1" s="10" t="s">
        <v>30</v>
      </c>
    </row>
    <row r="2" spans="1:29" x14ac:dyDescent="0.25">
      <c r="A2" s="12">
        <v>1002</v>
      </c>
      <c r="B2" s="13" t="s">
        <v>31</v>
      </c>
      <c r="C2" s="14">
        <v>10020069</v>
      </c>
      <c r="D2" s="15" t="s">
        <v>32</v>
      </c>
      <c r="E2" s="16" t="s">
        <v>33</v>
      </c>
      <c r="F2" s="16" t="s">
        <v>34</v>
      </c>
      <c r="G2" s="17">
        <v>217.4</v>
      </c>
      <c r="H2" s="17">
        <v>8478.7615809300005</v>
      </c>
      <c r="I2" s="18">
        <v>0</v>
      </c>
      <c r="J2" s="18">
        <v>0</v>
      </c>
      <c r="K2" s="18">
        <v>0</v>
      </c>
      <c r="L2" s="19" t="s">
        <v>35</v>
      </c>
      <c r="M2" s="20" t="s">
        <v>36</v>
      </c>
      <c r="N2" s="21" t="s">
        <v>37</v>
      </c>
      <c r="O2" s="22"/>
      <c r="P2" s="23">
        <v>-1.1072485203270026</v>
      </c>
      <c r="Q2" s="24">
        <v>3</v>
      </c>
      <c r="R2" s="25">
        <v>10921</v>
      </c>
      <c r="S2" s="25">
        <v>6993</v>
      </c>
      <c r="T2" s="26">
        <v>3928</v>
      </c>
      <c r="U2" s="27"/>
      <c r="V2" s="25">
        <v>500</v>
      </c>
      <c r="W2" s="25">
        <v>0</v>
      </c>
      <c r="X2" s="28">
        <v>0</v>
      </c>
      <c r="Y2" s="29">
        <v>500</v>
      </c>
      <c r="Z2" s="28">
        <v>500</v>
      </c>
      <c r="AA2" s="26">
        <v>0</v>
      </c>
      <c r="AB2" s="26">
        <v>0</v>
      </c>
      <c r="AC2" s="30">
        <v>46173</v>
      </c>
    </row>
    <row r="3" spans="1:29" x14ac:dyDescent="0.25">
      <c r="A3" s="12">
        <v>1056</v>
      </c>
      <c r="B3" s="13" t="s">
        <v>38</v>
      </c>
      <c r="C3" s="14">
        <v>10560036</v>
      </c>
      <c r="D3" s="15" t="s">
        <v>39</v>
      </c>
      <c r="E3" s="16" t="s">
        <v>33</v>
      </c>
      <c r="F3" s="16" t="s">
        <v>34</v>
      </c>
      <c r="G3" s="17">
        <v>441.35999999999996</v>
      </c>
      <c r="H3" s="17">
        <v>19582.124559732001</v>
      </c>
      <c r="I3" s="18">
        <v>19582</v>
      </c>
      <c r="J3" s="18">
        <v>0</v>
      </c>
      <c r="K3" s="18">
        <v>0</v>
      </c>
      <c r="L3" s="19" t="s">
        <v>35</v>
      </c>
      <c r="M3" s="20" t="s">
        <v>36</v>
      </c>
      <c r="N3" s="21" t="s">
        <v>37</v>
      </c>
      <c r="O3" s="22"/>
      <c r="P3" s="23">
        <v>-0.11830245353417783</v>
      </c>
      <c r="Q3" s="24">
        <v>1</v>
      </c>
      <c r="R3" s="25">
        <v>0</v>
      </c>
      <c r="S3" s="25">
        <v>0</v>
      </c>
      <c r="T3" s="26">
        <v>0</v>
      </c>
      <c r="U3" s="27"/>
      <c r="V3" s="25">
        <v>0</v>
      </c>
      <c r="W3" s="25">
        <v>0</v>
      </c>
      <c r="X3" s="28">
        <v>0</v>
      </c>
      <c r="Y3" s="29">
        <v>0</v>
      </c>
      <c r="Z3" s="28">
        <v>0</v>
      </c>
      <c r="AA3" s="26">
        <v>0</v>
      </c>
      <c r="AB3" s="26">
        <v>0</v>
      </c>
      <c r="AC3" s="30">
        <v>46173</v>
      </c>
    </row>
    <row r="4" spans="1:29" x14ac:dyDescent="0.25">
      <c r="A4" s="12">
        <v>1057</v>
      </c>
      <c r="B4" s="13" t="s">
        <v>40</v>
      </c>
      <c r="C4" s="14">
        <v>10570047</v>
      </c>
      <c r="D4" s="15" t="s">
        <v>41</v>
      </c>
      <c r="E4" s="16" t="s">
        <v>33</v>
      </c>
      <c r="F4" s="16" t="s">
        <v>34</v>
      </c>
      <c r="G4" s="17">
        <v>335.7999999999999</v>
      </c>
      <c r="H4" s="17">
        <v>13614.628414230003</v>
      </c>
      <c r="I4" s="18">
        <v>8997</v>
      </c>
      <c r="J4" s="18">
        <v>4562</v>
      </c>
      <c r="K4" s="18">
        <v>0</v>
      </c>
      <c r="L4" s="19" t="s">
        <v>35</v>
      </c>
      <c r="M4" s="20" t="s">
        <v>36</v>
      </c>
      <c r="N4" s="21" t="s">
        <v>37</v>
      </c>
      <c r="O4" s="22"/>
      <c r="P4" s="23">
        <v>4.1175625957084131E-3</v>
      </c>
      <c r="Q4" s="24">
        <v>9</v>
      </c>
      <c r="R4" s="25">
        <v>6750</v>
      </c>
      <c r="S4" s="25">
        <v>0</v>
      </c>
      <c r="T4" s="26">
        <v>6750</v>
      </c>
      <c r="U4" s="27"/>
      <c r="V4" s="25">
        <v>0</v>
      </c>
      <c r="W4" s="25">
        <v>0</v>
      </c>
      <c r="X4" s="28">
        <v>0</v>
      </c>
      <c r="Y4" s="29">
        <v>0</v>
      </c>
      <c r="Z4" s="28">
        <v>0</v>
      </c>
      <c r="AA4" s="26">
        <v>0</v>
      </c>
      <c r="AB4" s="26">
        <v>0</v>
      </c>
      <c r="AC4" s="30">
        <v>46173</v>
      </c>
    </row>
    <row r="5" spans="1:29" x14ac:dyDescent="0.25">
      <c r="A5" s="31"/>
      <c r="B5" s="32"/>
      <c r="C5" s="31"/>
      <c r="D5" s="31"/>
      <c r="E5" s="31" t="s">
        <v>42</v>
      </c>
      <c r="F5" s="31">
        <v>983</v>
      </c>
      <c r="G5" s="33">
        <v>994.56</v>
      </c>
      <c r="H5" s="33">
        <v>41675.514554892005</v>
      </c>
      <c r="I5" s="34">
        <v>28579</v>
      </c>
      <c r="J5" s="34">
        <v>4562</v>
      </c>
      <c r="K5" s="34">
        <v>0</v>
      </c>
      <c r="L5" s="19">
        <v>2</v>
      </c>
      <c r="M5" s="14"/>
      <c r="N5" s="27"/>
      <c r="O5" s="6"/>
      <c r="P5" s="35"/>
      <c r="Q5" s="36">
        <v>5373</v>
      </c>
      <c r="R5" s="26">
        <v>17671</v>
      </c>
      <c r="S5" s="26">
        <v>201190</v>
      </c>
      <c r="T5" s="26">
        <v>10678</v>
      </c>
      <c r="U5" s="27"/>
      <c r="V5" s="25">
        <v>500</v>
      </c>
      <c r="W5" s="25">
        <v>0</v>
      </c>
      <c r="X5" s="37">
        <v>0</v>
      </c>
      <c r="Y5" s="25">
        <v>500</v>
      </c>
      <c r="Z5" s="25">
        <v>500</v>
      </c>
      <c r="AA5" s="25">
        <v>0</v>
      </c>
      <c r="AB5" s="25">
        <v>0</v>
      </c>
      <c r="AC5" s="27"/>
    </row>
  </sheetData>
  <conditionalFormatting sqref="C5 C1">
    <cfRule type="duplicateValues" dxfId="16" priority="12" stopIfTrue="1"/>
  </conditionalFormatting>
  <conditionalFormatting sqref="C2:C4">
    <cfRule type="duplicateValues" dxfId="15" priority="9"/>
  </conditionalFormatting>
  <conditionalFormatting sqref="C2:C4">
    <cfRule type="duplicateValues" dxfId="14" priority="10"/>
    <cfRule type="duplicateValues" dxfId="13" priority="11"/>
  </conditionalFormatting>
  <conditionalFormatting sqref="F2:F4">
    <cfRule type="containsText" dxfId="12" priority="7" operator="containsText" text="Indirect">
      <formula>NOT(ISERROR(SEARCH("Indirect",F2)))</formula>
    </cfRule>
  </conditionalFormatting>
  <conditionalFormatting sqref="I2:K4">
    <cfRule type="cellIs" dxfId="11" priority="6" operator="lessThan">
      <formula>-1</formula>
    </cfRule>
  </conditionalFormatting>
  <conditionalFormatting sqref="AA2:AB4">
    <cfRule type="cellIs" dxfId="10" priority="8" operator="lessThan">
      <formula>0</formula>
    </cfRule>
  </conditionalFormatting>
  <conditionalFormatting sqref="D5">
    <cfRule type="duplicateValues" dxfId="9" priority="5" stopIfTrue="1"/>
  </conditionalFormatting>
  <conditionalFormatting sqref="E5">
    <cfRule type="duplicateValues" dxfId="8" priority="4" stopIfTrue="1"/>
  </conditionalFormatting>
  <conditionalFormatting sqref="F5">
    <cfRule type="duplicateValues" dxfId="7" priority="3" stopIfTrue="1"/>
  </conditionalFormatting>
  <conditionalFormatting sqref="G5">
    <cfRule type="duplicateValues" dxfId="6" priority="2" stopIfTrue="1"/>
  </conditionalFormatting>
  <conditionalFormatting sqref="H5">
    <cfRule type="duplicateValues" dxfId="5" priority="1" stopIfTrue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EDA17-AF16-42F7-A326-D990479E4B65}">
  <dimension ref="A1:AC15"/>
  <sheetViews>
    <sheetView workbookViewId="0">
      <selection activeCell="B32" sqref="B32"/>
    </sheetView>
  </sheetViews>
  <sheetFormatPr defaultRowHeight="15" x14ac:dyDescent="0.25"/>
  <cols>
    <col min="1" max="1" width="13.140625" bestFit="1" customWidth="1"/>
    <col min="2" max="3" width="11.28515625" bestFit="1" customWidth="1"/>
    <col min="4" max="4" width="21.42578125" bestFit="1" customWidth="1"/>
    <col min="5" max="5" width="9" bestFit="1" customWidth="1"/>
    <col min="6" max="6" width="8.28515625" bestFit="1" customWidth="1"/>
    <col min="7" max="7" width="6.28515625" bestFit="1" customWidth="1"/>
    <col min="8" max="8" width="5.7109375" bestFit="1" customWidth="1"/>
    <col min="9" max="9" width="8" bestFit="1" customWidth="1"/>
    <col min="10" max="10" width="10.42578125" bestFit="1" customWidth="1"/>
    <col min="11" max="11" width="7.7109375" bestFit="1" customWidth="1"/>
    <col min="12" max="12" width="8" bestFit="1" customWidth="1"/>
    <col min="13" max="13" width="10.42578125" bestFit="1" customWidth="1"/>
    <col min="14" max="14" width="6.140625" bestFit="1" customWidth="1"/>
    <col min="15" max="15" width="9.7109375" bestFit="1" customWidth="1"/>
    <col min="16" max="16" width="9" bestFit="1" customWidth="1"/>
    <col min="18" max="18" width="15.85546875" bestFit="1" customWidth="1"/>
    <col min="19" max="19" width="15.140625" bestFit="1" customWidth="1"/>
    <col min="20" max="20" width="14.28515625" bestFit="1" customWidth="1"/>
    <col min="21" max="21" width="26.28515625" bestFit="1" customWidth="1"/>
    <col min="22" max="23" width="12.7109375" bestFit="1" customWidth="1"/>
    <col min="25" max="25" width="7.7109375" bestFit="1" customWidth="1"/>
    <col min="29" max="29" width="7" bestFit="1" customWidth="1"/>
  </cols>
  <sheetData>
    <row r="1" spans="1:29" ht="36.6" customHeight="1" x14ac:dyDescent="0.25">
      <c r="A1" s="38" t="s">
        <v>43</v>
      </c>
      <c r="B1" s="38" t="s">
        <v>1</v>
      </c>
      <c r="C1" s="38" t="s">
        <v>44</v>
      </c>
      <c r="D1" s="38" t="s">
        <v>45</v>
      </c>
      <c r="E1" s="39" t="s">
        <v>46</v>
      </c>
      <c r="F1" s="40" t="s">
        <v>47</v>
      </c>
      <c r="G1" s="41" t="s">
        <v>48</v>
      </c>
      <c r="H1" s="40" t="s">
        <v>49</v>
      </c>
      <c r="I1" s="40" t="s">
        <v>50</v>
      </c>
      <c r="J1" s="42" t="s">
        <v>8</v>
      </c>
      <c r="K1" s="42" t="s">
        <v>51</v>
      </c>
      <c r="L1" s="42" t="s">
        <v>52</v>
      </c>
      <c r="M1" s="42" t="s">
        <v>9</v>
      </c>
      <c r="N1" s="42" t="s">
        <v>10</v>
      </c>
      <c r="O1" s="42" t="s">
        <v>14</v>
      </c>
      <c r="P1" s="42" t="s">
        <v>53</v>
      </c>
      <c r="Q1" s="43" t="s">
        <v>54</v>
      </c>
      <c r="R1" s="44" t="s">
        <v>55</v>
      </c>
      <c r="S1" s="44" t="s">
        <v>56</v>
      </c>
      <c r="T1" s="44" t="s">
        <v>57</v>
      </c>
      <c r="U1" s="44" t="s">
        <v>58</v>
      </c>
      <c r="V1" s="45" t="s">
        <v>59</v>
      </c>
      <c r="W1" s="46" t="s">
        <v>16</v>
      </c>
      <c r="X1" s="47"/>
      <c r="Y1" s="48" t="s">
        <v>60</v>
      </c>
      <c r="AC1" t="s">
        <v>61</v>
      </c>
    </row>
    <row r="2" spans="1:29" x14ac:dyDescent="0.25">
      <c r="A2" t="s">
        <v>62</v>
      </c>
      <c r="B2" t="s">
        <v>31</v>
      </c>
      <c r="C2" s="49" t="s">
        <v>31</v>
      </c>
      <c r="D2" t="s">
        <v>32</v>
      </c>
      <c r="E2" s="49">
        <v>10020069</v>
      </c>
      <c r="F2" t="s">
        <v>63</v>
      </c>
      <c r="G2" s="49">
        <v>9</v>
      </c>
      <c r="H2" s="50">
        <v>20.59</v>
      </c>
      <c r="I2" s="51">
        <v>986.0802941246402</v>
      </c>
      <c r="J2" s="52">
        <v>0</v>
      </c>
      <c r="K2" s="52">
        <v>986.0802941246402</v>
      </c>
      <c r="L2" s="52">
        <v>0</v>
      </c>
      <c r="M2" s="50">
        <v>0</v>
      </c>
      <c r="N2" s="50">
        <v>0</v>
      </c>
      <c r="O2" s="52" t="s">
        <v>35</v>
      </c>
      <c r="P2" s="52">
        <v>0</v>
      </c>
      <c r="Q2" s="49" t="s">
        <v>34</v>
      </c>
      <c r="R2">
        <v>0</v>
      </c>
      <c r="S2">
        <v>0</v>
      </c>
      <c r="T2">
        <v>0</v>
      </c>
      <c r="U2">
        <v>0</v>
      </c>
      <c r="V2" t="s">
        <v>64</v>
      </c>
      <c r="W2" t="s">
        <v>37</v>
      </c>
      <c r="Y2" s="53">
        <v>0</v>
      </c>
    </row>
    <row r="3" spans="1:29" x14ac:dyDescent="0.25">
      <c r="A3" t="s">
        <v>65</v>
      </c>
      <c r="B3" t="s">
        <v>31</v>
      </c>
      <c r="C3" s="49" t="s">
        <v>31</v>
      </c>
      <c r="D3" t="s">
        <v>32</v>
      </c>
      <c r="E3" s="49">
        <v>10020069</v>
      </c>
      <c r="F3" t="s">
        <v>66</v>
      </c>
      <c r="G3" s="49">
        <v>14</v>
      </c>
      <c r="H3" s="50">
        <v>328.65000000000003</v>
      </c>
      <c r="I3" s="51">
        <v>13375.0318106634</v>
      </c>
      <c r="J3" s="52">
        <v>0</v>
      </c>
      <c r="K3" s="52">
        <v>0</v>
      </c>
      <c r="L3" s="52">
        <v>9388</v>
      </c>
      <c r="M3" s="50">
        <v>3487</v>
      </c>
      <c r="N3" s="50">
        <v>500</v>
      </c>
      <c r="O3" s="52" t="s">
        <v>35</v>
      </c>
      <c r="P3" s="52">
        <v>0</v>
      </c>
      <c r="Q3" s="49" t="s">
        <v>34</v>
      </c>
      <c r="R3" t="s">
        <v>67</v>
      </c>
      <c r="S3" t="s">
        <v>68</v>
      </c>
      <c r="T3" t="s">
        <v>69</v>
      </c>
      <c r="U3" t="s">
        <v>70</v>
      </c>
      <c r="V3" t="s">
        <v>71</v>
      </c>
      <c r="W3" t="s">
        <v>37</v>
      </c>
      <c r="Y3" s="53">
        <v>28.487820682989138</v>
      </c>
    </row>
    <row r="4" spans="1:29" x14ac:dyDescent="0.25">
      <c r="A4" t="s">
        <v>72</v>
      </c>
      <c r="B4" t="s">
        <v>31</v>
      </c>
      <c r="C4" s="49" t="s">
        <v>31</v>
      </c>
      <c r="D4" t="s">
        <v>32</v>
      </c>
      <c r="E4" s="49">
        <v>10020069</v>
      </c>
      <c r="F4" t="s">
        <v>73</v>
      </c>
      <c r="G4" s="49">
        <v>6</v>
      </c>
      <c r="H4" s="50">
        <v>75.38000000000001</v>
      </c>
      <c r="I4" s="51">
        <v>3505.7456908321401</v>
      </c>
      <c r="J4" s="52">
        <v>0</v>
      </c>
      <c r="K4" s="52">
        <v>0</v>
      </c>
      <c r="L4" s="52">
        <v>0</v>
      </c>
      <c r="M4" s="50">
        <v>3506</v>
      </c>
      <c r="N4" s="50">
        <v>0</v>
      </c>
      <c r="O4" s="52" t="s">
        <v>35</v>
      </c>
      <c r="P4" s="52">
        <v>0</v>
      </c>
      <c r="Q4" s="49" t="s">
        <v>34</v>
      </c>
      <c r="R4" t="s">
        <v>74</v>
      </c>
      <c r="S4" t="s">
        <v>75</v>
      </c>
      <c r="T4" t="s">
        <v>76</v>
      </c>
      <c r="U4" t="s">
        <v>77</v>
      </c>
      <c r="V4" t="s">
        <v>71</v>
      </c>
      <c r="W4" t="s">
        <v>37</v>
      </c>
      <c r="Y4" s="53">
        <v>13.952291154810853</v>
      </c>
    </row>
    <row r="5" spans="1:29" x14ac:dyDescent="0.25">
      <c r="A5" t="s">
        <v>78</v>
      </c>
      <c r="B5" t="s">
        <v>38</v>
      </c>
      <c r="C5" s="49" t="s">
        <v>38</v>
      </c>
      <c r="D5" t="s">
        <v>39</v>
      </c>
      <c r="E5" s="49">
        <v>10560036</v>
      </c>
      <c r="F5" t="s">
        <v>66</v>
      </c>
      <c r="G5">
        <v>12</v>
      </c>
      <c r="H5" s="50">
        <v>448.36</v>
      </c>
      <c r="I5" s="50">
        <v>21898.737940560179</v>
      </c>
      <c r="J5" s="52">
        <v>0</v>
      </c>
      <c r="K5" s="52">
        <v>0</v>
      </c>
      <c r="L5" s="52">
        <v>2317</v>
      </c>
      <c r="M5" s="50">
        <v>0</v>
      </c>
      <c r="N5" s="50">
        <v>0</v>
      </c>
      <c r="O5" s="52" t="s">
        <v>35</v>
      </c>
      <c r="P5" s="52">
        <v>19582</v>
      </c>
      <c r="Q5" s="49" t="s">
        <v>34</v>
      </c>
      <c r="R5" t="s">
        <v>79</v>
      </c>
      <c r="S5" t="s">
        <v>80</v>
      </c>
      <c r="T5" t="s">
        <v>76</v>
      </c>
      <c r="U5" t="s">
        <v>81</v>
      </c>
      <c r="V5" t="s">
        <v>71</v>
      </c>
      <c r="W5" t="s">
        <v>37</v>
      </c>
      <c r="X5" s="54"/>
      <c r="Y5" s="53">
        <v>29.305118129039407</v>
      </c>
    </row>
    <row r="6" spans="1:29" x14ac:dyDescent="0.25">
      <c r="A6" t="s">
        <v>82</v>
      </c>
      <c r="B6" t="s">
        <v>40</v>
      </c>
      <c r="C6" s="49" t="s">
        <v>40</v>
      </c>
      <c r="D6" t="s">
        <v>41</v>
      </c>
      <c r="E6" s="49">
        <v>10570047</v>
      </c>
      <c r="F6" t="s">
        <v>73</v>
      </c>
      <c r="G6">
        <v>14</v>
      </c>
      <c r="H6" s="50">
        <v>95.499999999999972</v>
      </c>
      <c r="I6" s="50">
        <v>3789.2637388340008</v>
      </c>
      <c r="J6" s="52">
        <v>0</v>
      </c>
      <c r="K6" s="52">
        <v>0</v>
      </c>
      <c r="L6" s="52">
        <v>0</v>
      </c>
      <c r="M6" s="50">
        <v>0</v>
      </c>
      <c r="N6" s="50">
        <v>0</v>
      </c>
      <c r="O6" s="52" t="s">
        <v>35</v>
      </c>
      <c r="P6" s="52">
        <v>3789</v>
      </c>
      <c r="Q6" s="49" t="s">
        <v>34</v>
      </c>
      <c r="R6" t="s">
        <v>83</v>
      </c>
      <c r="S6" t="s">
        <v>84</v>
      </c>
      <c r="T6" t="s">
        <v>85</v>
      </c>
      <c r="U6" t="s">
        <v>86</v>
      </c>
      <c r="V6" t="s">
        <v>71</v>
      </c>
      <c r="W6" t="s">
        <v>37</v>
      </c>
      <c r="Y6" s="53">
        <v>27.774708033338239</v>
      </c>
    </row>
    <row r="7" spans="1:29" x14ac:dyDescent="0.25">
      <c r="A7" t="s">
        <v>87</v>
      </c>
      <c r="B7" t="s">
        <v>40</v>
      </c>
      <c r="C7" s="49" t="s">
        <v>40</v>
      </c>
      <c r="D7" t="s">
        <v>41</v>
      </c>
      <c r="E7" s="49">
        <v>10570047</v>
      </c>
      <c r="F7" t="s">
        <v>88</v>
      </c>
      <c r="G7">
        <v>14</v>
      </c>
      <c r="H7" s="50">
        <v>91.700000000000017</v>
      </c>
      <c r="I7" s="50">
        <v>3056.8417241775001</v>
      </c>
      <c r="J7" s="52">
        <v>0</v>
      </c>
      <c r="K7" s="52">
        <v>0</v>
      </c>
      <c r="L7" s="52">
        <v>0</v>
      </c>
      <c r="M7" s="50">
        <v>0</v>
      </c>
      <c r="N7" s="50">
        <v>0</v>
      </c>
      <c r="O7" s="52" t="s">
        <v>35</v>
      </c>
      <c r="P7" s="52">
        <v>3057</v>
      </c>
      <c r="Q7" s="49" t="s">
        <v>34</v>
      </c>
      <c r="R7" t="s">
        <v>74</v>
      </c>
      <c r="S7" t="s">
        <v>89</v>
      </c>
      <c r="T7" t="s">
        <v>85</v>
      </c>
      <c r="U7" t="s">
        <v>86</v>
      </c>
      <c r="V7" t="s">
        <v>71</v>
      </c>
      <c r="W7" t="s">
        <v>37</v>
      </c>
      <c r="Y7" s="53">
        <v>23.334669650209925</v>
      </c>
    </row>
    <row r="8" spans="1:29" x14ac:dyDescent="0.25">
      <c r="A8" t="s">
        <v>90</v>
      </c>
      <c r="B8" t="s">
        <v>40</v>
      </c>
      <c r="C8" s="49" t="s">
        <v>40</v>
      </c>
      <c r="D8" t="s">
        <v>41</v>
      </c>
      <c r="E8" s="49">
        <v>10570047</v>
      </c>
      <c r="F8" t="s">
        <v>91</v>
      </c>
      <c r="G8">
        <v>14</v>
      </c>
      <c r="H8" s="50">
        <v>43.2</v>
      </c>
      <c r="I8" s="50">
        <v>1418.6366864205002</v>
      </c>
      <c r="J8" s="52">
        <v>0</v>
      </c>
      <c r="K8" s="52">
        <v>0</v>
      </c>
      <c r="L8" s="52">
        <v>0</v>
      </c>
      <c r="M8" s="50">
        <v>0</v>
      </c>
      <c r="N8" s="50">
        <v>0</v>
      </c>
      <c r="O8" s="52" t="s">
        <v>35</v>
      </c>
      <c r="P8" s="52">
        <v>1419</v>
      </c>
      <c r="Q8" s="49" t="s">
        <v>34</v>
      </c>
      <c r="R8" t="s">
        <v>92</v>
      </c>
      <c r="S8" t="s">
        <v>93</v>
      </c>
      <c r="T8" t="s">
        <v>85</v>
      </c>
      <c r="U8" t="s">
        <v>86</v>
      </c>
      <c r="V8" t="s">
        <v>71</v>
      </c>
      <c r="W8" t="s">
        <v>37</v>
      </c>
      <c r="Y8" s="53">
        <v>22.98716852996181</v>
      </c>
    </row>
    <row r="9" spans="1:29" x14ac:dyDescent="0.25">
      <c r="A9" t="s">
        <v>94</v>
      </c>
      <c r="B9" t="s">
        <v>40</v>
      </c>
      <c r="C9" s="49" t="s">
        <v>40</v>
      </c>
      <c r="D9" t="s">
        <v>41</v>
      </c>
      <c r="E9" s="49">
        <v>10570047</v>
      </c>
      <c r="F9" t="s">
        <v>95</v>
      </c>
      <c r="G9">
        <v>6</v>
      </c>
      <c r="H9" s="50">
        <v>13.399999999999999</v>
      </c>
      <c r="I9" s="50">
        <v>831.76420899870004</v>
      </c>
      <c r="J9" s="52">
        <v>0</v>
      </c>
      <c r="K9" s="52">
        <v>0</v>
      </c>
      <c r="L9" s="52">
        <v>0</v>
      </c>
      <c r="M9" s="50">
        <v>0</v>
      </c>
      <c r="N9" s="50">
        <v>0</v>
      </c>
      <c r="O9" s="52" t="s">
        <v>35</v>
      </c>
      <c r="P9" s="52">
        <v>832</v>
      </c>
      <c r="Q9" s="49" t="s">
        <v>34</v>
      </c>
      <c r="R9">
        <v>0</v>
      </c>
      <c r="S9">
        <v>0</v>
      </c>
      <c r="T9">
        <v>0</v>
      </c>
      <c r="U9">
        <v>0</v>
      </c>
      <c r="V9" t="s">
        <v>64</v>
      </c>
      <c r="W9" t="s">
        <v>37</v>
      </c>
      <c r="Y9" s="53">
        <v>18.621586768627619</v>
      </c>
    </row>
    <row r="10" spans="1:29" x14ac:dyDescent="0.25">
      <c r="A10" t="s">
        <v>96</v>
      </c>
      <c r="B10" t="s">
        <v>40</v>
      </c>
      <c r="C10" s="49" t="s">
        <v>40</v>
      </c>
      <c r="D10" t="s">
        <v>41</v>
      </c>
      <c r="E10" s="49">
        <v>10570047</v>
      </c>
      <c r="F10" t="s">
        <v>97</v>
      </c>
      <c r="G10">
        <v>7</v>
      </c>
      <c r="H10" s="50">
        <v>14.7</v>
      </c>
      <c r="I10" s="50">
        <v>944.79876337100018</v>
      </c>
      <c r="J10" s="52">
        <v>0</v>
      </c>
      <c r="K10" s="52">
        <v>0</v>
      </c>
      <c r="L10" s="52">
        <v>0</v>
      </c>
      <c r="M10" s="50">
        <v>0</v>
      </c>
      <c r="N10" s="50">
        <v>0</v>
      </c>
      <c r="O10" s="52" t="s">
        <v>35</v>
      </c>
      <c r="P10" s="52">
        <v>945</v>
      </c>
      <c r="Q10" s="49" t="s">
        <v>34</v>
      </c>
      <c r="R10">
        <v>0</v>
      </c>
      <c r="S10">
        <v>0</v>
      </c>
      <c r="T10">
        <v>0</v>
      </c>
      <c r="U10">
        <v>0</v>
      </c>
      <c r="V10" t="s">
        <v>64</v>
      </c>
      <c r="W10" t="s">
        <v>37</v>
      </c>
      <c r="Y10" s="53">
        <v>22.495208651690483</v>
      </c>
    </row>
    <row r="11" spans="1:29" x14ac:dyDescent="0.25">
      <c r="A11" t="s">
        <v>98</v>
      </c>
      <c r="B11" t="s">
        <v>40</v>
      </c>
      <c r="C11" s="49" t="s">
        <v>40</v>
      </c>
      <c r="D11" t="s">
        <v>41</v>
      </c>
      <c r="E11" s="49">
        <v>10570047</v>
      </c>
      <c r="F11" t="s">
        <v>99</v>
      </c>
      <c r="G11">
        <v>13</v>
      </c>
      <c r="H11" s="50">
        <v>25.400000000000006</v>
      </c>
      <c r="I11" s="50">
        <v>1395.9513826330003</v>
      </c>
      <c r="J11" s="52">
        <v>0</v>
      </c>
      <c r="K11" s="52">
        <v>0</v>
      </c>
      <c r="L11" s="52">
        <v>0</v>
      </c>
      <c r="M11" s="50">
        <v>0</v>
      </c>
      <c r="N11" s="50">
        <v>0</v>
      </c>
      <c r="O11" s="52" t="s">
        <v>35</v>
      </c>
      <c r="P11" s="52">
        <v>1396</v>
      </c>
      <c r="Q11" s="49" t="s">
        <v>34</v>
      </c>
      <c r="R11">
        <v>0</v>
      </c>
      <c r="S11">
        <v>0</v>
      </c>
      <c r="T11">
        <v>0</v>
      </c>
      <c r="U11">
        <v>0</v>
      </c>
      <c r="V11" t="s">
        <v>64</v>
      </c>
      <c r="W11" t="s">
        <v>37</v>
      </c>
      <c r="Y11" s="53">
        <v>35.723165303600396</v>
      </c>
    </row>
    <row r="12" spans="1:29" x14ac:dyDescent="0.25">
      <c r="A12" t="s">
        <v>100</v>
      </c>
      <c r="B12" t="s">
        <v>40</v>
      </c>
      <c r="C12" s="49" t="s">
        <v>40</v>
      </c>
      <c r="D12" t="s">
        <v>41</v>
      </c>
      <c r="E12" s="49">
        <v>10570047</v>
      </c>
      <c r="F12" t="s">
        <v>101</v>
      </c>
      <c r="G12">
        <v>8</v>
      </c>
      <c r="H12" s="50">
        <v>10.5</v>
      </c>
      <c r="I12" s="50">
        <v>484.04313015299994</v>
      </c>
      <c r="J12" s="52">
        <v>0</v>
      </c>
      <c r="K12" s="52">
        <v>0</v>
      </c>
      <c r="L12" s="52">
        <v>0</v>
      </c>
      <c r="M12" s="50">
        <v>0</v>
      </c>
      <c r="N12" s="50">
        <v>0</v>
      </c>
      <c r="O12" s="52" t="s">
        <v>35</v>
      </c>
      <c r="P12" s="52">
        <v>484</v>
      </c>
      <c r="Q12" s="49" t="s">
        <v>34</v>
      </c>
      <c r="R12">
        <v>0</v>
      </c>
      <c r="S12">
        <v>0</v>
      </c>
      <c r="T12">
        <v>0</v>
      </c>
      <c r="U12">
        <v>0</v>
      </c>
      <c r="V12" t="s">
        <v>64</v>
      </c>
      <c r="W12" t="s">
        <v>37</v>
      </c>
      <c r="Y12" s="53">
        <v>18.439738291542856</v>
      </c>
    </row>
    <row r="13" spans="1:29" x14ac:dyDescent="0.25">
      <c r="A13" t="s">
        <v>102</v>
      </c>
      <c r="B13" t="s">
        <v>40</v>
      </c>
      <c r="C13" s="49" t="s">
        <v>40</v>
      </c>
      <c r="D13" t="s">
        <v>41</v>
      </c>
      <c r="E13" s="49">
        <v>10570047</v>
      </c>
      <c r="F13" t="s">
        <v>103</v>
      </c>
      <c r="G13">
        <v>13</v>
      </c>
      <c r="H13" s="50">
        <v>27.700000000000003</v>
      </c>
      <c r="I13" s="50">
        <v>905.44970103449998</v>
      </c>
      <c r="J13" s="52">
        <v>0</v>
      </c>
      <c r="K13" s="52">
        <v>0</v>
      </c>
      <c r="L13" s="52">
        <v>0</v>
      </c>
      <c r="M13" s="50">
        <v>0</v>
      </c>
      <c r="N13" s="50">
        <v>0</v>
      </c>
      <c r="O13" s="52" t="s">
        <v>35</v>
      </c>
      <c r="P13" s="52">
        <v>905</v>
      </c>
      <c r="Q13" s="49" t="s">
        <v>34</v>
      </c>
      <c r="R13">
        <v>0</v>
      </c>
      <c r="S13">
        <v>0</v>
      </c>
      <c r="T13">
        <v>0</v>
      </c>
      <c r="U13">
        <v>0</v>
      </c>
      <c r="V13" t="s">
        <v>64</v>
      </c>
      <c r="W13" t="s">
        <v>37</v>
      </c>
      <c r="X13" s="54"/>
      <c r="Y13" s="53">
        <v>21.247014645213898</v>
      </c>
    </row>
    <row r="14" spans="1:29" ht="15.75" thickBot="1" x14ac:dyDescent="0.3">
      <c r="A14" s="55" t="s">
        <v>104</v>
      </c>
      <c r="B14" s="55" t="s">
        <v>40</v>
      </c>
      <c r="C14" s="56" t="s">
        <v>40</v>
      </c>
      <c r="D14" s="55" t="s">
        <v>41</v>
      </c>
      <c r="E14" s="56">
        <v>10570047</v>
      </c>
      <c r="F14" s="55" t="s">
        <v>105</v>
      </c>
      <c r="G14" s="55">
        <v>9</v>
      </c>
      <c r="H14" s="57">
        <v>13</v>
      </c>
      <c r="I14" s="57">
        <v>731.81999389489988</v>
      </c>
      <c r="J14" s="58">
        <v>0</v>
      </c>
      <c r="K14" s="58">
        <v>0</v>
      </c>
      <c r="L14" s="58">
        <v>0</v>
      </c>
      <c r="M14" s="57">
        <v>0</v>
      </c>
      <c r="N14" s="57">
        <v>0</v>
      </c>
      <c r="O14" s="58" t="s">
        <v>35</v>
      </c>
      <c r="P14" s="58">
        <v>732</v>
      </c>
      <c r="Q14" s="56" t="s">
        <v>34</v>
      </c>
      <c r="R14" s="55" t="s">
        <v>106</v>
      </c>
      <c r="S14" s="55" t="s">
        <v>107</v>
      </c>
      <c r="T14" s="55" t="s">
        <v>108</v>
      </c>
      <c r="U14" s="55" t="s">
        <v>86</v>
      </c>
      <c r="V14" s="55" t="s">
        <v>71</v>
      </c>
      <c r="W14" s="55" t="s">
        <v>37</v>
      </c>
      <c r="Y14" s="53">
        <v>25.332230557900381</v>
      </c>
    </row>
    <row r="15" spans="1:29" ht="15.75" thickTop="1" x14ac:dyDescent="0.25">
      <c r="P15" s="59">
        <f>SUM(P2:P14)</f>
        <v>33141</v>
      </c>
    </row>
  </sheetData>
  <conditionalFormatting sqref="P1:P14">
    <cfRule type="cellIs" dxfId="4" priority="4" operator="lessThan">
      <formula>0</formula>
    </cfRule>
  </conditionalFormatting>
  <conditionalFormatting sqref="S1">
    <cfRule type="duplicateValues" dxfId="3" priority="5"/>
  </conditionalFormatting>
  <conditionalFormatting sqref="A2:A14">
    <cfRule type="duplicateValues" dxfId="2" priority="3"/>
  </conditionalFormatting>
  <conditionalFormatting sqref="A2:A14">
    <cfRule type="duplicateValues" dxfId="1" priority="2"/>
  </conditionalFormatting>
  <conditionalFormatting sqref="P2:P14">
    <cfRule type="cellIs" dxfId="0" priority="1" operator="lessThan">
      <formula>-1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MPG</vt:lpstr>
      <vt:lpstr>Farmer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2026-06-16T05:23:07Z</dcterms:created>
  <dcterms:modified xsi:type="dcterms:W3CDTF">2026-06-16T05:27:30Z</dcterms:modified>
</cp:coreProperties>
</file>