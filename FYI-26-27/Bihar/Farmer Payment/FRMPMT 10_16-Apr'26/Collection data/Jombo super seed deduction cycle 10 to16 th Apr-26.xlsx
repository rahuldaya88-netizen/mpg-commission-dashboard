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RMPMT 10_16-Apr'26\Collection data\"/>
    </mc:Choice>
  </mc:AlternateContent>
  <xr:revisionPtr revIDLastSave="0" documentId="13_ncr:1_{F8D451B4-C107-45F6-8751-9227787EB795}" xr6:coauthVersionLast="47" xr6:coauthVersionMax="47" xr10:uidLastSave="{00000000-0000-0000-0000-000000000000}"/>
  <bookViews>
    <workbookView xWindow="-120" yWindow="-120" windowWidth="29040" windowHeight="15720" xr2:uid="{4183E519-6710-45A4-AAEB-11B857CD72FC}"/>
  </bookViews>
  <sheets>
    <sheet name="Sheet1" sheetId="1" r:id="rId1"/>
  </sheets>
  <externalReferences>
    <externalReference r:id="rId2"/>
  </externalReferences>
  <definedNames>
    <definedName name="_xlnm._FilterDatabase" localSheetId="0" hidden="1">Sheet1!$A$2:$J$2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1" l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J19" i="1"/>
  <c r="J29" i="1"/>
  <c r="H30" i="1"/>
  <c r="J28" i="1"/>
  <c r="J27" i="1"/>
  <c r="J26" i="1"/>
  <c r="J25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20" i="1"/>
  <c r="J21" i="1"/>
  <c r="J22" i="1"/>
  <c r="J23" i="1"/>
  <c r="J24" i="1"/>
  <c r="J3" i="1"/>
  <c r="K30" i="1" l="1"/>
  <c r="J30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E27" i="1" l="1"/>
  <c r="E3" i="1" l="1"/>
  <c r="E10" i="1"/>
  <c r="E21" i="1" l="1"/>
  <c r="E23" i="1"/>
  <c r="E22" i="1"/>
  <c r="E24" i="1"/>
  <c r="E16" i="1"/>
  <c r="E19" i="1"/>
  <c r="E11" i="1"/>
  <c r="E13" i="1"/>
  <c r="E15" i="1"/>
  <c r="E17" i="1"/>
  <c r="E18" i="1"/>
  <c r="E20" i="1"/>
  <c r="E12" i="1"/>
  <c r="E14" i="1"/>
  <c r="E9" i="1"/>
  <c r="E7" i="1"/>
  <c r="E6" i="1"/>
  <c r="E8" i="1"/>
  <c r="E28" i="1"/>
  <c r="E29" i="1"/>
  <c r="E25" i="1"/>
  <c r="E26" i="1"/>
  <c r="E4" i="1"/>
  <c r="E5" i="1"/>
</calcChain>
</file>

<file path=xl/sharedStrings.xml><?xml version="1.0" encoding="utf-8"?>
<sst xmlns="http://schemas.openxmlformats.org/spreadsheetml/2006/main" count="91" uniqueCount="41">
  <si>
    <t>Sl. No</t>
  </si>
  <si>
    <t xml:space="preserve">BCM Name </t>
  </si>
  <si>
    <t>MPG Code</t>
  </si>
  <si>
    <t>Type</t>
  </si>
  <si>
    <t xml:space="preserve">MPG name </t>
  </si>
  <si>
    <t>Qty</t>
  </si>
  <si>
    <t>Rate</t>
  </si>
  <si>
    <t>Amount</t>
  </si>
  <si>
    <t>GOMUKH HATHA</t>
  </si>
  <si>
    <t>Farmer Code</t>
  </si>
  <si>
    <t>0002</t>
  </si>
  <si>
    <t>Kalyanpur</t>
  </si>
  <si>
    <t>GOMUKH VADEYA</t>
  </si>
  <si>
    <t>0004</t>
  </si>
  <si>
    <t>0006</t>
  </si>
  <si>
    <t>0009</t>
  </si>
  <si>
    <t>0051</t>
  </si>
  <si>
    <t>Gomukh Bharav</t>
  </si>
  <si>
    <t>0042</t>
  </si>
  <si>
    <t>0010</t>
  </si>
  <si>
    <t>0021</t>
  </si>
  <si>
    <t>GOMUKH PREMNAGAR</t>
  </si>
  <si>
    <t>Gomukh CHANDAULI</t>
  </si>
  <si>
    <t>0038</t>
  </si>
  <si>
    <t>0039</t>
  </si>
  <si>
    <t>0028</t>
  </si>
  <si>
    <t>0014</t>
  </si>
  <si>
    <t>0019</t>
  </si>
  <si>
    <t>0022</t>
  </si>
  <si>
    <t>0027</t>
  </si>
  <si>
    <t>0052</t>
  </si>
  <si>
    <t>GOMUKH SUSTA</t>
  </si>
  <si>
    <t>0003</t>
  </si>
  <si>
    <t>Jambo super seeds  deduction cycle 13thApr to 18th Apr-2026</t>
  </si>
  <si>
    <t>Gomukh Telihar</t>
  </si>
  <si>
    <t>Chautham</t>
  </si>
  <si>
    <t>Gomukh Chhotaki Hardiya</t>
  </si>
  <si>
    <t>Pipra (VLC)</t>
  </si>
  <si>
    <t>0036</t>
  </si>
  <si>
    <t>ID</t>
  </si>
  <si>
    <t>Deduction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</si>
</sst>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03.%20Farmer%20Payment-10-16%20Apr.xlsb" TargetMode="External"/><Relationship Id="rId2" Type="http://schemas.openxmlformats.org/officeDocument/2006/relationships/externalLinkPath" Target="file:///C:\Users\rahul\Desktop\Rahul%20Backup\Farmer%20Payment\FYI-26-27\Bihar\FRMPMT%2010_16-Apr'26\03.%20Farmer%20Payment-10-16%20Apr.xlsb" TargetMode="External"/><Relationship Id="rId1" Type="http://schemas.openxmlformats.org/officeDocument/2006/relationships/externalLinkPath" Target="/Users/rahul/Desktop/Rahul%20Backup/Farmer%20Payment/FYI-26-27/Bihar/FRMPMT%2010_16-Apr'26/03.%20Farmer%20Payment-10-16%20Apr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rmer PDF"/>
      <sheetName val="MPG PDF"/>
      <sheetName val="MPG Payment"/>
      <sheetName val="Farmer Payment Calc"/>
      <sheetName val="Farmer Bank"/>
      <sheetName val="MPG Bank"/>
      <sheetName val="MCC-BMC"/>
      <sheetName val="LOSS"/>
    </sheetNames>
    <sheetDataSet>
      <sheetData sheetId="0"/>
      <sheetData sheetId="1"/>
      <sheetData sheetId="2">
        <row r="3">
          <cell r="C3" t="str">
            <v xml:space="preserve">Code </v>
          </cell>
          <cell r="D3" t="str">
            <v xml:space="preserve">MPG NAME </v>
          </cell>
          <cell r="E3" t="str">
            <v>Type</v>
          </cell>
          <cell r="F3" t="str">
            <v>Farmer Payment</v>
          </cell>
        </row>
        <row r="4">
          <cell r="C4">
            <v>10010013</v>
          </cell>
          <cell r="D4" t="str">
            <v>Gomukh Kumbhi</v>
          </cell>
          <cell r="E4" t="str">
            <v>MPG</v>
          </cell>
          <cell r="F4" t="str">
            <v>Direct</v>
          </cell>
        </row>
        <row r="5">
          <cell r="C5">
            <v>10010017</v>
          </cell>
          <cell r="D5" t="str">
            <v>Gomukh Amba</v>
          </cell>
          <cell r="E5" t="str">
            <v>MPG</v>
          </cell>
          <cell r="F5" t="str">
            <v>Direct</v>
          </cell>
        </row>
        <row r="6">
          <cell r="C6">
            <v>10010019</v>
          </cell>
          <cell r="D6" t="str">
            <v xml:space="preserve">Gomukh Jagdar                                                                                       </v>
          </cell>
          <cell r="E6" t="str">
            <v>MPG</v>
          </cell>
          <cell r="F6" t="str">
            <v>Direct</v>
          </cell>
        </row>
        <row r="7">
          <cell r="C7">
            <v>10010038</v>
          </cell>
          <cell r="D7" t="str">
            <v>Gomukh Goriyari</v>
          </cell>
          <cell r="E7" t="str">
            <v>MPG</v>
          </cell>
          <cell r="F7" t="str">
            <v>Direct</v>
          </cell>
        </row>
        <row r="8">
          <cell r="C8">
            <v>10010044</v>
          </cell>
          <cell r="D8" t="str">
            <v>Gomukh Kanausi</v>
          </cell>
          <cell r="E8" t="str">
            <v>MPG</v>
          </cell>
          <cell r="F8" t="str">
            <v>Direct</v>
          </cell>
        </row>
        <row r="9">
          <cell r="C9">
            <v>10010047</v>
          </cell>
          <cell r="D9" t="str">
            <v>Mohanpur - Chandan</v>
          </cell>
          <cell r="E9" t="str">
            <v>vlc</v>
          </cell>
          <cell r="F9" t="str">
            <v>Indirect</v>
          </cell>
        </row>
        <row r="10">
          <cell r="C10">
            <v>10010049</v>
          </cell>
          <cell r="D10" t="str">
            <v>Birpur-2 - Pankaj</v>
          </cell>
          <cell r="E10" t="str">
            <v>vlc</v>
          </cell>
          <cell r="F10" t="str">
            <v>Indirect</v>
          </cell>
        </row>
        <row r="11">
          <cell r="C11">
            <v>10010050</v>
          </cell>
          <cell r="D11" t="str">
            <v>Ekamba - Ashutosh</v>
          </cell>
          <cell r="E11" t="str">
            <v>vlc</v>
          </cell>
          <cell r="F11" t="str">
            <v>Indirect</v>
          </cell>
        </row>
        <row r="12">
          <cell r="C12">
            <v>10010051</v>
          </cell>
          <cell r="D12" t="str">
            <v>Gomukh Dunahi</v>
          </cell>
          <cell r="E12" t="str">
            <v>MPG</v>
          </cell>
          <cell r="F12" t="str">
            <v>Direct</v>
          </cell>
        </row>
        <row r="13">
          <cell r="C13">
            <v>10010055</v>
          </cell>
          <cell r="D13" t="str">
            <v xml:space="preserve">GOMUKH BIRPUR PASCHIM                                                                               </v>
          </cell>
          <cell r="E13" t="str">
            <v>MPG</v>
          </cell>
          <cell r="F13" t="str">
            <v>Direct</v>
          </cell>
        </row>
        <row r="14">
          <cell r="C14">
            <v>10010056</v>
          </cell>
          <cell r="D14" t="str">
            <v xml:space="preserve">Gomukh Harigiridham                                                                                 </v>
          </cell>
          <cell r="E14" t="str">
            <v>MPG</v>
          </cell>
          <cell r="F14" t="str">
            <v>Direct</v>
          </cell>
        </row>
        <row r="15">
          <cell r="C15">
            <v>10010057</v>
          </cell>
          <cell r="D15" t="str">
            <v xml:space="preserve">Manish Dairy                                                                                        </v>
          </cell>
          <cell r="E15" t="str">
            <v>vlc</v>
          </cell>
          <cell r="F15" t="str">
            <v>Indirect</v>
          </cell>
        </row>
        <row r="16">
          <cell r="C16">
            <v>10010076</v>
          </cell>
          <cell r="D16" t="str">
            <v>Gomukh Bhith-02</v>
          </cell>
          <cell r="E16" t="str">
            <v>MPG</v>
          </cell>
          <cell r="F16" t="str">
            <v>Direct</v>
          </cell>
        </row>
        <row r="17">
          <cell r="C17">
            <v>10010080</v>
          </cell>
          <cell r="D17" t="str">
            <v>Gomukh Paguraha</v>
          </cell>
          <cell r="E17" t="str">
            <v>MPG</v>
          </cell>
          <cell r="F17" t="str">
            <v>Direct</v>
          </cell>
        </row>
        <row r="18">
          <cell r="C18">
            <v>10010082</v>
          </cell>
          <cell r="D18" t="str">
            <v>Gomukh Sharmatola Sahuri</v>
          </cell>
          <cell r="E18" t="str">
            <v>MPG</v>
          </cell>
          <cell r="F18" t="str">
            <v>Direct</v>
          </cell>
        </row>
        <row r="19">
          <cell r="C19">
            <v>10010084</v>
          </cell>
          <cell r="D19" t="str">
            <v>Sangat- Sanjeev Kumar</v>
          </cell>
          <cell r="E19" t="str">
            <v>vlc</v>
          </cell>
          <cell r="F19" t="str">
            <v>Indirect</v>
          </cell>
        </row>
        <row r="20">
          <cell r="C20">
            <v>10010086</v>
          </cell>
          <cell r="D20" t="str">
            <v>Gomukh Garhi Bisanpur</v>
          </cell>
          <cell r="E20" t="str">
            <v>MPG</v>
          </cell>
          <cell r="F20" t="str">
            <v>Direct</v>
          </cell>
        </row>
        <row r="21">
          <cell r="C21">
            <v>10010087</v>
          </cell>
          <cell r="D21" t="str">
            <v>Bagaraha-Gopal Yadav</v>
          </cell>
          <cell r="E21" t="str">
            <v>vlc</v>
          </cell>
          <cell r="F21" t="str">
            <v>Indirect</v>
          </cell>
        </row>
        <row r="22">
          <cell r="C22">
            <v>10010089</v>
          </cell>
          <cell r="D22" t="str">
            <v>Gomukh Barkurwa</v>
          </cell>
          <cell r="E22" t="str">
            <v>MPG</v>
          </cell>
          <cell r="F22" t="str">
            <v>Direct</v>
          </cell>
        </row>
        <row r="23">
          <cell r="C23">
            <v>10010092</v>
          </cell>
          <cell r="D23" t="str">
            <v>Kamla- Amarjeet</v>
          </cell>
          <cell r="E23" t="str">
            <v>vlc</v>
          </cell>
          <cell r="F23" t="str">
            <v>Indirect</v>
          </cell>
        </row>
        <row r="24">
          <cell r="C24">
            <v>10010095</v>
          </cell>
          <cell r="D24" t="str">
            <v>Gomukh Goha-02</v>
          </cell>
          <cell r="E24" t="str">
            <v>MPG</v>
          </cell>
          <cell r="F24" t="str">
            <v>Direct</v>
          </cell>
        </row>
        <row r="25">
          <cell r="C25">
            <v>10010097</v>
          </cell>
          <cell r="D25" t="str">
            <v>Gomukh Cheria Bariarpur</v>
          </cell>
          <cell r="E25" t="str">
            <v>MPG</v>
          </cell>
          <cell r="F25" t="str">
            <v>Direct</v>
          </cell>
        </row>
        <row r="26">
          <cell r="C26">
            <v>10010098</v>
          </cell>
          <cell r="D26" t="str">
            <v>Gomukh Rahul Nagar</v>
          </cell>
          <cell r="E26" t="str">
            <v>MPG</v>
          </cell>
          <cell r="F26" t="str">
            <v>Direct</v>
          </cell>
        </row>
        <row r="27">
          <cell r="C27">
            <v>10010099</v>
          </cell>
          <cell r="D27" t="str">
            <v>Gomukh Bagraha-01</v>
          </cell>
          <cell r="E27" t="str">
            <v>MPG</v>
          </cell>
          <cell r="F27" t="str">
            <v>Direct</v>
          </cell>
        </row>
        <row r="28">
          <cell r="C28">
            <v>10010103</v>
          </cell>
          <cell r="D28" t="str">
            <v>Gomukh Shobhaipura</v>
          </cell>
          <cell r="E28" t="str">
            <v>MPG</v>
          </cell>
          <cell r="F28" t="str">
            <v>Direct</v>
          </cell>
        </row>
        <row r="29">
          <cell r="C29">
            <v>10010108</v>
          </cell>
          <cell r="D29" t="str">
            <v>Gomukh Pirauna</v>
          </cell>
          <cell r="E29" t="str">
            <v>MPG</v>
          </cell>
          <cell r="F29" t="str">
            <v>Direct</v>
          </cell>
        </row>
        <row r="30">
          <cell r="C30">
            <v>10010109</v>
          </cell>
          <cell r="D30" t="str">
            <v>Parra- Nagendra Kumar</v>
          </cell>
          <cell r="E30" t="str">
            <v>vlc</v>
          </cell>
          <cell r="F30" t="str">
            <v>Indirect</v>
          </cell>
        </row>
        <row r="31">
          <cell r="C31">
            <v>10010113</v>
          </cell>
          <cell r="D31" t="str">
            <v>Gomukh Basahi</v>
          </cell>
          <cell r="E31" t="str">
            <v>MPG</v>
          </cell>
          <cell r="F31" t="str">
            <v>Direct</v>
          </cell>
        </row>
        <row r="32">
          <cell r="C32">
            <v>10010116</v>
          </cell>
          <cell r="D32" t="str">
            <v>Mohanpur- Mukesh Kumar</v>
          </cell>
          <cell r="E32" t="str">
            <v>vlc</v>
          </cell>
          <cell r="F32" t="str">
            <v>Indirect</v>
          </cell>
        </row>
        <row r="33">
          <cell r="C33">
            <v>10010121</v>
          </cell>
          <cell r="D33" t="str">
            <v>Gomukh Sawantpur</v>
          </cell>
          <cell r="E33" t="str">
            <v>MPG</v>
          </cell>
          <cell r="F33" t="str">
            <v>Direct</v>
          </cell>
        </row>
        <row r="34">
          <cell r="C34">
            <v>10010125</v>
          </cell>
          <cell r="D34" t="str">
            <v>Maida- Ram Kumar</v>
          </cell>
          <cell r="E34" t="str">
            <v>vlc</v>
          </cell>
          <cell r="F34" t="str">
            <v>Indirect</v>
          </cell>
        </row>
        <row r="35">
          <cell r="C35">
            <v>10010128</v>
          </cell>
          <cell r="D35" t="str">
            <v>Gomukh Aure Bikrampur</v>
          </cell>
          <cell r="E35" t="str">
            <v>MPG</v>
          </cell>
          <cell r="F35" t="str">
            <v>Direct</v>
          </cell>
        </row>
        <row r="36">
          <cell r="C36">
            <v>10010129</v>
          </cell>
          <cell r="D36" t="str">
            <v>Manjhaul- Gulshan Kumar</v>
          </cell>
          <cell r="E36" t="str">
            <v>vlc</v>
          </cell>
          <cell r="F36" t="str">
            <v>Indirect</v>
          </cell>
        </row>
        <row r="37">
          <cell r="C37">
            <v>10010130</v>
          </cell>
          <cell r="D37" t="str">
            <v>Khaira Manjhaul</v>
          </cell>
          <cell r="E37" t="str">
            <v>vlc</v>
          </cell>
          <cell r="F37" t="str">
            <v>Indirect</v>
          </cell>
        </row>
        <row r="38">
          <cell r="C38">
            <v>10010131</v>
          </cell>
          <cell r="D38" t="str">
            <v>Mehda Shahpur</v>
          </cell>
          <cell r="E38" t="str">
            <v>vlc</v>
          </cell>
          <cell r="F38" t="str">
            <v>Indirect</v>
          </cell>
        </row>
        <row r="39">
          <cell r="C39">
            <v>10010137</v>
          </cell>
          <cell r="D39" t="str">
            <v>Gomukh Shobhaipura 02</v>
          </cell>
          <cell r="E39" t="str">
            <v>MPG</v>
          </cell>
          <cell r="F39" t="str">
            <v>Direct</v>
          </cell>
        </row>
        <row r="40">
          <cell r="C40">
            <v>10010140</v>
          </cell>
          <cell r="D40" t="str">
            <v>Shri Bhairav Laxmipur</v>
          </cell>
          <cell r="E40" t="str">
            <v>MPG</v>
          </cell>
          <cell r="F40" t="str">
            <v>Direct</v>
          </cell>
        </row>
        <row r="41">
          <cell r="C41">
            <v>10010141</v>
          </cell>
          <cell r="D41" t="str">
            <v>Goapalpur</v>
          </cell>
          <cell r="E41" t="str">
            <v>MPG</v>
          </cell>
          <cell r="F41" t="str">
            <v>Direct</v>
          </cell>
        </row>
        <row r="42">
          <cell r="C42">
            <v>10010143</v>
          </cell>
          <cell r="D42" t="str">
            <v>Gomukh Akaha</v>
          </cell>
          <cell r="E42" t="str">
            <v>MPG</v>
          </cell>
          <cell r="F42" t="str">
            <v>Direct</v>
          </cell>
        </row>
        <row r="43">
          <cell r="C43">
            <v>10010144</v>
          </cell>
          <cell r="D43" t="str">
            <v>Gomukh Rajakpur</v>
          </cell>
          <cell r="E43" t="str">
            <v>MPG</v>
          </cell>
          <cell r="F43" t="str">
            <v>Direct</v>
          </cell>
        </row>
        <row r="44">
          <cell r="C44">
            <v>10010145</v>
          </cell>
          <cell r="D44" t="str">
            <v>Gomukh Mohanpur</v>
          </cell>
          <cell r="E44" t="str">
            <v>MPG</v>
          </cell>
          <cell r="F44" t="str">
            <v>Direct</v>
          </cell>
        </row>
        <row r="45">
          <cell r="C45">
            <v>10010146</v>
          </cell>
          <cell r="D45" t="str">
            <v>Gomukh Chakka</v>
          </cell>
          <cell r="E45" t="str">
            <v>MPG</v>
          </cell>
          <cell r="F45" t="str">
            <v>Direct</v>
          </cell>
        </row>
        <row r="46">
          <cell r="C46">
            <v>10010147</v>
          </cell>
          <cell r="D46" t="str">
            <v>Gamharia</v>
          </cell>
          <cell r="E46" t="str">
            <v>vlc</v>
          </cell>
          <cell r="F46" t="str">
            <v>Indirect</v>
          </cell>
        </row>
        <row r="47">
          <cell r="C47">
            <v>10010148</v>
          </cell>
          <cell r="D47" t="str">
            <v>Gomukh Meghaul-02</v>
          </cell>
          <cell r="E47" t="str">
            <v>MPG</v>
          </cell>
          <cell r="F47" t="str">
            <v>Direct</v>
          </cell>
        </row>
        <row r="48">
          <cell r="C48">
            <v>10010149</v>
          </cell>
          <cell r="D48" t="str">
            <v>Gomukh Meida</v>
          </cell>
          <cell r="E48" t="str">
            <v>MPG</v>
          </cell>
          <cell r="F48" t="str">
            <v>Direct</v>
          </cell>
        </row>
        <row r="49">
          <cell r="C49">
            <v>10020002</v>
          </cell>
          <cell r="D49" t="str">
            <v>PIPARIYA DIH -2</v>
          </cell>
          <cell r="E49" t="str">
            <v>MPG</v>
          </cell>
          <cell r="F49" t="str">
            <v>Direct</v>
          </cell>
        </row>
        <row r="50">
          <cell r="C50">
            <v>10020004</v>
          </cell>
          <cell r="D50" t="str">
            <v>LAL DIYARA -1</v>
          </cell>
          <cell r="E50" t="str">
            <v>MPG</v>
          </cell>
          <cell r="F50" t="str">
            <v>Direct</v>
          </cell>
        </row>
        <row r="51">
          <cell r="C51">
            <v>10020006</v>
          </cell>
          <cell r="D51" t="str">
            <v>GANGA KINARE KHUTHA</v>
          </cell>
          <cell r="E51" t="str">
            <v>vlc</v>
          </cell>
          <cell r="F51" t="str">
            <v>Indirect</v>
          </cell>
        </row>
        <row r="52">
          <cell r="C52">
            <v>10020007</v>
          </cell>
          <cell r="D52" t="str">
            <v>Gomukh ID Khutaha Ganga</v>
          </cell>
          <cell r="E52" t="str">
            <v>vlc</v>
          </cell>
          <cell r="F52" t="str">
            <v>Indirect</v>
          </cell>
        </row>
        <row r="53">
          <cell r="C53">
            <v>10020008</v>
          </cell>
          <cell r="D53" t="str">
            <v>Gomukh ID Khutaha Dhih</v>
          </cell>
          <cell r="E53" t="str">
            <v>vlc</v>
          </cell>
          <cell r="F53" t="str">
            <v>Indirect</v>
          </cell>
        </row>
        <row r="54">
          <cell r="C54">
            <v>10020010</v>
          </cell>
          <cell r="D54" t="str">
            <v>GOMUKH RAHATPUR</v>
          </cell>
          <cell r="E54" t="str">
            <v>MPG</v>
          </cell>
          <cell r="F54" t="str">
            <v>Direct</v>
          </cell>
        </row>
        <row r="55">
          <cell r="C55">
            <v>10020012</v>
          </cell>
          <cell r="D55" t="str">
            <v>KANHAIYA YADAV</v>
          </cell>
          <cell r="E55" t="str">
            <v>vlc</v>
          </cell>
          <cell r="F55" t="str">
            <v>Indirect</v>
          </cell>
        </row>
        <row r="56">
          <cell r="C56">
            <v>10020013</v>
          </cell>
          <cell r="D56" t="str">
            <v>Vikash Kumar</v>
          </cell>
          <cell r="E56" t="str">
            <v>vlc</v>
          </cell>
          <cell r="F56" t="str">
            <v>Indirect</v>
          </cell>
        </row>
        <row r="57">
          <cell r="C57">
            <v>10020015</v>
          </cell>
          <cell r="D57" t="str">
            <v xml:space="preserve">GOMUKH  LALDIYARA TIRASHI                                                                           </v>
          </cell>
          <cell r="E57" t="str">
            <v>vlc</v>
          </cell>
          <cell r="F57" t="str">
            <v>Indirect</v>
          </cell>
        </row>
        <row r="58">
          <cell r="C58">
            <v>10020016</v>
          </cell>
          <cell r="D58" t="str">
            <v>GOMUKH  LALDIYARA PURBI</v>
          </cell>
          <cell r="E58" t="str">
            <v>vlc</v>
          </cell>
          <cell r="F58" t="str">
            <v>Indirect</v>
          </cell>
        </row>
        <row r="59">
          <cell r="C59">
            <v>10020017</v>
          </cell>
          <cell r="D59" t="str">
            <v>GOMUKH RAMCHANDARPUR II</v>
          </cell>
          <cell r="E59" t="str">
            <v>MPG</v>
          </cell>
          <cell r="F59" t="str">
            <v>Direct</v>
          </cell>
        </row>
        <row r="60">
          <cell r="C60">
            <v>10020018</v>
          </cell>
          <cell r="D60" t="str">
            <v>WAKIL YADAV VLC</v>
          </cell>
          <cell r="E60" t="str">
            <v>vlc</v>
          </cell>
          <cell r="F60" t="str">
            <v>Indirect</v>
          </cell>
        </row>
        <row r="61">
          <cell r="C61">
            <v>10020020</v>
          </cell>
          <cell r="D61" t="str">
            <v>MUKTAR YADAV</v>
          </cell>
          <cell r="E61" t="str">
            <v>vlc</v>
          </cell>
          <cell r="F61" t="str">
            <v>Indirect</v>
          </cell>
        </row>
        <row r="62">
          <cell r="C62">
            <v>10020021</v>
          </cell>
          <cell r="D62" t="str">
            <v>MOHANPUR</v>
          </cell>
          <cell r="E62" t="str">
            <v>MPG</v>
          </cell>
          <cell r="F62" t="str">
            <v>Direct</v>
          </cell>
        </row>
        <row r="63">
          <cell r="C63">
            <v>10020023</v>
          </cell>
          <cell r="D63" t="str">
            <v>Juwas</v>
          </cell>
          <cell r="E63" t="str">
            <v>MPG</v>
          </cell>
          <cell r="F63" t="str">
            <v>Direct</v>
          </cell>
        </row>
        <row r="64">
          <cell r="C64">
            <v>10020024</v>
          </cell>
          <cell r="D64" t="str">
            <v>Morwariya</v>
          </cell>
          <cell r="E64" t="str">
            <v>MPG</v>
          </cell>
          <cell r="F64" t="str">
            <v>Direct</v>
          </cell>
        </row>
        <row r="65">
          <cell r="C65">
            <v>10020025</v>
          </cell>
          <cell r="D65" t="str">
            <v>Dumri 2</v>
          </cell>
          <cell r="E65" t="str">
            <v>MPG</v>
          </cell>
          <cell r="F65" t="str">
            <v>Direct</v>
          </cell>
        </row>
        <row r="66">
          <cell r="C66">
            <v>10020026</v>
          </cell>
          <cell r="D66" t="str">
            <v>Gomukh Jhakhaur</v>
          </cell>
          <cell r="E66" t="str">
            <v>MPG</v>
          </cell>
          <cell r="F66" t="str">
            <v>Direct</v>
          </cell>
        </row>
        <row r="67">
          <cell r="C67">
            <v>10020027</v>
          </cell>
          <cell r="D67" t="str">
            <v>Gomukh Repura</v>
          </cell>
          <cell r="E67" t="str">
            <v>MPG</v>
          </cell>
          <cell r="F67" t="str">
            <v>Direct</v>
          </cell>
        </row>
        <row r="68">
          <cell r="C68">
            <v>10020029</v>
          </cell>
          <cell r="D68" t="str">
            <v>Gomukh Virupur</v>
          </cell>
          <cell r="E68" t="str">
            <v>MPG</v>
          </cell>
          <cell r="F68" t="str">
            <v>Direct</v>
          </cell>
        </row>
        <row r="69">
          <cell r="C69">
            <v>10020032</v>
          </cell>
          <cell r="D69" t="str">
            <v xml:space="preserve">Gomukh Diyarapipariya                                                                               </v>
          </cell>
          <cell r="E69" t="str">
            <v>MPG</v>
          </cell>
          <cell r="F69" t="str">
            <v>Direct</v>
          </cell>
        </row>
        <row r="70">
          <cell r="C70">
            <v>10020034</v>
          </cell>
          <cell r="D70" t="str">
            <v>TAJPUR</v>
          </cell>
          <cell r="E70" t="str">
            <v>MPG</v>
          </cell>
          <cell r="F70" t="str">
            <v>Direct</v>
          </cell>
        </row>
        <row r="71">
          <cell r="C71">
            <v>10020035</v>
          </cell>
          <cell r="D71" t="str">
            <v>PATHUA</v>
          </cell>
          <cell r="E71" t="str">
            <v>MPG</v>
          </cell>
          <cell r="F71" t="str">
            <v>Direct</v>
          </cell>
        </row>
        <row r="72">
          <cell r="C72">
            <v>10020038</v>
          </cell>
          <cell r="D72" t="str">
            <v>LODIYA</v>
          </cell>
          <cell r="E72" t="str">
            <v>MPG</v>
          </cell>
          <cell r="F72" t="str">
            <v>Direct</v>
          </cell>
        </row>
        <row r="73">
          <cell r="C73">
            <v>10020041</v>
          </cell>
          <cell r="D73" t="str">
            <v>ADARSH LAXMIPUR-3</v>
          </cell>
          <cell r="E73" t="str">
            <v>MPG</v>
          </cell>
          <cell r="F73" t="str">
            <v>Direct</v>
          </cell>
        </row>
        <row r="74">
          <cell r="C74">
            <v>10020042</v>
          </cell>
          <cell r="D74" t="str">
            <v>BHANPUR</v>
          </cell>
          <cell r="E74" t="str">
            <v>MPG</v>
          </cell>
          <cell r="F74" t="str">
            <v>Direct</v>
          </cell>
        </row>
        <row r="75">
          <cell r="C75">
            <v>10020043</v>
          </cell>
          <cell r="D75" t="str">
            <v>Karari Pipariya 2</v>
          </cell>
          <cell r="E75" t="str">
            <v>MPG</v>
          </cell>
          <cell r="F75" t="str">
            <v>Direct</v>
          </cell>
        </row>
        <row r="76">
          <cell r="C76">
            <v>10020044</v>
          </cell>
          <cell r="D76" t="str">
            <v xml:space="preserve">DIYARA PIPARIYA-THANA                                                                               </v>
          </cell>
          <cell r="E76" t="str">
            <v>MPG</v>
          </cell>
          <cell r="F76" t="str">
            <v>Direct</v>
          </cell>
        </row>
        <row r="77">
          <cell r="C77">
            <v>10020047</v>
          </cell>
          <cell r="D77" t="str">
            <v>SRI RAM SINGH(VLC)</v>
          </cell>
          <cell r="E77" t="str">
            <v>vlc</v>
          </cell>
          <cell r="F77" t="str">
            <v>Indirect</v>
          </cell>
        </row>
        <row r="78">
          <cell r="C78">
            <v>10020050</v>
          </cell>
          <cell r="D78" t="str">
            <v>GADHTOLA</v>
          </cell>
          <cell r="E78" t="str">
            <v>MPG</v>
          </cell>
          <cell r="F78" t="str">
            <v>Direct</v>
          </cell>
        </row>
        <row r="79">
          <cell r="C79">
            <v>10020051</v>
          </cell>
          <cell r="D79" t="str">
            <v>Golapaar - Ramnandan</v>
          </cell>
          <cell r="E79" t="str">
            <v>vlc</v>
          </cell>
          <cell r="F79" t="str">
            <v>Indirect</v>
          </cell>
        </row>
        <row r="80">
          <cell r="C80">
            <v>10020054</v>
          </cell>
          <cell r="D80" t="str">
            <v>Diyara-Pipariya-Utri - Chandan</v>
          </cell>
          <cell r="E80" t="str">
            <v>vlc</v>
          </cell>
          <cell r="F80" t="str">
            <v>Indirect</v>
          </cell>
        </row>
        <row r="81">
          <cell r="C81">
            <v>10020057</v>
          </cell>
          <cell r="D81" t="str">
            <v>KANHARPUR-2</v>
          </cell>
          <cell r="E81" t="str">
            <v>MPG</v>
          </cell>
          <cell r="F81" t="str">
            <v>Direct</v>
          </cell>
        </row>
        <row r="82">
          <cell r="C82">
            <v>10020058</v>
          </cell>
          <cell r="D82" t="str">
            <v>BASAUNA</v>
          </cell>
          <cell r="E82" t="str">
            <v>MPG</v>
          </cell>
          <cell r="F82" t="str">
            <v>Direct</v>
          </cell>
        </row>
        <row r="83">
          <cell r="C83">
            <v>10020059</v>
          </cell>
          <cell r="D83" t="str">
            <v>GANGA-SARAI</v>
          </cell>
          <cell r="E83" t="str">
            <v>MPG</v>
          </cell>
          <cell r="F83" t="str">
            <v>Direct</v>
          </cell>
        </row>
        <row r="84">
          <cell r="C84">
            <v>10020062</v>
          </cell>
          <cell r="D84" t="str">
            <v xml:space="preserve">GOVIND-BIGHA                                                                                        </v>
          </cell>
          <cell r="E84" t="str">
            <v>MPG</v>
          </cell>
          <cell r="F84" t="str">
            <v>Direct</v>
          </cell>
        </row>
        <row r="85">
          <cell r="C85">
            <v>10020063</v>
          </cell>
          <cell r="D85" t="str">
            <v>MALPUR                                                                                              </v>
          </cell>
          <cell r="E85" t="str">
            <v>MPG</v>
          </cell>
          <cell r="F85" t="str">
            <v>Direct</v>
          </cell>
        </row>
        <row r="86">
          <cell r="C86">
            <v>10020064</v>
          </cell>
          <cell r="D86" t="str">
            <v>Gomukh Hasanpur</v>
          </cell>
          <cell r="E86" t="str">
            <v>vlc</v>
          </cell>
          <cell r="F86" t="str">
            <v>Indirect</v>
          </cell>
        </row>
        <row r="87">
          <cell r="C87">
            <v>10020068</v>
          </cell>
          <cell r="D87" t="str">
            <v>SABIKPUR</v>
          </cell>
          <cell r="E87" t="str">
            <v>MPG</v>
          </cell>
          <cell r="F87" t="str">
            <v>Direct</v>
          </cell>
        </row>
        <row r="88">
          <cell r="C88">
            <v>10020069</v>
          </cell>
          <cell r="D88" t="str">
            <v>CHETAN-TOLA-KHUTHA</v>
          </cell>
          <cell r="E88" t="str">
            <v>MPG</v>
          </cell>
          <cell r="F88" t="str">
            <v>Direct</v>
          </cell>
        </row>
        <row r="89">
          <cell r="C89">
            <v>10020070</v>
          </cell>
          <cell r="D89" t="str">
            <v>LAXMIPUR</v>
          </cell>
          <cell r="E89" t="str">
            <v>MPG</v>
          </cell>
          <cell r="F89" t="str">
            <v>Direct</v>
          </cell>
        </row>
        <row r="90">
          <cell r="C90">
            <v>10020073</v>
          </cell>
          <cell r="D90" t="str">
            <v>REHUA RK</v>
          </cell>
          <cell r="E90" t="str">
            <v>vlc</v>
          </cell>
          <cell r="F90" t="str">
            <v>Indirect</v>
          </cell>
        </row>
        <row r="91">
          <cell r="C91">
            <v>10020075</v>
          </cell>
          <cell r="D91" t="str">
            <v>RAMNAGAR</v>
          </cell>
          <cell r="E91" t="str">
            <v>MPG</v>
          </cell>
          <cell r="F91" t="str">
            <v>Direct</v>
          </cell>
        </row>
        <row r="92">
          <cell r="C92">
            <v>10020076</v>
          </cell>
          <cell r="D92" t="str">
            <v>PACHAM</v>
          </cell>
          <cell r="E92" t="str">
            <v>MPG</v>
          </cell>
          <cell r="F92" t="str">
            <v>Direct</v>
          </cell>
        </row>
        <row r="93">
          <cell r="C93">
            <v>10020077</v>
          </cell>
          <cell r="D93" t="str">
            <v>BANSIPUR</v>
          </cell>
          <cell r="E93" t="str">
            <v>MPG</v>
          </cell>
          <cell r="F93" t="str">
            <v>Direct</v>
          </cell>
        </row>
        <row r="94">
          <cell r="C94">
            <v>10020078</v>
          </cell>
          <cell r="D94" t="str">
            <v>GODIH</v>
          </cell>
          <cell r="E94" t="str">
            <v>MPG</v>
          </cell>
          <cell r="F94" t="str">
            <v>Direct</v>
          </cell>
        </row>
        <row r="95">
          <cell r="C95">
            <v>10020079</v>
          </cell>
          <cell r="D95" t="str">
            <v>SINGARPUR</v>
          </cell>
          <cell r="E95" t="str">
            <v>MPG</v>
          </cell>
          <cell r="F95" t="str">
            <v>Direct</v>
          </cell>
        </row>
        <row r="96">
          <cell r="C96">
            <v>10020080</v>
          </cell>
          <cell r="D96" t="str">
            <v>ADARSH PULPAR</v>
          </cell>
          <cell r="E96" t="str">
            <v>MPG</v>
          </cell>
          <cell r="F96" t="str">
            <v>Direct</v>
          </cell>
        </row>
        <row r="97">
          <cell r="C97">
            <v>10020081</v>
          </cell>
          <cell r="D97" t="str">
            <v>G WOLIPUR</v>
          </cell>
          <cell r="E97" t="str">
            <v>vlc</v>
          </cell>
          <cell r="F97" t="str">
            <v>Indirect</v>
          </cell>
        </row>
        <row r="98">
          <cell r="C98">
            <v>10020082</v>
          </cell>
          <cell r="D98" t="str">
            <v>REHUA 3</v>
          </cell>
          <cell r="E98" t="str">
            <v>vlc</v>
          </cell>
          <cell r="F98" t="str">
            <v>Indirect</v>
          </cell>
        </row>
        <row r="99">
          <cell r="C99">
            <v>10020083</v>
          </cell>
          <cell r="D99" t="str">
            <v>BICHWAY</v>
          </cell>
          <cell r="E99" t="str">
            <v>MPG</v>
          </cell>
          <cell r="F99" t="str">
            <v>Direct</v>
          </cell>
        </row>
        <row r="100">
          <cell r="C100">
            <v>10020084</v>
          </cell>
          <cell r="D100" t="str">
            <v>MANOHARPUR</v>
          </cell>
          <cell r="E100" t="str">
            <v>MPG</v>
          </cell>
          <cell r="F100" t="str">
            <v>Direct</v>
          </cell>
        </row>
        <row r="101">
          <cell r="C101">
            <v>10030002</v>
          </cell>
          <cell r="D101" t="str">
            <v>MOHANPUR</v>
          </cell>
          <cell r="E101" t="str">
            <v>vlc</v>
          </cell>
          <cell r="F101" t="str">
            <v>Indirect</v>
          </cell>
        </row>
        <row r="102">
          <cell r="C102">
            <v>10030003</v>
          </cell>
          <cell r="D102" t="str">
            <v>CHATMADIH</v>
          </cell>
          <cell r="E102" t="str">
            <v>MPG</v>
          </cell>
          <cell r="F102" t="str">
            <v>Direct</v>
          </cell>
        </row>
        <row r="103">
          <cell r="C103">
            <v>10030007</v>
          </cell>
          <cell r="D103" t="str">
            <v>SIYADIH</v>
          </cell>
          <cell r="E103" t="str">
            <v>vlc</v>
          </cell>
          <cell r="F103" t="str">
            <v>Indirect</v>
          </cell>
        </row>
        <row r="104">
          <cell r="C104">
            <v>10030009</v>
          </cell>
          <cell r="D104" t="str">
            <v>Gomukh ID Laldiyara</v>
          </cell>
          <cell r="E104" t="str">
            <v>vlc</v>
          </cell>
          <cell r="F104" t="str">
            <v>Indirect</v>
          </cell>
        </row>
        <row r="105">
          <cell r="C105">
            <v>10030010</v>
          </cell>
          <cell r="D105" t="str">
            <v>KATHNI</v>
          </cell>
          <cell r="E105" t="str">
            <v>MPG</v>
          </cell>
          <cell r="F105" t="str">
            <v>Direct</v>
          </cell>
        </row>
        <row r="106">
          <cell r="C106">
            <v>10030011</v>
          </cell>
          <cell r="D106" t="str">
            <v>DEVDHA GOMUKH MPG</v>
          </cell>
          <cell r="E106" t="str">
            <v>MPG</v>
          </cell>
          <cell r="F106" t="str">
            <v>Direct</v>
          </cell>
        </row>
        <row r="107">
          <cell r="C107">
            <v>10030012</v>
          </cell>
          <cell r="D107" t="str">
            <v>KASBA(MANGOAN)</v>
          </cell>
          <cell r="E107" t="str">
            <v>vlc</v>
          </cell>
          <cell r="F107" t="str">
            <v>Indirect</v>
          </cell>
        </row>
        <row r="108">
          <cell r="C108">
            <v>10030013</v>
          </cell>
          <cell r="D108" t="str">
            <v>LOHRA</v>
          </cell>
          <cell r="E108" t="str">
            <v>MPG</v>
          </cell>
          <cell r="F108" t="str">
            <v>Direct</v>
          </cell>
        </row>
        <row r="109">
          <cell r="C109">
            <v>10030015</v>
          </cell>
          <cell r="D109" t="str">
            <v>KAMATPUR</v>
          </cell>
          <cell r="E109" t="str">
            <v>MPG</v>
          </cell>
          <cell r="F109" t="str">
            <v>Direct</v>
          </cell>
        </row>
        <row r="110">
          <cell r="C110">
            <v>10030016</v>
          </cell>
          <cell r="D110" t="str">
            <v>GIRDHARA</v>
          </cell>
          <cell r="E110" t="str">
            <v>MPG</v>
          </cell>
          <cell r="F110" t="str">
            <v>Direct</v>
          </cell>
        </row>
        <row r="111">
          <cell r="C111">
            <v>10030017</v>
          </cell>
          <cell r="D111" t="str">
            <v>RATNI</v>
          </cell>
          <cell r="E111" t="str">
            <v>MPG</v>
          </cell>
          <cell r="F111" t="str">
            <v>Direct</v>
          </cell>
        </row>
        <row r="112">
          <cell r="C112">
            <v>10030018</v>
          </cell>
          <cell r="D112" t="str">
            <v>DHAPARI</v>
          </cell>
          <cell r="E112" t="str">
            <v>MPG</v>
          </cell>
          <cell r="F112" t="str">
            <v>Direct</v>
          </cell>
        </row>
        <row r="113">
          <cell r="C113">
            <v>10030019</v>
          </cell>
          <cell r="D113" t="str">
            <v>KHARUI</v>
          </cell>
          <cell r="E113" t="str">
            <v>MPG</v>
          </cell>
          <cell r="F113" t="str">
            <v>Direct</v>
          </cell>
        </row>
        <row r="114">
          <cell r="C114">
            <v>10030021</v>
          </cell>
          <cell r="D114" t="str">
            <v>KHAIRA</v>
          </cell>
          <cell r="E114" t="str">
            <v>MPG</v>
          </cell>
          <cell r="F114" t="str">
            <v>Direct</v>
          </cell>
        </row>
        <row r="115">
          <cell r="C115">
            <v>10030022</v>
          </cell>
          <cell r="D115" t="str">
            <v>SISUA</v>
          </cell>
          <cell r="E115" t="str">
            <v>MPG</v>
          </cell>
          <cell r="F115" t="str">
            <v>Direct</v>
          </cell>
        </row>
        <row r="116">
          <cell r="C116">
            <v>10030023</v>
          </cell>
          <cell r="D116" t="str">
            <v>BISAI</v>
          </cell>
          <cell r="E116" t="str">
            <v>MPG</v>
          </cell>
          <cell r="F116" t="str">
            <v>Direct</v>
          </cell>
        </row>
        <row r="117">
          <cell r="C117">
            <v>10030025</v>
          </cell>
          <cell r="D117" t="str">
            <v>SAJUA-1</v>
          </cell>
          <cell r="E117" t="str">
            <v>MPG</v>
          </cell>
          <cell r="F117" t="str">
            <v>Direct</v>
          </cell>
        </row>
        <row r="118">
          <cell r="C118">
            <v>10030026</v>
          </cell>
          <cell r="D118" t="str">
            <v>SAJUA-2</v>
          </cell>
          <cell r="E118" t="str">
            <v>MPG</v>
          </cell>
          <cell r="F118" t="str">
            <v>Direct</v>
          </cell>
        </row>
        <row r="119">
          <cell r="C119">
            <v>10030027</v>
          </cell>
          <cell r="D119" t="str">
            <v>CHORGAUN</v>
          </cell>
          <cell r="E119" t="str">
            <v>MPG</v>
          </cell>
          <cell r="F119" t="str">
            <v>Direct</v>
          </cell>
        </row>
        <row r="120">
          <cell r="C120">
            <v>10030028</v>
          </cell>
          <cell r="D120" t="str">
            <v>PADARATHPUR</v>
          </cell>
          <cell r="E120" t="str">
            <v>MPG</v>
          </cell>
          <cell r="F120" t="str">
            <v>Direct</v>
          </cell>
        </row>
        <row r="121">
          <cell r="C121">
            <v>10030031</v>
          </cell>
          <cell r="D121" t="str">
            <v>BADARKHA</v>
          </cell>
          <cell r="E121" t="str">
            <v>MPG</v>
          </cell>
          <cell r="F121" t="str">
            <v>Direct</v>
          </cell>
        </row>
        <row r="122">
          <cell r="C122">
            <v>10030032</v>
          </cell>
          <cell r="D122" t="str">
            <v xml:space="preserve">MAHDMADPUR                                                                                          </v>
          </cell>
          <cell r="E122" t="str">
            <v>MPG</v>
          </cell>
          <cell r="F122" t="str">
            <v>Direct</v>
          </cell>
        </row>
        <row r="123">
          <cell r="C123">
            <v>10030034</v>
          </cell>
          <cell r="D123" t="str">
            <v xml:space="preserve">MUSKIPUR                                                                                            </v>
          </cell>
          <cell r="E123" t="str">
            <v>MPG</v>
          </cell>
          <cell r="F123" t="str">
            <v>Direct</v>
          </cell>
        </row>
        <row r="124">
          <cell r="C124">
            <v>10030035</v>
          </cell>
          <cell r="D124" t="str">
            <v xml:space="preserve">NAYAGAUN                                                                                            </v>
          </cell>
          <cell r="E124" t="str">
            <v>MPG</v>
          </cell>
          <cell r="F124" t="str">
            <v>Direct</v>
          </cell>
        </row>
        <row r="125">
          <cell r="C125">
            <v>10030037</v>
          </cell>
          <cell r="D125" t="str">
            <v xml:space="preserve">LAUNA                                                                                               </v>
          </cell>
          <cell r="E125" t="str">
            <v>MPG</v>
          </cell>
          <cell r="F125" t="str">
            <v>Direct</v>
          </cell>
        </row>
        <row r="126">
          <cell r="C126">
            <v>10030038</v>
          </cell>
          <cell r="D126" t="str">
            <v>DULHAR</v>
          </cell>
          <cell r="E126" t="str">
            <v>MPG</v>
          </cell>
          <cell r="F126" t="str">
            <v>Direct</v>
          </cell>
        </row>
        <row r="127">
          <cell r="C127">
            <v>10030040</v>
          </cell>
          <cell r="D127" t="str">
            <v>Ghorpithiya - Vikas</v>
          </cell>
          <cell r="E127" t="str">
            <v>vlc</v>
          </cell>
          <cell r="F127" t="str">
            <v>Indirect</v>
          </cell>
        </row>
        <row r="128">
          <cell r="C128">
            <v>10030041</v>
          </cell>
          <cell r="D128" t="str">
            <v>Akbarnagar - Rakhi</v>
          </cell>
          <cell r="E128" t="str">
            <v>vlc</v>
          </cell>
          <cell r="F128" t="str">
            <v>Indirect</v>
          </cell>
        </row>
        <row r="129">
          <cell r="C129">
            <v>10030042</v>
          </cell>
          <cell r="D129" t="str">
            <v>Maheshi - Chamcham</v>
          </cell>
          <cell r="E129" t="str">
            <v>vlc</v>
          </cell>
          <cell r="F129" t="str">
            <v>Indirect</v>
          </cell>
        </row>
        <row r="130">
          <cell r="C130">
            <v>10030043</v>
          </cell>
          <cell r="D130" t="str">
            <v>Ghorpithiya - Dheeraj</v>
          </cell>
          <cell r="E130" t="str">
            <v>vlc</v>
          </cell>
          <cell r="F130" t="str">
            <v>Indirect</v>
          </cell>
        </row>
        <row r="131">
          <cell r="C131">
            <v>10030044</v>
          </cell>
          <cell r="D131" t="str">
            <v>Asarganj Chhotki Tola - Akash</v>
          </cell>
          <cell r="E131" t="str">
            <v>vlc</v>
          </cell>
          <cell r="F131" t="str">
            <v>Indirect</v>
          </cell>
        </row>
        <row r="132">
          <cell r="C132">
            <v>10030045</v>
          </cell>
          <cell r="D132" t="str">
            <v>Manikpur - Golu</v>
          </cell>
          <cell r="E132" t="str">
            <v>vlc</v>
          </cell>
          <cell r="F132" t="str">
            <v>Indirect</v>
          </cell>
        </row>
        <row r="133">
          <cell r="C133">
            <v>10030046</v>
          </cell>
          <cell r="D133" t="str">
            <v>Rangaon - Jayram</v>
          </cell>
          <cell r="E133" t="str">
            <v>vlc</v>
          </cell>
          <cell r="F133" t="str">
            <v>Indirect</v>
          </cell>
        </row>
        <row r="134">
          <cell r="C134">
            <v>10030047</v>
          </cell>
          <cell r="D134" t="str">
            <v>Karso - Aparajita</v>
          </cell>
          <cell r="E134" t="str">
            <v>vlc</v>
          </cell>
          <cell r="F134" t="str">
            <v>Indirect</v>
          </cell>
        </row>
        <row r="135">
          <cell r="C135">
            <v>10030048</v>
          </cell>
          <cell r="D135" t="str">
            <v>Unchagaon - Niraj</v>
          </cell>
          <cell r="E135" t="str">
            <v>vlc</v>
          </cell>
          <cell r="F135" t="str">
            <v>Indirect</v>
          </cell>
        </row>
        <row r="136">
          <cell r="C136">
            <v>10030049</v>
          </cell>
          <cell r="D136" t="str">
            <v>SRIRAMPUR</v>
          </cell>
          <cell r="E136" t="str">
            <v>MPG</v>
          </cell>
          <cell r="F136" t="str">
            <v>Direct</v>
          </cell>
        </row>
        <row r="137">
          <cell r="C137">
            <v>10030050</v>
          </cell>
          <cell r="D137" t="str">
            <v>PAIN</v>
          </cell>
          <cell r="E137" t="str">
            <v>MPG</v>
          </cell>
          <cell r="F137" t="str">
            <v>Direct</v>
          </cell>
        </row>
        <row r="138">
          <cell r="C138">
            <v>10030051</v>
          </cell>
          <cell r="D138" t="str">
            <v>MOTICHAK</v>
          </cell>
          <cell r="E138" t="str">
            <v>MPG</v>
          </cell>
          <cell r="F138" t="str">
            <v>Direct</v>
          </cell>
        </row>
        <row r="139">
          <cell r="C139">
            <v>10030053</v>
          </cell>
          <cell r="D139" t="str">
            <v>MIRATTHI</v>
          </cell>
          <cell r="E139" t="str">
            <v>MPG</v>
          </cell>
          <cell r="F139" t="str">
            <v>Direct</v>
          </cell>
        </row>
        <row r="140">
          <cell r="C140">
            <v>10030055</v>
          </cell>
          <cell r="D140" t="str">
            <v>DAULATPUR</v>
          </cell>
          <cell r="E140" t="str">
            <v>MPG</v>
          </cell>
          <cell r="F140" t="str">
            <v>Direct</v>
          </cell>
        </row>
        <row r="141">
          <cell r="C141">
            <v>10030056</v>
          </cell>
          <cell r="D141" t="str">
            <v>MOHADDIPUR</v>
          </cell>
          <cell r="E141" t="str">
            <v>MPG</v>
          </cell>
          <cell r="F141" t="str">
            <v>Direct</v>
          </cell>
        </row>
        <row r="142">
          <cell r="C142">
            <v>10030059</v>
          </cell>
          <cell r="D142" t="str">
            <v>JHAJHA</v>
          </cell>
          <cell r="E142" t="str">
            <v>MPG</v>
          </cell>
          <cell r="F142" t="str">
            <v>Direct</v>
          </cell>
        </row>
        <row r="143">
          <cell r="C143">
            <v>10030060</v>
          </cell>
          <cell r="D143" t="str">
            <v>KAMARDUH</v>
          </cell>
          <cell r="E143" t="str">
            <v>MPG</v>
          </cell>
          <cell r="F143" t="str">
            <v>Direct</v>
          </cell>
        </row>
        <row r="144">
          <cell r="C144">
            <v>10030061</v>
          </cell>
          <cell r="D144" t="str">
            <v>BARSABAD</v>
          </cell>
          <cell r="E144" t="str">
            <v>MPG</v>
          </cell>
          <cell r="F144" t="str">
            <v>Direct</v>
          </cell>
        </row>
        <row r="145">
          <cell r="C145">
            <v>10030063</v>
          </cell>
          <cell r="D145" t="str">
            <v>GONAI</v>
          </cell>
          <cell r="E145" t="str">
            <v>MPG</v>
          </cell>
          <cell r="F145" t="str">
            <v>Direct</v>
          </cell>
        </row>
        <row r="146">
          <cell r="C146">
            <v>10030064</v>
          </cell>
          <cell r="D146" t="str">
            <v>SHIKARITOLA</v>
          </cell>
          <cell r="E146" t="str">
            <v>MPG</v>
          </cell>
          <cell r="F146" t="str">
            <v>Direct</v>
          </cell>
        </row>
        <row r="147">
          <cell r="C147">
            <v>10030065</v>
          </cell>
          <cell r="D147" t="str">
            <v>BAIKUNTHPUR</v>
          </cell>
          <cell r="E147" t="str">
            <v>MPG</v>
          </cell>
          <cell r="F147" t="str">
            <v>Direct</v>
          </cell>
        </row>
        <row r="148">
          <cell r="C148">
            <v>10030066</v>
          </cell>
          <cell r="D148" t="str">
            <v>KAITHA</v>
          </cell>
          <cell r="E148" t="str">
            <v>MPG</v>
          </cell>
          <cell r="F148" t="str">
            <v>Direct</v>
          </cell>
        </row>
        <row r="149">
          <cell r="C149">
            <v>10030068</v>
          </cell>
          <cell r="D149" t="str">
            <v>DORAI</v>
          </cell>
          <cell r="E149" t="str">
            <v>MPG</v>
          </cell>
          <cell r="F149" t="str">
            <v>Direct</v>
          </cell>
        </row>
        <row r="150">
          <cell r="C150">
            <v>10030069</v>
          </cell>
          <cell r="D150" t="str">
            <v>RAGHUNATHPUR</v>
          </cell>
          <cell r="E150" t="str">
            <v>vlc</v>
          </cell>
          <cell r="F150" t="str">
            <v>Indirect</v>
          </cell>
        </row>
        <row r="151">
          <cell r="C151">
            <v>10030070</v>
          </cell>
          <cell r="D151" t="str">
            <v>BANGAMA</v>
          </cell>
          <cell r="E151" t="str">
            <v>MPG</v>
          </cell>
          <cell r="F151" t="str">
            <v>Direct</v>
          </cell>
        </row>
        <row r="152">
          <cell r="C152">
            <v>10030071</v>
          </cell>
          <cell r="D152" t="str">
            <v>KORIYA</v>
          </cell>
          <cell r="E152" t="str">
            <v>MPG</v>
          </cell>
          <cell r="F152" t="str">
            <v>Direct</v>
          </cell>
        </row>
        <row r="153">
          <cell r="C153">
            <v>10030072</v>
          </cell>
          <cell r="D153" t="str">
            <v>HARLACHAK</v>
          </cell>
          <cell r="E153" t="str">
            <v>MPG</v>
          </cell>
          <cell r="F153" t="str">
            <v>Direct</v>
          </cell>
        </row>
        <row r="154">
          <cell r="C154">
            <v>10030074</v>
          </cell>
          <cell r="D154" t="str">
            <v>Jangle Jhakra</v>
          </cell>
          <cell r="E154" t="str">
            <v>MPG</v>
          </cell>
          <cell r="F154" t="str">
            <v>Direct</v>
          </cell>
        </row>
        <row r="155">
          <cell r="C155">
            <v>10030075</v>
          </cell>
          <cell r="D155" t="str">
            <v>KATAHRA</v>
          </cell>
          <cell r="E155" t="str">
            <v>MPG</v>
          </cell>
          <cell r="F155" t="str">
            <v>Direct</v>
          </cell>
        </row>
        <row r="156">
          <cell r="C156">
            <v>10030077</v>
          </cell>
          <cell r="D156" t="str">
            <v>KARHARIA V</v>
          </cell>
          <cell r="E156" t="str">
            <v>vlc</v>
          </cell>
          <cell r="F156" t="str">
            <v>Indirect</v>
          </cell>
        </row>
        <row r="157">
          <cell r="C157">
            <v>10030078</v>
          </cell>
          <cell r="D157" t="str">
            <v>BALADEV ITAHARI</v>
          </cell>
          <cell r="E157" t="str">
            <v>MPG</v>
          </cell>
          <cell r="F157" t="str">
            <v>Direct</v>
          </cell>
        </row>
        <row r="158">
          <cell r="C158">
            <v>10030079</v>
          </cell>
          <cell r="D158" t="str">
            <v>GOMUKH KODAND</v>
          </cell>
          <cell r="E158" t="str">
            <v>vlc</v>
          </cell>
          <cell r="F158" t="str">
            <v>Indirect</v>
          </cell>
        </row>
        <row r="159">
          <cell r="C159">
            <v>10030080</v>
          </cell>
          <cell r="D159" t="str">
            <v>PAHALANPUR</v>
          </cell>
          <cell r="E159" t="str">
            <v>MPG</v>
          </cell>
          <cell r="F159" t="str">
            <v>Direct</v>
          </cell>
        </row>
        <row r="160">
          <cell r="C160">
            <v>10030081</v>
          </cell>
          <cell r="D160" t="str">
            <v>TETARIYA</v>
          </cell>
          <cell r="E160" t="str">
            <v>vlc</v>
          </cell>
          <cell r="F160" t="str">
            <v>Indirect</v>
          </cell>
        </row>
        <row r="161">
          <cell r="C161">
            <v>10030082</v>
          </cell>
          <cell r="D161" t="str">
            <v>RAMBRAN YADAV</v>
          </cell>
          <cell r="E161" t="str">
            <v>MPG</v>
          </cell>
          <cell r="F161" t="str">
            <v>Direct</v>
          </cell>
        </row>
        <row r="162">
          <cell r="C162">
            <v>10030084</v>
          </cell>
          <cell r="D162" t="str">
            <v>Gomukh Beldra</v>
          </cell>
          <cell r="E162" t="str">
            <v>MPG</v>
          </cell>
          <cell r="F162" t="str">
            <v>Indirect</v>
          </cell>
        </row>
        <row r="163">
          <cell r="C163">
            <v>10030085</v>
          </cell>
          <cell r="D163" t="str">
            <v>Gomukh Chandanpura</v>
          </cell>
          <cell r="E163" t="str">
            <v>MPG</v>
          </cell>
          <cell r="F163" t="str">
            <v>Indirect</v>
          </cell>
        </row>
        <row r="164">
          <cell r="C164">
            <v>10060002</v>
          </cell>
          <cell r="D164" t="str">
            <v>MANO</v>
          </cell>
          <cell r="E164" t="str">
            <v>vlc</v>
          </cell>
          <cell r="F164" t="str">
            <v>Indirect</v>
          </cell>
        </row>
        <row r="165">
          <cell r="C165">
            <v>10060003</v>
          </cell>
          <cell r="D165" t="str">
            <v>PURANI SALEMPUR</v>
          </cell>
          <cell r="E165" t="str">
            <v>vlc</v>
          </cell>
          <cell r="F165" t="str">
            <v>Indirect</v>
          </cell>
        </row>
        <row r="166">
          <cell r="C166">
            <v>10060004</v>
          </cell>
          <cell r="D166" t="str">
            <v>DHANDHHA</v>
          </cell>
          <cell r="E166" t="str">
            <v>vlc</v>
          </cell>
          <cell r="F166" t="str">
            <v>Indirect</v>
          </cell>
        </row>
        <row r="167">
          <cell r="C167">
            <v>10060005</v>
          </cell>
          <cell r="D167" t="str">
            <v>CHALISH</v>
          </cell>
          <cell r="E167" t="str">
            <v>vlc</v>
          </cell>
          <cell r="F167" t="str">
            <v>Indirect</v>
          </cell>
        </row>
        <row r="168">
          <cell r="C168">
            <v>10060007</v>
          </cell>
          <cell r="D168" t="str">
            <v>MAA BHAGWATI</v>
          </cell>
          <cell r="E168" t="str">
            <v>vlc</v>
          </cell>
          <cell r="F168" t="str">
            <v>Indirect</v>
          </cell>
        </row>
        <row r="169">
          <cell r="C169">
            <v>10060008</v>
          </cell>
          <cell r="D169" t="str">
            <v>MAIDINICHOKI</v>
          </cell>
          <cell r="E169" t="str">
            <v>vlc</v>
          </cell>
          <cell r="F169" t="str">
            <v>Indirect</v>
          </cell>
        </row>
        <row r="170">
          <cell r="C170">
            <v>10060009</v>
          </cell>
          <cell r="D170" t="str">
            <v>GOMUKH JAJWARA</v>
          </cell>
          <cell r="E170" t="str">
            <v>vlc</v>
          </cell>
          <cell r="F170" t="str">
            <v>Indirect</v>
          </cell>
        </row>
        <row r="171">
          <cell r="C171">
            <v>10060010</v>
          </cell>
          <cell r="D171" t="str">
            <v>Gomukh ID Sonvarsha</v>
          </cell>
          <cell r="E171" t="str">
            <v>vlc</v>
          </cell>
          <cell r="F171" t="str">
            <v>Indirect</v>
          </cell>
        </row>
        <row r="172">
          <cell r="C172">
            <v>10060011</v>
          </cell>
          <cell r="D172" t="str">
            <v>BALHAPUR</v>
          </cell>
          <cell r="E172" t="str">
            <v>MPG</v>
          </cell>
          <cell r="F172" t="str">
            <v>Direct</v>
          </cell>
        </row>
        <row r="173">
          <cell r="C173">
            <v>10060014</v>
          </cell>
          <cell r="D173" t="str">
            <v>Gomukh ID Husaina</v>
          </cell>
          <cell r="E173" t="str">
            <v>vlc</v>
          </cell>
          <cell r="F173" t="str">
            <v>Indirect</v>
          </cell>
        </row>
        <row r="174">
          <cell r="C174">
            <v>10060015</v>
          </cell>
          <cell r="D174" t="str">
            <v>Gomukh ID Prarotol</v>
          </cell>
          <cell r="E174" t="str">
            <v>vlc</v>
          </cell>
          <cell r="F174" t="str">
            <v>Indirect</v>
          </cell>
        </row>
        <row r="175">
          <cell r="C175">
            <v>10060020</v>
          </cell>
          <cell r="D175" t="str">
            <v>MAA SARDE</v>
          </cell>
          <cell r="E175" t="str">
            <v>vlc</v>
          </cell>
          <cell r="F175" t="str">
            <v>Indirect</v>
          </cell>
        </row>
        <row r="176">
          <cell r="C176">
            <v>10060021</v>
          </cell>
          <cell r="D176" t="str">
            <v>PURANI DIH</v>
          </cell>
          <cell r="E176" t="str">
            <v>vlc</v>
          </cell>
          <cell r="F176" t="str">
            <v>Indirect</v>
          </cell>
        </row>
        <row r="177">
          <cell r="C177">
            <v>10060022</v>
          </cell>
          <cell r="D177" t="str">
            <v>Farda Ravi Tola</v>
          </cell>
          <cell r="E177" t="str">
            <v>MPG</v>
          </cell>
          <cell r="F177" t="str">
            <v>Direct</v>
          </cell>
        </row>
        <row r="178">
          <cell r="C178">
            <v>10060023</v>
          </cell>
          <cell r="D178" t="str">
            <v>Gomukh Puranidih 2</v>
          </cell>
          <cell r="E178" t="str">
            <v>vlc</v>
          </cell>
          <cell r="F178" t="str">
            <v>Indirect</v>
          </cell>
        </row>
        <row r="179">
          <cell r="C179">
            <v>10060026</v>
          </cell>
          <cell r="D179" t="str">
            <v>Gomukh Arma</v>
          </cell>
          <cell r="E179" t="str">
            <v>MPG</v>
          </cell>
          <cell r="F179" t="str">
            <v>Direct</v>
          </cell>
        </row>
        <row r="180">
          <cell r="C180">
            <v>10060027</v>
          </cell>
          <cell r="D180" t="str">
            <v>Singhchak</v>
          </cell>
          <cell r="E180" t="str">
            <v>MPG</v>
          </cell>
          <cell r="F180" t="str">
            <v>Direct</v>
          </cell>
        </row>
        <row r="181">
          <cell r="C181">
            <v>10060028</v>
          </cell>
          <cell r="D181" t="str">
            <v>MAHA-LAXMI</v>
          </cell>
          <cell r="E181" t="str">
            <v>vlc</v>
          </cell>
          <cell r="F181" t="str">
            <v>Indirect</v>
          </cell>
        </row>
        <row r="182">
          <cell r="C182">
            <v>10060029</v>
          </cell>
          <cell r="D182" t="str">
            <v>PAWAI</v>
          </cell>
          <cell r="E182" t="str">
            <v>MPG</v>
          </cell>
          <cell r="F182" t="str">
            <v>Direct</v>
          </cell>
        </row>
        <row r="183">
          <cell r="C183">
            <v>10060031</v>
          </cell>
          <cell r="D183" t="str">
            <v xml:space="preserve">LAKHOCHAK                                                                                           </v>
          </cell>
          <cell r="E183" t="str">
            <v>MPG</v>
          </cell>
          <cell r="F183" t="str">
            <v>Direct</v>
          </cell>
        </row>
        <row r="184">
          <cell r="C184">
            <v>10060032</v>
          </cell>
          <cell r="D184" t="str">
            <v xml:space="preserve">BATTA RAMPUR                                                                                        </v>
          </cell>
          <cell r="E184" t="str">
            <v>MPG</v>
          </cell>
          <cell r="F184" t="str">
            <v>Direct</v>
          </cell>
        </row>
        <row r="185">
          <cell r="C185">
            <v>10060033</v>
          </cell>
          <cell r="D185" t="str">
            <v>DARISHIR</v>
          </cell>
          <cell r="E185" t="str">
            <v>MPG</v>
          </cell>
          <cell r="F185" t="str">
            <v>Direct</v>
          </cell>
        </row>
        <row r="186">
          <cell r="C186">
            <v>10060037</v>
          </cell>
          <cell r="D186" t="str">
            <v>NIRAJ KUMAR</v>
          </cell>
          <cell r="E186" t="str">
            <v>vlc</v>
          </cell>
          <cell r="F186" t="str">
            <v>Indirect</v>
          </cell>
        </row>
        <row r="187">
          <cell r="C187">
            <v>10060041</v>
          </cell>
          <cell r="D187" t="str">
            <v>RANDHIR KUMAR(VLC)</v>
          </cell>
          <cell r="E187" t="str">
            <v>vlc</v>
          </cell>
          <cell r="F187" t="str">
            <v>Indirect</v>
          </cell>
        </row>
        <row r="188">
          <cell r="C188">
            <v>10060044</v>
          </cell>
          <cell r="D188" t="str">
            <v>Abgil Rampur - Rohit</v>
          </cell>
          <cell r="E188" t="str">
            <v>vlc</v>
          </cell>
          <cell r="F188" t="str">
            <v>Indirect</v>
          </cell>
        </row>
        <row r="189">
          <cell r="C189">
            <v>10060049</v>
          </cell>
          <cell r="D189" t="str">
            <v>MALIYA</v>
          </cell>
          <cell r="E189" t="str">
            <v>MPG</v>
          </cell>
          <cell r="F189" t="str">
            <v>Direct</v>
          </cell>
        </row>
        <row r="190">
          <cell r="C190">
            <v>10060050</v>
          </cell>
          <cell r="D190" t="str">
            <v>MAHULIYA</v>
          </cell>
          <cell r="E190" t="str">
            <v>MPG</v>
          </cell>
          <cell r="F190" t="str">
            <v>Direct</v>
          </cell>
        </row>
        <row r="191">
          <cell r="C191">
            <v>10060051</v>
          </cell>
          <cell r="D191" t="str">
            <v>ABGIL RAMPUR</v>
          </cell>
          <cell r="E191" t="str">
            <v>vlc</v>
          </cell>
          <cell r="F191" t="str">
            <v>Indirect</v>
          </cell>
        </row>
        <row r="192">
          <cell r="C192">
            <v>10060052</v>
          </cell>
          <cell r="D192" t="str">
            <v>ABGIL</v>
          </cell>
          <cell r="E192" t="str">
            <v>vlc</v>
          </cell>
          <cell r="F192" t="str">
            <v>Indirect</v>
          </cell>
        </row>
        <row r="193">
          <cell r="C193">
            <v>10060055</v>
          </cell>
          <cell r="D193" t="str">
            <v>RUPESH KUMAR</v>
          </cell>
          <cell r="E193" t="str">
            <v>vlc</v>
          </cell>
          <cell r="F193" t="str">
            <v>Indirect</v>
          </cell>
        </row>
        <row r="194">
          <cell r="C194">
            <v>10060058</v>
          </cell>
          <cell r="D194" t="str">
            <v xml:space="preserve">ABGIL HUSSAINA-2                                                                                    </v>
          </cell>
          <cell r="E194" t="str">
            <v>MPG</v>
          </cell>
          <cell r="F194" t="str">
            <v>Direct</v>
          </cell>
        </row>
        <row r="195">
          <cell r="C195">
            <v>10060061</v>
          </cell>
          <cell r="D195" t="str">
            <v xml:space="preserve">Manish Kumar                                                                                        </v>
          </cell>
          <cell r="E195" t="str">
            <v>vlc</v>
          </cell>
          <cell r="F195" t="str">
            <v>Indirect</v>
          </cell>
        </row>
        <row r="196">
          <cell r="C196">
            <v>10060062</v>
          </cell>
          <cell r="D196" t="str">
            <v>AKHA-KURHA</v>
          </cell>
          <cell r="E196" t="str">
            <v>vlc</v>
          </cell>
          <cell r="F196" t="str">
            <v>Indirect</v>
          </cell>
        </row>
        <row r="197">
          <cell r="C197">
            <v>10060069</v>
          </cell>
          <cell r="D197" t="str">
            <v>BHANDAR</v>
          </cell>
          <cell r="E197" t="str">
            <v>MPG</v>
          </cell>
          <cell r="F197" t="str">
            <v>Direct</v>
          </cell>
        </row>
        <row r="198">
          <cell r="C198">
            <v>10060074</v>
          </cell>
          <cell r="D198" t="str">
            <v>BASMATIYA</v>
          </cell>
          <cell r="E198" t="str">
            <v>MPG</v>
          </cell>
          <cell r="F198" t="str">
            <v>Direct</v>
          </cell>
        </row>
        <row r="199">
          <cell r="C199">
            <v>10060077</v>
          </cell>
          <cell r="D199" t="str">
            <v>TILATHI</v>
          </cell>
          <cell r="E199" t="str">
            <v>MPG</v>
          </cell>
          <cell r="F199" t="str">
            <v>Direct</v>
          </cell>
        </row>
        <row r="200">
          <cell r="C200">
            <v>10060083</v>
          </cell>
          <cell r="D200" t="str">
            <v>GOMUKH WESTOL</v>
          </cell>
          <cell r="E200" t="str">
            <v>vlc</v>
          </cell>
          <cell r="F200" t="str">
            <v>Indirect</v>
          </cell>
        </row>
        <row r="201">
          <cell r="C201">
            <v>10060085</v>
          </cell>
          <cell r="D201" t="str">
            <v>GOMUKH  SALHA</v>
          </cell>
          <cell r="E201" t="str">
            <v>vlc</v>
          </cell>
          <cell r="F201" t="str">
            <v>Indirect</v>
          </cell>
        </row>
        <row r="202">
          <cell r="C202">
            <v>10060090</v>
          </cell>
          <cell r="D202" t="str">
            <v>SANGRAMPUR</v>
          </cell>
          <cell r="E202" t="str">
            <v>MPG</v>
          </cell>
          <cell r="F202" t="str">
            <v>Direct</v>
          </cell>
        </row>
        <row r="203">
          <cell r="C203">
            <v>10060096</v>
          </cell>
          <cell r="D203" t="str">
            <v>GOMUKH CHASMASKAN</v>
          </cell>
          <cell r="E203" t="str">
            <v>vlc</v>
          </cell>
          <cell r="F203" t="str">
            <v>Indirect</v>
          </cell>
        </row>
        <row r="204">
          <cell r="C204">
            <v>10060097</v>
          </cell>
          <cell r="D204" t="str">
            <v>GOMUKH KAJITOLA</v>
          </cell>
          <cell r="E204" t="str">
            <v>vlc</v>
          </cell>
          <cell r="F204" t="str">
            <v>Indirect</v>
          </cell>
        </row>
        <row r="205">
          <cell r="C205">
            <v>10060098</v>
          </cell>
          <cell r="D205" t="str">
            <v>RAMDEV TOLA</v>
          </cell>
          <cell r="E205" t="str">
            <v>MPG</v>
          </cell>
          <cell r="F205" t="str">
            <v>Direct</v>
          </cell>
        </row>
        <row r="206">
          <cell r="C206">
            <v>10060104</v>
          </cell>
          <cell r="D206" t="str">
            <v>GOMUKH KATEHAR</v>
          </cell>
          <cell r="E206" t="str">
            <v>vlc</v>
          </cell>
          <cell r="F206" t="str">
            <v>Indirect</v>
          </cell>
        </row>
        <row r="207">
          <cell r="C207">
            <v>10060106</v>
          </cell>
          <cell r="D207" t="str">
            <v>PIPARPATI</v>
          </cell>
          <cell r="E207" t="str">
            <v>MPG</v>
          </cell>
          <cell r="F207" t="str">
            <v>Direct</v>
          </cell>
        </row>
        <row r="208">
          <cell r="C208">
            <v>10060107</v>
          </cell>
          <cell r="D208" t="str">
            <v>GOMUKH JAGMAGLA</v>
          </cell>
          <cell r="E208" t="str">
            <v>vlc</v>
          </cell>
          <cell r="F208" t="str">
            <v>Indirect</v>
          </cell>
        </row>
        <row r="209">
          <cell r="C209">
            <v>10060109</v>
          </cell>
          <cell r="D209" t="str">
            <v>PACHRUKHI</v>
          </cell>
          <cell r="E209" t="str">
            <v>MPG</v>
          </cell>
          <cell r="F209" t="str">
            <v>Direct</v>
          </cell>
        </row>
        <row r="210">
          <cell r="C210">
            <v>10060110</v>
          </cell>
          <cell r="D210" t="str">
            <v>ORABAGICHA</v>
          </cell>
          <cell r="E210" t="str">
            <v>MPG</v>
          </cell>
          <cell r="F210" t="str">
            <v>Direct</v>
          </cell>
        </row>
        <row r="211">
          <cell r="C211">
            <v>10060111</v>
          </cell>
          <cell r="D211" t="str">
            <v>KHAJURIYA</v>
          </cell>
          <cell r="E211" t="str">
            <v>MPG</v>
          </cell>
          <cell r="F211" t="str">
            <v>Direct</v>
          </cell>
        </row>
        <row r="212">
          <cell r="C212">
            <v>10060113</v>
          </cell>
          <cell r="D212" t="str">
            <v>NAYA SALEMPUR</v>
          </cell>
          <cell r="E212" t="str">
            <v>vlc</v>
          </cell>
          <cell r="F212" t="str">
            <v>Indirect</v>
          </cell>
        </row>
        <row r="213">
          <cell r="C213">
            <v>10060114</v>
          </cell>
          <cell r="D213" t="str">
            <v>MANO 2</v>
          </cell>
          <cell r="E213" t="str">
            <v>MPG</v>
          </cell>
          <cell r="F213" t="str">
            <v>Direct</v>
          </cell>
        </row>
        <row r="214">
          <cell r="C214">
            <v>10060115</v>
          </cell>
          <cell r="D214" t="str">
            <v>Champanagar</v>
          </cell>
          <cell r="E214" t="str">
            <v>MPG</v>
          </cell>
          <cell r="F214" t="str">
            <v>Direct</v>
          </cell>
        </row>
        <row r="215">
          <cell r="C215">
            <v>10060116</v>
          </cell>
          <cell r="D215" t="str">
            <v>LOSDHANI</v>
          </cell>
          <cell r="E215" t="str">
            <v>MPG</v>
          </cell>
          <cell r="F215" t="str">
            <v>Direct</v>
          </cell>
        </row>
        <row r="216">
          <cell r="C216">
            <v>10060117</v>
          </cell>
          <cell r="D216" t="str">
            <v>GOMUKH MAHGAMA</v>
          </cell>
          <cell r="E216" t="str">
            <v>vlc</v>
          </cell>
          <cell r="F216" t="str">
            <v>Indirect</v>
          </cell>
        </row>
        <row r="217">
          <cell r="C217">
            <v>10060118</v>
          </cell>
          <cell r="D217" t="str">
            <v>GOMUKH BAGALWA</v>
          </cell>
          <cell r="E217" t="str">
            <v>MPG</v>
          </cell>
          <cell r="F217" t="str">
            <v>Direct</v>
          </cell>
        </row>
        <row r="218">
          <cell r="C218">
            <v>10060120</v>
          </cell>
          <cell r="D218" t="str">
            <v>GOMUKH LARYATAL</v>
          </cell>
          <cell r="E218" t="str">
            <v>vlc</v>
          </cell>
          <cell r="F218" t="str">
            <v>Indirect</v>
          </cell>
        </row>
        <row r="219">
          <cell r="C219">
            <v>10060121</v>
          </cell>
          <cell r="D219" t="str">
            <v>CHANDANPURA</v>
          </cell>
          <cell r="E219" t="str">
            <v>MPG</v>
          </cell>
          <cell r="F219" t="str">
            <v>Direct</v>
          </cell>
        </row>
        <row r="220">
          <cell r="C220">
            <v>10060122</v>
          </cell>
          <cell r="D220" t="str">
            <v>GOMUKH BHITAKITA</v>
          </cell>
          <cell r="E220" t="str">
            <v>vlc</v>
          </cell>
          <cell r="F220" t="str">
            <v>Indirect</v>
          </cell>
        </row>
        <row r="221">
          <cell r="C221">
            <v>10060124</v>
          </cell>
          <cell r="D221" t="str">
            <v>SINGHOL</v>
          </cell>
          <cell r="E221" t="str">
            <v>MPG</v>
          </cell>
          <cell r="F221" t="str">
            <v>Direct</v>
          </cell>
        </row>
        <row r="222">
          <cell r="C222">
            <v>10060125</v>
          </cell>
          <cell r="D222" t="str">
            <v>GOMUKH OJONTOLA</v>
          </cell>
          <cell r="E222" t="str">
            <v>vlc</v>
          </cell>
          <cell r="F222" t="str">
            <v>Indirect</v>
          </cell>
        </row>
        <row r="223">
          <cell r="C223">
            <v>10060126</v>
          </cell>
          <cell r="D223" t="str">
            <v>KHUDDIBAN SHIVNAGAR</v>
          </cell>
          <cell r="E223" t="str">
            <v>MPG</v>
          </cell>
          <cell r="F223" t="str">
            <v>Direct</v>
          </cell>
        </row>
        <row r="224">
          <cell r="C224">
            <v>10060127</v>
          </cell>
          <cell r="D224" t="str">
            <v>GOMUKH JHAPANI</v>
          </cell>
          <cell r="E224" t="str">
            <v>vlc</v>
          </cell>
          <cell r="F224" t="str">
            <v>Indirect</v>
          </cell>
        </row>
        <row r="225">
          <cell r="C225">
            <v>10060129</v>
          </cell>
          <cell r="D225" t="str">
            <v>BARIYARPUR</v>
          </cell>
          <cell r="E225" t="str">
            <v>MPG</v>
          </cell>
          <cell r="F225" t="str">
            <v>Direct</v>
          </cell>
        </row>
        <row r="226">
          <cell r="C226">
            <v>10060130</v>
          </cell>
          <cell r="D226" t="str">
            <v>MASUDAN</v>
          </cell>
          <cell r="E226" t="str">
            <v>MPG</v>
          </cell>
          <cell r="F226" t="str">
            <v>Direct</v>
          </cell>
        </row>
        <row r="227">
          <cell r="C227">
            <v>10060132</v>
          </cell>
          <cell r="D227" t="str">
            <v>GOMUKH LOKDHANI</v>
          </cell>
          <cell r="E227" t="str">
            <v>vlc</v>
          </cell>
          <cell r="F227" t="str">
            <v>Indirect</v>
          </cell>
        </row>
        <row r="228">
          <cell r="C228">
            <v>10060133</v>
          </cell>
          <cell r="D228" t="str">
            <v>GOMUKH BOHLA</v>
          </cell>
          <cell r="E228" t="str">
            <v>vlc</v>
          </cell>
          <cell r="F228" t="str">
            <v>Indirect</v>
          </cell>
        </row>
        <row r="229">
          <cell r="C229">
            <v>10070002</v>
          </cell>
          <cell r="D229" t="str">
            <v>Gomukh ID Araria</v>
          </cell>
          <cell r="E229" t="str">
            <v>vlc</v>
          </cell>
          <cell r="F229" t="str">
            <v>Indirect</v>
          </cell>
        </row>
        <row r="230">
          <cell r="C230">
            <v>10070003</v>
          </cell>
          <cell r="D230" t="str">
            <v>Gomukh ID Chaidha</v>
          </cell>
          <cell r="E230" t="str">
            <v>vlc</v>
          </cell>
          <cell r="F230" t="str">
            <v>Indirect</v>
          </cell>
        </row>
        <row r="231">
          <cell r="C231">
            <v>10070004</v>
          </cell>
          <cell r="D231" t="str">
            <v>Gomukh ID Pakrail</v>
          </cell>
          <cell r="E231" t="str">
            <v>vlc</v>
          </cell>
          <cell r="F231" t="str">
            <v>Indirect</v>
          </cell>
        </row>
        <row r="232">
          <cell r="C232">
            <v>10070008</v>
          </cell>
          <cell r="D232" t="str">
            <v>Gomukh ID Pipra</v>
          </cell>
          <cell r="E232" t="str">
            <v>vlc</v>
          </cell>
          <cell r="F232" t="str">
            <v>Indirect</v>
          </cell>
        </row>
        <row r="233">
          <cell r="C233">
            <v>10070013</v>
          </cell>
          <cell r="D233" t="str">
            <v xml:space="preserve">Gomukh Fatepur                                                                                      </v>
          </cell>
          <cell r="E233" t="str">
            <v>MPG</v>
          </cell>
          <cell r="F233" t="str">
            <v>Direct</v>
          </cell>
        </row>
        <row r="234">
          <cell r="C234">
            <v>10070016</v>
          </cell>
          <cell r="D234" t="str">
            <v>Gomukh Gauchhari</v>
          </cell>
          <cell r="E234" t="str">
            <v>MPG</v>
          </cell>
          <cell r="F234" t="str">
            <v>Direct</v>
          </cell>
        </row>
        <row r="235">
          <cell r="C235">
            <v>10070018</v>
          </cell>
          <cell r="D235" t="str">
            <v>Gomukh Arariya Karjaniya</v>
          </cell>
          <cell r="E235" t="str">
            <v>vlc</v>
          </cell>
          <cell r="F235" t="str">
            <v>Indirect</v>
          </cell>
        </row>
        <row r="236">
          <cell r="C236">
            <v>10070020</v>
          </cell>
          <cell r="D236" t="str">
            <v>Gomukh Balha</v>
          </cell>
          <cell r="E236" t="str">
            <v>vlc</v>
          </cell>
          <cell r="F236" t="str">
            <v>Indirect</v>
          </cell>
        </row>
        <row r="237">
          <cell r="C237">
            <v>10070024</v>
          </cell>
          <cell r="D237" t="str">
            <v>Haripur - Sanjay</v>
          </cell>
          <cell r="E237" t="str">
            <v>vlc</v>
          </cell>
          <cell r="F237" t="str">
            <v>Indirect</v>
          </cell>
        </row>
        <row r="238">
          <cell r="C238">
            <v>10070033</v>
          </cell>
          <cell r="D238" t="str">
            <v>Gomukh Kabela                                                                                       </v>
          </cell>
          <cell r="E238" t="str">
            <v>MPG</v>
          </cell>
          <cell r="F238" t="str">
            <v>Direct</v>
          </cell>
        </row>
        <row r="239">
          <cell r="C239">
            <v>10070039</v>
          </cell>
          <cell r="D239" t="str">
            <v xml:space="preserve">Gomukh Malpa Uttari                                                                                 </v>
          </cell>
          <cell r="E239" t="str">
            <v>vlc</v>
          </cell>
          <cell r="F239" t="str">
            <v>Indirect</v>
          </cell>
        </row>
        <row r="240">
          <cell r="C240">
            <v>10070042</v>
          </cell>
          <cell r="D240" t="str">
            <v>Gomukh Sapha</v>
          </cell>
          <cell r="E240" t="str">
            <v>MPG</v>
          </cell>
          <cell r="F240" t="str">
            <v>Direct</v>
          </cell>
        </row>
        <row r="241">
          <cell r="C241">
            <v>10070043</v>
          </cell>
          <cell r="D241" t="str">
            <v>Araria</v>
          </cell>
          <cell r="E241" t="str">
            <v>vlc</v>
          </cell>
          <cell r="F241" t="str">
            <v>Indirect</v>
          </cell>
        </row>
        <row r="242">
          <cell r="C242">
            <v>10070045</v>
          </cell>
          <cell r="D242" t="str">
            <v>Gomukh Gauchhari</v>
          </cell>
          <cell r="E242" t="str">
            <v>MPG</v>
          </cell>
          <cell r="F242" t="str">
            <v>Direct</v>
          </cell>
        </row>
        <row r="243">
          <cell r="C243">
            <v>10070046</v>
          </cell>
          <cell r="D243" t="str">
            <v>Telouch</v>
          </cell>
          <cell r="E243" t="str">
            <v>MPG</v>
          </cell>
          <cell r="F243" t="str">
            <v>Direct</v>
          </cell>
        </row>
        <row r="244">
          <cell r="C244">
            <v>10070047</v>
          </cell>
          <cell r="D244" t="str">
            <v>Gomukh Salarpur East</v>
          </cell>
          <cell r="E244" t="str">
            <v>MPG</v>
          </cell>
          <cell r="F244" t="str">
            <v>Direct</v>
          </cell>
        </row>
        <row r="245">
          <cell r="C245">
            <v>10070048</v>
          </cell>
          <cell r="D245" t="str">
            <v>Gomukh Jhangara B</v>
          </cell>
          <cell r="E245" t="str">
            <v>MPG</v>
          </cell>
          <cell r="F245" t="str">
            <v>Direct</v>
          </cell>
        </row>
        <row r="246">
          <cell r="C246">
            <v>10070053</v>
          </cell>
          <cell r="D246" t="str">
            <v>Gomukh Saraiya</v>
          </cell>
          <cell r="E246" t="str">
            <v>vlc</v>
          </cell>
          <cell r="F246" t="str">
            <v>Direct</v>
          </cell>
        </row>
        <row r="247">
          <cell r="C247">
            <v>10070056</v>
          </cell>
          <cell r="D247" t="str">
            <v xml:space="preserve"> Gomukh Nauranga</v>
          </cell>
          <cell r="E247" t="str">
            <v>vlc</v>
          </cell>
          <cell r="F247" t="str">
            <v>Indirect</v>
          </cell>
        </row>
        <row r="248">
          <cell r="C248">
            <v>10070058</v>
          </cell>
          <cell r="D248" t="str">
            <v>Gomukh Malpa Dhutauli VLC</v>
          </cell>
          <cell r="E248" t="str">
            <v>vlc</v>
          </cell>
          <cell r="F248" t="str">
            <v>Indirect</v>
          </cell>
        </row>
        <row r="249">
          <cell r="C249">
            <v>10070059</v>
          </cell>
          <cell r="D249" t="str">
            <v>Gomukh Pakrail Vijay Nagar VLC</v>
          </cell>
          <cell r="E249" t="str">
            <v>vlc</v>
          </cell>
          <cell r="F249" t="str">
            <v>Indirect</v>
          </cell>
        </row>
        <row r="250">
          <cell r="C250">
            <v>10070060</v>
          </cell>
          <cell r="D250" t="str">
            <v>Gomukh Pakrail Shirnia VLC</v>
          </cell>
          <cell r="E250" t="str">
            <v>vlc</v>
          </cell>
          <cell r="F250" t="str">
            <v>Indirect</v>
          </cell>
        </row>
        <row r="251">
          <cell r="C251">
            <v>10070061</v>
          </cell>
          <cell r="D251" t="str">
            <v>Gomukh Godhiyasi Nayagow VLC</v>
          </cell>
          <cell r="E251" t="str">
            <v>vlc</v>
          </cell>
          <cell r="F251" t="str">
            <v>Indirect</v>
          </cell>
        </row>
        <row r="252">
          <cell r="C252">
            <v>10070063</v>
          </cell>
          <cell r="D252" t="str">
            <v>Gomukh Bandehra Purbi</v>
          </cell>
          <cell r="E252" t="str">
            <v>MPG</v>
          </cell>
          <cell r="F252" t="str">
            <v>Direct</v>
          </cell>
        </row>
        <row r="253">
          <cell r="C253">
            <v>10070064</v>
          </cell>
          <cell r="D253" t="str">
            <v>Gomukh Tila Tol</v>
          </cell>
          <cell r="E253" t="str">
            <v>MPG</v>
          </cell>
          <cell r="F253" t="str">
            <v>Direct</v>
          </cell>
        </row>
        <row r="254">
          <cell r="C254">
            <v>10070065</v>
          </cell>
          <cell r="D254" t="str">
            <v>Gomukh Dina Chakla Vlc</v>
          </cell>
          <cell r="E254" t="str">
            <v>vlc</v>
          </cell>
          <cell r="F254" t="str">
            <v>Indirect</v>
          </cell>
        </row>
        <row r="255">
          <cell r="C255">
            <v>10070074</v>
          </cell>
          <cell r="D255" t="str">
            <v>Gomukh Gogri VLC</v>
          </cell>
          <cell r="E255" t="str">
            <v>vlc</v>
          </cell>
          <cell r="F255" t="str">
            <v>Indirect</v>
          </cell>
        </row>
        <row r="256">
          <cell r="C256">
            <v>10070076</v>
          </cell>
          <cell r="D256" t="str">
            <v>Gomukh Sondiha Jay Prakash VLC</v>
          </cell>
          <cell r="E256" t="str">
            <v>vlc</v>
          </cell>
          <cell r="F256" t="str">
            <v>Indirect</v>
          </cell>
        </row>
        <row r="257">
          <cell r="C257">
            <v>10070077</v>
          </cell>
          <cell r="D257" t="str">
            <v>Gomukh Bari Chak Gogri</v>
          </cell>
          <cell r="E257" t="str">
            <v>MPG</v>
          </cell>
          <cell r="F257" t="str">
            <v>Direct</v>
          </cell>
        </row>
        <row r="258">
          <cell r="C258">
            <v>10070078</v>
          </cell>
          <cell r="D258" t="str">
            <v>Gomukh Khatha</v>
          </cell>
          <cell r="E258" t="str">
            <v>MPG</v>
          </cell>
          <cell r="F258" t="str">
            <v>Direct</v>
          </cell>
        </row>
        <row r="259">
          <cell r="C259">
            <v>10080001</v>
          </cell>
          <cell r="D259" t="str">
            <v>Chak Punervas</v>
          </cell>
          <cell r="E259" t="str">
            <v>vlc</v>
          </cell>
          <cell r="F259" t="str">
            <v>Indirect</v>
          </cell>
        </row>
        <row r="260">
          <cell r="C260">
            <v>10080002</v>
          </cell>
          <cell r="D260" t="str">
            <v>Labherchak</v>
          </cell>
          <cell r="E260" t="str">
            <v>vlc</v>
          </cell>
          <cell r="F260" t="str">
            <v>Indirect</v>
          </cell>
        </row>
        <row r="261">
          <cell r="C261">
            <v>10080003</v>
          </cell>
          <cell r="D261" t="str">
            <v>Paspura</v>
          </cell>
          <cell r="E261" t="str">
            <v>vlc</v>
          </cell>
          <cell r="F261" t="str">
            <v>Indirect</v>
          </cell>
        </row>
        <row r="262">
          <cell r="C262">
            <v>10080004</v>
          </cell>
          <cell r="D262" t="str">
            <v>Gomukh Godhna</v>
          </cell>
          <cell r="E262" t="str">
            <v>vlc</v>
          </cell>
          <cell r="F262" t="str">
            <v>Indirect</v>
          </cell>
        </row>
        <row r="263">
          <cell r="C263">
            <v>10080006</v>
          </cell>
          <cell r="D263" t="str">
            <v>Gomukh Sihma 2</v>
          </cell>
          <cell r="E263" t="str">
            <v>vlc</v>
          </cell>
          <cell r="F263" t="str">
            <v>Indirect</v>
          </cell>
        </row>
        <row r="264">
          <cell r="C264">
            <v>10080007</v>
          </cell>
          <cell r="D264" t="str">
            <v>Gomukh ID Marsaito</v>
          </cell>
          <cell r="E264" t="str">
            <v>vlc</v>
          </cell>
          <cell r="F264" t="str">
            <v>Indirect</v>
          </cell>
        </row>
        <row r="265">
          <cell r="C265">
            <v>10080012</v>
          </cell>
          <cell r="D265" t="str">
            <v>Gomukh ID Akashpur-2</v>
          </cell>
          <cell r="E265" t="str">
            <v>vlc</v>
          </cell>
          <cell r="F265" t="str">
            <v>Indirect</v>
          </cell>
        </row>
        <row r="266">
          <cell r="C266">
            <v>10080013</v>
          </cell>
          <cell r="D266" t="str">
            <v>Gomukh ID Akashpur</v>
          </cell>
          <cell r="E266" t="str">
            <v>vlc</v>
          </cell>
          <cell r="F266" t="str">
            <v>Indirect</v>
          </cell>
        </row>
        <row r="267">
          <cell r="C267">
            <v>10080014</v>
          </cell>
          <cell r="D267" t="str">
            <v>Gomukh ID Rachiyahi</v>
          </cell>
          <cell r="E267" t="str">
            <v>vlc</v>
          </cell>
          <cell r="F267" t="str">
            <v>Indirect</v>
          </cell>
        </row>
        <row r="268">
          <cell r="C268">
            <v>10080015</v>
          </cell>
          <cell r="D268" t="str">
            <v>GomukhBariyahi Chanan</v>
          </cell>
          <cell r="E268" t="str">
            <v>MPG</v>
          </cell>
          <cell r="F268" t="str">
            <v>Direct</v>
          </cell>
        </row>
        <row r="269">
          <cell r="C269">
            <v>10080016</v>
          </cell>
          <cell r="D269" t="str">
            <v>GomukhGehuni</v>
          </cell>
          <cell r="E269" t="str">
            <v>MPG</v>
          </cell>
          <cell r="F269" t="str">
            <v>Direct</v>
          </cell>
        </row>
        <row r="270">
          <cell r="C270">
            <v>10080022</v>
          </cell>
          <cell r="D270" t="str">
            <v>Gomukh Bakhatpur</v>
          </cell>
          <cell r="E270" t="str">
            <v>MPG</v>
          </cell>
          <cell r="F270" t="str">
            <v>Direct</v>
          </cell>
        </row>
        <row r="271">
          <cell r="C271">
            <v>10080024</v>
          </cell>
          <cell r="D271" t="str">
            <v>Ananaya Dairy</v>
          </cell>
          <cell r="E271" t="str">
            <v>vlc</v>
          </cell>
          <cell r="F271" t="str">
            <v>Indirect</v>
          </cell>
        </row>
        <row r="272">
          <cell r="C272">
            <v>10080025</v>
          </cell>
          <cell r="D272" t="str">
            <v>Gomukh Bishanpur</v>
          </cell>
          <cell r="E272" t="str">
            <v>MPG</v>
          </cell>
          <cell r="F272" t="str">
            <v>Direct</v>
          </cell>
        </row>
        <row r="273">
          <cell r="C273">
            <v>10080032</v>
          </cell>
          <cell r="D273" t="str">
            <v>GOMUKH BEGAMSARAI</v>
          </cell>
          <cell r="E273" t="str">
            <v>MPG</v>
          </cell>
          <cell r="F273" t="str">
            <v>Direct</v>
          </cell>
        </row>
        <row r="274">
          <cell r="C274">
            <v>10080039</v>
          </cell>
          <cell r="D274" t="str">
            <v>Hasanpur - Abhijeet</v>
          </cell>
          <cell r="E274" t="str">
            <v>vlc</v>
          </cell>
          <cell r="F274" t="str">
            <v>Indirect</v>
          </cell>
        </row>
        <row r="275">
          <cell r="C275">
            <v>10080040</v>
          </cell>
          <cell r="D275" t="str">
            <v>Adharpur - Manish</v>
          </cell>
          <cell r="E275" t="str">
            <v>vlc</v>
          </cell>
          <cell r="F275" t="str">
            <v>Indirect</v>
          </cell>
        </row>
        <row r="276">
          <cell r="C276">
            <v>10080041</v>
          </cell>
          <cell r="D276" t="str">
            <v>Rani - Surender</v>
          </cell>
          <cell r="E276" t="str">
            <v>vlc</v>
          </cell>
          <cell r="F276" t="str">
            <v>Indirect</v>
          </cell>
        </row>
        <row r="277">
          <cell r="C277">
            <v>10080043</v>
          </cell>
          <cell r="D277" t="str">
            <v>Gangaprasad - Prashant</v>
          </cell>
          <cell r="E277" t="str">
            <v>vlc</v>
          </cell>
          <cell r="F277" t="str">
            <v>Indirect</v>
          </cell>
        </row>
        <row r="278">
          <cell r="C278">
            <v>10080048</v>
          </cell>
          <cell r="D278" t="str">
            <v>GOMUKH RANI 3</v>
          </cell>
          <cell r="E278" t="str">
            <v>MPG</v>
          </cell>
          <cell r="F278" t="str">
            <v>Direct</v>
          </cell>
        </row>
        <row r="279">
          <cell r="C279">
            <v>10080052</v>
          </cell>
          <cell r="D279" t="str">
            <v>GOMUKH NONPUR</v>
          </cell>
          <cell r="E279" t="str">
            <v>MPG</v>
          </cell>
          <cell r="F279" t="str">
            <v>Direct</v>
          </cell>
        </row>
        <row r="280">
          <cell r="C280">
            <v>10080053</v>
          </cell>
          <cell r="D280" t="str">
            <v>GOMUKH FATEHA</v>
          </cell>
          <cell r="E280" t="str">
            <v>MPG</v>
          </cell>
          <cell r="F280" t="str">
            <v>Direct</v>
          </cell>
        </row>
        <row r="281">
          <cell r="C281">
            <v>10080054</v>
          </cell>
          <cell r="D281" t="str">
            <v>Bablu Singh</v>
          </cell>
          <cell r="E281" t="str">
            <v>vlc</v>
          </cell>
          <cell r="F281" t="str">
            <v>Indirect</v>
          </cell>
        </row>
        <row r="282">
          <cell r="C282">
            <v>10080055</v>
          </cell>
          <cell r="D282" t="str">
            <v>Gomukh Rani                                                                                         </v>
          </cell>
          <cell r="E282" t="str">
            <v>MPG</v>
          </cell>
          <cell r="F282" t="str">
            <v>Direct</v>
          </cell>
        </row>
        <row r="283">
          <cell r="C283">
            <v>10080061</v>
          </cell>
          <cell r="D283" t="str">
            <v>GOMUKH ROOPNAGAR</v>
          </cell>
          <cell r="E283" t="str">
            <v>MPG</v>
          </cell>
          <cell r="F283" t="str">
            <v>Direct</v>
          </cell>
        </row>
        <row r="284">
          <cell r="C284">
            <v>10080062</v>
          </cell>
          <cell r="D284" t="str">
            <v>GOMUKH SIBUTOL 2</v>
          </cell>
          <cell r="E284" t="str">
            <v>MPG</v>
          </cell>
          <cell r="F284" t="str">
            <v>Direct</v>
          </cell>
        </row>
        <row r="285">
          <cell r="C285">
            <v>10080065</v>
          </cell>
          <cell r="D285" t="str">
            <v>GOMUKH HADIPUR</v>
          </cell>
          <cell r="E285" t="str">
            <v>MPG</v>
          </cell>
          <cell r="F285" t="str">
            <v>Direct</v>
          </cell>
        </row>
        <row r="286">
          <cell r="C286">
            <v>10080067</v>
          </cell>
          <cell r="D286" t="str">
            <v>Gomukh Harichak</v>
          </cell>
          <cell r="E286" t="str">
            <v>MPG</v>
          </cell>
          <cell r="F286" t="str">
            <v>Direct</v>
          </cell>
        </row>
        <row r="287">
          <cell r="C287">
            <v>10080072</v>
          </cell>
          <cell r="D287" t="str">
            <v>GOMUKH CHIRANJIVIPUR</v>
          </cell>
          <cell r="E287" t="str">
            <v>MPG</v>
          </cell>
          <cell r="F287" t="str">
            <v>Direct</v>
          </cell>
        </row>
        <row r="288">
          <cell r="C288">
            <v>10080076</v>
          </cell>
          <cell r="D288" t="str">
            <v>RAJ BHARDWAJ</v>
          </cell>
          <cell r="E288" t="str">
            <v>vlc</v>
          </cell>
          <cell r="F288" t="str">
            <v>Indirect</v>
          </cell>
        </row>
        <row r="289">
          <cell r="C289">
            <v>10080077</v>
          </cell>
          <cell r="D289" t="str">
            <v>Gomukh Amarpur</v>
          </cell>
          <cell r="E289" t="str">
            <v>MPG</v>
          </cell>
          <cell r="F289" t="str">
            <v>Direct</v>
          </cell>
        </row>
        <row r="290">
          <cell r="C290">
            <v>10080078</v>
          </cell>
          <cell r="D290" t="str">
            <v>Prashant Kumar</v>
          </cell>
          <cell r="E290" t="str">
            <v>vlc</v>
          </cell>
          <cell r="F290" t="str">
            <v>Indirect</v>
          </cell>
        </row>
        <row r="291">
          <cell r="C291">
            <v>10080079</v>
          </cell>
          <cell r="D291" t="str">
            <v>Gomukh Barauni 3</v>
          </cell>
          <cell r="E291" t="str">
            <v>MPG</v>
          </cell>
          <cell r="F291" t="str">
            <v>Direct</v>
          </cell>
        </row>
        <row r="292">
          <cell r="C292">
            <v>10080080</v>
          </cell>
          <cell r="D292" t="str">
            <v>CHANDAN YADAV</v>
          </cell>
          <cell r="E292" t="str">
            <v>vlc</v>
          </cell>
          <cell r="F292" t="str">
            <v>Indirect</v>
          </cell>
        </row>
        <row r="293">
          <cell r="C293">
            <v>10080082</v>
          </cell>
          <cell r="D293" t="str">
            <v>DINESH YADAV</v>
          </cell>
          <cell r="E293" t="str">
            <v>vlc</v>
          </cell>
          <cell r="F293" t="str">
            <v>Indirect</v>
          </cell>
        </row>
        <row r="294">
          <cell r="C294">
            <v>10080083</v>
          </cell>
          <cell r="D294" t="str">
            <v>ANITA DEVI</v>
          </cell>
          <cell r="E294" t="str">
            <v>vlc</v>
          </cell>
          <cell r="F294" t="str">
            <v>Indirect</v>
          </cell>
        </row>
        <row r="295">
          <cell r="C295">
            <v>10080086</v>
          </cell>
          <cell r="D295" t="str">
            <v>GOMUKH FATEHA SALEMPUR</v>
          </cell>
          <cell r="E295" t="str">
            <v>MPG</v>
          </cell>
          <cell r="F295" t="str">
            <v>Direct</v>
          </cell>
        </row>
        <row r="296">
          <cell r="C296">
            <v>10080087</v>
          </cell>
          <cell r="D296" t="str">
            <v>GOMUKH GEHUNI 2</v>
          </cell>
          <cell r="E296" t="str">
            <v>MPG</v>
          </cell>
          <cell r="F296" t="str">
            <v>Direct</v>
          </cell>
        </row>
        <row r="297">
          <cell r="C297">
            <v>10080088</v>
          </cell>
          <cell r="D297" t="str">
            <v>GOMUKH MALHIPUR</v>
          </cell>
          <cell r="E297" t="str">
            <v>MPG</v>
          </cell>
          <cell r="F297" t="str">
            <v>Direct</v>
          </cell>
        </row>
        <row r="298">
          <cell r="C298">
            <v>10080089</v>
          </cell>
          <cell r="D298" t="str">
            <v>Bihat - Sonu Kumar</v>
          </cell>
          <cell r="E298" t="str">
            <v>vlc</v>
          </cell>
          <cell r="F298" t="str">
            <v>Indirect</v>
          </cell>
        </row>
        <row r="299">
          <cell r="C299">
            <v>10080090</v>
          </cell>
          <cell r="D299" t="str">
            <v>Rasalpur - Durgesh Kumar</v>
          </cell>
          <cell r="E299" t="str">
            <v>vlc</v>
          </cell>
          <cell r="F299" t="str">
            <v>Indirect</v>
          </cell>
        </row>
        <row r="300">
          <cell r="C300">
            <v>10080093</v>
          </cell>
          <cell r="D300" t="str">
            <v>Barauni Bariyarpur</v>
          </cell>
          <cell r="E300" t="str">
            <v>MPG</v>
          </cell>
          <cell r="F300" t="str">
            <v>Direct</v>
          </cell>
        </row>
        <row r="301">
          <cell r="C301">
            <v>10080095</v>
          </cell>
          <cell r="D301" t="str">
            <v>Jaynagar</v>
          </cell>
          <cell r="E301" t="str">
            <v>MPG</v>
          </cell>
          <cell r="F301" t="str">
            <v>Direct</v>
          </cell>
        </row>
        <row r="302">
          <cell r="C302">
            <v>10080097</v>
          </cell>
          <cell r="D302" t="str">
            <v>Fateha - Anil Yadav</v>
          </cell>
          <cell r="E302" t="str">
            <v>vlc</v>
          </cell>
          <cell r="F302" t="str">
            <v>Indirect</v>
          </cell>
        </row>
        <row r="303">
          <cell r="C303">
            <v>10080099</v>
          </cell>
          <cell r="D303" t="str">
            <v>Bihat - Chakballi</v>
          </cell>
          <cell r="E303" t="str">
            <v>MPG</v>
          </cell>
          <cell r="F303" t="str">
            <v>Direct</v>
          </cell>
        </row>
        <row r="304">
          <cell r="C304">
            <v>10080100</v>
          </cell>
          <cell r="D304" t="str">
            <v>Sibutol- Naya Tola</v>
          </cell>
          <cell r="E304" t="str">
            <v>MPG</v>
          </cell>
          <cell r="F304" t="str">
            <v>Direct</v>
          </cell>
        </row>
        <row r="305">
          <cell r="C305">
            <v>10080107</v>
          </cell>
          <cell r="D305" t="str">
            <v>Rasalpur</v>
          </cell>
          <cell r="E305" t="str">
            <v>vlc</v>
          </cell>
          <cell r="F305" t="str">
            <v>Indirect</v>
          </cell>
        </row>
        <row r="306">
          <cell r="C306">
            <v>10080110</v>
          </cell>
          <cell r="D306" t="str">
            <v>Rudauli</v>
          </cell>
          <cell r="E306" t="str">
            <v>vlc</v>
          </cell>
          <cell r="F306" t="str">
            <v>Indirect</v>
          </cell>
        </row>
        <row r="307">
          <cell r="C307">
            <v>10080112</v>
          </cell>
          <cell r="D307" t="str">
            <v>Samsa</v>
          </cell>
          <cell r="E307" t="str">
            <v>vlc</v>
          </cell>
          <cell r="F307" t="str">
            <v>Indirect</v>
          </cell>
        </row>
        <row r="308">
          <cell r="C308">
            <v>10080113</v>
          </cell>
          <cell r="D308" t="str">
            <v>Dahiya</v>
          </cell>
          <cell r="E308" t="str">
            <v>vlc</v>
          </cell>
          <cell r="F308" t="str">
            <v>Indirect</v>
          </cell>
        </row>
        <row r="309">
          <cell r="C309">
            <v>10080115</v>
          </cell>
          <cell r="D309" t="str">
            <v>Gaura</v>
          </cell>
          <cell r="E309" t="str">
            <v>MPG</v>
          </cell>
          <cell r="F309" t="str">
            <v>Direct</v>
          </cell>
        </row>
        <row r="310">
          <cell r="C310">
            <v>10080117</v>
          </cell>
          <cell r="D310" t="str">
            <v>Nipania-VLC</v>
          </cell>
          <cell r="E310" t="str">
            <v>vlc</v>
          </cell>
          <cell r="F310" t="str">
            <v>Indirect</v>
          </cell>
        </row>
        <row r="311">
          <cell r="C311">
            <v>10080119</v>
          </cell>
          <cell r="D311" t="str">
            <v>Mukhtiyarpur</v>
          </cell>
          <cell r="E311" t="str">
            <v>MPG</v>
          </cell>
          <cell r="F311" t="str">
            <v>Direct</v>
          </cell>
        </row>
        <row r="312">
          <cell r="C312">
            <v>10080120</v>
          </cell>
          <cell r="D312" t="str">
            <v>Gomukh Rudauli-02</v>
          </cell>
          <cell r="E312" t="str">
            <v>MPG</v>
          </cell>
          <cell r="F312" t="str">
            <v>Direct</v>
          </cell>
        </row>
        <row r="313">
          <cell r="C313">
            <v>10080121</v>
          </cell>
          <cell r="D313" t="str">
            <v>Gomukh Jhamatia</v>
          </cell>
          <cell r="E313" t="str">
            <v>MPG</v>
          </cell>
          <cell r="F313" t="str">
            <v>Direct</v>
          </cell>
        </row>
        <row r="314">
          <cell r="C314">
            <v>10080122</v>
          </cell>
          <cell r="D314" t="str">
            <v>Gomukh Puranatol Raichiahi</v>
          </cell>
          <cell r="E314" t="str">
            <v>MPG</v>
          </cell>
          <cell r="F314" t="str">
            <v>Direct</v>
          </cell>
        </row>
        <row r="315">
          <cell r="C315">
            <v>10080124</v>
          </cell>
          <cell r="D315" t="str">
            <v>Bihat-Gududaspur</v>
          </cell>
          <cell r="E315" t="str">
            <v>MPG</v>
          </cell>
          <cell r="F315" t="str">
            <v>Direct</v>
          </cell>
        </row>
        <row r="316">
          <cell r="C316">
            <v>10080126</v>
          </cell>
          <cell r="D316" t="str">
            <v>Labharchak-2</v>
          </cell>
          <cell r="E316" t="str">
            <v>MPG</v>
          </cell>
          <cell r="F316" t="str">
            <v>Direct</v>
          </cell>
        </row>
        <row r="317">
          <cell r="C317">
            <v>10090001</v>
          </cell>
          <cell r="D317" t="str">
            <v>POHE</v>
          </cell>
          <cell r="E317" t="str">
            <v>vlc</v>
          </cell>
          <cell r="F317" t="str">
            <v>Indirect</v>
          </cell>
        </row>
        <row r="318">
          <cell r="C318">
            <v>10090002</v>
          </cell>
          <cell r="D318" t="str">
            <v>AURO</v>
          </cell>
          <cell r="E318" t="str">
            <v>MPG</v>
          </cell>
          <cell r="F318" t="str">
            <v>Direct</v>
          </cell>
        </row>
        <row r="319">
          <cell r="C319">
            <v>10090003</v>
          </cell>
          <cell r="D319" t="str">
            <v>PARSHAMA</v>
          </cell>
          <cell r="E319" t="str">
            <v>MPG</v>
          </cell>
          <cell r="F319" t="str">
            <v>Direct</v>
          </cell>
        </row>
        <row r="320">
          <cell r="C320">
            <v>10090005</v>
          </cell>
          <cell r="D320" t="str">
            <v>PRATAPUR 2</v>
          </cell>
          <cell r="E320" t="str">
            <v>vlc</v>
          </cell>
          <cell r="F320" t="str">
            <v>Indirect</v>
          </cell>
        </row>
        <row r="321">
          <cell r="C321">
            <v>10090006</v>
          </cell>
          <cell r="D321" t="str">
            <v>BALLOPUR</v>
          </cell>
          <cell r="E321" t="str">
            <v>MPG</v>
          </cell>
          <cell r="F321" t="str">
            <v>Direct</v>
          </cell>
        </row>
        <row r="322">
          <cell r="C322">
            <v>10090007</v>
          </cell>
          <cell r="D322" t="str">
            <v>KHAIRMA</v>
          </cell>
          <cell r="E322" t="str">
            <v>MPG</v>
          </cell>
          <cell r="F322" t="str">
            <v>Direct</v>
          </cell>
        </row>
        <row r="323">
          <cell r="C323">
            <v>10090008</v>
          </cell>
          <cell r="D323" t="str">
            <v>MAHASONI</v>
          </cell>
          <cell r="E323" t="str">
            <v>MPG</v>
          </cell>
          <cell r="F323" t="str">
            <v>Direct</v>
          </cell>
        </row>
        <row r="324">
          <cell r="C324">
            <v>10090009</v>
          </cell>
          <cell r="D324" t="str">
            <v>SONDHI</v>
          </cell>
          <cell r="E324" t="str">
            <v>MPG</v>
          </cell>
          <cell r="F324" t="str">
            <v>Direct</v>
          </cell>
        </row>
        <row r="325">
          <cell r="C325">
            <v>10090011</v>
          </cell>
          <cell r="D325" t="str">
            <v>BELDARAYA</v>
          </cell>
          <cell r="E325" t="str">
            <v>vlc</v>
          </cell>
          <cell r="F325" t="str">
            <v>Indirect</v>
          </cell>
        </row>
        <row r="326">
          <cell r="C326">
            <v>10090012</v>
          </cell>
          <cell r="D326" t="str">
            <v>Gomukh ID Aure-2</v>
          </cell>
          <cell r="E326" t="str">
            <v>vlc</v>
          </cell>
          <cell r="F326" t="str">
            <v>Indirect</v>
          </cell>
        </row>
        <row r="327">
          <cell r="C327">
            <v>10090014</v>
          </cell>
          <cell r="D327" t="str">
            <v>Gomukh Karma</v>
          </cell>
          <cell r="E327" t="str">
            <v>vlc</v>
          </cell>
          <cell r="F327" t="str">
            <v>Indirect</v>
          </cell>
        </row>
        <row r="328">
          <cell r="C328">
            <v>10090015</v>
          </cell>
          <cell r="D328" t="str">
            <v>GOMUKH UKSI</v>
          </cell>
          <cell r="E328" t="str">
            <v>vlc</v>
          </cell>
          <cell r="F328" t="str">
            <v>Indirect</v>
          </cell>
        </row>
        <row r="329">
          <cell r="C329">
            <v>10090017</v>
          </cell>
          <cell r="D329" t="str">
            <v>Gomukh ID Halsi</v>
          </cell>
          <cell r="E329" t="str">
            <v>vlc</v>
          </cell>
          <cell r="F329" t="str">
            <v>Indirect</v>
          </cell>
        </row>
        <row r="330">
          <cell r="C330">
            <v>10090018</v>
          </cell>
          <cell r="D330" t="str">
            <v>Gomukh ID Lalpur</v>
          </cell>
          <cell r="E330" t="str">
            <v>vlc</v>
          </cell>
          <cell r="F330" t="str">
            <v>Indirect</v>
          </cell>
        </row>
        <row r="331">
          <cell r="C331">
            <v>10090021</v>
          </cell>
          <cell r="D331" t="str">
            <v>KHURIYARI</v>
          </cell>
          <cell r="E331" t="str">
            <v>MPG</v>
          </cell>
          <cell r="F331" t="str">
            <v>Direct</v>
          </cell>
        </row>
        <row r="332">
          <cell r="C332">
            <v>10090022</v>
          </cell>
          <cell r="D332" t="str">
            <v>BISANPUR</v>
          </cell>
          <cell r="E332" t="str">
            <v>vlc</v>
          </cell>
          <cell r="F332" t="str">
            <v>Indirect</v>
          </cell>
        </row>
        <row r="333">
          <cell r="C333">
            <v>10090024</v>
          </cell>
          <cell r="D333" t="str">
            <v>BEHRAMA</v>
          </cell>
          <cell r="E333" t="str">
            <v>vlc</v>
          </cell>
          <cell r="F333" t="str">
            <v>Indirect</v>
          </cell>
        </row>
        <row r="334">
          <cell r="C334">
            <v>10090025</v>
          </cell>
          <cell r="D334" t="str">
            <v>Gomukh ID Mathurapur</v>
          </cell>
          <cell r="E334" t="str">
            <v>vlc</v>
          </cell>
          <cell r="F334" t="str">
            <v>Indirect</v>
          </cell>
        </row>
        <row r="335">
          <cell r="C335">
            <v>10090027</v>
          </cell>
          <cell r="D335" t="str">
            <v>Gomukh ID Kurha Dih</v>
          </cell>
          <cell r="E335" t="str">
            <v>vlc</v>
          </cell>
          <cell r="F335" t="str">
            <v>Indirect</v>
          </cell>
        </row>
        <row r="336">
          <cell r="C336">
            <v>10090029</v>
          </cell>
          <cell r="D336" t="str">
            <v>RAMNAGAR</v>
          </cell>
          <cell r="E336" t="str">
            <v>MPG</v>
          </cell>
          <cell r="F336" t="str">
            <v>Direct</v>
          </cell>
        </row>
        <row r="337">
          <cell r="C337">
            <v>10090033</v>
          </cell>
          <cell r="D337" t="str">
            <v>SANDH MAAF 2</v>
          </cell>
          <cell r="E337" t="str">
            <v>MPG</v>
          </cell>
          <cell r="F337" t="str">
            <v>Direct</v>
          </cell>
        </row>
        <row r="338">
          <cell r="C338">
            <v>10090034</v>
          </cell>
          <cell r="D338" t="str">
            <v xml:space="preserve">BHATTA                                                                                              </v>
          </cell>
          <cell r="E338" t="str">
            <v>MPG</v>
          </cell>
          <cell r="F338" t="str">
            <v>Direct</v>
          </cell>
        </row>
        <row r="339">
          <cell r="C339">
            <v>10090036</v>
          </cell>
          <cell r="D339" t="str">
            <v xml:space="preserve">TAAL-SHAHARSHA                                                                                      </v>
          </cell>
          <cell r="E339" t="str">
            <v>MPG</v>
          </cell>
          <cell r="F339" t="str">
            <v>Direct</v>
          </cell>
        </row>
        <row r="340">
          <cell r="C340">
            <v>10090037</v>
          </cell>
          <cell r="D340" t="str">
            <v>Dhira</v>
          </cell>
          <cell r="E340" t="str">
            <v>MPG</v>
          </cell>
          <cell r="F340" t="str">
            <v>Direct</v>
          </cell>
        </row>
        <row r="341">
          <cell r="C341">
            <v>10090040</v>
          </cell>
          <cell r="D341" t="str">
            <v>BARHARA</v>
          </cell>
          <cell r="E341" t="str">
            <v>MPG</v>
          </cell>
          <cell r="F341" t="str">
            <v>Direct</v>
          </cell>
        </row>
        <row r="342">
          <cell r="C342">
            <v>10090041</v>
          </cell>
          <cell r="D342" t="str">
            <v>AZADNAGAR(VLC)</v>
          </cell>
          <cell r="E342" t="str">
            <v>vlc</v>
          </cell>
          <cell r="F342" t="str">
            <v>Indirect</v>
          </cell>
        </row>
        <row r="343">
          <cell r="C343">
            <v>10090042</v>
          </cell>
          <cell r="D343" t="str">
            <v>REWAI</v>
          </cell>
          <cell r="E343" t="str">
            <v>MPG</v>
          </cell>
          <cell r="F343" t="str">
            <v>Direct</v>
          </cell>
        </row>
        <row r="344">
          <cell r="C344">
            <v>10090043</v>
          </cell>
          <cell r="D344" t="str">
            <v>BAKHIYA</v>
          </cell>
          <cell r="E344" t="str">
            <v>MPG</v>
          </cell>
          <cell r="F344" t="str">
            <v>Direct</v>
          </cell>
        </row>
        <row r="345">
          <cell r="C345">
            <v>10090045</v>
          </cell>
          <cell r="D345" t="str">
            <v>MANJOS</v>
          </cell>
          <cell r="E345" t="str">
            <v>MPG</v>
          </cell>
          <cell r="F345" t="str">
            <v>Direct</v>
          </cell>
        </row>
        <row r="346">
          <cell r="C346">
            <v>10090046</v>
          </cell>
          <cell r="D346" t="str">
            <v>RATA</v>
          </cell>
          <cell r="E346" t="str">
            <v>MPG</v>
          </cell>
          <cell r="F346" t="str">
            <v>Direct</v>
          </cell>
        </row>
        <row r="347">
          <cell r="C347">
            <v>10090047</v>
          </cell>
          <cell r="D347" t="str">
            <v>BARUI</v>
          </cell>
          <cell r="E347" t="str">
            <v>MPG</v>
          </cell>
          <cell r="F347" t="str">
            <v>Direct</v>
          </cell>
        </row>
        <row r="348">
          <cell r="C348">
            <v>10090049</v>
          </cell>
          <cell r="D348" t="str">
            <v>LAHUARA                                                                                             </v>
          </cell>
          <cell r="E348" t="str">
            <v>MPG</v>
          </cell>
          <cell r="F348" t="str">
            <v>Direct</v>
          </cell>
        </row>
        <row r="349">
          <cell r="C349">
            <v>10090052</v>
          </cell>
          <cell r="D349" t="str">
            <v>LACHHUAR</v>
          </cell>
          <cell r="E349" t="str">
            <v>MPG</v>
          </cell>
          <cell r="F349" t="str">
            <v>Direct</v>
          </cell>
        </row>
        <row r="350">
          <cell r="C350">
            <v>10090055</v>
          </cell>
          <cell r="D350" t="str">
            <v>RAMDIH Ajit Kumar</v>
          </cell>
          <cell r="E350" t="str">
            <v>vlc</v>
          </cell>
          <cell r="F350" t="str">
            <v>Indirect</v>
          </cell>
        </row>
        <row r="351">
          <cell r="C351">
            <v>10090056</v>
          </cell>
          <cell r="D351" t="str">
            <v>NARAYANPUR</v>
          </cell>
          <cell r="E351" t="str">
            <v>MPG</v>
          </cell>
          <cell r="F351" t="str">
            <v>Direct</v>
          </cell>
        </row>
        <row r="352">
          <cell r="C352">
            <v>10090058</v>
          </cell>
          <cell r="D352" t="str">
            <v>NAWKADIH</v>
          </cell>
          <cell r="E352" t="str">
            <v>MPG</v>
          </cell>
          <cell r="F352" t="str">
            <v>Direct</v>
          </cell>
        </row>
        <row r="353">
          <cell r="C353">
            <v>10090059</v>
          </cell>
          <cell r="D353" t="str">
            <v>CHOTAHA</v>
          </cell>
          <cell r="E353" t="str">
            <v>MPG</v>
          </cell>
          <cell r="F353" t="str">
            <v>Direct</v>
          </cell>
        </row>
        <row r="354">
          <cell r="C354">
            <v>10090060</v>
          </cell>
          <cell r="D354" t="str">
            <v xml:space="preserve">KHARAGWADA </v>
          </cell>
          <cell r="E354" t="str">
            <v>MPG</v>
          </cell>
          <cell r="F354" t="str">
            <v>Direct</v>
          </cell>
        </row>
        <row r="355">
          <cell r="C355">
            <v>10090061</v>
          </cell>
          <cell r="D355" t="str">
            <v>UFFAPUR</v>
          </cell>
          <cell r="E355" t="str">
            <v>MPG</v>
          </cell>
          <cell r="F355" t="str">
            <v>Direct</v>
          </cell>
        </row>
        <row r="356">
          <cell r="C356">
            <v>10090063</v>
          </cell>
          <cell r="D356" t="str">
            <v>BIHRAURA</v>
          </cell>
          <cell r="E356" t="str">
            <v>MPG</v>
          </cell>
          <cell r="F356" t="str">
            <v>Direct</v>
          </cell>
        </row>
        <row r="357">
          <cell r="C357">
            <v>10090064</v>
          </cell>
          <cell r="D357" t="str">
            <v>SHIJHORI</v>
          </cell>
          <cell r="E357" t="str">
            <v>MPG</v>
          </cell>
          <cell r="F357" t="str">
            <v>Direct</v>
          </cell>
        </row>
        <row r="358">
          <cell r="C358">
            <v>10090065</v>
          </cell>
          <cell r="D358" t="str">
            <v>RAM PRAVESH YADAV</v>
          </cell>
          <cell r="E358" t="str">
            <v>MPG</v>
          </cell>
          <cell r="F358" t="str">
            <v>Direct</v>
          </cell>
        </row>
        <row r="359">
          <cell r="C359">
            <v>10090066</v>
          </cell>
          <cell r="D359" t="str">
            <v>KRAUTA</v>
          </cell>
          <cell r="E359" t="str">
            <v>MPG</v>
          </cell>
          <cell r="F359" t="str">
            <v>Direct</v>
          </cell>
        </row>
        <row r="360">
          <cell r="C360">
            <v>10090072</v>
          </cell>
          <cell r="D360" t="str">
            <v>BOUDHNAGAR</v>
          </cell>
          <cell r="E360" t="str">
            <v>MPG</v>
          </cell>
          <cell r="F360" t="str">
            <v>Direct</v>
          </cell>
        </row>
        <row r="361">
          <cell r="C361">
            <v>10090074</v>
          </cell>
          <cell r="D361" t="str">
            <v>MOHADDINGAR</v>
          </cell>
          <cell r="E361" t="str">
            <v>MPG</v>
          </cell>
          <cell r="F361" t="str">
            <v>Direct</v>
          </cell>
        </row>
        <row r="362">
          <cell r="C362">
            <v>10090075</v>
          </cell>
          <cell r="D362" t="str">
            <v>PACHAUTA</v>
          </cell>
          <cell r="E362" t="str">
            <v>MPG</v>
          </cell>
          <cell r="F362" t="str">
            <v>Direct</v>
          </cell>
        </row>
        <row r="363">
          <cell r="C363">
            <v>10090076</v>
          </cell>
          <cell r="D363" t="str">
            <v>Gomukh Champa</v>
          </cell>
          <cell r="E363" t="str">
            <v>vlc</v>
          </cell>
          <cell r="F363" t="str">
            <v>Indirect</v>
          </cell>
        </row>
        <row r="364">
          <cell r="C364">
            <v>10090077</v>
          </cell>
          <cell r="D364" t="str">
            <v>GOMUKH DAKRA</v>
          </cell>
          <cell r="E364" t="str">
            <v>vlc</v>
          </cell>
          <cell r="F364" t="str">
            <v>Indirect</v>
          </cell>
        </row>
        <row r="365">
          <cell r="C365">
            <v>10090078</v>
          </cell>
          <cell r="D365" t="str">
            <v>TIYAY</v>
          </cell>
          <cell r="E365" t="str">
            <v>MPG</v>
          </cell>
          <cell r="F365" t="str">
            <v>Direct</v>
          </cell>
        </row>
        <row r="366">
          <cell r="C366">
            <v>10090079</v>
          </cell>
          <cell r="D366" t="str">
            <v>BILLO 2</v>
          </cell>
          <cell r="E366" t="str">
            <v>MPG</v>
          </cell>
          <cell r="F366" t="str">
            <v>Direct</v>
          </cell>
        </row>
        <row r="367">
          <cell r="C367">
            <v>10090081</v>
          </cell>
          <cell r="D367" t="str">
            <v>SAWAN KHAIRMA</v>
          </cell>
          <cell r="E367" t="str">
            <v>vlc</v>
          </cell>
          <cell r="F367" t="str">
            <v>Indirect</v>
          </cell>
        </row>
        <row r="368">
          <cell r="C368">
            <v>10100001</v>
          </cell>
          <cell r="D368" t="str">
            <v>Vishan Pur</v>
          </cell>
          <cell r="E368" t="str">
            <v>MPG</v>
          </cell>
          <cell r="F368" t="str">
            <v>Direct</v>
          </cell>
        </row>
        <row r="369">
          <cell r="C369">
            <v>10100003</v>
          </cell>
          <cell r="D369" t="str">
            <v>Gomukh Madhawpur</v>
          </cell>
          <cell r="E369" t="str">
            <v>MPG</v>
          </cell>
          <cell r="F369" t="str">
            <v>Direct</v>
          </cell>
        </row>
        <row r="370">
          <cell r="C370">
            <v>10100004</v>
          </cell>
          <cell r="D370" t="str">
            <v>Gomukh Muradpur</v>
          </cell>
          <cell r="E370" t="str">
            <v>vlc</v>
          </cell>
          <cell r="F370" t="str">
            <v>Indirect</v>
          </cell>
        </row>
        <row r="371">
          <cell r="C371">
            <v>10100009</v>
          </cell>
          <cell r="D371" t="str">
            <v>Gomukh Kanhaiyachak Pachhim</v>
          </cell>
          <cell r="E371" t="str">
            <v>MPG</v>
          </cell>
          <cell r="F371" t="str">
            <v>Direct</v>
          </cell>
        </row>
        <row r="372">
          <cell r="C372">
            <v>10100014</v>
          </cell>
          <cell r="D372" t="str">
            <v>Gomukh Srirampur Thuthi</v>
          </cell>
          <cell r="E372" t="str">
            <v>MPG</v>
          </cell>
          <cell r="F372" t="str">
            <v>Direct</v>
          </cell>
        </row>
        <row r="373">
          <cell r="C373">
            <v>10100015</v>
          </cell>
          <cell r="D373" t="str">
            <v>Gomukh Dumariya Bujurg</v>
          </cell>
          <cell r="E373" t="str">
            <v>MPG</v>
          </cell>
          <cell r="F373" t="str">
            <v>Direct</v>
          </cell>
        </row>
        <row r="374">
          <cell r="C374">
            <v>10100016</v>
          </cell>
          <cell r="D374" t="str">
            <v>Gomukh Dumariya Bujurg Madhay</v>
          </cell>
          <cell r="E374" t="str">
            <v>MPG</v>
          </cell>
          <cell r="F374" t="str">
            <v>Direct</v>
          </cell>
        </row>
        <row r="375">
          <cell r="C375">
            <v>10100021</v>
          </cell>
          <cell r="D375" t="str">
            <v xml:space="preserve">Gomukh Bandahera                                                                                    </v>
          </cell>
          <cell r="E375" t="str">
            <v>MPG</v>
          </cell>
          <cell r="F375" t="str">
            <v>Direct</v>
          </cell>
        </row>
        <row r="376">
          <cell r="C376">
            <v>10100026</v>
          </cell>
          <cell r="D376" t="str">
            <v>Gomukh Badi Lagar-1 Kiran</v>
          </cell>
          <cell r="E376" t="str">
            <v>vlc</v>
          </cell>
          <cell r="F376" t="str">
            <v>Indirect</v>
          </cell>
        </row>
        <row r="377">
          <cell r="C377">
            <v>10100033</v>
          </cell>
          <cell r="D377" t="str">
            <v>Gomukh Basudevpur</v>
          </cell>
          <cell r="E377" t="str">
            <v>vlc</v>
          </cell>
          <cell r="F377" t="str">
            <v>Indirect</v>
          </cell>
        </row>
        <row r="378">
          <cell r="C378">
            <v>10100035</v>
          </cell>
          <cell r="D378" t="str">
            <v>Gomukh Fudkichak</v>
          </cell>
          <cell r="E378" t="str">
            <v>MPG</v>
          </cell>
          <cell r="F378" t="str">
            <v>Direct</v>
          </cell>
        </row>
        <row r="379">
          <cell r="C379">
            <v>10100037</v>
          </cell>
          <cell r="D379" t="str">
            <v>Gomukh Tehay</v>
          </cell>
          <cell r="E379" t="str">
            <v>MPG</v>
          </cell>
          <cell r="F379" t="str">
            <v>Direct</v>
          </cell>
        </row>
        <row r="380">
          <cell r="C380">
            <v>10100044</v>
          </cell>
          <cell r="D380" t="str">
            <v>Gomukh Buddhnagar</v>
          </cell>
          <cell r="E380" t="str">
            <v>vlc</v>
          </cell>
          <cell r="F380" t="str">
            <v>Indirect</v>
          </cell>
        </row>
        <row r="381">
          <cell r="C381">
            <v>10100045</v>
          </cell>
          <cell r="D381" t="str">
            <v>Gomukh Krochaka Dudhela</v>
          </cell>
          <cell r="E381" t="str">
            <v>MPG</v>
          </cell>
          <cell r="F381" t="str">
            <v>Direct</v>
          </cell>
        </row>
        <row r="382">
          <cell r="C382">
            <v>10100049</v>
          </cell>
          <cell r="D382" t="str">
            <v>Gomukh Govind Pur</v>
          </cell>
          <cell r="E382" t="str">
            <v>MPG</v>
          </cell>
          <cell r="F382" t="str">
            <v>Direct</v>
          </cell>
        </row>
        <row r="383">
          <cell r="C383">
            <v>10100051</v>
          </cell>
          <cell r="D383" t="str">
            <v>Gomukh Sondiha</v>
          </cell>
          <cell r="E383" t="str">
            <v>MPG</v>
          </cell>
          <cell r="F383" t="str">
            <v>Direct</v>
          </cell>
        </row>
        <row r="384">
          <cell r="C384">
            <v>10100054</v>
          </cell>
          <cell r="D384" t="str">
            <v>Gomukh Thebhay B</v>
          </cell>
          <cell r="E384" t="str">
            <v>MPG</v>
          </cell>
          <cell r="F384" t="str">
            <v>Direct</v>
          </cell>
        </row>
        <row r="385">
          <cell r="C385">
            <v>10100059</v>
          </cell>
          <cell r="D385" t="str">
            <v>Gomukh Rahempur</v>
          </cell>
          <cell r="E385" t="str">
            <v>vlc</v>
          </cell>
          <cell r="F385" t="str">
            <v>Indirect</v>
          </cell>
        </row>
        <row r="386">
          <cell r="C386">
            <v>10100060</v>
          </cell>
          <cell r="D386" t="str">
            <v>Gomukh Baisa</v>
          </cell>
          <cell r="E386" t="str">
            <v>MPG</v>
          </cell>
          <cell r="F386" t="str">
            <v>Direct</v>
          </cell>
        </row>
        <row r="387">
          <cell r="C387">
            <v>10100061</v>
          </cell>
          <cell r="D387" t="str">
            <v>Gomukh Bhorkanth Purbi</v>
          </cell>
          <cell r="E387" t="str">
            <v>MPG</v>
          </cell>
          <cell r="F387" t="str">
            <v>Direct</v>
          </cell>
        </row>
        <row r="388">
          <cell r="C388">
            <v>10100062</v>
          </cell>
          <cell r="D388" t="str">
            <v>Gomukh Khutha VLC</v>
          </cell>
          <cell r="E388" t="str">
            <v>vlc</v>
          </cell>
          <cell r="F388" t="str">
            <v>Indirect</v>
          </cell>
        </row>
        <row r="389">
          <cell r="C389">
            <v>10100065</v>
          </cell>
          <cell r="D389" t="str">
            <v>Gomukh Kabela Vlc</v>
          </cell>
          <cell r="E389" t="str">
            <v>vlc</v>
          </cell>
          <cell r="F389" t="str">
            <v>Indirect</v>
          </cell>
        </row>
        <row r="390">
          <cell r="C390">
            <v>10100069</v>
          </cell>
          <cell r="D390" t="str">
            <v>Gomukh Lagar Wad-13 Vlc</v>
          </cell>
          <cell r="E390" t="str">
            <v>vlc</v>
          </cell>
          <cell r="F390" t="str">
            <v>Indirect</v>
          </cell>
        </row>
        <row r="391">
          <cell r="C391">
            <v>10100070</v>
          </cell>
          <cell r="D391" t="str">
            <v>Gomukh Manish Vlc</v>
          </cell>
          <cell r="E391" t="str">
            <v>vlc</v>
          </cell>
          <cell r="F391" t="str">
            <v>Indirect</v>
          </cell>
        </row>
        <row r="392">
          <cell r="C392">
            <v>10110001</v>
          </cell>
          <cell r="D392" t="str">
            <v>Gomukh Mahendrapur</v>
          </cell>
          <cell r="E392" t="str">
            <v>MPG</v>
          </cell>
          <cell r="F392" t="str">
            <v>Direct</v>
          </cell>
        </row>
        <row r="393">
          <cell r="C393">
            <v>10110002</v>
          </cell>
          <cell r="D393" t="str">
            <v>Gomukh Balahpur</v>
          </cell>
          <cell r="E393" t="str">
            <v>MPG</v>
          </cell>
          <cell r="F393" t="str">
            <v>Direct</v>
          </cell>
        </row>
        <row r="394">
          <cell r="C394">
            <v>10110004</v>
          </cell>
          <cell r="D394" t="str">
            <v>Gomukh Danauli</v>
          </cell>
          <cell r="E394" t="str">
            <v>MPG</v>
          </cell>
          <cell r="F394" t="str">
            <v>Direct</v>
          </cell>
        </row>
        <row r="395">
          <cell r="C395">
            <v>10110005</v>
          </cell>
          <cell r="D395" t="str">
            <v>NAYAGAW</v>
          </cell>
          <cell r="E395" t="str">
            <v>MPG</v>
          </cell>
          <cell r="F395" t="str">
            <v>Direct</v>
          </cell>
        </row>
        <row r="396">
          <cell r="C396">
            <v>10110007</v>
          </cell>
          <cell r="D396" t="str">
            <v>Dandari</v>
          </cell>
          <cell r="E396" t="str">
            <v>MPG</v>
          </cell>
          <cell r="F396" t="str">
            <v>Direct</v>
          </cell>
        </row>
        <row r="397">
          <cell r="C397">
            <v>10110008</v>
          </cell>
          <cell r="D397" t="str">
            <v>Rahimpur Pachkhutti</v>
          </cell>
          <cell r="E397" t="str">
            <v>vlc</v>
          </cell>
          <cell r="F397" t="str">
            <v>Indirect</v>
          </cell>
        </row>
        <row r="398">
          <cell r="C398">
            <v>10110013</v>
          </cell>
          <cell r="D398" t="str">
            <v xml:space="preserve">Gomukh Mohanpur                                                                                     </v>
          </cell>
          <cell r="E398" t="str">
            <v>MPG</v>
          </cell>
          <cell r="F398" t="str">
            <v>Direct</v>
          </cell>
        </row>
        <row r="399">
          <cell r="C399">
            <v>10110014</v>
          </cell>
          <cell r="D399" t="str">
            <v>Gomukh Raghunathpur</v>
          </cell>
          <cell r="E399" t="str">
            <v>MPG</v>
          </cell>
          <cell r="F399" t="str">
            <v>Direct</v>
          </cell>
        </row>
        <row r="400">
          <cell r="C400">
            <v>10110015</v>
          </cell>
          <cell r="D400" t="str">
            <v>Gomukh Chhitraur</v>
          </cell>
          <cell r="E400" t="str">
            <v>MPG</v>
          </cell>
          <cell r="F400" t="str">
            <v>Direct</v>
          </cell>
        </row>
        <row r="401">
          <cell r="C401">
            <v>10110016</v>
          </cell>
          <cell r="D401" t="str">
            <v>Gomukh Khorampur Chakaur</v>
          </cell>
          <cell r="E401" t="str">
            <v>MPG</v>
          </cell>
          <cell r="F401" t="str">
            <v>Direct</v>
          </cell>
        </row>
        <row r="402">
          <cell r="C402">
            <v>10110019</v>
          </cell>
          <cell r="D402" t="str">
            <v>Goumukh Samastipur</v>
          </cell>
          <cell r="E402" t="str">
            <v>MPG</v>
          </cell>
          <cell r="F402" t="str">
            <v>Direct</v>
          </cell>
        </row>
        <row r="403">
          <cell r="C403">
            <v>10110021</v>
          </cell>
          <cell r="D403" t="str">
            <v>GOMUKH Mathar</v>
          </cell>
          <cell r="E403" t="str">
            <v>MPG</v>
          </cell>
          <cell r="F403" t="str">
            <v>Direct</v>
          </cell>
        </row>
        <row r="404">
          <cell r="C404">
            <v>10110032</v>
          </cell>
          <cell r="D404" t="str">
            <v>Gomukh Kumar Chakki</v>
          </cell>
          <cell r="E404" t="str">
            <v>MPG</v>
          </cell>
          <cell r="F404" t="str">
            <v>Direct</v>
          </cell>
        </row>
        <row r="405">
          <cell r="C405">
            <v>10110042</v>
          </cell>
          <cell r="D405" t="str">
            <v>Gomukh Sonapur</v>
          </cell>
          <cell r="E405" t="str">
            <v>vlc</v>
          </cell>
          <cell r="F405" t="str">
            <v>Indirect</v>
          </cell>
        </row>
        <row r="406">
          <cell r="C406">
            <v>10110043</v>
          </cell>
          <cell r="D406" t="str">
            <v>Gomukh Barkhandi 2</v>
          </cell>
          <cell r="E406" t="str">
            <v>MPG</v>
          </cell>
          <cell r="F406" t="str">
            <v>Indirect</v>
          </cell>
        </row>
        <row r="407">
          <cell r="C407">
            <v>10110049</v>
          </cell>
          <cell r="D407" t="str">
            <v xml:space="preserve">Gomukh Kalyanpur                                                                                    </v>
          </cell>
          <cell r="E407" t="str">
            <v>MPG</v>
          </cell>
          <cell r="F407" t="str">
            <v>Direct</v>
          </cell>
        </row>
        <row r="408">
          <cell r="C408">
            <v>10110050</v>
          </cell>
          <cell r="D408" t="str">
            <v xml:space="preserve">Gomukh Fatehpur                                                                                     </v>
          </cell>
          <cell r="E408" t="str">
            <v>MPG</v>
          </cell>
          <cell r="F408" t="str">
            <v>Direct</v>
          </cell>
        </row>
        <row r="409">
          <cell r="C409">
            <v>10110053</v>
          </cell>
          <cell r="D409" t="str">
            <v>GOMUKH KATAHRI</v>
          </cell>
          <cell r="E409" t="str">
            <v>MPG</v>
          </cell>
          <cell r="F409" t="str">
            <v>Direct</v>
          </cell>
        </row>
        <row r="410">
          <cell r="C410">
            <v>10110055</v>
          </cell>
          <cell r="D410" t="str">
            <v>GOMUKH Mathar Ward 10</v>
          </cell>
          <cell r="E410" t="str">
            <v>MPG</v>
          </cell>
          <cell r="F410" t="str">
            <v>Direct</v>
          </cell>
        </row>
        <row r="411">
          <cell r="C411">
            <v>10110057</v>
          </cell>
          <cell r="D411" t="str">
            <v>GOMUKH Tartor 2</v>
          </cell>
          <cell r="E411" t="str">
            <v>MPG</v>
          </cell>
          <cell r="F411" t="str">
            <v>Direct</v>
          </cell>
        </row>
        <row r="412">
          <cell r="C412">
            <v>10110065</v>
          </cell>
          <cell r="D412" t="str">
            <v>Gomukh Chaidha</v>
          </cell>
          <cell r="E412" t="str">
            <v>MPG</v>
          </cell>
          <cell r="F412" t="str">
            <v>Direct</v>
          </cell>
        </row>
        <row r="413">
          <cell r="C413">
            <v>10110066</v>
          </cell>
          <cell r="D413" t="str">
            <v>Gomukh Bakiya</v>
          </cell>
          <cell r="E413" t="str">
            <v>MPG</v>
          </cell>
          <cell r="F413" t="str">
            <v>Direct</v>
          </cell>
        </row>
        <row r="414">
          <cell r="C414">
            <v>10110073</v>
          </cell>
          <cell r="D414" t="str">
            <v>GOMUKH Nista Tol</v>
          </cell>
          <cell r="E414" t="str">
            <v>MPG</v>
          </cell>
          <cell r="F414" t="str">
            <v>Direct</v>
          </cell>
        </row>
        <row r="415">
          <cell r="C415">
            <v>10110076</v>
          </cell>
          <cell r="D415" t="str">
            <v>GOMUKH SRINAGAR</v>
          </cell>
          <cell r="E415" t="str">
            <v>MPG</v>
          </cell>
          <cell r="F415" t="str">
            <v>Direct</v>
          </cell>
        </row>
        <row r="416">
          <cell r="C416">
            <v>10110078</v>
          </cell>
          <cell r="D416" t="str">
            <v>GOMUKH THATHA</v>
          </cell>
          <cell r="E416" t="str">
            <v>MPG</v>
          </cell>
          <cell r="F416" t="str">
            <v>Direct</v>
          </cell>
        </row>
        <row r="417">
          <cell r="C417">
            <v>10110083</v>
          </cell>
          <cell r="D417" t="str">
            <v>GOMUKH SANHA NAYATOLA</v>
          </cell>
          <cell r="E417" t="str">
            <v>MPG</v>
          </cell>
          <cell r="F417" t="str">
            <v>Direct</v>
          </cell>
        </row>
        <row r="418">
          <cell r="C418">
            <v>10110086</v>
          </cell>
          <cell r="D418" t="str">
            <v>Gomukh Durgapur</v>
          </cell>
          <cell r="E418" t="str">
            <v>MPG</v>
          </cell>
          <cell r="F418" t="str">
            <v>Direct</v>
          </cell>
        </row>
        <row r="419">
          <cell r="C419">
            <v>10110093</v>
          </cell>
          <cell r="D419" t="str">
            <v>Gomukh Koniya</v>
          </cell>
          <cell r="E419" t="str">
            <v>MPG</v>
          </cell>
          <cell r="F419" t="str">
            <v>Direct</v>
          </cell>
        </row>
        <row r="420">
          <cell r="C420">
            <v>10110094</v>
          </cell>
          <cell r="D420" t="str">
            <v>GOMUKH ROHUA</v>
          </cell>
          <cell r="E420" t="str">
            <v>MPG</v>
          </cell>
          <cell r="F420" t="str">
            <v>Direct</v>
          </cell>
        </row>
        <row r="421">
          <cell r="C421">
            <v>10110095</v>
          </cell>
          <cell r="D421" t="str">
            <v>GOMUKH LAXMIPUR</v>
          </cell>
          <cell r="E421" t="str">
            <v>MPG</v>
          </cell>
          <cell r="F421" t="str">
            <v>Direct</v>
          </cell>
        </row>
        <row r="422">
          <cell r="C422">
            <v>10110097</v>
          </cell>
          <cell r="D422" t="str">
            <v>GOMUKH BACHOTA</v>
          </cell>
          <cell r="E422" t="str">
            <v>MPG</v>
          </cell>
          <cell r="F422" t="str">
            <v>Direct</v>
          </cell>
        </row>
        <row r="423">
          <cell r="C423">
            <v>10110098</v>
          </cell>
          <cell r="D423" t="str">
            <v>GOMUKH CHATAR</v>
          </cell>
          <cell r="E423" t="str">
            <v>MPG</v>
          </cell>
          <cell r="F423" t="str">
            <v>Direct</v>
          </cell>
        </row>
        <row r="424">
          <cell r="C424">
            <v>10110100</v>
          </cell>
          <cell r="D424" t="str">
            <v>GOMUKH BATHNAMA</v>
          </cell>
          <cell r="E424" t="str">
            <v>MPG</v>
          </cell>
          <cell r="F424" t="str">
            <v>Direct</v>
          </cell>
        </row>
        <row r="425">
          <cell r="C425">
            <v>10110101</v>
          </cell>
          <cell r="D425" t="str">
            <v>GOMUKH TILAK NAGAR</v>
          </cell>
          <cell r="E425" t="str">
            <v>MPG</v>
          </cell>
          <cell r="F425" t="str">
            <v>Direct</v>
          </cell>
        </row>
        <row r="426">
          <cell r="C426">
            <v>10110105</v>
          </cell>
          <cell r="D426" t="str">
            <v>Gomukh Thatha Purvi</v>
          </cell>
          <cell r="E426" t="str">
            <v>MPG</v>
          </cell>
          <cell r="F426" t="str">
            <v>Direct</v>
          </cell>
        </row>
        <row r="427">
          <cell r="C427">
            <v>10110106</v>
          </cell>
          <cell r="D427" t="str">
            <v>Gomukh Rahimpur Dakshin</v>
          </cell>
          <cell r="E427" t="str">
            <v>MPG</v>
          </cell>
          <cell r="F427" t="str">
            <v>Direct</v>
          </cell>
        </row>
        <row r="428">
          <cell r="C428">
            <v>10110109</v>
          </cell>
          <cell r="D428" t="str">
            <v>GOMUKH MORKAHI</v>
          </cell>
          <cell r="E428" t="str">
            <v>MPG</v>
          </cell>
          <cell r="F428" t="str">
            <v>Direct</v>
          </cell>
        </row>
        <row r="429">
          <cell r="C429">
            <v>10110110</v>
          </cell>
          <cell r="D429" t="str">
            <v>GOMUKH HANSPUR</v>
          </cell>
          <cell r="E429" t="str">
            <v>MPG</v>
          </cell>
          <cell r="F429" t="str">
            <v>Direct</v>
          </cell>
        </row>
        <row r="430">
          <cell r="C430">
            <v>10110111</v>
          </cell>
          <cell r="D430" t="str">
            <v>GOMUKH NAYAGAON 2</v>
          </cell>
          <cell r="E430" t="str">
            <v>MPG</v>
          </cell>
          <cell r="F430" t="str">
            <v>Direct</v>
          </cell>
        </row>
        <row r="431">
          <cell r="C431">
            <v>10110114</v>
          </cell>
          <cell r="D431" t="str">
            <v>GOMUKH LABHGAON</v>
          </cell>
          <cell r="E431" t="str">
            <v>MPG</v>
          </cell>
          <cell r="F431" t="str">
            <v>Direct</v>
          </cell>
        </row>
        <row r="432">
          <cell r="C432">
            <v>10110116</v>
          </cell>
          <cell r="D432" t="str">
            <v>GOMUKH CHANDPURA</v>
          </cell>
          <cell r="E432" t="str">
            <v>MPG</v>
          </cell>
          <cell r="F432" t="str">
            <v>Direct</v>
          </cell>
        </row>
        <row r="433">
          <cell r="C433">
            <v>10110118</v>
          </cell>
          <cell r="D433" t="str">
            <v>GOMUKH BADIL TOL</v>
          </cell>
          <cell r="E433" t="str">
            <v>MPG</v>
          </cell>
          <cell r="F433" t="str">
            <v>Direct</v>
          </cell>
        </row>
        <row r="434">
          <cell r="C434">
            <v>10110119</v>
          </cell>
          <cell r="D434" t="str">
            <v>GOMUKH TRIBHUVAN TOLA</v>
          </cell>
          <cell r="E434" t="str">
            <v>MPG</v>
          </cell>
          <cell r="F434" t="str">
            <v>Direct</v>
          </cell>
        </row>
        <row r="435">
          <cell r="C435">
            <v>10110120</v>
          </cell>
          <cell r="D435" t="str">
            <v>GOMUKH SANTOSHPUL</v>
          </cell>
          <cell r="E435" t="str">
            <v>MPG</v>
          </cell>
          <cell r="F435" t="str">
            <v>Direct</v>
          </cell>
        </row>
        <row r="436">
          <cell r="C436">
            <v>10110121</v>
          </cell>
          <cell r="D436" t="str">
            <v>GOMUKH AHUNA</v>
          </cell>
          <cell r="E436" t="str">
            <v>MPG</v>
          </cell>
          <cell r="F436" t="str">
            <v>Direct</v>
          </cell>
        </row>
        <row r="437">
          <cell r="C437">
            <v>10110123</v>
          </cell>
          <cell r="D437" t="str">
            <v>GOMUKH SHADIPUR</v>
          </cell>
          <cell r="E437" t="str">
            <v>MPG</v>
          </cell>
          <cell r="F437" t="str">
            <v>Direct</v>
          </cell>
        </row>
        <row r="438">
          <cell r="C438">
            <v>10110124</v>
          </cell>
          <cell r="D438" t="str">
            <v>GOMUKH ASHRAPHA DIYARA</v>
          </cell>
          <cell r="E438" t="str">
            <v>MPG</v>
          </cell>
          <cell r="F438" t="str">
            <v>Direct</v>
          </cell>
        </row>
        <row r="439">
          <cell r="C439">
            <v>10110128</v>
          </cell>
          <cell r="D439" t="str">
            <v>GOMUKH MANIAPPA</v>
          </cell>
          <cell r="E439" t="str">
            <v>MPG</v>
          </cell>
          <cell r="F439" t="str">
            <v>Direct</v>
          </cell>
        </row>
        <row r="440">
          <cell r="C440">
            <v>10110129</v>
          </cell>
          <cell r="D440" t="str">
            <v>GOMUKH D SANJHAUTI</v>
          </cell>
          <cell r="E440" t="str">
            <v>MPG</v>
          </cell>
          <cell r="F440" t="str">
            <v>Direct</v>
          </cell>
        </row>
        <row r="441">
          <cell r="C441">
            <v>10110132</v>
          </cell>
          <cell r="D441" t="str">
            <v>GOMUKH DHUSMURI BISHANPUR</v>
          </cell>
          <cell r="E441" t="str">
            <v>MPG</v>
          </cell>
          <cell r="F441" t="str">
            <v>Direct</v>
          </cell>
        </row>
        <row r="442">
          <cell r="C442">
            <v>10110133</v>
          </cell>
          <cell r="D442" t="str">
            <v>GOMUKH ANANDPUR PARAS</v>
          </cell>
          <cell r="E442" t="str">
            <v>MPG</v>
          </cell>
          <cell r="F442" t="str">
            <v>Direct</v>
          </cell>
        </row>
        <row r="443">
          <cell r="C443">
            <v>10110134</v>
          </cell>
          <cell r="D443" t="str">
            <v>Gomukh Bishanpur</v>
          </cell>
          <cell r="E443" t="str">
            <v>MPG</v>
          </cell>
          <cell r="F443" t="str">
            <v>Direct</v>
          </cell>
        </row>
        <row r="444">
          <cell r="C444">
            <v>10110135</v>
          </cell>
          <cell r="D444" t="str">
            <v>GOMUKH BISHANPUR 2</v>
          </cell>
          <cell r="E444" t="str">
            <v>MPG</v>
          </cell>
          <cell r="F444" t="str">
            <v>Direct</v>
          </cell>
        </row>
        <row r="445">
          <cell r="C445">
            <v>10110138</v>
          </cell>
          <cell r="D445" t="str">
            <v>DAYA DEVI</v>
          </cell>
          <cell r="E445" t="str">
            <v>vlc</v>
          </cell>
          <cell r="F445" t="str">
            <v>Indirect</v>
          </cell>
        </row>
        <row r="446">
          <cell r="C446">
            <v>10110140</v>
          </cell>
          <cell r="D446" t="str">
            <v>GOMUKH GHAMARIYA</v>
          </cell>
          <cell r="E446" t="str">
            <v>MPG</v>
          </cell>
          <cell r="F446" t="str">
            <v>Direct</v>
          </cell>
        </row>
        <row r="447">
          <cell r="C447">
            <v>10110141</v>
          </cell>
          <cell r="D447" t="str">
            <v>GOMUKH MEGHAUMA</v>
          </cell>
          <cell r="E447" t="str">
            <v>MPG</v>
          </cell>
          <cell r="F447" t="str">
            <v>Direct</v>
          </cell>
        </row>
        <row r="448">
          <cell r="C448">
            <v>10110144</v>
          </cell>
          <cell r="D448" t="str">
            <v>GOMUKH BEHORBA</v>
          </cell>
          <cell r="E448" t="str">
            <v>MPG</v>
          </cell>
          <cell r="F448" t="str">
            <v>Direct</v>
          </cell>
        </row>
        <row r="449">
          <cell r="C449">
            <v>10110145</v>
          </cell>
          <cell r="D449" t="str">
            <v>GOMUKH SONAPUR BHARAT</v>
          </cell>
          <cell r="E449" t="str">
            <v>MPG</v>
          </cell>
          <cell r="F449" t="str">
            <v>Direct</v>
          </cell>
        </row>
        <row r="450">
          <cell r="C450">
            <v>10110146</v>
          </cell>
          <cell r="D450" t="str">
            <v>GOMUKH SAIDPUR SAMASTIPUR</v>
          </cell>
          <cell r="E450" t="str">
            <v>MPG</v>
          </cell>
          <cell r="F450" t="str">
            <v>Direct</v>
          </cell>
        </row>
        <row r="451">
          <cell r="C451">
            <v>10110148</v>
          </cell>
          <cell r="D451" t="str">
            <v>GOMUKH SAHARBANNI</v>
          </cell>
          <cell r="E451" t="str">
            <v>MPG</v>
          </cell>
          <cell r="F451" t="str">
            <v>Direct</v>
          </cell>
        </row>
        <row r="452">
          <cell r="C452">
            <v>10110149</v>
          </cell>
          <cell r="D452" t="str">
            <v>GOMUKH PHULTAURA</v>
          </cell>
          <cell r="E452" t="str">
            <v>MPG</v>
          </cell>
          <cell r="F452" t="str">
            <v>Direct</v>
          </cell>
        </row>
        <row r="453">
          <cell r="C453">
            <v>10110153</v>
          </cell>
          <cell r="D453" t="str">
            <v xml:space="preserve">Jangli Tol Vlc </v>
          </cell>
          <cell r="E453" t="str">
            <v>vlc</v>
          </cell>
          <cell r="F453" t="str">
            <v>Indirect</v>
          </cell>
        </row>
        <row r="454">
          <cell r="C454">
            <v>10110155</v>
          </cell>
          <cell r="D454" t="str">
            <v xml:space="preserve">DILKHUSH KUMAR </v>
          </cell>
          <cell r="E454" t="str">
            <v>vlc</v>
          </cell>
          <cell r="F454" t="str">
            <v>Indirect</v>
          </cell>
        </row>
        <row r="455">
          <cell r="C455">
            <v>10110158</v>
          </cell>
          <cell r="D455" t="str">
            <v>GOMUKH CHOWKI 2</v>
          </cell>
          <cell r="E455" t="str">
            <v>MPG</v>
          </cell>
          <cell r="F455" t="str">
            <v>Direct</v>
          </cell>
        </row>
        <row r="456">
          <cell r="C456">
            <v>10110159</v>
          </cell>
          <cell r="D456" t="str">
            <v>GOMUKH MOHABA</v>
          </cell>
          <cell r="E456" t="str">
            <v>MPG</v>
          </cell>
          <cell r="F456" t="str">
            <v>Direct</v>
          </cell>
        </row>
        <row r="457">
          <cell r="C457">
            <v>10110160</v>
          </cell>
          <cell r="D457" t="str">
            <v>SANHA VLC</v>
          </cell>
          <cell r="E457" t="str">
            <v>vlc</v>
          </cell>
          <cell r="F457" t="str">
            <v>Indirect</v>
          </cell>
        </row>
        <row r="458">
          <cell r="C458">
            <v>10110161</v>
          </cell>
          <cell r="D458" t="str">
            <v>MOHANPUR VLC</v>
          </cell>
          <cell r="E458" t="str">
            <v>vlc</v>
          </cell>
          <cell r="F458" t="str">
            <v>Indirect</v>
          </cell>
        </row>
        <row r="459">
          <cell r="C459">
            <v>10110164</v>
          </cell>
          <cell r="D459" t="str">
            <v>GOMUKH JANGLITOL</v>
          </cell>
          <cell r="E459" t="str">
            <v>MPG</v>
          </cell>
          <cell r="F459" t="str">
            <v>Direct</v>
          </cell>
        </row>
        <row r="460">
          <cell r="C460">
            <v>10110166</v>
          </cell>
          <cell r="D460" t="str">
            <v>Hiratol VLC</v>
          </cell>
          <cell r="E460" t="str">
            <v>vlc</v>
          </cell>
          <cell r="F460" t="str">
            <v>Indirect</v>
          </cell>
        </row>
        <row r="461">
          <cell r="C461">
            <v>10110167</v>
          </cell>
          <cell r="D461" t="str">
            <v xml:space="preserve">Gomukh Raghunathpur 2 </v>
          </cell>
          <cell r="E461" t="str">
            <v>MPG</v>
          </cell>
          <cell r="F461" t="str">
            <v>Direct</v>
          </cell>
        </row>
        <row r="462">
          <cell r="C462">
            <v>10110168</v>
          </cell>
          <cell r="D462" t="str">
            <v>GOMUKH BARBIGHI</v>
          </cell>
          <cell r="E462" t="str">
            <v>MPG</v>
          </cell>
          <cell r="F462" t="str">
            <v>Direct</v>
          </cell>
        </row>
        <row r="463">
          <cell r="C463">
            <v>10110171</v>
          </cell>
          <cell r="D463" t="str">
            <v>Tetri</v>
          </cell>
          <cell r="E463" t="str">
            <v>MPG</v>
          </cell>
          <cell r="F463" t="str">
            <v>Direct</v>
          </cell>
        </row>
        <row r="464">
          <cell r="C464">
            <v>10110172</v>
          </cell>
          <cell r="D464" t="str">
            <v>Dandari-2</v>
          </cell>
          <cell r="E464" t="str">
            <v>MPG</v>
          </cell>
          <cell r="F464" t="str">
            <v>Direct</v>
          </cell>
        </row>
        <row r="465">
          <cell r="C465">
            <v>10110173</v>
          </cell>
          <cell r="D465" t="str">
            <v>Barkhanditol</v>
          </cell>
          <cell r="E465" t="str">
            <v>vlc</v>
          </cell>
          <cell r="F465" t="str">
            <v>Indirect</v>
          </cell>
        </row>
        <row r="466">
          <cell r="C466">
            <v>10110176</v>
          </cell>
          <cell r="D466" t="str">
            <v>Chauki-VLC</v>
          </cell>
          <cell r="E466" t="str">
            <v>vlc</v>
          </cell>
          <cell r="F466" t="str">
            <v>Indirect</v>
          </cell>
        </row>
        <row r="467">
          <cell r="C467">
            <v>10110177</v>
          </cell>
          <cell r="D467" t="str">
            <v>Hardia</v>
          </cell>
          <cell r="E467" t="str">
            <v>MPG</v>
          </cell>
          <cell r="F467" t="str">
            <v>Direct</v>
          </cell>
        </row>
        <row r="468">
          <cell r="C468">
            <v>10110178</v>
          </cell>
          <cell r="D468" t="str">
            <v>Pachveer</v>
          </cell>
          <cell r="E468" t="str">
            <v>vlc</v>
          </cell>
          <cell r="F468" t="str">
            <v>Indirect</v>
          </cell>
        </row>
        <row r="469">
          <cell r="C469">
            <v>10110179</v>
          </cell>
          <cell r="D469" t="str">
            <v>Barkhaditol-3</v>
          </cell>
          <cell r="E469" t="str">
            <v>vlc</v>
          </cell>
          <cell r="F469" t="str">
            <v>Indirect</v>
          </cell>
        </row>
        <row r="470">
          <cell r="C470">
            <v>10110181</v>
          </cell>
          <cell r="D470" t="str">
            <v>Gomukh Mirjapur Bari</v>
          </cell>
          <cell r="E470" t="str">
            <v>MPG</v>
          </cell>
          <cell r="F470" t="str">
            <v>Direct</v>
          </cell>
        </row>
        <row r="471">
          <cell r="C471">
            <v>10110183</v>
          </cell>
          <cell r="D471" t="str">
            <v>Mathar-3</v>
          </cell>
          <cell r="E471" t="str">
            <v>vlc</v>
          </cell>
          <cell r="F471" t="str">
            <v>Indirect</v>
          </cell>
        </row>
        <row r="472">
          <cell r="C472">
            <v>10110184</v>
          </cell>
          <cell r="D472" t="str">
            <v>Ahoghat</v>
          </cell>
          <cell r="E472" t="str">
            <v>vlc</v>
          </cell>
          <cell r="F472" t="str">
            <v>Indirect</v>
          </cell>
        </row>
        <row r="473">
          <cell r="C473">
            <v>10110185</v>
          </cell>
          <cell r="D473" t="str">
            <v>Mathar-4</v>
          </cell>
          <cell r="E473" t="str">
            <v>vlc</v>
          </cell>
          <cell r="F473" t="str">
            <v>Indirect</v>
          </cell>
        </row>
        <row r="474">
          <cell r="C474">
            <v>10110186</v>
          </cell>
          <cell r="D474" t="str">
            <v>Farid Nagar</v>
          </cell>
          <cell r="E474" t="str">
            <v>MPG</v>
          </cell>
          <cell r="F474" t="str">
            <v>Direct</v>
          </cell>
        </row>
        <row r="475">
          <cell r="C475">
            <v>10110188</v>
          </cell>
          <cell r="D475" t="str">
            <v>Phulmalik</v>
          </cell>
          <cell r="E475" t="str">
            <v>vlc</v>
          </cell>
          <cell r="F475" t="str">
            <v>Indirect</v>
          </cell>
        </row>
        <row r="476">
          <cell r="C476">
            <v>10120001</v>
          </cell>
          <cell r="D476" t="str">
            <v>GOMUKH SUBHANPUR</v>
          </cell>
          <cell r="E476" t="str">
            <v>vlc</v>
          </cell>
          <cell r="F476" t="str">
            <v>Indirect</v>
          </cell>
        </row>
        <row r="477">
          <cell r="C477">
            <v>10120002</v>
          </cell>
          <cell r="D477" t="str">
            <v>GOMUKH  BHAJANGAMA</v>
          </cell>
          <cell r="E477" t="str">
            <v>vlc</v>
          </cell>
          <cell r="F477" t="str">
            <v>Indirect</v>
          </cell>
        </row>
        <row r="478">
          <cell r="C478">
            <v>10120005</v>
          </cell>
          <cell r="D478" t="str">
            <v>Gomukh Basadhiya Kurni</v>
          </cell>
          <cell r="E478" t="str">
            <v>MPG</v>
          </cell>
          <cell r="F478" t="str">
            <v>Direct</v>
          </cell>
        </row>
        <row r="479">
          <cell r="C479">
            <v>10120006</v>
          </cell>
          <cell r="D479" t="str">
            <v>KHAJURI</v>
          </cell>
          <cell r="E479" t="str">
            <v>MPG</v>
          </cell>
          <cell r="F479" t="str">
            <v>Direct</v>
          </cell>
        </row>
        <row r="480">
          <cell r="C480">
            <v>10120007</v>
          </cell>
          <cell r="D480" t="str">
            <v>ARMAULI-2</v>
          </cell>
          <cell r="E480" t="str">
            <v>MPG</v>
          </cell>
          <cell r="F480" t="str">
            <v>Direct</v>
          </cell>
        </row>
        <row r="481">
          <cell r="C481">
            <v>10120008</v>
          </cell>
          <cell r="D481" t="str">
            <v>MUSAPUR - 2</v>
          </cell>
          <cell r="E481" t="str">
            <v>vlc</v>
          </cell>
          <cell r="F481" t="str">
            <v>Indirect</v>
          </cell>
        </row>
        <row r="482">
          <cell r="C482">
            <v>10120010</v>
          </cell>
          <cell r="D482" t="str">
            <v>Janganath Pur</v>
          </cell>
          <cell r="E482" t="str">
            <v>vlc</v>
          </cell>
          <cell r="F482" t="str">
            <v>Indirect</v>
          </cell>
        </row>
        <row r="483">
          <cell r="C483">
            <v>10120011</v>
          </cell>
          <cell r="D483" t="str">
            <v>Nagargama</v>
          </cell>
          <cell r="E483" t="str">
            <v>vlc</v>
          </cell>
          <cell r="F483" t="str">
            <v>Indirect</v>
          </cell>
        </row>
        <row r="484">
          <cell r="C484">
            <v>10120012</v>
          </cell>
          <cell r="D484" t="str">
            <v>Sato Ghachchhi</v>
          </cell>
          <cell r="E484" t="str">
            <v>MPG</v>
          </cell>
          <cell r="F484" t="str">
            <v>Direct</v>
          </cell>
        </row>
        <row r="485">
          <cell r="C485">
            <v>10120013</v>
          </cell>
          <cell r="D485" t="str">
            <v>Bhatgama</v>
          </cell>
          <cell r="E485" t="str">
            <v>vlc</v>
          </cell>
          <cell r="F485" t="str">
            <v>Indirect</v>
          </cell>
        </row>
        <row r="486">
          <cell r="C486">
            <v>10120014</v>
          </cell>
          <cell r="D486" t="str">
            <v>Borna Rasalpur</v>
          </cell>
          <cell r="E486" t="str">
            <v>MPG</v>
          </cell>
          <cell r="F486" t="str">
            <v>Direct</v>
          </cell>
        </row>
        <row r="487">
          <cell r="C487">
            <v>10120015</v>
          </cell>
          <cell r="D487" t="str">
            <v>Rasalpur</v>
          </cell>
          <cell r="E487" t="str">
            <v>MPG</v>
          </cell>
          <cell r="F487" t="str">
            <v>Direct</v>
          </cell>
        </row>
        <row r="488">
          <cell r="C488">
            <v>10120016</v>
          </cell>
          <cell r="D488" t="str">
            <v>Narahan</v>
          </cell>
          <cell r="E488" t="str">
            <v>MPG</v>
          </cell>
          <cell r="F488" t="str">
            <v>Direct</v>
          </cell>
        </row>
        <row r="489">
          <cell r="C489">
            <v>10120017</v>
          </cell>
          <cell r="D489" t="str">
            <v>Gomukh Dumduma</v>
          </cell>
          <cell r="E489" t="str">
            <v>MPG</v>
          </cell>
          <cell r="F489" t="str">
            <v>Direct</v>
          </cell>
        </row>
        <row r="490">
          <cell r="C490">
            <v>10120018</v>
          </cell>
          <cell r="D490" t="str">
            <v>SUPOL</v>
          </cell>
          <cell r="E490" t="str">
            <v>MPG</v>
          </cell>
          <cell r="F490" t="str">
            <v>Direct</v>
          </cell>
        </row>
        <row r="491">
          <cell r="C491">
            <v>10120019</v>
          </cell>
          <cell r="D491" t="str">
            <v>BHUSARAI</v>
          </cell>
          <cell r="E491" t="str">
            <v>MPG</v>
          </cell>
          <cell r="F491" t="str">
            <v>Direct</v>
          </cell>
        </row>
        <row r="492">
          <cell r="C492">
            <v>10120022</v>
          </cell>
          <cell r="D492" t="str">
            <v>Gomukha Jounapur</v>
          </cell>
          <cell r="E492" t="str">
            <v>vlc</v>
          </cell>
          <cell r="F492" t="str">
            <v>Indirect</v>
          </cell>
        </row>
        <row r="493">
          <cell r="C493">
            <v>10120023</v>
          </cell>
          <cell r="D493" t="str">
            <v>Patailliya</v>
          </cell>
          <cell r="E493" t="str">
            <v>vlc</v>
          </cell>
          <cell r="F493" t="str">
            <v>Indirect</v>
          </cell>
        </row>
        <row r="494">
          <cell r="C494">
            <v>10120024</v>
          </cell>
          <cell r="D494" t="str">
            <v>Badiya</v>
          </cell>
          <cell r="E494" t="str">
            <v>vlc</v>
          </cell>
          <cell r="F494" t="str">
            <v>Indirect</v>
          </cell>
        </row>
        <row r="495">
          <cell r="C495">
            <v>10120025</v>
          </cell>
          <cell r="D495" t="str">
            <v>Gomukh Tabhka</v>
          </cell>
          <cell r="E495" t="str">
            <v>MPG</v>
          </cell>
          <cell r="F495" t="str">
            <v>Direct</v>
          </cell>
        </row>
        <row r="496">
          <cell r="C496">
            <v>10120026</v>
          </cell>
          <cell r="D496" t="str">
            <v>Ghato</v>
          </cell>
          <cell r="E496" t="str">
            <v>vlc</v>
          </cell>
          <cell r="F496" t="str">
            <v>Indirect</v>
          </cell>
        </row>
        <row r="497">
          <cell r="C497">
            <v>10120029</v>
          </cell>
          <cell r="D497" t="str">
            <v xml:space="preserve">RAMNATHPUR                                                                                          </v>
          </cell>
          <cell r="E497" t="str">
            <v>MPG</v>
          </cell>
          <cell r="F497" t="str">
            <v>Direct</v>
          </cell>
        </row>
        <row r="498">
          <cell r="C498">
            <v>10120030</v>
          </cell>
          <cell r="D498" t="str">
            <v>KEWAS JAGIR</v>
          </cell>
          <cell r="E498" t="str">
            <v>MPG</v>
          </cell>
          <cell r="F498" t="str">
            <v>Direct</v>
          </cell>
        </row>
        <row r="499">
          <cell r="C499">
            <v>10120031</v>
          </cell>
          <cell r="D499" t="str">
            <v>DESUA</v>
          </cell>
          <cell r="E499" t="str">
            <v>MPG</v>
          </cell>
          <cell r="F499" t="str">
            <v>Direct</v>
          </cell>
        </row>
        <row r="500">
          <cell r="C500">
            <v>10120034</v>
          </cell>
          <cell r="D500" t="str">
            <v>Matior</v>
          </cell>
          <cell r="E500" t="str">
            <v>MPG</v>
          </cell>
          <cell r="F500" t="str">
            <v>Direct</v>
          </cell>
        </row>
        <row r="501">
          <cell r="C501">
            <v>10120035</v>
          </cell>
          <cell r="D501" t="str">
            <v>TELGAMA</v>
          </cell>
          <cell r="E501" t="str">
            <v>vlc</v>
          </cell>
          <cell r="F501" t="str">
            <v>Indirect</v>
          </cell>
        </row>
        <row r="502">
          <cell r="C502">
            <v>10120043</v>
          </cell>
          <cell r="D502" t="str">
            <v>GOMUKH TATARPUR</v>
          </cell>
          <cell r="E502" t="str">
            <v>MPG</v>
          </cell>
          <cell r="F502" t="str">
            <v>Direct</v>
          </cell>
        </row>
        <row r="503">
          <cell r="C503">
            <v>10120046</v>
          </cell>
          <cell r="D503" t="str">
            <v>Gomukh Ghataho</v>
          </cell>
          <cell r="E503" t="str">
            <v>MPG</v>
          </cell>
          <cell r="F503" t="str">
            <v>Direct</v>
          </cell>
        </row>
        <row r="504">
          <cell r="C504">
            <v>10120049</v>
          </cell>
          <cell r="D504" t="str">
            <v>Kacha - Amarjeet</v>
          </cell>
          <cell r="E504" t="str">
            <v>vlc</v>
          </cell>
          <cell r="F504" t="str">
            <v>Indirect</v>
          </cell>
        </row>
        <row r="505">
          <cell r="C505">
            <v>10120051</v>
          </cell>
          <cell r="D505" t="str">
            <v>Narenpur</v>
          </cell>
          <cell r="E505" t="str">
            <v>MPG</v>
          </cell>
          <cell r="F505" t="str">
            <v>Direct</v>
          </cell>
        </row>
        <row r="506">
          <cell r="C506">
            <v>10120052</v>
          </cell>
          <cell r="D506" t="str">
            <v>Mordiba</v>
          </cell>
          <cell r="E506" t="str">
            <v>MPG</v>
          </cell>
          <cell r="F506" t="str">
            <v>Direct</v>
          </cell>
        </row>
        <row r="507">
          <cell r="C507">
            <v>10120053</v>
          </cell>
          <cell r="D507" t="str">
            <v>Jagdispur</v>
          </cell>
          <cell r="E507" t="str">
            <v>MPG</v>
          </cell>
          <cell r="F507" t="str">
            <v>Direct</v>
          </cell>
        </row>
        <row r="508">
          <cell r="C508">
            <v>10120060</v>
          </cell>
          <cell r="D508" t="str">
            <v>Chaklal Sahi_Vikrant</v>
          </cell>
          <cell r="E508" t="str">
            <v>vlc</v>
          </cell>
          <cell r="F508" t="str">
            <v>Indirect</v>
          </cell>
        </row>
        <row r="509">
          <cell r="C509">
            <v>10120066</v>
          </cell>
          <cell r="D509" t="str">
            <v>Piparpaati</v>
          </cell>
          <cell r="E509" t="str">
            <v>vlc</v>
          </cell>
          <cell r="F509" t="str">
            <v>Indirect</v>
          </cell>
        </row>
        <row r="510">
          <cell r="C510">
            <v>10120071</v>
          </cell>
          <cell r="D510" t="str">
            <v>Suratpur</v>
          </cell>
          <cell r="E510" t="str">
            <v>MPG</v>
          </cell>
          <cell r="F510" t="str">
            <v>Direct</v>
          </cell>
        </row>
        <row r="511">
          <cell r="C511">
            <v>10120080</v>
          </cell>
          <cell r="D511" t="str">
            <v>Manika Tol</v>
          </cell>
          <cell r="E511" t="str">
            <v>MPG</v>
          </cell>
          <cell r="F511" t="str">
            <v>Direct</v>
          </cell>
        </row>
        <row r="512">
          <cell r="C512">
            <v>10120083</v>
          </cell>
          <cell r="D512" t="str">
            <v>Beri</v>
          </cell>
          <cell r="E512" t="str">
            <v>MPG</v>
          </cell>
          <cell r="F512" t="str">
            <v>Direct</v>
          </cell>
        </row>
        <row r="513">
          <cell r="C513">
            <v>10120084</v>
          </cell>
          <cell r="D513" t="str">
            <v>Mahmmadipur</v>
          </cell>
          <cell r="E513" t="str">
            <v>MPG</v>
          </cell>
          <cell r="F513" t="str">
            <v>Direct</v>
          </cell>
        </row>
        <row r="514">
          <cell r="C514">
            <v>10120086</v>
          </cell>
          <cell r="D514" t="str">
            <v>Simri-Rupesh</v>
          </cell>
          <cell r="E514" t="str">
            <v>vlc</v>
          </cell>
          <cell r="F514" t="str">
            <v>Indirect</v>
          </cell>
        </row>
        <row r="515">
          <cell r="C515">
            <v>10120088</v>
          </cell>
          <cell r="D515" t="str">
            <v>Mithilanchal Dairy Products</v>
          </cell>
          <cell r="E515" t="str">
            <v>vlc</v>
          </cell>
          <cell r="F515" t="str">
            <v>Indirect</v>
          </cell>
        </row>
        <row r="516">
          <cell r="C516">
            <v>10120089</v>
          </cell>
          <cell r="D516" t="str">
            <v>Gomukh Jhaura Tabhka</v>
          </cell>
          <cell r="E516" t="str">
            <v>MPG</v>
          </cell>
          <cell r="F516" t="str">
            <v>Direct</v>
          </cell>
        </row>
        <row r="517">
          <cell r="C517">
            <v>10120091</v>
          </cell>
          <cell r="D517" t="str">
            <v>Gomukh Mohanpur</v>
          </cell>
          <cell r="E517" t="str">
            <v>MPG</v>
          </cell>
          <cell r="F517" t="str">
            <v>Direct</v>
          </cell>
        </row>
        <row r="518">
          <cell r="C518">
            <v>10120094</v>
          </cell>
          <cell r="D518" t="str">
            <v>Gomukh Bochaha</v>
          </cell>
          <cell r="E518" t="str">
            <v>MPG</v>
          </cell>
          <cell r="F518" t="str">
            <v>Direct</v>
          </cell>
        </row>
        <row r="519">
          <cell r="C519">
            <v>10120095</v>
          </cell>
          <cell r="D519" t="str">
            <v>Gomukh Terganj</v>
          </cell>
          <cell r="E519" t="str">
            <v>MPG</v>
          </cell>
          <cell r="F519" t="str">
            <v>Direct</v>
          </cell>
        </row>
        <row r="520">
          <cell r="C520">
            <v>10120096</v>
          </cell>
          <cell r="D520" t="str">
            <v>Gomukh Chapra</v>
          </cell>
          <cell r="E520" t="str">
            <v>vlc</v>
          </cell>
          <cell r="F520" t="str">
            <v>Indirect</v>
          </cell>
        </row>
        <row r="521">
          <cell r="C521">
            <v>10120099</v>
          </cell>
          <cell r="D521" t="str">
            <v>GOMUKH Chiranjipur</v>
          </cell>
          <cell r="E521" t="str">
            <v>vlc</v>
          </cell>
          <cell r="F521" t="str">
            <v>Indirect</v>
          </cell>
        </row>
        <row r="522">
          <cell r="C522">
            <v>10120103</v>
          </cell>
          <cell r="D522" t="str">
            <v>Gomukh Sahu Tol</v>
          </cell>
          <cell r="E522" t="str">
            <v>vlc</v>
          </cell>
          <cell r="F522" t="str">
            <v>Indirect</v>
          </cell>
        </row>
        <row r="523">
          <cell r="C523">
            <v>10120104</v>
          </cell>
          <cell r="D523" t="str">
            <v>Gomukh Mordiwa East</v>
          </cell>
          <cell r="E523" t="str">
            <v>MPG</v>
          </cell>
          <cell r="F523" t="str">
            <v>Direct</v>
          </cell>
        </row>
        <row r="524">
          <cell r="C524">
            <v>10120106</v>
          </cell>
          <cell r="D524" t="str">
            <v>Gomukh Belamegh</v>
          </cell>
          <cell r="E524" t="str">
            <v>vlc</v>
          </cell>
          <cell r="F524" t="str">
            <v>Indirect</v>
          </cell>
        </row>
        <row r="525">
          <cell r="C525">
            <v>10120107</v>
          </cell>
          <cell r="D525" t="str">
            <v>Gomukh Ramaiya</v>
          </cell>
          <cell r="E525" t="str">
            <v>MPG</v>
          </cell>
          <cell r="F525" t="str">
            <v>Direct</v>
          </cell>
        </row>
        <row r="526">
          <cell r="C526">
            <v>10120108</v>
          </cell>
          <cell r="D526" t="str">
            <v>GOMUKH MANIKA EAST</v>
          </cell>
          <cell r="E526" t="str">
            <v>MPG</v>
          </cell>
          <cell r="F526" t="str">
            <v>Direct</v>
          </cell>
        </row>
        <row r="527">
          <cell r="C527">
            <v>10120109</v>
          </cell>
          <cell r="D527" t="str">
            <v>IMADPUR</v>
          </cell>
          <cell r="E527" t="str">
            <v>vlc</v>
          </cell>
          <cell r="F527" t="str">
            <v>Indirect</v>
          </cell>
        </row>
        <row r="528">
          <cell r="C528">
            <v>10120110</v>
          </cell>
          <cell r="D528" t="str">
            <v>Gomukh MANIYAR EAST</v>
          </cell>
          <cell r="E528" t="str">
            <v>vlc</v>
          </cell>
          <cell r="F528" t="str">
            <v>Indirect</v>
          </cell>
        </row>
        <row r="529">
          <cell r="C529">
            <v>10120111</v>
          </cell>
          <cell r="D529" t="str">
            <v>GOMUKH Kisanpur Tabhka</v>
          </cell>
          <cell r="E529" t="str">
            <v>MPG</v>
          </cell>
          <cell r="F529" t="str">
            <v>Direct</v>
          </cell>
        </row>
        <row r="530">
          <cell r="C530">
            <v>10120113</v>
          </cell>
          <cell r="D530" t="str">
            <v>GOMUKH BIBHUTIPUR</v>
          </cell>
          <cell r="E530" t="str">
            <v>MPG</v>
          </cell>
          <cell r="F530" t="str">
            <v>Direct</v>
          </cell>
        </row>
        <row r="531">
          <cell r="C531">
            <v>10120114</v>
          </cell>
          <cell r="D531" t="str">
            <v>GOMUKH PATHAKTOL</v>
          </cell>
          <cell r="E531" t="str">
            <v>MPG</v>
          </cell>
          <cell r="F531" t="str">
            <v>Direct</v>
          </cell>
        </row>
        <row r="532">
          <cell r="C532">
            <v>10120115</v>
          </cell>
          <cell r="D532" t="str">
            <v>Gomukh Musapur West</v>
          </cell>
          <cell r="E532" t="str">
            <v>vlc</v>
          </cell>
          <cell r="F532" t="str">
            <v>Indirect</v>
          </cell>
        </row>
        <row r="533">
          <cell r="C533">
            <v>10120116</v>
          </cell>
          <cell r="D533" t="str">
            <v>GOMUKH DADHIYA RAMKRISHANPUR</v>
          </cell>
          <cell r="E533" t="str">
            <v>MPG</v>
          </cell>
          <cell r="F533" t="str">
            <v>Direct</v>
          </cell>
        </row>
        <row r="534">
          <cell r="C534">
            <v>10120119</v>
          </cell>
          <cell r="D534" t="str">
            <v>Gomukh Simri Ward 4</v>
          </cell>
          <cell r="E534" t="str">
            <v>vlc</v>
          </cell>
          <cell r="F534" t="str">
            <v>Indirect</v>
          </cell>
        </row>
        <row r="535">
          <cell r="C535">
            <v>10120120</v>
          </cell>
          <cell r="D535" t="str">
            <v>GOMUKH BALTHARA</v>
          </cell>
          <cell r="E535" t="str">
            <v>MPG</v>
          </cell>
          <cell r="F535" t="str">
            <v>Direct</v>
          </cell>
        </row>
        <row r="536">
          <cell r="C536">
            <v>10120122</v>
          </cell>
          <cell r="D536" t="str">
            <v>GOMUKH BHASINGPUR</v>
          </cell>
          <cell r="E536" t="str">
            <v>MPG</v>
          </cell>
          <cell r="F536" t="str">
            <v>Direct</v>
          </cell>
        </row>
        <row r="537">
          <cell r="C537">
            <v>10120123</v>
          </cell>
          <cell r="D537" t="str">
            <v>GOMUKH Chakhale Dad</v>
          </cell>
          <cell r="E537" t="str">
            <v>MPG</v>
          </cell>
          <cell r="F537" t="str">
            <v>Direct</v>
          </cell>
        </row>
        <row r="538">
          <cell r="C538">
            <v>10130001</v>
          </cell>
          <cell r="D538" t="str">
            <v>GOMUKH BANGHARH KISHANPUR</v>
          </cell>
          <cell r="E538" t="str">
            <v>MPG</v>
          </cell>
          <cell r="F538" t="str">
            <v>Direct</v>
          </cell>
        </row>
        <row r="539">
          <cell r="C539">
            <v>10130002</v>
          </cell>
          <cell r="D539" t="str">
            <v>Gomukh Serpur Narsari</v>
          </cell>
          <cell r="E539" t="str">
            <v>vlc</v>
          </cell>
          <cell r="F539" t="str">
            <v>Indirect</v>
          </cell>
        </row>
        <row r="540">
          <cell r="C540">
            <v>10130003</v>
          </cell>
          <cell r="D540" t="str">
            <v>PARORIYA</v>
          </cell>
          <cell r="E540" t="str">
            <v>MPG</v>
          </cell>
          <cell r="F540" t="str">
            <v>Direct</v>
          </cell>
        </row>
        <row r="541">
          <cell r="C541">
            <v>10130005</v>
          </cell>
          <cell r="D541" t="str">
            <v>JHAKHRA</v>
          </cell>
          <cell r="E541" t="str">
            <v>vlc</v>
          </cell>
          <cell r="F541" t="str">
            <v>Indirect</v>
          </cell>
        </row>
        <row r="542">
          <cell r="C542">
            <v>10130006</v>
          </cell>
          <cell r="D542" t="str">
            <v>GOMUKH ANDAHA</v>
          </cell>
          <cell r="E542" t="str">
            <v>MPG</v>
          </cell>
          <cell r="F542" t="str">
            <v>Direct</v>
          </cell>
        </row>
        <row r="543">
          <cell r="C543">
            <v>10130008</v>
          </cell>
          <cell r="D543" t="str">
            <v>Gomukha Rohua</v>
          </cell>
          <cell r="E543" t="str">
            <v>MPG</v>
          </cell>
          <cell r="F543" t="str">
            <v>Direct</v>
          </cell>
        </row>
        <row r="544">
          <cell r="C544">
            <v>10130012</v>
          </cell>
          <cell r="D544" t="str">
            <v>Gomukha Arniya Ganj</v>
          </cell>
          <cell r="E544" t="str">
            <v>MPG</v>
          </cell>
          <cell r="F544" t="str">
            <v>Direct</v>
          </cell>
        </row>
        <row r="545">
          <cell r="C545">
            <v>10130015</v>
          </cell>
          <cell r="D545" t="str">
            <v>Gomukha Vishanupatti II</v>
          </cell>
          <cell r="E545" t="str">
            <v>vlc</v>
          </cell>
          <cell r="F545" t="str">
            <v>Indirect</v>
          </cell>
        </row>
        <row r="546">
          <cell r="C546">
            <v>10130016</v>
          </cell>
          <cell r="D546" t="str">
            <v>Gomukh Khesarhiya</v>
          </cell>
          <cell r="E546" t="str">
            <v>vlc</v>
          </cell>
          <cell r="F546" t="str">
            <v>Indirect</v>
          </cell>
        </row>
        <row r="547">
          <cell r="C547">
            <v>10130018</v>
          </cell>
          <cell r="D547" t="str">
            <v>Harsingpur</v>
          </cell>
          <cell r="E547" t="str">
            <v>vlc</v>
          </cell>
          <cell r="F547" t="str">
            <v>Indirect</v>
          </cell>
        </row>
        <row r="548">
          <cell r="C548">
            <v>10130020</v>
          </cell>
          <cell r="D548" t="str">
            <v>Gomukh ID Mahathi</v>
          </cell>
          <cell r="E548" t="str">
            <v>vlc</v>
          </cell>
          <cell r="F548" t="str">
            <v>Indirect</v>
          </cell>
        </row>
        <row r="549">
          <cell r="C549">
            <v>10130025</v>
          </cell>
          <cell r="D549" t="str">
            <v>MURTUJAPUR</v>
          </cell>
          <cell r="E549" t="str">
            <v>vlc</v>
          </cell>
          <cell r="F549" t="str">
            <v>Indirect</v>
          </cell>
        </row>
        <row r="550">
          <cell r="C550">
            <v>10130026</v>
          </cell>
          <cell r="D550" t="str">
            <v>Rasalpur</v>
          </cell>
          <cell r="E550" t="str">
            <v>MPG</v>
          </cell>
          <cell r="F550" t="str">
            <v>Direct</v>
          </cell>
        </row>
        <row r="551">
          <cell r="C551">
            <v>10130030</v>
          </cell>
          <cell r="D551" t="str">
            <v xml:space="preserve">Chhuchhipur                                                                                         </v>
          </cell>
          <cell r="E551" t="str">
            <v>MPG</v>
          </cell>
          <cell r="F551" t="str">
            <v>Direct</v>
          </cell>
        </row>
        <row r="552">
          <cell r="C552">
            <v>10130031</v>
          </cell>
          <cell r="D552" t="str">
            <v>Gomukh ID Sararanjan</v>
          </cell>
          <cell r="E552" t="str">
            <v>vlc</v>
          </cell>
          <cell r="F552" t="str">
            <v>Indirect</v>
          </cell>
        </row>
        <row r="553">
          <cell r="C553">
            <v>10130032</v>
          </cell>
          <cell r="D553" t="str">
            <v xml:space="preserve">Gomukh Soharthi Purvi Tola                                                                          </v>
          </cell>
          <cell r="E553" t="str">
            <v>MPG</v>
          </cell>
          <cell r="F553" t="str">
            <v>Direct</v>
          </cell>
        </row>
        <row r="554">
          <cell r="C554">
            <v>10130040</v>
          </cell>
          <cell r="D554" t="str">
            <v>Birnama</v>
          </cell>
          <cell r="E554" t="str">
            <v>vlc</v>
          </cell>
          <cell r="F554" t="str">
            <v>Indirect</v>
          </cell>
        </row>
        <row r="555">
          <cell r="C555">
            <v>10130041</v>
          </cell>
          <cell r="D555" t="str">
            <v>Maraie - Rubi</v>
          </cell>
          <cell r="E555" t="str">
            <v>vlc</v>
          </cell>
          <cell r="F555" t="str">
            <v>Indirect</v>
          </cell>
        </row>
        <row r="556">
          <cell r="C556">
            <v>10130042</v>
          </cell>
          <cell r="D556" t="str">
            <v>Arniya East Tola - Seema</v>
          </cell>
          <cell r="E556" t="str">
            <v>vlc</v>
          </cell>
          <cell r="F556" t="str">
            <v>Indirect</v>
          </cell>
        </row>
        <row r="557">
          <cell r="C557">
            <v>10130044</v>
          </cell>
          <cell r="D557" t="str">
            <v>Lakshmipur Western Tol - Rajeev</v>
          </cell>
          <cell r="E557" t="str">
            <v>MPG</v>
          </cell>
          <cell r="F557" t="str">
            <v>Indirect</v>
          </cell>
        </row>
        <row r="558">
          <cell r="C558">
            <v>10130046</v>
          </cell>
          <cell r="D558" t="str">
            <v>Jahangipur Salkhanni</v>
          </cell>
          <cell r="E558" t="str">
            <v>MPG</v>
          </cell>
          <cell r="F558" t="str">
            <v>Direct</v>
          </cell>
        </row>
        <row r="559">
          <cell r="C559">
            <v>10130047</v>
          </cell>
          <cell r="D559" t="str">
            <v>Sekhpura</v>
          </cell>
          <cell r="E559" t="str">
            <v>MPG</v>
          </cell>
          <cell r="F559" t="str">
            <v>Direct</v>
          </cell>
        </row>
        <row r="560">
          <cell r="C560">
            <v>10130052</v>
          </cell>
          <cell r="D560" t="str">
            <v>Songar</v>
          </cell>
          <cell r="E560" t="str">
            <v>MPG</v>
          </cell>
          <cell r="F560" t="str">
            <v>Direct</v>
          </cell>
        </row>
        <row r="561">
          <cell r="C561">
            <v>10130054</v>
          </cell>
          <cell r="D561" t="str">
            <v>Rampur Maheshpur</v>
          </cell>
          <cell r="E561" t="str">
            <v>MPG</v>
          </cell>
          <cell r="F561" t="str">
            <v>Direct</v>
          </cell>
        </row>
        <row r="562">
          <cell r="C562">
            <v>10130058</v>
          </cell>
          <cell r="D562" t="str">
            <v>Godhiyari</v>
          </cell>
          <cell r="E562" t="str">
            <v>vlc</v>
          </cell>
          <cell r="F562" t="str">
            <v>Indirect</v>
          </cell>
        </row>
        <row r="563">
          <cell r="C563">
            <v>10130065</v>
          </cell>
          <cell r="D563" t="str">
            <v>Jhakhra-Rambilash</v>
          </cell>
          <cell r="E563" t="str">
            <v>vlc</v>
          </cell>
          <cell r="F563" t="str">
            <v>Indirect</v>
          </cell>
        </row>
        <row r="564">
          <cell r="C564">
            <v>10130070</v>
          </cell>
          <cell r="D564" t="str">
            <v>Chaksikandar East</v>
          </cell>
          <cell r="E564" t="str">
            <v>MPG</v>
          </cell>
          <cell r="F564" t="str">
            <v>Direct</v>
          </cell>
        </row>
        <row r="565">
          <cell r="C565">
            <v>10130074</v>
          </cell>
          <cell r="D565" t="str">
            <v>Chakmilki</v>
          </cell>
          <cell r="E565" t="str">
            <v>MPG</v>
          </cell>
          <cell r="F565" t="str">
            <v>Direct</v>
          </cell>
        </row>
        <row r="566">
          <cell r="C566">
            <v>10130077</v>
          </cell>
          <cell r="D566" t="str">
            <v>Gomukh Akaha</v>
          </cell>
          <cell r="E566" t="str">
            <v>MPG</v>
          </cell>
          <cell r="F566" t="str">
            <v>Direct</v>
          </cell>
        </row>
        <row r="567">
          <cell r="C567">
            <v>10130080</v>
          </cell>
          <cell r="D567" t="str">
            <v>Nauachak-Pankaj</v>
          </cell>
          <cell r="E567" t="str">
            <v>vlc</v>
          </cell>
          <cell r="F567" t="str">
            <v>Indirect</v>
          </cell>
        </row>
        <row r="568">
          <cell r="C568">
            <v>10130081</v>
          </cell>
          <cell r="D568" t="str">
            <v>Jitwarpur-Manisha</v>
          </cell>
          <cell r="E568" t="str">
            <v>vlc</v>
          </cell>
          <cell r="F568" t="str">
            <v>Indirect</v>
          </cell>
        </row>
        <row r="569">
          <cell r="C569">
            <v>10130083</v>
          </cell>
          <cell r="D569" t="str">
            <v>Gomukh Sirdulpur 2</v>
          </cell>
          <cell r="E569" t="str">
            <v>vlc</v>
          </cell>
          <cell r="F569" t="str">
            <v>Indirect</v>
          </cell>
        </row>
        <row r="570">
          <cell r="C570">
            <v>10130085</v>
          </cell>
          <cell r="D570" t="str">
            <v>Gomukh Repura</v>
          </cell>
          <cell r="E570" t="str">
            <v>MPG</v>
          </cell>
          <cell r="F570" t="str">
            <v>Direct</v>
          </cell>
        </row>
        <row r="571">
          <cell r="C571">
            <v>10130088</v>
          </cell>
          <cell r="D571" t="str">
            <v>Gomukh Patepur</v>
          </cell>
          <cell r="E571" t="str">
            <v>vlc</v>
          </cell>
          <cell r="F571" t="str">
            <v>Indirect</v>
          </cell>
        </row>
        <row r="572">
          <cell r="C572">
            <v>10130091</v>
          </cell>
          <cell r="D572" t="str">
            <v>Gomukh Nipur</v>
          </cell>
          <cell r="E572" t="str">
            <v>MPG</v>
          </cell>
          <cell r="F572" t="str">
            <v>Direct</v>
          </cell>
        </row>
        <row r="573">
          <cell r="C573">
            <v>10130093</v>
          </cell>
          <cell r="D573" t="str">
            <v>Gomukh Sherpur Narsari East</v>
          </cell>
          <cell r="E573" t="str">
            <v>MPG</v>
          </cell>
          <cell r="F573" t="str">
            <v>Direct</v>
          </cell>
        </row>
        <row r="574">
          <cell r="C574">
            <v>10130094</v>
          </cell>
          <cell r="D574" t="str">
            <v>Gomukh Nauachak East</v>
          </cell>
          <cell r="E574" t="str">
            <v>MPG</v>
          </cell>
          <cell r="F574" t="str">
            <v>Direct</v>
          </cell>
        </row>
        <row r="575">
          <cell r="C575">
            <v>10130097</v>
          </cell>
          <cell r="D575" t="str">
            <v>Gomukh Karhatti</v>
          </cell>
          <cell r="E575" t="str">
            <v>MPG</v>
          </cell>
          <cell r="F575" t="str">
            <v>Direct</v>
          </cell>
        </row>
        <row r="576">
          <cell r="C576">
            <v>10130098</v>
          </cell>
          <cell r="D576" t="str">
            <v>Gomukh Gaopur Bhagwatpur</v>
          </cell>
          <cell r="E576" t="str">
            <v>MPG</v>
          </cell>
          <cell r="F576" t="str">
            <v>Direct</v>
          </cell>
        </row>
        <row r="577">
          <cell r="C577">
            <v>10130100</v>
          </cell>
          <cell r="D577" t="str">
            <v>Gomukh Rajwara</v>
          </cell>
          <cell r="E577" t="str">
            <v>MPG</v>
          </cell>
          <cell r="F577" t="str">
            <v>Direct</v>
          </cell>
        </row>
        <row r="578">
          <cell r="C578">
            <v>10130101</v>
          </cell>
          <cell r="D578" t="str">
            <v>Gomukh Karhatiya Bujurg</v>
          </cell>
          <cell r="E578" t="str">
            <v>vlc</v>
          </cell>
          <cell r="F578" t="str">
            <v>Indirect</v>
          </cell>
        </row>
        <row r="579">
          <cell r="C579">
            <v>10130102</v>
          </cell>
          <cell r="D579" t="str">
            <v>GOMUKH NIKASPUR</v>
          </cell>
          <cell r="E579" t="str">
            <v>vlc</v>
          </cell>
          <cell r="F579" t="str">
            <v>Direct</v>
          </cell>
        </row>
        <row r="580">
          <cell r="C580">
            <v>10130107</v>
          </cell>
          <cell r="D580" t="str">
            <v>Gomukh Morwa Mohanpur</v>
          </cell>
          <cell r="E580" t="str">
            <v>vlc</v>
          </cell>
          <cell r="F580" t="str">
            <v>Indirect</v>
          </cell>
        </row>
        <row r="581">
          <cell r="C581">
            <v>10130111</v>
          </cell>
          <cell r="D581" t="str">
            <v>Gomukh Gangapur East</v>
          </cell>
          <cell r="E581" t="str">
            <v>vlc</v>
          </cell>
          <cell r="F581" t="str">
            <v>Indirect</v>
          </cell>
        </row>
        <row r="582">
          <cell r="C582">
            <v>10130113</v>
          </cell>
          <cell r="D582" t="str">
            <v>GOMUKH Laguniya</v>
          </cell>
          <cell r="E582" t="str">
            <v>vlc</v>
          </cell>
          <cell r="F582" t="str">
            <v>Indirect</v>
          </cell>
        </row>
        <row r="583">
          <cell r="C583">
            <v>10130114</v>
          </cell>
          <cell r="D583" t="str">
            <v>GOMUKH MAHINDWARA</v>
          </cell>
          <cell r="E583" t="str">
            <v>vlc</v>
          </cell>
          <cell r="F583" t="str">
            <v>Indirect</v>
          </cell>
        </row>
        <row r="584">
          <cell r="C584">
            <v>10130115</v>
          </cell>
          <cell r="D584" t="str">
            <v>GOMUKH MISHRAULIA</v>
          </cell>
          <cell r="E584" t="str">
            <v>MPG</v>
          </cell>
          <cell r="F584" t="str">
            <v>Direct</v>
          </cell>
        </row>
        <row r="585">
          <cell r="C585">
            <v>10130116</v>
          </cell>
          <cell r="D585" t="str">
            <v>GOMUKH CHAKIRDI</v>
          </cell>
          <cell r="E585" t="str">
            <v>MPG</v>
          </cell>
          <cell r="F585" t="str">
            <v>Direct</v>
          </cell>
        </row>
        <row r="586">
          <cell r="C586">
            <v>10130117</v>
          </cell>
          <cell r="D586" t="str">
            <v>GOMUKH Bhagwatpur East</v>
          </cell>
          <cell r="E586" t="str">
            <v>MPG</v>
          </cell>
          <cell r="F586" t="str">
            <v>Direct</v>
          </cell>
        </row>
        <row r="587">
          <cell r="C587">
            <v>10130118</v>
          </cell>
          <cell r="D587" t="str">
            <v>Gomukh Rupauli Buzurg</v>
          </cell>
          <cell r="E587" t="str">
            <v>vlc</v>
          </cell>
          <cell r="F587" t="str">
            <v>Indirect</v>
          </cell>
        </row>
        <row r="588">
          <cell r="C588">
            <v>10140001</v>
          </cell>
          <cell r="D588" t="str">
            <v>Dumri Purvi Tola</v>
          </cell>
          <cell r="E588" t="str">
            <v>MPG</v>
          </cell>
          <cell r="F588" t="str">
            <v>Direct</v>
          </cell>
        </row>
        <row r="589">
          <cell r="C589">
            <v>10140002</v>
          </cell>
          <cell r="D589" t="str">
            <v>Simri</v>
          </cell>
          <cell r="E589" t="str">
            <v>MPG</v>
          </cell>
          <cell r="F589" t="str">
            <v>Direct</v>
          </cell>
        </row>
        <row r="590">
          <cell r="C590">
            <v>10140003</v>
          </cell>
          <cell r="D590" t="str">
            <v>Sahiyar</v>
          </cell>
          <cell r="E590" t="str">
            <v>MPG</v>
          </cell>
          <cell r="F590" t="str">
            <v>Direct</v>
          </cell>
        </row>
        <row r="591">
          <cell r="C591">
            <v>10140007</v>
          </cell>
          <cell r="D591" t="str">
            <v>ENGLISH DUBAULI</v>
          </cell>
          <cell r="E591" t="str">
            <v>MPG</v>
          </cell>
          <cell r="F591" t="str">
            <v>Direct</v>
          </cell>
        </row>
        <row r="592">
          <cell r="C592">
            <v>10140008</v>
          </cell>
          <cell r="D592" t="str">
            <v>Ramo Bariya</v>
          </cell>
          <cell r="E592" t="str">
            <v>MPG</v>
          </cell>
          <cell r="F592" t="str">
            <v>Direct</v>
          </cell>
        </row>
        <row r="593">
          <cell r="C593">
            <v>10140009</v>
          </cell>
          <cell r="D593" t="str">
            <v>HITAN PARARI</v>
          </cell>
          <cell r="E593" t="str">
            <v>MPG</v>
          </cell>
          <cell r="F593" t="str">
            <v>Direct</v>
          </cell>
        </row>
        <row r="594">
          <cell r="C594">
            <v>10140012</v>
          </cell>
          <cell r="D594" t="str">
            <v>Gangauli</v>
          </cell>
          <cell r="E594" t="str">
            <v>MPG</v>
          </cell>
          <cell r="F594" t="str">
            <v>Direct</v>
          </cell>
        </row>
        <row r="595">
          <cell r="C595">
            <v>10140013</v>
          </cell>
          <cell r="D595" t="str">
            <v>MATHURA DERA</v>
          </cell>
          <cell r="E595" t="str">
            <v>MPG</v>
          </cell>
          <cell r="F595" t="str">
            <v>Direct</v>
          </cell>
        </row>
        <row r="596">
          <cell r="C596">
            <v>10140018</v>
          </cell>
          <cell r="D596" t="str">
            <v>NANDAN</v>
          </cell>
          <cell r="E596" t="str">
            <v>MPG</v>
          </cell>
          <cell r="F596" t="str">
            <v>Direct</v>
          </cell>
        </row>
        <row r="597">
          <cell r="C597">
            <v>10140020</v>
          </cell>
          <cell r="D597" t="str">
            <v>RAJAPUR</v>
          </cell>
          <cell r="E597" t="str">
            <v>MPG</v>
          </cell>
          <cell r="F597" t="str">
            <v>Direct</v>
          </cell>
        </row>
        <row r="598">
          <cell r="C598">
            <v>10140022</v>
          </cell>
          <cell r="D598" t="str">
            <v>HEMDAPUR</v>
          </cell>
          <cell r="E598" t="str">
            <v>MPG</v>
          </cell>
          <cell r="F598" t="str">
            <v>Direct</v>
          </cell>
        </row>
        <row r="599">
          <cell r="C599">
            <v>10140032</v>
          </cell>
          <cell r="D599" t="str">
            <v>Chaugain</v>
          </cell>
          <cell r="E599" t="str">
            <v>MPG</v>
          </cell>
          <cell r="F599" t="str">
            <v>Direct</v>
          </cell>
        </row>
        <row r="600">
          <cell r="C600">
            <v>10140033</v>
          </cell>
          <cell r="D600" t="str">
            <v>Akalupur</v>
          </cell>
          <cell r="E600" t="str">
            <v>MPG</v>
          </cell>
          <cell r="F600" t="str">
            <v>Direct</v>
          </cell>
        </row>
        <row r="601">
          <cell r="C601">
            <v>10140034</v>
          </cell>
          <cell r="D601" t="str">
            <v>Chhotka Sihanpura</v>
          </cell>
          <cell r="E601" t="str">
            <v>MPG</v>
          </cell>
          <cell r="F601" t="str">
            <v>Direct</v>
          </cell>
        </row>
        <row r="602">
          <cell r="C602">
            <v>10140039</v>
          </cell>
          <cell r="D602" t="str">
            <v>Dharauli</v>
          </cell>
          <cell r="E602" t="str">
            <v>MPG</v>
          </cell>
          <cell r="F602" t="str">
            <v>Direct</v>
          </cell>
        </row>
        <row r="603">
          <cell r="C603">
            <v>10140041</v>
          </cell>
          <cell r="D603" t="str">
            <v>Ramopatti</v>
          </cell>
          <cell r="E603" t="str">
            <v>MPG</v>
          </cell>
          <cell r="F603" t="str">
            <v>Direct</v>
          </cell>
        </row>
        <row r="604">
          <cell r="C604">
            <v>10140043</v>
          </cell>
          <cell r="D604" t="str">
            <v>Kaithi</v>
          </cell>
          <cell r="E604" t="str">
            <v>MPG</v>
          </cell>
          <cell r="F604" t="str">
            <v>Direct</v>
          </cell>
        </row>
        <row r="605">
          <cell r="C605">
            <v>10140045</v>
          </cell>
          <cell r="D605" t="str">
            <v>Rangi Dera</v>
          </cell>
          <cell r="E605" t="str">
            <v>MPG</v>
          </cell>
          <cell r="F605" t="str">
            <v>Direct</v>
          </cell>
        </row>
        <row r="606">
          <cell r="C606">
            <v>10140047</v>
          </cell>
          <cell r="D606" t="str">
            <v>Dubki</v>
          </cell>
          <cell r="E606" t="str">
            <v>MPG</v>
          </cell>
          <cell r="F606" t="str">
            <v>Direct</v>
          </cell>
        </row>
        <row r="607">
          <cell r="C607">
            <v>10140048</v>
          </cell>
          <cell r="D607" t="str">
            <v>Sonvarsa</v>
          </cell>
          <cell r="E607" t="str">
            <v>MPG</v>
          </cell>
          <cell r="F607" t="str">
            <v>Direct</v>
          </cell>
        </row>
        <row r="608">
          <cell r="C608">
            <v>10140054</v>
          </cell>
          <cell r="D608" t="str">
            <v>Soan</v>
          </cell>
          <cell r="E608" t="str">
            <v>MPG</v>
          </cell>
          <cell r="F608" t="str">
            <v>Direct</v>
          </cell>
        </row>
        <row r="609">
          <cell r="C609">
            <v>10140055</v>
          </cell>
          <cell r="D609" t="str">
            <v xml:space="preserve">PURANA BHOJPUR                                                                                      </v>
          </cell>
          <cell r="E609" t="str">
            <v>MPG</v>
          </cell>
          <cell r="F609" t="str">
            <v>Direct</v>
          </cell>
        </row>
        <row r="610">
          <cell r="C610">
            <v>10140066</v>
          </cell>
          <cell r="D610" t="str">
            <v>Gomukh Kant</v>
          </cell>
          <cell r="E610" t="str">
            <v>MPG</v>
          </cell>
          <cell r="F610" t="str">
            <v>Direct</v>
          </cell>
        </row>
        <row r="611">
          <cell r="C611">
            <v>10140068</v>
          </cell>
          <cell r="D611" t="str">
            <v>Gomukh Naat</v>
          </cell>
          <cell r="E611" t="str">
            <v>MPG</v>
          </cell>
          <cell r="F611" t="str">
            <v>Direct</v>
          </cell>
        </row>
        <row r="612">
          <cell r="C612">
            <v>10140069</v>
          </cell>
          <cell r="D612" t="str">
            <v>Gomukh Raghunathpur</v>
          </cell>
          <cell r="E612" t="str">
            <v>MPG</v>
          </cell>
          <cell r="F612" t="str">
            <v>Direct</v>
          </cell>
        </row>
        <row r="613">
          <cell r="C613">
            <v>10140071</v>
          </cell>
          <cell r="D613" t="str">
            <v>Gomukh Tilakraika Hata 1 - Manoj</v>
          </cell>
          <cell r="E613" t="str">
            <v>vlc</v>
          </cell>
          <cell r="F613" t="str">
            <v>Indirect</v>
          </cell>
        </row>
        <row r="614">
          <cell r="C614">
            <v>10140083</v>
          </cell>
          <cell r="D614" t="str">
            <v>Gomukh Murar</v>
          </cell>
          <cell r="E614" t="str">
            <v>MPG</v>
          </cell>
          <cell r="F614" t="str">
            <v>Direct</v>
          </cell>
        </row>
        <row r="615">
          <cell r="C615">
            <v>10140087</v>
          </cell>
          <cell r="D615" t="str">
            <v xml:space="preserve">Gomukh Churamanpur                                                                                  </v>
          </cell>
          <cell r="E615" t="str">
            <v>MPG</v>
          </cell>
          <cell r="F615" t="str">
            <v>Direct</v>
          </cell>
        </row>
        <row r="616">
          <cell r="C616">
            <v>10140095</v>
          </cell>
          <cell r="D616" t="str">
            <v>Gomukh Ekauni Karuwaj</v>
          </cell>
          <cell r="E616" t="str">
            <v>MPG</v>
          </cell>
          <cell r="F616" t="str">
            <v>Direct</v>
          </cell>
        </row>
        <row r="617">
          <cell r="C617">
            <v>10140098</v>
          </cell>
          <cell r="D617" t="str">
            <v>Kulharia Agriculture Producer Company Limited</v>
          </cell>
          <cell r="E617" t="str">
            <v>MPG</v>
          </cell>
          <cell r="F617" t="str">
            <v>Direct</v>
          </cell>
        </row>
        <row r="618">
          <cell r="C618">
            <v>10140099</v>
          </cell>
          <cell r="D618" t="str">
            <v>Gomukh Dhakaich</v>
          </cell>
          <cell r="E618" t="str">
            <v>MPG</v>
          </cell>
          <cell r="F618" t="str">
            <v>Direct</v>
          </cell>
        </row>
        <row r="619">
          <cell r="C619">
            <v>10140109</v>
          </cell>
          <cell r="D619" t="str">
            <v>Gomukh Kajipura Chandan</v>
          </cell>
          <cell r="E619" t="str">
            <v>vlc</v>
          </cell>
          <cell r="F619" t="str">
            <v>Indirect</v>
          </cell>
        </row>
        <row r="620">
          <cell r="C620">
            <v>10140119</v>
          </cell>
          <cell r="D620" t="str">
            <v>Gomukh Banswar</v>
          </cell>
          <cell r="E620" t="str">
            <v>MPG</v>
          </cell>
          <cell r="F620" t="str">
            <v>Direct</v>
          </cell>
        </row>
        <row r="621">
          <cell r="C621">
            <v>10140120</v>
          </cell>
          <cell r="D621" t="str">
            <v>Gomukh Sikraul Lakh</v>
          </cell>
          <cell r="E621" t="str">
            <v>MPG</v>
          </cell>
          <cell r="F621" t="str">
            <v>Direct</v>
          </cell>
        </row>
        <row r="622">
          <cell r="C622">
            <v>10140126</v>
          </cell>
          <cell r="D622" t="str">
            <v>Gomukh Dafadihari</v>
          </cell>
          <cell r="E622" t="str">
            <v>MPG</v>
          </cell>
          <cell r="F622" t="str">
            <v>Direct</v>
          </cell>
        </row>
        <row r="623">
          <cell r="C623">
            <v>10140129</v>
          </cell>
          <cell r="D623" t="str">
            <v>Gomukh Paharpur</v>
          </cell>
          <cell r="E623" t="str">
            <v>MPG</v>
          </cell>
          <cell r="F623" t="str">
            <v>Direct</v>
          </cell>
        </row>
        <row r="624">
          <cell r="C624">
            <v>10140131</v>
          </cell>
          <cell r="D624" t="str">
            <v>Gomukh Basaon Kalan</v>
          </cell>
          <cell r="E624" t="str">
            <v>MPG</v>
          </cell>
          <cell r="F624" t="str">
            <v>Direct</v>
          </cell>
        </row>
        <row r="625">
          <cell r="C625">
            <v>10140132</v>
          </cell>
          <cell r="D625" t="str">
            <v>Gomukh Mangolpur</v>
          </cell>
          <cell r="E625" t="str">
            <v>MPG</v>
          </cell>
          <cell r="F625" t="str">
            <v>Direct</v>
          </cell>
        </row>
        <row r="626">
          <cell r="C626">
            <v>10140135</v>
          </cell>
          <cell r="D626" t="str">
            <v>Gomukh Dhanipur</v>
          </cell>
          <cell r="E626" t="str">
            <v>MPG</v>
          </cell>
          <cell r="F626" t="str">
            <v>Direct</v>
          </cell>
        </row>
        <row r="627">
          <cell r="C627">
            <v>10140137</v>
          </cell>
          <cell r="D627" t="str">
            <v>Gomukh Rakshanagar_tola</v>
          </cell>
          <cell r="E627" t="str">
            <v>MPG</v>
          </cell>
          <cell r="F627" t="str">
            <v>Direct</v>
          </cell>
        </row>
        <row r="628">
          <cell r="C628">
            <v>10140139</v>
          </cell>
          <cell r="D628" t="str">
            <v>Gomukh Nadaon</v>
          </cell>
          <cell r="E628" t="str">
            <v>MPG</v>
          </cell>
          <cell r="F628" t="str">
            <v>Direct</v>
          </cell>
        </row>
        <row r="629">
          <cell r="C629">
            <v>10140141</v>
          </cell>
          <cell r="D629" t="str">
            <v>Gomukh Bimhnath Girdhar Baraw</v>
          </cell>
          <cell r="E629" t="str">
            <v>vlc</v>
          </cell>
          <cell r="F629" t="str">
            <v>Indirect</v>
          </cell>
        </row>
        <row r="630">
          <cell r="C630">
            <v>10140147</v>
          </cell>
          <cell r="D630" t="str">
            <v xml:space="preserve">Gomukh Mathuradera Upendra </v>
          </cell>
          <cell r="E630" t="str">
            <v>vlc</v>
          </cell>
          <cell r="F630" t="str">
            <v>Indirect</v>
          </cell>
        </row>
        <row r="631">
          <cell r="C631">
            <v>10140152</v>
          </cell>
          <cell r="D631" t="str">
            <v>Gomukh Badkagaon Yamunatola</v>
          </cell>
          <cell r="E631" t="str">
            <v>MPG</v>
          </cell>
          <cell r="F631" t="str">
            <v>Direct</v>
          </cell>
        </row>
        <row r="632">
          <cell r="C632">
            <v>10140153</v>
          </cell>
          <cell r="D632" t="str">
            <v>Gomukh Bramhpur</v>
          </cell>
          <cell r="E632" t="str">
            <v>MPG</v>
          </cell>
          <cell r="F632" t="str">
            <v>Direct</v>
          </cell>
        </row>
        <row r="633">
          <cell r="C633">
            <v>10140156</v>
          </cell>
          <cell r="D633" t="str">
            <v>Gomukh Mashariya</v>
          </cell>
          <cell r="E633" t="str">
            <v>MPG</v>
          </cell>
          <cell r="F633" t="str">
            <v>Direct</v>
          </cell>
        </row>
        <row r="634">
          <cell r="C634">
            <v>10140157</v>
          </cell>
          <cell r="D634" t="str">
            <v>Gomukh Basawkala Sudhir Kumar</v>
          </cell>
          <cell r="E634" t="str">
            <v>vlc</v>
          </cell>
          <cell r="F634" t="str">
            <v>Indirect</v>
          </cell>
        </row>
        <row r="635">
          <cell r="C635">
            <v>10140166</v>
          </cell>
          <cell r="D635" t="str">
            <v>Gomukh KritSagar</v>
          </cell>
          <cell r="E635" t="str">
            <v>MPG</v>
          </cell>
          <cell r="F635" t="str">
            <v>Direct</v>
          </cell>
        </row>
        <row r="636">
          <cell r="C636">
            <v>10140167</v>
          </cell>
          <cell r="D636" t="str">
            <v>Gomukh Navdera Jaipraksh</v>
          </cell>
          <cell r="E636" t="str">
            <v>vlc</v>
          </cell>
          <cell r="F636" t="str">
            <v>Indirect</v>
          </cell>
        </row>
        <row r="637">
          <cell r="C637">
            <v>10140170</v>
          </cell>
          <cell r="D637" t="str">
            <v>Gomukh Ataon</v>
          </cell>
          <cell r="E637" t="str">
            <v>MPG</v>
          </cell>
          <cell r="F637" t="str">
            <v>Direct</v>
          </cell>
        </row>
        <row r="638">
          <cell r="C638">
            <v>10140173</v>
          </cell>
          <cell r="D638" t="str">
            <v>Gumukh Gayghat</v>
          </cell>
          <cell r="E638" t="str">
            <v>MPG</v>
          </cell>
          <cell r="F638" t="str">
            <v>Direct</v>
          </cell>
        </row>
        <row r="639">
          <cell r="C639">
            <v>10140174</v>
          </cell>
          <cell r="D639" t="str">
            <v>Gomukh Shivpur</v>
          </cell>
          <cell r="E639" t="str">
            <v>MPG</v>
          </cell>
          <cell r="F639" t="str">
            <v>Direct</v>
          </cell>
        </row>
        <row r="640">
          <cell r="C640">
            <v>10140176</v>
          </cell>
          <cell r="D640" t="str">
            <v>Gomukh Chakki Janardan Yadav</v>
          </cell>
          <cell r="E640" t="str">
            <v>vlc</v>
          </cell>
          <cell r="F640" t="str">
            <v>Indirect</v>
          </cell>
        </row>
        <row r="641">
          <cell r="C641">
            <v>10140179</v>
          </cell>
          <cell r="D641" t="str">
            <v>Gomukh Rajpur</v>
          </cell>
          <cell r="E641" t="str">
            <v>MPG</v>
          </cell>
          <cell r="F641" t="str">
            <v>Direct</v>
          </cell>
        </row>
        <row r="642">
          <cell r="C642">
            <v>10140180</v>
          </cell>
          <cell r="D642" t="str">
            <v>Gomukh Gangauli Dubha</v>
          </cell>
          <cell r="E642" t="str">
            <v>MPG</v>
          </cell>
          <cell r="F642" t="str">
            <v>Direct</v>
          </cell>
        </row>
        <row r="643">
          <cell r="C643">
            <v>10140181</v>
          </cell>
          <cell r="D643" t="str">
            <v>Tiyar A2 Milk Producer Company Limited</v>
          </cell>
          <cell r="E643" t="str">
            <v>vlc</v>
          </cell>
          <cell r="F643" t="str">
            <v>Indirect</v>
          </cell>
        </row>
        <row r="644">
          <cell r="C644">
            <v>10140183</v>
          </cell>
          <cell r="D644" t="str">
            <v>Gomukh Uttardahan</v>
          </cell>
          <cell r="E644" t="str">
            <v>MPG</v>
          </cell>
          <cell r="F644" t="str">
            <v>Direct</v>
          </cell>
        </row>
        <row r="645">
          <cell r="C645">
            <v>10140185</v>
          </cell>
          <cell r="D645" t="str">
            <v>Gomukh Jagdishpur</v>
          </cell>
          <cell r="E645" t="str">
            <v>MPG</v>
          </cell>
          <cell r="F645" t="str">
            <v>Direct</v>
          </cell>
        </row>
        <row r="646">
          <cell r="C646">
            <v>10140193</v>
          </cell>
          <cell r="D646" t="str">
            <v>Gaya Jee Pathak</v>
          </cell>
          <cell r="E646" t="str">
            <v>vlc</v>
          </cell>
          <cell r="F646" t="str">
            <v>Indirect</v>
          </cell>
        </row>
        <row r="647">
          <cell r="C647">
            <v>10140194</v>
          </cell>
          <cell r="D647" t="str">
            <v>Gumukh Orap Khurd</v>
          </cell>
          <cell r="E647" t="str">
            <v>MPG</v>
          </cell>
          <cell r="F647" t="str">
            <v>Direct</v>
          </cell>
        </row>
        <row r="648">
          <cell r="C648">
            <v>10140196</v>
          </cell>
          <cell r="D648" t="str">
            <v>Gomukh Daunpura Manendra</v>
          </cell>
          <cell r="E648" t="str">
            <v>vlc</v>
          </cell>
          <cell r="F648" t="str">
            <v>Indirect</v>
          </cell>
        </row>
        <row r="649">
          <cell r="C649">
            <v>10140197</v>
          </cell>
          <cell r="D649" t="str">
            <v>Gumukh Mathiyapur</v>
          </cell>
          <cell r="E649" t="str">
            <v>MPG</v>
          </cell>
          <cell r="F649" t="str">
            <v>Direct</v>
          </cell>
        </row>
        <row r="650">
          <cell r="C650">
            <v>10140198</v>
          </cell>
          <cell r="D650" t="str">
            <v>Gomukh Raghunathpur Dasrath</v>
          </cell>
          <cell r="E650" t="str">
            <v>vlc</v>
          </cell>
          <cell r="F650" t="str">
            <v>Indirect</v>
          </cell>
        </row>
        <row r="651">
          <cell r="C651">
            <v>10140201</v>
          </cell>
          <cell r="D651" t="str">
            <v>Gomukh Lakshman Dera Raja</v>
          </cell>
          <cell r="E651" t="str">
            <v>vlc</v>
          </cell>
          <cell r="F651" t="str">
            <v>Indirect</v>
          </cell>
        </row>
        <row r="652">
          <cell r="C652">
            <v>10140203</v>
          </cell>
          <cell r="D652" t="str">
            <v>Sohan Narayan Farmer Dairy Producer Company Ltd</v>
          </cell>
          <cell r="E652" t="str">
            <v>vlc</v>
          </cell>
          <cell r="F652" t="str">
            <v>Indirect</v>
          </cell>
        </row>
        <row r="653">
          <cell r="C653">
            <v>10140204</v>
          </cell>
          <cell r="D653" t="str">
            <v xml:space="preserve">Gomukh Arion Govind </v>
          </cell>
          <cell r="E653" t="str">
            <v>vlc</v>
          </cell>
          <cell r="F653" t="str">
            <v>Indirect</v>
          </cell>
        </row>
        <row r="654">
          <cell r="C654">
            <v>10140205</v>
          </cell>
          <cell r="D654" t="str">
            <v>Gumukh Niyajipur Nakchhedi Pathak Dera</v>
          </cell>
          <cell r="E654" t="str">
            <v>MPG</v>
          </cell>
          <cell r="F654" t="str">
            <v>Direct</v>
          </cell>
        </row>
        <row r="655">
          <cell r="C655">
            <v>10140206</v>
          </cell>
          <cell r="D655" t="str">
            <v>Gumukh Basawkala Dahpura Tola</v>
          </cell>
          <cell r="E655" t="str">
            <v>MPG</v>
          </cell>
          <cell r="F655" t="str">
            <v>Direct</v>
          </cell>
        </row>
        <row r="656">
          <cell r="C656">
            <v>10180001</v>
          </cell>
          <cell r="D656" t="str">
            <v>Gaachhi Tola</v>
          </cell>
          <cell r="E656" t="str">
            <v>vlc</v>
          </cell>
          <cell r="F656" t="str">
            <v>Indirect</v>
          </cell>
        </row>
        <row r="657">
          <cell r="C657">
            <v>10220001</v>
          </cell>
          <cell r="D657" t="str">
            <v>VISHWASHPUR</v>
          </cell>
          <cell r="E657" t="str">
            <v>RMC</v>
          </cell>
          <cell r="F657" t="str">
            <v>Direct</v>
          </cell>
        </row>
        <row r="658">
          <cell r="C658">
            <v>10240001</v>
          </cell>
          <cell r="D658" t="str">
            <v>KUMARPUIR KATHARA</v>
          </cell>
          <cell r="E658" t="str">
            <v>RMC</v>
          </cell>
          <cell r="F658" t="str">
            <v>Direct</v>
          </cell>
        </row>
        <row r="659">
          <cell r="C659">
            <v>10250001</v>
          </cell>
          <cell r="D659" t="str">
            <v>KUDHIYA MPG</v>
          </cell>
          <cell r="E659" t="str">
            <v>RMC</v>
          </cell>
          <cell r="F659" t="str">
            <v>Direct</v>
          </cell>
        </row>
        <row r="660">
          <cell r="C660">
            <v>10260001</v>
          </cell>
          <cell r="D660" t="str">
            <v>SHAHJADPUR MPG</v>
          </cell>
          <cell r="E660" t="str">
            <v>RMC</v>
          </cell>
          <cell r="F660" t="str">
            <v>Direct</v>
          </cell>
        </row>
        <row r="661">
          <cell r="C661">
            <v>10290001</v>
          </cell>
          <cell r="D661" t="str">
            <v>FARDA - 3</v>
          </cell>
          <cell r="E661" t="str">
            <v>RMC</v>
          </cell>
          <cell r="F661" t="str">
            <v>Direct</v>
          </cell>
        </row>
        <row r="662">
          <cell r="C662">
            <v>10300001</v>
          </cell>
          <cell r="D662" t="str">
            <v>CHANDANPURA</v>
          </cell>
          <cell r="E662" t="str">
            <v>vlc</v>
          </cell>
          <cell r="F662" t="str">
            <v>Indirect</v>
          </cell>
        </row>
        <row r="663">
          <cell r="C663">
            <v>10310001</v>
          </cell>
          <cell r="D663" t="str">
            <v>MANIKPUR</v>
          </cell>
          <cell r="E663" t="str">
            <v>RMC</v>
          </cell>
          <cell r="F663" t="str">
            <v>Direct</v>
          </cell>
        </row>
        <row r="664">
          <cell r="C664">
            <v>10320001</v>
          </cell>
          <cell r="D664" t="str">
            <v>JAKARPURA</v>
          </cell>
          <cell r="E664" t="str">
            <v>vlc</v>
          </cell>
          <cell r="F664" t="str">
            <v>Indirect</v>
          </cell>
        </row>
        <row r="665">
          <cell r="C665">
            <v>10330001</v>
          </cell>
          <cell r="D665" t="str">
            <v>KISHANPUR</v>
          </cell>
          <cell r="E665" t="str">
            <v>vlc</v>
          </cell>
          <cell r="F665" t="str">
            <v>Indirect</v>
          </cell>
        </row>
        <row r="666">
          <cell r="C666">
            <v>10340001</v>
          </cell>
          <cell r="D666" t="str">
            <v>NANDPUR</v>
          </cell>
          <cell r="E666" t="str">
            <v>vlc</v>
          </cell>
          <cell r="F666" t="str">
            <v>Indirect</v>
          </cell>
        </row>
        <row r="667">
          <cell r="C667">
            <v>10350001</v>
          </cell>
          <cell r="D667" t="str">
            <v>NOWAGADHI</v>
          </cell>
          <cell r="E667" t="str">
            <v>RMC</v>
          </cell>
          <cell r="F667" t="str">
            <v>Direct</v>
          </cell>
        </row>
        <row r="668">
          <cell r="C668">
            <v>10360001</v>
          </cell>
          <cell r="D668" t="str">
            <v>MAHADAT PUR 2</v>
          </cell>
          <cell r="E668" t="str">
            <v>RMC</v>
          </cell>
          <cell r="F668" t="str">
            <v>Direct</v>
          </cell>
        </row>
        <row r="669">
          <cell r="C669">
            <v>10370001</v>
          </cell>
          <cell r="D669" t="str">
            <v>KATHELA TOLA TELDHI</v>
          </cell>
          <cell r="E669" t="str">
            <v>RMC</v>
          </cell>
          <cell r="F669" t="str">
            <v>Direct</v>
          </cell>
        </row>
        <row r="670">
          <cell r="C670">
            <v>10380001</v>
          </cell>
          <cell r="D670" t="str">
            <v>SONBARSHA 1</v>
          </cell>
          <cell r="E670" t="str">
            <v>RMC</v>
          </cell>
          <cell r="F670" t="str">
            <v>Direct</v>
          </cell>
        </row>
        <row r="671">
          <cell r="C671">
            <v>10390001</v>
          </cell>
          <cell r="D671" t="str">
            <v>GANOUL</v>
          </cell>
          <cell r="E671" t="str">
            <v>RMC</v>
          </cell>
          <cell r="F671" t="str">
            <v>Indirect</v>
          </cell>
        </row>
        <row r="672">
          <cell r="C672">
            <v>10400001</v>
          </cell>
          <cell r="D672" t="str">
            <v>Gauripur</v>
          </cell>
          <cell r="E672" t="str">
            <v>RMC</v>
          </cell>
          <cell r="F672" t="str">
            <v>Direct</v>
          </cell>
        </row>
        <row r="673">
          <cell r="C673">
            <v>10410001</v>
          </cell>
          <cell r="D673" t="str">
            <v>Bhramarpur</v>
          </cell>
          <cell r="E673" t="str">
            <v>RMC</v>
          </cell>
          <cell r="F673" t="str">
            <v>Direct</v>
          </cell>
        </row>
        <row r="674">
          <cell r="C674">
            <v>10430001</v>
          </cell>
          <cell r="D674" t="str">
            <v>Gomukh Bariyarpur</v>
          </cell>
          <cell r="E674" t="str">
            <v>RMC</v>
          </cell>
          <cell r="F674" t="str">
            <v>Direct</v>
          </cell>
        </row>
        <row r="675">
          <cell r="C675">
            <v>10440001</v>
          </cell>
          <cell r="D675" t="str">
            <v>Gomukh Sadananpur</v>
          </cell>
          <cell r="E675" t="str">
            <v>MPG</v>
          </cell>
          <cell r="F675" t="str">
            <v>Direct</v>
          </cell>
        </row>
        <row r="676">
          <cell r="C676">
            <v>10460001</v>
          </cell>
          <cell r="D676" t="str">
            <v>TILAKPUR  2</v>
          </cell>
          <cell r="E676" t="str">
            <v>RMC</v>
          </cell>
          <cell r="F676" t="str">
            <v>Direct</v>
          </cell>
        </row>
        <row r="677">
          <cell r="C677">
            <v>10460002</v>
          </cell>
          <cell r="D677" t="str">
            <v>TILAKPUR</v>
          </cell>
          <cell r="E677" t="str">
            <v>MPG</v>
          </cell>
          <cell r="F677" t="str">
            <v>Direct</v>
          </cell>
        </row>
        <row r="678">
          <cell r="C678">
            <v>10480001</v>
          </cell>
          <cell r="D678" t="str">
            <v>Prasharpur Kadwa Gomukh</v>
          </cell>
          <cell r="E678" t="str">
            <v>MPG</v>
          </cell>
          <cell r="F678" t="str">
            <v>Direct</v>
          </cell>
        </row>
        <row r="679">
          <cell r="C679">
            <v>10480002</v>
          </cell>
          <cell r="D679" t="str">
            <v>Borwa Tola Gomukh</v>
          </cell>
          <cell r="E679" t="str">
            <v>vlc</v>
          </cell>
          <cell r="F679" t="str">
            <v>Indirect</v>
          </cell>
        </row>
        <row r="680">
          <cell r="C680">
            <v>10480003</v>
          </cell>
          <cell r="D680" t="str">
            <v>Sheela Devi</v>
          </cell>
          <cell r="E680" t="str">
            <v>vlc</v>
          </cell>
          <cell r="F680" t="str">
            <v>Indirect</v>
          </cell>
        </row>
        <row r="681">
          <cell r="C681">
            <v>10480005</v>
          </cell>
          <cell r="D681" t="str">
            <v>Gomukh Vijay Lalganj</v>
          </cell>
          <cell r="E681" t="str">
            <v>MPG</v>
          </cell>
          <cell r="F681" t="str">
            <v>Direct</v>
          </cell>
        </row>
        <row r="682">
          <cell r="C682">
            <v>10480008</v>
          </cell>
          <cell r="D682" t="str">
            <v>Gomukh Sarswati Nagar Nakdahri</v>
          </cell>
          <cell r="E682" t="str">
            <v>MPG</v>
          </cell>
          <cell r="F682" t="str">
            <v>Direct</v>
          </cell>
        </row>
        <row r="683">
          <cell r="C683">
            <v>10480012</v>
          </cell>
          <cell r="D683" t="str">
            <v>Gomukh Krishna Dairy Tulsipur</v>
          </cell>
          <cell r="E683" t="str">
            <v>MPG</v>
          </cell>
          <cell r="F683" t="str">
            <v>Direct</v>
          </cell>
        </row>
        <row r="684">
          <cell r="C684">
            <v>10480016</v>
          </cell>
          <cell r="D684" t="str">
            <v>Gomukh Lauwalagam</v>
          </cell>
          <cell r="E684" t="str">
            <v>MPG</v>
          </cell>
          <cell r="F684" t="str">
            <v>Direct</v>
          </cell>
        </row>
        <row r="685">
          <cell r="C685">
            <v>10480022</v>
          </cell>
          <cell r="D685" t="str">
            <v>Dhobina Basa</v>
          </cell>
          <cell r="E685" t="str">
            <v>MPG</v>
          </cell>
          <cell r="F685" t="str">
            <v>Direct</v>
          </cell>
        </row>
        <row r="686">
          <cell r="C686">
            <v>10480023</v>
          </cell>
          <cell r="D686" t="str">
            <v>Gomukh Shreepur Madhay</v>
          </cell>
          <cell r="E686" t="str">
            <v>MPG</v>
          </cell>
          <cell r="F686" t="str">
            <v>Direct</v>
          </cell>
        </row>
        <row r="687">
          <cell r="C687">
            <v>10480028</v>
          </cell>
          <cell r="D687" t="str">
            <v>Gomukh Dhoriya Dadpur -VLC</v>
          </cell>
          <cell r="E687" t="str">
            <v>vlc</v>
          </cell>
          <cell r="F687" t="str">
            <v>Indirect</v>
          </cell>
        </row>
        <row r="688">
          <cell r="C688">
            <v>10480033</v>
          </cell>
          <cell r="D688" t="str">
            <v>Gomukh Mohanpur  VLC</v>
          </cell>
          <cell r="E688" t="str">
            <v>vlc</v>
          </cell>
          <cell r="F688" t="str">
            <v>Indirect</v>
          </cell>
        </row>
        <row r="689">
          <cell r="C689">
            <v>10480034</v>
          </cell>
          <cell r="D689" t="str">
            <v>Gomukh Abhirampur VLC</v>
          </cell>
          <cell r="E689" t="str">
            <v>vlc</v>
          </cell>
          <cell r="F689" t="str">
            <v>Indirect</v>
          </cell>
        </row>
        <row r="690">
          <cell r="C690">
            <v>10480036</v>
          </cell>
          <cell r="D690" t="str">
            <v>Gomukh Pachgachhia Vlc</v>
          </cell>
          <cell r="E690" t="str">
            <v>vlc</v>
          </cell>
          <cell r="F690" t="str">
            <v>Indirect</v>
          </cell>
        </row>
        <row r="691">
          <cell r="C691">
            <v>10500001</v>
          </cell>
          <cell r="D691" t="str">
            <v>KUNTHA M</v>
          </cell>
          <cell r="E691" t="str">
            <v>RMC</v>
          </cell>
          <cell r="F691" t="str">
            <v>Direct</v>
          </cell>
        </row>
        <row r="692">
          <cell r="C692">
            <v>10510001</v>
          </cell>
          <cell r="D692" t="str">
            <v>ARAK</v>
          </cell>
          <cell r="E692" t="str">
            <v>MPG</v>
          </cell>
          <cell r="F692" t="str">
            <v>Direct</v>
          </cell>
        </row>
        <row r="693">
          <cell r="C693">
            <v>10510002</v>
          </cell>
          <cell r="D693" t="str">
            <v>Diyaman</v>
          </cell>
          <cell r="E693" t="str">
            <v>MPG</v>
          </cell>
          <cell r="F693" t="str">
            <v>Direct</v>
          </cell>
        </row>
        <row r="694">
          <cell r="C694">
            <v>10510004</v>
          </cell>
          <cell r="D694" t="str">
            <v>HENHA</v>
          </cell>
          <cell r="E694" t="str">
            <v>MPG</v>
          </cell>
          <cell r="F694" t="str">
            <v>Direct</v>
          </cell>
        </row>
        <row r="695">
          <cell r="C695">
            <v>10520006</v>
          </cell>
          <cell r="D695" t="str">
            <v>Suddh Dairy</v>
          </cell>
          <cell r="E695" t="str">
            <v>vlc</v>
          </cell>
          <cell r="F695" t="str">
            <v>Indirect</v>
          </cell>
        </row>
        <row r="696">
          <cell r="C696">
            <v>10520010</v>
          </cell>
          <cell r="D696" t="str">
            <v>Anik Kumar</v>
          </cell>
          <cell r="E696" t="str">
            <v>vlc</v>
          </cell>
          <cell r="F696" t="str">
            <v>Indirect</v>
          </cell>
        </row>
        <row r="697">
          <cell r="C697">
            <v>10520011</v>
          </cell>
          <cell r="D697" t="str">
            <v>Nand Kishor Kumar</v>
          </cell>
          <cell r="E697" t="str">
            <v>vlc</v>
          </cell>
          <cell r="F697" t="str">
            <v>Indirect</v>
          </cell>
        </row>
        <row r="698">
          <cell r="C698">
            <v>10530001</v>
          </cell>
          <cell r="D698" t="str">
            <v>Gomukh CHANDAULI</v>
          </cell>
          <cell r="E698" t="str">
            <v>MPG</v>
          </cell>
          <cell r="F698" t="str">
            <v>Direct</v>
          </cell>
        </row>
        <row r="699">
          <cell r="C699">
            <v>10530002</v>
          </cell>
          <cell r="D699" t="str">
            <v>GOMUKH HATHA</v>
          </cell>
          <cell r="E699" t="str">
            <v>MPG</v>
          </cell>
          <cell r="F699" t="str">
            <v>Direct</v>
          </cell>
        </row>
        <row r="700">
          <cell r="C700">
            <v>10530003</v>
          </cell>
          <cell r="D700" t="str">
            <v>GOMUKH VADEYA</v>
          </cell>
          <cell r="E700" t="str">
            <v>MPG</v>
          </cell>
          <cell r="F700" t="str">
            <v>Direct</v>
          </cell>
        </row>
        <row r="701">
          <cell r="C701">
            <v>10530005</v>
          </cell>
          <cell r="D701" t="str">
            <v>GOMUKH CHANDPURA</v>
          </cell>
          <cell r="E701" t="str">
            <v>MPG</v>
          </cell>
          <cell r="F701" t="str">
            <v>Direct</v>
          </cell>
        </row>
        <row r="702">
          <cell r="C702">
            <v>10530006</v>
          </cell>
          <cell r="D702" t="str">
            <v>GOMUKH BARGAMA</v>
          </cell>
          <cell r="E702" t="str">
            <v>MPG</v>
          </cell>
          <cell r="F702" t="str">
            <v>Direct</v>
          </cell>
        </row>
        <row r="703">
          <cell r="C703">
            <v>10530007</v>
          </cell>
          <cell r="D703" t="str">
            <v>Gomukh Gograha Tola</v>
          </cell>
          <cell r="E703" t="str">
            <v>MPG</v>
          </cell>
          <cell r="F703" t="str">
            <v>Direct</v>
          </cell>
        </row>
        <row r="704">
          <cell r="C704">
            <v>10530008</v>
          </cell>
          <cell r="D704" t="str">
            <v>Gomukh Patsara</v>
          </cell>
          <cell r="E704" t="str">
            <v>MPG</v>
          </cell>
          <cell r="F704" t="str">
            <v>Direct</v>
          </cell>
        </row>
        <row r="705">
          <cell r="C705">
            <v>10530009</v>
          </cell>
          <cell r="D705" t="str">
            <v>Gomukh Singhiya</v>
          </cell>
          <cell r="E705" t="str">
            <v>vlc</v>
          </cell>
          <cell r="F705" t="str">
            <v>Indirect</v>
          </cell>
        </row>
        <row r="706">
          <cell r="C706">
            <v>10530010</v>
          </cell>
          <cell r="D706" t="str">
            <v xml:space="preserve">Gomukh BALHA </v>
          </cell>
          <cell r="E706" t="str">
            <v>vlc</v>
          </cell>
          <cell r="F706" t="str">
            <v>Indirect</v>
          </cell>
        </row>
        <row r="707">
          <cell r="C707">
            <v>10530013</v>
          </cell>
          <cell r="D707" t="str">
            <v>Gomukh Kalyanpur 2</v>
          </cell>
          <cell r="E707" t="str">
            <v>vlc</v>
          </cell>
          <cell r="F707" t="str">
            <v>Indirect</v>
          </cell>
        </row>
        <row r="708">
          <cell r="C708">
            <v>10530014</v>
          </cell>
          <cell r="D708" t="str">
            <v>Gomukh Namapur 2</v>
          </cell>
          <cell r="E708" t="str">
            <v>vlc</v>
          </cell>
          <cell r="F708" t="str">
            <v>Indirect</v>
          </cell>
        </row>
        <row r="709">
          <cell r="C709">
            <v>10530015</v>
          </cell>
          <cell r="D709" t="str">
            <v>Gomukh Madhopur</v>
          </cell>
          <cell r="E709" t="str">
            <v>vlc</v>
          </cell>
          <cell r="F709" t="str">
            <v>Indirect</v>
          </cell>
        </row>
        <row r="710">
          <cell r="C710">
            <v>10530016</v>
          </cell>
          <cell r="D710" t="str">
            <v>Gomukh Kalyanpur East</v>
          </cell>
          <cell r="E710" t="str">
            <v>vlc</v>
          </cell>
          <cell r="F710" t="str">
            <v>Indirect</v>
          </cell>
        </row>
        <row r="711">
          <cell r="C711">
            <v>10530017</v>
          </cell>
          <cell r="D711" t="str">
            <v>Gomukh Bazidpur</v>
          </cell>
          <cell r="E711" t="str">
            <v>vlc</v>
          </cell>
          <cell r="F711" t="str">
            <v>Indirect</v>
          </cell>
        </row>
        <row r="712">
          <cell r="C712">
            <v>10530018</v>
          </cell>
          <cell r="D712" t="str">
            <v>Gomukh Belsandi</v>
          </cell>
          <cell r="E712" t="str">
            <v>vlc</v>
          </cell>
          <cell r="F712" t="str">
            <v>Indirect</v>
          </cell>
        </row>
        <row r="713">
          <cell r="C713">
            <v>10530019</v>
          </cell>
          <cell r="D713" t="str">
            <v>Gomukh Namapur Ward 8</v>
          </cell>
          <cell r="E713" t="str">
            <v>vlc</v>
          </cell>
          <cell r="F713" t="str">
            <v>Indirect</v>
          </cell>
        </row>
        <row r="714">
          <cell r="C714">
            <v>10530025</v>
          </cell>
          <cell r="D714" t="str">
            <v>Belsandi</v>
          </cell>
          <cell r="E714" t="str">
            <v>vlc</v>
          </cell>
          <cell r="F714" t="str">
            <v>Indirect</v>
          </cell>
        </row>
        <row r="715">
          <cell r="C715">
            <v>10530027</v>
          </cell>
          <cell r="D715" t="str">
            <v>Gomukh Kolwara</v>
          </cell>
          <cell r="E715" t="str">
            <v>MPG</v>
          </cell>
          <cell r="F715" t="str">
            <v>Direct</v>
          </cell>
        </row>
        <row r="716">
          <cell r="C716">
            <v>10530029</v>
          </cell>
          <cell r="D716" t="str">
            <v>Gomukh Belsandi East</v>
          </cell>
          <cell r="E716" t="str">
            <v>vlc</v>
          </cell>
          <cell r="F716" t="str">
            <v>Indirect</v>
          </cell>
        </row>
        <row r="717">
          <cell r="C717">
            <v>10530030</v>
          </cell>
          <cell r="D717" t="str">
            <v>Gomukh Belsandi West Tola</v>
          </cell>
          <cell r="E717" t="str">
            <v>vlc</v>
          </cell>
          <cell r="F717" t="str">
            <v>Indirect</v>
          </cell>
        </row>
        <row r="718">
          <cell r="C718">
            <v>10530031</v>
          </cell>
          <cell r="D718" t="str">
            <v>Gomukh Gopalpur</v>
          </cell>
          <cell r="E718" t="str">
            <v>vlc</v>
          </cell>
          <cell r="F718" t="str">
            <v>Indirect</v>
          </cell>
        </row>
        <row r="719">
          <cell r="C719">
            <v>10530032</v>
          </cell>
          <cell r="D719" t="str">
            <v>Gomukh Bharav</v>
          </cell>
          <cell r="E719" t="str">
            <v>MPG</v>
          </cell>
          <cell r="F719" t="str">
            <v>Direct</v>
          </cell>
        </row>
        <row r="720">
          <cell r="C720">
            <v>10530033</v>
          </cell>
          <cell r="D720" t="str">
            <v>Gomukh Harpur</v>
          </cell>
          <cell r="E720" t="str">
            <v>MPG</v>
          </cell>
          <cell r="F720" t="str">
            <v>Direct</v>
          </cell>
        </row>
        <row r="721">
          <cell r="C721">
            <v>10530034</v>
          </cell>
          <cell r="D721" t="str">
            <v>Gomukh Fulhatta</v>
          </cell>
          <cell r="E721" t="str">
            <v>MPG</v>
          </cell>
          <cell r="F721" t="str">
            <v>Direct</v>
          </cell>
        </row>
        <row r="722">
          <cell r="C722">
            <v>10530035</v>
          </cell>
          <cell r="D722" t="str">
            <v>Gomukh Birauli Khurd</v>
          </cell>
          <cell r="E722" t="str">
            <v>MPG</v>
          </cell>
          <cell r="F722" t="str">
            <v>Direct</v>
          </cell>
        </row>
        <row r="723">
          <cell r="C723">
            <v>10530038</v>
          </cell>
          <cell r="D723" t="str">
            <v>Gomukh Bedauliya</v>
          </cell>
          <cell r="E723" t="str">
            <v>vlc</v>
          </cell>
          <cell r="F723" t="str">
            <v>Indirect</v>
          </cell>
        </row>
        <row r="724">
          <cell r="C724">
            <v>10530040</v>
          </cell>
          <cell r="D724" t="str">
            <v>Gomukh Khanua</v>
          </cell>
          <cell r="E724" t="str">
            <v>MPG</v>
          </cell>
          <cell r="F724" t="str">
            <v>Direct</v>
          </cell>
        </row>
        <row r="725">
          <cell r="C725">
            <v>10530041</v>
          </cell>
          <cell r="D725" t="str">
            <v>Gomukh Hiralalpur</v>
          </cell>
          <cell r="E725" t="str">
            <v>vlc</v>
          </cell>
          <cell r="F725" t="str">
            <v>Indirect</v>
          </cell>
        </row>
        <row r="726">
          <cell r="C726">
            <v>10530044</v>
          </cell>
          <cell r="D726" t="str">
            <v>Gomukh Punas</v>
          </cell>
          <cell r="E726" t="str">
            <v>MPG</v>
          </cell>
          <cell r="F726" t="str">
            <v>Direct</v>
          </cell>
        </row>
        <row r="727">
          <cell r="C727">
            <v>10530046</v>
          </cell>
          <cell r="D727" t="str">
            <v>Gomukh Loharkha</v>
          </cell>
          <cell r="E727" t="str">
            <v>MPG</v>
          </cell>
          <cell r="F727" t="str">
            <v>Direct</v>
          </cell>
        </row>
        <row r="728">
          <cell r="C728">
            <v>10530047</v>
          </cell>
          <cell r="D728" t="str">
            <v>Gomukh Dighra</v>
          </cell>
          <cell r="E728" t="str">
            <v>MPG</v>
          </cell>
          <cell r="F728" t="str">
            <v>Direct</v>
          </cell>
        </row>
        <row r="729">
          <cell r="C729">
            <v>10530048</v>
          </cell>
          <cell r="D729" t="str">
            <v>Basuwari</v>
          </cell>
          <cell r="E729" t="str">
            <v>MPG</v>
          </cell>
          <cell r="F729" t="str">
            <v>Direct</v>
          </cell>
        </row>
        <row r="730">
          <cell r="C730">
            <v>10530049</v>
          </cell>
          <cell r="D730" t="str">
            <v>Belsandi 3</v>
          </cell>
          <cell r="E730" t="str">
            <v>vlc</v>
          </cell>
          <cell r="F730" t="str">
            <v>Indirect</v>
          </cell>
        </row>
        <row r="731">
          <cell r="C731">
            <v>10530054</v>
          </cell>
          <cell r="D731" t="str">
            <v>Gomukh PARAN</v>
          </cell>
          <cell r="E731" t="str">
            <v>vlc</v>
          </cell>
          <cell r="F731" t="str">
            <v>Indirect</v>
          </cell>
        </row>
        <row r="732">
          <cell r="C732">
            <v>10530055</v>
          </cell>
          <cell r="D732" t="str">
            <v>GOMUKH HARPUR W-13</v>
          </cell>
          <cell r="E732" t="str">
            <v>MPG</v>
          </cell>
          <cell r="F732" t="str">
            <v>Direct</v>
          </cell>
        </row>
        <row r="733">
          <cell r="C733">
            <v>10530057</v>
          </cell>
          <cell r="D733" t="str">
            <v>GOMUKH MILKI</v>
          </cell>
          <cell r="E733" t="str">
            <v>vlc</v>
          </cell>
          <cell r="F733" t="str">
            <v>Indirect</v>
          </cell>
        </row>
        <row r="734">
          <cell r="C734">
            <v>10530058</v>
          </cell>
          <cell r="D734" t="str">
            <v>Gomukh Ratwara</v>
          </cell>
          <cell r="E734" t="str">
            <v>MPG</v>
          </cell>
          <cell r="F734" t="str">
            <v>Direct</v>
          </cell>
        </row>
        <row r="735">
          <cell r="C735">
            <v>10530059</v>
          </cell>
          <cell r="D735" t="str">
            <v>Gomukh Fulhara</v>
          </cell>
          <cell r="E735" t="str">
            <v>vlc</v>
          </cell>
          <cell r="F735" t="str">
            <v>Indirect</v>
          </cell>
        </row>
        <row r="736">
          <cell r="C736">
            <v>10530060</v>
          </cell>
          <cell r="D736" t="str">
            <v>Gomukh Ranitola</v>
          </cell>
          <cell r="E736" t="str">
            <v>vlc</v>
          </cell>
          <cell r="F736" t="str">
            <v>Indirect</v>
          </cell>
        </row>
        <row r="737">
          <cell r="C737">
            <v>10530062</v>
          </cell>
          <cell r="D737" t="str">
            <v>Gomukh Malinagar East</v>
          </cell>
          <cell r="E737" t="str">
            <v>MPG</v>
          </cell>
          <cell r="F737" t="str">
            <v>Direct</v>
          </cell>
        </row>
        <row r="738">
          <cell r="C738">
            <v>10530063</v>
          </cell>
          <cell r="D738" t="str">
            <v>GOMUKH Singhiya Ward 11</v>
          </cell>
          <cell r="E738" t="str">
            <v>vlc</v>
          </cell>
          <cell r="F738" t="str">
            <v>Indirect</v>
          </cell>
        </row>
        <row r="739">
          <cell r="C739">
            <v>10530064</v>
          </cell>
          <cell r="D739" t="str">
            <v>GOMUKH MANIYARPUR</v>
          </cell>
          <cell r="E739" t="str">
            <v>MPG</v>
          </cell>
          <cell r="F739" t="str">
            <v>Direct</v>
          </cell>
        </row>
        <row r="740">
          <cell r="C740">
            <v>10530065</v>
          </cell>
          <cell r="D740" t="str">
            <v>GOMUKH DIGHRA W-6</v>
          </cell>
          <cell r="E740" t="str">
            <v>MPG</v>
          </cell>
          <cell r="F740" t="str">
            <v>Direct</v>
          </cell>
        </row>
        <row r="741">
          <cell r="C741">
            <v>10530067</v>
          </cell>
          <cell r="D741" t="str">
            <v>GOMUKH BANDRA W-6</v>
          </cell>
          <cell r="E741" t="str">
            <v>MPG</v>
          </cell>
          <cell r="F741" t="str">
            <v>Direct</v>
          </cell>
        </row>
        <row r="742">
          <cell r="C742">
            <v>10530068</v>
          </cell>
          <cell r="D742" t="str">
            <v>BELSANDI RAJO</v>
          </cell>
          <cell r="E742" t="str">
            <v>vlc</v>
          </cell>
          <cell r="F742" t="str">
            <v>Indirect</v>
          </cell>
        </row>
        <row r="743">
          <cell r="C743">
            <v>10530069</v>
          </cell>
          <cell r="D743" t="str">
            <v>BELSANDI W-9</v>
          </cell>
          <cell r="E743" t="str">
            <v>vlc</v>
          </cell>
          <cell r="F743" t="str">
            <v>Indirect</v>
          </cell>
        </row>
        <row r="744">
          <cell r="C744">
            <v>10530070</v>
          </cell>
          <cell r="D744" t="str">
            <v>GOMUKH PARAN 2</v>
          </cell>
          <cell r="E744" t="str">
            <v>MPG</v>
          </cell>
          <cell r="F744" t="str">
            <v>Direct</v>
          </cell>
        </row>
        <row r="745">
          <cell r="C745">
            <v>10530071</v>
          </cell>
          <cell r="D745" t="str">
            <v>GOMUKH KHARAGPUR</v>
          </cell>
          <cell r="E745" t="str">
            <v>MPG</v>
          </cell>
          <cell r="F745" t="str">
            <v>Direct</v>
          </cell>
        </row>
        <row r="746">
          <cell r="C746">
            <v>10530072</v>
          </cell>
          <cell r="D746" t="str">
            <v>KAMARGAMA</v>
          </cell>
          <cell r="E746" t="str">
            <v>vlc</v>
          </cell>
          <cell r="F746" t="str">
            <v>Indirect</v>
          </cell>
        </row>
        <row r="747">
          <cell r="C747">
            <v>10530073</v>
          </cell>
          <cell r="D747" t="str">
            <v>BELSANDI DIH</v>
          </cell>
          <cell r="E747" t="str">
            <v>vlc</v>
          </cell>
          <cell r="F747" t="str">
            <v>Indirect</v>
          </cell>
        </row>
        <row r="748">
          <cell r="C748">
            <v>10530074</v>
          </cell>
          <cell r="D748" t="str">
            <v>GOMUKH BALAHA W-9</v>
          </cell>
          <cell r="E748" t="str">
            <v>MPG</v>
          </cell>
          <cell r="F748" t="str">
            <v>Direct</v>
          </cell>
        </row>
        <row r="749">
          <cell r="C749">
            <v>10530075</v>
          </cell>
          <cell r="D749" t="str">
            <v>Gomukh Namapur East</v>
          </cell>
          <cell r="E749" t="str">
            <v>vlc</v>
          </cell>
          <cell r="F749" t="str">
            <v>Indirect</v>
          </cell>
        </row>
        <row r="750">
          <cell r="C750">
            <v>10530076</v>
          </cell>
          <cell r="D750" t="str">
            <v>GOMUKH Madanpur W-3</v>
          </cell>
          <cell r="E750" t="str">
            <v>MPG</v>
          </cell>
          <cell r="F750" t="str">
            <v>Direct</v>
          </cell>
        </row>
        <row r="751">
          <cell r="C751">
            <v>10530077</v>
          </cell>
          <cell r="D751" t="str">
            <v>Gomukh Namapur East (08)</v>
          </cell>
          <cell r="E751" t="str">
            <v>vlc</v>
          </cell>
          <cell r="F751" t="str">
            <v>Indirect</v>
          </cell>
        </row>
        <row r="752">
          <cell r="C752">
            <v>10530078</v>
          </cell>
          <cell r="D752" t="str">
            <v>GOMUKH Kalaunjar</v>
          </cell>
          <cell r="E752" t="str">
            <v>MPG</v>
          </cell>
          <cell r="F752" t="str">
            <v>Direct</v>
          </cell>
        </row>
        <row r="753">
          <cell r="C753">
            <v>10530079</v>
          </cell>
          <cell r="D753" t="str">
            <v>Jitwariya W-11</v>
          </cell>
          <cell r="E753" t="str">
            <v>vlc</v>
          </cell>
          <cell r="F753" t="str">
            <v>Indirect</v>
          </cell>
        </row>
        <row r="754">
          <cell r="C754">
            <v>10530080</v>
          </cell>
          <cell r="D754" t="str">
            <v>Pastara Lakshman</v>
          </cell>
          <cell r="E754" t="str">
            <v>vlc</v>
          </cell>
          <cell r="F754" t="str">
            <v>Indirect</v>
          </cell>
        </row>
        <row r="755">
          <cell r="C755">
            <v>10530081</v>
          </cell>
          <cell r="D755" t="str">
            <v>GOMUKH DADHIYA-2</v>
          </cell>
          <cell r="E755" t="str">
            <v>MPG</v>
          </cell>
          <cell r="F755" t="str">
            <v>Direct</v>
          </cell>
        </row>
        <row r="756">
          <cell r="C756">
            <v>10530082</v>
          </cell>
          <cell r="D756" t="str">
            <v>GOMUKH PREMNAGAR</v>
          </cell>
          <cell r="E756" t="str">
            <v>MPG</v>
          </cell>
          <cell r="F756" t="str">
            <v>Direct</v>
          </cell>
        </row>
        <row r="757">
          <cell r="C757">
            <v>10530084</v>
          </cell>
          <cell r="D757" t="str">
            <v>GOMUKH JITWARIYA W-6</v>
          </cell>
          <cell r="E757" t="str">
            <v>MPG</v>
          </cell>
          <cell r="F757" t="str">
            <v>Direct</v>
          </cell>
        </row>
        <row r="758">
          <cell r="C758">
            <v>10530085</v>
          </cell>
          <cell r="D758" t="str">
            <v>GOMUKH SUSTA</v>
          </cell>
          <cell r="E758" t="str">
            <v>MPG</v>
          </cell>
          <cell r="F758" t="str">
            <v>Direct</v>
          </cell>
        </row>
        <row r="759">
          <cell r="C759">
            <v>10530090</v>
          </cell>
          <cell r="D759" t="str">
            <v>BHATGAMA W-5</v>
          </cell>
          <cell r="E759" t="str">
            <v>vlc</v>
          </cell>
          <cell r="F759" t="str">
            <v>Indirect</v>
          </cell>
        </row>
        <row r="760">
          <cell r="C760">
            <v>10530091</v>
          </cell>
          <cell r="D760" t="str">
            <v>GOMUKH TOKE</v>
          </cell>
          <cell r="E760" t="str">
            <v>MPG</v>
          </cell>
          <cell r="F760" t="str">
            <v>Direct</v>
          </cell>
        </row>
        <row r="761">
          <cell r="C761">
            <v>10530092</v>
          </cell>
          <cell r="D761" t="str">
            <v>GOMUKH SHIVNAGAR</v>
          </cell>
          <cell r="E761" t="str">
            <v>MPG</v>
          </cell>
          <cell r="F761" t="str">
            <v>Direct</v>
          </cell>
        </row>
        <row r="762">
          <cell r="C762">
            <v>10530093</v>
          </cell>
          <cell r="D762" t="str">
            <v>GOMUKH BAKHITIYARPUR</v>
          </cell>
          <cell r="E762" t="str">
            <v>MPG</v>
          </cell>
          <cell r="F762" t="str">
            <v>Direct</v>
          </cell>
        </row>
        <row r="763">
          <cell r="C763">
            <v>10530096</v>
          </cell>
          <cell r="D763" t="str">
            <v>GOMUKH BHARJA</v>
          </cell>
          <cell r="E763" t="str">
            <v>MPG</v>
          </cell>
          <cell r="F763" t="str">
            <v>Direct</v>
          </cell>
        </row>
        <row r="764">
          <cell r="C764">
            <v>10530097</v>
          </cell>
          <cell r="D764" t="str">
            <v>GOMUKH NAWABGANJ</v>
          </cell>
          <cell r="E764" t="str">
            <v>MPG</v>
          </cell>
          <cell r="F764" t="str">
            <v>Direct</v>
          </cell>
        </row>
        <row r="765">
          <cell r="C765">
            <v>10530099</v>
          </cell>
          <cell r="D765" t="str">
            <v>Gomukh Somnaha Naya Tola</v>
          </cell>
          <cell r="E765" t="str">
            <v>vlc</v>
          </cell>
          <cell r="F765" t="str">
            <v>Direct</v>
          </cell>
        </row>
        <row r="766">
          <cell r="C766">
            <v>10530100</v>
          </cell>
          <cell r="D766" t="str">
            <v>GOMUKH CHAKKI</v>
          </cell>
          <cell r="E766" t="str">
            <v>MPG</v>
          </cell>
          <cell r="F766" t="str">
            <v>Direct</v>
          </cell>
        </row>
        <row r="767">
          <cell r="C767">
            <v>10530101</v>
          </cell>
          <cell r="D767" t="str">
            <v>GOMUKH LAKSHMAN NAGAR</v>
          </cell>
          <cell r="E767" t="str">
            <v>MPG</v>
          </cell>
          <cell r="F767" t="str">
            <v>Direct</v>
          </cell>
        </row>
        <row r="768">
          <cell r="C768">
            <v>10530102</v>
          </cell>
          <cell r="D768" t="str">
            <v>GOMUKH KOTHIYA</v>
          </cell>
          <cell r="E768" t="str">
            <v>MPG</v>
          </cell>
          <cell r="F768" t="str">
            <v>Direct</v>
          </cell>
        </row>
        <row r="769">
          <cell r="C769">
            <v>10530103</v>
          </cell>
          <cell r="D769" t="str">
            <v>GOMUKH JHAHURI</v>
          </cell>
          <cell r="E769" t="str">
            <v>MPG</v>
          </cell>
          <cell r="F769" t="str">
            <v>Direct</v>
          </cell>
        </row>
        <row r="770">
          <cell r="C770">
            <v>10530104</v>
          </cell>
          <cell r="D770" t="str">
            <v>Belsandi Dihtola</v>
          </cell>
          <cell r="E770" t="str">
            <v>vlc</v>
          </cell>
          <cell r="F770" t="str">
            <v>Indirect</v>
          </cell>
        </row>
        <row r="771">
          <cell r="C771">
            <v>10530105</v>
          </cell>
          <cell r="D771" t="str">
            <v>GOMUKH Gopalpur Ward 1</v>
          </cell>
          <cell r="E771" t="str">
            <v>MPG</v>
          </cell>
          <cell r="F771" t="str">
            <v>Direct</v>
          </cell>
        </row>
        <row r="772">
          <cell r="C772">
            <v>10530106</v>
          </cell>
          <cell r="D772" t="str">
            <v>GOMUKH Keotsa</v>
          </cell>
          <cell r="E772" t="str">
            <v>MPG</v>
          </cell>
          <cell r="F772" t="str">
            <v>Direct</v>
          </cell>
        </row>
        <row r="773">
          <cell r="C773">
            <v>10530107</v>
          </cell>
          <cell r="D773" t="str">
            <v>Gomukh Namapur East</v>
          </cell>
          <cell r="E773" t="str">
            <v>vlc</v>
          </cell>
          <cell r="F773" t="str">
            <v>Indirect</v>
          </cell>
        </row>
        <row r="774">
          <cell r="C774">
            <v>10530108</v>
          </cell>
          <cell r="D774" t="str">
            <v>GOMUKH Waini</v>
          </cell>
          <cell r="E774" t="str">
            <v>MPG</v>
          </cell>
          <cell r="F774" t="str">
            <v>Direct</v>
          </cell>
        </row>
        <row r="775">
          <cell r="C775">
            <v>10530109</v>
          </cell>
          <cell r="D775" t="str">
            <v>GOMUKH SAKARI</v>
          </cell>
          <cell r="E775" t="str">
            <v>MPG</v>
          </cell>
          <cell r="F775" t="str">
            <v>Direct</v>
          </cell>
        </row>
        <row r="776">
          <cell r="C776">
            <v>10530110</v>
          </cell>
          <cell r="D776" t="str">
            <v>GOMUKH DHOBGAMA</v>
          </cell>
          <cell r="E776" t="str">
            <v>MPG</v>
          </cell>
          <cell r="F776" t="str">
            <v>Direct</v>
          </cell>
        </row>
        <row r="777">
          <cell r="C777">
            <v>10530111</v>
          </cell>
          <cell r="D777" t="str">
            <v>GOMUKH BHUSKOUL</v>
          </cell>
          <cell r="E777" t="str">
            <v>MPG</v>
          </cell>
          <cell r="F777" t="str">
            <v>Direct</v>
          </cell>
        </row>
        <row r="778">
          <cell r="C778">
            <v>10530112</v>
          </cell>
          <cell r="D778" t="str">
            <v>GOMUKH BIRSINGHPUR</v>
          </cell>
          <cell r="E778" t="str">
            <v>MPG</v>
          </cell>
          <cell r="F778" t="str">
            <v>Direct</v>
          </cell>
        </row>
        <row r="779">
          <cell r="C779">
            <v>10530115</v>
          </cell>
          <cell r="D779" t="str">
            <v>GOMUKH DHROOVGAMA W-12</v>
          </cell>
          <cell r="E779" t="str">
            <v>vlc</v>
          </cell>
          <cell r="F779" t="str">
            <v>Indirect</v>
          </cell>
        </row>
        <row r="780">
          <cell r="C780">
            <v>10540003</v>
          </cell>
          <cell r="D780" t="str">
            <v>GOMUKH ANANDPUR PARAS 2</v>
          </cell>
          <cell r="E780" t="str">
            <v>MPG</v>
          </cell>
          <cell r="F780" t="str">
            <v>Direct</v>
          </cell>
        </row>
        <row r="781">
          <cell r="C781">
            <v>10540005</v>
          </cell>
          <cell r="D781" t="str">
            <v>GOMUKH GADBANNI</v>
          </cell>
          <cell r="E781" t="str">
            <v>MPG</v>
          </cell>
          <cell r="F781" t="str">
            <v>Direct</v>
          </cell>
        </row>
        <row r="782">
          <cell r="C782">
            <v>10540008</v>
          </cell>
          <cell r="D782" t="str">
            <v>GOMUKH PARRI</v>
          </cell>
          <cell r="E782" t="str">
            <v>MPG</v>
          </cell>
          <cell r="F782" t="str">
            <v>Direct</v>
          </cell>
        </row>
        <row r="783">
          <cell r="C783">
            <v>10540009</v>
          </cell>
          <cell r="D783" t="str">
            <v>GOMUKH BHIKHARI GHAT</v>
          </cell>
          <cell r="E783" t="str">
            <v>MPG</v>
          </cell>
          <cell r="F783" t="str">
            <v>Direct</v>
          </cell>
        </row>
        <row r="784">
          <cell r="C784">
            <v>10540010</v>
          </cell>
          <cell r="D784" t="str">
            <v>Vikash Kumar</v>
          </cell>
          <cell r="E784" t="str">
            <v>vlc</v>
          </cell>
          <cell r="F784" t="str">
            <v>Indirect</v>
          </cell>
        </row>
        <row r="785">
          <cell r="C785">
            <v>10540012</v>
          </cell>
          <cell r="D785" t="str">
            <v>Rajkishore Yadav</v>
          </cell>
          <cell r="E785" t="str">
            <v>vlc</v>
          </cell>
          <cell r="F785" t="str">
            <v>Indirect</v>
          </cell>
        </row>
        <row r="786">
          <cell r="C786">
            <v>10540014</v>
          </cell>
          <cell r="D786" t="str">
            <v>BHADAS VLC</v>
          </cell>
          <cell r="E786" t="str">
            <v>vlc</v>
          </cell>
          <cell r="F786" t="str">
            <v>Indirect</v>
          </cell>
        </row>
        <row r="787">
          <cell r="C787">
            <v>10540015</v>
          </cell>
          <cell r="D787" t="str">
            <v>SUNIL KUMAR VLC</v>
          </cell>
          <cell r="E787" t="str">
            <v>vlc</v>
          </cell>
          <cell r="F787" t="str">
            <v>Indirect</v>
          </cell>
        </row>
        <row r="788">
          <cell r="C788">
            <v>10540016</v>
          </cell>
          <cell r="D788" t="str">
            <v>GOMUKH BENHER</v>
          </cell>
          <cell r="E788" t="str">
            <v>MPG</v>
          </cell>
          <cell r="F788" t="str">
            <v>Direct</v>
          </cell>
        </row>
        <row r="789">
          <cell r="C789">
            <v>10540017</v>
          </cell>
          <cell r="D789" t="str">
            <v>GOMUKH LADORA</v>
          </cell>
          <cell r="E789" t="str">
            <v>MPG</v>
          </cell>
          <cell r="F789" t="str">
            <v>Direct</v>
          </cell>
        </row>
        <row r="790">
          <cell r="C790">
            <v>10540018</v>
          </cell>
          <cell r="D790" t="str">
            <v>GOMUKH SAHSI</v>
          </cell>
          <cell r="E790" t="str">
            <v>MPG</v>
          </cell>
          <cell r="F790" t="str">
            <v>Direct</v>
          </cell>
        </row>
        <row r="791">
          <cell r="C791">
            <v>10540019</v>
          </cell>
          <cell r="D791" t="str">
            <v>Gomukh Chikni</v>
          </cell>
          <cell r="E791" t="str">
            <v>MPG</v>
          </cell>
          <cell r="F791" t="str">
            <v>Direct</v>
          </cell>
        </row>
        <row r="792">
          <cell r="C792">
            <v>10540020</v>
          </cell>
          <cell r="D792" t="str">
            <v>GOMUKH BUDWA</v>
          </cell>
          <cell r="E792" t="str">
            <v>MPG</v>
          </cell>
          <cell r="F792" t="str">
            <v>Direct</v>
          </cell>
        </row>
        <row r="793">
          <cell r="C793">
            <v>10540021</v>
          </cell>
          <cell r="D793" t="str">
            <v>GOMUKH GANGIYA</v>
          </cell>
          <cell r="E793" t="str">
            <v>MPG</v>
          </cell>
          <cell r="F793" t="str">
            <v>Indirect</v>
          </cell>
        </row>
        <row r="794">
          <cell r="C794">
            <v>10540026</v>
          </cell>
          <cell r="D794" t="str">
            <v>GOMUKH AMBA ICHARUA</v>
          </cell>
          <cell r="E794" t="str">
            <v>MPG</v>
          </cell>
          <cell r="F794" t="str">
            <v>Direct</v>
          </cell>
        </row>
        <row r="795">
          <cell r="C795">
            <v>10540027</v>
          </cell>
          <cell r="D795" t="str">
            <v>RAJAURA VLC</v>
          </cell>
          <cell r="E795" t="str">
            <v>vlc</v>
          </cell>
          <cell r="F795" t="str">
            <v>Indirect</v>
          </cell>
        </row>
        <row r="796">
          <cell r="C796">
            <v>10540028</v>
          </cell>
          <cell r="D796" t="str">
            <v>MEGHAUNA VLC</v>
          </cell>
          <cell r="E796" t="str">
            <v>vlc</v>
          </cell>
          <cell r="F796" t="str">
            <v>Indirect</v>
          </cell>
        </row>
        <row r="797">
          <cell r="C797">
            <v>10540032</v>
          </cell>
          <cell r="D797" t="str">
            <v>GOMUKH JWALAPUR</v>
          </cell>
          <cell r="E797" t="str">
            <v>MPG</v>
          </cell>
          <cell r="F797" t="str">
            <v>Direct</v>
          </cell>
        </row>
        <row r="798">
          <cell r="C798">
            <v>10540034</v>
          </cell>
          <cell r="D798" t="str">
            <v>GOMUKH MATHURAPUR</v>
          </cell>
          <cell r="E798" t="str">
            <v>MPG</v>
          </cell>
          <cell r="F798" t="str">
            <v>Direct</v>
          </cell>
        </row>
        <row r="799">
          <cell r="C799">
            <v>10540039</v>
          </cell>
          <cell r="D799" t="str">
            <v>VLC Dhushmuri Bishanpur</v>
          </cell>
          <cell r="E799" t="str">
            <v>vlc</v>
          </cell>
          <cell r="F799" t="str">
            <v>Indirect</v>
          </cell>
        </row>
        <row r="800">
          <cell r="C800">
            <v>10540040</v>
          </cell>
          <cell r="D800" t="str">
            <v>VLC Govindpur</v>
          </cell>
          <cell r="E800" t="str">
            <v>vlc</v>
          </cell>
          <cell r="F800" t="str">
            <v>Indirect</v>
          </cell>
        </row>
        <row r="801">
          <cell r="C801">
            <v>10540041</v>
          </cell>
          <cell r="D801" t="str">
            <v>Gomukh Darhi Mor</v>
          </cell>
          <cell r="E801" t="str">
            <v>MPG</v>
          </cell>
          <cell r="F801" t="str">
            <v>Indirect</v>
          </cell>
        </row>
        <row r="802">
          <cell r="C802">
            <v>10540042</v>
          </cell>
          <cell r="D802" t="str">
            <v>Gomukh Balaur</v>
          </cell>
          <cell r="E802" t="str">
            <v>MPG</v>
          </cell>
          <cell r="F802" t="str">
            <v>Direct</v>
          </cell>
        </row>
        <row r="803">
          <cell r="C803">
            <v>10540044</v>
          </cell>
          <cell r="D803" t="str">
            <v>Gomukh Hathwan - 2</v>
          </cell>
          <cell r="E803" t="str">
            <v>MPG</v>
          </cell>
          <cell r="F803" t="str">
            <v>Direct</v>
          </cell>
        </row>
        <row r="804">
          <cell r="C804">
            <v>10540045</v>
          </cell>
          <cell r="D804" t="str">
            <v>VLC Sunil Khas</v>
          </cell>
          <cell r="E804" t="str">
            <v>vlc</v>
          </cell>
          <cell r="F804" t="str">
            <v>Indirect</v>
          </cell>
        </row>
        <row r="805">
          <cell r="C805">
            <v>10540046</v>
          </cell>
          <cell r="D805" t="str">
            <v xml:space="preserve">Gomukh Hathwan </v>
          </cell>
          <cell r="E805" t="str">
            <v>MPG</v>
          </cell>
          <cell r="F805" t="str">
            <v>Direct</v>
          </cell>
        </row>
        <row r="806">
          <cell r="C806">
            <v>10540048</v>
          </cell>
          <cell r="D806" t="str">
            <v>Gomukh Rahul VLC</v>
          </cell>
          <cell r="E806" t="str">
            <v>vlc</v>
          </cell>
          <cell r="F806" t="str">
            <v>Indirect</v>
          </cell>
        </row>
        <row r="807">
          <cell r="C807">
            <v>10540049</v>
          </cell>
          <cell r="D807" t="str">
            <v>Gomukh Sachin VLC</v>
          </cell>
          <cell r="E807" t="str">
            <v>vlc</v>
          </cell>
          <cell r="F807" t="str">
            <v>Indirect</v>
          </cell>
        </row>
        <row r="808">
          <cell r="C808">
            <v>10550001</v>
          </cell>
          <cell r="D808" t="str">
            <v>Balahpur-Anil Yadav</v>
          </cell>
          <cell r="E808" t="str">
            <v>vlc</v>
          </cell>
          <cell r="F808" t="str">
            <v>Indirect</v>
          </cell>
        </row>
        <row r="809">
          <cell r="C809">
            <v>10550002</v>
          </cell>
          <cell r="D809" t="str">
            <v>Bagdobh</v>
          </cell>
          <cell r="E809" t="str">
            <v>vlc</v>
          </cell>
          <cell r="F809" t="str">
            <v>Indirect</v>
          </cell>
        </row>
        <row r="810">
          <cell r="C810">
            <v>10550005</v>
          </cell>
          <cell r="D810" t="str">
            <v>Gomukh Matihani</v>
          </cell>
          <cell r="E810" t="str">
            <v>MPG</v>
          </cell>
          <cell r="F810" t="str">
            <v>Direct</v>
          </cell>
        </row>
        <row r="811">
          <cell r="C811">
            <v>10550007</v>
          </cell>
          <cell r="D811" t="str">
            <v>Jalalpur</v>
          </cell>
          <cell r="E811" t="str">
            <v>vlc</v>
          </cell>
          <cell r="F811" t="str">
            <v>Indirect</v>
          </cell>
        </row>
        <row r="812">
          <cell r="C812">
            <v>10550008</v>
          </cell>
          <cell r="D812" t="str">
            <v>Saidpur</v>
          </cell>
          <cell r="E812" t="str">
            <v>vlc</v>
          </cell>
          <cell r="F812" t="str">
            <v>Indirect</v>
          </cell>
        </row>
        <row r="813">
          <cell r="C813">
            <v>10550009</v>
          </cell>
          <cell r="D813" t="str">
            <v>Chak</v>
          </cell>
          <cell r="E813" t="str">
            <v>vlc</v>
          </cell>
          <cell r="F813" t="str">
            <v>Indirect</v>
          </cell>
        </row>
        <row r="814">
          <cell r="C814">
            <v>10560001</v>
          </cell>
          <cell r="D814" t="str">
            <v>Gomukh Chautham(Mithun Kumar VLC)</v>
          </cell>
          <cell r="E814" t="str">
            <v>vlc</v>
          </cell>
          <cell r="F814" t="str">
            <v>Indirect</v>
          </cell>
        </row>
        <row r="815">
          <cell r="C815">
            <v>10560002</v>
          </cell>
          <cell r="D815" t="str">
            <v>Gomukh Pansalwa</v>
          </cell>
          <cell r="E815" t="str">
            <v>vlc</v>
          </cell>
          <cell r="F815" t="str">
            <v>Indirect</v>
          </cell>
        </row>
        <row r="816">
          <cell r="C816">
            <v>10560004</v>
          </cell>
          <cell r="D816" t="str">
            <v>Gomukh Nawada</v>
          </cell>
          <cell r="E816" t="str">
            <v>MPG</v>
          </cell>
          <cell r="F816" t="str">
            <v>Direct</v>
          </cell>
        </row>
        <row r="817">
          <cell r="C817">
            <v>10560005</v>
          </cell>
          <cell r="D817" t="str">
            <v>Gomukh Yadav Tol Kanauli</v>
          </cell>
          <cell r="E817" t="str">
            <v>MPG</v>
          </cell>
          <cell r="F817" t="str">
            <v>Direct</v>
          </cell>
        </row>
        <row r="818">
          <cell r="C818">
            <v>10560006</v>
          </cell>
          <cell r="D818" t="str">
            <v>Gomukh Baltara</v>
          </cell>
          <cell r="E818" t="str">
            <v>MPG</v>
          </cell>
          <cell r="F818" t="str">
            <v>Direct</v>
          </cell>
        </row>
        <row r="819">
          <cell r="C819">
            <v>10560007</v>
          </cell>
          <cell r="D819" t="str">
            <v>Gomukh Hardia</v>
          </cell>
          <cell r="E819" t="str">
            <v>MPG</v>
          </cell>
          <cell r="F819" t="str">
            <v>Direct</v>
          </cell>
        </row>
        <row r="820">
          <cell r="C820">
            <v>10560011</v>
          </cell>
          <cell r="D820" t="str">
            <v>Gomukh Ashatol Paharpur</v>
          </cell>
          <cell r="E820" t="str">
            <v>MPG</v>
          </cell>
          <cell r="F820" t="str">
            <v>Direct</v>
          </cell>
        </row>
        <row r="821">
          <cell r="C821">
            <v>10560012</v>
          </cell>
          <cell r="D821" t="str">
            <v>Gomukh Kharawa</v>
          </cell>
          <cell r="E821" t="str">
            <v>MPG</v>
          </cell>
          <cell r="F821" t="str">
            <v>Direct</v>
          </cell>
        </row>
        <row r="822">
          <cell r="C822">
            <v>10560015</v>
          </cell>
          <cell r="D822" t="str">
            <v>Gomukh Patel Nagar</v>
          </cell>
          <cell r="E822" t="str">
            <v>vlc</v>
          </cell>
          <cell r="F822" t="str">
            <v>Indirect</v>
          </cell>
        </row>
        <row r="823">
          <cell r="C823">
            <v>10560016</v>
          </cell>
          <cell r="D823" t="str">
            <v>Gomukh Pachout</v>
          </cell>
          <cell r="E823" t="str">
            <v>MPG</v>
          </cell>
          <cell r="F823" t="str">
            <v>Direct</v>
          </cell>
        </row>
        <row r="824">
          <cell r="C824">
            <v>10560017</v>
          </cell>
          <cell r="D824" t="str">
            <v>Gomukh Telihar</v>
          </cell>
          <cell r="E824" t="str">
            <v>MPG</v>
          </cell>
          <cell r="F824" t="str">
            <v>Direct</v>
          </cell>
        </row>
        <row r="825">
          <cell r="C825">
            <v>10560019</v>
          </cell>
          <cell r="D825" t="str">
            <v>Gomukh Pansalba Ward No 05</v>
          </cell>
          <cell r="E825" t="str">
            <v>MPG</v>
          </cell>
          <cell r="F825" t="str">
            <v>Indirect</v>
          </cell>
        </row>
        <row r="826">
          <cell r="C826">
            <v>10560022</v>
          </cell>
          <cell r="D826" t="str">
            <v xml:space="preserve">Gomukh Paharpur Jilebya </v>
          </cell>
          <cell r="E826" t="str">
            <v>MPG</v>
          </cell>
          <cell r="F826" t="str">
            <v>Direct</v>
          </cell>
        </row>
        <row r="827">
          <cell r="C827">
            <v>10560025</v>
          </cell>
          <cell r="D827" t="str">
            <v>Gomukh Debka Vlc</v>
          </cell>
          <cell r="E827" t="str">
            <v>vlc</v>
          </cell>
          <cell r="F827" t="str">
            <v>Indirect</v>
          </cell>
        </row>
        <row r="828">
          <cell r="C828">
            <v>10560026</v>
          </cell>
          <cell r="D828" t="str">
            <v>Gomukh Azad Nagar</v>
          </cell>
          <cell r="E828" t="str">
            <v>MPG</v>
          </cell>
          <cell r="F828" t="str">
            <v>Direct</v>
          </cell>
        </row>
        <row r="829">
          <cell r="C829">
            <v>10560027</v>
          </cell>
          <cell r="D829" t="str">
            <v>Gomukh Purani Hrdia</v>
          </cell>
          <cell r="E829" t="str">
            <v>MPG</v>
          </cell>
          <cell r="F829" t="str">
            <v>Direct</v>
          </cell>
        </row>
        <row r="830">
          <cell r="C830">
            <v>10560028</v>
          </cell>
          <cell r="D830" t="str">
            <v>Gomukh Uttari Hardia</v>
          </cell>
          <cell r="E830" t="str">
            <v>MPG</v>
          </cell>
          <cell r="F830" t="str">
            <v>Direct</v>
          </cell>
        </row>
        <row r="831">
          <cell r="C831">
            <v>10560029</v>
          </cell>
          <cell r="D831" t="str">
            <v>Gomukh Murli</v>
          </cell>
          <cell r="E831" t="str">
            <v>MPG</v>
          </cell>
          <cell r="F831" t="str">
            <v>Direct</v>
          </cell>
        </row>
        <row r="832">
          <cell r="C832">
            <v>10560031</v>
          </cell>
          <cell r="D832" t="str">
            <v>Gomukh Nirpur Keshv Nagar</v>
          </cell>
          <cell r="E832" t="str">
            <v>MPG</v>
          </cell>
          <cell r="F832" t="str">
            <v>Direct</v>
          </cell>
        </row>
        <row r="833">
          <cell r="C833">
            <v>10560033</v>
          </cell>
          <cell r="D833" t="str">
            <v>Gomukh Thuthi Vlc</v>
          </cell>
          <cell r="E833" t="str">
            <v>vlc</v>
          </cell>
          <cell r="F833" t="str">
            <v>Direct</v>
          </cell>
        </row>
        <row r="834">
          <cell r="C834">
            <v>10560034</v>
          </cell>
          <cell r="D834" t="str">
            <v>Gomukh Nawadai Vlc</v>
          </cell>
          <cell r="E834" t="str">
            <v>vlc</v>
          </cell>
          <cell r="F834" t="str">
            <v>Indirect</v>
          </cell>
        </row>
        <row r="835">
          <cell r="C835">
            <v>10560035</v>
          </cell>
          <cell r="D835" t="str">
            <v>Gomukh Kharra Basa</v>
          </cell>
          <cell r="E835" t="str">
            <v>MPG</v>
          </cell>
          <cell r="F835" t="str">
            <v>Direct</v>
          </cell>
        </row>
        <row r="836">
          <cell r="C836">
            <v>10560036</v>
          </cell>
          <cell r="D836" t="str">
            <v>Gomukh Bangalia</v>
          </cell>
          <cell r="E836" t="str">
            <v>MPG</v>
          </cell>
          <cell r="F836" t="str">
            <v>Direct</v>
          </cell>
        </row>
        <row r="837">
          <cell r="C837">
            <v>10560037</v>
          </cell>
          <cell r="D837" t="str">
            <v>Gomukh Soharba Purvi</v>
          </cell>
          <cell r="E837" t="str">
            <v>MPG</v>
          </cell>
          <cell r="F837" t="str">
            <v>Direct</v>
          </cell>
        </row>
        <row r="838">
          <cell r="C838">
            <v>10570001</v>
          </cell>
          <cell r="D838" t="str">
            <v>Karian</v>
          </cell>
          <cell r="E838" t="str">
            <v>MPG</v>
          </cell>
          <cell r="F838" t="str">
            <v>Direct</v>
          </cell>
        </row>
        <row r="839">
          <cell r="C839">
            <v>10570003</v>
          </cell>
          <cell r="D839" t="str">
            <v>Teghara</v>
          </cell>
          <cell r="E839" t="str">
            <v>MPG</v>
          </cell>
          <cell r="F839" t="str">
            <v>Direct</v>
          </cell>
        </row>
        <row r="840">
          <cell r="C840">
            <v>10570007</v>
          </cell>
          <cell r="D840" t="str">
            <v>Basantpur</v>
          </cell>
          <cell r="E840" t="str">
            <v>MPG</v>
          </cell>
          <cell r="F840" t="str">
            <v>Direct</v>
          </cell>
        </row>
        <row r="841">
          <cell r="C841">
            <v>10570008</v>
          </cell>
          <cell r="D841" t="str">
            <v>Chakoti</v>
          </cell>
          <cell r="E841" t="str">
            <v>MPG</v>
          </cell>
          <cell r="F841" t="str">
            <v>Direct</v>
          </cell>
        </row>
        <row r="842">
          <cell r="C842">
            <v>10570009</v>
          </cell>
          <cell r="D842" t="str">
            <v>Nathudawar</v>
          </cell>
          <cell r="E842" t="str">
            <v>MPG</v>
          </cell>
          <cell r="F842" t="str">
            <v>Direct</v>
          </cell>
        </row>
        <row r="843">
          <cell r="C843">
            <v>10570010</v>
          </cell>
          <cell r="D843" t="str">
            <v>Purnahi</v>
          </cell>
          <cell r="E843" t="str">
            <v>vlc</v>
          </cell>
          <cell r="F843" t="str">
            <v>Indirect</v>
          </cell>
        </row>
        <row r="844">
          <cell r="C844">
            <v>10570013</v>
          </cell>
          <cell r="D844" t="str">
            <v xml:space="preserve">Baghopur </v>
          </cell>
          <cell r="E844" t="str">
            <v>vlc</v>
          </cell>
          <cell r="F844" t="str">
            <v>Indirect</v>
          </cell>
        </row>
        <row r="845">
          <cell r="C845">
            <v>10570015</v>
          </cell>
          <cell r="D845" t="str">
            <v>Sadipur Bathnaha</v>
          </cell>
          <cell r="E845" t="str">
            <v>vlc</v>
          </cell>
          <cell r="F845" t="str">
            <v>Indirect</v>
          </cell>
        </row>
        <row r="846">
          <cell r="C846">
            <v>10570016</v>
          </cell>
          <cell r="D846" t="str">
            <v>PARORIYA</v>
          </cell>
          <cell r="E846" t="str">
            <v>vlc</v>
          </cell>
          <cell r="F846" t="str">
            <v>Indirect</v>
          </cell>
        </row>
        <row r="847">
          <cell r="C847">
            <v>10570017</v>
          </cell>
          <cell r="D847" t="str">
            <v>Dewanpur</v>
          </cell>
          <cell r="E847" t="str">
            <v>MPG</v>
          </cell>
          <cell r="F847" t="str">
            <v>Direct</v>
          </cell>
        </row>
        <row r="848">
          <cell r="C848">
            <v>10570018</v>
          </cell>
          <cell r="D848" t="str">
            <v>Gohi</v>
          </cell>
          <cell r="E848" t="str">
            <v>MPG</v>
          </cell>
          <cell r="F848" t="str">
            <v>Direct</v>
          </cell>
        </row>
        <row r="849">
          <cell r="C849">
            <v>10570019</v>
          </cell>
          <cell r="D849" t="str">
            <v>Matua</v>
          </cell>
          <cell r="E849" t="str">
            <v>MPG</v>
          </cell>
          <cell r="F849" t="str">
            <v>Direct</v>
          </cell>
        </row>
        <row r="850">
          <cell r="C850">
            <v>10570020</v>
          </cell>
          <cell r="D850" t="str">
            <v>Ratni Chouk</v>
          </cell>
          <cell r="E850" t="str">
            <v>MPG</v>
          </cell>
          <cell r="F850" t="str">
            <v>Direct</v>
          </cell>
        </row>
        <row r="851">
          <cell r="C851">
            <v>10570021</v>
          </cell>
          <cell r="D851" t="str">
            <v>Balahi 2</v>
          </cell>
          <cell r="E851" t="str">
            <v>MPG</v>
          </cell>
          <cell r="F851" t="str">
            <v>Direct</v>
          </cell>
        </row>
        <row r="852">
          <cell r="C852">
            <v>10570022</v>
          </cell>
          <cell r="D852" t="str">
            <v>Chandauli</v>
          </cell>
          <cell r="E852" t="str">
            <v>vlc</v>
          </cell>
          <cell r="F852" t="str">
            <v>Indirect</v>
          </cell>
        </row>
        <row r="853">
          <cell r="C853">
            <v>10570024</v>
          </cell>
          <cell r="D853" t="str">
            <v>Gulabi Choak</v>
          </cell>
          <cell r="E853" t="str">
            <v>vlc</v>
          </cell>
          <cell r="F853" t="str">
            <v>Indirect</v>
          </cell>
        </row>
        <row r="854">
          <cell r="C854">
            <v>10570025</v>
          </cell>
          <cell r="D854" t="str">
            <v>Satmalpur</v>
          </cell>
          <cell r="E854" t="str">
            <v>vlc</v>
          </cell>
          <cell r="F854" t="str">
            <v>Indirect</v>
          </cell>
        </row>
        <row r="855">
          <cell r="C855">
            <v>10570026</v>
          </cell>
          <cell r="D855" t="str">
            <v>Chhatnesar</v>
          </cell>
          <cell r="E855" t="str">
            <v>vlc</v>
          </cell>
          <cell r="F855" t="str">
            <v>Indirect</v>
          </cell>
        </row>
        <row r="856">
          <cell r="C856">
            <v>10570028</v>
          </cell>
          <cell r="D856" t="str">
            <v>Chhatnesar 2</v>
          </cell>
          <cell r="E856" t="str">
            <v>MPG</v>
          </cell>
          <cell r="F856" t="str">
            <v>Direct</v>
          </cell>
        </row>
        <row r="857">
          <cell r="C857">
            <v>10570029</v>
          </cell>
          <cell r="D857" t="str">
            <v>Hajpurwa</v>
          </cell>
          <cell r="E857" t="str">
            <v>MPG</v>
          </cell>
          <cell r="F857" t="str">
            <v>Direct</v>
          </cell>
        </row>
        <row r="858">
          <cell r="C858">
            <v>10570030</v>
          </cell>
          <cell r="D858" t="str">
            <v>Shekhopur</v>
          </cell>
          <cell r="E858" t="str">
            <v>MPG</v>
          </cell>
          <cell r="F858" t="str">
            <v>Direct</v>
          </cell>
        </row>
        <row r="859">
          <cell r="C859">
            <v>10570031</v>
          </cell>
          <cell r="D859" t="str">
            <v>Dharampur</v>
          </cell>
          <cell r="E859" t="str">
            <v>MPG</v>
          </cell>
          <cell r="F859" t="str">
            <v>Direct</v>
          </cell>
        </row>
        <row r="860">
          <cell r="C860">
            <v>10570033</v>
          </cell>
          <cell r="D860" t="str">
            <v>Chatnesar Pachiam</v>
          </cell>
          <cell r="E860" t="str">
            <v>vlc</v>
          </cell>
          <cell r="F860" t="str">
            <v>Indirect</v>
          </cell>
        </row>
        <row r="861">
          <cell r="C861">
            <v>10570035</v>
          </cell>
          <cell r="D861" t="str">
            <v>Satmalpur Tarri</v>
          </cell>
          <cell r="E861" t="str">
            <v>vlc</v>
          </cell>
          <cell r="F861" t="str">
            <v>Indirect</v>
          </cell>
        </row>
        <row r="862">
          <cell r="C862">
            <v>10570036</v>
          </cell>
          <cell r="D862" t="str">
            <v>Hajpurwa Pachim</v>
          </cell>
          <cell r="E862" t="str">
            <v>MPG</v>
          </cell>
          <cell r="F862" t="str">
            <v>Direct</v>
          </cell>
        </row>
        <row r="863">
          <cell r="C863">
            <v>10570037</v>
          </cell>
          <cell r="D863" t="str">
            <v>Almasnagar</v>
          </cell>
          <cell r="E863" t="str">
            <v>vlc</v>
          </cell>
          <cell r="F863" t="str">
            <v>Indirect</v>
          </cell>
        </row>
        <row r="864">
          <cell r="C864">
            <v>10570038</v>
          </cell>
          <cell r="D864" t="str">
            <v>Kadarchak</v>
          </cell>
          <cell r="E864" t="str">
            <v>vlc</v>
          </cell>
          <cell r="F864" t="str">
            <v>Indirect</v>
          </cell>
        </row>
        <row r="865">
          <cell r="C865">
            <v>10570042</v>
          </cell>
          <cell r="D865" t="str">
            <v>Rahua</v>
          </cell>
          <cell r="E865" t="str">
            <v>MPG</v>
          </cell>
          <cell r="F865" t="str">
            <v>Direct</v>
          </cell>
        </row>
        <row r="866">
          <cell r="C866">
            <v>10570044</v>
          </cell>
          <cell r="D866" t="str">
            <v>Dagrua</v>
          </cell>
          <cell r="E866" t="str">
            <v>MPG</v>
          </cell>
          <cell r="F866" t="str">
            <v>Direct</v>
          </cell>
        </row>
        <row r="867">
          <cell r="C867">
            <v>10570045</v>
          </cell>
          <cell r="D867" t="str">
            <v>Buzurgdoar</v>
          </cell>
          <cell r="E867" t="str">
            <v>MPG</v>
          </cell>
          <cell r="F867" t="str">
            <v>Direct</v>
          </cell>
        </row>
        <row r="868">
          <cell r="C868">
            <v>10570046</v>
          </cell>
          <cell r="D868" t="str">
            <v>Patpara</v>
          </cell>
          <cell r="E868" t="str">
            <v>vlc</v>
          </cell>
          <cell r="F868" t="str">
            <v>Indirect</v>
          </cell>
        </row>
        <row r="869">
          <cell r="C869">
            <v>10570047</v>
          </cell>
          <cell r="D869" t="str">
            <v>Kamopur</v>
          </cell>
          <cell r="E869" t="str">
            <v>MPG</v>
          </cell>
          <cell r="F869" t="str">
            <v>Direct</v>
          </cell>
        </row>
        <row r="870">
          <cell r="C870">
            <v>10570049</v>
          </cell>
          <cell r="D870" t="str">
            <v>Kussaiya</v>
          </cell>
          <cell r="E870" t="str">
            <v>MPG</v>
          </cell>
          <cell r="F870" t="str">
            <v>Direct</v>
          </cell>
        </row>
        <row r="871">
          <cell r="C871">
            <v>10570053</v>
          </cell>
          <cell r="D871" t="str">
            <v>Kanu Bisanpur</v>
          </cell>
          <cell r="E871" t="str">
            <v>vlc</v>
          </cell>
          <cell r="F871" t="str">
            <v>Indirect</v>
          </cell>
        </row>
        <row r="872">
          <cell r="C872">
            <v>10570055</v>
          </cell>
          <cell r="D872" t="str">
            <v>Raini 2</v>
          </cell>
          <cell r="E872" t="str">
            <v>MPG</v>
          </cell>
          <cell r="F872" t="str">
            <v>Direct</v>
          </cell>
        </row>
        <row r="873">
          <cell r="C873">
            <v>10570056</v>
          </cell>
          <cell r="D873" t="str">
            <v>Hasauli</v>
          </cell>
          <cell r="E873" t="str">
            <v>vlc</v>
          </cell>
          <cell r="F873" t="str">
            <v>Indirect</v>
          </cell>
        </row>
        <row r="874">
          <cell r="C874">
            <v>10570057</v>
          </cell>
          <cell r="D874" t="str">
            <v>Kusiya 2</v>
          </cell>
          <cell r="E874" t="str">
            <v>vlc</v>
          </cell>
          <cell r="F874" t="str">
            <v>Indirect</v>
          </cell>
        </row>
        <row r="875">
          <cell r="C875">
            <v>10570058</v>
          </cell>
          <cell r="D875" t="str">
            <v>Babupur</v>
          </cell>
          <cell r="E875" t="str">
            <v>vlc</v>
          </cell>
          <cell r="F875" t="str">
            <v>Indirect</v>
          </cell>
        </row>
        <row r="876">
          <cell r="C876">
            <v>10570059</v>
          </cell>
          <cell r="D876" t="str">
            <v>Rahua 2</v>
          </cell>
          <cell r="E876" t="str">
            <v>vlc</v>
          </cell>
          <cell r="F876" t="str">
            <v>Indirect</v>
          </cell>
        </row>
        <row r="877">
          <cell r="C877">
            <v>10570060</v>
          </cell>
          <cell r="D877" t="str">
            <v>Madhopur</v>
          </cell>
          <cell r="E877" t="str">
            <v>vlc</v>
          </cell>
          <cell r="F877" t="str">
            <v>Indirect</v>
          </cell>
        </row>
        <row r="878">
          <cell r="C878">
            <v>10580001</v>
          </cell>
          <cell r="D878" t="str">
            <v>Mahuli</v>
          </cell>
          <cell r="E878" t="str">
            <v>MPG</v>
          </cell>
          <cell r="F878" t="str">
            <v>Direct</v>
          </cell>
        </row>
        <row r="879">
          <cell r="C879">
            <v>10580002</v>
          </cell>
          <cell r="D879" t="str">
            <v>Sakhwa Ghat</v>
          </cell>
          <cell r="E879" t="str">
            <v>MPG</v>
          </cell>
          <cell r="F879" t="str">
            <v>Direct</v>
          </cell>
        </row>
        <row r="880">
          <cell r="C880">
            <v>10580004</v>
          </cell>
          <cell r="D880" t="str">
            <v>Patiya</v>
          </cell>
          <cell r="E880" t="str">
            <v>MPG</v>
          </cell>
          <cell r="F880" t="str">
            <v>Direct</v>
          </cell>
        </row>
        <row r="881">
          <cell r="C881">
            <v>10580005</v>
          </cell>
          <cell r="D881" t="str">
            <v>Kasiya</v>
          </cell>
          <cell r="E881" t="str">
            <v>MPG</v>
          </cell>
          <cell r="F881" t="str">
            <v>Direct</v>
          </cell>
        </row>
        <row r="882">
          <cell r="C882">
            <v>10580007</v>
          </cell>
          <cell r="D882" t="str">
            <v>Belshandi</v>
          </cell>
          <cell r="E882" t="str">
            <v>MPG</v>
          </cell>
          <cell r="F882" t="str">
            <v>Direct</v>
          </cell>
        </row>
        <row r="883">
          <cell r="C883">
            <v>10580009</v>
          </cell>
          <cell r="D883" t="str">
            <v>Belshandi-2</v>
          </cell>
          <cell r="E883" t="str">
            <v>MPG</v>
          </cell>
          <cell r="F883" t="str">
            <v>Direct</v>
          </cell>
        </row>
        <row r="884">
          <cell r="C884">
            <v>10580010</v>
          </cell>
          <cell r="D884" t="str">
            <v>Godah</v>
          </cell>
          <cell r="E884" t="str">
            <v>MPG</v>
          </cell>
          <cell r="F884" t="str">
            <v>Direct</v>
          </cell>
        </row>
        <row r="885">
          <cell r="C885">
            <v>10580012</v>
          </cell>
          <cell r="D885" t="str">
            <v>Ballahpur</v>
          </cell>
          <cell r="E885" t="str">
            <v>MPG</v>
          </cell>
          <cell r="F885" t="str">
            <v>Direct</v>
          </cell>
        </row>
        <row r="886">
          <cell r="C886">
            <v>10580014</v>
          </cell>
          <cell r="D886" t="str">
            <v>Gijri - VLC</v>
          </cell>
          <cell r="E886" t="str">
            <v>vlc</v>
          </cell>
          <cell r="F886" t="str">
            <v>Indirect</v>
          </cell>
        </row>
        <row r="887">
          <cell r="C887">
            <v>10580015</v>
          </cell>
          <cell r="D887" t="str">
            <v>Birpur</v>
          </cell>
          <cell r="E887" t="str">
            <v>MPG</v>
          </cell>
          <cell r="F887" t="str">
            <v>Direct</v>
          </cell>
        </row>
        <row r="888">
          <cell r="C888">
            <v>10580017</v>
          </cell>
          <cell r="D888" t="str">
            <v>Ahilwar</v>
          </cell>
          <cell r="E888" t="str">
            <v>MPG</v>
          </cell>
          <cell r="F888" t="str">
            <v>Direct</v>
          </cell>
        </row>
        <row r="889">
          <cell r="C889">
            <v>10580018</v>
          </cell>
          <cell r="D889" t="str">
            <v>Paridah</v>
          </cell>
          <cell r="E889" t="str">
            <v>MPG</v>
          </cell>
          <cell r="F889" t="str">
            <v>Direct</v>
          </cell>
        </row>
        <row r="890">
          <cell r="C890">
            <v>10580019</v>
          </cell>
          <cell r="D890" t="str">
            <v>Pansalla</v>
          </cell>
          <cell r="E890" t="str">
            <v>MPG</v>
          </cell>
          <cell r="F890" t="str">
            <v>Direct</v>
          </cell>
        </row>
        <row r="891">
          <cell r="C891">
            <v>10580022</v>
          </cell>
          <cell r="D891" t="str">
            <v>KOLAWARI</v>
          </cell>
          <cell r="E891" t="str">
            <v>MPG</v>
          </cell>
          <cell r="F891" t="str">
            <v>Direct</v>
          </cell>
        </row>
        <row r="892">
          <cell r="C892">
            <v>10580023</v>
          </cell>
          <cell r="D892" t="str">
            <v>MALDAH</v>
          </cell>
          <cell r="E892" t="str">
            <v>vlc</v>
          </cell>
          <cell r="F892" t="str">
            <v>Indirect</v>
          </cell>
        </row>
        <row r="893">
          <cell r="C893">
            <v>10580025</v>
          </cell>
          <cell r="D893" t="str">
            <v>MARTHUA</v>
          </cell>
          <cell r="E893" t="str">
            <v>MPG</v>
          </cell>
          <cell r="F893" t="str">
            <v>Direct</v>
          </cell>
        </row>
        <row r="894">
          <cell r="C894">
            <v>10580026</v>
          </cell>
          <cell r="D894" t="str">
            <v xml:space="preserve">GARHPURA </v>
          </cell>
          <cell r="E894" t="str">
            <v>MPG</v>
          </cell>
          <cell r="F894" t="str">
            <v>Direct</v>
          </cell>
        </row>
        <row r="895">
          <cell r="C895">
            <v>10580027</v>
          </cell>
          <cell r="D895" t="str">
            <v>KOKANI</v>
          </cell>
          <cell r="E895" t="str">
            <v>MPG</v>
          </cell>
          <cell r="F895" t="str">
            <v>Direct</v>
          </cell>
        </row>
        <row r="896">
          <cell r="C896">
            <v>10580028</v>
          </cell>
          <cell r="D896" t="str">
            <v xml:space="preserve">DURGAPUR </v>
          </cell>
          <cell r="E896" t="str">
            <v>MPG</v>
          </cell>
          <cell r="F896" t="str">
            <v>Direct</v>
          </cell>
        </row>
        <row r="897">
          <cell r="C897">
            <v>10580029</v>
          </cell>
          <cell r="D897" t="str">
            <v>Chandauli</v>
          </cell>
          <cell r="E897" t="str">
            <v>MPG</v>
          </cell>
          <cell r="F897" t="str">
            <v>Direct</v>
          </cell>
        </row>
        <row r="898">
          <cell r="C898">
            <v>10580030</v>
          </cell>
          <cell r="D898" t="str">
            <v>Girdharpur</v>
          </cell>
          <cell r="E898" t="str">
            <v>MPG</v>
          </cell>
          <cell r="F898" t="str">
            <v>Direct</v>
          </cell>
        </row>
        <row r="899">
          <cell r="C899">
            <v>10580031</v>
          </cell>
          <cell r="D899" t="str">
            <v>Yogidih VLC</v>
          </cell>
          <cell r="E899" t="str">
            <v>vlc</v>
          </cell>
          <cell r="F899" t="str">
            <v>Indirect</v>
          </cell>
        </row>
        <row r="900">
          <cell r="C900">
            <v>10580033</v>
          </cell>
          <cell r="D900" t="str">
            <v>Harerampur Vlc</v>
          </cell>
          <cell r="E900" t="str">
            <v>vlc</v>
          </cell>
          <cell r="F900" t="str">
            <v>Indirect</v>
          </cell>
        </row>
        <row r="901">
          <cell r="C901">
            <v>10580034</v>
          </cell>
          <cell r="D901" t="str">
            <v>SOUNT VLC</v>
          </cell>
          <cell r="E901" t="str">
            <v>vlc</v>
          </cell>
          <cell r="F901" t="str">
            <v>Indirect</v>
          </cell>
        </row>
        <row r="902">
          <cell r="C902">
            <v>10590001</v>
          </cell>
          <cell r="D902" t="str">
            <v>MISHRBIGHA</v>
          </cell>
          <cell r="E902" t="str">
            <v>MPG</v>
          </cell>
          <cell r="F902" t="str">
            <v>Direct</v>
          </cell>
        </row>
        <row r="903">
          <cell r="C903">
            <v>10590002</v>
          </cell>
          <cell r="D903" t="str">
            <v>DIGHOI</v>
          </cell>
          <cell r="E903" t="str">
            <v>MPG</v>
          </cell>
          <cell r="F903" t="str">
            <v>Direct</v>
          </cell>
        </row>
        <row r="904">
          <cell r="C904">
            <v>10590004</v>
          </cell>
          <cell r="D904" t="str">
            <v>PRATAPUR</v>
          </cell>
          <cell r="E904" t="str">
            <v>MPG</v>
          </cell>
          <cell r="F904" t="str">
            <v>Direct</v>
          </cell>
        </row>
        <row r="905">
          <cell r="C905">
            <v>10590006</v>
          </cell>
          <cell r="D905" t="str">
            <v>GOPALPUR</v>
          </cell>
          <cell r="E905" t="str">
            <v>MPG</v>
          </cell>
          <cell r="F905" t="str">
            <v>Direct</v>
          </cell>
        </row>
        <row r="906">
          <cell r="C906">
            <v>10590007</v>
          </cell>
          <cell r="D906" t="str">
            <v>LAXMIPUR</v>
          </cell>
          <cell r="E906" t="str">
            <v>MPG</v>
          </cell>
          <cell r="F906" t="str">
            <v>Direct</v>
          </cell>
        </row>
        <row r="907">
          <cell r="C907">
            <v>10590008</v>
          </cell>
          <cell r="D907" t="str">
            <v>NARMDA</v>
          </cell>
          <cell r="E907" t="str">
            <v>MPG</v>
          </cell>
          <cell r="F907" t="str">
            <v>Direct</v>
          </cell>
        </row>
        <row r="908">
          <cell r="C908">
            <v>10590009</v>
          </cell>
          <cell r="D908" t="str">
            <v>LAKHANPUR</v>
          </cell>
          <cell r="E908" t="str">
            <v>MPG</v>
          </cell>
          <cell r="F908" t="str">
            <v>Direct</v>
          </cell>
        </row>
        <row r="909">
          <cell r="C909">
            <v>10590010</v>
          </cell>
          <cell r="D909" t="str">
            <v>AMRATH</v>
          </cell>
          <cell r="E909" t="str">
            <v>MPG</v>
          </cell>
          <cell r="F909" t="str">
            <v>Direct</v>
          </cell>
        </row>
        <row r="910">
          <cell r="C910">
            <v>10590011</v>
          </cell>
          <cell r="D910" t="str">
            <v>PUTERIA</v>
          </cell>
          <cell r="E910" t="str">
            <v>MPG</v>
          </cell>
          <cell r="F910" t="str">
            <v>Direct</v>
          </cell>
        </row>
        <row r="911">
          <cell r="C911">
            <v>10590012</v>
          </cell>
          <cell r="D911" t="str">
            <v>LAKHAPUR</v>
          </cell>
          <cell r="E911" t="str">
            <v>MPG</v>
          </cell>
          <cell r="F911" t="str">
            <v>Direct</v>
          </cell>
        </row>
        <row r="912">
          <cell r="C912">
            <v>10590013</v>
          </cell>
          <cell r="D912" t="str">
            <v>BARIYARPUR</v>
          </cell>
          <cell r="E912" t="str">
            <v>MPG</v>
          </cell>
          <cell r="F912" t="str">
            <v>Direct</v>
          </cell>
        </row>
        <row r="913">
          <cell r="C913">
            <v>10590014</v>
          </cell>
          <cell r="D913" t="str">
            <v>BAGWANA</v>
          </cell>
          <cell r="E913" t="str">
            <v>MPG</v>
          </cell>
          <cell r="F913" t="str">
            <v>Direct</v>
          </cell>
        </row>
        <row r="914">
          <cell r="C914">
            <v>10590015</v>
          </cell>
          <cell r="D914" t="str">
            <v>REWATA</v>
          </cell>
          <cell r="E914" t="str">
            <v>MPG</v>
          </cell>
          <cell r="F914" t="str">
            <v>Direct</v>
          </cell>
        </row>
        <row r="915">
          <cell r="C915">
            <v>10590016</v>
          </cell>
          <cell r="D915" t="str">
            <v>GOMUKH DAND</v>
          </cell>
          <cell r="E915" t="str">
            <v>vlc</v>
          </cell>
          <cell r="F915" t="str">
            <v>Indirect</v>
          </cell>
        </row>
        <row r="916">
          <cell r="C916">
            <v>10600001</v>
          </cell>
          <cell r="D916" t="str">
            <v>Gomukh Karisath</v>
          </cell>
          <cell r="E916" t="str">
            <v>MPG</v>
          </cell>
          <cell r="F916" t="str">
            <v>Direct</v>
          </cell>
        </row>
        <row r="917">
          <cell r="C917">
            <v>10600002</v>
          </cell>
          <cell r="D917" t="str">
            <v>Gomukh Ama</v>
          </cell>
          <cell r="E917" t="str">
            <v>MPG</v>
          </cell>
          <cell r="F917" t="str">
            <v>Direct</v>
          </cell>
        </row>
        <row r="918">
          <cell r="C918">
            <v>10600004</v>
          </cell>
          <cell r="D918" t="str">
            <v>Gomukh Pawat</v>
          </cell>
          <cell r="E918" t="str">
            <v>MPG</v>
          </cell>
          <cell r="F918" t="str">
            <v>Direct</v>
          </cell>
        </row>
        <row r="919">
          <cell r="C919">
            <v>10600005</v>
          </cell>
          <cell r="D919" t="str">
            <v>Gomukh Barja</v>
          </cell>
          <cell r="E919" t="str">
            <v>MPG</v>
          </cell>
          <cell r="F919" t="str">
            <v>Direct</v>
          </cell>
        </row>
        <row r="920">
          <cell r="C920">
            <v>10600007</v>
          </cell>
          <cell r="D920" t="str">
            <v>Gomukh Navadih</v>
          </cell>
          <cell r="E920" t="str">
            <v>MPG</v>
          </cell>
          <cell r="F920" t="str">
            <v>Direct</v>
          </cell>
        </row>
        <row r="921">
          <cell r="C921">
            <v>10600008</v>
          </cell>
          <cell r="D921" t="str">
            <v>Gomukh Ramdihra</v>
          </cell>
          <cell r="E921" t="str">
            <v>MPG</v>
          </cell>
          <cell r="F921" t="str">
            <v>Direct</v>
          </cell>
        </row>
        <row r="922">
          <cell r="C922">
            <v>10600009</v>
          </cell>
          <cell r="D922" t="str">
            <v>Gomukh Bara</v>
          </cell>
          <cell r="E922" t="str">
            <v>MPG</v>
          </cell>
          <cell r="F922" t="str">
            <v>Direct</v>
          </cell>
        </row>
        <row r="923">
          <cell r="C923">
            <v>10600010</v>
          </cell>
          <cell r="D923" t="str">
            <v>Gumukh Salempur</v>
          </cell>
          <cell r="E923" t="str">
            <v>MPG</v>
          </cell>
          <cell r="F923" t="str">
            <v>Direct</v>
          </cell>
        </row>
        <row r="924">
          <cell r="C924">
            <v>10600012</v>
          </cell>
          <cell r="D924" t="str">
            <v>Gumukh Khajuriya</v>
          </cell>
          <cell r="E924" t="str">
            <v>MPG</v>
          </cell>
          <cell r="F924" t="str">
            <v>Direct</v>
          </cell>
        </row>
        <row r="925">
          <cell r="C925">
            <v>10600013</v>
          </cell>
          <cell r="D925" t="str">
            <v>Gomukh Chhotaki Hardiya</v>
          </cell>
          <cell r="E925" t="str">
            <v>MPG</v>
          </cell>
          <cell r="F925" t="str">
            <v>Direct</v>
          </cell>
        </row>
        <row r="926">
          <cell r="C926">
            <v>10610001</v>
          </cell>
          <cell r="D926" t="str">
            <v>GOMUKH BHATOLIYA</v>
          </cell>
          <cell r="E926" t="str">
            <v>MPG</v>
          </cell>
          <cell r="F926" t="str">
            <v>Direct</v>
          </cell>
        </row>
        <row r="927">
          <cell r="C927">
            <v>10610002</v>
          </cell>
          <cell r="D927" t="str">
            <v>GOMUKH CHEHRAKALA</v>
          </cell>
          <cell r="E927" t="str">
            <v>MPG</v>
          </cell>
          <cell r="F927" t="str">
            <v>Direct</v>
          </cell>
        </row>
        <row r="928">
          <cell r="C928">
            <v>10610003</v>
          </cell>
          <cell r="D928" t="str">
            <v>GOMUKH KHAJECHAND</v>
          </cell>
          <cell r="E928" t="str">
            <v>MPG</v>
          </cell>
          <cell r="F928" t="str">
            <v>Direct</v>
          </cell>
        </row>
        <row r="929">
          <cell r="C929">
            <v>10610004</v>
          </cell>
          <cell r="D929" t="str">
            <v>GOMUKH SALEMPUR</v>
          </cell>
          <cell r="E929" t="str">
            <v>MPG</v>
          </cell>
          <cell r="F929" t="str">
            <v>Direct</v>
          </cell>
        </row>
        <row r="930">
          <cell r="C930">
            <v>10610005</v>
          </cell>
          <cell r="D930" t="str">
            <v>Gomukh Paharpur</v>
          </cell>
          <cell r="E930" t="str">
            <v>MPG</v>
          </cell>
          <cell r="F930" t="str">
            <v>Direct</v>
          </cell>
        </row>
        <row r="931">
          <cell r="C931">
            <v>10610006</v>
          </cell>
          <cell r="D931" t="str">
            <v>GOMUKH PREMRAJ</v>
          </cell>
          <cell r="E931" t="str">
            <v>MPG</v>
          </cell>
          <cell r="F931" t="str">
            <v>Direct</v>
          </cell>
        </row>
        <row r="932">
          <cell r="C932">
            <v>10610007</v>
          </cell>
          <cell r="D932" t="str">
            <v>GOMUKH MAGURAHI</v>
          </cell>
          <cell r="E932" t="str">
            <v>MPG</v>
          </cell>
          <cell r="F932" t="str">
            <v>Direct</v>
          </cell>
        </row>
        <row r="933">
          <cell r="C933">
            <v>10610008</v>
          </cell>
          <cell r="D933" t="str">
            <v>GOMUKH GANGATI</v>
          </cell>
          <cell r="E933" t="str">
            <v>MPG</v>
          </cell>
          <cell r="F933" t="str">
            <v>Direct</v>
          </cell>
        </row>
        <row r="934">
          <cell r="C934">
            <v>10610009</v>
          </cell>
          <cell r="D934" t="str">
            <v>GOMUKH Khanpatti</v>
          </cell>
          <cell r="E934" t="str">
            <v>MPG</v>
          </cell>
          <cell r="F934" t="str">
            <v>Direct</v>
          </cell>
        </row>
        <row r="935">
          <cell r="C935">
            <v>10610010</v>
          </cell>
          <cell r="D935" t="str">
            <v>GOMUKH Bhagwatpur</v>
          </cell>
          <cell r="E935" t="str">
            <v>MPG</v>
          </cell>
          <cell r="F935" t="str">
            <v>Direct</v>
          </cell>
        </row>
        <row r="936">
          <cell r="C936">
            <v>10610011</v>
          </cell>
          <cell r="D936" t="str">
            <v>GOMUKH JIRWARA</v>
          </cell>
          <cell r="E936" t="str">
            <v>vlc</v>
          </cell>
          <cell r="F936" t="str">
            <v>Indirect</v>
          </cell>
        </row>
        <row r="937">
          <cell r="C937">
            <v>10610013</v>
          </cell>
          <cell r="D937" t="str">
            <v>GOMUKH Karhatiya</v>
          </cell>
          <cell r="E937" t="str">
            <v>vlc</v>
          </cell>
          <cell r="F937" t="str">
            <v>Indirect</v>
          </cell>
        </row>
        <row r="938">
          <cell r="C938">
            <v>10610015</v>
          </cell>
          <cell r="D938" t="str">
            <v>Gomukh Karhatiya Bujurg</v>
          </cell>
          <cell r="E938" t="str">
            <v>vlc</v>
          </cell>
          <cell r="F938" t="str">
            <v>Indirect</v>
          </cell>
        </row>
        <row r="939">
          <cell r="C939">
            <v>10610017</v>
          </cell>
          <cell r="D939" t="str">
            <v>GOMUKH Bheraukhara</v>
          </cell>
          <cell r="E939" t="str">
            <v>MPG</v>
          </cell>
          <cell r="F939" t="str">
            <v>Direct</v>
          </cell>
        </row>
        <row r="940">
          <cell r="C940">
            <v>10610018</v>
          </cell>
          <cell r="D940" t="str">
            <v>GOMUKH SUPOLTARIYA</v>
          </cell>
          <cell r="E940" t="str">
            <v>MPG</v>
          </cell>
          <cell r="F940" t="str">
            <v>Direct</v>
          </cell>
        </row>
        <row r="941">
          <cell r="C941">
            <v>10610019</v>
          </cell>
          <cell r="D941" t="str">
            <v>GOMUKH Shravanapatti</v>
          </cell>
          <cell r="E941" t="str">
            <v>MPG</v>
          </cell>
          <cell r="F941" t="str">
            <v>Direct</v>
          </cell>
        </row>
        <row r="942">
          <cell r="C942">
            <v>10610020</v>
          </cell>
          <cell r="D942" t="str">
            <v>GOMUKH Jilwara</v>
          </cell>
          <cell r="E942" t="str">
            <v>MPG</v>
          </cell>
          <cell r="F942" t="str">
            <v>Direct</v>
          </cell>
        </row>
        <row r="943">
          <cell r="C943">
            <v>10610021</v>
          </cell>
          <cell r="D943" t="str">
            <v>GOMUKH KHANPATTI EAST</v>
          </cell>
          <cell r="E943" t="str">
            <v>vlc</v>
          </cell>
          <cell r="F943" t="str">
            <v>Indirect</v>
          </cell>
        </row>
        <row r="944">
          <cell r="C944">
            <v>10610022</v>
          </cell>
          <cell r="D944" t="str">
            <v>GOMUKH ABBUCHAK</v>
          </cell>
          <cell r="E944" t="str">
            <v>MPG</v>
          </cell>
          <cell r="F944" t="str">
            <v>Direct</v>
          </cell>
        </row>
        <row r="945">
          <cell r="C945">
            <v>10610023</v>
          </cell>
          <cell r="D945" t="str">
            <v>Gomukh Husena</v>
          </cell>
          <cell r="E945" t="str">
            <v>vlc</v>
          </cell>
          <cell r="F945" t="str">
            <v>Indirect</v>
          </cell>
        </row>
        <row r="946">
          <cell r="C946">
            <v>10610024</v>
          </cell>
          <cell r="D946" t="str">
            <v>GOMUKH KAILA JALALPUR</v>
          </cell>
          <cell r="E946" t="str">
            <v>MPG</v>
          </cell>
          <cell r="F946" t="str">
            <v>Direct</v>
          </cell>
        </row>
        <row r="947">
          <cell r="C947">
            <v>10610025</v>
          </cell>
          <cell r="D947" t="str">
            <v>Gomukh Dumari</v>
          </cell>
          <cell r="E947" t="str">
            <v>vlc</v>
          </cell>
          <cell r="F947" t="str">
            <v>Indirect</v>
          </cell>
        </row>
        <row r="948">
          <cell r="C948">
            <v>10610026</v>
          </cell>
          <cell r="D948" t="str">
            <v>Gomukh Jhitkahi East</v>
          </cell>
          <cell r="E948" t="str">
            <v>MPG</v>
          </cell>
          <cell r="F948" t="str">
            <v>Direct</v>
          </cell>
        </row>
        <row r="949">
          <cell r="C949">
            <v>10610027</v>
          </cell>
          <cell r="D949" t="str">
            <v>GOMUKH UPHRAUL</v>
          </cell>
          <cell r="E949" t="str">
            <v>vlc</v>
          </cell>
          <cell r="F949" t="str">
            <v>Indirect</v>
          </cell>
        </row>
        <row r="950">
          <cell r="C950">
            <v>10610028</v>
          </cell>
          <cell r="D950" t="str">
            <v>GOMUKH SHERPUR</v>
          </cell>
          <cell r="E950" t="str">
            <v>vlc</v>
          </cell>
          <cell r="F950" t="str">
            <v>Indirect</v>
          </cell>
        </row>
        <row r="951">
          <cell r="C951">
            <v>10610031</v>
          </cell>
          <cell r="D951" t="str">
            <v>GOMUKH PANSALA</v>
          </cell>
          <cell r="E951" t="str">
            <v>vlc</v>
          </cell>
          <cell r="F951" t="str">
            <v>Indirect</v>
          </cell>
        </row>
        <row r="952">
          <cell r="C952">
            <v>10610032</v>
          </cell>
          <cell r="D952" t="str">
            <v>GOMUKH KUSIYARI</v>
          </cell>
          <cell r="E952" t="str">
            <v>vlc</v>
          </cell>
          <cell r="F952" t="str">
            <v>Indirect</v>
          </cell>
        </row>
        <row r="953">
          <cell r="C953">
            <v>10610034</v>
          </cell>
          <cell r="D953" t="str">
            <v>GOMUKH PACHAI</v>
          </cell>
          <cell r="E953" t="str">
            <v>vlc</v>
          </cell>
          <cell r="F953" t="str">
            <v>Indirect</v>
          </cell>
        </row>
        <row r="954">
          <cell r="C954">
            <v>10610035</v>
          </cell>
          <cell r="D954" t="str">
            <v>GOMUKH GARAHI</v>
          </cell>
          <cell r="E954" t="str">
            <v>vlc</v>
          </cell>
          <cell r="F954" t="str">
            <v>Indirect</v>
          </cell>
        </row>
        <row r="955">
          <cell r="C955">
            <v>10610036</v>
          </cell>
          <cell r="D955" t="str">
            <v>GOMUKH BAIKUNTHPUR</v>
          </cell>
          <cell r="E955" t="str">
            <v>vlc</v>
          </cell>
          <cell r="F955" t="str">
            <v>Indirect</v>
          </cell>
        </row>
        <row r="956">
          <cell r="C956">
            <v>10610038</v>
          </cell>
          <cell r="D956" t="str">
            <v>GOMUKH BAHASHI</v>
          </cell>
          <cell r="E956" t="str">
            <v>vlc</v>
          </cell>
          <cell r="F956" t="str">
            <v>Indirect</v>
          </cell>
        </row>
        <row r="957">
          <cell r="C957">
            <v>10610039</v>
          </cell>
          <cell r="D957" t="str">
            <v>GOMUKH BAKHRI</v>
          </cell>
          <cell r="E957" t="str">
            <v>vlc</v>
          </cell>
          <cell r="F957" t="str">
            <v>Indirect</v>
          </cell>
        </row>
        <row r="958">
          <cell r="C958">
            <v>10610040</v>
          </cell>
          <cell r="D958" t="str">
            <v>GOMUKH BAJITPUR</v>
          </cell>
          <cell r="E958" t="str">
            <v>vlc</v>
          </cell>
          <cell r="F958" t="str">
            <v>Indirect</v>
          </cell>
        </row>
        <row r="959">
          <cell r="C959">
            <v>10610042</v>
          </cell>
          <cell r="D959" t="str">
            <v>GOMUKH PANAPUR</v>
          </cell>
          <cell r="E959" t="str">
            <v>vlc</v>
          </cell>
          <cell r="F959" t="str">
            <v>Indirect</v>
          </cell>
        </row>
        <row r="960">
          <cell r="C960">
            <v>10610043</v>
          </cell>
          <cell r="D960" t="str">
            <v>GOMUKH BISANPUR SAID</v>
          </cell>
          <cell r="E960" t="str">
            <v>vlc</v>
          </cell>
          <cell r="F960" t="str">
            <v>Indirect</v>
          </cell>
        </row>
        <row r="961">
          <cell r="C961">
            <v>10610044</v>
          </cell>
          <cell r="D961" t="str">
            <v>GOMUKH BABA CHAUK</v>
          </cell>
          <cell r="E961" t="str">
            <v>vlc</v>
          </cell>
          <cell r="F961" t="str">
            <v>Indirect</v>
          </cell>
        </row>
        <row r="962">
          <cell r="C962">
            <v>10610045</v>
          </cell>
          <cell r="D962" t="str">
            <v>GOMUKH KHARIKA</v>
          </cell>
          <cell r="E962" t="str">
            <v>vlc</v>
          </cell>
          <cell r="F962" t="str">
            <v>Indirect</v>
          </cell>
        </row>
        <row r="963">
          <cell r="C963">
            <v>10610046</v>
          </cell>
          <cell r="D963" t="str">
            <v>GOMUKH KALYANPUR</v>
          </cell>
          <cell r="E963" t="str">
            <v>vlc</v>
          </cell>
          <cell r="F963" t="str">
            <v>Indirect</v>
          </cell>
        </row>
        <row r="964">
          <cell r="C964">
            <v>10610047</v>
          </cell>
          <cell r="D964" t="str">
            <v>GOMUKH GOVINDPUR</v>
          </cell>
          <cell r="E964" t="str">
            <v>vlc</v>
          </cell>
          <cell r="F964" t="str">
            <v>Indirect</v>
          </cell>
        </row>
        <row r="965">
          <cell r="C965">
            <v>10610048</v>
          </cell>
          <cell r="D965" t="str">
            <v>GOMUKH SARMASTPUR</v>
          </cell>
          <cell r="E965" t="str">
            <v>vlc</v>
          </cell>
          <cell r="F965" t="str">
            <v>Indirect</v>
          </cell>
        </row>
        <row r="966">
          <cell r="C966">
            <v>10610049</v>
          </cell>
          <cell r="D966" t="str">
            <v>GOMUKH BALUAR</v>
          </cell>
          <cell r="E966" t="str">
            <v>vlc</v>
          </cell>
          <cell r="F966" t="str">
            <v>Indirect</v>
          </cell>
        </row>
        <row r="967">
          <cell r="C967">
            <v>10630002</v>
          </cell>
          <cell r="D967" t="str">
            <v>Karua</v>
          </cell>
          <cell r="E967" t="str">
            <v>MPG</v>
          </cell>
          <cell r="F967" t="str">
            <v>Direct</v>
          </cell>
        </row>
        <row r="968">
          <cell r="C968">
            <v>10630003</v>
          </cell>
          <cell r="D968" t="str">
            <v>Erout</v>
          </cell>
          <cell r="E968" t="str">
            <v>MPG</v>
          </cell>
          <cell r="F968" t="str">
            <v>Direct</v>
          </cell>
        </row>
        <row r="969">
          <cell r="C969">
            <v>10630004</v>
          </cell>
          <cell r="D969" t="str">
            <v>Murli</v>
          </cell>
          <cell r="E969" t="str">
            <v>MPG</v>
          </cell>
          <cell r="F969" t="str">
            <v>Direct</v>
          </cell>
        </row>
        <row r="970">
          <cell r="C970">
            <v>10630007</v>
          </cell>
          <cell r="D970" t="str">
            <v>Mahespur</v>
          </cell>
          <cell r="E970" t="str">
            <v>MPG</v>
          </cell>
          <cell r="F970" t="str">
            <v>Direct</v>
          </cell>
        </row>
        <row r="971">
          <cell r="C971">
            <v>10630008</v>
          </cell>
          <cell r="D971" t="str">
            <v>Raj Nagar</v>
          </cell>
          <cell r="E971" t="str">
            <v>MPG</v>
          </cell>
          <cell r="F971" t="str">
            <v>Direct</v>
          </cell>
        </row>
        <row r="972">
          <cell r="C972">
            <v>10630009</v>
          </cell>
          <cell r="D972" t="str">
            <v>Nauapokhar</v>
          </cell>
          <cell r="E972" t="str">
            <v>MPG</v>
          </cell>
          <cell r="F972" t="str">
            <v>Direct</v>
          </cell>
        </row>
        <row r="973">
          <cell r="C973">
            <v>10630010</v>
          </cell>
          <cell r="D973" t="str">
            <v>Erout 2</v>
          </cell>
          <cell r="E973" t="str">
            <v>vlc</v>
          </cell>
          <cell r="F973" t="str">
            <v>Indirect</v>
          </cell>
        </row>
        <row r="974">
          <cell r="C974">
            <v>10630011</v>
          </cell>
          <cell r="D974" t="str">
            <v>Parsuram</v>
          </cell>
          <cell r="E974" t="str">
            <v>vlc</v>
          </cell>
          <cell r="F974" t="str">
            <v>Indirect</v>
          </cell>
        </row>
        <row r="975">
          <cell r="C975">
            <v>10630012</v>
          </cell>
          <cell r="D975" t="str">
            <v>Gudarghat</v>
          </cell>
          <cell r="E975" t="str">
            <v>vlc</v>
          </cell>
          <cell r="F975" t="str">
            <v>Indirect</v>
          </cell>
        </row>
        <row r="976">
          <cell r="C976">
            <v>10630013</v>
          </cell>
          <cell r="D976" t="str">
            <v>Siripur Gohar</v>
          </cell>
          <cell r="E976" t="str">
            <v>MPG</v>
          </cell>
          <cell r="F976" t="str">
            <v>Direct</v>
          </cell>
        </row>
        <row r="977">
          <cell r="C977">
            <v>10630014</v>
          </cell>
          <cell r="D977" t="str">
            <v>Sedukha</v>
          </cell>
          <cell r="E977" t="str">
            <v>MPG</v>
          </cell>
          <cell r="F977" t="str">
            <v>Direct</v>
          </cell>
        </row>
        <row r="978">
          <cell r="C978">
            <v>10630016</v>
          </cell>
          <cell r="D978" t="str">
            <v>Madhuban 2</v>
          </cell>
          <cell r="E978" t="str">
            <v>vlc</v>
          </cell>
          <cell r="F978" t="str">
            <v>Indirect</v>
          </cell>
        </row>
        <row r="979">
          <cell r="C979">
            <v>10630017</v>
          </cell>
          <cell r="D979" t="str">
            <v>Yadav Jee</v>
          </cell>
          <cell r="E979" t="str">
            <v>vlc</v>
          </cell>
          <cell r="F979" t="str">
            <v>Indirect</v>
          </cell>
        </row>
        <row r="980">
          <cell r="C980">
            <v>10630018</v>
          </cell>
          <cell r="D980" t="str">
            <v>Durgaashtan 2</v>
          </cell>
          <cell r="E980" t="str">
            <v>vlc</v>
          </cell>
          <cell r="F980" t="str">
            <v>Indirect</v>
          </cell>
        </row>
        <row r="981">
          <cell r="C981">
            <v>10630019</v>
          </cell>
          <cell r="D981" t="str">
            <v xml:space="preserve">Durgaashtan </v>
          </cell>
          <cell r="E981" t="str">
            <v>vlc</v>
          </cell>
          <cell r="F981" t="str">
            <v>Indirect</v>
          </cell>
        </row>
        <row r="982">
          <cell r="C982">
            <v>10640001</v>
          </cell>
          <cell r="D982" t="str">
            <v xml:space="preserve">DUMRA </v>
          </cell>
          <cell r="E982" t="str">
            <v>MPG</v>
          </cell>
          <cell r="F982" t="str">
            <v>Direct</v>
          </cell>
        </row>
        <row r="983">
          <cell r="C983">
            <v>10640002</v>
          </cell>
          <cell r="D983" t="str">
            <v>DIHA</v>
          </cell>
          <cell r="E983" t="str">
            <v>MPG</v>
          </cell>
          <cell r="F983" t="str">
            <v>Direct</v>
          </cell>
        </row>
        <row r="984">
          <cell r="C984">
            <v>10640003</v>
          </cell>
          <cell r="D984" t="str">
            <v>BALHA</v>
          </cell>
          <cell r="E984" t="str">
            <v>MPG</v>
          </cell>
          <cell r="F984" t="str">
            <v>Direct</v>
          </cell>
        </row>
        <row r="985">
          <cell r="C985">
            <v>10640004</v>
          </cell>
          <cell r="D985" t="str">
            <v>BHARIHAR</v>
          </cell>
          <cell r="E985" t="str">
            <v>MPG</v>
          </cell>
          <cell r="F985" t="str">
            <v>Direct</v>
          </cell>
        </row>
        <row r="986">
          <cell r="C986">
            <v>10640005</v>
          </cell>
          <cell r="D986" t="str">
            <v>BARA</v>
          </cell>
          <cell r="E986" t="str">
            <v>MPG</v>
          </cell>
          <cell r="F986" t="str">
            <v>Direct</v>
          </cell>
        </row>
        <row r="987">
          <cell r="C987">
            <v>10640006</v>
          </cell>
          <cell r="D987" t="str">
            <v>KABILASHI</v>
          </cell>
          <cell r="E987" t="str">
            <v>MPG</v>
          </cell>
          <cell r="F987" t="str">
            <v>Direct</v>
          </cell>
        </row>
        <row r="988">
          <cell r="C988">
            <v>10640007</v>
          </cell>
          <cell r="D988" t="str">
            <v>SULTANPUR</v>
          </cell>
          <cell r="E988" t="str">
            <v>vlc</v>
          </cell>
          <cell r="F988" t="str">
            <v>Indirect</v>
          </cell>
        </row>
        <row r="989">
          <cell r="C989">
            <v>10640009</v>
          </cell>
          <cell r="D989" t="str">
            <v>SUKUMARPUR</v>
          </cell>
          <cell r="E989" t="str">
            <v>MPG</v>
          </cell>
          <cell r="F989" t="str">
            <v>Direct</v>
          </cell>
        </row>
        <row r="990">
          <cell r="C990">
            <v>10640010</v>
          </cell>
          <cell r="D990" t="str">
            <v>SISAUNA VLC</v>
          </cell>
          <cell r="E990" t="str">
            <v>vlc</v>
          </cell>
          <cell r="F990" t="str">
            <v>Indirect</v>
          </cell>
        </row>
        <row r="991">
          <cell r="C991">
            <v>10640011</v>
          </cell>
          <cell r="D991" t="str">
            <v xml:space="preserve">Aditya Bishwas </v>
          </cell>
          <cell r="E991" t="str">
            <v>vlc</v>
          </cell>
          <cell r="F991" t="str">
            <v>Indirect</v>
          </cell>
        </row>
        <row r="992">
          <cell r="C992">
            <v>10650001</v>
          </cell>
          <cell r="D992" t="str">
            <v>Gomukh Vijaiya</v>
          </cell>
          <cell r="E992" t="str">
            <v>MPG</v>
          </cell>
          <cell r="F992" t="str">
            <v>Direct</v>
          </cell>
        </row>
        <row r="993">
          <cell r="C993">
            <v>10650003</v>
          </cell>
          <cell r="D993" t="str">
            <v>Gomukh Gangauli</v>
          </cell>
          <cell r="E993" t="str">
            <v>MPG</v>
          </cell>
          <cell r="F993" t="str">
            <v>Direct</v>
          </cell>
        </row>
        <row r="994">
          <cell r="C994">
            <v>10650004</v>
          </cell>
          <cell r="D994" t="str">
            <v>Gomukh KARRAKH</v>
          </cell>
          <cell r="E994" t="str">
            <v>MPG</v>
          </cell>
          <cell r="F994" t="str">
            <v>Direct</v>
          </cell>
        </row>
        <row r="995">
          <cell r="C995">
            <v>10650006</v>
          </cell>
          <cell r="D995" t="str">
            <v>MANDA</v>
          </cell>
          <cell r="E995" t="str">
            <v>vlc</v>
          </cell>
          <cell r="F995" t="str">
            <v>Indirect</v>
          </cell>
        </row>
        <row r="996">
          <cell r="C996">
            <v>10650007</v>
          </cell>
          <cell r="D996" t="str">
            <v>KASHTOLI</v>
          </cell>
          <cell r="E996" t="str">
            <v>vlc</v>
          </cell>
          <cell r="F996" t="str">
            <v>Indirect</v>
          </cell>
        </row>
        <row r="997">
          <cell r="C997">
            <v>10650008</v>
          </cell>
          <cell r="D997" t="str">
            <v>HAWASPUR</v>
          </cell>
          <cell r="E997" t="str">
            <v>vlc</v>
          </cell>
          <cell r="F997" t="str">
            <v>Indirect</v>
          </cell>
        </row>
        <row r="998">
          <cell r="C998">
            <v>10650012</v>
          </cell>
          <cell r="D998" t="str">
            <v>Fateha</v>
          </cell>
          <cell r="E998" t="str">
            <v>vlc</v>
          </cell>
          <cell r="F998" t="str">
            <v>Indirect</v>
          </cell>
        </row>
        <row r="999">
          <cell r="E999" t="str">
            <v>Total:</v>
          </cell>
          <cell r="F999">
            <v>995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44EBC-2FD5-4E27-AC25-35833CB982C8}">
  <dimension ref="A1:K30"/>
  <sheetViews>
    <sheetView tabSelected="1" workbookViewId="0">
      <selection activeCell="O29" sqref="O29"/>
    </sheetView>
  </sheetViews>
  <sheetFormatPr defaultRowHeight="15" x14ac:dyDescent="0.25"/>
  <cols>
    <col min="1" max="1" width="5.85546875" bestFit="1" customWidth="1"/>
    <col min="2" max="2" width="13.140625" bestFit="1" customWidth="1"/>
    <col min="3" max="3" width="10.42578125" bestFit="1" customWidth="1"/>
    <col min="4" max="4" width="9.5703125" bestFit="1" customWidth="1"/>
    <col min="5" max="5" width="8.140625" customWidth="1"/>
    <col min="6" max="6" width="19.85546875" bestFit="1" customWidth="1"/>
    <col min="7" max="7" width="11.7109375" bestFit="1" customWidth="1"/>
    <col min="8" max="8" width="3.85546875" bestFit="1" customWidth="1"/>
    <col min="9" max="9" width="4.7109375" bestFit="1" customWidth="1"/>
    <col min="10" max="10" width="7.42578125" bestFit="1" customWidth="1"/>
    <col min="11" max="11" width="10.42578125" bestFit="1" customWidth="1"/>
  </cols>
  <sheetData>
    <row r="1" spans="1:11" ht="15.75" thickBot="1" x14ac:dyDescent="0.3">
      <c r="A1" s="14" t="s">
        <v>33</v>
      </c>
      <c r="B1" s="14"/>
      <c r="C1" s="14"/>
      <c r="D1" s="14"/>
      <c r="E1" s="14"/>
      <c r="F1" s="14"/>
      <c r="G1" s="14"/>
      <c r="H1" s="14"/>
      <c r="I1" s="14"/>
      <c r="J1" s="14"/>
    </row>
    <row r="2" spans="1:11" ht="15.75" thickBot="1" x14ac:dyDescent="0.3">
      <c r="A2" s="1" t="s">
        <v>0</v>
      </c>
      <c r="B2" s="9" t="s">
        <v>39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9</v>
      </c>
      <c r="H2" s="2" t="s">
        <v>5</v>
      </c>
      <c r="I2" s="2" t="s">
        <v>6</v>
      </c>
      <c r="J2" s="10" t="s">
        <v>7</v>
      </c>
      <c r="K2" s="8" t="s">
        <v>40</v>
      </c>
    </row>
    <row r="3" spans="1:11" x14ac:dyDescent="0.25">
      <c r="A3" s="3">
        <v>1</v>
      </c>
      <c r="B3" s="3" t="str">
        <f>CONCATENATE(D3,G3)</f>
        <v>105300020002</v>
      </c>
      <c r="C3" s="3" t="s">
        <v>11</v>
      </c>
      <c r="D3" s="4">
        <v>10530002</v>
      </c>
      <c r="E3" s="3" t="str">
        <f>VLOOKUP(D3,'[1]MPG Payment'!$C$3:$F$1001,4,0)</f>
        <v>Direct</v>
      </c>
      <c r="F3" s="4" t="s">
        <v>8</v>
      </c>
      <c r="G3" s="5" t="s">
        <v>10</v>
      </c>
      <c r="H3" s="3">
        <v>10</v>
      </c>
      <c r="I3" s="3">
        <v>235</v>
      </c>
      <c r="J3" s="11">
        <f>+I3*H3</f>
        <v>2350</v>
      </c>
      <c r="K3" s="7">
        <v>0</v>
      </c>
    </row>
    <row r="4" spans="1:11" x14ac:dyDescent="0.25">
      <c r="A4" s="4">
        <f>A3+1</f>
        <v>2</v>
      </c>
      <c r="B4" s="3" t="str">
        <f t="shared" ref="B4:B29" si="0">CONCATENATE(D4,G4)</f>
        <v>105300030002</v>
      </c>
      <c r="C4" s="3" t="s">
        <v>11</v>
      </c>
      <c r="D4" s="4">
        <v>10530003</v>
      </c>
      <c r="E4" s="3" t="str">
        <f>VLOOKUP(D4,'[1]MPG Payment'!$C$3:$F$1001,4,0)</f>
        <v>Direct</v>
      </c>
      <c r="F4" s="4" t="s">
        <v>12</v>
      </c>
      <c r="G4" s="6" t="s">
        <v>10</v>
      </c>
      <c r="H4" s="4">
        <v>1</v>
      </c>
      <c r="I4" s="3">
        <v>235</v>
      </c>
      <c r="J4" s="11">
        <f t="shared" ref="J4:J29" si="1">+I4*H4</f>
        <v>235</v>
      </c>
      <c r="K4" s="7">
        <v>235</v>
      </c>
    </row>
    <row r="5" spans="1:11" x14ac:dyDescent="0.25">
      <c r="A5" s="4">
        <f t="shared" ref="A5:A29" si="2">A4+1</f>
        <v>3</v>
      </c>
      <c r="B5" s="3" t="str">
        <f t="shared" si="0"/>
        <v>105300030006</v>
      </c>
      <c r="C5" s="3" t="s">
        <v>11</v>
      </c>
      <c r="D5" s="4">
        <v>10530003</v>
      </c>
      <c r="E5" s="3" t="str">
        <f>VLOOKUP(D5,'[1]MPG Payment'!$C$3:$F$1001,4,0)</f>
        <v>Direct</v>
      </c>
      <c r="F5" s="4" t="s">
        <v>12</v>
      </c>
      <c r="G5" s="6" t="s">
        <v>14</v>
      </c>
      <c r="H5" s="4">
        <v>4</v>
      </c>
      <c r="I5" s="3">
        <v>235</v>
      </c>
      <c r="J5" s="11">
        <f t="shared" si="1"/>
        <v>940</v>
      </c>
      <c r="K5" s="7">
        <v>940</v>
      </c>
    </row>
    <row r="6" spans="1:11" x14ac:dyDescent="0.25">
      <c r="A6" s="4">
        <f t="shared" si="2"/>
        <v>4</v>
      </c>
      <c r="B6" s="3" t="str">
        <f t="shared" si="0"/>
        <v>105300320051</v>
      </c>
      <c r="C6" s="3" t="s">
        <v>11</v>
      </c>
      <c r="D6" s="4">
        <v>10530032</v>
      </c>
      <c r="E6" s="3" t="str">
        <f>VLOOKUP(D6,'[1]MPG Payment'!$C$3:$F$1001,4,0)</f>
        <v>Direct</v>
      </c>
      <c r="F6" s="4" t="s">
        <v>17</v>
      </c>
      <c r="G6" s="6" t="s">
        <v>16</v>
      </c>
      <c r="H6" s="4">
        <v>1</v>
      </c>
      <c r="I6" s="3">
        <v>235</v>
      </c>
      <c r="J6" s="11">
        <f t="shared" si="1"/>
        <v>235</v>
      </c>
      <c r="K6" s="7">
        <v>71</v>
      </c>
    </row>
    <row r="7" spans="1:11" x14ac:dyDescent="0.25">
      <c r="A7" s="4">
        <f t="shared" si="2"/>
        <v>5</v>
      </c>
      <c r="B7" s="3" t="str">
        <f t="shared" si="0"/>
        <v>105300320042</v>
      </c>
      <c r="C7" s="3" t="s">
        <v>11</v>
      </c>
      <c r="D7" s="4">
        <v>10530032</v>
      </c>
      <c r="E7" s="3" t="str">
        <f>VLOOKUP(D7,'[1]MPG Payment'!$C$3:$F$1001,4,0)</f>
        <v>Direct</v>
      </c>
      <c r="F7" s="4" t="s">
        <v>17</v>
      </c>
      <c r="G7" s="6" t="s">
        <v>18</v>
      </c>
      <c r="H7" s="4">
        <v>1</v>
      </c>
      <c r="I7" s="3">
        <v>235</v>
      </c>
      <c r="J7" s="11">
        <f t="shared" si="1"/>
        <v>235</v>
      </c>
      <c r="K7" s="7">
        <v>235</v>
      </c>
    </row>
    <row r="8" spans="1:11" x14ac:dyDescent="0.25">
      <c r="A8" s="4">
        <f t="shared" si="2"/>
        <v>6</v>
      </c>
      <c r="B8" s="3" t="str">
        <f t="shared" si="0"/>
        <v>105300320010</v>
      </c>
      <c r="C8" s="3" t="s">
        <v>11</v>
      </c>
      <c r="D8" s="4">
        <v>10530032</v>
      </c>
      <c r="E8" s="3" t="str">
        <f>VLOOKUP(D8,'[1]MPG Payment'!$C$3:$F$1001,4,0)</f>
        <v>Direct</v>
      </c>
      <c r="F8" s="4" t="s">
        <v>17</v>
      </c>
      <c r="G8" s="6" t="s">
        <v>19</v>
      </c>
      <c r="H8" s="4">
        <v>1</v>
      </c>
      <c r="I8" s="3">
        <v>235</v>
      </c>
      <c r="J8" s="11">
        <f t="shared" si="1"/>
        <v>235</v>
      </c>
      <c r="K8" s="7">
        <v>235</v>
      </c>
    </row>
    <row r="9" spans="1:11" x14ac:dyDescent="0.25">
      <c r="A9" s="4">
        <f t="shared" si="2"/>
        <v>7</v>
      </c>
      <c r="B9" s="3" t="str">
        <f t="shared" si="0"/>
        <v>105300320021</v>
      </c>
      <c r="C9" s="3" t="s">
        <v>11</v>
      </c>
      <c r="D9" s="4">
        <v>10530032</v>
      </c>
      <c r="E9" s="3" t="str">
        <f>VLOOKUP(D9,'[1]MPG Payment'!$C$3:$F$1001,4,0)</f>
        <v>Direct</v>
      </c>
      <c r="F9" s="4" t="s">
        <v>17</v>
      </c>
      <c r="G9" s="6" t="s">
        <v>20</v>
      </c>
      <c r="H9" s="4">
        <v>1</v>
      </c>
      <c r="I9" s="3">
        <v>235</v>
      </c>
      <c r="J9" s="11">
        <f t="shared" si="1"/>
        <v>235</v>
      </c>
      <c r="K9" s="7">
        <v>235</v>
      </c>
    </row>
    <row r="10" spans="1:11" x14ac:dyDescent="0.25">
      <c r="A10" s="4">
        <f t="shared" si="2"/>
        <v>8</v>
      </c>
      <c r="B10" s="3" t="str">
        <f t="shared" si="0"/>
        <v>105300820009</v>
      </c>
      <c r="C10" s="3" t="s">
        <v>11</v>
      </c>
      <c r="D10" s="4">
        <v>10530082</v>
      </c>
      <c r="E10" s="3" t="str">
        <f>VLOOKUP(D10,'[1]MPG Payment'!$C$3:$F$1001,4,0)</f>
        <v>Direct</v>
      </c>
      <c r="F10" s="4" t="s">
        <v>21</v>
      </c>
      <c r="G10" s="6" t="s">
        <v>15</v>
      </c>
      <c r="H10" s="4">
        <v>1.591</v>
      </c>
      <c r="I10" s="3">
        <v>235</v>
      </c>
      <c r="J10" s="12">
        <f t="shared" si="1"/>
        <v>373.88499999999999</v>
      </c>
      <c r="K10" s="7">
        <v>373.88499999999999</v>
      </c>
    </row>
    <row r="11" spans="1:11" x14ac:dyDescent="0.25">
      <c r="A11" s="4">
        <f t="shared" si="2"/>
        <v>9</v>
      </c>
      <c r="B11" s="3" t="str">
        <f t="shared" si="0"/>
        <v>105300010038</v>
      </c>
      <c r="C11" s="3" t="s">
        <v>11</v>
      </c>
      <c r="D11" s="4">
        <v>10530001</v>
      </c>
      <c r="E11" s="3" t="str">
        <f>VLOOKUP(D11,'[1]MPG Payment'!$C$3:$F$1001,4,0)</f>
        <v>Direct</v>
      </c>
      <c r="F11" s="4" t="s">
        <v>22</v>
      </c>
      <c r="G11" s="6" t="s">
        <v>23</v>
      </c>
      <c r="H11" s="4">
        <v>2</v>
      </c>
      <c r="I11" s="3">
        <v>235</v>
      </c>
      <c r="J11" s="11">
        <f t="shared" si="1"/>
        <v>470</v>
      </c>
      <c r="K11" s="7">
        <v>470</v>
      </c>
    </row>
    <row r="12" spans="1:11" x14ac:dyDescent="0.25">
      <c r="A12" s="4">
        <f t="shared" si="2"/>
        <v>10</v>
      </c>
      <c r="B12" s="3" t="str">
        <f t="shared" si="0"/>
        <v>105300010004</v>
      </c>
      <c r="C12" s="3" t="s">
        <v>11</v>
      </c>
      <c r="D12" s="4">
        <v>10530001</v>
      </c>
      <c r="E12" s="3" t="str">
        <f>VLOOKUP(D12,'[1]MPG Payment'!$C$3:$F$1001,4,0)</f>
        <v>Direct</v>
      </c>
      <c r="F12" s="4" t="s">
        <v>22</v>
      </c>
      <c r="G12" s="6" t="s">
        <v>13</v>
      </c>
      <c r="H12" s="4">
        <v>1</v>
      </c>
      <c r="I12" s="3">
        <v>235</v>
      </c>
      <c r="J12" s="11">
        <f t="shared" si="1"/>
        <v>235</v>
      </c>
      <c r="K12" s="7">
        <v>235</v>
      </c>
    </row>
    <row r="13" spans="1:11" x14ac:dyDescent="0.25">
      <c r="A13" s="4">
        <f t="shared" si="2"/>
        <v>11</v>
      </c>
      <c r="B13" s="3" t="str">
        <f t="shared" si="0"/>
        <v>105300010010</v>
      </c>
      <c r="C13" s="3" t="s">
        <v>11</v>
      </c>
      <c r="D13" s="4">
        <v>10530001</v>
      </c>
      <c r="E13" s="3" t="str">
        <f>VLOOKUP(D13,'[1]MPG Payment'!$C$3:$F$1001,4,0)</f>
        <v>Direct</v>
      </c>
      <c r="F13" s="4" t="s">
        <v>22</v>
      </c>
      <c r="G13" s="6" t="s">
        <v>19</v>
      </c>
      <c r="H13" s="4">
        <v>2.5</v>
      </c>
      <c r="I13" s="3">
        <v>235</v>
      </c>
      <c r="J13" s="11">
        <f t="shared" si="1"/>
        <v>587.5</v>
      </c>
      <c r="K13" s="7">
        <v>0</v>
      </c>
    </row>
    <row r="14" spans="1:11" x14ac:dyDescent="0.25">
      <c r="A14" s="4">
        <f t="shared" si="2"/>
        <v>12</v>
      </c>
      <c r="B14" s="3" t="str">
        <f t="shared" si="0"/>
        <v>105300010039</v>
      </c>
      <c r="C14" s="3" t="s">
        <v>11</v>
      </c>
      <c r="D14" s="4">
        <v>10530001</v>
      </c>
      <c r="E14" s="3" t="str">
        <f>VLOOKUP(D14,'[1]MPG Payment'!$C$3:$F$1001,4,0)</f>
        <v>Direct</v>
      </c>
      <c r="F14" s="4" t="s">
        <v>22</v>
      </c>
      <c r="G14" s="6" t="s">
        <v>24</v>
      </c>
      <c r="H14" s="4">
        <v>2</v>
      </c>
      <c r="I14" s="3">
        <v>235</v>
      </c>
      <c r="J14" s="11">
        <f t="shared" si="1"/>
        <v>470</v>
      </c>
      <c r="K14" s="7">
        <v>470</v>
      </c>
    </row>
    <row r="15" spans="1:11" x14ac:dyDescent="0.25">
      <c r="A15" s="4">
        <f t="shared" si="2"/>
        <v>13</v>
      </c>
      <c r="B15" s="3" t="str">
        <f t="shared" si="0"/>
        <v>105300010028</v>
      </c>
      <c r="C15" s="3" t="s">
        <v>11</v>
      </c>
      <c r="D15" s="4">
        <v>10530001</v>
      </c>
      <c r="E15" s="3" t="str">
        <f>VLOOKUP(D15,'[1]MPG Payment'!$C$3:$F$1001,4,0)</f>
        <v>Direct</v>
      </c>
      <c r="F15" s="4" t="s">
        <v>22</v>
      </c>
      <c r="G15" s="6" t="s">
        <v>25</v>
      </c>
      <c r="H15" s="4">
        <v>1</v>
      </c>
      <c r="I15" s="3">
        <v>235</v>
      </c>
      <c r="J15" s="11">
        <f t="shared" si="1"/>
        <v>235</v>
      </c>
      <c r="K15" s="7">
        <v>235</v>
      </c>
    </row>
    <row r="16" spans="1:11" x14ac:dyDescent="0.25">
      <c r="A16" s="4">
        <f t="shared" si="2"/>
        <v>14</v>
      </c>
      <c r="B16" s="3" t="str">
        <f t="shared" si="0"/>
        <v>105300010014</v>
      </c>
      <c r="C16" s="3" t="s">
        <v>11</v>
      </c>
      <c r="D16" s="4">
        <v>10530001</v>
      </c>
      <c r="E16" s="3" t="str">
        <f>VLOOKUP(D16,'[1]MPG Payment'!$C$3:$F$1001,4,0)</f>
        <v>Direct</v>
      </c>
      <c r="F16" s="4" t="s">
        <v>22</v>
      </c>
      <c r="G16" s="6" t="s">
        <v>26</v>
      </c>
      <c r="H16" s="4">
        <v>1</v>
      </c>
      <c r="I16" s="3">
        <v>235</v>
      </c>
      <c r="J16" s="11">
        <f t="shared" si="1"/>
        <v>235</v>
      </c>
      <c r="K16" s="7">
        <v>235</v>
      </c>
    </row>
    <row r="17" spans="1:11" x14ac:dyDescent="0.25">
      <c r="A17" s="4">
        <f t="shared" si="2"/>
        <v>15</v>
      </c>
      <c r="B17" s="3" t="str">
        <f t="shared" si="0"/>
        <v>105300010022</v>
      </c>
      <c r="C17" s="3" t="s">
        <v>11</v>
      </c>
      <c r="D17" s="4">
        <v>10530001</v>
      </c>
      <c r="E17" s="3" t="str">
        <f>VLOOKUP(D17,'[1]MPG Payment'!$C$3:$F$1001,4,0)</f>
        <v>Direct</v>
      </c>
      <c r="F17" s="4" t="s">
        <v>22</v>
      </c>
      <c r="G17" s="6" t="s">
        <v>28</v>
      </c>
      <c r="H17" s="4">
        <v>1</v>
      </c>
      <c r="I17" s="3">
        <v>235</v>
      </c>
      <c r="J17" s="11">
        <f t="shared" si="1"/>
        <v>235</v>
      </c>
      <c r="K17" s="7">
        <v>235</v>
      </c>
    </row>
    <row r="18" spans="1:11" x14ac:dyDescent="0.25">
      <c r="A18" s="4">
        <f t="shared" si="2"/>
        <v>16</v>
      </c>
      <c r="B18" s="3" t="str">
        <f t="shared" si="0"/>
        <v>105300010052</v>
      </c>
      <c r="C18" s="3" t="s">
        <v>11</v>
      </c>
      <c r="D18" s="4">
        <v>10530001</v>
      </c>
      <c r="E18" s="3" t="str">
        <f>VLOOKUP(D18,'[1]MPG Payment'!$C$3:$F$1001,4,0)</f>
        <v>Direct</v>
      </c>
      <c r="F18" s="4" t="s">
        <v>22</v>
      </c>
      <c r="G18" s="6" t="s">
        <v>30</v>
      </c>
      <c r="H18" s="4">
        <v>2</v>
      </c>
      <c r="I18" s="3">
        <v>235</v>
      </c>
      <c r="J18" s="11">
        <f t="shared" si="1"/>
        <v>470</v>
      </c>
      <c r="K18" s="7">
        <v>470</v>
      </c>
    </row>
    <row r="19" spans="1:11" x14ac:dyDescent="0.25">
      <c r="A19" s="4">
        <f t="shared" si="2"/>
        <v>17</v>
      </c>
      <c r="B19" s="3" t="str">
        <f t="shared" si="0"/>
        <v>105300010036</v>
      </c>
      <c r="C19" s="3" t="s">
        <v>11</v>
      </c>
      <c r="D19" s="4">
        <v>10530001</v>
      </c>
      <c r="E19" s="3" t="str">
        <f>VLOOKUP(D19,'[1]MPG Payment'!$C$3:$F$1001,4,0)</f>
        <v>Direct</v>
      </c>
      <c r="F19" s="4" t="s">
        <v>22</v>
      </c>
      <c r="G19" s="6" t="s">
        <v>38</v>
      </c>
      <c r="H19" s="4">
        <v>2</v>
      </c>
      <c r="I19" s="3">
        <v>235</v>
      </c>
      <c r="J19" s="11">
        <f t="shared" si="1"/>
        <v>470</v>
      </c>
      <c r="K19" s="7">
        <v>470</v>
      </c>
    </row>
    <row r="20" spans="1:11" x14ac:dyDescent="0.25">
      <c r="A20" s="4">
        <f t="shared" si="2"/>
        <v>18</v>
      </c>
      <c r="B20" s="3" t="str">
        <f t="shared" si="0"/>
        <v>105300010006</v>
      </c>
      <c r="C20" s="3" t="s">
        <v>11</v>
      </c>
      <c r="D20" s="4">
        <v>10530001</v>
      </c>
      <c r="E20" s="3" t="str">
        <f>VLOOKUP(D20,'[1]MPG Payment'!$C$3:$F$1001,4,0)</f>
        <v>Direct</v>
      </c>
      <c r="F20" s="4" t="s">
        <v>22</v>
      </c>
      <c r="G20" s="6" t="s">
        <v>14</v>
      </c>
      <c r="H20" s="4">
        <v>6.5</v>
      </c>
      <c r="I20" s="3">
        <v>235</v>
      </c>
      <c r="J20" s="11">
        <f t="shared" si="1"/>
        <v>1527.5</v>
      </c>
      <c r="K20" s="7">
        <v>1527.5</v>
      </c>
    </row>
    <row r="21" spans="1:11" x14ac:dyDescent="0.25">
      <c r="A21" s="4">
        <f t="shared" si="2"/>
        <v>19</v>
      </c>
      <c r="B21" s="3" t="str">
        <f t="shared" si="0"/>
        <v>105300850002</v>
      </c>
      <c r="C21" s="3" t="s">
        <v>11</v>
      </c>
      <c r="D21" s="4">
        <v>10530085</v>
      </c>
      <c r="E21" s="3" t="str">
        <f>VLOOKUP(D21,'[1]MPG Payment'!$C$3:$F$1001,4,0)</f>
        <v>Direct</v>
      </c>
      <c r="F21" s="4" t="s">
        <v>31</v>
      </c>
      <c r="G21" s="6" t="s">
        <v>10</v>
      </c>
      <c r="H21" s="4">
        <v>4</v>
      </c>
      <c r="I21" s="3">
        <v>235</v>
      </c>
      <c r="J21" s="11">
        <f t="shared" si="1"/>
        <v>940</v>
      </c>
      <c r="K21" s="7">
        <v>443</v>
      </c>
    </row>
    <row r="22" spans="1:11" x14ac:dyDescent="0.25">
      <c r="A22" s="4">
        <f t="shared" si="2"/>
        <v>20</v>
      </c>
      <c r="B22" s="3" t="str">
        <f t="shared" si="0"/>
        <v>105300850003</v>
      </c>
      <c r="C22" s="3" t="s">
        <v>11</v>
      </c>
      <c r="D22" s="4">
        <v>10530085</v>
      </c>
      <c r="E22" s="3" t="str">
        <f>VLOOKUP(D22,'[1]MPG Payment'!$C$3:$F$1001,4,0)</f>
        <v>Direct</v>
      </c>
      <c r="F22" s="4" t="s">
        <v>31</v>
      </c>
      <c r="G22" s="6" t="s">
        <v>32</v>
      </c>
      <c r="H22" s="4">
        <v>4</v>
      </c>
      <c r="I22" s="3">
        <v>235</v>
      </c>
      <c r="J22" s="11">
        <f t="shared" si="1"/>
        <v>940</v>
      </c>
      <c r="K22" s="7">
        <v>940</v>
      </c>
    </row>
    <row r="23" spans="1:11" x14ac:dyDescent="0.25">
      <c r="A23" s="4">
        <f t="shared" si="2"/>
        <v>21</v>
      </c>
      <c r="B23" s="3" t="str">
        <f t="shared" si="0"/>
        <v>105300850019</v>
      </c>
      <c r="C23" s="3" t="s">
        <v>11</v>
      </c>
      <c r="D23" s="4">
        <v>10530085</v>
      </c>
      <c r="E23" s="3" t="str">
        <f>VLOOKUP(D23,'[1]MPG Payment'!$C$3:$F$1001,4,0)</f>
        <v>Direct</v>
      </c>
      <c r="F23" s="4" t="s">
        <v>31</v>
      </c>
      <c r="G23" s="6" t="s">
        <v>27</v>
      </c>
      <c r="H23" s="4">
        <v>1</v>
      </c>
      <c r="I23" s="3">
        <v>235</v>
      </c>
      <c r="J23" s="11">
        <f t="shared" si="1"/>
        <v>235</v>
      </c>
      <c r="K23" s="7">
        <v>0</v>
      </c>
    </row>
    <row r="24" spans="1:11" x14ac:dyDescent="0.25">
      <c r="A24" s="4">
        <f t="shared" si="2"/>
        <v>22</v>
      </c>
      <c r="B24" s="3" t="str">
        <f t="shared" si="0"/>
        <v>105300850027</v>
      </c>
      <c r="C24" s="3" t="s">
        <v>11</v>
      </c>
      <c r="D24" s="4">
        <v>10530085</v>
      </c>
      <c r="E24" s="3" t="str">
        <f>VLOOKUP(D24,'[1]MPG Payment'!$C$3:$F$1001,4,0)</f>
        <v>Direct</v>
      </c>
      <c r="F24" s="4" t="s">
        <v>31</v>
      </c>
      <c r="G24" s="6" t="s">
        <v>29</v>
      </c>
      <c r="H24" s="4">
        <v>1</v>
      </c>
      <c r="I24" s="3">
        <v>235</v>
      </c>
      <c r="J24" s="11">
        <f t="shared" si="1"/>
        <v>235</v>
      </c>
      <c r="K24" s="7">
        <v>0</v>
      </c>
    </row>
    <row r="25" spans="1:11" x14ac:dyDescent="0.25">
      <c r="A25" s="4">
        <f t="shared" si="2"/>
        <v>23</v>
      </c>
      <c r="B25" s="3" t="str">
        <f t="shared" si="0"/>
        <v>105600170002</v>
      </c>
      <c r="C25" s="7" t="s">
        <v>35</v>
      </c>
      <c r="D25" s="7">
        <v>10560017</v>
      </c>
      <c r="E25" s="3" t="str">
        <f>VLOOKUP(D25,'[1]MPG Payment'!$C$3:$F$1001,4,0)</f>
        <v>Direct</v>
      </c>
      <c r="F25" s="7" t="s">
        <v>34</v>
      </c>
      <c r="G25" s="6" t="s">
        <v>10</v>
      </c>
      <c r="H25" s="4">
        <v>12</v>
      </c>
      <c r="I25" s="3">
        <v>140</v>
      </c>
      <c r="J25" s="11">
        <f t="shared" si="1"/>
        <v>1680</v>
      </c>
      <c r="K25" s="7">
        <v>0</v>
      </c>
    </row>
    <row r="26" spans="1:11" x14ac:dyDescent="0.25">
      <c r="A26" s="4">
        <f t="shared" si="2"/>
        <v>24</v>
      </c>
      <c r="B26" s="3" t="str">
        <f t="shared" si="0"/>
        <v>105600170002</v>
      </c>
      <c r="C26" s="7" t="s">
        <v>35</v>
      </c>
      <c r="D26" s="7">
        <v>10560017</v>
      </c>
      <c r="E26" s="3" t="str">
        <f>VLOOKUP(D26,'[1]MPG Payment'!$C$3:$F$1001,4,0)</f>
        <v>Direct</v>
      </c>
      <c r="F26" s="7" t="s">
        <v>34</v>
      </c>
      <c r="G26" s="6" t="s">
        <v>10</v>
      </c>
      <c r="H26" s="4">
        <v>7</v>
      </c>
      <c r="I26" s="3">
        <v>460</v>
      </c>
      <c r="J26" s="11">
        <f t="shared" si="1"/>
        <v>3220</v>
      </c>
      <c r="K26" s="7">
        <v>0</v>
      </c>
    </row>
    <row r="27" spans="1:11" x14ac:dyDescent="0.25">
      <c r="A27" s="4">
        <f t="shared" si="2"/>
        <v>25</v>
      </c>
      <c r="B27" s="3" t="str">
        <f t="shared" si="0"/>
        <v>106000130002</v>
      </c>
      <c r="C27" s="7" t="s">
        <v>35</v>
      </c>
      <c r="D27" s="7">
        <v>10600013</v>
      </c>
      <c r="E27" s="3" t="str">
        <f>VLOOKUP(D27,'[1]MPG Payment'!$C$3:$F$1001,4,0)</f>
        <v>Direct</v>
      </c>
      <c r="F27" s="7" t="s">
        <v>36</v>
      </c>
      <c r="G27" s="6" t="s">
        <v>10</v>
      </c>
      <c r="H27" s="4">
        <v>8</v>
      </c>
      <c r="I27" s="3">
        <v>140</v>
      </c>
      <c r="J27" s="11">
        <f t="shared" si="1"/>
        <v>1120</v>
      </c>
      <c r="K27" s="7">
        <v>1120</v>
      </c>
    </row>
    <row r="28" spans="1:11" x14ac:dyDescent="0.25">
      <c r="A28" s="4">
        <f t="shared" si="2"/>
        <v>26</v>
      </c>
      <c r="B28" s="3" t="str">
        <f t="shared" si="0"/>
        <v>10070008</v>
      </c>
      <c r="C28" s="7" t="s">
        <v>35</v>
      </c>
      <c r="D28" s="4">
        <v>10070008</v>
      </c>
      <c r="E28" s="3" t="str">
        <f>VLOOKUP(D28,'[1]MPG Payment'!$C$3:$F$1001,4,0)</f>
        <v>Indirect</v>
      </c>
      <c r="F28" s="4" t="s">
        <v>37</v>
      </c>
      <c r="G28" s="6"/>
      <c r="H28" s="4">
        <v>30</v>
      </c>
      <c r="I28" s="3">
        <v>140</v>
      </c>
      <c r="J28" s="11">
        <f t="shared" si="1"/>
        <v>4200</v>
      </c>
      <c r="K28" s="7">
        <v>4200</v>
      </c>
    </row>
    <row r="29" spans="1:11" x14ac:dyDescent="0.25">
      <c r="A29" s="4">
        <f t="shared" si="2"/>
        <v>27</v>
      </c>
      <c r="B29" s="3" t="str">
        <f t="shared" si="0"/>
        <v>10070008</v>
      </c>
      <c r="C29" s="7" t="s">
        <v>35</v>
      </c>
      <c r="D29" s="4">
        <v>10070008</v>
      </c>
      <c r="E29" s="3" t="str">
        <f>VLOOKUP(D29,'[1]MPG Payment'!$C$3:$F$1001,4,0)</f>
        <v>Indirect</v>
      </c>
      <c r="F29" s="4" t="s">
        <v>37</v>
      </c>
      <c r="G29" s="6"/>
      <c r="H29" s="4">
        <v>30</v>
      </c>
      <c r="I29" s="3">
        <v>460</v>
      </c>
      <c r="J29" s="11">
        <f t="shared" si="1"/>
        <v>13800</v>
      </c>
      <c r="K29" s="7">
        <v>13800</v>
      </c>
    </row>
    <row r="30" spans="1:11" x14ac:dyDescent="0.25">
      <c r="A30" s="4"/>
      <c r="B30" s="4"/>
      <c r="C30" s="4"/>
      <c r="D30" s="4"/>
      <c r="E30" s="4"/>
      <c r="F30" s="4"/>
      <c r="G30" s="4"/>
      <c r="H30" s="8">
        <f>SUM(H3:H29)</f>
        <v>138.59100000000001</v>
      </c>
      <c r="I30" s="8"/>
      <c r="J30" s="13">
        <f>SUM(J3:J29)</f>
        <v>36143.885000000002</v>
      </c>
      <c r="K30" s="7">
        <f>SUM(K3:K29)</f>
        <v>27175.385000000002</v>
      </c>
    </row>
  </sheetData>
  <autoFilter ref="A2:J2" xr:uid="{74144EBC-2FD5-4E27-AC25-35833CB982C8}"/>
  <mergeCells count="1">
    <mergeCell ref="A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Kaushal Kumar Mishra</dc:creator>
  <cp:lastModifiedBy>RAHUL PANDIT</cp:lastModifiedBy>
  <dcterms:created xsi:type="dcterms:W3CDTF">2026-04-18T15:07:44Z</dcterms:created>
  <dcterms:modified xsi:type="dcterms:W3CDTF">2026-04-25T05:18:48Z</dcterms:modified>
</cp:coreProperties>
</file>