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RMPMT 10_16-Apr'26\"/>
    </mc:Choice>
  </mc:AlternateContent>
  <xr:revisionPtr revIDLastSave="0" documentId="13_ncr:1_{25C0CEC3-1A6B-4155-98E4-7FD673B1D270}" xr6:coauthVersionLast="47" xr6:coauthVersionMax="47" xr10:uidLastSave="{00000000-0000-0000-0000-000000000000}"/>
  <bookViews>
    <workbookView xWindow="-120" yWindow="-120" windowWidth="29040" windowHeight="15720" xr2:uid="{2B708620-98F1-4166-AC0E-0A95C0741852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8" i="2" l="1"/>
</calcChain>
</file>

<file path=xl/sharedStrings.xml><?xml version="1.0" encoding="utf-8"?>
<sst xmlns="http://schemas.openxmlformats.org/spreadsheetml/2006/main" count="1615" uniqueCount="538">
  <si>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</si>
  <si>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</si>
  <si>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</si>
  <si>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</si>
  <si>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</si>
  <si>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</si>
  <si>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</si>
  <si>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</si>
  <si>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</si>
  <si>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</si>
  <si>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</si>
  <si>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</si>
  <si>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</si>
  <si>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</si>
  <si>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</si>
  <si>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</si>
  <si>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</si>
  <si>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Majhaul</t>
  </si>
  <si>
    <t>Gomukh Kumbhi</t>
  </si>
  <si>
    <t>MPG</t>
  </si>
  <si>
    <t>Direct</t>
  </si>
  <si>
    <t>Release3</t>
  </si>
  <si>
    <t>CF OS&gt;15 Day's</t>
  </si>
  <si>
    <t>03. 10-16 Apr</t>
  </si>
  <si>
    <t>Laldiyara</t>
  </si>
  <si>
    <t>LAXMIPUR</t>
  </si>
  <si>
    <t>Letter not received</t>
  </si>
  <si>
    <t>Asarganj</t>
  </si>
  <si>
    <t>PADARATHPUR</t>
  </si>
  <si>
    <t>KATAHRA</t>
  </si>
  <si>
    <t>Sonvarsha</t>
  </si>
  <si>
    <t xml:space="preserve">LAKHOCHAK                                                                                           </t>
  </si>
  <si>
    <t>Gopalpur Bmc</t>
  </si>
  <si>
    <t>BASMATIYA</t>
  </si>
  <si>
    <t>KHAJURIYA</t>
  </si>
  <si>
    <t>Halsi</t>
  </si>
  <si>
    <t>BAKHIYA</t>
  </si>
  <si>
    <t>MAHADAT PUR 2</t>
  </si>
  <si>
    <t>Prasharpur Kadwa Gomukh</t>
  </si>
  <si>
    <t>Kalyanpur</t>
  </si>
  <si>
    <t>GOMUKH Gopalpur Ward 1</t>
  </si>
  <si>
    <t>Total:</t>
  </si>
  <si>
    <t xml:space="preserve">LAKHOCHAK 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</si>
  <si>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</si>
  <si>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</si>
  <si>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</si>
  <si>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</si>
  <si>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</si>
  <si>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</si>
  <si>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</si>
  <si>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</si>
  <si>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</si>
  <si>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</si>
  <si>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</si>
  <si>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</si>
  <si>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</si>
  <si>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</si>
  <si>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</si>
  <si>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</si>
  <si>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</si>
  <si>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Sample</t>
  </si>
  <si>
    <t>Values</t>
  </si>
  <si>
    <t>100100130001</t>
  </si>
  <si>
    <t>0001</t>
  </si>
  <si>
    <t>Not Available</t>
  </si>
  <si>
    <t>No of Farmers</t>
  </si>
  <si>
    <t>Volume Ltr</t>
  </si>
  <si>
    <t>Pouring/Farmers</t>
  </si>
  <si>
    <t>100100130002</t>
  </si>
  <si>
    <t>0002</t>
  </si>
  <si>
    <t xml:space="preserve">Archna Kumari </t>
  </si>
  <si>
    <t>110103303694</t>
  </si>
  <si>
    <t>CNRB0017443</t>
  </si>
  <si>
    <t xml:space="preserve">Canara Bank </t>
  </si>
  <si>
    <t>Available</t>
  </si>
  <si>
    <t>Araria</t>
  </si>
  <si>
    <t>100100130005</t>
  </si>
  <si>
    <t>0005</t>
  </si>
  <si>
    <t xml:space="preserve">Ganesh mahto </t>
  </si>
  <si>
    <t>110106228831</t>
  </si>
  <si>
    <t>100100130013</t>
  </si>
  <si>
    <t>0013</t>
  </si>
  <si>
    <t xml:space="preserve">Laltun Kumar </t>
  </si>
  <si>
    <t>38616781642</t>
  </si>
  <si>
    <t>SBIN0018978</t>
  </si>
  <si>
    <t xml:space="preserve">State Bank of India </t>
  </si>
  <si>
    <t>DalsinghSarai</t>
  </si>
  <si>
    <t>100100130015</t>
  </si>
  <si>
    <t>0015</t>
  </si>
  <si>
    <t xml:space="preserve">Ajanasiya Devi </t>
  </si>
  <si>
    <t>09990110047361</t>
  </si>
  <si>
    <t>UCBA0000999</t>
  </si>
  <si>
    <t>Uco Bank</t>
  </si>
  <si>
    <t>Dumraon</t>
  </si>
  <si>
    <t>100100130016</t>
  </si>
  <si>
    <t>0016</t>
  </si>
  <si>
    <t xml:space="preserve">Swati Kumari </t>
  </si>
  <si>
    <t>14673211129806</t>
  </si>
  <si>
    <t>UCBA0001467</t>
  </si>
  <si>
    <t>100100130028</t>
  </si>
  <si>
    <t>0028</t>
  </si>
  <si>
    <t xml:space="preserve">Fuleshwari Devi </t>
  </si>
  <si>
    <t>14673211003823</t>
  </si>
  <si>
    <t>100100130034</t>
  </si>
  <si>
    <t>0034</t>
  </si>
  <si>
    <t xml:space="preserve">Atma Ram Mahto </t>
  </si>
  <si>
    <t>14673211138419</t>
  </si>
  <si>
    <t>100100130043</t>
  </si>
  <si>
    <t>0043</t>
  </si>
  <si>
    <t xml:space="preserve">Jivachhi Devi </t>
  </si>
  <si>
    <t>14673211102946</t>
  </si>
  <si>
    <t>Musrigharari</t>
  </si>
  <si>
    <t>100100130047</t>
  </si>
  <si>
    <t>0047</t>
  </si>
  <si>
    <t xml:space="preserve">Sita Devi </t>
  </si>
  <si>
    <t>14673295563056</t>
  </si>
  <si>
    <t>Sahibpur Kamal</t>
  </si>
  <si>
    <t>100100130056</t>
  </si>
  <si>
    <t>0056</t>
  </si>
  <si>
    <t xml:space="preserve">Usha Devi </t>
  </si>
  <si>
    <t>21148100034144</t>
  </si>
  <si>
    <t>BARB0BAKHOD</t>
  </si>
  <si>
    <t>Bank Of Baroda</t>
  </si>
  <si>
    <t>100100130058</t>
  </si>
  <si>
    <t>0058</t>
  </si>
  <si>
    <t xml:space="preserve">Priti Kumari </t>
  </si>
  <si>
    <t>14673211093954</t>
  </si>
  <si>
    <t>Teghra</t>
  </si>
  <si>
    <t>100100130062</t>
  </si>
  <si>
    <t>0062</t>
  </si>
  <si>
    <t xml:space="preserve">Mithilesh Kumar </t>
  </si>
  <si>
    <t>14670110057193</t>
  </si>
  <si>
    <t>100100130074</t>
  </si>
  <si>
    <t>0074</t>
  </si>
  <si>
    <t xml:space="preserve">Ranjeet Kumar </t>
  </si>
  <si>
    <t>14673211057611</t>
  </si>
  <si>
    <t xml:space="preserve">Uco Bank </t>
  </si>
  <si>
    <t xml:space="preserve">Alauli </t>
  </si>
  <si>
    <t>100100130076</t>
  </si>
  <si>
    <t>0076</t>
  </si>
  <si>
    <t>Ram Nandan Singh</t>
  </si>
  <si>
    <t>04930100009042</t>
  </si>
  <si>
    <t>UCBA0000493</t>
  </si>
  <si>
    <t>Chautham</t>
  </si>
  <si>
    <t>100100130077</t>
  </si>
  <si>
    <t>0077</t>
  </si>
  <si>
    <t>Bishnu Kumar</t>
  </si>
  <si>
    <t>09990110001622</t>
  </si>
  <si>
    <t>100100130079</t>
  </si>
  <si>
    <t>0079</t>
  </si>
  <si>
    <t>Manti Devi</t>
  </si>
  <si>
    <t>09990110067871</t>
  </si>
  <si>
    <t>Matihani</t>
  </si>
  <si>
    <t>100100130081</t>
  </si>
  <si>
    <t>0081</t>
  </si>
  <si>
    <t>Rajeev Kumar</t>
  </si>
  <si>
    <t>110141315263</t>
  </si>
  <si>
    <t>Canara Bank</t>
  </si>
  <si>
    <t>Warisnagar</t>
  </si>
  <si>
    <t>100200700002</t>
  </si>
  <si>
    <t xml:space="preserve">Doli devi </t>
  </si>
  <si>
    <t>31110131150765</t>
  </si>
  <si>
    <t>PUNB0MBGB06</t>
  </si>
  <si>
    <t xml:space="preserve">Dakshin Bihar Gramin Bank </t>
  </si>
  <si>
    <t>100200700003</t>
  </si>
  <si>
    <t>0003</t>
  </si>
  <si>
    <t>Anil Singh</t>
  </si>
  <si>
    <t>31110131219545</t>
  </si>
  <si>
    <t>100200700005</t>
  </si>
  <si>
    <t xml:space="preserve">Radha krishna Kumar </t>
  </si>
  <si>
    <t>32615261185</t>
  </si>
  <si>
    <t>SBIN0002916</t>
  </si>
  <si>
    <t>100200700008</t>
  </si>
  <si>
    <t>0008</t>
  </si>
  <si>
    <t xml:space="preserve">Bhola Sharma </t>
  </si>
  <si>
    <t>32156061898</t>
  </si>
  <si>
    <t>100200700009</t>
  </si>
  <si>
    <t>0009</t>
  </si>
  <si>
    <t xml:space="preserve">Kundan Kumar </t>
  </si>
  <si>
    <t>31110110007702</t>
  </si>
  <si>
    <t xml:space="preserve">Bihar Kshetriya Gramin Bank </t>
  </si>
  <si>
    <t>100200700010</t>
  </si>
  <si>
    <t>0010</t>
  </si>
  <si>
    <t>Ramanuj Singh</t>
  </si>
  <si>
    <t>05660100010173</t>
  </si>
  <si>
    <t>UCBA0000566</t>
  </si>
  <si>
    <t>100200700011</t>
  </si>
  <si>
    <t>0011</t>
  </si>
  <si>
    <t>Pavan Singh</t>
  </si>
  <si>
    <t>05660110059524</t>
  </si>
  <si>
    <t>100200700013</t>
  </si>
  <si>
    <t>Vidha Singh</t>
  </si>
  <si>
    <t>05663211092612</t>
  </si>
  <si>
    <t>100200700015</t>
  </si>
  <si>
    <t xml:space="preserve">Kalpana Devi </t>
  </si>
  <si>
    <t>30438100026074</t>
  </si>
  <si>
    <t>BARB0LAKHIS</t>
  </si>
  <si>
    <t>100200700017</t>
  </si>
  <si>
    <t>0017</t>
  </si>
  <si>
    <t>Sunil Singh</t>
  </si>
  <si>
    <t>31110700009845</t>
  </si>
  <si>
    <t>100200700018</t>
  </si>
  <si>
    <t>0018</t>
  </si>
  <si>
    <t>Vipin Kumar Singh</t>
  </si>
  <si>
    <t>11535801310</t>
  </si>
  <si>
    <t>100200700024</t>
  </si>
  <si>
    <t>0024</t>
  </si>
  <si>
    <t>Shivam Kumar Mishra</t>
  </si>
  <si>
    <t>066901000017697</t>
  </si>
  <si>
    <t>IOBA0000669</t>
  </si>
  <si>
    <t>Indian Overseas Bank</t>
  </si>
  <si>
    <t>100200700026</t>
  </si>
  <si>
    <t>0026</t>
  </si>
  <si>
    <t>Ritesh Kumar</t>
  </si>
  <si>
    <t>31110100002675</t>
  </si>
  <si>
    <t>Bihar Gramin Bank</t>
  </si>
  <si>
    <t>100200700027</t>
  </si>
  <si>
    <t>0027</t>
  </si>
  <si>
    <t>Manoj Pandey</t>
  </si>
  <si>
    <t>31110131064719</t>
  </si>
  <si>
    <t>100200700028</t>
  </si>
  <si>
    <t>Shyam Kishor Singh</t>
  </si>
  <si>
    <t>3022001700035568</t>
  </si>
  <si>
    <t>PUNB0302200</t>
  </si>
  <si>
    <t xml:space="preserve">Punjab National Bank </t>
  </si>
  <si>
    <t>100300280001</t>
  </si>
  <si>
    <t>100300280002</t>
  </si>
  <si>
    <t>Ajay Kumar Yadav</t>
  </si>
  <si>
    <t>32160100001618</t>
  </si>
  <si>
    <t>100300280003</t>
  </si>
  <si>
    <t xml:space="preserve">Nilam Devi </t>
  </si>
  <si>
    <t>32160110018762</t>
  </si>
  <si>
    <t>100300280005</t>
  </si>
  <si>
    <t>Kumar Gaurav Yadav</t>
  </si>
  <si>
    <t>32160110010760</t>
  </si>
  <si>
    <t>100300280009</t>
  </si>
  <si>
    <t xml:space="preserve">Sunita Devi </t>
  </si>
  <si>
    <t>36132121134</t>
  </si>
  <si>
    <t>SBIN0003527</t>
  </si>
  <si>
    <t>SBI-Kiosk Banking</t>
  </si>
  <si>
    <t>100300280010</t>
  </si>
  <si>
    <t xml:space="preserve">Pinki Devi </t>
  </si>
  <si>
    <t>36366131522</t>
  </si>
  <si>
    <t>100300280011</t>
  </si>
  <si>
    <t>Sadanand Yadav</t>
  </si>
  <si>
    <t>32160100001476</t>
  </si>
  <si>
    <t>100300280012</t>
  </si>
  <si>
    <t>0012</t>
  </si>
  <si>
    <t>Bijay Yadav</t>
  </si>
  <si>
    <t>32160100000425</t>
  </si>
  <si>
    <t>100300280014</t>
  </si>
  <si>
    <t>0014</t>
  </si>
  <si>
    <t xml:space="preserve">Pramila Devi </t>
  </si>
  <si>
    <t>32160110095594</t>
  </si>
  <si>
    <t>100300280017</t>
  </si>
  <si>
    <t>32160110026716</t>
  </si>
  <si>
    <t>100300280018</t>
  </si>
  <si>
    <t xml:space="preserve">Soni Kumari </t>
  </si>
  <si>
    <t>32160110108317</t>
  </si>
  <si>
    <t>100300280024</t>
  </si>
  <si>
    <t xml:space="preserve">Priyanka Devi </t>
  </si>
  <si>
    <t>38596169669</t>
  </si>
  <si>
    <t>100300280034</t>
  </si>
  <si>
    <t>Parmanand yadav</t>
  </si>
  <si>
    <t>32160110114479</t>
  </si>
  <si>
    <t>100300280036</t>
  </si>
  <si>
    <t>0036</t>
  </si>
  <si>
    <t xml:space="preserve">Rekha devi </t>
  </si>
  <si>
    <t>32160131059887</t>
  </si>
  <si>
    <t>100300280040</t>
  </si>
  <si>
    <t>0040</t>
  </si>
  <si>
    <t xml:space="preserve">Pinku Devi </t>
  </si>
  <si>
    <t>37232518899</t>
  </si>
  <si>
    <t>100300280044</t>
  </si>
  <si>
    <t>0044</t>
  </si>
  <si>
    <t>Manoj Yadav</t>
  </si>
  <si>
    <t>32320798224</t>
  </si>
  <si>
    <t>100300280048</t>
  </si>
  <si>
    <t>0048</t>
  </si>
  <si>
    <t xml:space="preserve">Sandip Kumar </t>
  </si>
  <si>
    <t>27680110068168</t>
  </si>
  <si>
    <t>UCBA0002768</t>
  </si>
  <si>
    <t>100300280052</t>
  </si>
  <si>
    <t>0052</t>
  </si>
  <si>
    <t>Indra Dev Yadav</t>
  </si>
  <si>
    <t>32100100009294</t>
  </si>
  <si>
    <t>100300280055</t>
  </si>
  <si>
    <t>0055</t>
  </si>
  <si>
    <t xml:space="preserve">Shambhu Kumar </t>
  </si>
  <si>
    <t>20177093433</t>
  </si>
  <si>
    <t>FINO0001001</t>
  </si>
  <si>
    <t xml:space="preserve">Fino Payment Bank </t>
  </si>
  <si>
    <t>100300280057</t>
  </si>
  <si>
    <t>0057</t>
  </si>
  <si>
    <t xml:space="preserve">Sima Devi </t>
  </si>
  <si>
    <t>32160110064813</t>
  </si>
  <si>
    <t xml:space="preserve">Bihar Gramin Bank </t>
  </si>
  <si>
    <t>100300280059</t>
  </si>
  <si>
    <t>0059</t>
  </si>
  <si>
    <t xml:space="preserve">Jayram Kumar </t>
  </si>
  <si>
    <t>37179603648</t>
  </si>
  <si>
    <t>100300280061</t>
  </si>
  <si>
    <t>0061</t>
  </si>
  <si>
    <t>Anirudh Yadav</t>
  </si>
  <si>
    <t>32160110087063</t>
  </si>
  <si>
    <t>100300280066</t>
  </si>
  <si>
    <t>0066</t>
  </si>
  <si>
    <t xml:space="preserve">Dipak Kumar </t>
  </si>
  <si>
    <t>41437825680</t>
  </si>
  <si>
    <t>100300280071</t>
  </si>
  <si>
    <t>0071</t>
  </si>
  <si>
    <t xml:space="preserve">Rubi Devi </t>
  </si>
  <si>
    <t>35550404224</t>
  </si>
  <si>
    <t>100300280073</t>
  </si>
  <si>
    <t>0073</t>
  </si>
  <si>
    <t xml:space="preserve">Amrita Devi </t>
  </si>
  <si>
    <t>32160131387775</t>
  </si>
  <si>
    <t>100300280081</t>
  </si>
  <si>
    <t xml:space="preserve">Lalita Devi </t>
  </si>
  <si>
    <t>36698711195</t>
  </si>
  <si>
    <t>100300280084</t>
  </si>
  <si>
    <t>0084</t>
  </si>
  <si>
    <t xml:space="preserve">Girja Paswan </t>
  </si>
  <si>
    <t>463918210002401</t>
  </si>
  <si>
    <t>BKID0004639</t>
  </si>
  <si>
    <t xml:space="preserve">Bank Of India </t>
  </si>
  <si>
    <t>100300280088</t>
  </si>
  <si>
    <t>0088</t>
  </si>
  <si>
    <t xml:space="preserve">Rupam Devi </t>
  </si>
  <si>
    <t>32160110111263</t>
  </si>
  <si>
    <t>100300280091</t>
  </si>
  <si>
    <t>0091</t>
  </si>
  <si>
    <t xml:space="preserve">Amit Kumar </t>
  </si>
  <si>
    <t>32161500002025</t>
  </si>
  <si>
    <t>100300280102</t>
  </si>
  <si>
    <t>0102</t>
  </si>
  <si>
    <t xml:space="preserve">Sabo Devi </t>
  </si>
  <si>
    <t>32160700001726</t>
  </si>
  <si>
    <t>100300280104</t>
  </si>
  <si>
    <t>0104</t>
  </si>
  <si>
    <t xml:space="preserve">Prmod devi </t>
  </si>
  <si>
    <t>32819397352</t>
  </si>
  <si>
    <t>100300280105</t>
  </si>
  <si>
    <t>0105</t>
  </si>
  <si>
    <t xml:space="preserve">Puja Devi </t>
  </si>
  <si>
    <t>37643973678</t>
  </si>
  <si>
    <t>100300280113</t>
  </si>
  <si>
    <t>0113</t>
  </si>
  <si>
    <t xml:space="preserve">Abhishek Kumar  </t>
  </si>
  <si>
    <t>20461215377</t>
  </si>
  <si>
    <t>100300280122</t>
  </si>
  <si>
    <t>0122</t>
  </si>
  <si>
    <t>Aryan kumar</t>
  </si>
  <si>
    <t>007210365295</t>
  </si>
  <si>
    <t>IPOS0000001</t>
  </si>
  <si>
    <t xml:space="preserve">Indian Post Payment Bank </t>
  </si>
  <si>
    <t>100300280133</t>
  </si>
  <si>
    <t>0133</t>
  </si>
  <si>
    <t>Vina Devi</t>
  </si>
  <si>
    <t>32160110104876</t>
  </si>
  <si>
    <t>100300280135</t>
  </si>
  <si>
    <t>0135</t>
  </si>
  <si>
    <t>Nisha Kumari</t>
  </si>
  <si>
    <t>32160110084978</t>
  </si>
  <si>
    <t>100300280138</t>
  </si>
  <si>
    <t>0138</t>
  </si>
  <si>
    <t xml:space="preserve">Juli Devi </t>
  </si>
  <si>
    <t>32892057599</t>
  </si>
  <si>
    <t>State Bank Of India</t>
  </si>
  <si>
    <t>100300280139</t>
  </si>
  <si>
    <t>0139</t>
  </si>
  <si>
    <t xml:space="preserve">Sachin Kumar </t>
  </si>
  <si>
    <t>44410369666</t>
  </si>
  <si>
    <t>100300750002</t>
  </si>
  <si>
    <t>Sanjiv Kumar</t>
  </si>
  <si>
    <t>7837000100050063</t>
  </si>
  <si>
    <t>PUNB0783700</t>
  </si>
  <si>
    <t>100300750003</t>
  </si>
  <si>
    <t>Kajal Kumari</t>
  </si>
  <si>
    <t>260701504483</t>
  </si>
  <si>
    <t>ICIC0002607</t>
  </si>
  <si>
    <t xml:space="preserve">ICICI Bank </t>
  </si>
  <si>
    <t>100300750004</t>
  </si>
  <si>
    <t>0004</t>
  </si>
  <si>
    <t>Anju Devi</t>
  </si>
  <si>
    <t>699702010000904</t>
  </si>
  <si>
    <t>UBIN0569976</t>
  </si>
  <si>
    <t xml:space="preserve">Union Bank of India </t>
  </si>
  <si>
    <t>100300750005</t>
  </si>
  <si>
    <t>Amit Kumar</t>
  </si>
  <si>
    <t>38444603683</t>
  </si>
  <si>
    <t>SBIN0003009</t>
  </si>
  <si>
    <t>100600310091</t>
  </si>
  <si>
    <t>Nitu Devi</t>
  </si>
  <si>
    <t>35966067934</t>
  </si>
  <si>
    <t>SBIN0012593</t>
  </si>
  <si>
    <t>100600310095</t>
  </si>
  <si>
    <t>0095</t>
  </si>
  <si>
    <t>Ramniwas Kumar</t>
  </si>
  <si>
    <t>39160179188</t>
  </si>
  <si>
    <t>SBIN0002968</t>
  </si>
  <si>
    <t>100600310097</t>
  </si>
  <si>
    <t>0097</t>
  </si>
  <si>
    <t>Sunny Kumar</t>
  </si>
  <si>
    <t>44043633720</t>
  </si>
  <si>
    <t>100600310100</t>
  </si>
  <si>
    <t>0100</t>
  </si>
  <si>
    <t>Chalisha Yadav</t>
  </si>
  <si>
    <t>36417030833</t>
  </si>
  <si>
    <t>100600310101</t>
  </si>
  <si>
    <t>0101</t>
  </si>
  <si>
    <t>Rajiv Ranjan Kumar</t>
  </si>
  <si>
    <t>31090100001854</t>
  </si>
  <si>
    <t>100600310102</t>
  </si>
  <si>
    <t>Nago Ram</t>
  </si>
  <si>
    <t>479102010008782</t>
  </si>
  <si>
    <t>UBIN0547913</t>
  </si>
  <si>
    <t>100600310105</t>
  </si>
  <si>
    <t>Ravindra Kumar</t>
  </si>
  <si>
    <t>41784210895</t>
  </si>
  <si>
    <t>100600310108</t>
  </si>
  <si>
    <t>0108</t>
  </si>
  <si>
    <t>Madan Yadav</t>
  </si>
  <si>
    <t>479102010002383</t>
  </si>
  <si>
    <t>100600310112</t>
  </si>
  <si>
    <t>0112</t>
  </si>
  <si>
    <t>Karan Kumar</t>
  </si>
  <si>
    <t>479102120007761</t>
  </si>
  <si>
    <t>100600310113</t>
  </si>
  <si>
    <t>Lilabati Devi</t>
  </si>
  <si>
    <t>479102010016853</t>
  </si>
  <si>
    <t>100600310116</t>
  </si>
  <si>
    <t>0116</t>
  </si>
  <si>
    <t xml:space="preserve">Sudhanshu Kumar </t>
  </si>
  <si>
    <t>479102010012546</t>
  </si>
  <si>
    <t xml:space="preserve">Union Bank </t>
  </si>
  <si>
    <t>100600310118</t>
  </si>
  <si>
    <t>0118</t>
  </si>
  <si>
    <t xml:space="preserve">Manish Kumar </t>
  </si>
  <si>
    <t>479102010017845</t>
  </si>
  <si>
    <t>100600740001</t>
  </si>
  <si>
    <t>100600740002</t>
  </si>
  <si>
    <t xml:space="preserve">Sumit Raj </t>
  </si>
  <si>
    <t>1648000100108418</t>
  </si>
  <si>
    <t>PUNB0164800</t>
  </si>
  <si>
    <t>100600740008</t>
  </si>
  <si>
    <t xml:space="preserve">Anuradha Devi </t>
  </si>
  <si>
    <t>1648000100121312</t>
  </si>
  <si>
    <t>100600740009</t>
  </si>
  <si>
    <t>Naresh Yadav</t>
  </si>
  <si>
    <t>15870110009529</t>
  </si>
  <si>
    <t>UCBA0001587</t>
  </si>
  <si>
    <t>100600740012</t>
  </si>
  <si>
    <t xml:space="preserve">Randhir Kumar </t>
  </si>
  <si>
    <t>1648000100093903</t>
  </si>
  <si>
    <t>100600740014</t>
  </si>
  <si>
    <t xml:space="preserve">Nishant Kumar </t>
  </si>
  <si>
    <t>1648001700134256</t>
  </si>
  <si>
    <t>100600740015</t>
  </si>
  <si>
    <t>Puja Kumari</t>
  </si>
  <si>
    <t>1648001700159121</t>
  </si>
  <si>
    <t>100600740016</t>
  </si>
  <si>
    <t>Balmiki Yadav</t>
  </si>
  <si>
    <t>1648000100036403</t>
  </si>
  <si>
    <t>100600740036</t>
  </si>
  <si>
    <t>Sudhir Kumar</t>
  </si>
  <si>
    <t>1648001700115215</t>
  </si>
  <si>
    <t>100600740038</t>
  </si>
  <si>
    <t>0038</t>
  </si>
  <si>
    <t>Mankhush Kumar</t>
  </si>
  <si>
    <t>1648001700139093</t>
  </si>
  <si>
    <t>100600740039</t>
  </si>
  <si>
    <t>0039</t>
  </si>
  <si>
    <t>Sintu Kumar</t>
  </si>
  <si>
    <t>1648001700120509</t>
  </si>
  <si>
    <t>100601110004</t>
  </si>
  <si>
    <t>Arvind Mandal</t>
  </si>
  <si>
    <t>59112780203</t>
  </si>
  <si>
    <t>IDIB000K652</t>
  </si>
  <si>
    <t>Indian Bank</t>
  </si>
  <si>
    <t>100601110008</t>
  </si>
  <si>
    <t>Abhishek  Kumar Singh</t>
  </si>
  <si>
    <t>09550110107041</t>
  </si>
  <si>
    <t>UCBA0000955</t>
  </si>
  <si>
    <t>100601110013</t>
  </si>
  <si>
    <t xml:space="preserve">Pushpa Kumari </t>
  </si>
  <si>
    <t>59160378719</t>
  </si>
  <si>
    <t>IDIB000G559</t>
  </si>
  <si>
    <t>100601110016</t>
  </si>
  <si>
    <t>Preamlata Devi</t>
  </si>
  <si>
    <t>21823935137</t>
  </si>
  <si>
    <t xml:space="preserve">Indian Bank </t>
  </si>
  <si>
    <t>100601110035</t>
  </si>
  <si>
    <t>0035</t>
  </si>
  <si>
    <t>Raj Kumar Mandal</t>
  </si>
  <si>
    <t>20200100775318</t>
  </si>
  <si>
    <t>BDBL0002736</t>
  </si>
  <si>
    <t>Bandhan Bank</t>
  </si>
  <si>
    <t>100900430001</t>
  </si>
  <si>
    <t>100900430002</t>
  </si>
  <si>
    <t>Karamveer Kumar</t>
  </si>
  <si>
    <t>39643276753</t>
  </si>
  <si>
    <t>SBIN0017416</t>
  </si>
  <si>
    <t>100900430003</t>
  </si>
  <si>
    <t xml:space="preserve">Dharamveer Kumar </t>
  </si>
  <si>
    <t>42410363375</t>
  </si>
  <si>
    <t>100900430010</t>
  </si>
  <si>
    <t xml:space="preserve">Manoj Kumar </t>
  </si>
  <si>
    <t>41592382920</t>
  </si>
  <si>
    <t xml:space="preserve">State Bank Of India </t>
  </si>
  <si>
    <t>100900430011</t>
  </si>
  <si>
    <t>Tushi Kumari</t>
  </si>
  <si>
    <t>40052092947</t>
  </si>
  <si>
    <t>104800010001</t>
  </si>
  <si>
    <t>104800010002</t>
  </si>
  <si>
    <t xml:space="preserve">Nawal kishor Roy </t>
  </si>
  <si>
    <t>44580100003210</t>
  </si>
  <si>
    <t>BARB0NAUGAC</t>
  </si>
  <si>
    <t>104800010003</t>
  </si>
  <si>
    <t xml:space="preserve">Kundan Roy </t>
  </si>
  <si>
    <t>44588100011598</t>
  </si>
  <si>
    <t>105301050001</t>
  </si>
  <si>
    <t>105301050002</t>
  </si>
  <si>
    <t>Chandra hushan Kumar</t>
  </si>
  <si>
    <t>28770110082140</t>
  </si>
  <si>
    <t>UCBA0002877</t>
  </si>
  <si>
    <t>105301050003</t>
  </si>
  <si>
    <t>Bramdev Mahto</t>
  </si>
  <si>
    <t>2366043783</t>
  </si>
  <si>
    <t>CBIN0281807</t>
  </si>
  <si>
    <t xml:space="preserve">Central Bank Of India </t>
  </si>
  <si>
    <t>105301050010</t>
  </si>
  <si>
    <t>Manisha Devi</t>
  </si>
  <si>
    <t>4025628358</t>
  </si>
  <si>
    <t>Central Bank Of India</t>
  </si>
  <si>
    <t>105301050014</t>
  </si>
  <si>
    <t xml:space="preserve">Nand Kishor </t>
  </si>
  <si>
    <t>2366026712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</si>
</sst>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6" formatCode="_(* #,##0.00_);_(* \(#,##0.00\);_(* &quot;-&quot;??_);_(@_)"/>
    <numFmt numFmtId="167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43" fontId="4" fillId="3" borderId="2" xfId="3" applyFont="1" applyFill="1" applyBorder="1" applyAlignment="1">
      <alignment horizontal="center" vertical="center" wrapText="1"/>
    </xf>
    <xf numFmtId="43" fontId="4" fillId="3" borderId="2" xfId="3" applyFont="1" applyFill="1" applyBorder="1" applyAlignment="1">
      <alignment horizontal="left" vertical="center" wrapText="1"/>
    </xf>
    <xf numFmtId="43" fontId="4" fillId="4" borderId="2" xfId="3" applyFont="1" applyFill="1" applyBorder="1" applyAlignment="1">
      <alignment horizontal="center" vertical="center" wrapText="1"/>
    </xf>
    <xf numFmtId="43" fontId="4" fillId="6" borderId="3" xfId="3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4" xfId="0" applyNumberFormat="1" applyBorder="1" applyAlignment="1">
      <alignment horizontal="center"/>
    </xf>
    <xf numFmtId="164" fontId="1" fillId="5" borderId="4" xfId="3" applyNumberFormat="1" applyFont="1" applyFill="1" applyBorder="1" applyAlignment="1">
      <alignment horizontal="center" vertical="center"/>
    </xf>
    <xf numFmtId="164" fontId="3" fillId="2" borderId="1" xfId="2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2" xfId="0" applyBorder="1"/>
    <xf numFmtId="1" fontId="0" fillId="0" borderId="2" xfId="0" applyNumberFormat="1" applyBorder="1" applyAlignment="1">
      <alignment horizontal="center"/>
    </xf>
    <xf numFmtId="166" fontId="0" fillId="0" borderId="0" xfId="0" applyNumberFormat="1"/>
    <xf numFmtId="0" fontId="4" fillId="7" borderId="2" xfId="0" applyFont="1" applyFill="1" applyBorder="1" applyAlignment="1">
      <alignment horizontal="center"/>
    </xf>
    <xf numFmtId="0" fontId="4" fillId="7" borderId="2" xfId="0" applyFont="1" applyFill="1" applyBorder="1"/>
    <xf numFmtId="1" fontId="4" fillId="7" borderId="2" xfId="0" applyNumberFormat="1" applyFont="1" applyFill="1" applyBorder="1" applyAlignment="1">
      <alignment horizontal="center"/>
    </xf>
    <xf numFmtId="164" fontId="4" fillId="7" borderId="2" xfId="3" applyNumberFormat="1" applyFont="1" applyFill="1" applyBorder="1" applyAlignment="1">
      <alignment horizontal="center" vertical="center"/>
    </xf>
    <xf numFmtId="0" fontId="2" fillId="8" borderId="5" xfId="4" applyFont="1" applyFill="1" applyBorder="1" applyAlignment="1">
      <alignment horizontal="center" vertical="center" wrapText="1"/>
    </xf>
    <xf numFmtId="0" fontId="2" fillId="9" borderId="5" xfId="4" applyFont="1" applyFill="1" applyBorder="1" applyAlignment="1">
      <alignment horizontal="center" vertical="center" wrapText="1"/>
    </xf>
    <xf numFmtId="49" fontId="2" fillId="9" borderId="5" xfId="4" applyNumberFormat="1" applyFont="1" applyFill="1" applyBorder="1" applyAlignment="1">
      <alignment horizontal="center" vertical="center" wrapText="1"/>
    </xf>
    <xf numFmtId="43" fontId="2" fillId="9" borderId="5" xfId="1" applyFont="1" applyFill="1" applyBorder="1" applyAlignment="1">
      <alignment horizontal="center" vertical="center" wrapText="1"/>
    </xf>
    <xf numFmtId="49" fontId="2" fillId="8" borderId="5" xfId="4" applyNumberFormat="1" applyFont="1" applyFill="1" applyBorder="1" applyAlignment="1">
      <alignment horizontal="center" vertical="center" wrapText="1"/>
    </xf>
    <xf numFmtId="0" fontId="2" fillId="8" borderId="5" xfId="4" applyFont="1" applyFill="1" applyBorder="1" applyAlignment="1">
      <alignment horizontal="left" vertical="center" wrapText="1"/>
    </xf>
    <xf numFmtId="0" fontId="2" fillId="10" borderId="5" xfId="4" applyFont="1" applyFill="1" applyBorder="1" applyAlignment="1">
      <alignment horizontal="center" vertical="center" wrapText="1"/>
    </xf>
    <xf numFmtId="0" fontId="2" fillId="10" borderId="6" xfId="4" applyFont="1" applyFill="1" applyBorder="1" applyAlignment="1">
      <alignment horizontal="center" vertical="center" wrapText="1"/>
    </xf>
    <xf numFmtId="0" fontId="2" fillId="10" borderId="7" xfId="4" applyFont="1" applyFill="1" applyBorder="1" applyAlignment="1">
      <alignment horizontal="center" vertical="center" wrapText="1"/>
    </xf>
    <xf numFmtId="0" fontId="2" fillId="0" borderId="3" xfId="4" applyFont="1" applyBorder="1" applyAlignment="1">
      <alignment horizontal="center" vertical="center" wrapText="1"/>
    </xf>
    <xf numFmtId="0" fontId="2" fillId="10" borderId="3" xfId="4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7" fontId="0" fillId="0" borderId="0" xfId="1" applyNumberFormat="1" applyFont="1" applyAlignment="1">
      <alignment horizontal="center"/>
    </xf>
    <xf numFmtId="43" fontId="0" fillId="0" borderId="0" xfId="1" applyFont="1"/>
    <xf numFmtId="0" fontId="4" fillId="11" borderId="2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1" fontId="4" fillId="0" borderId="2" xfId="0" applyNumberFormat="1" applyFont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167" fontId="0" fillId="0" borderId="8" xfId="1" applyNumberFormat="1" applyFont="1" applyBorder="1" applyAlignment="1">
      <alignment horizontal="center"/>
    </xf>
    <xf numFmtId="0" fontId="0" fillId="0" borderId="9" xfId="0" applyBorder="1"/>
    <xf numFmtId="167" fontId="0" fillId="0" borderId="9" xfId="0" applyNumberFormat="1" applyBorder="1"/>
  </cellXfs>
  <cellStyles count="5">
    <cellStyle name="Comma" xfId="1" builtinId="3"/>
    <cellStyle name="Comma 2" xfId="3" xr:uid="{D0732F58-FEA6-496E-B287-9A13F13C4F09}"/>
    <cellStyle name="Normal" xfId="0" builtinId="0"/>
    <cellStyle name="Normal 2" xfId="4" xr:uid="{A5113B19-D942-445E-995E-DB780F8FD6C6}"/>
    <cellStyle name="Note" xfId="2" builtinId="1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FE420-0EE3-4FC6-8F4D-50CE6AB73B84}">
  <dimension ref="A1:O12"/>
  <sheetViews>
    <sheetView tabSelected="1" workbookViewId="0">
      <selection activeCell="Q26" sqref="Q26"/>
    </sheetView>
  </sheetViews>
  <sheetFormatPr defaultRowHeight="15" x14ac:dyDescent="0.25"/>
  <cols>
    <col min="1" max="1" width="5.85546875" bestFit="1" customWidth="1"/>
    <col min="2" max="2" width="16" bestFit="1" customWidth="1"/>
    <col min="3" max="3" width="9" bestFit="1" customWidth="1"/>
    <col min="4" max="4" width="25.85546875" bestFit="1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9" width="9.5703125" bestFit="1" customWidth="1"/>
    <col min="10" max="10" width="8.85546875" bestFit="1" customWidth="1"/>
    <col min="11" max="11" width="9.28515625" bestFit="1" customWidth="1"/>
    <col min="12" max="12" width="9.7109375" bestFit="1" customWidth="1"/>
    <col min="13" max="13" width="16.85546875" bestFit="1" customWidth="1"/>
    <col min="14" max="14" width="12.140625" bestFit="1" customWidth="1"/>
  </cols>
  <sheetData>
    <row r="1" spans="1:15" s="6" customFormat="1" ht="47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</row>
    <row r="2" spans="1:15" x14ac:dyDescent="0.25">
      <c r="A2" s="7">
        <v>1001</v>
      </c>
      <c r="B2" s="8" t="s">
        <v>17</v>
      </c>
      <c r="C2" s="9">
        <v>10010013</v>
      </c>
      <c r="D2" s="10" t="s">
        <v>18</v>
      </c>
      <c r="E2" s="11" t="s">
        <v>19</v>
      </c>
      <c r="F2" s="11" t="s">
        <v>20</v>
      </c>
      <c r="G2" s="12">
        <v>505.59999999999997</v>
      </c>
      <c r="H2" s="12">
        <v>19150.870000000003</v>
      </c>
      <c r="I2" s="13">
        <v>13431</v>
      </c>
      <c r="J2" s="13">
        <v>0</v>
      </c>
      <c r="K2" s="13">
        <v>0</v>
      </c>
      <c r="L2" s="14" t="s">
        <v>21</v>
      </c>
      <c r="M2" s="15" t="s">
        <v>22</v>
      </c>
      <c r="N2" s="16" t="s">
        <v>23</v>
      </c>
    </row>
    <row r="3" spans="1:15" x14ac:dyDescent="0.25">
      <c r="A3" s="7">
        <v>1002</v>
      </c>
      <c r="B3" s="8" t="s">
        <v>24</v>
      </c>
      <c r="C3" s="9">
        <v>10020070</v>
      </c>
      <c r="D3" s="10" t="s">
        <v>25</v>
      </c>
      <c r="E3" s="11" t="s">
        <v>19</v>
      </c>
      <c r="F3" s="11" t="s">
        <v>20</v>
      </c>
      <c r="G3" s="18">
        <v>908.19999999999993</v>
      </c>
      <c r="H3" s="18">
        <v>36883.069999999992</v>
      </c>
      <c r="I3" s="13">
        <v>36883</v>
      </c>
      <c r="J3" s="13">
        <v>0</v>
      </c>
      <c r="K3" s="13">
        <v>0</v>
      </c>
      <c r="L3" s="14" t="s">
        <v>21</v>
      </c>
      <c r="M3" s="15" t="s">
        <v>26</v>
      </c>
      <c r="N3" s="16" t="s">
        <v>23</v>
      </c>
    </row>
    <row r="4" spans="1:15" x14ac:dyDescent="0.25">
      <c r="A4" s="7">
        <v>1003</v>
      </c>
      <c r="B4" s="8" t="s">
        <v>27</v>
      </c>
      <c r="C4" s="9">
        <v>10030028</v>
      </c>
      <c r="D4" s="10" t="s">
        <v>28</v>
      </c>
      <c r="E4" s="11" t="s">
        <v>19</v>
      </c>
      <c r="F4" s="11" t="s">
        <v>20</v>
      </c>
      <c r="G4" s="18">
        <v>1065.95</v>
      </c>
      <c r="H4" s="18">
        <v>41422.709999999992</v>
      </c>
      <c r="I4" s="13">
        <v>40745</v>
      </c>
      <c r="J4" s="13">
        <v>0</v>
      </c>
      <c r="K4" s="13">
        <v>0</v>
      </c>
      <c r="L4" s="14" t="s">
        <v>21</v>
      </c>
      <c r="M4" s="15" t="s">
        <v>22</v>
      </c>
      <c r="N4" s="16" t="s">
        <v>23</v>
      </c>
    </row>
    <row r="5" spans="1:15" x14ac:dyDescent="0.25">
      <c r="A5" s="7">
        <v>1003</v>
      </c>
      <c r="B5" s="8" t="s">
        <v>27</v>
      </c>
      <c r="C5" s="9">
        <v>10030075</v>
      </c>
      <c r="D5" s="10" t="s">
        <v>29</v>
      </c>
      <c r="E5" s="11" t="s">
        <v>19</v>
      </c>
      <c r="F5" s="11" t="s">
        <v>20</v>
      </c>
      <c r="G5" s="18">
        <v>292.40000000000003</v>
      </c>
      <c r="H5" s="18">
        <v>10964.28</v>
      </c>
      <c r="I5" s="13">
        <v>10464</v>
      </c>
      <c r="J5" s="13">
        <v>0</v>
      </c>
      <c r="K5" s="13">
        <v>0</v>
      </c>
      <c r="L5" s="14" t="s">
        <v>21</v>
      </c>
      <c r="M5" s="15" t="s">
        <v>22</v>
      </c>
      <c r="N5" s="16" t="s">
        <v>23</v>
      </c>
    </row>
    <row r="6" spans="1:15" x14ac:dyDescent="0.25">
      <c r="A6" s="7">
        <v>1006</v>
      </c>
      <c r="B6" s="8" t="s">
        <v>30</v>
      </c>
      <c r="C6" s="9">
        <v>10060031</v>
      </c>
      <c r="D6" s="10" t="s">
        <v>42</v>
      </c>
      <c r="E6" s="11" t="s">
        <v>19</v>
      </c>
      <c r="F6" s="11" t="s">
        <v>20</v>
      </c>
      <c r="G6" s="18">
        <v>342.19999999999993</v>
      </c>
      <c r="H6" s="18">
        <v>14817.619999999999</v>
      </c>
      <c r="I6" s="13">
        <v>14818</v>
      </c>
      <c r="J6" s="13">
        <v>0</v>
      </c>
      <c r="K6" s="13">
        <v>0</v>
      </c>
      <c r="L6" s="14" t="s">
        <v>21</v>
      </c>
      <c r="M6" s="15" t="s">
        <v>26</v>
      </c>
      <c r="N6" s="16" t="s">
        <v>23</v>
      </c>
    </row>
    <row r="7" spans="1:15" x14ac:dyDescent="0.25">
      <c r="A7" s="7">
        <v>1059</v>
      </c>
      <c r="B7" s="8" t="s">
        <v>32</v>
      </c>
      <c r="C7" s="9">
        <v>10060074</v>
      </c>
      <c r="D7" s="10" t="s">
        <v>33</v>
      </c>
      <c r="E7" s="11" t="s">
        <v>19</v>
      </c>
      <c r="F7" s="11" t="s">
        <v>20</v>
      </c>
      <c r="G7" s="18">
        <v>394.2</v>
      </c>
      <c r="H7" s="18">
        <v>15561.140000000003</v>
      </c>
      <c r="I7" s="13">
        <v>15296</v>
      </c>
      <c r="J7" s="13">
        <v>0</v>
      </c>
      <c r="K7" s="13">
        <v>0</v>
      </c>
      <c r="L7" s="14" t="s">
        <v>21</v>
      </c>
      <c r="M7" s="15" t="s">
        <v>22</v>
      </c>
      <c r="N7" s="16" t="s">
        <v>23</v>
      </c>
    </row>
    <row r="8" spans="1:15" x14ac:dyDescent="0.25">
      <c r="A8" s="7">
        <v>1006</v>
      </c>
      <c r="B8" s="8" t="s">
        <v>30</v>
      </c>
      <c r="C8" s="9">
        <v>10060111</v>
      </c>
      <c r="D8" s="10" t="s">
        <v>34</v>
      </c>
      <c r="E8" s="11" t="s">
        <v>19</v>
      </c>
      <c r="F8" s="11" t="s">
        <v>20</v>
      </c>
      <c r="G8" s="18">
        <v>690.09999999999991</v>
      </c>
      <c r="H8" s="18">
        <v>29487.71</v>
      </c>
      <c r="I8" s="13">
        <v>29488</v>
      </c>
      <c r="J8" s="13">
        <v>0</v>
      </c>
      <c r="K8" s="13">
        <v>0</v>
      </c>
      <c r="L8" s="14" t="s">
        <v>21</v>
      </c>
      <c r="M8" s="15" t="s">
        <v>22</v>
      </c>
      <c r="N8" s="16" t="s">
        <v>23</v>
      </c>
      <c r="O8" s="19"/>
    </row>
    <row r="9" spans="1:15" x14ac:dyDescent="0.25">
      <c r="A9" s="7">
        <v>1009</v>
      </c>
      <c r="B9" s="8" t="s">
        <v>35</v>
      </c>
      <c r="C9" s="9">
        <v>10090043</v>
      </c>
      <c r="D9" s="10" t="s">
        <v>36</v>
      </c>
      <c r="E9" s="11" t="s">
        <v>19</v>
      </c>
      <c r="F9" s="11" t="s">
        <v>20</v>
      </c>
      <c r="G9" s="18">
        <v>146.80000000000001</v>
      </c>
      <c r="H9" s="18">
        <v>6424.4900000000007</v>
      </c>
      <c r="I9" s="13">
        <v>4858</v>
      </c>
      <c r="J9" s="13">
        <v>0</v>
      </c>
      <c r="K9" s="13">
        <v>0</v>
      </c>
      <c r="L9" s="14" t="s">
        <v>21</v>
      </c>
      <c r="M9" s="15" t="s">
        <v>22</v>
      </c>
      <c r="N9" s="16" t="s">
        <v>23</v>
      </c>
    </row>
    <row r="10" spans="1:15" x14ac:dyDescent="0.25">
      <c r="A10" s="7">
        <v>1036</v>
      </c>
      <c r="B10" s="8" t="s">
        <v>37</v>
      </c>
      <c r="C10" s="9">
        <v>10480001</v>
      </c>
      <c r="D10" s="10" t="s">
        <v>38</v>
      </c>
      <c r="E10" s="11" t="s">
        <v>19</v>
      </c>
      <c r="F10" s="11" t="s">
        <v>20</v>
      </c>
      <c r="G10" s="18">
        <v>418.59999999999997</v>
      </c>
      <c r="H10" s="18">
        <v>14818.73</v>
      </c>
      <c r="I10" s="13">
        <v>14680</v>
      </c>
      <c r="J10" s="13">
        <v>0</v>
      </c>
      <c r="K10" s="13">
        <v>0</v>
      </c>
      <c r="L10" s="14" t="s">
        <v>21</v>
      </c>
      <c r="M10" s="15" t="s">
        <v>26</v>
      </c>
      <c r="N10" s="16" t="s">
        <v>23</v>
      </c>
    </row>
    <row r="11" spans="1:15" x14ac:dyDescent="0.25">
      <c r="A11" s="7">
        <v>1053</v>
      </c>
      <c r="B11" s="8" t="s">
        <v>39</v>
      </c>
      <c r="C11" s="9">
        <v>10530105</v>
      </c>
      <c r="D11" s="10" t="s">
        <v>40</v>
      </c>
      <c r="E11" s="11" t="s">
        <v>19</v>
      </c>
      <c r="F11" s="11" t="s">
        <v>20</v>
      </c>
      <c r="G11" s="18">
        <v>203.75000000000003</v>
      </c>
      <c r="H11" s="18">
        <v>8193.4500000000007</v>
      </c>
      <c r="I11" s="13">
        <v>7993</v>
      </c>
      <c r="J11" s="13">
        <v>0</v>
      </c>
      <c r="K11" s="13">
        <v>0</v>
      </c>
      <c r="L11" s="14" t="s">
        <v>21</v>
      </c>
      <c r="M11" s="15" t="s">
        <v>22</v>
      </c>
      <c r="N11" s="16" t="s">
        <v>23</v>
      </c>
    </row>
    <row r="12" spans="1:15" x14ac:dyDescent="0.25">
      <c r="A12" s="20"/>
      <c r="B12" s="21"/>
      <c r="C12" s="20"/>
      <c r="D12" s="20"/>
      <c r="E12" s="20" t="s">
        <v>41</v>
      </c>
      <c r="F12" s="20">
        <v>995</v>
      </c>
      <c r="G12" s="22">
        <v>4967.8</v>
      </c>
      <c r="H12" s="22">
        <v>197724.07</v>
      </c>
      <c r="I12" s="23">
        <v>188656</v>
      </c>
      <c r="J12" s="23">
        <v>0</v>
      </c>
      <c r="K12" s="23">
        <v>0</v>
      </c>
      <c r="L12" s="14">
        <v>4</v>
      </c>
      <c r="M12" s="9"/>
      <c r="N12" s="17"/>
    </row>
  </sheetData>
  <conditionalFormatting sqref="C2:C11">
    <cfRule type="duplicateValues" dxfId="15" priority="12"/>
  </conditionalFormatting>
  <conditionalFormatting sqref="C12 C1">
    <cfRule type="duplicateValues" dxfId="14" priority="11" stopIfTrue="1"/>
  </conditionalFormatting>
  <conditionalFormatting sqref="F2:F11">
    <cfRule type="containsText" dxfId="13" priority="9" operator="containsText" text="Indirect">
      <formula>NOT(ISERROR(SEARCH("Indirect",F2)))</formula>
    </cfRule>
  </conditionalFormatting>
  <conditionalFormatting sqref="I2:K11">
    <cfRule type="cellIs" dxfId="12" priority="8" operator="lessThan">
      <formula>-1</formula>
    </cfRule>
  </conditionalFormatting>
  <conditionalFormatting sqref="C3:C11">
    <cfRule type="duplicateValues" dxfId="11" priority="6"/>
    <cfRule type="duplicateValues" dxfId="10" priority="7"/>
  </conditionalFormatting>
  <conditionalFormatting sqref="D12">
    <cfRule type="duplicateValues" dxfId="9" priority="5" stopIfTrue="1"/>
  </conditionalFormatting>
  <conditionalFormatting sqref="E12">
    <cfRule type="duplicateValues" dxfId="8" priority="4" stopIfTrue="1"/>
  </conditionalFormatting>
  <conditionalFormatting sqref="F12">
    <cfRule type="duplicateValues" dxfId="7" priority="3" stopIfTrue="1"/>
  </conditionalFormatting>
  <conditionalFormatting sqref="G12">
    <cfRule type="duplicateValues" dxfId="6" priority="2" stopIfTrue="1"/>
  </conditionalFormatting>
  <conditionalFormatting sqref="H12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EA343-A38B-471E-9DDB-8EE2BE364D8C}">
  <dimension ref="A1:AE118"/>
  <sheetViews>
    <sheetView topLeftCell="A74" zoomScale="81" workbookViewId="0">
      <selection activeCell="W119" sqref="W119"/>
    </sheetView>
  </sheetViews>
  <sheetFormatPr defaultRowHeight="15" x14ac:dyDescent="0.25"/>
  <cols>
    <col min="1" max="1" width="13.140625" bestFit="1" customWidth="1"/>
    <col min="2" max="3" width="15.140625" bestFit="1" customWidth="1"/>
    <col min="4" max="4" width="31.140625" customWidth="1"/>
    <col min="5" max="5" width="9.7109375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10.42578125" bestFit="1" customWidth="1"/>
    <col min="11" max="11" width="7.7109375" bestFit="1" customWidth="1"/>
    <col min="12" max="12" width="9" bestFit="1" customWidth="1"/>
    <col min="13" max="13" width="10.42578125" bestFit="1" customWidth="1"/>
    <col min="14" max="14" width="6.140625" bestFit="1" customWidth="1"/>
    <col min="15" max="15" width="9.7109375" bestFit="1" customWidth="1"/>
    <col min="16" max="16" width="10.85546875" bestFit="1" customWidth="1"/>
    <col min="18" max="18" width="22.42578125" bestFit="1" customWidth="1"/>
    <col min="19" max="19" width="17.28515625" bestFit="1" customWidth="1"/>
    <col min="20" max="20" width="14.28515625" bestFit="1" customWidth="1"/>
    <col min="21" max="21" width="27.140625" bestFit="1" customWidth="1"/>
    <col min="22" max="22" width="12.7109375" bestFit="1" customWidth="1"/>
    <col min="23" max="23" width="12.140625" bestFit="1" customWidth="1"/>
    <col min="25" max="25" width="7.7109375" bestFit="1" customWidth="1"/>
    <col min="28" max="28" width="15.28515625" bestFit="1" customWidth="1"/>
    <col min="29" max="29" width="13.5703125" bestFit="1" customWidth="1"/>
    <col min="30" max="30" width="10.28515625" bestFit="1" customWidth="1"/>
    <col min="31" max="31" width="16" bestFit="1" customWidth="1"/>
  </cols>
  <sheetData>
    <row r="1" spans="1:31" ht="36.6" customHeight="1" x14ac:dyDescent="0.25">
      <c r="A1" s="24" t="s">
        <v>43</v>
      </c>
      <c r="B1" s="24" t="s">
        <v>1</v>
      </c>
      <c r="C1" s="24" t="s">
        <v>44</v>
      </c>
      <c r="D1" s="24" t="s">
        <v>45</v>
      </c>
      <c r="E1" s="25" t="s">
        <v>46</v>
      </c>
      <c r="F1" s="26" t="s">
        <v>47</v>
      </c>
      <c r="G1" s="27" t="s">
        <v>48</v>
      </c>
      <c r="H1" s="26" t="s">
        <v>49</v>
      </c>
      <c r="I1" s="26" t="s">
        <v>50</v>
      </c>
      <c r="J1" s="28" t="s">
        <v>8</v>
      </c>
      <c r="K1" s="28" t="s">
        <v>51</v>
      </c>
      <c r="L1" s="28" t="s">
        <v>52</v>
      </c>
      <c r="M1" s="28" t="s">
        <v>9</v>
      </c>
      <c r="N1" s="28" t="s">
        <v>10</v>
      </c>
      <c r="O1" s="28" t="s">
        <v>14</v>
      </c>
      <c r="P1" s="28" t="s">
        <v>53</v>
      </c>
      <c r="Q1" s="29" t="s">
        <v>54</v>
      </c>
      <c r="R1" s="30" t="s">
        <v>55</v>
      </c>
      <c r="S1" s="30" t="s">
        <v>56</v>
      </c>
      <c r="T1" s="30" t="s">
        <v>57</v>
      </c>
      <c r="U1" s="30" t="s">
        <v>58</v>
      </c>
      <c r="V1" s="31" t="s">
        <v>59</v>
      </c>
      <c r="W1" s="32" t="s">
        <v>16</v>
      </c>
      <c r="X1" s="33"/>
      <c r="Y1" s="34" t="s">
        <v>60</v>
      </c>
      <c r="AC1" t="s">
        <v>61</v>
      </c>
    </row>
    <row r="2" spans="1:31" x14ac:dyDescent="0.25">
      <c r="A2" t="s">
        <v>62</v>
      </c>
      <c r="B2" t="s">
        <v>17</v>
      </c>
      <c r="C2" s="35" t="s">
        <v>17</v>
      </c>
      <c r="D2" t="s">
        <v>18</v>
      </c>
      <c r="E2" s="35">
        <v>10010013</v>
      </c>
      <c r="F2" t="s">
        <v>63</v>
      </c>
      <c r="G2" s="35">
        <v>13</v>
      </c>
      <c r="H2" s="36">
        <v>4.1700000000000008</v>
      </c>
      <c r="I2" s="37">
        <v>153.508738284</v>
      </c>
      <c r="J2" s="38">
        <v>0</v>
      </c>
      <c r="K2" s="38">
        <v>153.508738284</v>
      </c>
      <c r="L2" s="38">
        <v>0</v>
      </c>
      <c r="M2" s="36">
        <v>0</v>
      </c>
      <c r="N2" s="36">
        <v>0</v>
      </c>
      <c r="O2" s="38" t="s">
        <v>21</v>
      </c>
      <c r="P2" s="38">
        <v>0</v>
      </c>
      <c r="Q2" s="35" t="s">
        <v>20</v>
      </c>
      <c r="R2">
        <v>0</v>
      </c>
      <c r="S2">
        <v>0</v>
      </c>
      <c r="T2">
        <v>0</v>
      </c>
      <c r="U2">
        <v>0</v>
      </c>
      <c r="V2" t="s">
        <v>64</v>
      </c>
      <c r="W2" t="s">
        <v>23</v>
      </c>
      <c r="Y2" s="39">
        <v>23.928220595827337</v>
      </c>
      <c r="AB2" s="9" t="s">
        <v>1</v>
      </c>
      <c r="AC2" s="9" t="s">
        <v>65</v>
      </c>
      <c r="AD2" s="9" t="s">
        <v>66</v>
      </c>
      <c r="AE2" s="40" t="s">
        <v>67</v>
      </c>
    </row>
    <row r="3" spans="1:31" x14ac:dyDescent="0.25">
      <c r="A3" t="s">
        <v>68</v>
      </c>
      <c r="B3" t="s">
        <v>17</v>
      </c>
      <c r="C3" s="35" t="s">
        <v>17</v>
      </c>
      <c r="D3" t="s">
        <v>18</v>
      </c>
      <c r="E3" s="35">
        <v>10010013</v>
      </c>
      <c r="F3" t="s">
        <v>69</v>
      </c>
      <c r="G3" s="35">
        <v>8</v>
      </c>
      <c r="H3" s="36">
        <v>19.28</v>
      </c>
      <c r="I3" s="37">
        <v>906.40184490434012</v>
      </c>
      <c r="J3" s="38">
        <v>0</v>
      </c>
      <c r="K3" s="38">
        <v>0</v>
      </c>
      <c r="L3" s="38">
        <v>0</v>
      </c>
      <c r="M3" s="36">
        <v>0</v>
      </c>
      <c r="N3" s="36">
        <v>0</v>
      </c>
      <c r="O3" s="38" t="s">
        <v>21</v>
      </c>
      <c r="P3" s="38">
        <v>906</v>
      </c>
      <c r="Q3" s="35" t="s">
        <v>20</v>
      </c>
      <c r="R3" t="s">
        <v>70</v>
      </c>
      <c r="S3" t="s">
        <v>71</v>
      </c>
      <c r="T3" t="s">
        <v>72</v>
      </c>
      <c r="U3" t="s">
        <v>73</v>
      </c>
      <c r="V3" t="s">
        <v>74</v>
      </c>
      <c r="W3" t="s">
        <v>23</v>
      </c>
      <c r="Y3" s="39">
        <v>18.805017529135686</v>
      </c>
      <c r="AB3" s="41" t="s">
        <v>75</v>
      </c>
      <c r="AC3" s="9">
        <v>105</v>
      </c>
      <c r="AD3" s="18">
        <v>18923.07</v>
      </c>
      <c r="AE3" s="18">
        <v>25.745673469387757</v>
      </c>
    </row>
    <row r="4" spans="1:31" x14ac:dyDescent="0.25">
      <c r="A4" t="s">
        <v>76</v>
      </c>
      <c r="B4" t="s">
        <v>17</v>
      </c>
      <c r="C4" s="35" t="s">
        <v>17</v>
      </c>
      <c r="D4" t="s">
        <v>18</v>
      </c>
      <c r="E4" s="35">
        <v>10010013</v>
      </c>
      <c r="F4" t="s">
        <v>77</v>
      </c>
      <c r="G4" s="35">
        <v>11</v>
      </c>
      <c r="H4" s="36">
        <v>54.019999999999996</v>
      </c>
      <c r="I4" s="37">
        <v>2065.0813856640002</v>
      </c>
      <c r="J4" s="38">
        <v>0</v>
      </c>
      <c r="K4" s="38">
        <v>0</v>
      </c>
      <c r="L4" s="38">
        <v>0</v>
      </c>
      <c r="M4" s="36">
        <v>2065</v>
      </c>
      <c r="N4" s="36">
        <v>0</v>
      </c>
      <c r="O4" s="38" t="s">
        <v>21</v>
      </c>
      <c r="P4" s="38">
        <v>0</v>
      </c>
      <c r="Q4" s="35" t="s">
        <v>20</v>
      </c>
      <c r="R4" t="s">
        <v>78</v>
      </c>
      <c r="S4" t="s">
        <v>79</v>
      </c>
      <c r="T4" t="s">
        <v>72</v>
      </c>
      <c r="U4" t="s">
        <v>73</v>
      </c>
      <c r="V4" t="s">
        <v>74</v>
      </c>
      <c r="W4" t="s">
        <v>23</v>
      </c>
      <c r="Y4" s="39">
        <v>21.025449132084418</v>
      </c>
      <c r="AB4" s="41" t="s">
        <v>27</v>
      </c>
      <c r="AC4" s="9">
        <v>747</v>
      </c>
      <c r="AD4" s="18">
        <v>46989.909999999982</v>
      </c>
      <c r="AE4" s="18">
        <v>8.9864046662841801</v>
      </c>
    </row>
    <row r="5" spans="1:31" x14ac:dyDescent="0.25">
      <c r="A5" t="s">
        <v>80</v>
      </c>
      <c r="B5" t="s">
        <v>17</v>
      </c>
      <c r="C5" s="35" t="s">
        <v>17</v>
      </c>
      <c r="D5" t="s">
        <v>18</v>
      </c>
      <c r="E5" s="35">
        <v>10010013</v>
      </c>
      <c r="F5" t="s">
        <v>81</v>
      </c>
      <c r="G5" s="35">
        <v>13</v>
      </c>
      <c r="H5" s="36">
        <v>66.48</v>
      </c>
      <c r="I5" s="37">
        <v>2493.81331056</v>
      </c>
      <c r="J5" s="38">
        <v>0</v>
      </c>
      <c r="K5" s="38">
        <v>0</v>
      </c>
      <c r="L5" s="38">
        <v>0</v>
      </c>
      <c r="M5" s="36">
        <v>2494</v>
      </c>
      <c r="N5" s="36">
        <v>0</v>
      </c>
      <c r="O5" s="38" t="s">
        <v>21</v>
      </c>
      <c r="P5" s="38">
        <v>0</v>
      </c>
      <c r="Q5" s="35" t="s">
        <v>20</v>
      </c>
      <c r="R5" t="s">
        <v>82</v>
      </c>
      <c r="S5" t="s">
        <v>83</v>
      </c>
      <c r="T5" t="s">
        <v>84</v>
      </c>
      <c r="U5" t="s">
        <v>85</v>
      </c>
      <c r="V5" t="s">
        <v>74</v>
      </c>
      <c r="W5" t="s">
        <v>23</v>
      </c>
      <c r="Y5" s="39">
        <v>24.382952043682309</v>
      </c>
      <c r="AB5" s="41" t="s">
        <v>86</v>
      </c>
      <c r="AC5" s="9">
        <v>435</v>
      </c>
      <c r="AD5" s="18">
        <v>33304.470000000016</v>
      </c>
      <c r="AE5" s="18">
        <v>10.937428571428578</v>
      </c>
    </row>
    <row r="6" spans="1:31" x14ac:dyDescent="0.25">
      <c r="A6" t="s">
        <v>87</v>
      </c>
      <c r="B6" t="s">
        <v>17</v>
      </c>
      <c r="C6" s="35" t="s">
        <v>17</v>
      </c>
      <c r="D6" t="s">
        <v>18</v>
      </c>
      <c r="E6" s="35">
        <v>10010013</v>
      </c>
      <c r="F6" t="s">
        <v>88</v>
      </c>
      <c r="G6" s="35">
        <v>5</v>
      </c>
      <c r="H6" s="36">
        <v>6.04</v>
      </c>
      <c r="I6" s="37">
        <v>276.3106967942</v>
      </c>
      <c r="J6" s="38">
        <v>0</v>
      </c>
      <c r="K6" s="38">
        <v>0</v>
      </c>
      <c r="L6" s="38">
        <v>0</v>
      </c>
      <c r="M6" s="36">
        <v>0</v>
      </c>
      <c r="N6" s="36">
        <v>0</v>
      </c>
      <c r="O6" s="38" t="s">
        <v>21</v>
      </c>
      <c r="P6" s="38">
        <v>276</v>
      </c>
      <c r="Q6" s="35" t="s">
        <v>20</v>
      </c>
      <c r="R6" t="s">
        <v>89</v>
      </c>
      <c r="S6" t="s">
        <v>90</v>
      </c>
      <c r="T6" t="s">
        <v>91</v>
      </c>
      <c r="U6" t="s">
        <v>92</v>
      </c>
      <c r="V6" t="s">
        <v>74</v>
      </c>
      <c r="W6" t="s">
        <v>23</v>
      </c>
      <c r="Y6" s="39">
        <v>11.436701026250001</v>
      </c>
      <c r="AB6" s="41" t="s">
        <v>93</v>
      </c>
      <c r="AC6" s="9">
        <v>509</v>
      </c>
      <c r="AD6" s="18">
        <v>45816.38999999997</v>
      </c>
      <c r="AE6" s="18">
        <v>12.858936289643552</v>
      </c>
    </row>
    <row r="7" spans="1:31" x14ac:dyDescent="0.25">
      <c r="A7" t="s">
        <v>94</v>
      </c>
      <c r="B7" t="s">
        <v>17</v>
      </c>
      <c r="C7" s="35" t="s">
        <v>17</v>
      </c>
      <c r="D7" t="s">
        <v>18</v>
      </c>
      <c r="E7" s="35">
        <v>10010013</v>
      </c>
      <c r="F7" t="s">
        <v>95</v>
      </c>
      <c r="G7" s="35">
        <v>3</v>
      </c>
      <c r="H7" s="36">
        <v>5.9499999999999993</v>
      </c>
      <c r="I7" s="37">
        <v>192.14087090219999</v>
      </c>
      <c r="J7" s="38">
        <v>0</v>
      </c>
      <c r="K7" s="38">
        <v>0</v>
      </c>
      <c r="L7" s="38">
        <v>0</v>
      </c>
      <c r="M7" s="36">
        <v>0</v>
      </c>
      <c r="N7" s="36">
        <v>0</v>
      </c>
      <c r="O7" s="38" t="s">
        <v>21</v>
      </c>
      <c r="P7" s="38">
        <v>192</v>
      </c>
      <c r="Q7" s="35" t="s">
        <v>20</v>
      </c>
      <c r="R7" t="s">
        <v>96</v>
      </c>
      <c r="S7" t="s">
        <v>97</v>
      </c>
      <c r="T7" t="s">
        <v>98</v>
      </c>
      <c r="U7" t="s">
        <v>92</v>
      </c>
      <c r="V7" t="s">
        <v>74</v>
      </c>
      <c r="W7" t="s">
        <v>23</v>
      </c>
      <c r="Y7" s="39">
        <v>4.8438875017361349</v>
      </c>
      <c r="AB7" s="41" t="s">
        <v>35</v>
      </c>
      <c r="AC7" s="9">
        <v>234</v>
      </c>
      <c r="AD7" s="18">
        <v>22890.959999999999</v>
      </c>
      <c r="AE7" s="18">
        <v>13.974945054945055</v>
      </c>
    </row>
    <row r="8" spans="1:31" x14ac:dyDescent="0.25">
      <c r="A8" t="s">
        <v>99</v>
      </c>
      <c r="B8" t="s">
        <v>17</v>
      </c>
      <c r="C8" s="35" t="s">
        <v>17</v>
      </c>
      <c r="D8" t="s">
        <v>18</v>
      </c>
      <c r="E8" s="35">
        <v>10010013</v>
      </c>
      <c r="F8" t="s">
        <v>100</v>
      </c>
      <c r="G8" s="35">
        <v>9</v>
      </c>
      <c r="H8" s="36">
        <v>28.91</v>
      </c>
      <c r="I8" s="37">
        <v>1004.024942712</v>
      </c>
      <c r="J8" s="38">
        <v>0</v>
      </c>
      <c r="K8" s="38">
        <v>0</v>
      </c>
      <c r="L8" s="38">
        <v>0</v>
      </c>
      <c r="M8" s="36">
        <v>0</v>
      </c>
      <c r="N8" s="36">
        <v>0</v>
      </c>
      <c r="O8" s="38" t="s">
        <v>21</v>
      </c>
      <c r="P8" s="38">
        <v>1004</v>
      </c>
      <c r="Q8" s="35" t="s">
        <v>20</v>
      </c>
      <c r="R8" t="s">
        <v>101</v>
      </c>
      <c r="S8" t="s">
        <v>102</v>
      </c>
      <c r="T8" t="s">
        <v>98</v>
      </c>
      <c r="U8" t="s">
        <v>92</v>
      </c>
      <c r="V8" t="s">
        <v>74</v>
      </c>
      <c r="W8" t="s">
        <v>23</v>
      </c>
      <c r="Y8" s="39">
        <v>15.628198693199584</v>
      </c>
      <c r="AB8" s="41" t="s">
        <v>24</v>
      </c>
      <c r="AC8" s="9">
        <v>542</v>
      </c>
      <c r="AD8" s="18">
        <v>49057.290000000023</v>
      </c>
      <c r="AE8" s="18">
        <v>12.930229309435958</v>
      </c>
    </row>
    <row r="9" spans="1:31" x14ac:dyDescent="0.25">
      <c r="A9" t="s">
        <v>103</v>
      </c>
      <c r="B9" t="s">
        <v>17</v>
      </c>
      <c r="C9" s="35" t="s">
        <v>17</v>
      </c>
      <c r="D9" t="s">
        <v>18</v>
      </c>
      <c r="E9" s="35">
        <v>10010013</v>
      </c>
      <c r="F9" t="s">
        <v>104</v>
      </c>
      <c r="G9" s="35">
        <v>6</v>
      </c>
      <c r="H9" s="36">
        <v>17.82</v>
      </c>
      <c r="I9" s="37">
        <v>597.86994286800007</v>
      </c>
      <c r="J9" s="38">
        <v>0</v>
      </c>
      <c r="K9" s="38">
        <v>0</v>
      </c>
      <c r="L9" s="38">
        <v>0</v>
      </c>
      <c r="M9" s="36">
        <v>0</v>
      </c>
      <c r="N9" s="36">
        <v>0</v>
      </c>
      <c r="O9" s="38" t="s">
        <v>21</v>
      </c>
      <c r="P9" s="38">
        <v>598</v>
      </c>
      <c r="Q9" s="35" t="s">
        <v>20</v>
      </c>
      <c r="R9" t="s">
        <v>105</v>
      </c>
      <c r="S9" t="s">
        <v>106</v>
      </c>
      <c r="T9" t="s">
        <v>98</v>
      </c>
      <c r="U9" t="s">
        <v>92</v>
      </c>
      <c r="V9" t="s">
        <v>74</v>
      </c>
      <c r="W9" t="s">
        <v>23</v>
      </c>
      <c r="Y9" s="39">
        <v>10.065150553333336</v>
      </c>
      <c r="AB9" s="41" t="s">
        <v>17</v>
      </c>
      <c r="AC9" s="9">
        <v>132</v>
      </c>
      <c r="AD9" s="18">
        <v>10371.150000000005</v>
      </c>
      <c r="AE9" s="18">
        <v>11.224188311688318</v>
      </c>
    </row>
    <row r="10" spans="1:31" x14ac:dyDescent="0.25">
      <c r="A10" t="s">
        <v>107</v>
      </c>
      <c r="B10" t="s">
        <v>17</v>
      </c>
      <c r="C10" s="35" t="s">
        <v>17</v>
      </c>
      <c r="D10" t="s">
        <v>18</v>
      </c>
      <c r="E10" s="35">
        <v>10010013</v>
      </c>
      <c r="F10" t="s">
        <v>108</v>
      </c>
      <c r="G10" s="35">
        <v>13</v>
      </c>
      <c r="H10" s="36">
        <v>37.980000000000004</v>
      </c>
      <c r="I10" s="37">
        <v>1307.9447216154003</v>
      </c>
      <c r="J10" s="38">
        <v>0</v>
      </c>
      <c r="K10" s="38">
        <v>0</v>
      </c>
      <c r="L10" s="38">
        <v>0</v>
      </c>
      <c r="M10" s="36">
        <v>0</v>
      </c>
      <c r="N10" s="36">
        <v>0</v>
      </c>
      <c r="O10" s="38" t="s">
        <v>21</v>
      </c>
      <c r="P10" s="38">
        <v>1308</v>
      </c>
      <c r="Q10" s="35" t="s">
        <v>20</v>
      </c>
      <c r="R10" t="s">
        <v>109</v>
      </c>
      <c r="S10" t="s">
        <v>110</v>
      </c>
      <c r="T10" t="s">
        <v>98</v>
      </c>
      <c r="U10" t="s">
        <v>92</v>
      </c>
      <c r="V10" t="s">
        <v>74</v>
      </c>
      <c r="W10" t="s">
        <v>23</v>
      </c>
      <c r="Y10" s="39">
        <v>22.384519985518963</v>
      </c>
      <c r="AB10" s="41" t="s">
        <v>111</v>
      </c>
      <c r="AC10" s="9">
        <v>318</v>
      </c>
      <c r="AD10" s="18">
        <v>18106.299999999996</v>
      </c>
      <c r="AE10" s="18">
        <v>8.1340071877807709</v>
      </c>
    </row>
    <row r="11" spans="1:31" x14ac:dyDescent="0.25">
      <c r="A11" t="s">
        <v>112</v>
      </c>
      <c r="B11" t="s">
        <v>17</v>
      </c>
      <c r="C11" s="35" t="s">
        <v>17</v>
      </c>
      <c r="D11" t="s">
        <v>18</v>
      </c>
      <c r="E11" s="35">
        <v>10010013</v>
      </c>
      <c r="F11" t="s">
        <v>113</v>
      </c>
      <c r="G11" s="35">
        <v>13</v>
      </c>
      <c r="H11" s="36">
        <v>35.029999999999994</v>
      </c>
      <c r="I11" s="37">
        <v>1232.0158827834002</v>
      </c>
      <c r="J11" s="38">
        <v>0</v>
      </c>
      <c r="K11" s="38">
        <v>0</v>
      </c>
      <c r="L11" s="38">
        <v>0</v>
      </c>
      <c r="M11" s="36">
        <v>0</v>
      </c>
      <c r="N11" s="36">
        <v>0</v>
      </c>
      <c r="O11" s="38" t="s">
        <v>21</v>
      </c>
      <c r="P11" s="38">
        <v>1232</v>
      </c>
      <c r="Q11" s="35" t="s">
        <v>20</v>
      </c>
      <c r="R11" t="s">
        <v>114</v>
      </c>
      <c r="S11" t="s">
        <v>115</v>
      </c>
      <c r="T11" t="s">
        <v>98</v>
      </c>
      <c r="U11" t="s">
        <v>92</v>
      </c>
      <c r="V11" t="s">
        <v>74</v>
      </c>
      <c r="W11" t="s">
        <v>23</v>
      </c>
      <c r="Y11" s="39">
        <v>22.860700080194416</v>
      </c>
      <c r="AB11" s="41" t="s">
        <v>116</v>
      </c>
      <c r="AC11" s="9">
        <v>289</v>
      </c>
      <c r="AD11" s="18">
        <v>55112.389999999992</v>
      </c>
      <c r="AE11" s="18">
        <v>27.242901631240727</v>
      </c>
    </row>
    <row r="12" spans="1:31" x14ac:dyDescent="0.25">
      <c r="A12" t="s">
        <v>117</v>
      </c>
      <c r="B12" t="s">
        <v>17</v>
      </c>
      <c r="C12" s="35" t="s">
        <v>17</v>
      </c>
      <c r="D12" t="s">
        <v>18</v>
      </c>
      <c r="E12" s="35">
        <v>10010013</v>
      </c>
      <c r="F12" t="s">
        <v>118</v>
      </c>
      <c r="G12" s="35">
        <v>11</v>
      </c>
      <c r="H12" s="36">
        <v>22.180000000000003</v>
      </c>
      <c r="I12" s="37">
        <v>775.27108969200003</v>
      </c>
      <c r="J12" s="38">
        <v>0</v>
      </c>
      <c r="K12" s="38">
        <v>0</v>
      </c>
      <c r="L12" s="38">
        <v>0</v>
      </c>
      <c r="M12" s="36">
        <v>775</v>
      </c>
      <c r="N12" s="36">
        <v>0</v>
      </c>
      <c r="O12" s="38" t="s">
        <v>21</v>
      </c>
      <c r="P12" s="38">
        <v>0</v>
      </c>
      <c r="Q12" s="35" t="s">
        <v>20</v>
      </c>
      <c r="R12" t="s">
        <v>119</v>
      </c>
      <c r="S12" t="s">
        <v>120</v>
      </c>
      <c r="T12" t="s">
        <v>121</v>
      </c>
      <c r="U12" t="s">
        <v>122</v>
      </c>
      <c r="V12" t="s">
        <v>74</v>
      </c>
      <c r="W12" t="s">
        <v>23</v>
      </c>
      <c r="Y12" s="39">
        <v>19.224485993264199</v>
      </c>
      <c r="AB12" s="41" t="s">
        <v>30</v>
      </c>
      <c r="AC12" s="9">
        <v>208</v>
      </c>
      <c r="AD12" s="18">
        <v>19615.309999999998</v>
      </c>
      <c r="AE12" s="18">
        <v>13.472053571428571</v>
      </c>
    </row>
    <row r="13" spans="1:31" x14ac:dyDescent="0.25">
      <c r="A13" t="s">
        <v>123</v>
      </c>
      <c r="B13" t="s">
        <v>17</v>
      </c>
      <c r="C13" s="35" t="s">
        <v>17</v>
      </c>
      <c r="D13" t="s">
        <v>18</v>
      </c>
      <c r="E13" s="35">
        <v>10010013</v>
      </c>
      <c r="F13" t="s">
        <v>124</v>
      </c>
      <c r="G13" s="35">
        <v>14</v>
      </c>
      <c r="H13" s="36">
        <v>38.6</v>
      </c>
      <c r="I13" s="37">
        <v>1275.7172232024002</v>
      </c>
      <c r="J13" s="38">
        <v>0</v>
      </c>
      <c r="K13" s="38">
        <v>0</v>
      </c>
      <c r="L13" s="38">
        <v>0</v>
      </c>
      <c r="M13" s="36">
        <v>0</v>
      </c>
      <c r="N13" s="36">
        <v>0</v>
      </c>
      <c r="O13" s="38" t="s">
        <v>21</v>
      </c>
      <c r="P13" s="38">
        <v>1276</v>
      </c>
      <c r="Q13" s="35" t="s">
        <v>20</v>
      </c>
      <c r="R13" t="s">
        <v>125</v>
      </c>
      <c r="S13" t="s">
        <v>126</v>
      </c>
      <c r="T13" t="s">
        <v>98</v>
      </c>
      <c r="U13" t="s">
        <v>92</v>
      </c>
      <c r="V13" t="s">
        <v>74</v>
      </c>
      <c r="W13" t="s">
        <v>23</v>
      </c>
      <c r="Y13" s="39">
        <v>23.134768296416585</v>
      </c>
      <c r="AB13" s="41" t="s">
        <v>127</v>
      </c>
      <c r="AC13" s="9">
        <v>137</v>
      </c>
      <c r="AD13" s="18">
        <v>21043.459999999995</v>
      </c>
      <c r="AE13" s="18">
        <v>21.943128258602705</v>
      </c>
    </row>
    <row r="14" spans="1:31" x14ac:dyDescent="0.25">
      <c r="A14" t="s">
        <v>128</v>
      </c>
      <c r="B14" t="s">
        <v>17</v>
      </c>
      <c r="C14" s="35" t="s">
        <v>17</v>
      </c>
      <c r="D14" t="s">
        <v>18</v>
      </c>
      <c r="E14" s="35">
        <v>10010013</v>
      </c>
      <c r="F14" t="s">
        <v>129</v>
      </c>
      <c r="G14" s="35">
        <v>14</v>
      </c>
      <c r="H14" s="36">
        <v>63.010000000000005</v>
      </c>
      <c r="I14" s="37">
        <v>2229.2800972200007</v>
      </c>
      <c r="J14" s="38">
        <v>0</v>
      </c>
      <c r="K14" s="38">
        <v>0</v>
      </c>
      <c r="L14" s="38">
        <v>0</v>
      </c>
      <c r="M14" s="36">
        <v>0</v>
      </c>
      <c r="N14" s="36">
        <v>0</v>
      </c>
      <c r="O14" s="38" t="s">
        <v>21</v>
      </c>
      <c r="P14" s="38">
        <v>2229</v>
      </c>
      <c r="Q14" s="35" t="s">
        <v>20</v>
      </c>
      <c r="R14" t="s">
        <v>130</v>
      </c>
      <c r="S14" t="s">
        <v>131</v>
      </c>
      <c r="T14" t="s">
        <v>98</v>
      </c>
      <c r="U14" t="s">
        <v>92</v>
      </c>
      <c r="V14" t="s">
        <v>74</v>
      </c>
      <c r="W14" t="s">
        <v>23</v>
      </c>
      <c r="Y14" s="39">
        <v>24.765847771052222</v>
      </c>
      <c r="AB14" s="41" t="s">
        <v>37</v>
      </c>
      <c r="AC14" s="9">
        <v>50</v>
      </c>
      <c r="AD14" s="18">
        <v>6446.1900000000014</v>
      </c>
      <c r="AE14" s="18">
        <v>18.417685714285721</v>
      </c>
    </row>
    <row r="15" spans="1:31" x14ac:dyDescent="0.25">
      <c r="A15" t="s">
        <v>132</v>
      </c>
      <c r="B15" t="s">
        <v>17</v>
      </c>
      <c r="C15" s="35" t="s">
        <v>17</v>
      </c>
      <c r="D15" t="s">
        <v>18</v>
      </c>
      <c r="E15" s="35">
        <v>10010013</v>
      </c>
      <c r="F15" t="s">
        <v>133</v>
      </c>
      <c r="G15" s="35">
        <v>7</v>
      </c>
      <c r="H15" s="36">
        <v>15.04</v>
      </c>
      <c r="I15" s="37">
        <v>803.08244496589009</v>
      </c>
      <c r="J15" s="38">
        <v>0</v>
      </c>
      <c r="K15" s="38">
        <v>0</v>
      </c>
      <c r="L15" s="38">
        <v>0</v>
      </c>
      <c r="M15" s="36">
        <v>0</v>
      </c>
      <c r="N15" s="36">
        <v>0</v>
      </c>
      <c r="O15" s="38" t="s">
        <v>21</v>
      </c>
      <c r="P15" s="38">
        <v>803</v>
      </c>
      <c r="Q15" s="35" t="s">
        <v>20</v>
      </c>
      <c r="R15" t="s">
        <v>134</v>
      </c>
      <c r="S15" t="s">
        <v>135</v>
      </c>
      <c r="T15" t="s">
        <v>98</v>
      </c>
      <c r="U15" t="s">
        <v>136</v>
      </c>
      <c r="V15" t="s">
        <v>74</v>
      </c>
      <c r="W15" t="s">
        <v>23</v>
      </c>
      <c r="Y15" s="39">
        <v>18.688753705988137</v>
      </c>
      <c r="AB15" s="41" t="s">
        <v>137</v>
      </c>
      <c r="AC15" s="9">
        <v>260</v>
      </c>
      <c r="AD15" s="18">
        <v>36339.459999999992</v>
      </c>
      <c r="AE15" s="18">
        <v>19.966736263736259</v>
      </c>
    </row>
    <row r="16" spans="1:31" x14ac:dyDescent="0.25">
      <c r="A16" t="s">
        <v>138</v>
      </c>
      <c r="B16" t="s">
        <v>17</v>
      </c>
      <c r="C16" s="35" t="s">
        <v>17</v>
      </c>
      <c r="D16" t="s">
        <v>18</v>
      </c>
      <c r="E16" s="35">
        <v>10010013</v>
      </c>
      <c r="F16" t="s">
        <v>139</v>
      </c>
      <c r="G16" s="35">
        <v>6</v>
      </c>
      <c r="H16" s="36">
        <v>8.9099999999999984</v>
      </c>
      <c r="I16" s="37">
        <v>312.32192032800003</v>
      </c>
      <c r="J16" s="38">
        <v>0</v>
      </c>
      <c r="K16" s="38">
        <v>0</v>
      </c>
      <c r="L16" s="38">
        <v>0</v>
      </c>
      <c r="M16" s="36">
        <v>0</v>
      </c>
      <c r="N16" s="36">
        <v>0</v>
      </c>
      <c r="O16" s="38" t="s">
        <v>21</v>
      </c>
      <c r="P16" s="38">
        <v>312</v>
      </c>
      <c r="Q16" s="35" t="s">
        <v>20</v>
      </c>
      <c r="R16" t="s">
        <v>140</v>
      </c>
      <c r="S16" t="s">
        <v>141</v>
      </c>
      <c r="T16" t="s">
        <v>142</v>
      </c>
      <c r="U16" t="s">
        <v>136</v>
      </c>
      <c r="V16" t="s">
        <v>74</v>
      </c>
      <c r="W16" t="s">
        <v>23</v>
      </c>
      <c r="Y16" s="39">
        <v>10.51588957333334</v>
      </c>
      <c r="AB16" s="41" t="s">
        <v>143</v>
      </c>
      <c r="AC16" s="9">
        <v>75</v>
      </c>
      <c r="AD16" s="18">
        <v>18348.429999999993</v>
      </c>
      <c r="AE16" s="42">
        <v>34.949390476190459</v>
      </c>
    </row>
    <row r="17" spans="1:31" x14ac:dyDescent="0.25">
      <c r="A17" t="s">
        <v>144</v>
      </c>
      <c r="B17" t="s">
        <v>17</v>
      </c>
      <c r="C17" s="35" t="s">
        <v>17</v>
      </c>
      <c r="D17" t="s">
        <v>18</v>
      </c>
      <c r="E17" s="35">
        <v>10010013</v>
      </c>
      <c r="F17" t="s">
        <v>145</v>
      </c>
      <c r="G17" s="35">
        <v>4</v>
      </c>
      <c r="H17" s="36">
        <v>6.21</v>
      </c>
      <c r="I17" s="37">
        <v>292.20895502183004</v>
      </c>
      <c r="J17" s="38">
        <v>0</v>
      </c>
      <c r="K17" s="38">
        <v>0</v>
      </c>
      <c r="L17" s="38">
        <v>0</v>
      </c>
      <c r="M17" s="36">
        <v>0</v>
      </c>
      <c r="N17" s="36">
        <v>0</v>
      </c>
      <c r="O17" s="38" t="s">
        <v>21</v>
      </c>
      <c r="P17" s="38">
        <v>292</v>
      </c>
      <c r="Q17" s="35" t="s">
        <v>20</v>
      </c>
      <c r="R17" t="s">
        <v>146</v>
      </c>
      <c r="S17" t="s">
        <v>147</v>
      </c>
      <c r="T17" t="s">
        <v>91</v>
      </c>
      <c r="U17" t="s">
        <v>136</v>
      </c>
      <c r="V17" t="s">
        <v>74</v>
      </c>
      <c r="W17" t="s">
        <v>23</v>
      </c>
      <c r="Y17" s="39">
        <v>9.4109164258238334</v>
      </c>
      <c r="AB17" s="41" t="s">
        <v>39</v>
      </c>
      <c r="AC17" s="9">
        <v>1058</v>
      </c>
      <c r="AD17" s="18">
        <v>44050.459999999985</v>
      </c>
      <c r="AE17" s="42">
        <v>5.9479422090197112</v>
      </c>
    </row>
    <row r="18" spans="1:31" x14ac:dyDescent="0.25">
      <c r="A18" t="s">
        <v>148</v>
      </c>
      <c r="B18" t="s">
        <v>17</v>
      </c>
      <c r="C18" s="35" t="s">
        <v>17</v>
      </c>
      <c r="D18" t="s">
        <v>18</v>
      </c>
      <c r="E18" s="35">
        <v>10010013</v>
      </c>
      <c r="F18" t="s">
        <v>149</v>
      </c>
      <c r="G18" s="35">
        <v>6</v>
      </c>
      <c r="H18" s="36">
        <v>17.419999999999998</v>
      </c>
      <c r="I18" s="37">
        <v>995.71866340676002</v>
      </c>
      <c r="J18" s="38">
        <v>0</v>
      </c>
      <c r="K18" s="38">
        <v>0</v>
      </c>
      <c r="L18" s="38">
        <v>0</v>
      </c>
      <c r="M18" s="36">
        <v>0</v>
      </c>
      <c r="N18" s="36">
        <v>0</v>
      </c>
      <c r="O18" s="38" t="s">
        <v>21</v>
      </c>
      <c r="P18" s="38">
        <v>996</v>
      </c>
      <c r="Q18" s="35" t="s">
        <v>20</v>
      </c>
      <c r="R18" t="s">
        <v>150</v>
      </c>
      <c r="S18" t="s">
        <v>151</v>
      </c>
      <c r="T18" t="s">
        <v>91</v>
      </c>
      <c r="U18" t="s">
        <v>136</v>
      </c>
      <c r="V18" t="s">
        <v>74</v>
      </c>
      <c r="W18" t="s">
        <v>23</v>
      </c>
      <c r="Y18" s="39">
        <v>17.147852986339156</v>
      </c>
      <c r="AB18" s="41" t="s">
        <v>152</v>
      </c>
      <c r="AC18" s="9">
        <v>122</v>
      </c>
      <c r="AD18" s="18">
        <v>14242.359999999995</v>
      </c>
      <c r="AE18" s="42">
        <v>16.677236533957839</v>
      </c>
    </row>
    <row r="19" spans="1:31" x14ac:dyDescent="0.25">
      <c r="A19" t="s">
        <v>153</v>
      </c>
      <c r="B19" t="s">
        <v>17</v>
      </c>
      <c r="C19" s="35" t="s">
        <v>17</v>
      </c>
      <c r="D19" t="s">
        <v>18</v>
      </c>
      <c r="E19" s="35">
        <v>10010013</v>
      </c>
      <c r="F19" t="s">
        <v>154</v>
      </c>
      <c r="G19" s="35">
        <v>13</v>
      </c>
      <c r="H19" s="36">
        <v>55.989999999999995</v>
      </c>
      <c r="I19" s="37">
        <v>2007.2178902160003</v>
      </c>
      <c r="J19" s="38">
        <v>0</v>
      </c>
      <c r="K19" s="38">
        <v>0</v>
      </c>
      <c r="L19" s="38">
        <v>0</v>
      </c>
      <c r="M19" s="36">
        <v>0</v>
      </c>
      <c r="N19" s="36">
        <v>0</v>
      </c>
      <c r="O19" s="38" t="s">
        <v>21</v>
      </c>
      <c r="P19" s="38">
        <v>2007</v>
      </c>
      <c r="Q19" s="35" t="s">
        <v>20</v>
      </c>
      <c r="R19" t="s">
        <v>155</v>
      </c>
      <c r="S19" t="s">
        <v>156</v>
      </c>
      <c r="T19" t="s">
        <v>72</v>
      </c>
      <c r="U19" t="s">
        <v>157</v>
      </c>
      <c r="V19" t="s">
        <v>74</v>
      </c>
      <c r="W19" t="s">
        <v>23</v>
      </c>
      <c r="Y19" s="39">
        <v>23.302225908919457</v>
      </c>
      <c r="AB19" s="41" t="s">
        <v>158</v>
      </c>
      <c r="AC19" s="9">
        <v>92</v>
      </c>
      <c r="AD19" s="18">
        <v>10770.650000000001</v>
      </c>
      <c r="AE19" s="42">
        <v>16.724611801242236</v>
      </c>
    </row>
    <row r="20" spans="1:31" x14ac:dyDescent="0.25">
      <c r="A20" t="s">
        <v>159</v>
      </c>
      <c r="B20" t="s">
        <v>24</v>
      </c>
      <c r="C20" s="35" t="s">
        <v>24</v>
      </c>
      <c r="D20" t="s">
        <v>25</v>
      </c>
      <c r="E20" s="35">
        <v>10020070</v>
      </c>
      <c r="F20" t="s">
        <v>69</v>
      </c>
      <c r="G20" s="35">
        <v>1</v>
      </c>
      <c r="H20" s="36">
        <v>5</v>
      </c>
      <c r="I20" s="37">
        <v>201.30561</v>
      </c>
      <c r="J20" s="38">
        <v>0</v>
      </c>
      <c r="K20" s="38">
        <v>0</v>
      </c>
      <c r="L20" s="38">
        <v>201</v>
      </c>
      <c r="M20" s="36">
        <v>0</v>
      </c>
      <c r="N20" s="36">
        <v>0</v>
      </c>
      <c r="O20" s="38" t="s">
        <v>21</v>
      </c>
      <c r="P20" s="38">
        <v>0</v>
      </c>
      <c r="Q20" s="35" t="s">
        <v>20</v>
      </c>
      <c r="R20" t="s">
        <v>160</v>
      </c>
      <c r="S20" t="s">
        <v>161</v>
      </c>
      <c r="T20" t="s">
        <v>162</v>
      </c>
      <c r="U20" t="s">
        <v>163</v>
      </c>
      <c r="V20" t="s">
        <v>74</v>
      </c>
      <c r="W20" t="s">
        <v>23</v>
      </c>
      <c r="Y20" s="39">
        <v>2.0130561</v>
      </c>
    </row>
    <row r="21" spans="1:31" x14ac:dyDescent="0.25">
      <c r="A21" t="s">
        <v>164</v>
      </c>
      <c r="B21" t="s">
        <v>24</v>
      </c>
      <c r="C21" s="35" t="s">
        <v>24</v>
      </c>
      <c r="D21" t="s">
        <v>25</v>
      </c>
      <c r="E21" s="35">
        <v>10020070</v>
      </c>
      <c r="F21" t="s">
        <v>165</v>
      </c>
      <c r="G21" s="35">
        <v>9</v>
      </c>
      <c r="H21" s="36">
        <v>23.8</v>
      </c>
      <c r="I21" s="37">
        <v>1370.7317934512002</v>
      </c>
      <c r="J21" s="38">
        <v>0</v>
      </c>
      <c r="K21" s="38">
        <v>0</v>
      </c>
      <c r="L21" s="38">
        <v>0</v>
      </c>
      <c r="M21" s="36">
        <v>0</v>
      </c>
      <c r="N21" s="36">
        <v>0</v>
      </c>
      <c r="O21" s="38" t="s">
        <v>21</v>
      </c>
      <c r="P21" s="38">
        <v>1371</v>
      </c>
      <c r="Q21" s="35" t="s">
        <v>20</v>
      </c>
      <c r="R21" t="s">
        <v>166</v>
      </c>
      <c r="S21" t="s">
        <v>167</v>
      </c>
      <c r="T21" t="s">
        <v>162</v>
      </c>
      <c r="U21" t="s">
        <v>163</v>
      </c>
      <c r="V21" t="s">
        <v>74</v>
      </c>
      <c r="W21" t="s">
        <v>23</v>
      </c>
      <c r="Y21" s="39">
        <v>25.917197775337819</v>
      </c>
    </row>
    <row r="22" spans="1:31" x14ac:dyDescent="0.25">
      <c r="A22" t="s">
        <v>168</v>
      </c>
      <c r="B22" t="s">
        <v>24</v>
      </c>
      <c r="C22" s="35" t="s">
        <v>24</v>
      </c>
      <c r="D22" t="s">
        <v>25</v>
      </c>
      <c r="E22" s="35">
        <v>10020070</v>
      </c>
      <c r="F22" t="s">
        <v>77</v>
      </c>
      <c r="G22" s="35">
        <v>11</v>
      </c>
      <c r="H22" s="36">
        <v>62.1</v>
      </c>
      <c r="I22" s="37">
        <v>2705.6068934400005</v>
      </c>
      <c r="J22" s="38">
        <v>0</v>
      </c>
      <c r="K22" s="38">
        <v>0</v>
      </c>
      <c r="L22" s="38">
        <v>0</v>
      </c>
      <c r="M22" s="36">
        <v>0</v>
      </c>
      <c r="N22" s="36">
        <v>0</v>
      </c>
      <c r="O22" s="38" t="s">
        <v>21</v>
      </c>
      <c r="P22" s="38">
        <v>2706</v>
      </c>
      <c r="Q22" s="35" t="s">
        <v>20</v>
      </c>
      <c r="R22" t="s">
        <v>169</v>
      </c>
      <c r="S22" t="s">
        <v>170</v>
      </c>
      <c r="T22" t="s">
        <v>171</v>
      </c>
      <c r="U22" t="s">
        <v>85</v>
      </c>
      <c r="V22" t="s">
        <v>74</v>
      </c>
      <c r="W22" t="s">
        <v>23</v>
      </c>
      <c r="Y22" s="39">
        <v>23.962701954782617</v>
      </c>
    </row>
    <row r="23" spans="1:31" x14ac:dyDescent="0.25">
      <c r="A23" t="s">
        <v>172</v>
      </c>
      <c r="B23" t="s">
        <v>24</v>
      </c>
      <c r="C23" s="35" t="s">
        <v>24</v>
      </c>
      <c r="D23" t="s">
        <v>25</v>
      </c>
      <c r="E23" s="35">
        <v>10020070</v>
      </c>
      <c r="F23" t="s">
        <v>173</v>
      </c>
      <c r="G23" s="35">
        <v>14</v>
      </c>
      <c r="H23" s="36">
        <v>227.7</v>
      </c>
      <c r="I23" s="37">
        <v>8707.0981004205005</v>
      </c>
      <c r="J23" s="38">
        <v>0</v>
      </c>
      <c r="K23" s="38">
        <v>0</v>
      </c>
      <c r="L23" s="38">
        <v>4027</v>
      </c>
      <c r="M23" s="36">
        <v>0</v>
      </c>
      <c r="N23" s="36">
        <v>0</v>
      </c>
      <c r="O23" s="38" t="s">
        <v>21</v>
      </c>
      <c r="P23" s="38">
        <v>4680</v>
      </c>
      <c r="Q23" s="35" t="s">
        <v>20</v>
      </c>
      <c r="R23" t="s">
        <v>174</v>
      </c>
      <c r="S23" t="s">
        <v>175</v>
      </c>
      <c r="T23" t="s">
        <v>171</v>
      </c>
      <c r="U23" t="s">
        <v>85</v>
      </c>
      <c r="V23" t="s">
        <v>74</v>
      </c>
      <c r="W23" t="s">
        <v>23</v>
      </c>
      <c r="Y23" s="39">
        <v>26.767539175644934</v>
      </c>
    </row>
    <row r="24" spans="1:31" x14ac:dyDescent="0.25">
      <c r="A24" t="s">
        <v>176</v>
      </c>
      <c r="B24" t="s">
        <v>24</v>
      </c>
      <c r="C24" s="35" t="s">
        <v>24</v>
      </c>
      <c r="D24" t="s">
        <v>25</v>
      </c>
      <c r="E24" s="35">
        <v>10020070</v>
      </c>
      <c r="F24" t="s">
        <v>177</v>
      </c>
      <c r="G24" s="35">
        <v>13</v>
      </c>
      <c r="H24" s="36">
        <v>91</v>
      </c>
      <c r="I24" s="37">
        <v>4346.8160100244013</v>
      </c>
      <c r="J24" s="38">
        <v>0</v>
      </c>
      <c r="K24" s="38">
        <v>0</v>
      </c>
      <c r="L24" s="38">
        <v>0</v>
      </c>
      <c r="M24" s="36">
        <v>0</v>
      </c>
      <c r="N24" s="36">
        <v>0</v>
      </c>
      <c r="O24" s="38" t="s">
        <v>21</v>
      </c>
      <c r="P24" s="38">
        <v>4347</v>
      </c>
      <c r="Q24" s="35" t="s">
        <v>20</v>
      </c>
      <c r="R24" t="s">
        <v>178</v>
      </c>
      <c r="S24" t="s">
        <v>179</v>
      </c>
      <c r="T24" t="s">
        <v>162</v>
      </c>
      <c r="U24" t="s">
        <v>180</v>
      </c>
      <c r="V24" t="s">
        <v>74</v>
      </c>
      <c r="W24" t="s">
        <v>23</v>
      </c>
      <c r="Y24" s="39">
        <v>31.048685785888583</v>
      </c>
    </row>
    <row r="25" spans="1:31" x14ac:dyDescent="0.25">
      <c r="A25" t="s">
        <v>181</v>
      </c>
      <c r="B25" t="s">
        <v>24</v>
      </c>
      <c r="C25" s="35" t="s">
        <v>24</v>
      </c>
      <c r="D25" t="s">
        <v>25</v>
      </c>
      <c r="E25" s="35">
        <v>10020070</v>
      </c>
      <c r="F25" t="s">
        <v>182</v>
      </c>
      <c r="G25" s="35">
        <v>7</v>
      </c>
      <c r="H25" s="36">
        <v>25.900000000000002</v>
      </c>
      <c r="I25" s="37">
        <v>1065.9739459821003</v>
      </c>
      <c r="J25" s="38">
        <v>0</v>
      </c>
      <c r="K25" s="38">
        <v>0</v>
      </c>
      <c r="L25" s="38">
        <v>0</v>
      </c>
      <c r="M25" s="36">
        <v>0</v>
      </c>
      <c r="N25" s="36">
        <v>0</v>
      </c>
      <c r="O25" s="38" t="s">
        <v>21</v>
      </c>
      <c r="P25" s="38">
        <v>1066</v>
      </c>
      <c r="Q25" s="35" t="s">
        <v>20</v>
      </c>
      <c r="R25" t="s">
        <v>183</v>
      </c>
      <c r="S25" t="s">
        <v>184</v>
      </c>
      <c r="T25" t="s">
        <v>185</v>
      </c>
      <c r="U25" t="s">
        <v>136</v>
      </c>
      <c r="V25" t="s">
        <v>74</v>
      </c>
      <c r="W25" t="s">
        <v>23</v>
      </c>
      <c r="Y25" s="39">
        <v>14.405053324082436</v>
      </c>
    </row>
    <row r="26" spans="1:31" x14ac:dyDescent="0.25">
      <c r="A26" t="s">
        <v>186</v>
      </c>
      <c r="B26" t="s">
        <v>24</v>
      </c>
      <c r="C26" s="35" t="s">
        <v>24</v>
      </c>
      <c r="D26" t="s">
        <v>25</v>
      </c>
      <c r="E26" s="35">
        <v>10020070</v>
      </c>
      <c r="F26" t="s">
        <v>187</v>
      </c>
      <c r="G26" s="35">
        <v>13</v>
      </c>
      <c r="H26" s="36">
        <v>19.900000000000002</v>
      </c>
      <c r="I26" s="37">
        <v>795.22922952000022</v>
      </c>
      <c r="J26" s="38">
        <v>0</v>
      </c>
      <c r="K26" s="38">
        <v>0</v>
      </c>
      <c r="L26" s="38">
        <v>0</v>
      </c>
      <c r="M26" s="36">
        <v>0</v>
      </c>
      <c r="N26" s="36">
        <v>0</v>
      </c>
      <c r="O26" s="38" t="s">
        <v>21</v>
      </c>
      <c r="P26" s="38">
        <v>795</v>
      </c>
      <c r="Q26" s="35" t="s">
        <v>20</v>
      </c>
      <c r="R26" t="s">
        <v>188</v>
      </c>
      <c r="S26" t="s">
        <v>189</v>
      </c>
      <c r="T26" t="s">
        <v>185</v>
      </c>
      <c r="U26" t="s">
        <v>136</v>
      </c>
      <c r="V26" t="s">
        <v>74</v>
      </c>
      <c r="W26" t="s">
        <v>23</v>
      </c>
      <c r="Y26" s="39">
        <v>25.974824079798999</v>
      </c>
    </row>
    <row r="27" spans="1:31" x14ac:dyDescent="0.25">
      <c r="A27" t="s">
        <v>190</v>
      </c>
      <c r="B27" t="s">
        <v>24</v>
      </c>
      <c r="C27" s="35" t="s">
        <v>24</v>
      </c>
      <c r="D27" t="s">
        <v>25</v>
      </c>
      <c r="E27" s="35">
        <v>10020070</v>
      </c>
      <c r="F27" t="s">
        <v>81</v>
      </c>
      <c r="G27" s="35">
        <v>13</v>
      </c>
      <c r="H27" s="36">
        <v>33.5</v>
      </c>
      <c r="I27" s="37">
        <v>1188.972675</v>
      </c>
      <c r="J27" s="38">
        <v>0</v>
      </c>
      <c r="K27" s="38">
        <v>0</v>
      </c>
      <c r="L27" s="38">
        <v>0</v>
      </c>
      <c r="M27" s="36">
        <v>0</v>
      </c>
      <c r="N27" s="36">
        <v>0</v>
      </c>
      <c r="O27" s="38" t="s">
        <v>21</v>
      </c>
      <c r="P27" s="38">
        <v>1189</v>
      </c>
      <c r="Q27" s="35" t="s">
        <v>20</v>
      </c>
      <c r="R27" t="s">
        <v>191</v>
      </c>
      <c r="S27" t="s">
        <v>192</v>
      </c>
      <c r="T27" t="s">
        <v>185</v>
      </c>
      <c r="U27" t="s">
        <v>136</v>
      </c>
      <c r="V27" t="s">
        <v>74</v>
      </c>
      <c r="W27" t="s">
        <v>23</v>
      </c>
      <c r="Y27" s="39">
        <v>23.069619067164179</v>
      </c>
    </row>
    <row r="28" spans="1:31" x14ac:dyDescent="0.25">
      <c r="A28" t="s">
        <v>193</v>
      </c>
      <c r="B28" t="s">
        <v>24</v>
      </c>
      <c r="C28" s="35" t="s">
        <v>24</v>
      </c>
      <c r="D28" t="s">
        <v>25</v>
      </c>
      <c r="E28" s="35">
        <v>10020070</v>
      </c>
      <c r="F28" t="s">
        <v>88</v>
      </c>
      <c r="G28" s="35">
        <v>14</v>
      </c>
      <c r="H28" s="36">
        <v>66.600000000000009</v>
      </c>
      <c r="I28" s="37">
        <v>3266.3254379517011</v>
      </c>
      <c r="J28" s="38">
        <v>0</v>
      </c>
      <c r="K28" s="38">
        <v>0</v>
      </c>
      <c r="L28" s="38">
        <v>0</v>
      </c>
      <c r="M28" s="36">
        <v>0</v>
      </c>
      <c r="N28" s="36">
        <v>0</v>
      </c>
      <c r="O28" s="38" t="s">
        <v>21</v>
      </c>
      <c r="P28" s="38">
        <v>3266</v>
      </c>
      <c r="Q28" s="35" t="s">
        <v>20</v>
      </c>
      <c r="R28" t="s">
        <v>194</v>
      </c>
      <c r="S28" t="s">
        <v>195</v>
      </c>
      <c r="T28" t="s">
        <v>196</v>
      </c>
      <c r="U28" t="s">
        <v>122</v>
      </c>
      <c r="V28" t="s">
        <v>74</v>
      </c>
      <c r="W28" t="s">
        <v>23</v>
      </c>
      <c r="Y28" s="39">
        <v>34.3307478463392</v>
      </c>
    </row>
    <row r="29" spans="1:31" x14ac:dyDescent="0.25">
      <c r="A29" t="s">
        <v>197</v>
      </c>
      <c r="B29" t="s">
        <v>24</v>
      </c>
      <c r="C29" s="35" t="s">
        <v>24</v>
      </c>
      <c r="D29" t="s">
        <v>25</v>
      </c>
      <c r="E29" s="35">
        <v>10020070</v>
      </c>
      <c r="F29" t="s">
        <v>198</v>
      </c>
      <c r="G29" s="35">
        <v>14</v>
      </c>
      <c r="H29" s="36">
        <v>118.3</v>
      </c>
      <c r="I29" s="37">
        <v>5916.380162636201</v>
      </c>
      <c r="J29" s="38">
        <v>0</v>
      </c>
      <c r="K29" s="38">
        <v>0</v>
      </c>
      <c r="L29" s="38">
        <v>0</v>
      </c>
      <c r="M29" s="36">
        <v>0</v>
      </c>
      <c r="N29" s="36">
        <v>0</v>
      </c>
      <c r="O29" s="38" t="s">
        <v>21</v>
      </c>
      <c r="P29" s="38">
        <v>5916</v>
      </c>
      <c r="Q29" s="35" t="s">
        <v>20</v>
      </c>
      <c r="R29" t="s">
        <v>199</v>
      </c>
      <c r="S29" t="s">
        <v>200</v>
      </c>
      <c r="T29" t="s">
        <v>162</v>
      </c>
      <c r="U29" t="s">
        <v>163</v>
      </c>
      <c r="V29" t="s">
        <v>74</v>
      </c>
      <c r="W29" t="s">
        <v>23</v>
      </c>
      <c r="Y29" s="39">
        <v>35.008166642817763</v>
      </c>
    </row>
    <row r="30" spans="1:31" x14ac:dyDescent="0.25">
      <c r="A30" t="s">
        <v>201</v>
      </c>
      <c r="B30" t="s">
        <v>24</v>
      </c>
      <c r="C30" s="35" t="s">
        <v>24</v>
      </c>
      <c r="D30" t="s">
        <v>25</v>
      </c>
      <c r="E30" s="35">
        <v>10020070</v>
      </c>
      <c r="F30" t="s">
        <v>202</v>
      </c>
      <c r="G30" s="35">
        <v>7</v>
      </c>
      <c r="H30" s="36">
        <v>23.499999999999996</v>
      </c>
      <c r="I30" s="37">
        <v>1307.5732187152003</v>
      </c>
      <c r="J30" s="38">
        <v>0</v>
      </c>
      <c r="K30" s="38">
        <v>0</v>
      </c>
      <c r="L30" s="38">
        <v>0</v>
      </c>
      <c r="M30" s="36">
        <v>0</v>
      </c>
      <c r="N30" s="36">
        <v>0</v>
      </c>
      <c r="O30" s="38" t="s">
        <v>21</v>
      </c>
      <c r="P30" s="38">
        <v>1308</v>
      </c>
      <c r="Q30" s="35" t="s">
        <v>20</v>
      </c>
      <c r="R30" t="s">
        <v>203</v>
      </c>
      <c r="S30" t="s">
        <v>204</v>
      </c>
      <c r="T30" t="s">
        <v>171</v>
      </c>
      <c r="U30" t="s">
        <v>85</v>
      </c>
      <c r="V30" t="s">
        <v>74</v>
      </c>
      <c r="W30" t="s">
        <v>23</v>
      </c>
      <c r="Y30" s="39">
        <v>19.474494746822138</v>
      </c>
    </row>
    <row r="31" spans="1:31" x14ac:dyDescent="0.25">
      <c r="A31" t="s">
        <v>205</v>
      </c>
      <c r="B31" t="s">
        <v>24</v>
      </c>
      <c r="C31" s="35" t="s">
        <v>24</v>
      </c>
      <c r="D31" t="s">
        <v>25</v>
      </c>
      <c r="E31" s="35">
        <v>10020070</v>
      </c>
      <c r="F31" t="s">
        <v>206</v>
      </c>
      <c r="G31" s="35">
        <v>14</v>
      </c>
      <c r="H31" s="36">
        <v>55.800000000000004</v>
      </c>
      <c r="I31" s="37">
        <v>2273.3119134000008</v>
      </c>
      <c r="J31" s="38">
        <v>0</v>
      </c>
      <c r="K31" s="38">
        <v>0</v>
      </c>
      <c r="L31" s="38">
        <v>0</v>
      </c>
      <c r="M31" s="36">
        <v>0</v>
      </c>
      <c r="N31" s="36">
        <v>0</v>
      </c>
      <c r="O31" s="38" t="s">
        <v>21</v>
      </c>
      <c r="P31" s="38">
        <v>2273</v>
      </c>
      <c r="Q31" s="35" t="s">
        <v>20</v>
      </c>
      <c r="R31" t="s">
        <v>207</v>
      </c>
      <c r="S31" t="s">
        <v>208</v>
      </c>
      <c r="T31" t="s">
        <v>209</v>
      </c>
      <c r="U31" t="s">
        <v>210</v>
      </c>
      <c r="V31" t="s">
        <v>74</v>
      </c>
      <c r="W31" t="s">
        <v>23</v>
      </c>
      <c r="Y31" s="39">
        <v>28.518249809677428</v>
      </c>
    </row>
    <row r="32" spans="1:31" x14ac:dyDescent="0.25">
      <c r="A32" t="s">
        <v>211</v>
      </c>
      <c r="B32" t="s">
        <v>24</v>
      </c>
      <c r="C32" s="35" t="s">
        <v>24</v>
      </c>
      <c r="D32" t="s">
        <v>25</v>
      </c>
      <c r="E32" s="35">
        <v>10020070</v>
      </c>
      <c r="F32" t="s">
        <v>212</v>
      </c>
      <c r="G32" s="35">
        <v>14</v>
      </c>
      <c r="H32" s="36">
        <v>97.200000000000017</v>
      </c>
      <c r="I32" s="37">
        <v>6090.6115884965002</v>
      </c>
      <c r="J32" s="38">
        <v>0</v>
      </c>
      <c r="K32" s="38">
        <v>0</v>
      </c>
      <c r="L32" s="38">
        <v>0</v>
      </c>
      <c r="M32" s="36">
        <v>0</v>
      </c>
      <c r="N32" s="36">
        <v>0</v>
      </c>
      <c r="O32" s="38" t="s">
        <v>21</v>
      </c>
      <c r="P32" s="38">
        <v>6091</v>
      </c>
      <c r="Q32" s="35" t="s">
        <v>20</v>
      </c>
      <c r="R32" t="s">
        <v>213</v>
      </c>
      <c r="S32" t="s">
        <v>214</v>
      </c>
      <c r="T32" t="s">
        <v>162</v>
      </c>
      <c r="U32" t="s">
        <v>215</v>
      </c>
      <c r="V32" t="s">
        <v>74</v>
      </c>
      <c r="W32" t="s">
        <v>23</v>
      </c>
      <c r="Y32" s="39">
        <v>43.862429135262857</v>
      </c>
    </row>
    <row r="33" spans="1:25" x14ac:dyDescent="0.25">
      <c r="A33" t="s">
        <v>216</v>
      </c>
      <c r="B33" t="s">
        <v>24</v>
      </c>
      <c r="C33" s="35" t="s">
        <v>24</v>
      </c>
      <c r="D33" t="s">
        <v>25</v>
      </c>
      <c r="E33" s="35">
        <v>10020070</v>
      </c>
      <c r="F33" t="s">
        <v>217</v>
      </c>
      <c r="G33" s="35">
        <v>7</v>
      </c>
      <c r="H33" s="36">
        <v>14.7</v>
      </c>
      <c r="I33" s="37">
        <v>640.34829936000017</v>
      </c>
      <c r="J33" s="38">
        <v>0</v>
      </c>
      <c r="K33" s="38">
        <v>0</v>
      </c>
      <c r="L33" s="38">
        <v>0</v>
      </c>
      <c r="M33" s="36">
        <v>0</v>
      </c>
      <c r="N33" s="36">
        <v>0</v>
      </c>
      <c r="O33" s="38" t="s">
        <v>21</v>
      </c>
      <c r="P33" s="38">
        <v>640</v>
      </c>
      <c r="Q33" s="35" t="s">
        <v>20</v>
      </c>
      <c r="R33" t="s">
        <v>218</v>
      </c>
      <c r="S33" t="s">
        <v>219</v>
      </c>
      <c r="T33" t="s">
        <v>162</v>
      </c>
      <c r="U33" t="s">
        <v>163</v>
      </c>
      <c r="V33" t="s">
        <v>74</v>
      </c>
      <c r="W33" t="s">
        <v>23</v>
      </c>
      <c r="Y33" s="39">
        <v>15.246388080000006</v>
      </c>
    </row>
    <row r="34" spans="1:25" x14ac:dyDescent="0.25">
      <c r="A34" t="s">
        <v>220</v>
      </c>
      <c r="B34" t="s">
        <v>24</v>
      </c>
      <c r="C34" s="35" t="s">
        <v>24</v>
      </c>
      <c r="D34" t="s">
        <v>25</v>
      </c>
      <c r="E34" s="35">
        <v>10020070</v>
      </c>
      <c r="F34" t="s">
        <v>100</v>
      </c>
      <c r="G34" s="35">
        <v>14</v>
      </c>
      <c r="H34" s="36">
        <v>29.8</v>
      </c>
      <c r="I34" s="37">
        <v>1235.2038061769999</v>
      </c>
      <c r="J34" s="38">
        <v>0</v>
      </c>
      <c r="K34" s="38">
        <v>0</v>
      </c>
      <c r="L34" s="38">
        <v>0</v>
      </c>
      <c r="M34" s="36">
        <v>0</v>
      </c>
      <c r="N34" s="36">
        <v>0</v>
      </c>
      <c r="O34" s="38" t="s">
        <v>21</v>
      </c>
      <c r="P34" s="38">
        <v>1235</v>
      </c>
      <c r="Q34" s="35" t="s">
        <v>20</v>
      </c>
      <c r="R34" t="s">
        <v>221</v>
      </c>
      <c r="S34" t="s">
        <v>222</v>
      </c>
      <c r="T34" t="s">
        <v>223</v>
      </c>
      <c r="U34" t="s">
        <v>224</v>
      </c>
      <c r="V34" t="s">
        <v>74</v>
      </c>
      <c r="W34" t="s">
        <v>23</v>
      </c>
      <c r="Y34" s="39">
        <v>29.014854507513423</v>
      </c>
    </row>
    <row r="35" spans="1:25" x14ac:dyDescent="0.25">
      <c r="A35" t="s">
        <v>225</v>
      </c>
      <c r="B35" t="s">
        <v>27</v>
      </c>
      <c r="C35" s="35" t="s">
        <v>27</v>
      </c>
      <c r="D35" t="s">
        <v>28</v>
      </c>
      <c r="E35" s="35">
        <v>10030028</v>
      </c>
      <c r="F35" t="s">
        <v>63</v>
      </c>
      <c r="G35" s="35">
        <v>12</v>
      </c>
      <c r="H35" s="36">
        <v>17</v>
      </c>
      <c r="I35" s="37">
        <v>678.0894278400001</v>
      </c>
      <c r="J35" s="38">
        <v>0</v>
      </c>
      <c r="K35" s="38">
        <v>678.0894278400001</v>
      </c>
      <c r="L35" s="38">
        <v>0</v>
      </c>
      <c r="M35" s="36">
        <v>0</v>
      </c>
      <c r="N35" s="36">
        <v>0</v>
      </c>
      <c r="O35" s="38" t="s">
        <v>21</v>
      </c>
      <c r="P35" s="38">
        <v>0</v>
      </c>
      <c r="Q35" s="35" t="s">
        <v>20</v>
      </c>
      <c r="R35">
        <v>0</v>
      </c>
      <c r="S35">
        <v>0</v>
      </c>
      <c r="T35">
        <v>0</v>
      </c>
      <c r="U35">
        <v>0</v>
      </c>
      <c r="V35" t="s">
        <v>64</v>
      </c>
      <c r="W35" t="s">
        <v>23</v>
      </c>
      <c r="Y35" s="39">
        <v>23.932568041411773</v>
      </c>
    </row>
    <row r="36" spans="1:25" x14ac:dyDescent="0.25">
      <c r="A36" t="s">
        <v>226</v>
      </c>
      <c r="B36" t="s">
        <v>27</v>
      </c>
      <c r="C36" s="35" t="s">
        <v>27</v>
      </c>
      <c r="D36" t="s">
        <v>28</v>
      </c>
      <c r="E36" s="35">
        <v>10030028</v>
      </c>
      <c r="F36" t="s">
        <v>69</v>
      </c>
      <c r="G36" s="35">
        <v>12</v>
      </c>
      <c r="H36" s="36">
        <v>27.5</v>
      </c>
      <c r="I36" s="37">
        <v>1033.8249164525701</v>
      </c>
      <c r="J36" s="38">
        <v>0</v>
      </c>
      <c r="K36" s="38">
        <v>0</v>
      </c>
      <c r="L36" s="38">
        <v>454</v>
      </c>
      <c r="M36" s="36">
        <v>0</v>
      </c>
      <c r="N36" s="36">
        <v>0</v>
      </c>
      <c r="O36" s="38" t="s">
        <v>21</v>
      </c>
      <c r="P36" s="38">
        <v>580</v>
      </c>
      <c r="Q36" s="35" t="s">
        <v>20</v>
      </c>
      <c r="R36" t="s">
        <v>227</v>
      </c>
      <c r="S36" t="s">
        <v>228</v>
      </c>
      <c r="T36" t="s">
        <v>162</v>
      </c>
      <c r="U36" t="s">
        <v>163</v>
      </c>
      <c r="V36" t="s">
        <v>74</v>
      </c>
      <c r="W36" t="s">
        <v>23</v>
      </c>
      <c r="Y36" s="39">
        <v>22.556179995328808</v>
      </c>
    </row>
    <row r="37" spans="1:25" x14ac:dyDescent="0.25">
      <c r="A37" t="s">
        <v>229</v>
      </c>
      <c r="B37" t="s">
        <v>27</v>
      </c>
      <c r="C37" s="35" t="s">
        <v>27</v>
      </c>
      <c r="D37" t="s">
        <v>28</v>
      </c>
      <c r="E37" s="35">
        <v>10030028</v>
      </c>
      <c r="F37" t="s">
        <v>165</v>
      </c>
      <c r="G37" s="35">
        <v>1</v>
      </c>
      <c r="H37" s="36">
        <v>3.5</v>
      </c>
      <c r="I37" s="37">
        <v>132.597927</v>
      </c>
      <c r="J37" s="38">
        <v>0</v>
      </c>
      <c r="K37" s="38">
        <v>0</v>
      </c>
      <c r="L37" s="38">
        <v>0</v>
      </c>
      <c r="M37" s="36">
        <v>0</v>
      </c>
      <c r="N37" s="36">
        <v>0</v>
      </c>
      <c r="O37" s="38" t="s">
        <v>21</v>
      </c>
      <c r="P37" s="38">
        <v>133</v>
      </c>
      <c r="Q37" s="35" t="s">
        <v>20</v>
      </c>
      <c r="R37" t="s">
        <v>230</v>
      </c>
      <c r="S37" t="s">
        <v>231</v>
      </c>
      <c r="T37" t="s">
        <v>162</v>
      </c>
      <c r="U37" t="s">
        <v>180</v>
      </c>
      <c r="V37" t="s">
        <v>74</v>
      </c>
      <c r="W37" t="s">
        <v>23</v>
      </c>
      <c r="Y37" s="39">
        <v>1.8942561000000002</v>
      </c>
    </row>
    <row r="38" spans="1:25" x14ac:dyDescent="0.25">
      <c r="A38" t="s">
        <v>232</v>
      </c>
      <c r="B38" t="s">
        <v>27</v>
      </c>
      <c r="C38" s="35" t="s">
        <v>27</v>
      </c>
      <c r="D38" t="s">
        <v>28</v>
      </c>
      <c r="E38" s="35">
        <v>10030028</v>
      </c>
      <c r="F38" t="s">
        <v>77</v>
      </c>
      <c r="G38" s="35">
        <v>14</v>
      </c>
      <c r="H38" s="36">
        <v>87.1</v>
      </c>
      <c r="I38" s="37">
        <v>2931.3143402400005</v>
      </c>
      <c r="J38" s="38">
        <v>0</v>
      </c>
      <c r="K38" s="38">
        <v>0</v>
      </c>
      <c r="L38" s="38">
        <v>0</v>
      </c>
      <c r="M38" s="36">
        <v>0</v>
      </c>
      <c r="N38" s="36">
        <v>0</v>
      </c>
      <c r="O38" s="38" t="s">
        <v>21</v>
      </c>
      <c r="P38" s="38">
        <v>2931</v>
      </c>
      <c r="Q38" s="35" t="s">
        <v>20</v>
      </c>
      <c r="R38" t="s">
        <v>233</v>
      </c>
      <c r="S38" t="s">
        <v>234</v>
      </c>
      <c r="T38" t="s">
        <v>162</v>
      </c>
      <c r="U38" t="s">
        <v>163</v>
      </c>
      <c r="V38" t="s">
        <v>74</v>
      </c>
      <c r="W38" t="s">
        <v>23</v>
      </c>
      <c r="Y38" s="39">
        <v>23.558209393432843</v>
      </c>
    </row>
    <row r="39" spans="1:25" x14ac:dyDescent="0.25">
      <c r="A39" t="s">
        <v>235</v>
      </c>
      <c r="B39" t="s">
        <v>27</v>
      </c>
      <c r="C39" s="35" t="s">
        <v>27</v>
      </c>
      <c r="D39" t="s">
        <v>28</v>
      </c>
      <c r="E39" s="35">
        <v>10030028</v>
      </c>
      <c r="F39" t="s">
        <v>177</v>
      </c>
      <c r="G39" s="35">
        <v>14</v>
      </c>
      <c r="H39" s="36">
        <v>30.6</v>
      </c>
      <c r="I39" s="37">
        <v>1205.3875158042001</v>
      </c>
      <c r="J39" s="38">
        <v>0</v>
      </c>
      <c r="K39" s="38">
        <v>0</v>
      </c>
      <c r="L39" s="38">
        <v>0</v>
      </c>
      <c r="M39" s="36">
        <v>0</v>
      </c>
      <c r="N39" s="36">
        <v>0</v>
      </c>
      <c r="O39" s="38" t="s">
        <v>21</v>
      </c>
      <c r="P39" s="38">
        <v>1205</v>
      </c>
      <c r="Q39" s="35" t="s">
        <v>20</v>
      </c>
      <c r="R39" t="s">
        <v>236</v>
      </c>
      <c r="S39" t="s">
        <v>237</v>
      </c>
      <c r="T39" t="s">
        <v>238</v>
      </c>
      <c r="U39" t="s">
        <v>239</v>
      </c>
      <c r="V39" t="s">
        <v>74</v>
      </c>
      <c r="W39" t="s">
        <v>23</v>
      </c>
      <c r="Y39" s="39">
        <v>27.57422421774314</v>
      </c>
    </row>
    <row r="40" spans="1:25" x14ac:dyDescent="0.25">
      <c r="A40" t="s">
        <v>240</v>
      </c>
      <c r="B40" t="s">
        <v>27</v>
      </c>
      <c r="C40" s="35" t="s">
        <v>27</v>
      </c>
      <c r="D40" t="s">
        <v>28</v>
      </c>
      <c r="E40" s="35">
        <v>10030028</v>
      </c>
      <c r="F40" t="s">
        <v>182</v>
      </c>
      <c r="G40" s="35">
        <v>13</v>
      </c>
      <c r="H40" s="36">
        <v>22.3</v>
      </c>
      <c r="I40" s="37">
        <v>790.40015010000002</v>
      </c>
      <c r="J40" s="38">
        <v>0</v>
      </c>
      <c r="K40" s="38">
        <v>0</v>
      </c>
      <c r="L40" s="38">
        <v>0</v>
      </c>
      <c r="M40" s="36">
        <v>0</v>
      </c>
      <c r="N40" s="36">
        <v>0</v>
      </c>
      <c r="O40" s="38" t="s">
        <v>21</v>
      </c>
      <c r="P40" s="38">
        <v>790</v>
      </c>
      <c r="Q40" s="35" t="s">
        <v>20</v>
      </c>
      <c r="R40" t="s">
        <v>241</v>
      </c>
      <c r="S40" t="s">
        <v>242</v>
      </c>
      <c r="T40" t="s">
        <v>238</v>
      </c>
      <c r="U40" t="s">
        <v>239</v>
      </c>
      <c r="V40" t="s">
        <v>74</v>
      </c>
      <c r="W40" t="s">
        <v>23</v>
      </c>
      <c r="Y40" s="39">
        <v>23.038569397533632</v>
      </c>
    </row>
    <row r="41" spans="1:25" x14ac:dyDescent="0.25">
      <c r="A41" t="s">
        <v>243</v>
      </c>
      <c r="B41" t="s">
        <v>27</v>
      </c>
      <c r="C41" s="35" t="s">
        <v>27</v>
      </c>
      <c r="D41" t="s">
        <v>28</v>
      </c>
      <c r="E41" s="35">
        <v>10030028</v>
      </c>
      <c r="F41" t="s">
        <v>187</v>
      </c>
      <c r="G41" s="35">
        <v>4</v>
      </c>
      <c r="H41" s="36">
        <v>13.100000000000001</v>
      </c>
      <c r="I41" s="37">
        <v>614.88423609500001</v>
      </c>
      <c r="J41" s="38">
        <v>0</v>
      </c>
      <c r="K41" s="38">
        <v>0</v>
      </c>
      <c r="L41" s="38">
        <v>0</v>
      </c>
      <c r="M41" s="36">
        <v>0</v>
      </c>
      <c r="N41" s="36">
        <v>0</v>
      </c>
      <c r="O41" s="38" t="s">
        <v>21</v>
      </c>
      <c r="P41" s="38">
        <v>615</v>
      </c>
      <c r="Q41" s="35" t="s">
        <v>20</v>
      </c>
      <c r="R41" t="s">
        <v>244</v>
      </c>
      <c r="S41" t="s">
        <v>245</v>
      </c>
      <c r="T41" t="s">
        <v>162</v>
      </c>
      <c r="U41" t="s">
        <v>163</v>
      </c>
      <c r="V41" t="s">
        <v>74</v>
      </c>
      <c r="W41" t="s">
        <v>23</v>
      </c>
      <c r="Y41" s="39">
        <v>9.3875455892366411</v>
      </c>
    </row>
    <row r="42" spans="1:25" x14ac:dyDescent="0.25">
      <c r="A42" t="s">
        <v>246</v>
      </c>
      <c r="B42" t="s">
        <v>27</v>
      </c>
      <c r="C42" s="35" t="s">
        <v>27</v>
      </c>
      <c r="D42" t="s">
        <v>28</v>
      </c>
      <c r="E42" s="35">
        <v>10030028</v>
      </c>
      <c r="F42" t="s">
        <v>247</v>
      </c>
      <c r="G42" s="35">
        <v>14</v>
      </c>
      <c r="H42" s="36">
        <v>59.699999999999996</v>
      </c>
      <c r="I42" s="37">
        <v>2244.3036066000009</v>
      </c>
      <c r="J42" s="38">
        <v>0</v>
      </c>
      <c r="K42" s="38">
        <v>0</v>
      </c>
      <c r="L42" s="38">
        <v>0</v>
      </c>
      <c r="M42" s="36">
        <v>0</v>
      </c>
      <c r="N42" s="36">
        <v>0</v>
      </c>
      <c r="O42" s="38" t="s">
        <v>21</v>
      </c>
      <c r="P42" s="38">
        <v>2244</v>
      </c>
      <c r="Q42" s="35" t="s">
        <v>20</v>
      </c>
      <c r="R42" t="s">
        <v>248</v>
      </c>
      <c r="S42" t="s">
        <v>249</v>
      </c>
      <c r="T42" t="s">
        <v>162</v>
      </c>
      <c r="U42" t="s">
        <v>180</v>
      </c>
      <c r="V42" t="s">
        <v>74</v>
      </c>
      <c r="W42" t="s">
        <v>23</v>
      </c>
      <c r="Y42" s="39">
        <v>26.315117665326646</v>
      </c>
    </row>
    <row r="43" spans="1:25" x14ac:dyDescent="0.25">
      <c r="A43" t="s">
        <v>250</v>
      </c>
      <c r="B43" t="s">
        <v>27</v>
      </c>
      <c r="C43" s="35" t="s">
        <v>27</v>
      </c>
      <c r="D43" t="s">
        <v>28</v>
      </c>
      <c r="E43" s="35">
        <v>10030028</v>
      </c>
      <c r="F43" t="s">
        <v>251</v>
      </c>
      <c r="G43" s="35">
        <v>1</v>
      </c>
      <c r="H43" s="36">
        <v>1.9</v>
      </c>
      <c r="I43" s="37">
        <v>60.218962253999997</v>
      </c>
      <c r="J43" s="38">
        <v>0</v>
      </c>
      <c r="K43" s="38">
        <v>0</v>
      </c>
      <c r="L43" s="38">
        <v>0</v>
      </c>
      <c r="M43" s="36">
        <v>0</v>
      </c>
      <c r="N43" s="36">
        <v>0</v>
      </c>
      <c r="O43" s="38" t="s">
        <v>21</v>
      </c>
      <c r="P43" s="38">
        <v>60</v>
      </c>
      <c r="Q43" s="35" t="s">
        <v>20</v>
      </c>
      <c r="R43" t="s">
        <v>252</v>
      </c>
      <c r="S43" t="s">
        <v>253</v>
      </c>
      <c r="T43" t="s">
        <v>162</v>
      </c>
      <c r="U43" t="s">
        <v>163</v>
      </c>
      <c r="V43" t="s">
        <v>74</v>
      </c>
      <c r="W43" t="s">
        <v>23</v>
      </c>
      <c r="Y43" s="39">
        <v>1.5847095330000001</v>
      </c>
    </row>
    <row r="44" spans="1:25" x14ac:dyDescent="0.25">
      <c r="A44" t="s">
        <v>254</v>
      </c>
      <c r="B44" t="s">
        <v>27</v>
      </c>
      <c r="C44" s="35" t="s">
        <v>27</v>
      </c>
      <c r="D44" t="s">
        <v>28</v>
      </c>
      <c r="E44" s="35">
        <v>10030028</v>
      </c>
      <c r="F44" t="s">
        <v>198</v>
      </c>
      <c r="G44" s="35">
        <v>14</v>
      </c>
      <c r="H44" s="36">
        <v>70.2</v>
      </c>
      <c r="I44" s="37">
        <v>2258.2972391759999</v>
      </c>
      <c r="J44" s="38">
        <v>0</v>
      </c>
      <c r="K44" s="38">
        <v>0</v>
      </c>
      <c r="L44" s="38">
        <v>0</v>
      </c>
      <c r="M44" s="36">
        <v>0</v>
      </c>
      <c r="N44" s="36">
        <v>0</v>
      </c>
      <c r="O44" s="38" t="s">
        <v>21</v>
      </c>
      <c r="P44" s="38">
        <v>2258</v>
      </c>
      <c r="Q44" s="35" t="s">
        <v>20</v>
      </c>
      <c r="R44" t="s">
        <v>119</v>
      </c>
      <c r="S44" t="s">
        <v>255</v>
      </c>
      <c r="T44" t="s">
        <v>162</v>
      </c>
      <c r="U44" t="s">
        <v>163</v>
      </c>
      <c r="V44" t="s">
        <v>74</v>
      </c>
      <c r="W44" t="s">
        <v>23</v>
      </c>
      <c r="Y44" s="39">
        <v>22.518633439076925</v>
      </c>
    </row>
    <row r="45" spans="1:25" x14ac:dyDescent="0.25">
      <c r="A45" t="s">
        <v>256</v>
      </c>
      <c r="B45" t="s">
        <v>27</v>
      </c>
      <c r="C45" s="35" t="s">
        <v>27</v>
      </c>
      <c r="D45" t="s">
        <v>28</v>
      </c>
      <c r="E45" s="35">
        <v>10030028</v>
      </c>
      <c r="F45" t="s">
        <v>202</v>
      </c>
      <c r="G45" s="35">
        <v>14</v>
      </c>
      <c r="H45" s="36">
        <v>102.39999999999999</v>
      </c>
      <c r="I45" s="37">
        <v>6143.9397724163719</v>
      </c>
      <c r="J45" s="38">
        <v>0</v>
      </c>
      <c r="K45" s="38">
        <v>0</v>
      </c>
      <c r="L45" s="38">
        <v>0</v>
      </c>
      <c r="M45" s="36">
        <v>0</v>
      </c>
      <c r="N45" s="36">
        <v>0</v>
      </c>
      <c r="O45" s="38" t="s">
        <v>21</v>
      </c>
      <c r="P45" s="38">
        <v>6144</v>
      </c>
      <c r="Q45" s="35" t="s">
        <v>20</v>
      </c>
      <c r="R45" t="s">
        <v>257</v>
      </c>
      <c r="S45" t="s">
        <v>258</v>
      </c>
      <c r="T45" t="s">
        <v>162</v>
      </c>
      <c r="U45" t="s">
        <v>163</v>
      </c>
      <c r="V45" t="s">
        <v>74</v>
      </c>
      <c r="W45" t="s">
        <v>23</v>
      </c>
      <c r="Y45" s="39">
        <v>41.999588288002549</v>
      </c>
    </row>
    <row r="46" spans="1:25" x14ac:dyDescent="0.25">
      <c r="A46" t="s">
        <v>259</v>
      </c>
      <c r="B46" t="s">
        <v>27</v>
      </c>
      <c r="C46" s="35" t="s">
        <v>27</v>
      </c>
      <c r="D46" t="s">
        <v>28</v>
      </c>
      <c r="E46" s="35">
        <v>10030028</v>
      </c>
      <c r="F46" t="s">
        <v>206</v>
      </c>
      <c r="G46" s="35">
        <v>14</v>
      </c>
      <c r="H46" s="36">
        <v>17</v>
      </c>
      <c r="I46" s="37">
        <v>705.70429379999996</v>
      </c>
      <c r="J46" s="38">
        <v>0</v>
      </c>
      <c r="K46" s="38">
        <v>0</v>
      </c>
      <c r="L46" s="38">
        <v>0</v>
      </c>
      <c r="M46" s="36">
        <v>0</v>
      </c>
      <c r="N46" s="36">
        <v>0</v>
      </c>
      <c r="O46" s="38" t="s">
        <v>21</v>
      </c>
      <c r="P46" s="38">
        <v>706</v>
      </c>
      <c r="Q46" s="35" t="s">
        <v>20</v>
      </c>
      <c r="R46" t="s">
        <v>260</v>
      </c>
      <c r="S46" t="s">
        <v>261</v>
      </c>
      <c r="T46" t="s">
        <v>238</v>
      </c>
      <c r="U46" t="s">
        <v>239</v>
      </c>
      <c r="V46" t="s">
        <v>74</v>
      </c>
      <c r="W46" t="s">
        <v>23</v>
      </c>
      <c r="Y46" s="39">
        <v>29.058412097647057</v>
      </c>
    </row>
    <row r="47" spans="1:25" x14ac:dyDescent="0.25">
      <c r="A47" t="s">
        <v>262</v>
      </c>
      <c r="B47" t="s">
        <v>27</v>
      </c>
      <c r="C47" s="35" t="s">
        <v>27</v>
      </c>
      <c r="D47" t="s">
        <v>28</v>
      </c>
      <c r="E47" s="35">
        <v>10030028</v>
      </c>
      <c r="F47" t="s">
        <v>104</v>
      </c>
      <c r="G47" s="35">
        <v>6</v>
      </c>
      <c r="H47" s="36">
        <v>8.6</v>
      </c>
      <c r="I47" s="37">
        <v>282.80858443200003</v>
      </c>
      <c r="J47" s="38">
        <v>0</v>
      </c>
      <c r="K47" s="38">
        <v>0</v>
      </c>
      <c r="L47" s="38">
        <v>0</v>
      </c>
      <c r="M47" s="36">
        <v>0</v>
      </c>
      <c r="N47" s="36">
        <v>0</v>
      </c>
      <c r="O47" s="38" t="s">
        <v>21</v>
      </c>
      <c r="P47" s="38">
        <v>283</v>
      </c>
      <c r="Q47" s="35" t="s">
        <v>20</v>
      </c>
      <c r="R47" t="s">
        <v>263</v>
      </c>
      <c r="S47" t="s">
        <v>264</v>
      </c>
      <c r="T47" t="s">
        <v>162</v>
      </c>
      <c r="U47" t="s">
        <v>163</v>
      </c>
      <c r="V47" t="s">
        <v>74</v>
      </c>
      <c r="W47" t="s">
        <v>23</v>
      </c>
      <c r="Y47" s="39">
        <v>9.8654157360000028</v>
      </c>
    </row>
    <row r="48" spans="1:25" x14ac:dyDescent="0.25">
      <c r="A48" t="s">
        <v>265</v>
      </c>
      <c r="B48" t="s">
        <v>27</v>
      </c>
      <c r="C48" s="35" t="s">
        <v>27</v>
      </c>
      <c r="D48" t="s">
        <v>28</v>
      </c>
      <c r="E48" s="35">
        <v>10030028</v>
      </c>
      <c r="F48" t="s">
        <v>266</v>
      </c>
      <c r="G48" s="35">
        <v>7</v>
      </c>
      <c r="H48" s="36">
        <v>23.7</v>
      </c>
      <c r="I48" s="37">
        <v>1142.13607295938</v>
      </c>
      <c r="J48" s="38">
        <v>0</v>
      </c>
      <c r="K48" s="38">
        <v>0</v>
      </c>
      <c r="L48" s="38">
        <v>0</v>
      </c>
      <c r="M48" s="36">
        <v>0</v>
      </c>
      <c r="N48" s="36">
        <v>0</v>
      </c>
      <c r="O48" s="38" t="s">
        <v>21</v>
      </c>
      <c r="P48" s="38">
        <v>1142</v>
      </c>
      <c r="Q48" s="35" t="s">
        <v>20</v>
      </c>
      <c r="R48" t="s">
        <v>267</v>
      </c>
      <c r="S48" t="s">
        <v>268</v>
      </c>
      <c r="T48" t="s">
        <v>162</v>
      </c>
      <c r="U48" t="s">
        <v>163</v>
      </c>
      <c r="V48" t="s">
        <v>74</v>
      </c>
      <c r="W48" t="s">
        <v>23</v>
      </c>
      <c r="Y48" s="39">
        <v>16.866988419231355</v>
      </c>
    </row>
    <row r="49" spans="1:25" x14ac:dyDescent="0.25">
      <c r="A49" t="s">
        <v>269</v>
      </c>
      <c r="B49" t="s">
        <v>27</v>
      </c>
      <c r="C49" s="35" t="s">
        <v>27</v>
      </c>
      <c r="D49" t="s">
        <v>28</v>
      </c>
      <c r="E49" s="35">
        <v>10030028</v>
      </c>
      <c r="F49" t="s">
        <v>270</v>
      </c>
      <c r="G49" s="35">
        <v>7</v>
      </c>
      <c r="H49" s="36">
        <v>9.6</v>
      </c>
      <c r="I49" s="37">
        <v>317.23630903800006</v>
      </c>
      <c r="J49" s="38">
        <v>0</v>
      </c>
      <c r="K49" s="38">
        <v>0</v>
      </c>
      <c r="L49" s="38">
        <v>0</v>
      </c>
      <c r="M49" s="36">
        <v>0</v>
      </c>
      <c r="N49" s="36">
        <v>0</v>
      </c>
      <c r="O49" s="38" t="s">
        <v>21</v>
      </c>
      <c r="P49" s="38">
        <v>317</v>
      </c>
      <c r="Q49" s="35" t="s">
        <v>20</v>
      </c>
      <c r="R49" t="s">
        <v>271</v>
      </c>
      <c r="S49" t="s">
        <v>272</v>
      </c>
      <c r="T49" t="s">
        <v>238</v>
      </c>
      <c r="U49" t="s">
        <v>239</v>
      </c>
      <c r="V49" t="s">
        <v>74</v>
      </c>
      <c r="W49" t="s">
        <v>23</v>
      </c>
      <c r="Y49" s="39">
        <v>11.565907100343754</v>
      </c>
    </row>
    <row r="50" spans="1:25" x14ac:dyDescent="0.25">
      <c r="A50" t="s">
        <v>273</v>
      </c>
      <c r="B50" t="s">
        <v>27</v>
      </c>
      <c r="C50" s="35" t="s">
        <v>27</v>
      </c>
      <c r="D50" t="s">
        <v>28</v>
      </c>
      <c r="E50" s="35">
        <v>10030028</v>
      </c>
      <c r="F50" t="s">
        <v>274</v>
      </c>
      <c r="G50" s="35">
        <v>13</v>
      </c>
      <c r="H50" s="36">
        <v>29.8</v>
      </c>
      <c r="I50" s="37">
        <v>969.04466208000008</v>
      </c>
      <c r="J50" s="38">
        <v>0</v>
      </c>
      <c r="K50" s="38">
        <v>0</v>
      </c>
      <c r="L50" s="38">
        <v>0</v>
      </c>
      <c r="M50" s="36">
        <v>0</v>
      </c>
      <c r="N50" s="36">
        <v>0</v>
      </c>
      <c r="O50" s="38" t="s">
        <v>21</v>
      </c>
      <c r="P50" s="38">
        <v>969</v>
      </c>
      <c r="Q50" s="35" t="s">
        <v>20</v>
      </c>
      <c r="R50" t="s">
        <v>275</v>
      </c>
      <c r="S50" t="s">
        <v>276</v>
      </c>
      <c r="T50" t="s">
        <v>238</v>
      </c>
      <c r="U50" t="s">
        <v>85</v>
      </c>
      <c r="V50" t="s">
        <v>74</v>
      </c>
      <c r="W50" t="s">
        <v>23</v>
      </c>
      <c r="Y50" s="39">
        <v>21.136880213154367</v>
      </c>
    </row>
    <row r="51" spans="1:25" x14ac:dyDescent="0.25">
      <c r="A51" t="s">
        <v>277</v>
      </c>
      <c r="B51" t="s">
        <v>27</v>
      </c>
      <c r="C51" s="35" t="s">
        <v>27</v>
      </c>
      <c r="D51" t="s">
        <v>28</v>
      </c>
      <c r="E51" s="35">
        <v>10030028</v>
      </c>
      <c r="F51" t="s">
        <v>278</v>
      </c>
      <c r="G51" s="35">
        <v>14</v>
      </c>
      <c r="H51" s="36">
        <v>47.5</v>
      </c>
      <c r="I51" s="37">
        <v>1825.05492972</v>
      </c>
      <c r="J51" s="38">
        <v>0</v>
      </c>
      <c r="K51" s="38">
        <v>0</v>
      </c>
      <c r="L51" s="38">
        <v>0</v>
      </c>
      <c r="M51" s="36">
        <v>0</v>
      </c>
      <c r="N51" s="36">
        <v>0</v>
      </c>
      <c r="O51" s="38" t="s">
        <v>21</v>
      </c>
      <c r="P51" s="38">
        <v>1825</v>
      </c>
      <c r="Q51" s="35" t="s">
        <v>20</v>
      </c>
      <c r="R51" t="s">
        <v>279</v>
      </c>
      <c r="S51" t="s">
        <v>280</v>
      </c>
      <c r="T51" t="s">
        <v>281</v>
      </c>
      <c r="U51" t="s">
        <v>92</v>
      </c>
      <c r="V51" t="s">
        <v>74</v>
      </c>
      <c r="W51" t="s">
        <v>23</v>
      </c>
      <c r="Y51" s="39">
        <v>26.895546332715796</v>
      </c>
    </row>
    <row r="52" spans="1:25" x14ac:dyDescent="0.25">
      <c r="A52" t="s">
        <v>282</v>
      </c>
      <c r="B52" t="s">
        <v>27</v>
      </c>
      <c r="C52" s="35" t="s">
        <v>27</v>
      </c>
      <c r="D52" t="s">
        <v>28</v>
      </c>
      <c r="E52" s="35">
        <v>10030028</v>
      </c>
      <c r="F52" t="s">
        <v>283</v>
      </c>
      <c r="G52" s="35">
        <v>14</v>
      </c>
      <c r="H52" s="36">
        <v>17.7</v>
      </c>
      <c r="I52" s="37">
        <v>643.11344281800007</v>
      </c>
      <c r="J52" s="38">
        <v>0</v>
      </c>
      <c r="K52" s="38">
        <v>0</v>
      </c>
      <c r="L52" s="38">
        <v>0</v>
      </c>
      <c r="M52" s="36">
        <v>0</v>
      </c>
      <c r="N52" s="36">
        <v>0</v>
      </c>
      <c r="O52" s="38" t="s">
        <v>21</v>
      </c>
      <c r="P52" s="38">
        <v>643</v>
      </c>
      <c r="Q52" s="35" t="s">
        <v>20</v>
      </c>
      <c r="R52" t="s">
        <v>284</v>
      </c>
      <c r="S52" t="s">
        <v>285</v>
      </c>
      <c r="T52" t="s">
        <v>162</v>
      </c>
      <c r="U52" t="s">
        <v>163</v>
      </c>
      <c r="V52" t="s">
        <v>74</v>
      </c>
      <c r="W52" t="s">
        <v>23</v>
      </c>
      <c r="Y52" s="39">
        <v>25.433864970203395</v>
      </c>
    </row>
    <row r="53" spans="1:25" x14ac:dyDescent="0.25">
      <c r="A53" t="s">
        <v>286</v>
      </c>
      <c r="B53" t="s">
        <v>27</v>
      </c>
      <c r="C53" s="35" t="s">
        <v>27</v>
      </c>
      <c r="D53" t="s">
        <v>28</v>
      </c>
      <c r="E53" s="35">
        <v>10030028</v>
      </c>
      <c r="F53" t="s">
        <v>287</v>
      </c>
      <c r="G53" s="35">
        <v>7</v>
      </c>
      <c r="H53" s="36">
        <v>43.5</v>
      </c>
      <c r="I53" s="37">
        <v>1532.4227305200002</v>
      </c>
      <c r="J53" s="38">
        <v>0</v>
      </c>
      <c r="K53" s="38">
        <v>0</v>
      </c>
      <c r="L53" s="38">
        <v>0</v>
      </c>
      <c r="M53" s="36">
        <v>0</v>
      </c>
      <c r="N53" s="36">
        <v>0</v>
      </c>
      <c r="O53" s="38" t="s">
        <v>21</v>
      </c>
      <c r="P53" s="38">
        <v>1532</v>
      </c>
      <c r="Q53" s="35" t="s">
        <v>20</v>
      </c>
      <c r="R53" t="s">
        <v>288</v>
      </c>
      <c r="S53" t="s">
        <v>289</v>
      </c>
      <c r="T53" t="s">
        <v>290</v>
      </c>
      <c r="U53" t="s">
        <v>291</v>
      </c>
      <c r="V53" t="s">
        <v>74</v>
      </c>
      <c r="W53" t="s">
        <v>23</v>
      </c>
      <c r="Y53" s="39">
        <v>12.329838061655176</v>
      </c>
    </row>
    <row r="54" spans="1:25" x14ac:dyDescent="0.25">
      <c r="A54" t="s">
        <v>292</v>
      </c>
      <c r="B54" t="s">
        <v>27</v>
      </c>
      <c r="C54" s="35" t="s">
        <v>27</v>
      </c>
      <c r="D54" t="s">
        <v>28</v>
      </c>
      <c r="E54" s="35">
        <v>10030028</v>
      </c>
      <c r="F54" t="s">
        <v>293</v>
      </c>
      <c r="G54" s="35">
        <v>7</v>
      </c>
      <c r="H54" s="36">
        <v>9</v>
      </c>
      <c r="I54" s="37">
        <v>316.255698</v>
      </c>
      <c r="J54" s="38">
        <v>0</v>
      </c>
      <c r="K54" s="38">
        <v>0</v>
      </c>
      <c r="L54" s="38">
        <v>0</v>
      </c>
      <c r="M54" s="36">
        <v>0</v>
      </c>
      <c r="N54" s="36">
        <v>0</v>
      </c>
      <c r="O54" s="38" t="s">
        <v>21</v>
      </c>
      <c r="P54" s="38">
        <v>316</v>
      </c>
      <c r="Q54" s="35" t="s">
        <v>20</v>
      </c>
      <c r="R54" t="s">
        <v>294</v>
      </c>
      <c r="S54" t="s">
        <v>295</v>
      </c>
      <c r="T54" t="s">
        <v>162</v>
      </c>
      <c r="U54" t="s">
        <v>296</v>
      </c>
      <c r="V54" t="s">
        <v>74</v>
      </c>
      <c r="W54" t="s">
        <v>23</v>
      </c>
      <c r="Y54" s="39">
        <v>12.2988327</v>
      </c>
    </row>
    <row r="55" spans="1:25" x14ac:dyDescent="0.25">
      <c r="A55" t="s">
        <v>297</v>
      </c>
      <c r="B55" t="s">
        <v>27</v>
      </c>
      <c r="C55" s="35" t="s">
        <v>27</v>
      </c>
      <c r="D55" t="s">
        <v>28</v>
      </c>
      <c r="E55" s="35">
        <v>10030028</v>
      </c>
      <c r="F55" t="s">
        <v>298</v>
      </c>
      <c r="G55" s="35">
        <v>6</v>
      </c>
      <c r="H55" s="36">
        <v>19.299999999999997</v>
      </c>
      <c r="I55" s="37">
        <v>1066.1258310576002</v>
      </c>
      <c r="J55" s="38">
        <v>0</v>
      </c>
      <c r="K55" s="38">
        <v>0</v>
      </c>
      <c r="L55" s="38">
        <v>0</v>
      </c>
      <c r="M55" s="36">
        <v>0</v>
      </c>
      <c r="N55" s="36">
        <v>0</v>
      </c>
      <c r="O55" s="38" t="s">
        <v>21</v>
      </c>
      <c r="P55" s="38">
        <v>1066</v>
      </c>
      <c r="Q55" s="35" t="s">
        <v>20</v>
      </c>
      <c r="R55" t="s">
        <v>299</v>
      </c>
      <c r="S55" t="s">
        <v>300</v>
      </c>
      <c r="T55" t="s">
        <v>238</v>
      </c>
      <c r="U55" t="s">
        <v>85</v>
      </c>
      <c r="V55" t="s">
        <v>74</v>
      </c>
      <c r="W55" t="s">
        <v>23</v>
      </c>
      <c r="Y55" s="39">
        <v>16.571904109703635</v>
      </c>
    </row>
    <row r="56" spans="1:25" x14ac:dyDescent="0.25">
      <c r="A56" t="s">
        <v>301</v>
      </c>
      <c r="B56" t="s">
        <v>27</v>
      </c>
      <c r="C56" s="35" t="s">
        <v>27</v>
      </c>
      <c r="D56" t="s">
        <v>28</v>
      </c>
      <c r="E56" s="35">
        <v>10030028</v>
      </c>
      <c r="F56" t="s">
        <v>302</v>
      </c>
      <c r="G56" s="35">
        <v>8</v>
      </c>
      <c r="H56" s="36">
        <v>15.000000000000002</v>
      </c>
      <c r="I56" s="37">
        <v>511.46374752000008</v>
      </c>
      <c r="J56" s="38">
        <v>0</v>
      </c>
      <c r="K56" s="38">
        <v>0</v>
      </c>
      <c r="L56" s="38">
        <v>0</v>
      </c>
      <c r="M56" s="36">
        <v>0</v>
      </c>
      <c r="N56" s="36">
        <v>0</v>
      </c>
      <c r="O56" s="38" t="s">
        <v>21</v>
      </c>
      <c r="P56" s="38">
        <v>511</v>
      </c>
      <c r="Q56" s="35" t="s">
        <v>20</v>
      </c>
      <c r="R56" t="s">
        <v>303</v>
      </c>
      <c r="S56" t="s">
        <v>304</v>
      </c>
      <c r="T56" t="s">
        <v>162</v>
      </c>
      <c r="U56" t="s">
        <v>163</v>
      </c>
      <c r="V56" t="s">
        <v>74</v>
      </c>
      <c r="W56" t="s">
        <v>23</v>
      </c>
      <c r="Y56" s="39">
        <v>13.6390332672</v>
      </c>
    </row>
    <row r="57" spans="1:25" x14ac:dyDescent="0.25">
      <c r="A57" t="s">
        <v>305</v>
      </c>
      <c r="B57" t="s">
        <v>27</v>
      </c>
      <c r="C57" s="35" t="s">
        <v>27</v>
      </c>
      <c r="D57" t="s">
        <v>28</v>
      </c>
      <c r="E57" s="35">
        <v>10030028</v>
      </c>
      <c r="F57" t="s">
        <v>306</v>
      </c>
      <c r="G57" s="35">
        <v>12</v>
      </c>
      <c r="H57" s="36">
        <v>21.8</v>
      </c>
      <c r="I57" s="37">
        <v>765.49143924000009</v>
      </c>
      <c r="J57" s="38">
        <v>0</v>
      </c>
      <c r="K57" s="38">
        <v>0</v>
      </c>
      <c r="L57" s="38">
        <v>0</v>
      </c>
      <c r="M57" s="36">
        <v>0</v>
      </c>
      <c r="N57" s="36">
        <v>0</v>
      </c>
      <c r="O57" s="38" t="s">
        <v>21</v>
      </c>
      <c r="P57" s="38">
        <v>765</v>
      </c>
      <c r="Q57" s="35" t="s">
        <v>20</v>
      </c>
      <c r="R57" t="s">
        <v>307</v>
      </c>
      <c r="S57" t="s">
        <v>308</v>
      </c>
      <c r="T57" t="s">
        <v>238</v>
      </c>
      <c r="U57" t="s">
        <v>85</v>
      </c>
      <c r="V57" t="s">
        <v>74</v>
      </c>
      <c r="W57" t="s">
        <v>23</v>
      </c>
      <c r="Y57" s="39">
        <v>21.068571722201838</v>
      </c>
    </row>
    <row r="58" spans="1:25" x14ac:dyDescent="0.25">
      <c r="A58" t="s">
        <v>309</v>
      </c>
      <c r="B58" t="s">
        <v>27</v>
      </c>
      <c r="C58" s="35" t="s">
        <v>27</v>
      </c>
      <c r="D58" t="s">
        <v>28</v>
      </c>
      <c r="E58" s="35">
        <v>10030028</v>
      </c>
      <c r="F58" t="s">
        <v>310</v>
      </c>
      <c r="G58" s="35">
        <v>6</v>
      </c>
      <c r="H58" s="36">
        <v>21.8</v>
      </c>
      <c r="I58" s="37">
        <v>1114.5016566034001</v>
      </c>
      <c r="J58" s="38">
        <v>0</v>
      </c>
      <c r="K58" s="38">
        <v>0</v>
      </c>
      <c r="L58" s="38">
        <v>0</v>
      </c>
      <c r="M58" s="36">
        <v>0</v>
      </c>
      <c r="N58" s="36">
        <v>0</v>
      </c>
      <c r="O58" s="38" t="s">
        <v>21</v>
      </c>
      <c r="P58" s="38">
        <v>1115</v>
      </c>
      <c r="Q58" s="35" t="s">
        <v>20</v>
      </c>
      <c r="R58" t="s">
        <v>311</v>
      </c>
      <c r="S58" t="s">
        <v>312</v>
      </c>
      <c r="T58" t="s">
        <v>238</v>
      </c>
      <c r="U58" t="s">
        <v>239</v>
      </c>
      <c r="V58" t="s">
        <v>74</v>
      </c>
      <c r="W58" t="s">
        <v>23</v>
      </c>
      <c r="Y58" s="39">
        <v>15.337178760597251</v>
      </c>
    </row>
    <row r="59" spans="1:25" x14ac:dyDescent="0.25">
      <c r="A59" t="s">
        <v>313</v>
      </c>
      <c r="B59" t="s">
        <v>27</v>
      </c>
      <c r="C59" s="35" t="s">
        <v>27</v>
      </c>
      <c r="D59" t="s">
        <v>28</v>
      </c>
      <c r="E59" s="35">
        <v>10030028</v>
      </c>
      <c r="F59" t="s">
        <v>314</v>
      </c>
      <c r="G59" s="35">
        <v>5</v>
      </c>
      <c r="H59" s="36">
        <v>7</v>
      </c>
      <c r="I59" s="37">
        <v>238.04303292000003</v>
      </c>
      <c r="J59" s="38">
        <v>0</v>
      </c>
      <c r="K59" s="38">
        <v>0</v>
      </c>
      <c r="L59" s="38">
        <v>0</v>
      </c>
      <c r="M59" s="36">
        <v>0</v>
      </c>
      <c r="N59" s="36">
        <v>0</v>
      </c>
      <c r="O59" s="38" t="s">
        <v>21</v>
      </c>
      <c r="P59" s="38">
        <v>238</v>
      </c>
      <c r="Q59" s="35" t="s">
        <v>20</v>
      </c>
      <c r="R59" t="s">
        <v>315</v>
      </c>
      <c r="S59" t="s">
        <v>316</v>
      </c>
      <c r="T59" t="s">
        <v>162</v>
      </c>
      <c r="U59" t="s">
        <v>163</v>
      </c>
      <c r="V59" t="s">
        <v>74</v>
      </c>
      <c r="W59" t="s">
        <v>23</v>
      </c>
      <c r="Y59" s="39">
        <v>8.5015368900000006</v>
      </c>
    </row>
    <row r="60" spans="1:25" x14ac:dyDescent="0.25">
      <c r="A60" t="s">
        <v>317</v>
      </c>
      <c r="B60" t="s">
        <v>27</v>
      </c>
      <c r="C60" s="35" t="s">
        <v>27</v>
      </c>
      <c r="D60" t="s">
        <v>28</v>
      </c>
      <c r="E60" s="35">
        <v>10030028</v>
      </c>
      <c r="F60" t="s">
        <v>154</v>
      </c>
      <c r="G60" s="35">
        <v>13</v>
      </c>
      <c r="H60" s="36">
        <v>20.2</v>
      </c>
      <c r="I60" s="37">
        <v>731.54017332000012</v>
      </c>
      <c r="J60" s="38">
        <v>0</v>
      </c>
      <c r="K60" s="38">
        <v>0</v>
      </c>
      <c r="L60" s="38">
        <v>0</v>
      </c>
      <c r="M60" s="36">
        <v>0</v>
      </c>
      <c r="N60" s="36">
        <v>0</v>
      </c>
      <c r="O60" s="38" t="s">
        <v>21</v>
      </c>
      <c r="P60" s="38">
        <v>732</v>
      </c>
      <c r="Q60" s="35" t="s">
        <v>20</v>
      </c>
      <c r="R60" t="s">
        <v>318</v>
      </c>
      <c r="S60" t="s">
        <v>319</v>
      </c>
      <c r="T60" t="s">
        <v>238</v>
      </c>
      <c r="U60" t="s">
        <v>239</v>
      </c>
      <c r="V60" t="s">
        <v>74</v>
      </c>
      <c r="W60" t="s">
        <v>23</v>
      </c>
      <c r="Y60" s="39">
        <v>23.539659042475254</v>
      </c>
    </row>
    <row r="61" spans="1:25" x14ac:dyDescent="0.25">
      <c r="A61" t="s">
        <v>320</v>
      </c>
      <c r="B61" t="s">
        <v>27</v>
      </c>
      <c r="C61" s="35" t="s">
        <v>27</v>
      </c>
      <c r="D61" t="s">
        <v>28</v>
      </c>
      <c r="E61" s="35">
        <v>10030028</v>
      </c>
      <c r="F61" t="s">
        <v>321</v>
      </c>
      <c r="G61" s="35">
        <v>7</v>
      </c>
      <c r="H61" s="36">
        <v>9.5</v>
      </c>
      <c r="I61" s="37">
        <v>306.48811644000011</v>
      </c>
      <c r="J61" s="38">
        <v>0</v>
      </c>
      <c r="K61" s="38">
        <v>0</v>
      </c>
      <c r="L61" s="38">
        <v>0</v>
      </c>
      <c r="M61" s="36">
        <v>0</v>
      </c>
      <c r="N61" s="36">
        <v>0</v>
      </c>
      <c r="O61" s="38" t="s">
        <v>21</v>
      </c>
      <c r="P61" s="38">
        <v>306</v>
      </c>
      <c r="Q61" s="35" t="s">
        <v>20</v>
      </c>
      <c r="R61" t="s">
        <v>322</v>
      </c>
      <c r="S61" t="s">
        <v>323</v>
      </c>
      <c r="T61" t="s">
        <v>324</v>
      </c>
      <c r="U61" t="s">
        <v>325</v>
      </c>
      <c r="V61" t="s">
        <v>74</v>
      </c>
      <c r="W61" t="s">
        <v>23</v>
      </c>
      <c r="Y61" s="39">
        <v>11.291667447789479</v>
      </c>
    </row>
    <row r="62" spans="1:25" x14ac:dyDescent="0.25">
      <c r="A62" t="s">
        <v>326</v>
      </c>
      <c r="B62" t="s">
        <v>27</v>
      </c>
      <c r="C62" s="35" t="s">
        <v>27</v>
      </c>
      <c r="D62" t="s">
        <v>28</v>
      </c>
      <c r="E62" s="35">
        <v>10030028</v>
      </c>
      <c r="F62" t="s">
        <v>327</v>
      </c>
      <c r="G62" s="35">
        <v>14</v>
      </c>
      <c r="H62" s="36">
        <v>24.299999999999997</v>
      </c>
      <c r="I62" s="37">
        <v>791.77562244000023</v>
      </c>
      <c r="J62" s="38">
        <v>0</v>
      </c>
      <c r="K62" s="38">
        <v>0</v>
      </c>
      <c r="L62" s="38">
        <v>0</v>
      </c>
      <c r="M62" s="36">
        <v>0</v>
      </c>
      <c r="N62" s="36">
        <v>0</v>
      </c>
      <c r="O62" s="38" t="s">
        <v>21</v>
      </c>
      <c r="P62" s="38">
        <v>792</v>
      </c>
      <c r="Q62" s="35" t="s">
        <v>20</v>
      </c>
      <c r="R62" t="s">
        <v>328</v>
      </c>
      <c r="S62" t="s">
        <v>329</v>
      </c>
      <c r="T62" t="s">
        <v>162</v>
      </c>
      <c r="U62" t="s">
        <v>163</v>
      </c>
      <c r="V62" t="s">
        <v>74</v>
      </c>
      <c r="W62" t="s">
        <v>23</v>
      </c>
      <c r="Y62" s="39">
        <v>22.808351263703713</v>
      </c>
    </row>
    <row r="63" spans="1:25" x14ac:dyDescent="0.25">
      <c r="A63" t="s">
        <v>330</v>
      </c>
      <c r="B63" t="s">
        <v>27</v>
      </c>
      <c r="C63" s="35" t="s">
        <v>27</v>
      </c>
      <c r="D63" t="s">
        <v>28</v>
      </c>
      <c r="E63" s="35">
        <v>10030028</v>
      </c>
      <c r="F63" t="s">
        <v>331</v>
      </c>
      <c r="G63" s="35">
        <v>14</v>
      </c>
      <c r="H63" s="36">
        <v>46.8</v>
      </c>
      <c r="I63" s="37">
        <v>1531.650785544</v>
      </c>
      <c r="J63" s="38">
        <v>0</v>
      </c>
      <c r="K63" s="38">
        <v>0</v>
      </c>
      <c r="L63" s="38">
        <v>0</v>
      </c>
      <c r="M63" s="36">
        <v>0</v>
      </c>
      <c r="N63" s="36">
        <v>0</v>
      </c>
      <c r="O63" s="38" t="s">
        <v>21</v>
      </c>
      <c r="P63" s="38">
        <v>1532</v>
      </c>
      <c r="Q63" s="35" t="s">
        <v>20</v>
      </c>
      <c r="R63" t="s">
        <v>332</v>
      </c>
      <c r="S63" t="s">
        <v>333</v>
      </c>
      <c r="T63" t="s">
        <v>162</v>
      </c>
      <c r="U63" t="s">
        <v>163</v>
      </c>
      <c r="V63" t="s">
        <v>74</v>
      </c>
      <c r="W63" t="s">
        <v>23</v>
      </c>
      <c r="Y63" s="39">
        <v>22.909306621384619</v>
      </c>
    </row>
    <row r="64" spans="1:25" x14ac:dyDescent="0.25">
      <c r="A64" t="s">
        <v>334</v>
      </c>
      <c r="B64" t="s">
        <v>27</v>
      </c>
      <c r="C64" s="35" t="s">
        <v>27</v>
      </c>
      <c r="D64" t="s">
        <v>28</v>
      </c>
      <c r="E64" s="35">
        <v>10030028</v>
      </c>
      <c r="F64" t="s">
        <v>335</v>
      </c>
      <c r="G64" s="35">
        <v>8</v>
      </c>
      <c r="H64" s="36">
        <v>15.899999999999999</v>
      </c>
      <c r="I64" s="37">
        <v>515.34634615200002</v>
      </c>
      <c r="J64" s="38">
        <v>0</v>
      </c>
      <c r="K64" s="38">
        <v>0</v>
      </c>
      <c r="L64" s="38">
        <v>0</v>
      </c>
      <c r="M64" s="36">
        <v>0</v>
      </c>
      <c r="N64" s="36">
        <v>0</v>
      </c>
      <c r="O64" s="38" t="s">
        <v>21</v>
      </c>
      <c r="P64" s="38">
        <v>515</v>
      </c>
      <c r="Q64" s="35" t="s">
        <v>20</v>
      </c>
      <c r="R64" t="s">
        <v>336</v>
      </c>
      <c r="S64" t="s">
        <v>337</v>
      </c>
      <c r="T64" t="s">
        <v>162</v>
      </c>
      <c r="U64" t="s">
        <v>163</v>
      </c>
      <c r="V64" t="s">
        <v>74</v>
      </c>
      <c r="W64" t="s">
        <v>23</v>
      </c>
      <c r="Y64" s="39">
        <v>12.964687953509438</v>
      </c>
    </row>
    <row r="65" spans="1:25" x14ac:dyDescent="0.25">
      <c r="A65" t="s">
        <v>338</v>
      </c>
      <c r="B65" t="s">
        <v>27</v>
      </c>
      <c r="C65" s="35" t="s">
        <v>27</v>
      </c>
      <c r="D65" t="s">
        <v>28</v>
      </c>
      <c r="E65" s="35">
        <v>10030028</v>
      </c>
      <c r="F65" t="s">
        <v>339</v>
      </c>
      <c r="G65" s="35">
        <v>14</v>
      </c>
      <c r="H65" s="36">
        <v>43.800000000000004</v>
      </c>
      <c r="I65" s="37">
        <v>1491.6085192800003</v>
      </c>
      <c r="J65" s="38">
        <v>0</v>
      </c>
      <c r="K65" s="38">
        <v>0</v>
      </c>
      <c r="L65" s="38">
        <v>0</v>
      </c>
      <c r="M65" s="36">
        <v>0</v>
      </c>
      <c r="N65" s="36">
        <v>0</v>
      </c>
      <c r="O65" s="38" t="s">
        <v>21</v>
      </c>
      <c r="P65" s="38">
        <v>1492</v>
      </c>
      <c r="Q65" s="35" t="s">
        <v>20</v>
      </c>
      <c r="R65" t="s">
        <v>340</v>
      </c>
      <c r="S65" t="s">
        <v>341</v>
      </c>
      <c r="T65" t="s">
        <v>238</v>
      </c>
      <c r="U65" t="s">
        <v>85</v>
      </c>
      <c r="V65" t="s">
        <v>74</v>
      </c>
      <c r="W65" t="s">
        <v>23</v>
      </c>
      <c r="Y65" s="39">
        <v>23.838492317260279</v>
      </c>
    </row>
    <row r="66" spans="1:25" x14ac:dyDescent="0.25">
      <c r="A66" t="s">
        <v>342</v>
      </c>
      <c r="B66" t="s">
        <v>27</v>
      </c>
      <c r="C66" s="35" t="s">
        <v>27</v>
      </c>
      <c r="D66" t="s">
        <v>28</v>
      </c>
      <c r="E66" s="35">
        <v>10030028</v>
      </c>
      <c r="F66" t="s">
        <v>343</v>
      </c>
      <c r="G66" s="35">
        <v>12</v>
      </c>
      <c r="H66" s="36">
        <v>36.400000000000006</v>
      </c>
      <c r="I66" s="37">
        <v>1150.3904470740001</v>
      </c>
      <c r="J66" s="38">
        <v>0</v>
      </c>
      <c r="K66" s="38">
        <v>0</v>
      </c>
      <c r="L66" s="38">
        <v>0</v>
      </c>
      <c r="M66" s="36">
        <v>0</v>
      </c>
      <c r="N66" s="36">
        <v>0</v>
      </c>
      <c r="O66" s="38" t="s">
        <v>21</v>
      </c>
      <c r="P66" s="38">
        <v>1150</v>
      </c>
      <c r="Q66" s="35" t="s">
        <v>20</v>
      </c>
      <c r="R66" t="s">
        <v>344</v>
      </c>
      <c r="S66" t="s">
        <v>345</v>
      </c>
      <c r="T66" t="s">
        <v>238</v>
      </c>
      <c r="U66" t="s">
        <v>239</v>
      </c>
      <c r="V66" t="s">
        <v>74</v>
      </c>
      <c r="W66" t="s">
        <v>23</v>
      </c>
      <c r="Y66" s="39">
        <v>18.962479896824178</v>
      </c>
    </row>
    <row r="67" spans="1:25" x14ac:dyDescent="0.25">
      <c r="A67" t="s">
        <v>346</v>
      </c>
      <c r="B67" t="s">
        <v>27</v>
      </c>
      <c r="C67" s="35" t="s">
        <v>27</v>
      </c>
      <c r="D67" t="s">
        <v>28</v>
      </c>
      <c r="E67" s="35">
        <v>10030028</v>
      </c>
      <c r="F67" t="s">
        <v>347</v>
      </c>
      <c r="G67" s="35">
        <v>7</v>
      </c>
      <c r="H67" s="36">
        <v>23.6</v>
      </c>
      <c r="I67" s="37">
        <v>855.22697172000005</v>
      </c>
      <c r="J67" s="38">
        <v>0</v>
      </c>
      <c r="K67" s="38">
        <v>0</v>
      </c>
      <c r="L67" s="38">
        <v>0</v>
      </c>
      <c r="M67" s="36">
        <v>0</v>
      </c>
      <c r="N67" s="36">
        <v>0</v>
      </c>
      <c r="O67" s="38" t="s">
        <v>21</v>
      </c>
      <c r="P67" s="38">
        <v>855</v>
      </c>
      <c r="Q67" s="35" t="s">
        <v>20</v>
      </c>
      <c r="R67" t="s">
        <v>348</v>
      </c>
      <c r="S67" t="s">
        <v>349</v>
      </c>
      <c r="T67" t="s">
        <v>238</v>
      </c>
      <c r="U67" t="s">
        <v>85</v>
      </c>
      <c r="V67" t="s">
        <v>74</v>
      </c>
      <c r="W67" t="s">
        <v>23</v>
      </c>
      <c r="Y67" s="39">
        <v>12.683450851779662</v>
      </c>
    </row>
    <row r="68" spans="1:25" x14ac:dyDescent="0.25">
      <c r="A68" t="s">
        <v>350</v>
      </c>
      <c r="B68" t="s">
        <v>27</v>
      </c>
      <c r="C68" s="35" t="s">
        <v>27</v>
      </c>
      <c r="D68" t="s">
        <v>28</v>
      </c>
      <c r="E68" s="35">
        <v>10030028</v>
      </c>
      <c r="F68" t="s">
        <v>351</v>
      </c>
      <c r="G68" s="35">
        <v>7</v>
      </c>
      <c r="H68" s="36">
        <v>31.200000000000003</v>
      </c>
      <c r="I68" s="37">
        <v>1213.646759424</v>
      </c>
      <c r="J68" s="38">
        <v>0</v>
      </c>
      <c r="K68" s="38">
        <v>0</v>
      </c>
      <c r="L68" s="38">
        <v>0</v>
      </c>
      <c r="M68" s="36">
        <v>0</v>
      </c>
      <c r="N68" s="36">
        <v>0</v>
      </c>
      <c r="O68" s="38" t="s">
        <v>21</v>
      </c>
      <c r="P68" s="38">
        <v>1214</v>
      </c>
      <c r="Q68" s="35" t="s">
        <v>20</v>
      </c>
      <c r="R68" t="s">
        <v>352</v>
      </c>
      <c r="S68" t="s">
        <v>353</v>
      </c>
      <c r="T68" t="s">
        <v>354</v>
      </c>
      <c r="U68" t="s">
        <v>355</v>
      </c>
      <c r="V68" t="s">
        <v>74</v>
      </c>
      <c r="W68" t="s">
        <v>23</v>
      </c>
      <c r="Y68" s="39">
        <v>13.614627108923079</v>
      </c>
    </row>
    <row r="69" spans="1:25" x14ac:dyDescent="0.25">
      <c r="A69" t="s">
        <v>356</v>
      </c>
      <c r="B69" t="s">
        <v>27</v>
      </c>
      <c r="C69" s="35" t="s">
        <v>27</v>
      </c>
      <c r="D69" t="s">
        <v>28</v>
      </c>
      <c r="E69" s="35">
        <v>10030028</v>
      </c>
      <c r="F69" t="s">
        <v>357</v>
      </c>
      <c r="G69" s="35">
        <v>14</v>
      </c>
      <c r="H69" s="36">
        <v>24.9</v>
      </c>
      <c r="I69" s="37">
        <v>993.35433780000005</v>
      </c>
      <c r="J69" s="38">
        <v>0</v>
      </c>
      <c r="K69" s="38">
        <v>0</v>
      </c>
      <c r="L69" s="38">
        <v>0</v>
      </c>
      <c r="M69" s="36">
        <v>0</v>
      </c>
      <c r="N69" s="36">
        <v>0</v>
      </c>
      <c r="O69" s="38" t="s">
        <v>21</v>
      </c>
      <c r="P69" s="38">
        <v>993</v>
      </c>
      <c r="Q69" s="35" t="s">
        <v>20</v>
      </c>
      <c r="R69" t="s">
        <v>358</v>
      </c>
      <c r="S69" t="s">
        <v>359</v>
      </c>
      <c r="T69" t="s">
        <v>162</v>
      </c>
      <c r="U69" t="s">
        <v>215</v>
      </c>
      <c r="V69" t="s">
        <v>74</v>
      </c>
      <c r="W69" t="s">
        <v>23</v>
      </c>
      <c r="Y69" s="39">
        <v>27.925623954216874</v>
      </c>
    </row>
    <row r="70" spans="1:25" x14ac:dyDescent="0.25">
      <c r="A70" t="s">
        <v>360</v>
      </c>
      <c r="B70" t="s">
        <v>27</v>
      </c>
      <c r="C70" s="35" t="s">
        <v>27</v>
      </c>
      <c r="D70" t="s">
        <v>28</v>
      </c>
      <c r="E70" s="35">
        <v>10030028</v>
      </c>
      <c r="F70" t="s">
        <v>361</v>
      </c>
      <c r="G70" s="35">
        <v>12</v>
      </c>
      <c r="H70" s="36">
        <v>12.899999999999999</v>
      </c>
      <c r="I70" s="37">
        <v>485.25228081000006</v>
      </c>
      <c r="J70" s="38">
        <v>0</v>
      </c>
      <c r="K70" s="38">
        <v>0</v>
      </c>
      <c r="L70" s="38">
        <v>0</v>
      </c>
      <c r="M70" s="36">
        <v>0</v>
      </c>
      <c r="N70" s="36">
        <v>0</v>
      </c>
      <c r="O70" s="38" t="s">
        <v>21</v>
      </c>
      <c r="P70" s="38">
        <v>485</v>
      </c>
      <c r="Q70" s="35" t="s">
        <v>20</v>
      </c>
      <c r="R70" t="s">
        <v>362</v>
      </c>
      <c r="S70" t="s">
        <v>363</v>
      </c>
      <c r="T70" t="s">
        <v>162</v>
      </c>
      <c r="U70" t="s">
        <v>163</v>
      </c>
      <c r="V70" t="s">
        <v>74</v>
      </c>
      <c r="W70" t="s">
        <v>23</v>
      </c>
      <c r="Y70" s="39">
        <v>22.569873526046521</v>
      </c>
    </row>
    <row r="71" spans="1:25" x14ac:dyDescent="0.25">
      <c r="A71" t="s">
        <v>364</v>
      </c>
      <c r="B71" t="s">
        <v>27</v>
      </c>
      <c r="C71" s="35" t="s">
        <v>27</v>
      </c>
      <c r="D71" t="s">
        <v>28</v>
      </c>
      <c r="E71" s="35">
        <v>10030028</v>
      </c>
      <c r="F71" t="s">
        <v>365</v>
      </c>
      <c r="G71" s="35">
        <v>14</v>
      </c>
      <c r="H71" s="36">
        <v>23.6</v>
      </c>
      <c r="I71" s="37">
        <v>1401.7064177669999</v>
      </c>
      <c r="J71" s="38">
        <v>0</v>
      </c>
      <c r="K71" s="38">
        <v>0</v>
      </c>
      <c r="L71" s="38">
        <v>0</v>
      </c>
      <c r="M71" s="36">
        <v>0</v>
      </c>
      <c r="N71" s="36">
        <v>0</v>
      </c>
      <c r="O71" s="38" t="s">
        <v>21</v>
      </c>
      <c r="P71" s="38">
        <v>1402</v>
      </c>
      <c r="Q71" s="35" t="s">
        <v>20</v>
      </c>
      <c r="R71" t="s">
        <v>366</v>
      </c>
      <c r="S71" t="s">
        <v>367</v>
      </c>
      <c r="T71" t="s">
        <v>238</v>
      </c>
      <c r="U71" t="s">
        <v>368</v>
      </c>
      <c r="V71" t="s">
        <v>74</v>
      </c>
      <c r="W71" t="s">
        <v>23</v>
      </c>
      <c r="Y71" s="39">
        <v>41.576037815122881</v>
      </c>
    </row>
    <row r="72" spans="1:25" x14ac:dyDescent="0.25">
      <c r="A72" t="s">
        <v>369</v>
      </c>
      <c r="B72" t="s">
        <v>27</v>
      </c>
      <c r="C72" s="35" t="s">
        <v>27</v>
      </c>
      <c r="D72" t="s">
        <v>28</v>
      </c>
      <c r="E72" s="35">
        <v>10030028</v>
      </c>
      <c r="F72" t="s">
        <v>370</v>
      </c>
      <c r="G72" s="35">
        <v>13</v>
      </c>
      <c r="H72" s="36">
        <v>17.100000000000001</v>
      </c>
      <c r="I72" s="37">
        <v>889.06203456300022</v>
      </c>
      <c r="J72" s="38">
        <v>0</v>
      </c>
      <c r="K72" s="38">
        <v>0</v>
      </c>
      <c r="L72" s="38">
        <v>0</v>
      </c>
      <c r="M72" s="36">
        <v>0</v>
      </c>
      <c r="N72" s="36">
        <v>0</v>
      </c>
      <c r="O72" s="38" t="s">
        <v>21</v>
      </c>
      <c r="P72" s="38">
        <v>889</v>
      </c>
      <c r="Q72" s="35" t="s">
        <v>20</v>
      </c>
      <c r="R72" t="s">
        <v>371</v>
      </c>
      <c r="S72" t="s">
        <v>372</v>
      </c>
      <c r="T72" t="s">
        <v>238</v>
      </c>
      <c r="U72" t="s">
        <v>368</v>
      </c>
      <c r="V72" t="s">
        <v>74</v>
      </c>
      <c r="W72" t="s">
        <v>23</v>
      </c>
      <c r="Y72" s="39">
        <v>33.794755699763165</v>
      </c>
    </row>
    <row r="73" spans="1:25" x14ac:dyDescent="0.25">
      <c r="A73" t="s">
        <v>373</v>
      </c>
      <c r="B73" t="s">
        <v>27</v>
      </c>
      <c r="C73" s="35" t="s">
        <v>27</v>
      </c>
      <c r="D73" t="s">
        <v>29</v>
      </c>
      <c r="E73" s="35">
        <v>10030075</v>
      </c>
      <c r="F73" t="s">
        <v>69</v>
      </c>
      <c r="G73" s="35">
        <v>14</v>
      </c>
      <c r="H73" s="36">
        <v>186.57</v>
      </c>
      <c r="I73" s="37">
        <v>7700.3524280232014</v>
      </c>
      <c r="J73" s="38">
        <v>0</v>
      </c>
      <c r="K73" s="38">
        <v>0</v>
      </c>
      <c r="L73" s="38">
        <v>1529</v>
      </c>
      <c r="M73" s="36">
        <v>0</v>
      </c>
      <c r="N73" s="36">
        <v>500</v>
      </c>
      <c r="O73" s="38" t="s">
        <v>21</v>
      </c>
      <c r="P73" s="38">
        <v>5671</v>
      </c>
      <c r="Q73" s="35" t="s">
        <v>20</v>
      </c>
      <c r="R73" t="s">
        <v>374</v>
      </c>
      <c r="S73" t="s">
        <v>375</v>
      </c>
      <c r="T73" t="s">
        <v>376</v>
      </c>
      <c r="U73" t="s">
        <v>224</v>
      </c>
      <c r="V73" t="s">
        <v>74</v>
      </c>
      <c r="W73" t="s">
        <v>23</v>
      </c>
      <c r="Y73" s="39">
        <v>28.891283162438988</v>
      </c>
    </row>
    <row r="74" spans="1:25" x14ac:dyDescent="0.25">
      <c r="A74" t="s">
        <v>377</v>
      </c>
      <c r="B74" t="s">
        <v>27</v>
      </c>
      <c r="C74" s="35" t="s">
        <v>27</v>
      </c>
      <c r="D74" t="s">
        <v>29</v>
      </c>
      <c r="E74" s="35">
        <v>10030075</v>
      </c>
      <c r="F74" t="s">
        <v>165</v>
      </c>
      <c r="G74" s="35">
        <v>13</v>
      </c>
      <c r="H74" s="36">
        <v>59.529999999999994</v>
      </c>
      <c r="I74" s="37">
        <v>2654.7574368031796</v>
      </c>
      <c r="J74" s="38">
        <v>0</v>
      </c>
      <c r="K74" s="38">
        <v>0</v>
      </c>
      <c r="L74" s="38">
        <v>0</v>
      </c>
      <c r="M74" s="36">
        <v>0</v>
      </c>
      <c r="N74" s="36">
        <v>0</v>
      </c>
      <c r="O74" s="38" t="s">
        <v>21</v>
      </c>
      <c r="P74" s="38">
        <v>2655</v>
      </c>
      <c r="Q74" s="35" t="s">
        <v>20</v>
      </c>
      <c r="R74" t="s">
        <v>378</v>
      </c>
      <c r="S74" t="s">
        <v>379</v>
      </c>
      <c r="T74" t="s">
        <v>380</v>
      </c>
      <c r="U74" t="s">
        <v>381</v>
      </c>
      <c r="V74" t="s">
        <v>74</v>
      </c>
      <c r="W74" t="s">
        <v>23</v>
      </c>
      <c r="Y74" s="39">
        <v>28.986936568487604</v>
      </c>
    </row>
    <row r="75" spans="1:25" x14ac:dyDescent="0.25">
      <c r="A75" t="s">
        <v>382</v>
      </c>
      <c r="B75" t="s">
        <v>27</v>
      </c>
      <c r="C75" s="35" t="s">
        <v>27</v>
      </c>
      <c r="D75" t="s">
        <v>29</v>
      </c>
      <c r="E75" s="35">
        <v>10030075</v>
      </c>
      <c r="F75" t="s">
        <v>383</v>
      </c>
      <c r="G75" s="35">
        <v>11</v>
      </c>
      <c r="H75" s="36">
        <v>56.239999999999995</v>
      </c>
      <c r="I75" s="37">
        <v>2038.114044054</v>
      </c>
      <c r="J75" s="38">
        <v>0</v>
      </c>
      <c r="K75" s="38">
        <v>0</v>
      </c>
      <c r="L75" s="38">
        <v>0</v>
      </c>
      <c r="M75" s="36">
        <v>0</v>
      </c>
      <c r="N75" s="36">
        <v>0</v>
      </c>
      <c r="O75" s="38" t="s">
        <v>21</v>
      </c>
      <c r="P75" s="38">
        <v>2038</v>
      </c>
      <c r="Q75" s="35" t="s">
        <v>20</v>
      </c>
      <c r="R75" t="s">
        <v>384</v>
      </c>
      <c r="S75" t="s">
        <v>385</v>
      </c>
      <c r="T75" t="s">
        <v>386</v>
      </c>
      <c r="U75" t="s">
        <v>387</v>
      </c>
      <c r="V75" t="s">
        <v>74</v>
      </c>
      <c r="W75" t="s">
        <v>23</v>
      </c>
      <c r="Y75" s="39">
        <v>19.931769634240759</v>
      </c>
    </row>
    <row r="76" spans="1:25" x14ac:dyDescent="0.25">
      <c r="A76" t="s">
        <v>388</v>
      </c>
      <c r="B76" t="s">
        <v>27</v>
      </c>
      <c r="C76" s="35" t="s">
        <v>27</v>
      </c>
      <c r="D76" t="s">
        <v>29</v>
      </c>
      <c r="E76" s="35">
        <v>10030075</v>
      </c>
      <c r="F76" t="s">
        <v>77</v>
      </c>
      <c r="G76" s="35">
        <v>2</v>
      </c>
      <c r="H76" s="36">
        <v>2.75</v>
      </c>
      <c r="I76" s="37">
        <v>99.973179504000015</v>
      </c>
      <c r="J76" s="38">
        <v>0</v>
      </c>
      <c r="K76" s="38">
        <v>0</v>
      </c>
      <c r="L76" s="38">
        <v>0</v>
      </c>
      <c r="M76" s="36">
        <v>0</v>
      </c>
      <c r="N76" s="36">
        <v>0</v>
      </c>
      <c r="O76" s="38" t="s">
        <v>21</v>
      </c>
      <c r="P76" s="38">
        <v>100</v>
      </c>
      <c r="Q76" s="35" t="s">
        <v>20</v>
      </c>
      <c r="R76" t="s">
        <v>389</v>
      </c>
      <c r="S76" t="s">
        <v>390</v>
      </c>
      <c r="T76" t="s">
        <v>391</v>
      </c>
      <c r="U76" t="s">
        <v>85</v>
      </c>
      <c r="V76" t="s">
        <v>74</v>
      </c>
      <c r="W76" t="s">
        <v>23</v>
      </c>
      <c r="Y76" s="39">
        <v>3.6353883456000009</v>
      </c>
    </row>
    <row r="77" spans="1:25" x14ac:dyDescent="0.25">
      <c r="A77" t="s">
        <v>392</v>
      </c>
      <c r="B77" t="s">
        <v>30</v>
      </c>
      <c r="C77" s="35" t="s">
        <v>30</v>
      </c>
      <c r="D77" t="s">
        <v>31</v>
      </c>
      <c r="E77" s="35">
        <v>10060031</v>
      </c>
      <c r="F77" t="s">
        <v>331</v>
      </c>
      <c r="G77" s="35">
        <v>2</v>
      </c>
      <c r="H77" s="36">
        <v>4.09</v>
      </c>
      <c r="I77" s="37">
        <v>181.383206796</v>
      </c>
      <c r="J77" s="38">
        <v>0</v>
      </c>
      <c r="K77" s="38">
        <v>0</v>
      </c>
      <c r="L77" s="38">
        <v>0</v>
      </c>
      <c r="M77" s="36">
        <v>0</v>
      </c>
      <c r="N77" s="36">
        <v>0</v>
      </c>
      <c r="O77" s="38" t="s">
        <v>21</v>
      </c>
      <c r="P77" s="38">
        <v>181</v>
      </c>
      <c r="Q77" s="35" t="s">
        <v>20</v>
      </c>
      <c r="R77" t="s">
        <v>393</v>
      </c>
      <c r="S77" t="s">
        <v>394</v>
      </c>
      <c r="T77" t="s">
        <v>395</v>
      </c>
      <c r="U77" t="s">
        <v>85</v>
      </c>
      <c r="V77" t="s">
        <v>74</v>
      </c>
      <c r="W77" t="s">
        <v>23</v>
      </c>
      <c r="Y77" s="39">
        <v>4.4347972321760398</v>
      </c>
    </row>
    <row r="78" spans="1:25" x14ac:dyDescent="0.25">
      <c r="A78" t="s">
        <v>396</v>
      </c>
      <c r="B78" t="s">
        <v>30</v>
      </c>
      <c r="C78" s="35" t="s">
        <v>30</v>
      </c>
      <c r="D78" t="s">
        <v>31</v>
      </c>
      <c r="E78" s="35">
        <v>10060031</v>
      </c>
      <c r="F78" t="s">
        <v>397</v>
      </c>
      <c r="G78" s="35">
        <v>14</v>
      </c>
      <c r="H78" s="36">
        <v>69.22999999999999</v>
      </c>
      <c r="I78" s="37">
        <v>3082.3287846859207</v>
      </c>
      <c r="J78" s="38">
        <v>0</v>
      </c>
      <c r="K78" s="38">
        <v>0</v>
      </c>
      <c r="L78" s="38">
        <v>1413</v>
      </c>
      <c r="M78" s="36">
        <v>0</v>
      </c>
      <c r="N78" s="36">
        <v>0</v>
      </c>
      <c r="O78" s="38" t="s">
        <v>21</v>
      </c>
      <c r="P78" s="38">
        <v>1669</v>
      </c>
      <c r="Q78" s="35" t="s">
        <v>20</v>
      </c>
      <c r="R78" t="s">
        <v>398</v>
      </c>
      <c r="S78" t="s">
        <v>399</v>
      </c>
      <c r="T78" t="s">
        <v>400</v>
      </c>
      <c r="U78" t="s">
        <v>85</v>
      </c>
      <c r="V78" t="s">
        <v>74</v>
      </c>
      <c r="W78" t="s">
        <v>23</v>
      </c>
      <c r="Y78" s="39">
        <v>31.166115113103352</v>
      </c>
    </row>
    <row r="79" spans="1:25" x14ac:dyDescent="0.25">
      <c r="A79" t="s">
        <v>401</v>
      </c>
      <c r="B79" t="s">
        <v>30</v>
      </c>
      <c r="C79" s="35" t="s">
        <v>30</v>
      </c>
      <c r="D79" t="s">
        <v>31</v>
      </c>
      <c r="E79" s="35">
        <v>10060031</v>
      </c>
      <c r="F79" t="s">
        <v>402</v>
      </c>
      <c r="G79" s="35">
        <v>13</v>
      </c>
      <c r="H79" s="36">
        <v>49.939999999999991</v>
      </c>
      <c r="I79" s="37">
        <v>1858.8039086826002</v>
      </c>
      <c r="J79" s="38">
        <v>0</v>
      </c>
      <c r="K79" s="38">
        <v>0</v>
      </c>
      <c r="L79" s="38">
        <v>0</v>
      </c>
      <c r="M79" s="36">
        <v>0</v>
      </c>
      <c r="N79" s="36">
        <v>0</v>
      </c>
      <c r="O79" s="38" t="s">
        <v>21</v>
      </c>
      <c r="P79" s="38">
        <v>1859</v>
      </c>
      <c r="Q79" s="35" t="s">
        <v>20</v>
      </c>
      <c r="R79" t="s">
        <v>403</v>
      </c>
      <c r="S79" t="s">
        <v>404</v>
      </c>
      <c r="T79" t="s">
        <v>395</v>
      </c>
      <c r="U79" t="s">
        <v>85</v>
      </c>
      <c r="V79" t="s">
        <v>74</v>
      </c>
      <c r="W79" t="s">
        <v>23</v>
      </c>
      <c r="Y79" s="39">
        <v>24.193482992464766</v>
      </c>
    </row>
    <row r="80" spans="1:25" x14ac:dyDescent="0.25">
      <c r="A80" t="s">
        <v>405</v>
      </c>
      <c r="B80" t="s">
        <v>30</v>
      </c>
      <c r="C80" s="35" t="s">
        <v>30</v>
      </c>
      <c r="D80" t="s">
        <v>31</v>
      </c>
      <c r="E80" s="35">
        <v>10060031</v>
      </c>
      <c r="F80" t="s">
        <v>406</v>
      </c>
      <c r="G80" s="35">
        <v>7</v>
      </c>
      <c r="H80" s="36">
        <v>28.75</v>
      </c>
      <c r="I80" s="37">
        <v>1989.2297747360003</v>
      </c>
      <c r="J80" s="38">
        <v>0</v>
      </c>
      <c r="K80" s="38">
        <v>0</v>
      </c>
      <c r="L80" s="38">
        <v>0</v>
      </c>
      <c r="M80" s="36">
        <v>0</v>
      </c>
      <c r="N80" s="36">
        <v>0</v>
      </c>
      <c r="O80" s="38" t="s">
        <v>21</v>
      </c>
      <c r="P80" s="38">
        <v>1989</v>
      </c>
      <c r="Q80" s="35" t="s">
        <v>20</v>
      </c>
      <c r="R80" t="s">
        <v>407</v>
      </c>
      <c r="S80" t="s">
        <v>408</v>
      </c>
      <c r="T80" t="s">
        <v>395</v>
      </c>
      <c r="U80" t="s">
        <v>85</v>
      </c>
      <c r="V80" t="s">
        <v>74</v>
      </c>
      <c r="W80" t="s">
        <v>23</v>
      </c>
      <c r="Y80" s="39">
        <v>24.216710301133919</v>
      </c>
    </row>
    <row r="81" spans="1:25" x14ac:dyDescent="0.25">
      <c r="A81" t="s">
        <v>409</v>
      </c>
      <c r="B81" t="s">
        <v>30</v>
      </c>
      <c r="C81" s="35" t="s">
        <v>30</v>
      </c>
      <c r="D81" t="s">
        <v>31</v>
      </c>
      <c r="E81" s="35">
        <v>10060031</v>
      </c>
      <c r="F81" t="s">
        <v>410</v>
      </c>
      <c r="G81" s="35">
        <v>14</v>
      </c>
      <c r="H81" s="36">
        <v>54.219999999999992</v>
      </c>
      <c r="I81" s="37">
        <v>2164.8735539640002</v>
      </c>
      <c r="J81" s="38">
        <v>0</v>
      </c>
      <c r="K81" s="38">
        <v>0</v>
      </c>
      <c r="L81" s="38">
        <v>0</v>
      </c>
      <c r="M81" s="36">
        <v>0</v>
      </c>
      <c r="N81" s="36">
        <v>0</v>
      </c>
      <c r="O81" s="38" t="s">
        <v>21</v>
      </c>
      <c r="P81" s="38">
        <v>2165</v>
      </c>
      <c r="Q81" s="35" t="s">
        <v>20</v>
      </c>
      <c r="R81" t="s">
        <v>411</v>
      </c>
      <c r="S81" t="s">
        <v>412</v>
      </c>
      <c r="T81" t="s">
        <v>162</v>
      </c>
      <c r="U81" t="s">
        <v>215</v>
      </c>
      <c r="V81" t="s">
        <v>74</v>
      </c>
      <c r="W81" t="s">
        <v>23</v>
      </c>
      <c r="Y81" s="39">
        <v>27.949308147820002</v>
      </c>
    </row>
    <row r="82" spans="1:25" x14ac:dyDescent="0.25">
      <c r="A82" t="s">
        <v>413</v>
      </c>
      <c r="B82" t="s">
        <v>30</v>
      </c>
      <c r="C82" s="35" t="s">
        <v>30</v>
      </c>
      <c r="D82" t="s">
        <v>31</v>
      </c>
      <c r="E82" s="35">
        <v>10060031</v>
      </c>
      <c r="F82" t="s">
        <v>335</v>
      </c>
      <c r="G82" s="35">
        <v>7</v>
      </c>
      <c r="H82" s="36">
        <v>11.34</v>
      </c>
      <c r="I82" s="37">
        <v>499.40039318400005</v>
      </c>
      <c r="J82" s="38">
        <v>0</v>
      </c>
      <c r="K82" s="38">
        <v>0</v>
      </c>
      <c r="L82" s="38">
        <v>0</v>
      </c>
      <c r="M82" s="36">
        <v>0</v>
      </c>
      <c r="N82" s="36">
        <v>0</v>
      </c>
      <c r="O82" s="38" t="s">
        <v>21</v>
      </c>
      <c r="P82" s="38">
        <v>499</v>
      </c>
      <c r="Q82" s="35" t="s">
        <v>20</v>
      </c>
      <c r="R82" t="s">
        <v>414</v>
      </c>
      <c r="S82" t="s">
        <v>415</v>
      </c>
      <c r="T82" t="s">
        <v>416</v>
      </c>
      <c r="U82" t="s">
        <v>387</v>
      </c>
      <c r="V82" t="s">
        <v>74</v>
      </c>
      <c r="W82" t="s">
        <v>23</v>
      </c>
      <c r="Y82" s="39">
        <v>15.413592382222225</v>
      </c>
    </row>
    <row r="83" spans="1:25" x14ac:dyDescent="0.25">
      <c r="A83" t="s">
        <v>417</v>
      </c>
      <c r="B83" t="s">
        <v>30</v>
      </c>
      <c r="C83" s="35" t="s">
        <v>30</v>
      </c>
      <c r="D83" t="s">
        <v>31</v>
      </c>
      <c r="E83" s="35">
        <v>10060031</v>
      </c>
      <c r="F83" t="s">
        <v>343</v>
      </c>
      <c r="G83" s="35">
        <v>13</v>
      </c>
      <c r="H83" s="36">
        <v>75.209999999999994</v>
      </c>
      <c r="I83" s="37">
        <v>3052.9137889800004</v>
      </c>
      <c r="J83" s="38">
        <v>0</v>
      </c>
      <c r="K83" s="38">
        <v>0</v>
      </c>
      <c r="L83" s="38">
        <v>0</v>
      </c>
      <c r="M83" s="36">
        <v>0</v>
      </c>
      <c r="N83" s="36">
        <v>0</v>
      </c>
      <c r="O83" s="38" t="s">
        <v>21</v>
      </c>
      <c r="P83" s="38">
        <v>3053</v>
      </c>
      <c r="Q83" s="35" t="s">
        <v>20</v>
      </c>
      <c r="R83" t="s">
        <v>418</v>
      </c>
      <c r="S83" t="s">
        <v>419</v>
      </c>
      <c r="T83" t="s">
        <v>395</v>
      </c>
      <c r="U83" t="s">
        <v>85</v>
      </c>
      <c r="V83" t="s">
        <v>74</v>
      </c>
      <c r="W83" t="s">
        <v>23</v>
      </c>
      <c r="Y83" s="39">
        <v>26.384708985999207</v>
      </c>
    </row>
    <row r="84" spans="1:25" x14ac:dyDescent="0.25">
      <c r="A84" t="s">
        <v>420</v>
      </c>
      <c r="B84" t="s">
        <v>30</v>
      </c>
      <c r="C84" s="35" t="s">
        <v>30</v>
      </c>
      <c r="D84" t="s">
        <v>31</v>
      </c>
      <c r="E84" s="35">
        <v>10060031</v>
      </c>
      <c r="F84" t="s">
        <v>421</v>
      </c>
      <c r="G84" s="35">
        <v>13</v>
      </c>
      <c r="H84" s="36">
        <v>27.699999999999996</v>
      </c>
      <c r="I84" s="37">
        <v>1709.1994373674002</v>
      </c>
      <c r="J84" s="38">
        <v>0</v>
      </c>
      <c r="K84" s="38">
        <v>0</v>
      </c>
      <c r="L84" s="38">
        <v>0</v>
      </c>
      <c r="M84" s="36">
        <v>0</v>
      </c>
      <c r="N84" s="36">
        <v>0</v>
      </c>
      <c r="O84" s="38" t="s">
        <v>21</v>
      </c>
      <c r="P84" s="38">
        <v>1709</v>
      </c>
      <c r="Q84" s="35" t="s">
        <v>20</v>
      </c>
      <c r="R84" t="s">
        <v>422</v>
      </c>
      <c r="S84" t="s">
        <v>423</v>
      </c>
      <c r="T84" t="s">
        <v>416</v>
      </c>
      <c r="U84" t="s">
        <v>387</v>
      </c>
      <c r="V84" t="s">
        <v>74</v>
      </c>
      <c r="W84" t="s">
        <v>23</v>
      </c>
      <c r="Y84" s="39">
        <v>40.107568024866801</v>
      </c>
    </row>
    <row r="85" spans="1:25" x14ac:dyDescent="0.25">
      <c r="A85" t="s">
        <v>424</v>
      </c>
      <c r="B85" t="s">
        <v>30</v>
      </c>
      <c r="C85" s="35" t="s">
        <v>30</v>
      </c>
      <c r="D85" t="s">
        <v>31</v>
      </c>
      <c r="E85" s="35">
        <v>10060031</v>
      </c>
      <c r="F85" t="s">
        <v>425</v>
      </c>
      <c r="G85" s="35">
        <v>1</v>
      </c>
      <c r="H85" s="36">
        <v>4.8</v>
      </c>
      <c r="I85" s="37">
        <v>186.28372224</v>
      </c>
      <c r="J85" s="38">
        <v>0</v>
      </c>
      <c r="K85" s="38">
        <v>0</v>
      </c>
      <c r="L85" s="38">
        <v>0</v>
      </c>
      <c r="M85" s="36">
        <v>0</v>
      </c>
      <c r="N85" s="36">
        <v>0</v>
      </c>
      <c r="O85" s="38" t="s">
        <v>21</v>
      </c>
      <c r="P85" s="38">
        <v>186</v>
      </c>
      <c r="Q85" s="35" t="s">
        <v>20</v>
      </c>
      <c r="R85" t="s">
        <v>426</v>
      </c>
      <c r="S85" t="s">
        <v>427</v>
      </c>
      <c r="T85" t="s">
        <v>416</v>
      </c>
      <c r="U85" t="s">
        <v>387</v>
      </c>
      <c r="V85" t="s">
        <v>74</v>
      </c>
      <c r="W85" t="s">
        <v>23</v>
      </c>
      <c r="Y85" s="39">
        <v>1.9404554400000003</v>
      </c>
    </row>
    <row r="86" spans="1:25" x14ac:dyDescent="0.25">
      <c r="A86" t="s">
        <v>428</v>
      </c>
      <c r="B86" t="s">
        <v>30</v>
      </c>
      <c r="C86" s="35" t="s">
        <v>30</v>
      </c>
      <c r="D86" t="s">
        <v>31</v>
      </c>
      <c r="E86" s="35">
        <v>10060031</v>
      </c>
      <c r="F86" t="s">
        <v>347</v>
      </c>
      <c r="G86" s="35">
        <v>2</v>
      </c>
      <c r="H86" s="36">
        <v>3.29</v>
      </c>
      <c r="I86" s="37">
        <v>125.14101138000002</v>
      </c>
      <c r="J86" s="38">
        <v>0</v>
      </c>
      <c r="K86" s="38">
        <v>0</v>
      </c>
      <c r="L86" s="38">
        <v>0</v>
      </c>
      <c r="M86" s="36">
        <v>0</v>
      </c>
      <c r="N86" s="36">
        <v>0</v>
      </c>
      <c r="O86" s="38" t="s">
        <v>21</v>
      </c>
      <c r="P86" s="38">
        <v>125</v>
      </c>
      <c r="Q86" s="35" t="s">
        <v>20</v>
      </c>
      <c r="R86" t="s">
        <v>429</v>
      </c>
      <c r="S86" t="s">
        <v>430</v>
      </c>
      <c r="T86" t="s">
        <v>416</v>
      </c>
      <c r="U86" t="s">
        <v>387</v>
      </c>
      <c r="V86" t="s">
        <v>74</v>
      </c>
      <c r="W86" t="s">
        <v>23</v>
      </c>
      <c r="Y86" s="39">
        <v>3.8036781574468095</v>
      </c>
    </row>
    <row r="87" spans="1:25" x14ac:dyDescent="0.25">
      <c r="A87" t="s">
        <v>431</v>
      </c>
      <c r="B87" t="s">
        <v>30</v>
      </c>
      <c r="C87" s="35" t="s">
        <v>30</v>
      </c>
      <c r="D87" t="s">
        <v>31</v>
      </c>
      <c r="E87" s="35">
        <v>10060031</v>
      </c>
      <c r="F87" t="s">
        <v>432</v>
      </c>
      <c r="G87" s="35">
        <v>2</v>
      </c>
      <c r="H87" s="36">
        <v>5.26</v>
      </c>
      <c r="I87" s="37">
        <v>183.68379453600005</v>
      </c>
      <c r="J87" s="38">
        <v>0</v>
      </c>
      <c r="K87" s="38">
        <v>0</v>
      </c>
      <c r="L87" s="38">
        <v>0</v>
      </c>
      <c r="M87" s="36">
        <v>0</v>
      </c>
      <c r="N87" s="36">
        <v>0</v>
      </c>
      <c r="O87" s="38" t="s">
        <v>21</v>
      </c>
      <c r="P87" s="38">
        <v>184</v>
      </c>
      <c r="Q87" s="35" t="s">
        <v>20</v>
      </c>
      <c r="R87" t="s">
        <v>433</v>
      </c>
      <c r="S87" t="s">
        <v>434</v>
      </c>
      <c r="T87" t="s">
        <v>416</v>
      </c>
      <c r="U87" t="s">
        <v>435</v>
      </c>
      <c r="V87" t="s">
        <v>74</v>
      </c>
      <c r="W87" t="s">
        <v>23</v>
      </c>
      <c r="Y87" s="39">
        <v>3.4920873485931576</v>
      </c>
    </row>
    <row r="88" spans="1:25" x14ac:dyDescent="0.25">
      <c r="A88" t="s">
        <v>436</v>
      </c>
      <c r="B88" t="s">
        <v>30</v>
      </c>
      <c r="C88" s="35" t="s">
        <v>30</v>
      </c>
      <c r="D88" t="s">
        <v>31</v>
      </c>
      <c r="E88" s="35">
        <v>10060031</v>
      </c>
      <c r="F88" t="s">
        <v>437</v>
      </c>
      <c r="G88" s="35">
        <v>9</v>
      </c>
      <c r="H88" s="36">
        <v>31.14</v>
      </c>
      <c r="I88" s="37">
        <v>1198.9685165040003</v>
      </c>
      <c r="J88" s="38">
        <v>0</v>
      </c>
      <c r="K88" s="38">
        <v>0</v>
      </c>
      <c r="L88" s="38">
        <v>0</v>
      </c>
      <c r="M88" s="36">
        <v>0</v>
      </c>
      <c r="N88" s="36">
        <v>0</v>
      </c>
      <c r="O88" s="38" t="s">
        <v>21</v>
      </c>
      <c r="P88" s="38">
        <v>1199</v>
      </c>
      <c r="Q88" s="35" t="s">
        <v>20</v>
      </c>
      <c r="R88" t="s">
        <v>438</v>
      </c>
      <c r="S88" t="s">
        <v>439</v>
      </c>
      <c r="T88" t="s">
        <v>416</v>
      </c>
      <c r="U88" t="s">
        <v>435</v>
      </c>
      <c r="V88" t="s">
        <v>74</v>
      </c>
      <c r="W88" t="s">
        <v>23</v>
      </c>
      <c r="Y88" s="39">
        <v>17.326134631560699</v>
      </c>
    </row>
    <row r="89" spans="1:25" x14ac:dyDescent="0.25">
      <c r="A89" t="s">
        <v>440</v>
      </c>
      <c r="B89" t="s">
        <v>32</v>
      </c>
      <c r="C89" s="35" t="s">
        <v>32</v>
      </c>
      <c r="D89" t="s">
        <v>33</v>
      </c>
      <c r="E89" s="35">
        <v>10060074</v>
      </c>
      <c r="F89" t="s">
        <v>63</v>
      </c>
      <c r="G89" s="35">
        <v>14</v>
      </c>
      <c r="H89" s="36">
        <v>5.09</v>
      </c>
      <c r="I89" s="37">
        <v>206.20906685280005</v>
      </c>
      <c r="J89" s="38">
        <v>0</v>
      </c>
      <c r="K89" s="38">
        <v>206.20906685280005</v>
      </c>
      <c r="L89" s="38">
        <v>0</v>
      </c>
      <c r="M89" s="36">
        <v>0</v>
      </c>
      <c r="N89" s="36">
        <v>0</v>
      </c>
      <c r="O89" s="38" t="s">
        <v>21</v>
      </c>
      <c r="P89" s="38">
        <v>0</v>
      </c>
      <c r="Q89" s="35" t="s">
        <v>20</v>
      </c>
      <c r="R89">
        <v>0</v>
      </c>
      <c r="S89">
        <v>0</v>
      </c>
      <c r="T89">
        <v>0</v>
      </c>
      <c r="U89">
        <v>0</v>
      </c>
      <c r="V89" t="s">
        <v>64</v>
      </c>
      <c r="W89" t="s">
        <v>23</v>
      </c>
      <c r="Y89" s="39">
        <v>28.358810765611011</v>
      </c>
    </row>
    <row r="90" spans="1:25" x14ac:dyDescent="0.25">
      <c r="A90" t="s">
        <v>441</v>
      </c>
      <c r="B90" t="s">
        <v>32</v>
      </c>
      <c r="C90" s="35" t="s">
        <v>32</v>
      </c>
      <c r="D90" t="s">
        <v>33</v>
      </c>
      <c r="E90" s="35">
        <v>10060074</v>
      </c>
      <c r="F90" t="s">
        <v>69</v>
      </c>
      <c r="G90" s="35">
        <v>13</v>
      </c>
      <c r="H90" s="36">
        <v>37.79</v>
      </c>
      <c r="I90" s="37">
        <v>1548.4142845302704</v>
      </c>
      <c r="J90" s="38">
        <v>0</v>
      </c>
      <c r="K90" s="38">
        <v>0</v>
      </c>
      <c r="L90" s="38">
        <v>1489</v>
      </c>
      <c r="M90" s="36">
        <v>59</v>
      </c>
      <c r="N90" s="36">
        <v>0</v>
      </c>
      <c r="O90" s="38" t="s">
        <v>21</v>
      </c>
      <c r="P90" s="38">
        <v>0</v>
      </c>
      <c r="Q90" s="35" t="s">
        <v>20</v>
      </c>
      <c r="R90" t="s">
        <v>442</v>
      </c>
      <c r="S90" t="s">
        <v>443</v>
      </c>
      <c r="T90" t="s">
        <v>444</v>
      </c>
      <c r="U90" t="s">
        <v>224</v>
      </c>
      <c r="V90" t="s">
        <v>74</v>
      </c>
      <c r="W90" t="s">
        <v>23</v>
      </c>
      <c r="Y90" s="39">
        <v>26.633217384087743</v>
      </c>
    </row>
    <row r="91" spans="1:25" x14ac:dyDescent="0.25">
      <c r="A91" t="s">
        <v>445</v>
      </c>
      <c r="B91" t="s">
        <v>32</v>
      </c>
      <c r="C91" s="35" t="s">
        <v>32</v>
      </c>
      <c r="D91" t="s">
        <v>33</v>
      </c>
      <c r="E91" s="35">
        <v>10060074</v>
      </c>
      <c r="F91" t="s">
        <v>173</v>
      </c>
      <c r="G91" s="35">
        <v>6</v>
      </c>
      <c r="H91" s="36">
        <v>15.669999999999998</v>
      </c>
      <c r="I91" s="37">
        <v>1138.0496049985002</v>
      </c>
      <c r="J91" s="38">
        <v>0</v>
      </c>
      <c r="K91" s="38">
        <v>0</v>
      </c>
      <c r="L91" s="38">
        <v>0</v>
      </c>
      <c r="M91" s="36">
        <v>0</v>
      </c>
      <c r="N91" s="36">
        <v>0</v>
      </c>
      <c r="O91" s="38" t="s">
        <v>21</v>
      </c>
      <c r="P91" s="38">
        <v>1138</v>
      </c>
      <c r="Q91" s="35" t="s">
        <v>20</v>
      </c>
      <c r="R91" t="s">
        <v>446</v>
      </c>
      <c r="S91" t="s">
        <v>447</v>
      </c>
      <c r="T91" t="s">
        <v>444</v>
      </c>
      <c r="U91" t="s">
        <v>224</v>
      </c>
      <c r="V91" t="s">
        <v>74</v>
      </c>
      <c r="W91" t="s">
        <v>23</v>
      </c>
      <c r="Y91" s="39">
        <v>21.787803541770909</v>
      </c>
    </row>
    <row r="92" spans="1:25" x14ac:dyDescent="0.25">
      <c r="A92" t="s">
        <v>448</v>
      </c>
      <c r="B92" t="s">
        <v>32</v>
      </c>
      <c r="C92" s="35" t="s">
        <v>32</v>
      </c>
      <c r="D92" t="s">
        <v>33</v>
      </c>
      <c r="E92" s="35">
        <v>10060074</v>
      </c>
      <c r="F92" t="s">
        <v>177</v>
      </c>
      <c r="G92" s="35">
        <v>6</v>
      </c>
      <c r="H92" s="36">
        <v>13.120000000000001</v>
      </c>
      <c r="I92" s="37">
        <v>619.98825549698245</v>
      </c>
      <c r="J92" s="38">
        <v>0</v>
      </c>
      <c r="K92" s="38">
        <v>0</v>
      </c>
      <c r="L92" s="38">
        <v>0</v>
      </c>
      <c r="M92" s="36">
        <v>0</v>
      </c>
      <c r="N92" s="36">
        <v>0</v>
      </c>
      <c r="O92" s="38" t="s">
        <v>21</v>
      </c>
      <c r="P92" s="38">
        <v>620</v>
      </c>
      <c r="Q92" s="35" t="s">
        <v>20</v>
      </c>
      <c r="R92" t="s">
        <v>449</v>
      </c>
      <c r="S92" t="s">
        <v>450</v>
      </c>
      <c r="T92" t="s">
        <v>451</v>
      </c>
      <c r="U92" t="s">
        <v>136</v>
      </c>
      <c r="V92" t="s">
        <v>74</v>
      </c>
      <c r="W92" t="s">
        <v>23</v>
      </c>
      <c r="Y92" s="39">
        <v>14.176560720205391</v>
      </c>
    </row>
    <row r="93" spans="1:25" x14ac:dyDescent="0.25">
      <c r="A93" t="s">
        <v>452</v>
      </c>
      <c r="B93" t="s">
        <v>32</v>
      </c>
      <c r="C93" s="35" t="s">
        <v>32</v>
      </c>
      <c r="D93" t="s">
        <v>33</v>
      </c>
      <c r="E93" s="35">
        <v>10060074</v>
      </c>
      <c r="F93" t="s">
        <v>247</v>
      </c>
      <c r="G93" s="35">
        <v>12</v>
      </c>
      <c r="H93" s="36">
        <v>44.309999999999995</v>
      </c>
      <c r="I93" s="37">
        <v>1899.7589247301503</v>
      </c>
      <c r="J93" s="38">
        <v>0</v>
      </c>
      <c r="K93" s="38">
        <v>0</v>
      </c>
      <c r="L93" s="38">
        <v>0</v>
      </c>
      <c r="M93" s="36">
        <v>0</v>
      </c>
      <c r="N93" s="36">
        <v>0</v>
      </c>
      <c r="O93" s="38" t="s">
        <v>21</v>
      </c>
      <c r="P93" s="38">
        <v>1900</v>
      </c>
      <c r="Q93" s="35" t="s">
        <v>20</v>
      </c>
      <c r="R93" t="s">
        <v>453</v>
      </c>
      <c r="S93" t="s">
        <v>454</v>
      </c>
      <c r="T93" t="s">
        <v>444</v>
      </c>
      <c r="U93" t="s">
        <v>224</v>
      </c>
      <c r="V93" t="s">
        <v>74</v>
      </c>
      <c r="W93" t="s">
        <v>23</v>
      </c>
      <c r="Y93" s="39">
        <v>25.72456228476846</v>
      </c>
    </row>
    <row r="94" spans="1:25" x14ac:dyDescent="0.25">
      <c r="A94" t="s">
        <v>455</v>
      </c>
      <c r="B94" t="s">
        <v>32</v>
      </c>
      <c r="C94" s="35" t="s">
        <v>32</v>
      </c>
      <c r="D94" t="s">
        <v>33</v>
      </c>
      <c r="E94" s="35">
        <v>10060074</v>
      </c>
      <c r="F94" t="s">
        <v>251</v>
      </c>
      <c r="G94" s="35">
        <v>12</v>
      </c>
      <c r="H94" s="36">
        <v>35.020000000000003</v>
      </c>
      <c r="I94" s="37">
        <v>1399.2646432017002</v>
      </c>
      <c r="J94" s="38">
        <v>0</v>
      </c>
      <c r="K94" s="38">
        <v>0</v>
      </c>
      <c r="L94" s="38">
        <v>0</v>
      </c>
      <c r="M94" s="36">
        <v>0</v>
      </c>
      <c r="N94" s="36">
        <v>0</v>
      </c>
      <c r="O94" s="38" t="s">
        <v>21</v>
      </c>
      <c r="P94" s="38">
        <v>1399</v>
      </c>
      <c r="Q94" s="35" t="s">
        <v>20</v>
      </c>
      <c r="R94" t="s">
        <v>456</v>
      </c>
      <c r="S94" t="s">
        <v>457</v>
      </c>
      <c r="T94" t="s">
        <v>444</v>
      </c>
      <c r="U94" t="s">
        <v>224</v>
      </c>
      <c r="V94" t="s">
        <v>74</v>
      </c>
      <c r="W94" t="s">
        <v>23</v>
      </c>
      <c r="Y94" s="39">
        <v>23.973694629383782</v>
      </c>
    </row>
    <row r="95" spans="1:25" x14ac:dyDescent="0.25">
      <c r="A95" t="s">
        <v>458</v>
      </c>
      <c r="B95" t="s">
        <v>32</v>
      </c>
      <c r="C95" s="35" t="s">
        <v>32</v>
      </c>
      <c r="D95" t="s">
        <v>33</v>
      </c>
      <c r="E95" s="35">
        <v>10060074</v>
      </c>
      <c r="F95" t="s">
        <v>88</v>
      </c>
      <c r="G95" s="35">
        <v>7</v>
      </c>
      <c r="H95" s="36">
        <v>20.830000000000002</v>
      </c>
      <c r="I95" s="37">
        <v>738.90233637660015</v>
      </c>
      <c r="J95" s="38">
        <v>0</v>
      </c>
      <c r="K95" s="38">
        <v>0</v>
      </c>
      <c r="L95" s="38">
        <v>0</v>
      </c>
      <c r="M95" s="36">
        <v>0</v>
      </c>
      <c r="N95" s="36">
        <v>0</v>
      </c>
      <c r="O95" s="38" t="s">
        <v>21</v>
      </c>
      <c r="P95" s="38">
        <v>739</v>
      </c>
      <c r="Q95" s="35" t="s">
        <v>20</v>
      </c>
      <c r="R95" t="s">
        <v>459</v>
      </c>
      <c r="S95" t="s">
        <v>460</v>
      </c>
      <c r="T95" t="s">
        <v>444</v>
      </c>
      <c r="U95" t="s">
        <v>224</v>
      </c>
      <c r="V95" t="s">
        <v>74</v>
      </c>
      <c r="W95" t="s">
        <v>23</v>
      </c>
      <c r="Y95" s="39">
        <v>12.415545738445035</v>
      </c>
    </row>
    <row r="96" spans="1:25" x14ac:dyDescent="0.25">
      <c r="A96" t="s">
        <v>461</v>
      </c>
      <c r="B96" t="s">
        <v>32</v>
      </c>
      <c r="C96" s="35" t="s">
        <v>32</v>
      </c>
      <c r="D96" t="s">
        <v>33</v>
      </c>
      <c r="E96" s="35">
        <v>10060074</v>
      </c>
      <c r="F96" t="s">
        <v>95</v>
      </c>
      <c r="G96" s="35">
        <v>7</v>
      </c>
      <c r="H96" s="36">
        <v>29.6</v>
      </c>
      <c r="I96" s="37">
        <v>1798.1556697900401</v>
      </c>
      <c r="J96" s="38">
        <v>0</v>
      </c>
      <c r="K96" s="38">
        <v>0</v>
      </c>
      <c r="L96" s="38">
        <v>0</v>
      </c>
      <c r="M96" s="36">
        <v>0</v>
      </c>
      <c r="N96" s="36">
        <v>0</v>
      </c>
      <c r="O96" s="38" t="s">
        <v>21</v>
      </c>
      <c r="P96" s="38">
        <v>1798</v>
      </c>
      <c r="Q96" s="35" t="s">
        <v>20</v>
      </c>
      <c r="R96" t="s">
        <v>462</v>
      </c>
      <c r="S96" t="s">
        <v>463</v>
      </c>
      <c r="T96" t="s">
        <v>444</v>
      </c>
      <c r="U96" t="s">
        <v>224</v>
      </c>
      <c r="V96" t="s">
        <v>74</v>
      </c>
      <c r="W96" t="s">
        <v>23</v>
      </c>
      <c r="Y96" s="39">
        <v>21.26197582522007</v>
      </c>
    </row>
    <row r="97" spans="1:25" x14ac:dyDescent="0.25">
      <c r="A97" t="s">
        <v>464</v>
      </c>
      <c r="B97" t="s">
        <v>32</v>
      </c>
      <c r="C97" s="35" t="s">
        <v>32</v>
      </c>
      <c r="D97" t="s">
        <v>33</v>
      </c>
      <c r="E97" s="35">
        <v>10060074</v>
      </c>
      <c r="F97" t="s">
        <v>266</v>
      </c>
      <c r="G97" s="35">
        <v>7</v>
      </c>
      <c r="H97" s="36">
        <v>13.129999999999999</v>
      </c>
      <c r="I97" s="37">
        <v>637.08666137217756</v>
      </c>
      <c r="J97" s="38">
        <v>0</v>
      </c>
      <c r="K97" s="38">
        <v>0</v>
      </c>
      <c r="L97" s="38">
        <v>0</v>
      </c>
      <c r="M97" s="36">
        <v>0</v>
      </c>
      <c r="N97" s="36">
        <v>0</v>
      </c>
      <c r="O97" s="38" t="s">
        <v>21</v>
      </c>
      <c r="P97" s="38">
        <v>637</v>
      </c>
      <c r="Q97" s="35" t="s">
        <v>20</v>
      </c>
      <c r="R97" t="s">
        <v>465</v>
      </c>
      <c r="S97" t="s">
        <v>466</v>
      </c>
      <c r="T97" t="s">
        <v>444</v>
      </c>
      <c r="U97" t="s">
        <v>224</v>
      </c>
      <c r="V97" t="s">
        <v>74</v>
      </c>
      <c r="W97" t="s">
        <v>23</v>
      </c>
      <c r="Y97" s="39">
        <v>16.982508109692475</v>
      </c>
    </row>
    <row r="98" spans="1:25" x14ac:dyDescent="0.25">
      <c r="A98" t="s">
        <v>467</v>
      </c>
      <c r="B98" t="s">
        <v>32</v>
      </c>
      <c r="C98" s="35" t="s">
        <v>32</v>
      </c>
      <c r="D98" t="s">
        <v>33</v>
      </c>
      <c r="E98" s="35">
        <v>10060074</v>
      </c>
      <c r="F98" t="s">
        <v>468</v>
      </c>
      <c r="G98" s="35">
        <v>8</v>
      </c>
      <c r="H98" s="36">
        <v>13.36</v>
      </c>
      <c r="I98" s="37">
        <v>810.60333690914251</v>
      </c>
      <c r="J98" s="38">
        <v>0</v>
      </c>
      <c r="K98" s="38">
        <v>0</v>
      </c>
      <c r="L98" s="38">
        <v>0</v>
      </c>
      <c r="M98" s="36">
        <v>0</v>
      </c>
      <c r="N98" s="36">
        <v>0</v>
      </c>
      <c r="O98" s="38" t="s">
        <v>21</v>
      </c>
      <c r="P98" s="38">
        <v>811</v>
      </c>
      <c r="Q98" s="35" t="s">
        <v>20</v>
      </c>
      <c r="R98" t="s">
        <v>469</v>
      </c>
      <c r="S98" t="s">
        <v>470</v>
      </c>
      <c r="T98" t="s">
        <v>444</v>
      </c>
      <c r="U98" t="s">
        <v>224</v>
      </c>
      <c r="V98" t="s">
        <v>74</v>
      </c>
      <c r="W98" t="s">
        <v>23</v>
      </c>
      <c r="Y98" s="39">
        <v>24.26956098530367</v>
      </c>
    </row>
    <row r="99" spans="1:25" x14ac:dyDescent="0.25">
      <c r="A99" t="s">
        <v>471</v>
      </c>
      <c r="B99" t="s">
        <v>32</v>
      </c>
      <c r="C99" s="35" t="s">
        <v>32</v>
      </c>
      <c r="D99" t="s">
        <v>33</v>
      </c>
      <c r="E99" s="35">
        <v>10060074</v>
      </c>
      <c r="F99" t="s">
        <v>472</v>
      </c>
      <c r="G99" s="35">
        <v>14</v>
      </c>
      <c r="H99" s="36">
        <v>160.72999999999999</v>
      </c>
      <c r="I99" s="37">
        <v>6253.5291021720004</v>
      </c>
      <c r="J99" s="38">
        <v>0</v>
      </c>
      <c r="K99" s="38">
        <v>0</v>
      </c>
      <c r="L99" s="38">
        <v>0</v>
      </c>
      <c r="M99" s="36">
        <v>0</v>
      </c>
      <c r="N99" s="36">
        <v>0</v>
      </c>
      <c r="O99" s="38" t="s">
        <v>21</v>
      </c>
      <c r="P99" s="38">
        <v>6254</v>
      </c>
      <c r="Q99" s="35" t="s">
        <v>20</v>
      </c>
      <c r="R99" t="s">
        <v>473</v>
      </c>
      <c r="S99" t="s">
        <v>474</v>
      </c>
      <c r="T99" t="s">
        <v>444</v>
      </c>
      <c r="U99" t="s">
        <v>224</v>
      </c>
      <c r="V99" t="s">
        <v>74</v>
      </c>
      <c r="W99" t="s">
        <v>23</v>
      </c>
      <c r="Y99" s="39">
        <v>27.234930451816098</v>
      </c>
    </row>
    <row r="100" spans="1:25" x14ac:dyDescent="0.25">
      <c r="A100" t="s">
        <v>475</v>
      </c>
      <c r="B100" t="s">
        <v>30</v>
      </c>
      <c r="C100" s="35" t="s">
        <v>30</v>
      </c>
      <c r="D100" t="s">
        <v>34</v>
      </c>
      <c r="E100" s="35">
        <v>10060111</v>
      </c>
      <c r="F100" t="s">
        <v>383</v>
      </c>
      <c r="G100" s="35">
        <v>6</v>
      </c>
      <c r="H100" s="36">
        <v>20.28</v>
      </c>
      <c r="I100" s="37">
        <v>729.24649789860018</v>
      </c>
      <c r="J100" s="38">
        <v>0</v>
      </c>
      <c r="K100" s="38">
        <v>0</v>
      </c>
      <c r="L100" s="38">
        <v>45</v>
      </c>
      <c r="M100" s="36">
        <v>0</v>
      </c>
      <c r="N100" s="36">
        <v>0</v>
      </c>
      <c r="O100" s="38" t="s">
        <v>21</v>
      </c>
      <c r="P100" s="38">
        <v>684</v>
      </c>
      <c r="Q100" s="35" t="s">
        <v>20</v>
      </c>
      <c r="R100" t="s">
        <v>476</v>
      </c>
      <c r="S100" t="s">
        <v>477</v>
      </c>
      <c r="T100" t="s">
        <v>478</v>
      </c>
      <c r="U100" t="s">
        <v>479</v>
      </c>
      <c r="V100" t="s">
        <v>74</v>
      </c>
      <c r="W100" t="s">
        <v>23</v>
      </c>
      <c r="Y100" s="39">
        <v>10.7876700872574</v>
      </c>
    </row>
    <row r="101" spans="1:25" x14ac:dyDescent="0.25">
      <c r="A101" t="s">
        <v>480</v>
      </c>
      <c r="B101" t="s">
        <v>30</v>
      </c>
      <c r="C101" s="35" t="s">
        <v>30</v>
      </c>
      <c r="D101" t="s">
        <v>34</v>
      </c>
      <c r="E101" s="35">
        <v>10060111</v>
      </c>
      <c r="F101" t="s">
        <v>173</v>
      </c>
      <c r="G101" s="35">
        <v>14</v>
      </c>
      <c r="H101" s="36">
        <v>46.42</v>
      </c>
      <c r="I101" s="37">
        <v>1697.6710230480003</v>
      </c>
      <c r="J101" s="38">
        <v>0</v>
      </c>
      <c r="K101" s="38">
        <v>0</v>
      </c>
      <c r="L101" s="38">
        <v>100</v>
      </c>
      <c r="M101" s="36">
        <v>0</v>
      </c>
      <c r="N101" s="36">
        <v>0</v>
      </c>
      <c r="O101" s="38" t="s">
        <v>21</v>
      </c>
      <c r="P101" s="38">
        <v>1598</v>
      </c>
      <c r="Q101" s="35" t="s">
        <v>20</v>
      </c>
      <c r="R101" t="s">
        <v>481</v>
      </c>
      <c r="S101" t="s">
        <v>482</v>
      </c>
      <c r="T101" t="s">
        <v>483</v>
      </c>
      <c r="U101" t="s">
        <v>136</v>
      </c>
      <c r="V101" t="s">
        <v>74</v>
      </c>
      <c r="W101" t="s">
        <v>23</v>
      </c>
      <c r="Y101" s="39">
        <v>25.600381648720383</v>
      </c>
    </row>
    <row r="102" spans="1:25" x14ac:dyDescent="0.25">
      <c r="A102" t="s">
        <v>484</v>
      </c>
      <c r="B102" t="s">
        <v>30</v>
      </c>
      <c r="C102" s="35" t="s">
        <v>30</v>
      </c>
      <c r="D102" t="s">
        <v>34</v>
      </c>
      <c r="E102" s="35">
        <v>10060111</v>
      </c>
      <c r="F102" t="s">
        <v>81</v>
      </c>
      <c r="G102" s="35">
        <v>14</v>
      </c>
      <c r="H102" s="36">
        <v>733.46999999999991</v>
      </c>
      <c r="I102" s="37">
        <v>39388.185648954219</v>
      </c>
      <c r="J102" s="38">
        <v>0</v>
      </c>
      <c r="K102" s="38">
        <v>0</v>
      </c>
      <c r="L102" s="38">
        <v>12800</v>
      </c>
      <c r="M102" s="36">
        <v>0</v>
      </c>
      <c r="N102" s="36">
        <v>0</v>
      </c>
      <c r="O102" s="38" t="s">
        <v>21</v>
      </c>
      <c r="P102" s="38">
        <v>26588</v>
      </c>
      <c r="Q102" s="35" t="s">
        <v>20</v>
      </c>
      <c r="R102" t="s">
        <v>485</v>
      </c>
      <c r="S102" t="s">
        <v>486</v>
      </c>
      <c r="T102" t="s">
        <v>487</v>
      </c>
      <c r="U102" t="s">
        <v>479</v>
      </c>
      <c r="V102" t="s">
        <v>74</v>
      </c>
      <c r="W102" t="s">
        <v>23</v>
      </c>
      <c r="Y102" s="39">
        <v>37.59080801432637</v>
      </c>
    </row>
    <row r="103" spans="1:25" x14ac:dyDescent="0.25">
      <c r="A103" t="s">
        <v>488</v>
      </c>
      <c r="B103" t="s">
        <v>30</v>
      </c>
      <c r="C103" s="35" t="s">
        <v>30</v>
      </c>
      <c r="D103" t="s">
        <v>34</v>
      </c>
      <c r="E103" s="35">
        <v>10060111</v>
      </c>
      <c r="F103" t="s">
        <v>95</v>
      </c>
      <c r="G103" s="35">
        <v>4</v>
      </c>
      <c r="H103" s="36">
        <v>4.5</v>
      </c>
      <c r="I103" s="37">
        <v>238.62970619850003</v>
      </c>
      <c r="J103" s="38">
        <v>0</v>
      </c>
      <c r="K103" s="38">
        <v>0</v>
      </c>
      <c r="L103" s="38">
        <v>0</v>
      </c>
      <c r="M103" s="36">
        <v>0</v>
      </c>
      <c r="N103" s="36">
        <v>0</v>
      </c>
      <c r="O103" s="38" t="s">
        <v>21</v>
      </c>
      <c r="P103" s="38">
        <v>239</v>
      </c>
      <c r="Q103" s="35" t="s">
        <v>20</v>
      </c>
      <c r="R103" t="s">
        <v>489</v>
      </c>
      <c r="S103" t="s">
        <v>490</v>
      </c>
      <c r="T103" t="s">
        <v>487</v>
      </c>
      <c r="U103" t="s">
        <v>491</v>
      </c>
      <c r="V103" t="s">
        <v>74</v>
      </c>
      <c r="W103" t="s">
        <v>23</v>
      </c>
      <c r="Y103" s="39">
        <v>10.605764719933335</v>
      </c>
    </row>
    <row r="104" spans="1:25" x14ac:dyDescent="0.25">
      <c r="A104" t="s">
        <v>492</v>
      </c>
      <c r="B104" t="s">
        <v>30</v>
      </c>
      <c r="C104" s="35" t="s">
        <v>30</v>
      </c>
      <c r="D104" t="s">
        <v>34</v>
      </c>
      <c r="E104" s="35">
        <v>10060111</v>
      </c>
      <c r="F104" t="s">
        <v>493</v>
      </c>
      <c r="G104" s="35">
        <v>5</v>
      </c>
      <c r="H104" s="36">
        <v>9.08</v>
      </c>
      <c r="I104" s="37">
        <v>378.79966555200002</v>
      </c>
      <c r="J104" s="38">
        <v>0</v>
      </c>
      <c r="K104" s="38">
        <v>0</v>
      </c>
      <c r="L104" s="38">
        <v>0</v>
      </c>
      <c r="M104" s="36">
        <v>0</v>
      </c>
      <c r="N104" s="36">
        <v>0</v>
      </c>
      <c r="O104" s="38" t="s">
        <v>21</v>
      </c>
      <c r="P104" s="38">
        <v>379</v>
      </c>
      <c r="Q104" s="35" t="s">
        <v>20</v>
      </c>
      <c r="R104" t="s">
        <v>494</v>
      </c>
      <c r="S104" t="s">
        <v>495</v>
      </c>
      <c r="T104" t="s">
        <v>496</v>
      </c>
      <c r="U104" t="s">
        <v>497</v>
      </c>
      <c r="V104" t="s">
        <v>74</v>
      </c>
      <c r="W104" t="s">
        <v>23</v>
      </c>
      <c r="Y104" s="39">
        <v>10.429506210132159</v>
      </c>
    </row>
    <row r="105" spans="1:25" x14ac:dyDescent="0.25">
      <c r="A105" t="s">
        <v>498</v>
      </c>
      <c r="B105" t="s">
        <v>35</v>
      </c>
      <c r="C105" s="35" t="s">
        <v>35</v>
      </c>
      <c r="D105" t="s">
        <v>36</v>
      </c>
      <c r="E105" s="35">
        <v>10090043</v>
      </c>
      <c r="F105" t="s">
        <v>63</v>
      </c>
      <c r="G105" s="35">
        <v>2</v>
      </c>
      <c r="H105" s="36">
        <v>0.53</v>
      </c>
      <c r="I105" s="37">
        <v>19.621047600000001</v>
      </c>
      <c r="J105" s="38">
        <v>0</v>
      </c>
      <c r="K105" s="38">
        <v>19.621047600000001</v>
      </c>
      <c r="L105" s="38">
        <v>0</v>
      </c>
      <c r="M105" s="36">
        <v>0</v>
      </c>
      <c r="N105" s="36">
        <v>0</v>
      </c>
      <c r="O105" s="38" t="s">
        <v>21</v>
      </c>
      <c r="P105" s="38">
        <v>0</v>
      </c>
      <c r="Q105" s="35" t="s">
        <v>20</v>
      </c>
      <c r="R105">
        <v>0</v>
      </c>
      <c r="S105">
        <v>0</v>
      </c>
      <c r="T105">
        <v>0</v>
      </c>
      <c r="U105">
        <v>0</v>
      </c>
      <c r="V105" t="s">
        <v>64</v>
      </c>
      <c r="W105" t="s">
        <v>23</v>
      </c>
      <c r="Y105" s="39">
        <v>3.7020844528301886</v>
      </c>
    </row>
    <row r="106" spans="1:25" x14ac:dyDescent="0.25">
      <c r="A106" t="s">
        <v>499</v>
      </c>
      <c r="B106" t="s">
        <v>35</v>
      </c>
      <c r="C106" s="35" t="s">
        <v>35</v>
      </c>
      <c r="D106" t="s">
        <v>36</v>
      </c>
      <c r="E106" s="35">
        <v>10090043</v>
      </c>
      <c r="F106" t="s">
        <v>69</v>
      </c>
      <c r="G106" s="35">
        <v>1</v>
      </c>
      <c r="H106" s="36">
        <v>50</v>
      </c>
      <c r="I106" s="37">
        <v>1848.0527999999999</v>
      </c>
      <c r="J106" s="38">
        <v>0</v>
      </c>
      <c r="K106" s="38">
        <v>0</v>
      </c>
      <c r="L106" s="38">
        <v>0</v>
      </c>
      <c r="M106" s="36">
        <v>1013</v>
      </c>
      <c r="N106" s="36">
        <v>500</v>
      </c>
      <c r="O106" s="38" t="s">
        <v>21</v>
      </c>
      <c r="P106" s="38">
        <v>335</v>
      </c>
      <c r="Q106" s="35" t="s">
        <v>20</v>
      </c>
      <c r="R106" t="s">
        <v>500</v>
      </c>
      <c r="S106" t="s">
        <v>501</v>
      </c>
      <c r="T106" t="s">
        <v>502</v>
      </c>
      <c r="U106" t="s">
        <v>85</v>
      </c>
      <c r="V106" t="s">
        <v>74</v>
      </c>
      <c r="W106" t="s">
        <v>23</v>
      </c>
      <c r="Y106" s="39">
        <v>1.8480528000000001</v>
      </c>
    </row>
    <row r="107" spans="1:25" x14ac:dyDescent="0.25">
      <c r="A107" t="s">
        <v>503</v>
      </c>
      <c r="B107" t="s">
        <v>35</v>
      </c>
      <c r="C107" s="35" t="s">
        <v>35</v>
      </c>
      <c r="D107" t="s">
        <v>36</v>
      </c>
      <c r="E107" s="35">
        <v>10090043</v>
      </c>
      <c r="F107" t="s">
        <v>165</v>
      </c>
      <c r="G107" s="35">
        <v>5</v>
      </c>
      <c r="H107" s="36">
        <v>58.470000000000006</v>
      </c>
      <c r="I107" s="37">
        <v>2421.9187992252005</v>
      </c>
      <c r="J107" s="38">
        <v>0</v>
      </c>
      <c r="K107" s="38">
        <v>0</v>
      </c>
      <c r="L107" s="38">
        <v>0</v>
      </c>
      <c r="M107" s="36">
        <v>0</v>
      </c>
      <c r="N107" s="36">
        <v>0</v>
      </c>
      <c r="O107" s="38" t="s">
        <v>21</v>
      </c>
      <c r="P107" s="38">
        <v>2422</v>
      </c>
      <c r="Q107" s="35" t="s">
        <v>20</v>
      </c>
      <c r="R107" t="s">
        <v>504</v>
      </c>
      <c r="S107" t="s">
        <v>505</v>
      </c>
      <c r="T107" t="s">
        <v>502</v>
      </c>
      <c r="U107" t="s">
        <v>85</v>
      </c>
      <c r="V107" t="s">
        <v>74</v>
      </c>
      <c r="W107" t="s">
        <v>23</v>
      </c>
      <c r="Y107" s="39">
        <v>10.355390795387379</v>
      </c>
    </row>
    <row r="108" spans="1:25" x14ac:dyDescent="0.25">
      <c r="A108" t="s">
        <v>506</v>
      </c>
      <c r="B108" t="s">
        <v>35</v>
      </c>
      <c r="C108" s="35" t="s">
        <v>35</v>
      </c>
      <c r="D108" t="s">
        <v>36</v>
      </c>
      <c r="E108" s="35">
        <v>10090043</v>
      </c>
      <c r="F108" t="s">
        <v>182</v>
      </c>
      <c r="G108" s="35">
        <v>5</v>
      </c>
      <c r="H108" s="36">
        <v>20.03</v>
      </c>
      <c r="I108" s="37">
        <v>847.56442082400008</v>
      </c>
      <c r="J108" s="38">
        <v>0</v>
      </c>
      <c r="K108" s="38">
        <v>0</v>
      </c>
      <c r="L108" s="38">
        <v>0</v>
      </c>
      <c r="M108" s="36">
        <v>0</v>
      </c>
      <c r="N108" s="36">
        <v>0</v>
      </c>
      <c r="O108" s="38" t="s">
        <v>21</v>
      </c>
      <c r="P108" s="38">
        <v>848</v>
      </c>
      <c r="Q108" s="35" t="s">
        <v>20</v>
      </c>
      <c r="R108" t="s">
        <v>507</v>
      </c>
      <c r="S108" t="s">
        <v>508</v>
      </c>
      <c r="T108" t="s">
        <v>502</v>
      </c>
      <c r="U108" t="s">
        <v>509</v>
      </c>
      <c r="V108" t="s">
        <v>74</v>
      </c>
      <c r="W108" t="s">
        <v>23</v>
      </c>
      <c r="Y108" s="39">
        <v>10.578687229455817</v>
      </c>
    </row>
    <row r="109" spans="1:25" x14ac:dyDescent="0.25">
      <c r="A109" t="s">
        <v>510</v>
      </c>
      <c r="B109" t="s">
        <v>35</v>
      </c>
      <c r="C109" s="35" t="s">
        <v>35</v>
      </c>
      <c r="D109" t="s">
        <v>36</v>
      </c>
      <c r="E109" s="35">
        <v>10090043</v>
      </c>
      <c r="F109" t="s">
        <v>187</v>
      </c>
      <c r="G109" s="35">
        <v>4</v>
      </c>
      <c r="H109" s="36">
        <v>27.11</v>
      </c>
      <c r="I109" s="37">
        <v>1253.19429456954</v>
      </c>
      <c r="J109" s="38">
        <v>0</v>
      </c>
      <c r="K109" s="38">
        <v>0</v>
      </c>
      <c r="L109" s="38">
        <v>0</v>
      </c>
      <c r="M109" s="36">
        <v>0</v>
      </c>
      <c r="N109" s="36">
        <v>0</v>
      </c>
      <c r="O109" s="38" t="s">
        <v>21</v>
      </c>
      <c r="P109" s="38">
        <v>1253</v>
      </c>
      <c r="Q109" s="35" t="s">
        <v>20</v>
      </c>
      <c r="R109" t="s">
        <v>511</v>
      </c>
      <c r="S109" t="s">
        <v>512</v>
      </c>
      <c r="T109" t="s">
        <v>502</v>
      </c>
      <c r="U109" t="s">
        <v>85</v>
      </c>
      <c r="V109" t="s">
        <v>74</v>
      </c>
      <c r="W109" t="s">
        <v>23</v>
      </c>
      <c r="Y109" s="39">
        <v>9.2452548474329781</v>
      </c>
    </row>
    <row r="110" spans="1:25" x14ac:dyDescent="0.25">
      <c r="A110" t="s">
        <v>513</v>
      </c>
      <c r="B110" t="s">
        <v>37</v>
      </c>
      <c r="C110" s="35" t="s">
        <v>37</v>
      </c>
      <c r="D110" t="s">
        <v>38</v>
      </c>
      <c r="E110" s="35">
        <v>10480001</v>
      </c>
      <c r="F110" t="s">
        <v>63</v>
      </c>
      <c r="G110">
        <v>14</v>
      </c>
      <c r="H110" s="36">
        <v>3.8999999999999995</v>
      </c>
      <c r="I110" s="36">
        <v>139.05947187000001</v>
      </c>
      <c r="J110" s="38">
        <v>0</v>
      </c>
      <c r="K110" s="38">
        <v>139.05947187000001</v>
      </c>
      <c r="L110" s="38">
        <v>0</v>
      </c>
      <c r="M110" s="36">
        <v>0</v>
      </c>
      <c r="N110" s="36">
        <v>0</v>
      </c>
      <c r="O110" s="38" t="s">
        <v>21</v>
      </c>
      <c r="P110" s="38">
        <v>0</v>
      </c>
      <c r="Q110" s="35" t="s">
        <v>20</v>
      </c>
      <c r="R110">
        <v>0</v>
      </c>
      <c r="S110">
        <v>0</v>
      </c>
      <c r="T110">
        <v>0</v>
      </c>
      <c r="U110">
        <v>0</v>
      </c>
      <c r="V110" t="s">
        <v>64</v>
      </c>
      <c r="W110" t="s">
        <v>23</v>
      </c>
      <c r="Y110" s="39">
        <v>24.959392386923085</v>
      </c>
    </row>
    <row r="111" spans="1:25" x14ac:dyDescent="0.25">
      <c r="A111" t="s">
        <v>514</v>
      </c>
      <c r="B111" t="s">
        <v>37</v>
      </c>
      <c r="C111" s="35" t="s">
        <v>37</v>
      </c>
      <c r="D111" t="s">
        <v>38</v>
      </c>
      <c r="E111" s="35">
        <v>10480001</v>
      </c>
      <c r="F111" t="s">
        <v>69</v>
      </c>
      <c r="G111">
        <v>14</v>
      </c>
      <c r="H111" s="36">
        <v>156.6</v>
      </c>
      <c r="I111" s="36">
        <v>5581.7190811800001</v>
      </c>
      <c r="J111" s="38">
        <v>0</v>
      </c>
      <c r="K111" s="38">
        <v>0</v>
      </c>
      <c r="L111" s="38">
        <v>5582</v>
      </c>
      <c r="M111" s="36">
        <v>0</v>
      </c>
      <c r="N111" s="36">
        <v>0</v>
      </c>
      <c r="O111" s="38" t="s">
        <v>21</v>
      </c>
      <c r="P111" s="38">
        <v>0</v>
      </c>
      <c r="Q111" s="35" t="s">
        <v>20</v>
      </c>
      <c r="R111" t="s">
        <v>515</v>
      </c>
      <c r="S111" t="s">
        <v>516</v>
      </c>
      <c r="T111" t="s">
        <v>517</v>
      </c>
      <c r="U111" t="s">
        <v>122</v>
      </c>
      <c r="V111" t="s">
        <v>74</v>
      </c>
      <c r="W111" t="s">
        <v>23</v>
      </c>
      <c r="Y111" s="39">
        <v>24.950213006551728</v>
      </c>
    </row>
    <row r="112" spans="1:25" x14ac:dyDescent="0.25">
      <c r="A112" t="s">
        <v>518</v>
      </c>
      <c r="B112" t="s">
        <v>37</v>
      </c>
      <c r="C112" s="35" t="s">
        <v>37</v>
      </c>
      <c r="D112" t="s">
        <v>38</v>
      </c>
      <c r="E112" s="35">
        <v>10480001</v>
      </c>
      <c r="F112" t="s">
        <v>165</v>
      </c>
      <c r="G112">
        <v>13</v>
      </c>
      <c r="H112" s="36">
        <v>488.1</v>
      </c>
      <c r="I112" s="36">
        <v>17335.785669839999</v>
      </c>
      <c r="J112" s="38">
        <v>0</v>
      </c>
      <c r="K112" s="38">
        <v>0</v>
      </c>
      <c r="L112" s="38">
        <v>2656</v>
      </c>
      <c r="M112" s="36">
        <v>0</v>
      </c>
      <c r="N112" s="36">
        <v>0</v>
      </c>
      <c r="O112" s="38" t="s">
        <v>21</v>
      </c>
      <c r="P112" s="38">
        <v>14680</v>
      </c>
      <c r="Q112" s="35" t="s">
        <v>20</v>
      </c>
      <c r="R112" t="s">
        <v>519</v>
      </c>
      <c r="S112" t="s">
        <v>520</v>
      </c>
      <c r="T112" t="s">
        <v>517</v>
      </c>
      <c r="U112" t="s">
        <v>122</v>
      </c>
      <c r="V112" t="s">
        <v>74</v>
      </c>
      <c r="W112" t="s">
        <v>23</v>
      </c>
      <c r="Y112" s="39">
        <v>23.08596739478795</v>
      </c>
    </row>
    <row r="113" spans="1:25" x14ac:dyDescent="0.25">
      <c r="A113" t="s">
        <v>521</v>
      </c>
      <c r="B113" t="s">
        <v>39</v>
      </c>
      <c r="C113" s="35" t="s">
        <v>39</v>
      </c>
      <c r="D113" t="s">
        <v>40</v>
      </c>
      <c r="E113" s="35">
        <v>10530105</v>
      </c>
      <c r="F113" t="s">
        <v>63</v>
      </c>
      <c r="G113">
        <v>14</v>
      </c>
      <c r="H113" s="36">
        <v>2.25</v>
      </c>
      <c r="I113" s="36">
        <v>89.97369400800001</v>
      </c>
      <c r="J113" s="38">
        <v>0</v>
      </c>
      <c r="K113" s="38">
        <v>89.97369400800001</v>
      </c>
      <c r="L113" s="38">
        <v>0</v>
      </c>
      <c r="M113" s="36">
        <v>0</v>
      </c>
      <c r="N113" s="36">
        <v>0</v>
      </c>
      <c r="O113" s="38" t="s">
        <v>21</v>
      </c>
      <c r="P113" s="38">
        <v>0</v>
      </c>
      <c r="Q113" s="35" t="s">
        <v>20</v>
      </c>
      <c r="R113">
        <v>0</v>
      </c>
      <c r="S113">
        <v>0</v>
      </c>
      <c r="T113">
        <v>0</v>
      </c>
      <c r="U113">
        <v>0</v>
      </c>
      <c r="V113" t="s">
        <v>64</v>
      </c>
      <c r="W113" t="s">
        <v>23</v>
      </c>
      <c r="Y113" s="39">
        <v>27.991815913600007</v>
      </c>
    </row>
    <row r="114" spans="1:25" x14ac:dyDescent="0.25">
      <c r="A114" t="s">
        <v>522</v>
      </c>
      <c r="B114" t="s">
        <v>39</v>
      </c>
      <c r="C114" s="35" t="s">
        <v>39</v>
      </c>
      <c r="D114" t="s">
        <v>40</v>
      </c>
      <c r="E114" s="35">
        <v>10530105</v>
      </c>
      <c r="F114" t="s">
        <v>69</v>
      </c>
      <c r="G114">
        <v>6</v>
      </c>
      <c r="H114" s="36">
        <v>45.230000000000004</v>
      </c>
      <c r="I114" s="36">
        <v>1863.70796404212</v>
      </c>
      <c r="J114" s="38">
        <v>0</v>
      </c>
      <c r="K114" s="38">
        <v>0</v>
      </c>
      <c r="L114" s="38">
        <v>0</v>
      </c>
      <c r="M114" s="36">
        <v>0</v>
      </c>
      <c r="N114" s="36">
        <v>0</v>
      </c>
      <c r="O114" s="38" t="s">
        <v>21</v>
      </c>
      <c r="P114" s="38">
        <v>1864</v>
      </c>
      <c r="Q114" s="35" t="s">
        <v>20</v>
      </c>
      <c r="R114" t="s">
        <v>523</v>
      </c>
      <c r="S114" t="s">
        <v>524</v>
      </c>
      <c r="T114" t="s">
        <v>525</v>
      </c>
      <c r="U114" t="s">
        <v>136</v>
      </c>
      <c r="V114" t="s">
        <v>74</v>
      </c>
      <c r="W114" t="s">
        <v>23</v>
      </c>
      <c r="Y114" s="39">
        <v>12.361538563180103</v>
      </c>
    </row>
    <row r="115" spans="1:25" x14ac:dyDescent="0.25">
      <c r="A115" t="s">
        <v>526</v>
      </c>
      <c r="B115" t="s">
        <v>39</v>
      </c>
      <c r="C115" s="35" t="s">
        <v>39</v>
      </c>
      <c r="D115" t="s">
        <v>40</v>
      </c>
      <c r="E115" s="35">
        <v>10530105</v>
      </c>
      <c r="F115" t="s">
        <v>165</v>
      </c>
      <c r="G115">
        <v>14</v>
      </c>
      <c r="H115" s="36">
        <v>117.74</v>
      </c>
      <c r="I115" s="36">
        <v>4381.7701961880011</v>
      </c>
      <c r="J115" s="38">
        <v>0</v>
      </c>
      <c r="K115" s="38">
        <v>0</v>
      </c>
      <c r="L115" s="38">
        <v>0</v>
      </c>
      <c r="M115" s="36">
        <v>0</v>
      </c>
      <c r="N115" s="36">
        <v>0</v>
      </c>
      <c r="O115" s="38" t="s">
        <v>21</v>
      </c>
      <c r="P115" s="38">
        <v>4382</v>
      </c>
      <c r="Q115" s="35" t="s">
        <v>20</v>
      </c>
      <c r="R115" t="s">
        <v>527</v>
      </c>
      <c r="S115" t="s">
        <v>528</v>
      </c>
      <c r="T115" t="s">
        <v>529</v>
      </c>
      <c r="U115" t="s">
        <v>530</v>
      </c>
      <c r="V115" t="s">
        <v>74</v>
      </c>
      <c r="W115" t="s">
        <v>23</v>
      </c>
      <c r="Y115" s="39">
        <v>26.050952414910832</v>
      </c>
    </row>
    <row r="116" spans="1:25" x14ac:dyDescent="0.25">
      <c r="A116" t="s">
        <v>531</v>
      </c>
      <c r="B116" t="s">
        <v>39</v>
      </c>
      <c r="C116" s="35" t="s">
        <v>39</v>
      </c>
      <c r="D116" t="s">
        <v>40</v>
      </c>
      <c r="E116" s="35">
        <v>10530105</v>
      </c>
      <c r="F116" t="s">
        <v>182</v>
      </c>
      <c r="G116">
        <v>10</v>
      </c>
      <c r="H116" s="36">
        <v>29.62</v>
      </c>
      <c r="I116" s="36">
        <v>1074.5541829440003</v>
      </c>
      <c r="J116" s="38">
        <v>0</v>
      </c>
      <c r="K116" s="38">
        <v>0</v>
      </c>
      <c r="L116" s="38">
        <v>0</v>
      </c>
      <c r="M116" s="36">
        <v>0</v>
      </c>
      <c r="N116" s="36">
        <v>0</v>
      </c>
      <c r="O116" s="38" t="s">
        <v>21</v>
      </c>
      <c r="P116" s="38">
        <v>1075</v>
      </c>
      <c r="Q116" s="35" t="s">
        <v>20</v>
      </c>
      <c r="R116" t="s">
        <v>532</v>
      </c>
      <c r="S116" t="s">
        <v>533</v>
      </c>
      <c r="T116" t="s">
        <v>529</v>
      </c>
      <c r="U116" t="s">
        <v>534</v>
      </c>
      <c r="V116" t="s">
        <v>74</v>
      </c>
      <c r="W116" t="s">
        <v>23</v>
      </c>
      <c r="Y116" s="39">
        <v>18.138997011208648</v>
      </c>
    </row>
    <row r="117" spans="1:25" ht="15.75" thickBot="1" x14ac:dyDescent="0.3">
      <c r="A117" s="43" t="s">
        <v>535</v>
      </c>
      <c r="B117" s="43" t="s">
        <v>39</v>
      </c>
      <c r="C117" s="44" t="s">
        <v>39</v>
      </c>
      <c r="D117" s="43" t="s">
        <v>40</v>
      </c>
      <c r="E117" s="44">
        <v>10530105</v>
      </c>
      <c r="F117" s="43" t="s">
        <v>251</v>
      </c>
      <c r="G117" s="43">
        <v>3</v>
      </c>
      <c r="H117" s="45">
        <v>11.18</v>
      </c>
      <c r="I117" s="45">
        <v>671.83585746309996</v>
      </c>
      <c r="J117" s="46">
        <v>0</v>
      </c>
      <c r="K117" s="46">
        <v>0</v>
      </c>
      <c r="L117" s="46">
        <v>0</v>
      </c>
      <c r="M117" s="45">
        <v>0</v>
      </c>
      <c r="N117" s="45">
        <v>0</v>
      </c>
      <c r="O117" s="46" t="s">
        <v>21</v>
      </c>
      <c r="P117" s="46">
        <v>672</v>
      </c>
      <c r="Q117" s="44" t="s">
        <v>20</v>
      </c>
      <c r="R117" s="43" t="s">
        <v>536</v>
      </c>
      <c r="S117" s="43" t="s">
        <v>537</v>
      </c>
      <c r="T117" s="43" t="s">
        <v>529</v>
      </c>
      <c r="U117" s="43" t="s">
        <v>534</v>
      </c>
      <c r="V117" s="43" t="s">
        <v>74</v>
      </c>
      <c r="W117" s="43" t="s">
        <v>23</v>
      </c>
      <c r="Y117" s="39">
        <v>9.0138979087178015</v>
      </c>
    </row>
    <row r="118" spans="1:25" ht="16.5" thickTop="1" thickBot="1" x14ac:dyDescent="0.3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8">
        <f>SUM(P2:P117)</f>
        <v>188656</v>
      </c>
      <c r="Q118" s="47"/>
      <c r="R118" s="47"/>
      <c r="S118" s="47"/>
      <c r="T118" s="47"/>
      <c r="U118" s="47"/>
      <c r="V118" s="47"/>
      <c r="W118" s="47"/>
    </row>
  </sheetData>
  <conditionalFormatting sqref="A2:A117">
    <cfRule type="duplicateValues" dxfId="4" priority="5"/>
  </conditionalFormatting>
  <conditionalFormatting sqref="A2:A117">
    <cfRule type="duplicateValues" dxfId="3" priority="4"/>
  </conditionalFormatting>
  <conditionalFormatting sqref="P1:P117">
    <cfRule type="cellIs" dxfId="2" priority="2" operator="lessThan">
      <formula>0</formula>
    </cfRule>
  </conditionalFormatting>
  <conditionalFormatting sqref="P2:P117">
    <cfRule type="cellIs" dxfId="1" priority="1" operator="lessThan">
      <formula>-1</formula>
    </cfRule>
  </conditionalFormatting>
  <conditionalFormatting sqref="S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2026-05-06T04:19:44Z</dcterms:created>
  <dcterms:modified xsi:type="dcterms:W3CDTF">2026-05-06T04:26:14Z</dcterms:modified>
</cp:coreProperties>
</file>