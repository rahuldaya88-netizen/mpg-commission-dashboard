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"/>
    </mc:Choice>
  </mc:AlternateContent>
  <xr:revisionPtr revIDLastSave="0" documentId="13_ncr:1_{8591CBD5-4A91-472B-8CAC-ED1267F24EB1}" xr6:coauthVersionLast="47" xr6:coauthVersionMax="47" xr10:uidLastSave="{00000000-0000-0000-0000-000000000000}"/>
  <bookViews>
    <workbookView xWindow="-120" yWindow="-120" windowWidth="29040" windowHeight="15720" activeTab="2" xr2:uid="{A1556F20-16C2-4131-B5B5-C6F156AB6C7D}"/>
  </bookViews>
  <sheets>
    <sheet name="Sheet1" sheetId="1" r:id="rId1"/>
    <sheet name="Sheet3" sheetId="3" r:id="rId2"/>
    <sheet name="Sheet4" sheetId="4" r:id="rId3"/>
    <sheet name="Sheet2" sheetId="2" r:id="rId4"/>
  </sheets>
  <definedNames>
    <definedName name="_xlnm._FilterDatabase" localSheetId="3" hidden="1">Sheet2!$A$1:$H$25</definedName>
    <definedName name="_xlnm._FilterDatabase" localSheetId="2" hidden="1">Sheet4!$A$1:$T$26</definedName>
  </definedNames>
  <calcPr calcId="191029"/>
  <pivotCaches>
    <pivotCache cacheId="3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4" l="1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K26" i="4" l="1"/>
  <c r="AE32" i="3"/>
  <c r="I28" i="3" l="1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</calcChain>
</file>

<file path=xl/sharedStrings.xml><?xml version="1.0" encoding="utf-8"?>
<sst xmlns="http://schemas.openxmlformats.org/spreadsheetml/2006/main" count="690" uniqueCount="162">
  <si>
    <t>Sl. No.</t>
  </si>
  <si>
    <t>CODE</t>
  </si>
  <si>
    <t>MPG NAME</t>
  </si>
  <si>
    <t>BMC</t>
  </si>
  <si>
    <t>PERIOD</t>
  </si>
  <si>
    <t>AMOUNT</t>
  </si>
  <si>
    <t>Remarks</t>
  </si>
  <si>
    <t>Volume  (Litrs) 19 to 25 June 2026</t>
  </si>
  <si>
    <t>Gomukh Bhikhari Ghath</t>
  </si>
  <si>
    <t>Alauli</t>
  </si>
  <si>
    <t>28/11/2025 to 04/12/2025</t>
  </si>
  <si>
    <t>OK</t>
  </si>
  <si>
    <t>Gomukh Ladaura</t>
  </si>
  <si>
    <t>31/09/2025 to 06/09/2025</t>
  </si>
  <si>
    <t>07/10/2025 to 13/10/2025</t>
  </si>
  <si>
    <t>Gomukh Anandpur Prash 2</t>
  </si>
  <si>
    <t>21/11/2025 to 27/11/2025</t>
  </si>
  <si>
    <t>08/08/2025 to14/08/2025</t>
  </si>
  <si>
    <t>Paid / 23-09-25</t>
  </si>
  <si>
    <t>Gomukh Aura</t>
  </si>
  <si>
    <t>20/06/2025 to 26/06/2025</t>
  </si>
  <si>
    <t>25/07/2025 to 31/07/2025</t>
  </si>
  <si>
    <t>01/08/2025 to 07/08/2025</t>
  </si>
  <si>
    <t>08/08/2025 to 14/08/2025</t>
  </si>
  <si>
    <t>8967 Paid / 23-09-25</t>
  </si>
  <si>
    <t>22/08/2025 to 28/08/2025</t>
  </si>
  <si>
    <t>10/10/2025 to 16/10/2025</t>
  </si>
  <si>
    <t>07/11/2025 to 13/11/2025</t>
  </si>
  <si>
    <t>Gomukh Alauli</t>
  </si>
  <si>
    <t>11/6/2025 to17/06/2025</t>
  </si>
  <si>
    <t>18/06/2025 to 24/06/2025</t>
  </si>
  <si>
    <t>25/06/2025 to 31/06/2025</t>
  </si>
  <si>
    <t>01//07//2025 to 07//07/2025</t>
  </si>
  <si>
    <t>Paid /23-09-25</t>
  </si>
  <si>
    <t>08/07/2025 to 14/07/2025</t>
  </si>
  <si>
    <t>22/07/2025 to 28/07/2025</t>
  </si>
  <si>
    <t>Gomukh Gadbanni</t>
  </si>
  <si>
    <t>30/05/2025 to 05/06/2025</t>
  </si>
  <si>
    <t>06/06/2025 to 12/062025</t>
  </si>
  <si>
    <t>13/06/2025 to 19/06/2025</t>
  </si>
  <si>
    <t>27/06/2025 to 03/07/2025</t>
  </si>
  <si>
    <t>Paid /20-11-25</t>
  </si>
  <si>
    <t>29/08/2025 to 04/09/2025</t>
  </si>
  <si>
    <t>Gomukh Alauli-2</t>
  </si>
  <si>
    <t>17/10/2025 to 23/10/2025</t>
  </si>
  <si>
    <t>MPG Closed</t>
  </si>
  <si>
    <t>Gomukh sashsi</t>
  </si>
  <si>
    <t>7/11/2025 to 13/11/2025</t>
  </si>
  <si>
    <t>Gomukh Prash</t>
  </si>
  <si>
    <t>12/12/2025 to 18/12/2025</t>
  </si>
  <si>
    <t>D Sanjauti</t>
  </si>
  <si>
    <t>20/02/2026 to 26/02/2026</t>
  </si>
  <si>
    <t>GOMUKH GHAMARIYA</t>
  </si>
  <si>
    <t>20-26 Jun-25</t>
  </si>
  <si>
    <t>28-04 Dec-25</t>
  </si>
  <si>
    <t>31-06 Nov-25</t>
  </si>
  <si>
    <t>07-13 Oct-25</t>
  </si>
  <si>
    <t>21-27 Nov-25</t>
  </si>
  <si>
    <t>25-31 Jul-25</t>
  </si>
  <si>
    <t>01-07 Aug-25</t>
  </si>
  <si>
    <t>22-28 Aug-25</t>
  </si>
  <si>
    <t>10-16 Oct-25</t>
  </si>
  <si>
    <t>07-13 Nov-25</t>
  </si>
  <si>
    <t>11-17 Jul-25</t>
  </si>
  <si>
    <t>18-24 Jul-25</t>
  </si>
  <si>
    <t>30-05 Jun-25</t>
  </si>
  <si>
    <t>06-12 Jun-25</t>
  </si>
  <si>
    <t>13-19 Jun-25</t>
  </si>
  <si>
    <t>27-03 Jun-25</t>
  </si>
  <si>
    <t>29-04 Jun-25</t>
  </si>
  <si>
    <t>12-18 Dec-25</t>
  </si>
  <si>
    <t>20-26 Feb-26</t>
  </si>
  <si>
    <t>Cycle</t>
  </si>
  <si>
    <t>Grand Total</t>
  </si>
  <si>
    <t>Total</t>
  </si>
  <si>
    <t>Sum of AMOUNT</t>
  </si>
  <si>
    <t>Farmer code</t>
  </si>
  <si>
    <t>0002</t>
  </si>
  <si>
    <t>ID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</si>
  <si>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</si>
  <si>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</si>
  <si>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</si>
  <si>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</si>
  <si>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</si>
  <si>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</si>
  <si>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</si>
  <si>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</si>
  <si>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Payment to MPGs A/c</t>
  </si>
  <si>
    <t>Stop Payment</t>
  </si>
  <si>
    <t>Loss Remarks</t>
  </si>
  <si>
    <t xml:space="preserve">Alauli </t>
  </si>
  <si>
    <t>GOMUKH GADBANNI</t>
  </si>
  <si>
    <t>MPG</t>
  </si>
  <si>
    <t>Direct</t>
  </si>
  <si>
    <t>Reserve payment release 02 dtd.15-07-2026</t>
  </si>
  <si>
    <t>20. 06-12 Jun</t>
  </si>
  <si>
    <t>21. 13-19 Jun</t>
  </si>
  <si>
    <t>GOMUKH AURA</t>
  </si>
  <si>
    <t>22. 20-26 Jun</t>
  </si>
  <si>
    <t>23. 27-03 Jun</t>
  </si>
  <si>
    <t>19. 30-05 Jun</t>
  </si>
  <si>
    <t>29-04 Sep-25</t>
  </si>
  <si>
    <t>GOMUKH ALOLI</t>
  </si>
  <si>
    <t>25. 11-17 Jul</t>
  </si>
  <si>
    <t>26. 18-24 Jul</t>
  </si>
  <si>
    <t>27. 25-31 Jul</t>
  </si>
  <si>
    <t>28. 01-07 Aug</t>
  </si>
  <si>
    <t>31. 22-28 Aug</t>
  </si>
  <si>
    <t>Release3</t>
  </si>
  <si>
    <t>32. 29-04 Sep</t>
  </si>
  <si>
    <t>38. 10-16 Oct</t>
  </si>
  <si>
    <t>42. 07-13 Nov</t>
  </si>
  <si>
    <t>GOMUKH LADORA</t>
  </si>
  <si>
    <t>GOMUKH SAHSI</t>
  </si>
  <si>
    <t>GOMUKH ANANDPUR PARAS</t>
  </si>
  <si>
    <t>47. 12-18 Dec</t>
  </si>
  <si>
    <t>GOMUKH ANANDPUR PARAS 2</t>
  </si>
  <si>
    <t>44. 21-27 Nov</t>
  </si>
  <si>
    <t>GOMUKH BHIKHARI GHAT</t>
  </si>
  <si>
    <t>45. 28-04 Dec</t>
  </si>
  <si>
    <t>GOMUKH D SANJHAUTI</t>
  </si>
  <si>
    <t>57. 20-26 Feb</t>
  </si>
  <si>
    <t>41. 31-06 Nov</t>
  </si>
  <si>
    <t>Farmers Account Name</t>
  </si>
  <si>
    <t>Account no</t>
  </si>
  <si>
    <t>IFSC code</t>
  </si>
  <si>
    <t xml:space="preserve">Bank Of name </t>
  </si>
  <si>
    <t>Sunita Kumari</t>
  </si>
  <si>
    <t>36377717342</t>
  </si>
  <si>
    <t>SBIN0015727</t>
  </si>
  <si>
    <t>SBI-Kiosk Banking</t>
  </si>
  <si>
    <t>Subhash Kumar</t>
  </si>
  <si>
    <t>6642000100031843</t>
  </si>
  <si>
    <t>PUNB0664200</t>
  </si>
  <si>
    <t xml:space="preserve">Punjab National Bank </t>
  </si>
  <si>
    <t>Divyanshu kumar singh</t>
  </si>
  <si>
    <t>582610110007503</t>
  </si>
  <si>
    <t>BKID0005826</t>
  </si>
  <si>
    <t xml:space="preserve">Bank Of India </t>
  </si>
  <si>
    <t>Manish Kumar</t>
  </si>
  <si>
    <t>44160691188</t>
  </si>
  <si>
    <t>SBIN0000114</t>
  </si>
  <si>
    <t xml:space="preserve">State Bank of India </t>
  </si>
  <si>
    <t>Rakesh Kumar</t>
  </si>
  <si>
    <t>52888100011466</t>
  </si>
  <si>
    <t>BARB0HARPUR</t>
  </si>
  <si>
    <t>Bank Of Baroda</t>
  </si>
  <si>
    <t>Dhrub Kumar</t>
  </si>
  <si>
    <t>23980100021980</t>
  </si>
  <si>
    <t>BARB0AMBAIC</t>
  </si>
  <si>
    <t>Jiwan Jyoti Kumar</t>
  </si>
  <si>
    <t>23980100021979</t>
  </si>
  <si>
    <t>Krishnanandan Yadav</t>
  </si>
  <si>
    <t>35110131159408</t>
  </si>
  <si>
    <t>PUNB0MBGB06</t>
  </si>
  <si>
    <t xml:space="preserve">Bihar Gramin Bank </t>
  </si>
  <si>
    <t>Pappu Kumar</t>
  </si>
  <si>
    <t>20425839830</t>
  </si>
  <si>
    <t xml:space="preserve">Bhushan Kumar </t>
  </si>
  <si>
    <t>6642000100071188</t>
  </si>
  <si>
    <t>26-02</t>
  </si>
  <si>
    <t>03-09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</si>
</sst>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3" fillId="4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right" vertical="center" wrapText="1"/>
    </xf>
    <xf numFmtId="0" fontId="6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5" fontId="6" fillId="3" borderId="0" xfId="0" applyNumberFormat="1" applyFont="1" applyFill="1" applyAlignment="1">
      <alignment horizontal="center" vertical="center" wrapText="1"/>
    </xf>
    <xf numFmtId="17" fontId="6" fillId="3" borderId="0" xfId="0" applyNumberFormat="1" applyFont="1" applyFill="1" applyAlignment="1">
      <alignment horizontal="center" vertical="center" wrapText="1"/>
    </xf>
    <xf numFmtId="17" fontId="6" fillId="3" borderId="0" xfId="0" quotePrefix="1" applyNumberFormat="1" applyFont="1" applyFill="1" applyAlignment="1">
      <alignment horizontal="center" vertical="center" wrapText="1"/>
    </xf>
    <xf numFmtId="16" fontId="6" fillId="3" borderId="0" xfId="0" applyNumberFormat="1" applyFont="1" applyFill="1" applyAlignment="1">
      <alignment horizontal="center" vertical="center" wrapText="1"/>
    </xf>
    <xf numFmtId="0" fontId="0" fillId="0" borderId="0" xfId="0" pivotButton="1"/>
    <xf numFmtId="0" fontId="2" fillId="6" borderId="4" xfId="0" applyFont="1" applyFill="1" applyBorder="1"/>
    <xf numFmtId="0" fontId="2" fillId="6" borderId="5" xfId="0" applyFont="1" applyFill="1" applyBorder="1"/>
    <xf numFmtId="0" fontId="2" fillId="8" borderId="4" xfId="0" applyFont="1" applyFill="1" applyBorder="1"/>
    <xf numFmtId="0" fontId="2" fillId="8" borderId="0" xfId="0" applyFont="1" applyFill="1"/>
    <xf numFmtId="0" fontId="2" fillId="8" borderId="0" xfId="0" quotePrefix="1" applyFont="1" applyFill="1"/>
    <xf numFmtId="0" fontId="0" fillId="8" borderId="0" xfId="0" applyFill="1"/>
    <xf numFmtId="164" fontId="0" fillId="0" borderId="0" xfId="0" applyNumberFormat="1"/>
    <xf numFmtId="43" fontId="7" fillId="4" borderId="6" xfId="3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6" xfId="0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0" fontId="8" fillId="0" borderId="6" xfId="0" quotePrefix="1" applyFont="1" applyBorder="1" applyAlignment="1">
      <alignment horizontal="center"/>
    </xf>
    <xf numFmtId="0" fontId="8" fillId="0" borderId="6" xfId="0" quotePrefix="1" applyFont="1" applyBorder="1"/>
    <xf numFmtId="0" fontId="8" fillId="0" borderId="6" xfId="0" applyFont="1" applyBorder="1"/>
    <xf numFmtId="0" fontId="8" fillId="0" borderId="7" xfId="0" applyFont="1" applyBorder="1"/>
    <xf numFmtId="164" fontId="8" fillId="0" borderId="7" xfId="0" applyNumberFormat="1" applyFont="1" applyBorder="1"/>
    <xf numFmtId="0" fontId="5" fillId="3" borderId="0" xfId="0" applyFont="1" applyFill="1" applyAlignment="1">
      <alignment horizontal="center" vertical="center" wrapText="1"/>
    </xf>
    <xf numFmtId="43" fontId="8" fillId="0" borderId="6" xfId="1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164" fontId="8" fillId="7" borderId="6" xfId="3" applyNumberFormat="1" applyFont="1" applyFill="1" applyBorder="1" applyAlignment="1">
      <alignment horizontal="center" vertical="center"/>
    </xf>
    <xf numFmtId="164" fontId="9" fillId="2" borderId="6" xfId="2" applyNumberFormat="1" applyFont="1" applyBorder="1" applyAlignment="1">
      <alignment horizontal="center"/>
    </xf>
  </cellXfs>
  <cellStyles count="4">
    <cellStyle name="Comma" xfId="1" builtinId="3"/>
    <cellStyle name="Comma 2" xfId="3" xr:uid="{5DAD0BE6-42DE-4D89-95A1-41E0A7A17C3F}"/>
    <cellStyle name="Normal" xfId="0" builtinId="0"/>
    <cellStyle name="Note" xfId="2" builtinId="10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18.473361689816" createdVersion="8" refreshedVersion="8" minRefreshableVersion="3" recordCount="24" xr:uid="{F5A675DC-D94E-4575-85A5-7913D719100F}">
  <cacheSource type="worksheet">
    <worksheetSource ref="A1:H25" sheet="Sheet2"/>
  </cacheSource>
  <cacheFields count="8">
    <cacheField name="Sl. No." numFmtId="0">
      <sharedItems containsSemiMixedTypes="0" containsString="0" containsNumber="1" containsInteger="1" minValue="1" maxValue="30"/>
    </cacheField>
    <cacheField name="CODE" numFmtId="0">
      <sharedItems containsSemiMixedTypes="0" containsString="0" containsNumber="1" containsInteger="1" minValue="10110112" maxValue="10540018" count="10">
        <n v="10540009"/>
        <n v="10540017"/>
        <n v="10540003"/>
        <n v="10110143"/>
        <n v="10110112"/>
        <n v="10540005"/>
        <n v="10540018"/>
        <n v="10110133"/>
        <n v="10110129"/>
        <n v="10110140"/>
      </sharedItems>
    </cacheField>
    <cacheField name="MPG NAME" numFmtId="0">
      <sharedItems count="10">
        <s v="Gomukh Bhikhari Ghath"/>
        <s v="Gomukh Ladaura"/>
        <s v="Gomukh Anandpur Prash 2"/>
        <s v="Gomukh Aura"/>
        <s v="Gomukh Alauli"/>
        <s v="Gomukh Gadbanni"/>
        <s v="Gomukh sashsi"/>
        <s v="Gomukh Prash"/>
        <s v="D Sanjauti"/>
        <s v="GOMUKH GHAMARIYA"/>
      </sharedItems>
    </cacheField>
    <cacheField name="BMC" numFmtId="0">
      <sharedItems/>
    </cacheField>
    <cacheField name="PERIOD" numFmtId="0">
      <sharedItems/>
    </cacheField>
    <cacheField name="Cycle" numFmtId="0">
      <sharedItems count="19">
        <s v="28-04 Dec-25"/>
        <s v="31-06 Nov-25"/>
        <s v="07-13 Oct-25"/>
        <s v="21-27 Nov-25"/>
        <s v="20-26 Jun-25"/>
        <s v="25-31 Jul-25"/>
        <s v="01-07 Aug-25"/>
        <s v="22-28 Aug-25"/>
        <s v="10-16 Oct-25"/>
        <s v="07-13 Nov-25"/>
        <s v="11-17 Jul-25"/>
        <s v="18-24 Jul-25"/>
        <s v="30-05 Jun-25"/>
        <s v="06-12 Jun-25"/>
        <s v="13-19 Jun-25"/>
        <s v="27-03 Jun-25"/>
        <s v="29-04 Jun-25"/>
        <s v="12-18 Dec-25"/>
        <s v="20-26 Feb-26"/>
      </sharedItems>
    </cacheField>
    <cacheField name="AMOUNT" numFmtId="0">
      <sharedItems containsSemiMixedTypes="0" containsString="0" containsNumber="1" containsInteger="1" minValue="1251" maxValue="38798"/>
    </cacheField>
    <cacheField name="Remark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1"/>
    <x v="0"/>
    <x v="0"/>
    <s v="Alauli"/>
    <s v="28/11/2025 to 04/12/2025"/>
    <x v="0"/>
    <n v="18204"/>
    <s v="OK"/>
  </r>
  <r>
    <n v="2"/>
    <x v="1"/>
    <x v="1"/>
    <s v="Alauli"/>
    <s v="31/09/2025 to 06/09/2025"/>
    <x v="1"/>
    <n v="6236"/>
    <s v="OK"/>
  </r>
  <r>
    <n v="3"/>
    <x v="1"/>
    <x v="1"/>
    <s v="Alauli"/>
    <s v="07/10/2025 to 13/10/2025"/>
    <x v="2"/>
    <n v="2606"/>
    <s v="OK"/>
  </r>
  <r>
    <n v="4"/>
    <x v="2"/>
    <x v="2"/>
    <s v="Alauli"/>
    <s v="21/11/2025 to 27/11/2025"/>
    <x v="3"/>
    <n v="38798"/>
    <s v="OK"/>
  </r>
  <r>
    <n v="6"/>
    <x v="3"/>
    <x v="3"/>
    <s v="Alauli"/>
    <s v="20/06/2025 to 26/06/2025"/>
    <x v="4"/>
    <n v="8503"/>
    <s v="OK"/>
  </r>
  <r>
    <n v="7"/>
    <x v="3"/>
    <x v="3"/>
    <s v="Alauli"/>
    <s v="25/07/2025 to 31/07/2025"/>
    <x v="5"/>
    <n v="2586"/>
    <s v="OK"/>
  </r>
  <r>
    <n v="8"/>
    <x v="3"/>
    <x v="3"/>
    <s v="Alauli"/>
    <s v="01/08/2025 to 07/08/2025"/>
    <x v="6"/>
    <n v="2681"/>
    <s v="OK"/>
  </r>
  <r>
    <n v="10"/>
    <x v="3"/>
    <x v="3"/>
    <s v="Alauli"/>
    <s v="22/08/2025 to 28/08/2025"/>
    <x v="7"/>
    <n v="4069"/>
    <s v="OK"/>
  </r>
  <r>
    <n v="11"/>
    <x v="3"/>
    <x v="3"/>
    <s v="Alauli"/>
    <s v="10/10/2025 to 16/10/2025"/>
    <x v="8"/>
    <n v="2291"/>
    <s v="OK"/>
  </r>
  <r>
    <n v="12"/>
    <x v="3"/>
    <x v="3"/>
    <s v="Alauli"/>
    <s v="07/11/2025 to 13/11/2025"/>
    <x v="9"/>
    <n v="5123"/>
    <s v="OK"/>
  </r>
  <r>
    <n v="13"/>
    <x v="4"/>
    <x v="4"/>
    <s v="Alauli"/>
    <s v="11/6/2025 to17/06/2025"/>
    <x v="10"/>
    <n v="3597"/>
    <s v="OK"/>
  </r>
  <r>
    <n v="14"/>
    <x v="4"/>
    <x v="4"/>
    <s v="Alauli"/>
    <s v="18/06/2025 to 24/06/2025"/>
    <x v="11"/>
    <n v="3587"/>
    <s v="OK"/>
  </r>
  <r>
    <n v="15"/>
    <x v="4"/>
    <x v="4"/>
    <s v="Alauli"/>
    <s v="25/06/2025 to 31/06/2025"/>
    <x v="5"/>
    <n v="5097"/>
    <s v="OK"/>
  </r>
  <r>
    <n v="18"/>
    <x v="4"/>
    <x v="4"/>
    <s v="Alauli"/>
    <s v="22/07/2025 to 28/07/2025"/>
    <x v="7"/>
    <n v="9573"/>
    <s v="OK"/>
  </r>
  <r>
    <n v="19"/>
    <x v="5"/>
    <x v="5"/>
    <s v="Alauli"/>
    <s v="30/05/2025 to 05/06/2025"/>
    <x v="12"/>
    <n v="2555"/>
    <s v="OK"/>
  </r>
  <r>
    <n v="20"/>
    <x v="5"/>
    <x v="5"/>
    <s v="Alauli"/>
    <s v="06/06/2025 to 12/062025"/>
    <x v="13"/>
    <n v="1251"/>
    <s v="OK"/>
  </r>
  <r>
    <n v="21"/>
    <x v="5"/>
    <x v="5"/>
    <s v="Alauli"/>
    <s v="13/06/2025 to 19/06/2025"/>
    <x v="14"/>
    <n v="1385"/>
    <s v="OK"/>
  </r>
  <r>
    <n v="22"/>
    <x v="5"/>
    <x v="5"/>
    <s v="Alauli"/>
    <s v="20/06/2025 to 26/06/2025"/>
    <x v="4"/>
    <n v="1870"/>
    <s v="OK"/>
  </r>
  <r>
    <n v="23"/>
    <x v="5"/>
    <x v="5"/>
    <s v="Alauli"/>
    <s v="27/06/2025 to 03/07/2025"/>
    <x v="15"/>
    <n v="6221"/>
    <s v="OK"/>
  </r>
  <r>
    <n v="25"/>
    <x v="5"/>
    <x v="5"/>
    <s v="Alauli"/>
    <s v="29/08/2025 to 04/09/2025"/>
    <x v="16"/>
    <n v="8927"/>
    <s v="OK"/>
  </r>
  <r>
    <n v="27"/>
    <x v="6"/>
    <x v="6"/>
    <s v="Alauli"/>
    <s v="7/11/2025 to 13/11/2025"/>
    <x v="9"/>
    <n v="2457"/>
    <s v="OK"/>
  </r>
  <r>
    <n v="28"/>
    <x v="7"/>
    <x v="7"/>
    <s v="Alauli"/>
    <s v="12/12/2025 to 18/12/2025"/>
    <x v="17"/>
    <n v="18481"/>
    <s v="OK"/>
  </r>
  <r>
    <n v="29"/>
    <x v="8"/>
    <x v="8"/>
    <s v="Alauli"/>
    <s v="20/02/2026 to 26/02/2026"/>
    <x v="18"/>
    <n v="35682"/>
    <s v="OK"/>
  </r>
  <r>
    <n v="30"/>
    <x v="9"/>
    <x v="9"/>
    <s v="Alauli"/>
    <s v="20/02/2026 to 26/02/2026"/>
    <x v="18"/>
    <n v="12614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E31CA9-0E16-4287-915E-343B92DF4E21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29" firstHeaderRow="2" firstDataRow="2" firstDataCol="3"/>
  <pivotFields count="8">
    <pivotField compact="0" outline="0" showAll="0"/>
    <pivotField axis="axisRow" compact="0" outline="0" showAll="0" defaultSubtotal="0">
      <items count="10">
        <item x="4"/>
        <item x="8"/>
        <item x="7"/>
        <item x="9"/>
        <item x="3"/>
        <item x="2"/>
        <item x="5"/>
        <item x="0"/>
        <item x="1"/>
        <item x="6"/>
      </items>
    </pivotField>
    <pivotField axis="axisRow" compact="0" outline="0" showAll="0">
      <items count="11">
        <item x="8"/>
        <item x="4"/>
        <item x="2"/>
        <item x="3"/>
        <item x="0"/>
        <item x="5"/>
        <item x="9"/>
        <item x="1"/>
        <item x="7"/>
        <item x="6"/>
        <item t="default"/>
      </items>
    </pivotField>
    <pivotField compact="0" outline="0" showAll="0"/>
    <pivotField compact="0" outline="0" showAll="0"/>
    <pivotField axis="axisRow" compact="0" outline="0" showAll="0" sortType="ascending" defaultSubtotal="0">
      <items count="19">
        <item x="6"/>
        <item x="13"/>
        <item x="9"/>
        <item x="2"/>
        <item x="8"/>
        <item x="10"/>
        <item x="17"/>
        <item x="14"/>
        <item x="11"/>
        <item x="18"/>
        <item x="4"/>
        <item x="3"/>
        <item x="7"/>
        <item x="5"/>
        <item x="15"/>
        <item x="0"/>
        <item x="16"/>
        <item x="12"/>
        <item x="1"/>
      </items>
    </pivotField>
    <pivotField dataField="1" compact="0" outline="0" showAll="0"/>
    <pivotField compact="0" outline="0" showAll="0"/>
  </pivotFields>
  <rowFields count="3">
    <field x="5"/>
    <field x="1"/>
    <field x="2"/>
  </rowFields>
  <rowItems count="25">
    <i>
      <x/>
      <x v="4"/>
      <x v="3"/>
    </i>
    <i>
      <x v="1"/>
      <x v="6"/>
      <x v="5"/>
    </i>
    <i>
      <x v="2"/>
      <x v="4"/>
      <x v="3"/>
    </i>
    <i r="1">
      <x v="9"/>
      <x v="9"/>
    </i>
    <i>
      <x v="3"/>
      <x v="8"/>
      <x v="7"/>
    </i>
    <i>
      <x v="4"/>
      <x v="4"/>
      <x v="3"/>
    </i>
    <i>
      <x v="5"/>
      <x/>
      <x v="1"/>
    </i>
    <i>
      <x v="6"/>
      <x v="2"/>
      <x v="8"/>
    </i>
    <i>
      <x v="7"/>
      <x v="6"/>
      <x v="5"/>
    </i>
    <i>
      <x v="8"/>
      <x/>
      <x v="1"/>
    </i>
    <i>
      <x v="9"/>
      <x v="1"/>
      <x/>
    </i>
    <i r="1">
      <x v="3"/>
      <x v="6"/>
    </i>
    <i>
      <x v="10"/>
      <x v="4"/>
      <x v="3"/>
    </i>
    <i r="1">
      <x v="6"/>
      <x v="5"/>
    </i>
    <i>
      <x v="11"/>
      <x v="5"/>
      <x v="2"/>
    </i>
    <i>
      <x v="12"/>
      <x/>
      <x v="1"/>
    </i>
    <i r="1">
      <x v="4"/>
      <x v="3"/>
    </i>
    <i>
      <x v="13"/>
      <x/>
      <x v="1"/>
    </i>
    <i r="1">
      <x v="4"/>
      <x v="3"/>
    </i>
    <i>
      <x v="14"/>
      <x v="6"/>
      <x v="5"/>
    </i>
    <i>
      <x v="15"/>
      <x v="7"/>
      <x v="4"/>
    </i>
    <i>
      <x v="16"/>
      <x v="6"/>
      <x v="5"/>
    </i>
    <i>
      <x v="17"/>
      <x v="6"/>
      <x v="5"/>
    </i>
    <i>
      <x v="18"/>
      <x v="8"/>
      <x v="7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C0ECF-B11C-4CDC-ACE0-D9CD49F66E6C}">
  <dimension ref="A1:I31"/>
  <sheetViews>
    <sheetView workbookViewId="0">
      <selection activeCell="H1" sqref="A1:H31"/>
    </sheetView>
  </sheetViews>
  <sheetFormatPr defaultRowHeight="15" customHeight="1" x14ac:dyDescent="0.25"/>
  <cols>
    <col min="1" max="1" width="6.7109375" bestFit="1" customWidth="1"/>
    <col min="2" max="2" width="9" bestFit="1" customWidth="1"/>
    <col min="3" max="3" width="24.85546875" bestFit="1" customWidth="1"/>
    <col min="4" max="4" width="6.28515625" bestFit="1" customWidth="1"/>
    <col min="5" max="5" width="24.140625" bestFit="1" customWidth="1"/>
    <col min="6" max="6" width="24.140625" customWidth="1"/>
    <col min="7" max="7" width="11" bestFit="1" customWidth="1"/>
    <col min="8" max="8" width="18.7109375" bestFit="1" customWidth="1"/>
    <col min="9" max="9" width="34.5703125" bestFit="1" customWidth="1"/>
  </cols>
  <sheetData>
    <row r="1" spans="1:9" ht="1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  <c r="I1" s="2" t="s">
        <v>7</v>
      </c>
    </row>
    <row r="2" spans="1:9" ht="15" customHeight="1" x14ac:dyDescent="0.25">
      <c r="A2" s="3">
        <v>1</v>
      </c>
      <c r="B2" s="4">
        <v>10540009</v>
      </c>
      <c r="C2" s="4" t="s">
        <v>8</v>
      </c>
      <c r="D2" s="4" t="s">
        <v>9</v>
      </c>
      <c r="E2" s="4" t="s">
        <v>10</v>
      </c>
      <c r="F2" s="4" t="s">
        <v>54</v>
      </c>
      <c r="G2" s="5">
        <v>18204</v>
      </c>
      <c r="H2" s="4" t="s">
        <v>11</v>
      </c>
      <c r="I2" s="6">
        <v>1067</v>
      </c>
    </row>
    <row r="3" spans="1:9" ht="15" customHeight="1" x14ac:dyDescent="0.25">
      <c r="A3" s="3">
        <v>2</v>
      </c>
      <c r="B3" s="4">
        <v>10540017</v>
      </c>
      <c r="C3" s="4" t="s">
        <v>12</v>
      </c>
      <c r="D3" s="4" t="s">
        <v>9</v>
      </c>
      <c r="E3" s="4" t="s">
        <v>13</v>
      </c>
      <c r="F3" s="4" t="s">
        <v>55</v>
      </c>
      <c r="G3" s="5">
        <v>6236</v>
      </c>
      <c r="H3" s="4" t="s">
        <v>11</v>
      </c>
      <c r="I3" s="28">
        <v>768</v>
      </c>
    </row>
    <row r="4" spans="1:9" ht="15" customHeight="1" x14ac:dyDescent="0.25">
      <c r="A4" s="3">
        <v>3</v>
      </c>
      <c r="B4" s="4">
        <v>10540017</v>
      </c>
      <c r="C4" s="4" t="s">
        <v>12</v>
      </c>
      <c r="D4" s="4" t="s">
        <v>9</v>
      </c>
      <c r="E4" s="4" t="s">
        <v>14</v>
      </c>
      <c r="F4" s="4" t="s">
        <v>56</v>
      </c>
      <c r="G4" s="5">
        <v>2606</v>
      </c>
      <c r="H4" s="4" t="s">
        <v>11</v>
      </c>
      <c r="I4" s="28"/>
    </row>
    <row r="5" spans="1:9" ht="15" customHeight="1" x14ac:dyDescent="0.25">
      <c r="A5" s="3">
        <v>4</v>
      </c>
      <c r="B5" s="4">
        <v>10540003</v>
      </c>
      <c r="C5" s="4" t="s">
        <v>15</v>
      </c>
      <c r="D5" s="4" t="s">
        <v>9</v>
      </c>
      <c r="E5" s="4" t="s">
        <v>16</v>
      </c>
      <c r="F5" s="4" t="s">
        <v>57</v>
      </c>
      <c r="G5" s="5">
        <v>38798</v>
      </c>
      <c r="H5" s="4" t="s">
        <v>11</v>
      </c>
      <c r="I5" s="28">
        <v>2992</v>
      </c>
    </row>
    <row r="6" spans="1:9" ht="15" customHeight="1" x14ac:dyDescent="0.25">
      <c r="A6" s="3">
        <v>5</v>
      </c>
      <c r="B6" s="4">
        <v>10540003</v>
      </c>
      <c r="C6" s="4" t="s">
        <v>15</v>
      </c>
      <c r="D6" s="4" t="s">
        <v>9</v>
      </c>
      <c r="E6" s="4" t="s">
        <v>17</v>
      </c>
      <c r="F6" s="4"/>
      <c r="G6" s="5">
        <v>17410</v>
      </c>
      <c r="H6" s="4" t="s">
        <v>18</v>
      </c>
      <c r="I6" s="28"/>
    </row>
    <row r="7" spans="1:9" ht="15" customHeight="1" x14ac:dyDescent="0.25">
      <c r="A7" s="3">
        <v>6</v>
      </c>
      <c r="B7" s="4">
        <v>10110143</v>
      </c>
      <c r="C7" s="4" t="s">
        <v>19</v>
      </c>
      <c r="D7" s="4" t="s">
        <v>9</v>
      </c>
      <c r="E7" s="4" t="s">
        <v>20</v>
      </c>
      <c r="F7" s="4" t="s">
        <v>53</v>
      </c>
      <c r="G7" s="5">
        <v>8503</v>
      </c>
      <c r="H7" s="4" t="s">
        <v>11</v>
      </c>
      <c r="I7" s="28">
        <v>729</v>
      </c>
    </row>
    <row r="8" spans="1:9" ht="15" customHeight="1" x14ac:dyDescent="0.25">
      <c r="A8" s="3">
        <v>7</v>
      </c>
      <c r="B8" s="4">
        <v>10110143</v>
      </c>
      <c r="C8" s="4" t="s">
        <v>19</v>
      </c>
      <c r="D8" s="4" t="s">
        <v>9</v>
      </c>
      <c r="E8" s="4" t="s">
        <v>21</v>
      </c>
      <c r="F8" s="7" t="s">
        <v>58</v>
      </c>
      <c r="G8" s="5">
        <v>2586</v>
      </c>
      <c r="H8" s="4" t="s">
        <v>11</v>
      </c>
      <c r="I8" s="28"/>
    </row>
    <row r="9" spans="1:9" ht="15" customHeight="1" x14ac:dyDescent="0.25">
      <c r="A9" s="3">
        <v>8</v>
      </c>
      <c r="B9" s="4">
        <v>10110143</v>
      </c>
      <c r="C9" s="4" t="s">
        <v>19</v>
      </c>
      <c r="D9" s="4" t="s">
        <v>9</v>
      </c>
      <c r="E9" s="4" t="s">
        <v>22</v>
      </c>
      <c r="F9" s="4" t="s">
        <v>59</v>
      </c>
      <c r="G9" s="5">
        <v>2681</v>
      </c>
      <c r="H9" s="4" t="s">
        <v>11</v>
      </c>
      <c r="I9" s="28"/>
    </row>
    <row r="10" spans="1:9" ht="15" customHeight="1" x14ac:dyDescent="0.25">
      <c r="A10" s="3">
        <v>9</v>
      </c>
      <c r="B10" s="4">
        <v>10110143</v>
      </c>
      <c r="C10" s="4" t="s">
        <v>19</v>
      </c>
      <c r="D10" s="4" t="s">
        <v>9</v>
      </c>
      <c r="E10" s="4" t="s">
        <v>23</v>
      </c>
      <c r="F10" s="4"/>
      <c r="G10" s="5">
        <v>8031</v>
      </c>
      <c r="H10" s="4" t="s">
        <v>24</v>
      </c>
      <c r="I10" s="28"/>
    </row>
    <row r="11" spans="1:9" ht="15" customHeight="1" x14ac:dyDescent="0.25">
      <c r="A11" s="3">
        <v>10</v>
      </c>
      <c r="B11" s="4">
        <v>10110143</v>
      </c>
      <c r="C11" s="4" t="s">
        <v>19</v>
      </c>
      <c r="D11" s="4" t="s">
        <v>9</v>
      </c>
      <c r="E11" s="4" t="s">
        <v>25</v>
      </c>
      <c r="F11" s="4" t="s">
        <v>60</v>
      </c>
      <c r="G11" s="5">
        <v>4069</v>
      </c>
      <c r="H11" s="4" t="s">
        <v>11</v>
      </c>
      <c r="I11" s="28"/>
    </row>
    <row r="12" spans="1:9" ht="15" customHeight="1" x14ac:dyDescent="0.25">
      <c r="A12" s="3">
        <v>11</v>
      </c>
      <c r="B12" s="4">
        <v>10110143</v>
      </c>
      <c r="C12" s="4" t="s">
        <v>19</v>
      </c>
      <c r="D12" s="4" t="s">
        <v>9</v>
      </c>
      <c r="E12" s="4" t="s">
        <v>26</v>
      </c>
      <c r="F12" s="9" t="s">
        <v>61</v>
      </c>
      <c r="G12" s="5">
        <v>2291</v>
      </c>
      <c r="H12" s="4" t="s">
        <v>11</v>
      </c>
      <c r="I12" s="28"/>
    </row>
    <row r="13" spans="1:9" ht="15" customHeight="1" x14ac:dyDescent="0.25">
      <c r="A13" s="3">
        <v>12</v>
      </c>
      <c r="B13" s="4">
        <v>10110143</v>
      </c>
      <c r="C13" s="4" t="s">
        <v>19</v>
      </c>
      <c r="D13" s="4" t="s">
        <v>9</v>
      </c>
      <c r="E13" s="4" t="s">
        <v>27</v>
      </c>
      <c r="F13" s="4" t="s">
        <v>62</v>
      </c>
      <c r="G13" s="5">
        <v>5123</v>
      </c>
      <c r="H13" s="4" t="s">
        <v>11</v>
      </c>
      <c r="I13" s="28"/>
    </row>
    <row r="14" spans="1:9" ht="15" customHeight="1" x14ac:dyDescent="0.25">
      <c r="A14" s="3">
        <v>13</v>
      </c>
      <c r="B14" s="4">
        <v>10110112</v>
      </c>
      <c r="C14" s="4" t="s">
        <v>28</v>
      </c>
      <c r="D14" s="4" t="s">
        <v>9</v>
      </c>
      <c r="E14" s="4" t="s">
        <v>29</v>
      </c>
      <c r="F14" s="4" t="s">
        <v>63</v>
      </c>
      <c r="G14" s="5">
        <v>3597</v>
      </c>
      <c r="H14" s="4" t="s">
        <v>11</v>
      </c>
      <c r="I14" s="28">
        <v>79</v>
      </c>
    </row>
    <row r="15" spans="1:9" ht="15" customHeight="1" x14ac:dyDescent="0.25">
      <c r="A15" s="3">
        <v>14</v>
      </c>
      <c r="B15" s="4">
        <v>10110112</v>
      </c>
      <c r="C15" s="4" t="s">
        <v>28</v>
      </c>
      <c r="D15" s="4" t="s">
        <v>9</v>
      </c>
      <c r="E15" s="4" t="s">
        <v>30</v>
      </c>
      <c r="F15" s="4" t="s">
        <v>64</v>
      </c>
      <c r="G15" s="5">
        <v>3587</v>
      </c>
      <c r="H15" s="4" t="s">
        <v>11</v>
      </c>
      <c r="I15" s="28"/>
    </row>
    <row r="16" spans="1:9" ht="15" customHeight="1" x14ac:dyDescent="0.25">
      <c r="A16" s="3">
        <v>15</v>
      </c>
      <c r="B16" s="4">
        <v>10110112</v>
      </c>
      <c r="C16" s="4" t="s">
        <v>28</v>
      </c>
      <c r="D16" s="4" t="s">
        <v>9</v>
      </c>
      <c r="E16" s="4" t="s">
        <v>31</v>
      </c>
      <c r="F16" s="4" t="s">
        <v>58</v>
      </c>
      <c r="G16" s="5">
        <v>5097</v>
      </c>
      <c r="H16" s="4" t="s">
        <v>11</v>
      </c>
      <c r="I16" s="28"/>
    </row>
    <row r="17" spans="1:9" ht="15" customHeight="1" x14ac:dyDescent="0.25">
      <c r="A17" s="3">
        <v>16</v>
      </c>
      <c r="B17" s="4">
        <v>10110112</v>
      </c>
      <c r="C17" s="4" t="s">
        <v>28</v>
      </c>
      <c r="D17" s="4" t="s">
        <v>9</v>
      </c>
      <c r="E17" s="4" t="s">
        <v>32</v>
      </c>
      <c r="F17" s="4"/>
      <c r="G17" s="5">
        <v>8361</v>
      </c>
      <c r="H17" s="4" t="s">
        <v>33</v>
      </c>
      <c r="I17" s="28"/>
    </row>
    <row r="18" spans="1:9" ht="15" customHeight="1" x14ac:dyDescent="0.25">
      <c r="A18" s="3">
        <v>17</v>
      </c>
      <c r="B18" s="4">
        <v>10110112</v>
      </c>
      <c r="C18" s="4" t="s">
        <v>28</v>
      </c>
      <c r="D18" s="4" t="s">
        <v>9</v>
      </c>
      <c r="E18" s="4" t="s">
        <v>34</v>
      </c>
      <c r="F18" s="4"/>
      <c r="G18" s="5">
        <v>10744</v>
      </c>
      <c r="H18" s="4" t="s">
        <v>33</v>
      </c>
      <c r="I18" s="28"/>
    </row>
    <row r="19" spans="1:9" ht="15" customHeight="1" x14ac:dyDescent="0.25">
      <c r="A19" s="3">
        <v>18</v>
      </c>
      <c r="B19" s="4">
        <v>10110112</v>
      </c>
      <c r="C19" s="4" t="s">
        <v>28</v>
      </c>
      <c r="D19" s="4" t="s">
        <v>9</v>
      </c>
      <c r="E19" s="4" t="s">
        <v>35</v>
      </c>
      <c r="F19" s="4" t="s">
        <v>60</v>
      </c>
      <c r="G19" s="5">
        <v>9573</v>
      </c>
      <c r="H19" s="4" t="s">
        <v>11</v>
      </c>
      <c r="I19" s="28"/>
    </row>
    <row r="20" spans="1:9" ht="15" customHeight="1" x14ac:dyDescent="0.25">
      <c r="A20" s="3">
        <v>19</v>
      </c>
      <c r="B20" s="4">
        <v>10540005</v>
      </c>
      <c r="C20" s="4" t="s">
        <v>36</v>
      </c>
      <c r="D20" s="4" t="s">
        <v>9</v>
      </c>
      <c r="E20" s="4" t="s">
        <v>37</v>
      </c>
      <c r="F20" s="10" t="s">
        <v>65</v>
      </c>
      <c r="G20" s="5">
        <v>2555</v>
      </c>
      <c r="H20" s="4" t="s">
        <v>11</v>
      </c>
      <c r="I20" s="28">
        <v>256</v>
      </c>
    </row>
    <row r="21" spans="1:9" ht="15" customHeight="1" x14ac:dyDescent="0.25">
      <c r="A21" s="3">
        <v>20</v>
      </c>
      <c r="B21" s="4">
        <v>10540005</v>
      </c>
      <c r="C21" s="4" t="s">
        <v>36</v>
      </c>
      <c r="D21" s="4" t="s">
        <v>9</v>
      </c>
      <c r="E21" s="4" t="s">
        <v>38</v>
      </c>
      <c r="F21" s="4" t="s">
        <v>66</v>
      </c>
      <c r="G21" s="5">
        <v>1251</v>
      </c>
      <c r="H21" s="4" t="s">
        <v>11</v>
      </c>
      <c r="I21" s="28"/>
    </row>
    <row r="22" spans="1:9" ht="15" customHeight="1" x14ac:dyDescent="0.25">
      <c r="A22" s="3">
        <v>21</v>
      </c>
      <c r="B22" s="4">
        <v>10540005</v>
      </c>
      <c r="C22" s="4" t="s">
        <v>36</v>
      </c>
      <c r="D22" s="4" t="s">
        <v>9</v>
      </c>
      <c r="E22" s="4" t="s">
        <v>39</v>
      </c>
      <c r="F22" s="4" t="s">
        <v>67</v>
      </c>
      <c r="G22" s="5">
        <v>1385</v>
      </c>
      <c r="H22" s="4" t="s">
        <v>11</v>
      </c>
      <c r="I22" s="28"/>
    </row>
    <row r="23" spans="1:9" ht="15" customHeight="1" x14ac:dyDescent="0.25">
      <c r="A23" s="3">
        <v>22</v>
      </c>
      <c r="B23" s="4">
        <v>10540005</v>
      </c>
      <c r="C23" s="4" t="s">
        <v>36</v>
      </c>
      <c r="D23" s="4" t="s">
        <v>9</v>
      </c>
      <c r="E23" s="4" t="s">
        <v>20</v>
      </c>
      <c r="F23" s="4" t="s">
        <v>53</v>
      </c>
      <c r="G23" s="5">
        <v>1870</v>
      </c>
      <c r="H23" s="4" t="s">
        <v>11</v>
      </c>
      <c r="I23" s="28"/>
    </row>
    <row r="24" spans="1:9" ht="15" customHeight="1" x14ac:dyDescent="0.25">
      <c r="A24" s="3">
        <v>23</v>
      </c>
      <c r="B24" s="4">
        <v>10540005</v>
      </c>
      <c r="C24" s="4" t="s">
        <v>36</v>
      </c>
      <c r="D24" s="4" t="s">
        <v>9</v>
      </c>
      <c r="E24" s="4" t="s">
        <v>40</v>
      </c>
      <c r="F24" s="4" t="s">
        <v>68</v>
      </c>
      <c r="G24" s="5">
        <v>6221</v>
      </c>
      <c r="H24" s="4" t="s">
        <v>11</v>
      </c>
      <c r="I24" s="28"/>
    </row>
    <row r="25" spans="1:9" ht="15" customHeight="1" x14ac:dyDescent="0.25">
      <c r="A25" s="3">
        <v>24</v>
      </c>
      <c r="B25" s="4">
        <v>10540005</v>
      </c>
      <c r="C25" s="4" t="s">
        <v>36</v>
      </c>
      <c r="D25" s="4" t="s">
        <v>9</v>
      </c>
      <c r="E25" s="4" t="s">
        <v>21</v>
      </c>
      <c r="F25" s="4"/>
      <c r="G25" s="5">
        <v>2492</v>
      </c>
      <c r="H25" s="4" t="s">
        <v>41</v>
      </c>
      <c r="I25" s="28"/>
    </row>
    <row r="26" spans="1:9" ht="15" customHeight="1" x14ac:dyDescent="0.25">
      <c r="A26" s="3">
        <v>25</v>
      </c>
      <c r="B26" s="4">
        <v>10540005</v>
      </c>
      <c r="C26" s="4" t="s">
        <v>36</v>
      </c>
      <c r="D26" s="4" t="s">
        <v>9</v>
      </c>
      <c r="E26" s="4" t="s">
        <v>42</v>
      </c>
      <c r="F26" s="4" t="s">
        <v>69</v>
      </c>
      <c r="G26" s="5">
        <v>8927</v>
      </c>
      <c r="H26" s="4" t="s">
        <v>11</v>
      </c>
      <c r="I26" s="28"/>
    </row>
    <row r="27" spans="1:9" ht="15" customHeight="1" x14ac:dyDescent="0.25">
      <c r="A27" s="3">
        <v>26</v>
      </c>
      <c r="B27" s="4">
        <v>10540031</v>
      </c>
      <c r="C27" s="4" t="s">
        <v>43</v>
      </c>
      <c r="D27" s="4" t="s">
        <v>9</v>
      </c>
      <c r="E27" s="4" t="s">
        <v>44</v>
      </c>
      <c r="F27" s="4"/>
      <c r="G27" s="5">
        <v>5615</v>
      </c>
      <c r="H27" s="4" t="s">
        <v>11</v>
      </c>
      <c r="I27" s="4" t="s">
        <v>45</v>
      </c>
    </row>
    <row r="28" spans="1:9" ht="15" customHeight="1" x14ac:dyDescent="0.25">
      <c r="A28" s="3">
        <v>27</v>
      </c>
      <c r="B28" s="4">
        <v>10540018</v>
      </c>
      <c r="C28" s="4" t="s">
        <v>46</v>
      </c>
      <c r="D28" s="4" t="s">
        <v>9</v>
      </c>
      <c r="E28" s="4" t="s">
        <v>47</v>
      </c>
      <c r="F28" s="4" t="s">
        <v>62</v>
      </c>
      <c r="G28" s="5">
        <v>2457</v>
      </c>
      <c r="H28" s="4" t="s">
        <v>11</v>
      </c>
      <c r="I28" s="6">
        <v>366</v>
      </c>
    </row>
    <row r="29" spans="1:9" ht="15" customHeight="1" x14ac:dyDescent="0.25">
      <c r="A29" s="3">
        <v>28</v>
      </c>
      <c r="B29" s="4">
        <v>10110133</v>
      </c>
      <c r="C29" s="4" t="s">
        <v>48</v>
      </c>
      <c r="D29" s="4" t="s">
        <v>9</v>
      </c>
      <c r="E29" s="4" t="s">
        <v>49</v>
      </c>
      <c r="F29" s="8" t="s">
        <v>70</v>
      </c>
      <c r="G29" s="5">
        <v>18481</v>
      </c>
      <c r="H29" s="4" t="s">
        <v>11</v>
      </c>
      <c r="I29" s="6">
        <v>2402</v>
      </c>
    </row>
    <row r="30" spans="1:9" ht="15" customHeight="1" x14ac:dyDescent="0.25">
      <c r="A30" s="3">
        <v>29</v>
      </c>
      <c r="B30" s="4">
        <v>10110129</v>
      </c>
      <c r="C30" s="4" t="s">
        <v>50</v>
      </c>
      <c r="D30" s="4" t="s">
        <v>9</v>
      </c>
      <c r="E30" s="4" t="s">
        <v>51</v>
      </c>
      <c r="F30" s="4" t="s">
        <v>71</v>
      </c>
      <c r="G30" s="5">
        <v>35682</v>
      </c>
      <c r="H30" s="4" t="s">
        <v>11</v>
      </c>
      <c r="I30" s="6">
        <v>645</v>
      </c>
    </row>
    <row r="31" spans="1:9" ht="15" customHeight="1" x14ac:dyDescent="0.25">
      <c r="A31" s="3">
        <v>30</v>
      </c>
      <c r="B31" s="4">
        <v>10110140</v>
      </c>
      <c r="C31" s="4" t="s">
        <v>52</v>
      </c>
      <c r="D31" s="4" t="s">
        <v>9</v>
      </c>
      <c r="E31" s="4" t="s">
        <v>51</v>
      </c>
      <c r="F31" s="4" t="s">
        <v>71</v>
      </c>
      <c r="G31" s="5">
        <v>12614</v>
      </c>
      <c r="H31" s="4" t="s">
        <v>11</v>
      </c>
      <c r="I31" s="6">
        <v>166</v>
      </c>
    </row>
  </sheetData>
  <mergeCells count="5">
    <mergeCell ref="I3:I4"/>
    <mergeCell ref="I5:I6"/>
    <mergeCell ref="I7:I13"/>
    <mergeCell ref="I14:I19"/>
    <mergeCell ref="I20:I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CECA-D52E-4F98-8DE2-075576DEEB2E}">
  <dimension ref="A3:AE32"/>
  <sheetViews>
    <sheetView topLeftCell="A3" workbookViewId="0">
      <selection activeCell="H32" sqref="A32:XFD56"/>
    </sheetView>
  </sheetViews>
  <sheetFormatPr defaultRowHeight="15" x14ac:dyDescent="0.25"/>
  <cols>
    <col min="1" max="1" width="26" customWidth="1"/>
    <col min="2" max="2" width="10.85546875" bestFit="1" customWidth="1"/>
    <col min="3" max="3" width="25" bestFit="1" customWidth="1"/>
    <col min="4" max="4" width="7" bestFit="1" customWidth="1"/>
    <col min="8" max="8" width="12.42578125" bestFit="1" customWidth="1"/>
    <col min="9" max="9" width="13.140625" bestFit="1" customWidth="1"/>
    <col min="10" max="10" width="9" bestFit="1" customWidth="1"/>
    <col min="11" max="11" width="9" customWidth="1"/>
    <col min="12" max="12" width="25" bestFit="1" customWidth="1"/>
    <col min="13" max="13" width="7" bestFit="1" customWidth="1"/>
    <col min="33" max="33" width="8.85546875" bestFit="1" customWidth="1"/>
    <col min="34" max="35" width="8" bestFit="1" customWidth="1"/>
    <col min="36" max="36" width="39.28515625" bestFit="1" customWidth="1"/>
    <col min="37" max="37" width="12.140625" bestFit="1" customWidth="1"/>
  </cols>
  <sheetData>
    <row r="3" spans="1:13" x14ac:dyDescent="0.25">
      <c r="A3" s="11" t="s">
        <v>75</v>
      </c>
    </row>
    <row r="4" spans="1:13" x14ac:dyDescent="0.25">
      <c r="A4" s="11" t="s">
        <v>72</v>
      </c>
      <c r="B4" s="11" t="s">
        <v>1</v>
      </c>
      <c r="C4" s="11" t="s">
        <v>2</v>
      </c>
      <c r="D4" t="s">
        <v>74</v>
      </c>
      <c r="H4" s="12" t="s">
        <v>72</v>
      </c>
      <c r="I4" s="12" t="s">
        <v>78</v>
      </c>
      <c r="J4" s="12" t="s">
        <v>1</v>
      </c>
      <c r="K4" s="12" t="s">
        <v>76</v>
      </c>
      <c r="L4" s="12" t="s">
        <v>2</v>
      </c>
      <c r="M4" s="12" t="s">
        <v>74</v>
      </c>
    </row>
    <row r="5" spans="1:13" x14ac:dyDescent="0.25">
      <c r="A5" t="s">
        <v>59</v>
      </c>
      <c r="B5">
        <v>10110143</v>
      </c>
      <c r="C5" t="s">
        <v>19</v>
      </c>
      <c r="D5">
        <v>2681</v>
      </c>
      <c r="H5" s="14" t="s">
        <v>59</v>
      </c>
      <c r="I5" s="15" t="str">
        <f>CONCATENATE(J5,K5)</f>
        <v>101101430002</v>
      </c>
      <c r="J5" s="15">
        <v>10110143</v>
      </c>
      <c r="K5" s="16" t="s">
        <v>77</v>
      </c>
      <c r="L5" s="17" t="s">
        <v>19</v>
      </c>
      <c r="M5" s="17">
        <v>2681</v>
      </c>
    </row>
    <row r="6" spans="1:13" x14ac:dyDescent="0.25">
      <c r="A6" t="s">
        <v>66</v>
      </c>
      <c r="B6">
        <v>10540005</v>
      </c>
      <c r="C6" t="s">
        <v>36</v>
      </c>
      <c r="D6">
        <v>1251</v>
      </c>
      <c r="H6" s="14" t="s">
        <v>66</v>
      </c>
      <c r="I6" s="15" t="str">
        <f t="shared" ref="I6:I28" si="0">CONCATENATE(J6,K6)</f>
        <v>105400050002</v>
      </c>
      <c r="J6" s="15">
        <v>10540005</v>
      </c>
      <c r="K6" s="16" t="s">
        <v>77</v>
      </c>
      <c r="L6" s="17" t="s">
        <v>36</v>
      </c>
      <c r="M6" s="17">
        <v>1251</v>
      </c>
    </row>
    <row r="7" spans="1:13" x14ac:dyDescent="0.25">
      <c r="A7" t="s">
        <v>62</v>
      </c>
      <c r="B7">
        <v>10110143</v>
      </c>
      <c r="C7" t="s">
        <v>19</v>
      </c>
      <c r="D7">
        <v>5123</v>
      </c>
      <c r="H7" s="15" t="s">
        <v>62</v>
      </c>
      <c r="I7" s="15" t="str">
        <f t="shared" si="0"/>
        <v>101101430002</v>
      </c>
      <c r="J7" s="15">
        <v>10110143</v>
      </c>
      <c r="K7" s="16" t="s">
        <v>77</v>
      </c>
      <c r="L7" s="17" t="s">
        <v>19</v>
      </c>
      <c r="M7" s="17">
        <v>5123</v>
      </c>
    </row>
    <row r="8" spans="1:13" x14ac:dyDescent="0.25">
      <c r="B8">
        <v>10540018</v>
      </c>
      <c r="C8" t="s">
        <v>46</v>
      </c>
      <c r="D8">
        <v>2457</v>
      </c>
      <c r="H8" s="14"/>
      <c r="I8" s="15" t="str">
        <f t="shared" si="0"/>
        <v>105400180002</v>
      </c>
      <c r="J8" s="15">
        <v>10540018</v>
      </c>
      <c r="K8" s="16" t="s">
        <v>77</v>
      </c>
      <c r="L8" s="17" t="s">
        <v>46</v>
      </c>
      <c r="M8" s="17">
        <v>2457</v>
      </c>
    </row>
    <row r="9" spans="1:13" x14ac:dyDescent="0.25">
      <c r="A9" t="s">
        <v>56</v>
      </c>
      <c r="B9">
        <v>10540017</v>
      </c>
      <c r="C9" t="s">
        <v>12</v>
      </c>
      <c r="D9">
        <v>2606</v>
      </c>
      <c r="H9" s="14"/>
      <c r="I9" s="15" t="str">
        <f t="shared" si="0"/>
        <v>105400170002</v>
      </c>
      <c r="J9" s="15">
        <v>10540017</v>
      </c>
      <c r="K9" s="16" t="s">
        <v>77</v>
      </c>
      <c r="L9" s="17" t="s">
        <v>12</v>
      </c>
      <c r="M9" s="17">
        <v>2606</v>
      </c>
    </row>
    <row r="10" spans="1:13" x14ac:dyDescent="0.25">
      <c r="A10" t="s">
        <v>61</v>
      </c>
      <c r="B10">
        <v>10110143</v>
      </c>
      <c r="C10" t="s">
        <v>19</v>
      </c>
      <c r="D10">
        <v>2291</v>
      </c>
      <c r="H10" s="14" t="s">
        <v>61</v>
      </c>
      <c r="I10" s="15" t="str">
        <f t="shared" si="0"/>
        <v>101101430002</v>
      </c>
      <c r="J10" s="15">
        <v>10110143</v>
      </c>
      <c r="K10" s="16" t="s">
        <v>77</v>
      </c>
      <c r="L10" s="17" t="s">
        <v>19</v>
      </c>
      <c r="M10" s="17">
        <v>2291</v>
      </c>
    </row>
    <row r="11" spans="1:13" x14ac:dyDescent="0.25">
      <c r="A11" t="s">
        <v>63</v>
      </c>
      <c r="B11">
        <v>10110112</v>
      </c>
      <c r="C11" t="s">
        <v>28</v>
      </c>
      <c r="D11">
        <v>3597</v>
      </c>
      <c r="H11" s="14" t="s">
        <v>63</v>
      </c>
      <c r="I11" s="15" t="str">
        <f t="shared" si="0"/>
        <v>101101120002</v>
      </c>
      <c r="J11" s="15">
        <v>10110112</v>
      </c>
      <c r="K11" s="16" t="s">
        <v>77</v>
      </c>
      <c r="L11" s="17" t="s">
        <v>28</v>
      </c>
      <c r="M11" s="17">
        <v>3597</v>
      </c>
    </row>
    <row r="12" spans="1:13" x14ac:dyDescent="0.25">
      <c r="A12" t="s">
        <v>70</v>
      </c>
      <c r="B12">
        <v>10110133</v>
      </c>
      <c r="C12" t="s">
        <v>48</v>
      </c>
      <c r="D12">
        <v>18481</v>
      </c>
      <c r="H12" s="14" t="s">
        <v>70</v>
      </c>
      <c r="I12" s="15" t="str">
        <f t="shared" si="0"/>
        <v>101101330002</v>
      </c>
      <c r="J12" s="15">
        <v>10110133</v>
      </c>
      <c r="K12" s="16" t="s">
        <v>77</v>
      </c>
      <c r="L12" s="17" t="s">
        <v>48</v>
      </c>
      <c r="M12" s="17">
        <v>18481</v>
      </c>
    </row>
    <row r="13" spans="1:13" x14ac:dyDescent="0.25">
      <c r="A13" t="s">
        <v>67</v>
      </c>
      <c r="B13">
        <v>10540005</v>
      </c>
      <c r="C13" t="s">
        <v>36</v>
      </c>
      <c r="D13">
        <v>1385</v>
      </c>
      <c r="H13" s="14" t="s">
        <v>67</v>
      </c>
      <c r="I13" s="15" t="str">
        <f t="shared" si="0"/>
        <v>105400050002</v>
      </c>
      <c r="J13" s="15">
        <v>10540005</v>
      </c>
      <c r="K13" s="16" t="s">
        <v>77</v>
      </c>
      <c r="L13" s="17" t="s">
        <v>36</v>
      </c>
      <c r="M13" s="17">
        <v>1385</v>
      </c>
    </row>
    <row r="14" spans="1:13" x14ac:dyDescent="0.25">
      <c r="A14" t="s">
        <v>64</v>
      </c>
      <c r="B14">
        <v>10110112</v>
      </c>
      <c r="C14" t="s">
        <v>28</v>
      </c>
      <c r="D14">
        <v>3587</v>
      </c>
      <c r="H14" s="14" t="s">
        <v>64</v>
      </c>
      <c r="I14" s="15" t="str">
        <f t="shared" si="0"/>
        <v>101101120002</v>
      </c>
      <c r="J14" s="15">
        <v>10110112</v>
      </c>
      <c r="K14" s="16" t="s">
        <v>77</v>
      </c>
      <c r="L14" s="17" t="s">
        <v>28</v>
      </c>
      <c r="M14" s="17">
        <v>3587</v>
      </c>
    </row>
    <row r="15" spans="1:13" x14ac:dyDescent="0.25">
      <c r="A15" t="s">
        <v>71</v>
      </c>
      <c r="B15">
        <v>10110129</v>
      </c>
      <c r="C15" t="s">
        <v>50</v>
      </c>
      <c r="D15">
        <v>35682</v>
      </c>
      <c r="H15" s="15" t="s">
        <v>71</v>
      </c>
      <c r="I15" s="15" t="str">
        <f t="shared" si="0"/>
        <v>101101290002</v>
      </c>
      <c r="J15" s="15">
        <v>10110129</v>
      </c>
      <c r="K15" s="16" t="s">
        <v>77</v>
      </c>
      <c r="L15" s="17" t="s">
        <v>50</v>
      </c>
      <c r="M15" s="17">
        <v>35682</v>
      </c>
    </row>
    <row r="16" spans="1:13" x14ac:dyDescent="0.25">
      <c r="B16">
        <v>10110140</v>
      </c>
      <c r="C16" t="s">
        <v>52</v>
      </c>
      <c r="D16">
        <v>12614</v>
      </c>
      <c r="H16" s="14"/>
      <c r="I16" s="15" t="str">
        <f t="shared" si="0"/>
        <v>101101400002</v>
      </c>
      <c r="J16" s="15">
        <v>10110140</v>
      </c>
      <c r="K16" s="16" t="s">
        <v>77</v>
      </c>
      <c r="L16" s="17" t="s">
        <v>52</v>
      </c>
      <c r="M16" s="17">
        <v>12614</v>
      </c>
    </row>
    <row r="17" spans="1:31" x14ac:dyDescent="0.25">
      <c r="A17" t="s">
        <v>53</v>
      </c>
      <c r="B17">
        <v>10110143</v>
      </c>
      <c r="C17" t="s">
        <v>19</v>
      </c>
      <c r="D17">
        <v>8503</v>
      </c>
      <c r="H17" s="15" t="s">
        <v>53</v>
      </c>
      <c r="I17" s="15" t="str">
        <f t="shared" si="0"/>
        <v>101101430002</v>
      </c>
      <c r="J17" s="15">
        <v>10110143</v>
      </c>
      <c r="K17" s="16" t="s">
        <v>77</v>
      </c>
      <c r="L17" s="17" t="s">
        <v>19</v>
      </c>
      <c r="M17" s="17">
        <v>8503</v>
      </c>
    </row>
    <row r="18" spans="1:31" x14ac:dyDescent="0.25">
      <c r="B18">
        <v>10540005</v>
      </c>
      <c r="C18" t="s">
        <v>36</v>
      </c>
      <c r="D18">
        <v>1870</v>
      </c>
      <c r="H18" s="14"/>
      <c r="I18" s="15" t="str">
        <f t="shared" si="0"/>
        <v>105400050002</v>
      </c>
      <c r="J18" s="15">
        <v>10540005</v>
      </c>
      <c r="K18" s="16" t="s">
        <v>77</v>
      </c>
      <c r="L18" s="17" t="s">
        <v>36</v>
      </c>
      <c r="M18" s="17">
        <v>1870</v>
      </c>
    </row>
    <row r="19" spans="1:31" x14ac:dyDescent="0.25">
      <c r="A19" t="s">
        <v>57</v>
      </c>
      <c r="B19">
        <v>10540003</v>
      </c>
      <c r="C19" t="s">
        <v>15</v>
      </c>
      <c r="D19">
        <v>38798</v>
      </c>
      <c r="H19" s="14" t="s">
        <v>57</v>
      </c>
      <c r="I19" s="15" t="str">
        <f t="shared" si="0"/>
        <v>105400030002</v>
      </c>
      <c r="J19" s="15">
        <v>10540003</v>
      </c>
      <c r="K19" s="16" t="s">
        <v>77</v>
      </c>
      <c r="L19" s="17" t="s">
        <v>15</v>
      </c>
      <c r="M19" s="17">
        <v>38798</v>
      </c>
    </row>
    <row r="20" spans="1:31" x14ac:dyDescent="0.25">
      <c r="A20" t="s">
        <v>60</v>
      </c>
      <c r="B20">
        <v>10110112</v>
      </c>
      <c r="C20" t="s">
        <v>28</v>
      </c>
      <c r="D20">
        <v>9573</v>
      </c>
      <c r="H20" s="15" t="s">
        <v>60</v>
      </c>
      <c r="I20" s="15" t="str">
        <f t="shared" si="0"/>
        <v>101101120002</v>
      </c>
      <c r="J20" s="15">
        <v>10110112</v>
      </c>
      <c r="K20" s="16" t="s">
        <v>77</v>
      </c>
      <c r="L20" s="17" t="s">
        <v>28</v>
      </c>
      <c r="M20" s="17">
        <v>9573</v>
      </c>
    </row>
    <row r="21" spans="1:31" x14ac:dyDescent="0.25">
      <c r="B21">
        <v>10110143</v>
      </c>
      <c r="C21" t="s">
        <v>19</v>
      </c>
      <c r="D21">
        <v>4069</v>
      </c>
      <c r="H21" s="14"/>
      <c r="I21" s="15" t="str">
        <f t="shared" si="0"/>
        <v>101101430002</v>
      </c>
      <c r="J21" s="15">
        <v>10110143</v>
      </c>
      <c r="K21" s="16" t="s">
        <v>77</v>
      </c>
      <c r="L21" s="17" t="s">
        <v>19</v>
      </c>
      <c r="M21" s="17">
        <v>4069</v>
      </c>
    </row>
    <row r="22" spans="1:31" x14ac:dyDescent="0.25">
      <c r="A22" t="s">
        <v>58</v>
      </c>
      <c r="B22">
        <v>10110112</v>
      </c>
      <c r="C22" t="s">
        <v>28</v>
      </c>
      <c r="D22">
        <v>5097</v>
      </c>
      <c r="H22" s="15" t="s">
        <v>58</v>
      </c>
      <c r="I22" s="15" t="str">
        <f t="shared" si="0"/>
        <v>101101120002</v>
      </c>
      <c r="J22" s="15">
        <v>10110112</v>
      </c>
      <c r="K22" s="16" t="s">
        <v>77</v>
      </c>
      <c r="L22" s="17" t="s">
        <v>28</v>
      </c>
      <c r="M22" s="17">
        <v>5097</v>
      </c>
    </row>
    <row r="23" spans="1:31" x14ac:dyDescent="0.25">
      <c r="B23">
        <v>10110143</v>
      </c>
      <c r="C23" t="s">
        <v>19</v>
      </c>
      <c r="D23">
        <v>2586</v>
      </c>
      <c r="H23" s="14"/>
      <c r="I23" s="15" t="str">
        <f t="shared" si="0"/>
        <v>101101430002</v>
      </c>
      <c r="J23" s="15">
        <v>10110143</v>
      </c>
      <c r="K23" s="16" t="s">
        <v>77</v>
      </c>
      <c r="L23" s="17" t="s">
        <v>19</v>
      </c>
      <c r="M23" s="17">
        <v>2586</v>
      </c>
    </row>
    <row r="24" spans="1:31" x14ac:dyDescent="0.25">
      <c r="A24" t="s">
        <v>68</v>
      </c>
      <c r="B24">
        <v>10540005</v>
      </c>
      <c r="C24" t="s">
        <v>36</v>
      </c>
      <c r="D24">
        <v>6221</v>
      </c>
      <c r="H24" s="14" t="s">
        <v>68</v>
      </c>
      <c r="I24" s="15" t="str">
        <f t="shared" si="0"/>
        <v>105400050002</v>
      </c>
      <c r="J24" s="15">
        <v>10540005</v>
      </c>
      <c r="K24" s="16" t="s">
        <v>77</v>
      </c>
      <c r="L24" s="17" t="s">
        <v>36</v>
      </c>
      <c r="M24" s="17">
        <v>6221</v>
      </c>
    </row>
    <row r="25" spans="1:31" x14ac:dyDescent="0.25">
      <c r="A25" t="s">
        <v>54</v>
      </c>
      <c r="B25">
        <v>10540009</v>
      </c>
      <c r="C25" t="s">
        <v>8</v>
      </c>
      <c r="D25">
        <v>18204</v>
      </c>
      <c r="H25" s="14" t="s">
        <v>54</v>
      </c>
      <c r="I25" s="15" t="str">
        <f t="shared" si="0"/>
        <v>105400090002</v>
      </c>
      <c r="J25" s="15">
        <v>10540009</v>
      </c>
      <c r="K25" s="16" t="s">
        <v>77</v>
      </c>
      <c r="L25" s="17" t="s">
        <v>8</v>
      </c>
      <c r="M25" s="17">
        <v>18204</v>
      </c>
    </row>
    <row r="26" spans="1:31" x14ac:dyDescent="0.25">
      <c r="A26" t="s">
        <v>69</v>
      </c>
      <c r="B26">
        <v>10540005</v>
      </c>
      <c r="C26" t="s">
        <v>36</v>
      </c>
      <c r="D26">
        <v>8927</v>
      </c>
      <c r="H26" s="14" t="s">
        <v>101</v>
      </c>
      <c r="I26" s="15" t="str">
        <f t="shared" si="0"/>
        <v>105400050002</v>
      </c>
      <c r="J26" s="15">
        <v>10540005</v>
      </c>
      <c r="K26" s="16" t="s">
        <v>77</v>
      </c>
      <c r="L26" s="17" t="s">
        <v>36</v>
      </c>
      <c r="M26" s="17">
        <v>8927</v>
      </c>
    </row>
    <row r="27" spans="1:31" x14ac:dyDescent="0.25">
      <c r="A27" t="s">
        <v>65</v>
      </c>
      <c r="B27">
        <v>10540005</v>
      </c>
      <c r="C27" t="s">
        <v>36</v>
      </c>
      <c r="D27">
        <v>2555</v>
      </c>
      <c r="H27" s="14" t="s">
        <v>65</v>
      </c>
      <c r="I27" s="15" t="str">
        <f t="shared" si="0"/>
        <v>105400050002</v>
      </c>
      <c r="J27" s="15">
        <v>10540005</v>
      </c>
      <c r="K27" s="16" t="s">
        <v>77</v>
      </c>
      <c r="L27" s="17" t="s">
        <v>36</v>
      </c>
      <c r="M27" s="17">
        <v>2555</v>
      </c>
    </row>
    <row r="28" spans="1:31" x14ac:dyDescent="0.25">
      <c r="A28" t="s">
        <v>55</v>
      </c>
      <c r="B28">
        <v>10540017</v>
      </c>
      <c r="C28" t="s">
        <v>12</v>
      </c>
      <c r="D28">
        <v>6236</v>
      </c>
      <c r="H28" s="14" t="s">
        <v>55</v>
      </c>
      <c r="I28" s="15" t="str">
        <f t="shared" si="0"/>
        <v>105400170002</v>
      </c>
      <c r="J28" s="15">
        <v>10540017</v>
      </c>
      <c r="K28" s="16" t="s">
        <v>77</v>
      </c>
      <c r="L28" s="17" t="s">
        <v>12</v>
      </c>
      <c r="M28" s="17">
        <v>6236</v>
      </c>
    </row>
    <row r="29" spans="1:31" x14ac:dyDescent="0.25">
      <c r="A29" t="s">
        <v>73</v>
      </c>
      <c r="D29">
        <v>204394</v>
      </c>
      <c r="H29" s="13" t="s">
        <v>73</v>
      </c>
      <c r="I29" s="13"/>
      <c r="J29" s="13"/>
      <c r="K29" s="13"/>
      <c r="L29" s="13"/>
      <c r="M29" s="13">
        <v>204394</v>
      </c>
    </row>
    <row r="32" spans="1:31" x14ac:dyDescent="0.25">
      <c r="AE32" s="18" t="e">
        <f>SUM(#REF!)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9490-BBB5-4F12-8598-80FF370CE79B}">
  <dimension ref="A1:V27"/>
  <sheetViews>
    <sheetView tabSelected="1" topLeftCell="B1" workbookViewId="0">
      <selection activeCell="R32" sqref="R32"/>
    </sheetView>
  </sheetViews>
  <sheetFormatPr defaultRowHeight="12" x14ac:dyDescent="0.2"/>
  <cols>
    <col min="1" max="1" width="5.85546875" style="20" bestFit="1" customWidth="1"/>
    <col min="2" max="2" width="7.42578125" style="20" bestFit="1" customWidth="1"/>
    <col min="3" max="3" width="16.28515625" style="20" customWidth="1"/>
    <col min="4" max="4" width="9" style="20" bestFit="1" customWidth="1"/>
    <col min="5" max="5" width="9" style="20" customWidth="1"/>
    <col min="6" max="6" width="27.42578125" style="20" bestFit="1" customWidth="1"/>
    <col min="7" max="7" width="5.7109375" style="20" bestFit="1" customWidth="1"/>
    <col min="8" max="8" width="8.85546875" style="20" bestFit="1" customWidth="1"/>
    <col min="9" max="9" width="7.85546875" style="20" bestFit="1" customWidth="1"/>
    <col min="10" max="10" width="8" style="20" bestFit="1" customWidth="1"/>
    <col min="11" max="11" width="8.85546875" style="20" bestFit="1" customWidth="1"/>
    <col min="12" max="12" width="9.7109375" style="20" bestFit="1" customWidth="1"/>
    <col min="13" max="14" width="9.7109375" style="20" customWidth="1"/>
    <col min="15" max="15" width="32" style="20" bestFit="1" customWidth="1"/>
    <col min="16" max="16" width="12.5703125" style="20" bestFit="1" customWidth="1"/>
    <col min="17" max="17" width="22" style="20" bestFit="1" customWidth="1"/>
    <col min="18" max="18" width="17.28515625" style="20" bestFit="1" customWidth="1"/>
    <col min="19" max="19" width="14.28515625" style="20" bestFit="1" customWidth="1"/>
    <col min="20" max="20" width="21" style="20" bestFit="1" customWidth="1"/>
    <col min="21" max="16384" width="9.140625" style="20"/>
  </cols>
  <sheetData>
    <row r="1" spans="1:22" ht="36" x14ac:dyDescent="0.2">
      <c r="A1" s="19" t="s">
        <v>79</v>
      </c>
      <c r="B1" s="19" t="s">
        <v>80</v>
      </c>
      <c r="C1" s="19" t="s">
        <v>78</v>
      </c>
      <c r="D1" s="19" t="s">
        <v>81</v>
      </c>
      <c r="E1" s="19" t="s">
        <v>76</v>
      </c>
      <c r="F1" s="19" t="s">
        <v>82</v>
      </c>
      <c r="G1" s="19" t="s">
        <v>83</v>
      </c>
      <c r="H1" s="19" t="s">
        <v>84</v>
      </c>
      <c r="I1" s="19" t="s">
        <v>85</v>
      </c>
      <c r="J1" s="19" t="s">
        <v>86</v>
      </c>
      <c r="K1" s="19" t="s">
        <v>87</v>
      </c>
      <c r="L1" s="19" t="s">
        <v>88</v>
      </c>
      <c r="M1" s="19" t="s">
        <v>160</v>
      </c>
      <c r="N1" s="19" t="s">
        <v>161</v>
      </c>
      <c r="O1" s="19" t="s">
        <v>89</v>
      </c>
      <c r="P1" s="19" t="s">
        <v>72</v>
      </c>
      <c r="Q1" s="19" t="s">
        <v>123</v>
      </c>
      <c r="R1" s="19" t="s">
        <v>124</v>
      </c>
      <c r="S1" s="19" t="s">
        <v>125</v>
      </c>
      <c r="T1" s="19" t="s">
        <v>126</v>
      </c>
      <c r="U1" s="19" t="s">
        <v>160</v>
      </c>
      <c r="V1" s="19" t="s">
        <v>161</v>
      </c>
    </row>
    <row r="2" spans="1:22" x14ac:dyDescent="0.2">
      <c r="A2" s="21">
        <v>1054</v>
      </c>
      <c r="B2" s="29" t="s">
        <v>90</v>
      </c>
      <c r="C2" s="29" t="str">
        <f>CONCATENATE(D2,E2)</f>
        <v>105400050002</v>
      </c>
      <c r="D2" s="21">
        <v>10540005</v>
      </c>
      <c r="E2" s="23" t="s">
        <v>77</v>
      </c>
      <c r="F2" s="25" t="s">
        <v>91</v>
      </c>
      <c r="G2" s="30" t="s">
        <v>92</v>
      </c>
      <c r="H2" s="30" t="s">
        <v>93</v>
      </c>
      <c r="I2" s="22">
        <v>317.40000000000009</v>
      </c>
      <c r="J2" s="22">
        <v>12258.245850840001</v>
      </c>
      <c r="K2" s="31">
        <v>1251</v>
      </c>
      <c r="L2" s="32">
        <v>0</v>
      </c>
      <c r="M2" s="32">
        <v>278</v>
      </c>
      <c r="N2" s="32">
        <v>298</v>
      </c>
      <c r="O2" s="23" t="s">
        <v>94</v>
      </c>
      <c r="P2" s="24" t="s">
        <v>95</v>
      </c>
      <c r="Q2" s="25" t="s">
        <v>127</v>
      </c>
      <c r="R2" s="25" t="s">
        <v>128</v>
      </c>
      <c r="S2" s="25" t="s">
        <v>129</v>
      </c>
      <c r="T2" s="25" t="s">
        <v>130</v>
      </c>
      <c r="U2" s="25">
        <v>278</v>
      </c>
      <c r="V2" s="25">
        <v>298</v>
      </c>
    </row>
    <row r="3" spans="1:22" x14ac:dyDescent="0.2">
      <c r="A3" s="21">
        <v>1054</v>
      </c>
      <c r="B3" s="29" t="s">
        <v>90</v>
      </c>
      <c r="C3" s="29" t="str">
        <f t="shared" ref="C3:C25" si="0">CONCATENATE(D3,E3)</f>
        <v>105400050002</v>
      </c>
      <c r="D3" s="21">
        <v>10540005</v>
      </c>
      <c r="E3" s="23" t="s">
        <v>77</v>
      </c>
      <c r="F3" s="25" t="s">
        <v>91</v>
      </c>
      <c r="G3" s="30" t="s">
        <v>92</v>
      </c>
      <c r="H3" s="30" t="s">
        <v>93</v>
      </c>
      <c r="I3" s="22">
        <v>341.20000000000005</v>
      </c>
      <c r="J3" s="22">
        <v>13505.449094280002</v>
      </c>
      <c r="K3" s="31">
        <v>1385</v>
      </c>
      <c r="L3" s="32">
        <v>0</v>
      </c>
      <c r="M3" s="32">
        <v>278</v>
      </c>
      <c r="N3" s="32">
        <v>298</v>
      </c>
      <c r="O3" s="23" t="s">
        <v>94</v>
      </c>
      <c r="P3" s="24" t="s">
        <v>96</v>
      </c>
      <c r="Q3" s="25" t="s">
        <v>127</v>
      </c>
      <c r="R3" s="25" t="s">
        <v>128</v>
      </c>
      <c r="S3" s="25" t="s">
        <v>129</v>
      </c>
      <c r="T3" s="25" t="s">
        <v>130</v>
      </c>
      <c r="U3" s="25">
        <v>278</v>
      </c>
      <c r="V3" s="25">
        <v>298</v>
      </c>
    </row>
    <row r="4" spans="1:22" x14ac:dyDescent="0.2">
      <c r="A4" s="21">
        <v>1054</v>
      </c>
      <c r="B4" s="29" t="s">
        <v>90</v>
      </c>
      <c r="C4" s="29" t="str">
        <f t="shared" si="0"/>
        <v>101101430002</v>
      </c>
      <c r="D4" s="21">
        <v>10110143</v>
      </c>
      <c r="E4" s="23" t="s">
        <v>77</v>
      </c>
      <c r="F4" s="25" t="s">
        <v>97</v>
      </c>
      <c r="G4" s="30" t="s">
        <v>92</v>
      </c>
      <c r="H4" s="30" t="s">
        <v>93</v>
      </c>
      <c r="I4" s="22">
        <v>1801.7</v>
      </c>
      <c r="J4" s="22">
        <v>71253.184792680011</v>
      </c>
      <c r="K4" s="31">
        <v>8503</v>
      </c>
      <c r="L4" s="32">
        <v>0</v>
      </c>
      <c r="M4" s="32">
        <v>691</v>
      </c>
      <c r="N4" s="32">
        <v>737</v>
      </c>
      <c r="O4" s="23" t="s">
        <v>94</v>
      </c>
      <c r="P4" s="24" t="s">
        <v>98</v>
      </c>
      <c r="Q4" s="25" t="s">
        <v>131</v>
      </c>
      <c r="R4" s="25" t="s">
        <v>132</v>
      </c>
      <c r="S4" s="25" t="s">
        <v>133</v>
      </c>
      <c r="T4" s="25" t="s">
        <v>134</v>
      </c>
      <c r="U4" s="25">
        <v>691</v>
      </c>
      <c r="V4" s="25">
        <v>737</v>
      </c>
    </row>
    <row r="5" spans="1:22" x14ac:dyDescent="0.2">
      <c r="A5" s="21">
        <v>1054</v>
      </c>
      <c r="B5" s="29" t="s">
        <v>90</v>
      </c>
      <c r="C5" s="29" t="str">
        <f t="shared" si="0"/>
        <v>105400050002</v>
      </c>
      <c r="D5" s="21">
        <v>10540005</v>
      </c>
      <c r="E5" s="23" t="s">
        <v>77</v>
      </c>
      <c r="F5" s="25" t="s">
        <v>91</v>
      </c>
      <c r="G5" s="30" t="s">
        <v>92</v>
      </c>
      <c r="H5" s="30" t="s">
        <v>93</v>
      </c>
      <c r="I5" s="22">
        <v>383.7</v>
      </c>
      <c r="J5" s="22">
        <v>15697.970865720003</v>
      </c>
      <c r="K5" s="31">
        <v>1870</v>
      </c>
      <c r="L5" s="32">
        <v>0</v>
      </c>
      <c r="M5" s="32">
        <v>278</v>
      </c>
      <c r="N5" s="32">
        <v>298</v>
      </c>
      <c r="O5" s="23" t="s">
        <v>94</v>
      </c>
      <c r="P5" s="24" t="s">
        <v>98</v>
      </c>
      <c r="Q5" s="25" t="s">
        <v>127</v>
      </c>
      <c r="R5" s="25" t="s">
        <v>128</v>
      </c>
      <c r="S5" s="25" t="s">
        <v>129</v>
      </c>
      <c r="T5" s="25" t="s">
        <v>130</v>
      </c>
      <c r="U5" s="25">
        <v>278</v>
      </c>
      <c r="V5" s="25">
        <v>298</v>
      </c>
    </row>
    <row r="6" spans="1:22" x14ac:dyDescent="0.2">
      <c r="A6" s="21">
        <v>1054</v>
      </c>
      <c r="B6" s="29" t="s">
        <v>90</v>
      </c>
      <c r="C6" s="29" t="str">
        <f t="shared" si="0"/>
        <v>105400050002</v>
      </c>
      <c r="D6" s="21">
        <v>10540005</v>
      </c>
      <c r="E6" s="23" t="s">
        <v>77</v>
      </c>
      <c r="F6" s="25" t="s">
        <v>91</v>
      </c>
      <c r="G6" s="30" t="s">
        <v>92</v>
      </c>
      <c r="H6" s="30" t="s">
        <v>93</v>
      </c>
      <c r="I6" s="22">
        <v>478.5</v>
      </c>
      <c r="J6" s="22">
        <v>20550.472121520001</v>
      </c>
      <c r="K6" s="31">
        <v>6221</v>
      </c>
      <c r="L6" s="32">
        <v>0</v>
      </c>
      <c r="M6" s="32">
        <v>278</v>
      </c>
      <c r="N6" s="32">
        <v>298</v>
      </c>
      <c r="O6" s="23" t="s">
        <v>94</v>
      </c>
      <c r="P6" s="24" t="s">
        <v>99</v>
      </c>
      <c r="Q6" s="25" t="s">
        <v>127</v>
      </c>
      <c r="R6" s="25" t="s">
        <v>128</v>
      </c>
      <c r="S6" s="25" t="s">
        <v>129</v>
      </c>
      <c r="T6" s="25" t="s">
        <v>130</v>
      </c>
      <c r="U6" s="25">
        <v>278</v>
      </c>
      <c r="V6" s="25">
        <v>298</v>
      </c>
    </row>
    <row r="7" spans="1:22" x14ac:dyDescent="0.2">
      <c r="A7" s="21">
        <v>1054</v>
      </c>
      <c r="B7" s="29" t="s">
        <v>90</v>
      </c>
      <c r="C7" s="29" t="str">
        <f t="shared" si="0"/>
        <v>105400050002</v>
      </c>
      <c r="D7" s="21">
        <v>10540005</v>
      </c>
      <c r="E7" s="23" t="s">
        <v>77</v>
      </c>
      <c r="F7" s="25" t="s">
        <v>91</v>
      </c>
      <c r="G7" s="30" t="s">
        <v>92</v>
      </c>
      <c r="H7" s="30" t="s">
        <v>93</v>
      </c>
      <c r="I7" s="22">
        <v>177.70000000000002</v>
      </c>
      <c r="J7" s="22">
        <v>6872.7088805999992</v>
      </c>
      <c r="K7" s="31">
        <v>2555</v>
      </c>
      <c r="L7" s="32">
        <v>0</v>
      </c>
      <c r="M7" s="32">
        <v>278</v>
      </c>
      <c r="N7" s="32">
        <v>298</v>
      </c>
      <c r="O7" s="23" t="s">
        <v>94</v>
      </c>
      <c r="P7" s="24" t="s">
        <v>100</v>
      </c>
      <c r="Q7" s="25" t="s">
        <v>127</v>
      </c>
      <c r="R7" s="25" t="s">
        <v>128</v>
      </c>
      <c r="S7" s="25" t="s">
        <v>129</v>
      </c>
      <c r="T7" s="25" t="s">
        <v>130</v>
      </c>
      <c r="U7" s="25">
        <v>278</v>
      </c>
      <c r="V7" s="25">
        <v>298</v>
      </c>
    </row>
    <row r="8" spans="1:22" x14ac:dyDescent="0.2">
      <c r="A8" s="21">
        <v>1054</v>
      </c>
      <c r="B8" s="29" t="s">
        <v>90</v>
      </c>
      <c r="C8" s="29" t="str">
        <f t="shared" si="0"/>
        <v>101101120002</v>
      </c>
      <c r="D8" s="21">
        <v>10110112</v>
      </c>
      <c r="E8" s="23" t="s">
        <v>77</v>
      </c>
      <c r="F8" s="25" t="s">
        <v>102</v>
      </c>
      <c r="G8" s="30" t="s">
        <v>92</v>
      </c>
      <c r="H8" s="30" t="s">
        <v>93</v>
      </c>
      <c r="I8" s="22">
        <v>106.60000000000001</v>
      </c>
      <c r="J8" s="22">
        <v>3596.8090356000012</v>
      </c>
      <c r="K8" s="31">
        <v>3597</v>
      </c>
      <c r="L8" s="32">
        <v>0</v>
      </c>
      <c r="M8" s="32">
        <v>81</v>
      </c>
      <c r="N8" s="32">
        <v>0</v>
      </c>
      <c r="O8" s="23" t="s">
        <v>94</v>
      </c>
      <c r="P8" s="24" t="s">
        <v>103</v>
      </c>
      <c r="Q8" s="25" t="s">
        <v>135</v>
      </c>
      <c r="R8" s="25" t="s">
        <v>136</v>
      </c>
      <c r="S8" s="25" t="s">
        <v>137</v>
      </c>
      <c r="T8" s="25" t="s">
        <v>138</v>
      </c>
      <c r="U8" s="25">
        <v>81</v>
      </c>
      <c r="V8" s="25">
        <v>0</v>
      </c>
    </row>
    <row r="9" spans="1:22" x14ac:dyDescent="0.2">
      <c r="A9" s="21">
        <v>1054</v>
      </c>
      <c r="B9" s="29" t="s">
        <v>90</v>
      </c>
      <c r="C9" s="29" t="str">
        <f t="shared" si="0"/>
        <v>101101120002</v>
      </c>
      <c r="D9" s="21">
        <v>10110112</v>
      </c>
      <c r="E9" s="23" t="s">
        <v>77</v>
      </c>
      <c r="F9" s="25" t="s">
        <v>102</v>
      </c>
      <c r="G9" s="30" t="s">
        <v>92</v>
      </c>
      <c r="H9" s="30" t="s">
        <v>93</v>
      </c>
      <c r="I9" s="22">
        <v>94.600000000000009</v>
      </c>
      <c r="J9" s="22">
        <v>3535.12</v>
      </c>
      <c r="K9" s="31">
        <v>3535</v>
      </c>
      <c r="L9" s="32">
        <v>0</v>
      </c>
      <c r="M9" s="32">
        <v>81</v>
      </c>
      <c r="N9" s="32">
        <v>0</v>
      </c>
      <c r="O9" s="23" t="s">
        <v>94</v>
      </c>
      <c r="P9" s="24" t="s">
        <v>104</v>
      </c>
      <c r="Q9" s="25" t="s">
        <v>135</v>
      </c>
      <c r="R9" s="25" t="s">
        <v>136</v>
      </c>
      <c r="S9" s="25" t="s">
        <v>137</v>
      </c>
      <c r="T9" s="25" t="s">
        <v>138</v>
      </c>
      <c r="U9" s="25">
        <v>81</v>
      </c>
      <c r="V9" s="25">
        <v>0</v>
      </c>
    </row>
    <row r="10" spans="1:22" x14ac:dyDescent="0.2">
      <c r="A10" s="21">
        <v>1054</v>
      </c>
      <c r="B10" s="29" t="s">
        <v>90</v>
      </c>
      <c r="C10" s="29" t="str">
        <f t="shared" si="0"/>
        <v>101101120002</v>
      </c>
      <c r="D10" s="21">
        <v>10110112</v>
      </c>
      <c r="E10" s="23" t="s">
        <v>77</v>
      </c>
      <c r="F10" s="25" t="s">
        <v>102</v>
      </c>
      <c r="G10" s="30" t="s">
        <v>92</v>
      </c>
      <c r="H10" s="30" t="s">
        <v>93</v>
      </c>
      <c r="I10" s="22">
        <v>134.6</v>
      </c>
      <c r="J10" s="22">
        <v>5096.8999999999987</v>
      </c>
      <c r="K10" s="31">
        <v>5097</v>
      </c>
      <c r="L10" s="32">
        <v>0</v>
      </c>
      <c r="M10" s="32">
        <v>81</v>
      </c>
      <c r="N10" s="32">
        <v>0</v>
      </c>
      <c r="O10" s="23" t="s">
        <v>94</v>
      </c>
      <c r="P10" s="24" t="s">
        <v>105</v>
      </c>
      <c r="Q10" s="25" t="s">
        <v>135</v>
      </c>
      <c r="R10" s="25" t="s">
        <v>136</v>
      </c>
      <c r="S10" s="25" t="s">
        <v>137</v>
      </c>
      <c r="T10" s="25" t="s">
        <v>138</v>
      </c>
      <c r="U10" s="25">
        <v>81</v>
      </c>
      <c r="V10" s="25">
        <v>0</v>
      </c>
    </row>
    <row r="11" spans="1:22" x14ac:dyDescent="0.2">
      <c r="A11" s="21">
        <v>1054</v>
      </c>
      <c r="B11" s="29" t="s">
        <v>90</v>
      </c>
      <c r="C11" s="29" t="str">
        <f t="shared" si="0"/>
        <v>101101430002</v>
      </c>
      <c r="D11" s="21">
        <v>10110143</v>
      </c>
      <c r="E11" s="23" t="s">
        <v>77</v>
      </c>
      <c r="F11" s="25" t="s">
        <v>97</v>
      </c>
      <c r="G11" s="30" t="s">
        <v>92</v>
      </c>
      <c r="H11" s="30" t="s">
        <v>93</v>
      </c>
      <c r="I11" s="22">
        <v>1455.7</v>
      </c>
      <c r="J11" s="22">
        <v>60609.320000000007</v>
      </c>
      <c r="K11" s="31">
        <v>2035</v>
      </c>
      <c r="L11" s="32">
        <v>0</v>
      </c>
      <c r="M11" s="32">
        <v>691</v>
      </c>
      <c r="N11" s="32">
        <v>737</v>
      </c>
      <c r="O11" s="23" t="s">
        <v>94</v>
      </c>
      <c r="P11" s="24" t="s">
        <v>105</v>
      </c>
      <c r="Q11" s="25" t="s">
        <v>131</v>
      </c>
      <c r="R11" s="25" t="s">
        <v>132</v>
      </c>
      <c r="S11" s="25" t="s">
        <v>133</v>
      </c>
      <c r="T11" s="25" t="s">
        <v>134</v>
      </c>
      <c r="U11" s="25">
        <v>691</v>
      </c>
      <c r="V11" s="25">
        <v>737</v>
      </c>
    </row>
    <row r="12" spans="1:22" x14ac:dyDescent="0.2">
      <c r="A12" s="21">
        <v>1054</v>
      </c>
      <c r="B12" s="29" t="s">
        <v>90</v>
      </c>
      <c r="C12" s="29" t="str">
        <f t="shared" si="0"/>
        <v>101101430002</v>
      </c>
      <c r="D12" s="21">
        <v>10110143</v>
      </c>
      <c r="E12" s="23" t="s">
        <v>77</v>
      </c>
      <c r="F12" s="25" t="s">
        <v>97</v>
      </c>
      <c r="G12" s="30" t="s">
        <v>92</v>
      </c>
      <c r="H12" s="30" t="s">
        <v>93</v>
      </c>
      <c r="I12" s="22">
        <v>1651.9999999999998</v>
      </c>
      <c r="J12" s="22">
        <v>68999.600000000006</v>
      </c>
      <c r="K12" s="31">
        <v>1201</v>
      </c>
      <c r="L12" s="32">
        <v>0</v>
      </c>
      <c r="M12" s="32">
        <v>691</v>
      </c>
      <c r="N12" s="32">
        <v>737</v>
      </c>
      <c r="O12" s="23" t="s">
        <v>94</v>
      </c>
      <c r="P12" s="24" t="s">
        <v>106</v>
      </c>
      <c r="Q12" s="25" t="s">
        <v>131</v>
      </c>
      <c r="R12" s="25" t="s">
        <v>132</v>
      </c>
      <c r="S12" s="25" t="s">
        <v>133</v>
      </c>
      <c r="T12" s="25" t="s">
        <v>134</v>
      </c>
      <c r="U12" s="25">
        <v>691</v>
      </c>
      <c r="V12" s="25">
        <v>737</v>
      </c>
    </row>
    <row r="13" spans="1:22" x14ac:dyDescent="0.2">
      <c r="A13" s="21">
        <v>1054</v>
      </c>
      <c r="B13" s="29" t="s">
        <v>90</v>
      </c>
      <c r="C13" s="29" t="str">
        <f t="shared" si="0"/>
        <v>101101120002</v>
      </c>
      <c r="D13" s="21">
        <v>10110112</v>
      </c>
      <c r="E13" s="23" t="s">
        <v>77</v>
      </c>
      <c r="F13" s="25" t="s">
        <v>102</v>
      </c>
      <c r="G13" s="30" t="s">
        <v>92</v>
      </c>
      <c r="H13" s="30" t="s">
        <v>93</v>
      </c>
      <c r="I13" s="22">
        <v>271.5</v>
      </c>
      <c r="J13" s="22">
        <v>9569.43</v>
      </c>
      <c r="K13" s="31">
        <v>9569</v>
      </c>
      <c r="L13" s="32">
        <v>0</v>
      </c>
      <c r="M13" s="32">
        <v>81</v>
      </c>
      <c r="N13" s="32">
        <v>0</v>
      </c>
      <c r="O13" s="23" t="s">
        <v>94</v>
      </c>
      <c r="P13" s="24" t="s">
        <v>107</v>
      </c>
      <c r="Q13" s="25" t="s">
        <v>135</v>
      </c>
      <c r="R13" s="25" t="s">
        <v>136</v>
      </c>
      <c r="S13" s="25" t="s">
        <v>137</v>
      </c>
      <c r="T13" s="25" t="s">
        <v>138</v>
      </c>
      <c r="U13" s="25">
        <v>81</v>
      </c>
      <c r="V13" s="25">
        <v>0</v>
      </c>
    </row>
    <row r="14" spans="1:22" x14ac:dyDescent="0.2">
      <c r="A14" s="21">
        <v>1054</v>
      </c>
      <c r="B14" s="29" t="s">
        <v>90</v>
      </c>
      <c r="C14" s="29" t="str">
        <f t="shared" si="0"/>
        <v>101101430002</v>
      </c>
      <c r="D14" s="21">
        <v>10110143</v>
      </c>
      <c r="E14" s="23" t="s">
        <v>77</v>
      </c>
      <c r="F14" s="25" t="s">
        <v>97</v>
      </c>
      <c r="G14" s="30" t="s">
        <v>92</v>
      </c>
      <c r="H14" s="30" t="s">
        <v>93</v>
      </c>
      <c r="I14" s="22">
        <v>1781</v>
      </c>
      <c r="J14" s="22">
        <v>72753.820000000007</v>
      </c>
      <c r="K14" s="31">
        <v>4069</v>
      </c>
      <c r="L14" s="32">
        <v>0</v>
      </c>
      <c r="M14" s="32">
        <v>691</v>
      </c>
      <c r="N14" s="32">
        <v>737</v>
      </c>
      <c r="O14" s="23" t="s">
        <v>94</v>
      </c>
      <c r="P14" s="24" t="s">
        <v>107</v>
      </c>
      <c r="Q14" s="25" t="s">
        <v>131</v>
      </c>
      <c r="R14" s="25" t="s">
        <v>132</v>
      </c>
      <c r="S14" s="25" t="s">
        <v>133</v>
      </c>
      <c r="T14" s="25" t="s">
        <v>134</v>
      </c>
      <c r="U14" s="25">
        <v>691</v>
      </c>
      <c r="V14" s="25">
        <v>737</v>
      </c>
    </row>
    <row r="15" spans="1:22" x14ac:dyDescent="0.2">
      <c r="A15" s="21">
        <v>1054</v>
      </c>
      <c r="B15" s="29" t="s">
        <v>90</v>
      </c>
      <c r="C15" s="29" t="str">
        <f t="shared" si="0"/>
        <v>105400050002</v>
      </c>
      <c r="D15" s="21">
        <v>10540005</v>
      </c>
      <c r="E15" s="23" t="s">
        <v>77</v>
      </c>
      <c r="F15" s="25" t="s">
        <v>91</v>
      </c>
      <c r="G15" s="30" t="s">
        <v>92</v>
      </c>
      <c r="H15" s="30" t="s">
        <v>93</v>
      </c>
      <c r="I15" s="22">
        <v>1250.9999999999998</v>
      </c>
      <c r="J15" s="22">
        <v>52891.700000000012</v>
      </c>
      <c r="K15" s="31">
        <v>8925</v>
      </c>
      <c r="L15" s="32" t="s">
        <v>108</v>
      </c>
      <c r="M15" s="32">
        <v>278</v>
      </c>
      <c r="N15" s="32">
        <v>298</v>
      </c>
      <c r="O15" s="23" t="s">
        <v>94</v>
      </c>
      <c r="P15" s="24" t="s">
        <v>109</v>
      </c>
      <c r="Q15" s="25" t="s">
        <v>127</v>
      </c>
      <c r="R15" s="25" t="s">
        <v>128</v>
      </c>
      <c r="S15" s="25" t="s">
        <v>129</v>
      </c>
      <c r="T15" s="25" t="s">
        <v>130</v>
      </c>
      <c r="U15" s="25">
        <v>278</v>
      </c>
      <c r="V15" s="25">
        <v>298</v>
      </c>
    </row>
    <row r="16" spans="1:22" x14ac:dyDescent="0.2">
      <c r="A16" s="21">
        <v>1054</v>
      </c>
      <c r="B16" s="29" t="s">
        <v>90</v>
      </c>
      <c r="C16" s="29" t="str">
        <f t="shared" si="0"/>
        <v>101101430002</v>
      </c>
      <c r="D16" s="21">
        <v>10110143</v>
      </c>
      <c r="E16" s="23" t="s">
        <v>77</v>
      </c>
      <c r="F16" s="25" t="s">
        <v>97</v>
      </c>
      <c r="G16" s="30" t="s">
        <v>92</v>
      </c>
      <c r="H16" s="30" t="s">
        <v>93</v>
      </c>
      <c r="I16" s="22">
        <v>1589.6000000000001</v>
      </c>
      <c r="J16" s="22">
        <v>66257.290000000008</v>
      </c>
      <c r="K16" s="31">
        <v>2291</v>
      </c>
      <c r="L16" s="32">
        <v>0</v>
      </c>
      <c r="M16" s="32">
        <v>691</v>
      </c>
      <c r="N16" s="32">
        <v>737</v>
      </c>
      <c r="O16" s="23" t="s">
        <v>94</v>
      </c>
      <c r="P16" s="24" t="s">
        <v>110</v>
      </c>
      <c r="Q16" s="25" t="s">
        <v>131</v>
      </c>
      <c r="R16" s="25" t="s">
        <v>132</v>
      </c>
      <c r="S16" s="25" t="s">
        <v>133</v>
      </c>
      <c r="T16" s="25" t="s">
        <v>134</v>
      </c>
      <c r="U16" s="25">
        <v>691</v>
      </c>
      <c r="V16" s="25">
        <v>737</v>
      </c>
    </row>
    <row r="17" spans="1:22" x14ac:dyDescent="0.2">
      <c r="A17" s="21">
        <v>1054</v>
      </c>
      <c r="B17" s="29" t="s">
        <v>90</v>
      </c>
      <c r="C17" s="29" t="str">
        <f t="shared" si="0"/>
        <v>101101430002</v>
      </c>
      <c r="D17" s="21">
        <v>10110143</v>
      </c>
      <c r="E17" s="23" t="s">
        <v>77</v>
      </c>
      <c r="F17" s="25" t="s">
        <v>97</v>
      </c>
      <c r="G17" s="30" t="s">
        <v>92</v>
      </c>
      <c r="H17" s="30" t="s">
        <v>93</v>
      </c>
      <c r="I17" s="22">
        <v>1401.2</v>
      </c>
      <c r="J17" s="22">
        <v>61733.719999999994</v>
      </c>
      <c r="K17" s="31">
        <v>5124</v>
      </c>
      <c r="L17" s="32">
        <v>0</v>
      </c>
      <c r="M17" s="32">
        <v>691</v>
      </c>
      <c r="N17" s="32">
        <v>737</v>
      </c>
      <c r="O17" s="23" t="s">
        <v>94</v>
      </c>
      <c r="P17" s="24" t="s">
        <v>111</v>
      </c>
      <c r="Q17" s="25" t="s">
        <v>131</v>
      </c>
      <c r="R17" s="25" t="s">
        <v>132</v>
      </c>
      <c r="S17" s="25" t="s">
        <v>133</v>
      </c>
      <c r="T17" s="25" t="s">
        <v>134</v>
      </c>
      <c r="U17" s="25">
        <v>691</v>
      </c>
      <c r="V17" s="25">
        <v>737</v>
      </c>
    </row>
    <row r="18" spans="1:22" x14ac:dyDescent="0.2">
      <c r="A18" s="21">
        <v>1054</v>
      </c>
      <c r="B18" s="29" t="s">
        <v>90</v>
      </c>
      <c r="C18" s="29" t="str">
        <f t="shared" si="0"/>
        <v>105400170002</v>
      </c>
      <c r="D18" s="21">
        <v>10540017</v>
      </c>
      <c r="E18" s="23" t="s">
        <v>77</v>
      </c>
      <c r="F18" s="25" t="s">
        <v>112</v>
      </c>
      <c r="G18" s="30" t="s">
        <v>92</v>
      </c>
      <c r="H18" s="30" t="s">
        <v>93</v>
      </c>
      <c r="I18" s="22">
        <v>657.3</v>
      </c>
      <c r="J18" s="22">
        <v>27138.79</v>
      </c>
      <c r="K18" s="31">
        <v>2606</v>
      </c>
      <c r="L18" s="32">
        <v>0</v>
      </c>
      <c r="M18" s="32">
        <v>777</v>
      </c>
      <c r="N18" s="32">
        <v>735</v>
      </c>
      <c r="O18" s="23" t="s">
        <v>94</v>
      </c>
      <c r="P18" s="24" t="s">
        <v>111</v>
      </c>
      <c r="Q18" s="25" t="s">
        <v>139</v>
      </c>
      <c r="R18" s="25" t="s">
        <v>140</v>
      </c>
      <c r="S18" s="25" t="s">
        <v>141</v>
      </c>
      <c r="T18" s="25" t="s">
        <v>142</v>
      </c>
      <c r="U18" s="25">
        <v>777</v>
      </c>
      <c r="V18" s="25">
        <v>735</v>
      </c>
    </row>
    <row r="19" spans="1:22" x14ac:dyDescent="0.2">
      <c r="A19" s="21">
        <v>1054</v>
      </c>
      <c r="B19" s="29" t="s">
        <v>90</v>
      </c>
      <c r="C19" s="29" t="str">
        <f t="shared" si="0"/>
        <v>105400180002</v>
      </c>
      <c r="D19" s="21">
        <v>10540018</v>
      </c>
      <c r="E19" s="23" t="s">
        <v>77</v>
      </c>
      <c r="F19" s="25" t="s">
        <v>113</v>
      </c>
      <c r="G19" s="30" t="s">
        <v>92</v>
      </c>
      <c r="H19" s="30" t="s">
        <v>93</v>
      </c>
      <c r="I19" s="22">
        <v>176.40000000000003</v>
      </c>
      <c r="J19" s="22">
        <v>8690.02</v>
      </c>
      <c r="K19" s="31">
        <v>2456</v>
      </c>
      <c r="L19" s="32">
        <v>0</v>
      </c>
      <c r="M19" s="32">
        <v>337</v>
      </c>
      <c r="N19" s="32">
        <v>349</v>
      </c>
      <c r="O19" s="23" t="s">
        <v>94</v>
      </c>
      <c r="P19" s="24" t="s">
        <v>111</v>
      </c>
      <c r="Q19" s="25" t="s">
        <v>143</v>
      </c>
      <c r="R19" s="25" t="s">
        <v>144</v>
      </c>
      <c r="S19" s="25" t="s">
        <v>145</v>
      </c>
      <c r="T19" s="25" t="s">
        <v>146</v>
      </c>
      <c r="U19" s="25">
        <v>337</v>
      </c>
      <c r="V19" s="25">
        <v>349</v>
      </c>
    </row>
    <row r="20" spans="1:22" x14ac:dyDescent="0.2">
      <c r="A20" s="21">
        <v>1054</v>
      </c>
      <c r="B20" s="29" t="s">
        <v>90</v>
      </c>
      <c r="C20" s="29" t="str">
        <f t="shared" si="0"/>
        <v>101101330002</v>
      </c>
      <c r="D20" s="21">
        <v>10110133</v>
      </c>
      <c r="E20" s="23" t="s">
        <v>77</v>
      </c>
      <c r="F20" s="25" t="s">
        <v>114</v>
      </c>
      <c r="G20" s="30" t="s">
        <v>92</v>
      </c>
      <c r="H20" s="30" t="s">
        <v>93</v>
      </c>
      <c r="I20" s="22">
        <v>3557.0000000000005</v>
      </c>
      <c r="J20" s="22">
        <v>150977.19</v>
      </c>
      <c r="K20" s="31">
        <v>18481</v>
      </c>
      <c r="L20" s="32">
        <v>0</v>
      </c>
      <c r="M20" s="32">
        <v>2436</v>
      </c>
      <c r="N20" s="32">
        <v>2465</v>
      </c>
      <c r="O20" s="23" t="s">
        <v>94</v>
      </c>
      <c r="P20" s="24" t="s">
        <v>115</v>
      </c>
      <c r="Q20" s="25" t="s">
        <v>147</v>
      </c>
      <c r="R20" s="25" t="s">
        <v>148</v>
      </c>
      <c r="S20" s="25" t="s">
        <v>149</v>
      </c>
      <c r="T20" s="25" t="s">
        <v>146</v>
      </c>
      <c r="U20" s="25">
        <v>2436</v>
      </c>
      <c r="V20" s="25">
        <v>2465</v>
      </c>
    </row>
    <row r="21" spans="1:22" x14ac:dyDescent="0.2">
      <c r="A21" s="21">
        <v>1054</v>
      </c>
      <c r="B21" s="29" t="s">
        <v>90</v>
      </c>
      <c r="C21" s="29" t="str">
        <f t="shared" si="0"/>
        <v>105400030002</v>
      </c>
      <c r="D21" s="21">
        <v>10540003</v>
      </c>
      <c r="E21" s="23" t="s">
        <v>77</v>
      </c>
      <c r="F21" s="25" t="s">
        <v>116</v>
      </c>
      <c r="G21" s="30" t="s">
        <v>92</v>
      </c>
      <c r="H21" s="30" t="s">
        <v>93</v>
      </c>
      <c r="I21" s="22">
        <v>3012.2999999999997</v>
      </c>
      <c r="J21" s="22">
        <v>128037.71</v>
      </c>
      <c r="K21" s="31">
        <v>38803</v>
      </c>
      <c r="L21" s="32">
        <v>0</v>
      </c>
      <c r="M21" s="32">
        <v>2886</v>
      </c>
      <c r="N21" s="32">
        <v>2764</v>
      </c>
      <c r="O21" s="23" t="s">
        <v>94</v>
      </c>
      <c r="P21" s="24" t="s">
        <v>117</v>
      </c>
      <c r="Q21" s="25" t="s">
        <v>150</v>
      </c>
      <c r="R21" s="25" t="s">
        <v>151</v>
      </c>
      <c r="S21" s="25" t="s">
        <v>149</v>
      </c>
      <c r="T21" s="25" t="s">
        <v>146</v>
      </c>
      <c r="U21" s="25">
        <v>2886</v>
      </c>
      <c r="V21" s="25">
        <v>2764</v>
      </c>
    </row>
    <row r="22" spans="1:22" x14ac:dyDescent="0.2">
      <c r="A22" s="21">
        <v>1054</v>
      </c>
      <c r="B22" s="29" t="s">
        <v>90</v>
      </c>
      <c r="C22" s="29" t="str">
        <f t="shared" si="0"/>
        <v>105400090002</v>
      </c>
      <c r="D22" s="21">
        <v>10540009</v>
      </c>
      <c r="E22" s="23" t="s">
        <v>77</v>
      </c>
      <c r="F22" s="25" t="s">
        <v>118</v>
      </c>
      <c r="G22" s="30" t="s">
        <v>92</v>
      </c>
      <c r="H22" s="30" t="s">
        <v>93</v>
      </c>
      <c r="I22" s="22">
        <v>1544.3</v>
      </c>
      <c r="J22" s="22">
        <v>69941.200000000012</v>
      </c>
      <c r="K22" s="31">
        <v>18005</v>
      </c>
      <c r="L22" s="32">
        <v>0</v>
      </c>
      <c r="M22" s="32">
        <v>898</v>
      </c>
      <c r="N22" s="32">
        <v>1114</v>
      </c>
      <c r="O22" s="23" t="s">
        <v>94</v>
      </c>
      <c r="P22" s="24" t="s">
        <v>119</v>
      </c>
      <c r="Q22" s="25" t="s">
        <v>152</v>
      </c>
      <c r="R22" s="25" t="s">
        <v>153</v>
      </c>
      <c r="S22" s="25" t="s">
        <v>154</v>
      </c>
      <c r="T22" s="25" t="s">
        <v>155</v>
      </c>
      <c r="U22" s="25">
        <v>898</v>
      </c>
      <c r="V22" s="25">
        <v>1114</v>
      </c>
    </row>
    <row r="23" spans="1:22" x14ac:dyDescent="0.2">
      <c r="A23" s="21">
        <v>1054</v>
      </c>
      <c r="B23" s="29" t="s">
        <v>90</v>
      </c>
      <c r="C23" s="29" t="str">
        <f t="shared" si="0"/>
        <v>101101290002</v>
      </c>
      <c r="D23" s="21">
        <v>10110129</v>
      </c>
      <c r="E23" s="23" t="s">
        <v>77</v>
      </c>
      <c r="F23" s="25" t="s">
        <v>120</v>
      </c>
      <c r="G23" s="30" t="s">
        <v>92</v>
      </c>
      <c r="H23" s="30" t="s">
        <v>93</v>
      </c>
      <c r="I23" s="22">
        <v>935.89999999999986</v>
      </c>
      <c r="J23" s="22">
        <v>35681.780000000006</v>
      </c>
      <c r="K23" s="31">
        <v>35682</v>
      </c>
      <c r="L23" s="32">
        <v>0</v>
      </c>
      <c r="M23" s="32">
        <v>813</v>
      </c>
      <c r="N23" s="32">
        <v>816</v>
      </c>
      <c r="O23" s="23" t="s">
        <v>94</v>
      </c>
      <c r="P23" s="24" t="s">
        <v>121</v>
      </c>
      <c r="Q23" s="25" t="s">
        <v>156</v>
      </c>
      <c r="R23" s="25" t="s">
        <v>157</v>
      </c>
      <c r="S23" s="25" t="s">
        <v>141</v>
      </c>
      <c r="T23" s="25" t="s">
        <v>142</v>
      </c>
      <c r="U23" s="25">
        <v>813</v>
      </c>
      <c r="V23" s="25">
        <v>816</v>
      </c>
    </row>
    <row r="24" spans="1:22" x14ac:dyDescent="0.2">
      <c r="A24" s="21">
        <v>1054</v>
      </c>
      <c r="B24" s="29" t="s">
        <v>90</v>
      </c>
      <c r="C24" s="29" t="str">
        <f t="shared" si="0"/>
        <v>101101400002</v>
      </c>
      <c r="D24" s="21">
        <v>10110140</v>
      </c>
      <c r="E24" s="23" t="s">
        <v>77</v>
      </c>
      <c r="F24" s="25" t="s">
        <v>52</v>
      </c>
      <c r="G24" s="30" t="s">
        <v>92</v>
      </c>
      <c r="H24" s="30" t="s">
        <v>93</v>
      </c>
      <c r="I24" s="22">
        <v>386.3</v>
      </c>
      <c r="J24" s="22">
        <v>16112.99</v>
      </c>
      <c r="K24" s="31">
        <v>12614</v>
      </c>
      <c r="L24" s="32">
        <v>0</v>
      </c>
      <c r="M24" s="32">
        <v>172</v>
      </c>
      <c r="N24" s="32">
        <v>153</v>
      </c>
      <c r="O24" s="23" t="s">
        <v>94</v>
      </c>
      <c r="P24" s="24" t="s">
        <v>121</v>
      </c>
      <c r="Q24" s="25" t="s">
        <v>158</v>
      </c>
      <c r="R24" s="25" t="s">
        <v>159</v>
      </c>
      <c r="S24" s="25" t="s">
        <v>133</v>
      </c>
      <c r="T24" s="25" t="s">
        <v>134</v>
      </c>
      <c r="U24" s="25">
        <v>172</v>
      </c>
      <c r="V24" s="25">
        <v>153</v>
      </c>
    </row>
    <row r="25" spans="1:22" x14ac:dyDescent="0.2">
      <c r="A25" s="21">
        <v>1054</v>
      </c>
      <c r="B25" s="29" t="s">
        <v>90</v>
      </c>
      <c r="C25" s="29" t="str">
        <f t="shared" si="0"/>
        <v>105400170002</v>
      </c>
      <c r="D25" s="21">
        <v>10540017</v>
      </c>
      <c r="E25" s="23" t="s">
        <v>77</v>
      </c>
      <c r="F25" s="25" t="s">
        <v>112</v>
      </c>
      <c r="G25" s="30" t="s">
        <v>92</v>
      </c>
      <c r="H25" s="30" t="s">
        <v>93</v>
      </c>
      <c r="I25" s="22">
        <v>660.30000000000007</v>
      </c>
      <c r="J25" s="22">
        <v>27008.57</v>
      </c>
      <c r="K25" s="31">
        <v>6236</v>
      </c>
      <c r="L25" s="32">
        <v>0</v>
      </c>
      <c r="M25" s="32">
        <v>777</v>
      </c>
      <c r="N25" s="32">
        <v>735</v>
      </c>
      <c r="O25" s="23" t="s">
        <v>94</v>
      </c>
      <c r="P25" s="24" t="s">
        <v>122</v>
      </c>
      <c r="Q25" s="25" t="s">
        <v>139</v>
      </c>
      <c r="R25" s="25" t="s">
        <v>140</v>
      </c>
      <c r="S25" s="25" t="s">
        <v>141</v>
      </c>
      <c r="T25" s="25" t="s">
        <v>142</v>
      </c>
      <c r="U25" s="25">
        <v>777</v>
      </c>
      <c r="V25" s="25">
        <v>735</v>
      </c>
    </row>
    <row r="26" spans="1:22" ht="12.75" thickBo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7">
        <f>SUM(K2:K25)</f>
        <v>202111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 spans="1:22" ht="12.75" thickTop="1" x14ac:dyDescent="0.2"/>
  </sheetData>
  <autoFilter ref="A1:T26" xr:uid="{46B79490-BBB5-4F12-8598-80FF370CE79B}"/>
  <conditionalFormatting sqref="D3">
    <cfRule type="duplicateValues" dxfId="41" priority="87"/>
    <cfRule type="duplicateValues" dxfId="40" priority="88"/>
  </conditionalFormatting>
  <conditionalFormatting sqref="D4:D5">
    <cfRule type="duplicateValues" dxfId="39" priority="82"/>
    <cfRule type="duplicateValues" dxfId="38" priority="83"/>
  </conditionalFormatting>
  <conditionalFormatting sqref="D6">
    <cfRule type="duplicateValues" dxfId="37" priority="77"/>
    <cfRule type="duplicateValues" dxfId="36" priority="78"/>
  </conditionalFormatting>
  <conditionalFormatting sqref="D7">
    <cfRule type="duplicateValues" dxfId="35" priority="72"/>
    <cfRule type="duplicateValues" dxfId="34" priority="73"/>
  </conditionalFormatting>
  <conditionalFormatting sqref="D8">
    <cfRule type="duplicateValues" dxfId="33" priority="67"/>
    <cfRule type="duplicateValues" dxfId="32" priority="68"/>
  </conditionalFormatting>
  <conditionalFormatting sqref="D9">
    <cfRule type="duplicateValues" dxfId="31" priority="62"/>
    <cfRule type="duplicateValues" dxfId="30" priority="63"/>
  </conditionalFormatting>
  <conditionalFormatting sqref="D10:D11">
    <cfRule type="duplicateValues" dxfId="29" priority="57"/>
    <cfRule type="duplicateValues" dxfId="28" priority="58"/>
  </conditionalFormatting>
  <conditionalFormatting sqref="D12">
    <cfRule type="duplicateValues" dxfId="27" priority="52"/>
    <cfRule type="duplicateValues" dxfId="26" priority="53"/>
  </conditionalFormatting>
  <conditionalFormatting sqref="D13:D14">
    <cfRule type="duplicateValues" dxfId="25" priority="47"/>
    <cfRule type="duplicateValues" dxfId="24" priority="48"/>
  </conditionalFormatting>
  <conditionalFormatting sqref="D15">
    <cfRule type="duplicateValues" dxfId="23" priority="42"/>
    <cfRule type="duplicateValues" dxfId="22" priority="43"/>
  </conditionalFormatting>
  <conditionalFormatting sqref="D16">
    <cfRule type="duplicateValues" dxfId="21" priority="37"/>
    <cfRule type="duplicateValues" dxfId="20" priority="38"/>
  </conditionalFormatting>
  <conditionalFormatting sqref="D17:D19">
    <cfRule type="duplicateValues" dxfId="19" priority="32"/>
    <cfRule type="duplicateValues" dxfId="18" priority="33"/>
  </conditionalFormatting>
  <conditionalFormatting sqref="D20">
    <cfRule type="duplicateValues" dxfId="17" priority="27"/>
    <cfRule type="duplicateValues" dxfId="16" priority="28"/>
  </conditionalFormatting>
  <conditionalFormatting sqref="D21">
    <cfRule type="duplicateValues" dxfId="15" priority="22"/>
    <cfRule type="duplicateValues" dxfId="14" priority="23"/>
  </conditionalFormatting>
  <conditionalFormatting sqref="D22">
    <cfRule type="duplicateValues" dxfId="13" priority="17"/>
    <cfRule type="duplicateValues" dxfId="12" priority="18"/>
  </conditionalFormatting>
  <conditionalFormatting sqref="D23:D24">
    <cfRule type="duplicateValues" dxfId="11" priority="12"/>
    <cfRule type="duplicateValues" dxfId="10" priority="13"/>
  </conditionalFormatting>
  <conditionalFormatting sqref="D25">
    <cfRule type="duplicateValues" dxfId="9" priority="7"/>
    <cfRule type="duplicateValues" dxfId="8" priority="8"/>
  </conditionalFormatting>
  <conditionalFormatting sqref="D1:E1">
    <cfRule type="duplicateValues" dxfId="7" priority="94" stopIfTrue="1"/>
  </conditionalFormatting>
  <conditionalFormatting sqref="D2:E2">
    <cfRule type="duplicateValues" dxfId="6" priority="92"/>
    <cfRule type="duplicateValues" dxfId="5" priority="93"/>
  </conditionalFormatting>
  <conditionalFormatting sqref="E3:E25">
    <cfRule type="duplicateValues" dxfId="4" priority="2"/>
    <cfRule type="duplicateValues" dxfId="3" priority="3"/>
  </conditionalFormatting>
  <conditionalFormatting sqref="H2:H25">
    <cfRule type="containsText" dxfId="2" priority="5" operator="containsText" text="Indirect">
      <formula>NOT(ISERROR(SEARCH("Indirect",H2)))</formula>
    </cfRule>
  </conditionalFormatting>
  <conditionalFormatting sqref="K2:K25">
    <cfRule type="cellIs" dxfId="1" priority="89" operator="lessThan">
      <formula>-1</formula>
    </cfRule>
  </conditionalFormatting>
  <conditionalFormatting sqref="R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D693D-6BDD-4EA6-A203-1E3F6872E9CF}">
  <sheetPr filterMode="1"/>
  <dimension ref="A1:H25"/>
  <sheetViews>
    <sheetView workbookViewId="0">
      <selection activeCell="E21" sqref="E21"/>
    </sheetView>
  </sheetViews>
  <sheetFormatPr defaultRowHeight="15" customHeight="1" x14ac:dyDescent="0.25"/>
  <cols>
    <col min="1" max="1" width="6.7109375" bestFit="1" customWidth="1"/>
    <col min="2" max="2" width="9" bestFit="1" customWidth="1"/>
    <col min="3" max="3" width="24.85546875" bestFit="1" customWidth="1"/>
    <col min="4" max="4" width="6.28515625" bestFit="1" customWidth="1"/>
    <col min="5" max="5" width="24.140625" bestFit="1" customWidth="1"/>
    <col min="6" max="6" width="12.5703125" bestFit="1" customWidth="1"/>
    <col min="7" max="7" width="11" bestFit="1" customWidth="1"/>
    <col min="8" max="8" width="18.7109375" bestFit="1" customWidth="1"/>
  </cols>
  <sheetData>
    <row r="1" spans="1:8" ht="1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72</v>
      </c>
      <c r="G1" s="2" t="s">
        <v>5</v>
      </c>
      <c r="H1" s="2" t="s">
        <v>6</v>
      </c>
    </row>
    <row r="2" spans="1:8" ht="15" hidden="1" customHeight="1" x14ac:dyDescent="0.25">
      <c r="A2" s="3">
        <v>1</v>
      </c>
      <c r="B2" s="4">
        <v>10540009</v>
      </c>
      <c r="C2" s="4" t="s">
        <v>8</v>
      </c>
      <c r="D2" s="4" t="s">
        <v>9</v>
      </c>
      <c r="E2" s="4" t="s">
        <v>10</v>
      </c>
      <c r="F2" s="4" t="s">
        <v>54</v>
      </c>
      <c r="G2" s="5">
        <v>18204</v>
      </c>
      <c r="H2" s="4" t="s">
        <v>11</v>
      </c>
    </row>
    <row r="3" spans="1:8" ht="15" hidden="1" customHeight="1" x14ac:dyDescent="0.25">
      <c r="A3" s="3">
        <v>2</v>
      </c>
      <c r="B3" s="4">
        <v>10540017</v>
      </c>
      <c r="C3" s="4" t="s">
        <v>12</v>
      </c>
      <c r="D3" s="4" t="s">
        <v>9</v>
      </c>
      <c r="E3" s="4" t="s">
        <v>13</v>
      </c>
      <c r="F3" s="4" t="s">
        <v>55</v>
      </c>
      <c r="G3" s="5">
        <v>6236</v>
      </c>
      <c r="H3" s="4" t="s">
        <v>11</v>
      </c>
    </row>
    <row r="4" spans="1:8" ht="15" hidden="1" customHeight="1" x14ac:dyDescent="0.25">
      <c r="A4" s="3">
        <v>3</v>
      </c>
      <c r="B4" s="4">
        <v>10540017</v>
      </c>
      <c r="C4" s="4" t="s">
        <v>12</v>
      </c>
      <c r="D4" s="4" t="s">
        <v>9</v>
      </c>
      <c r="E4" s="4" t="s">
        <v>14</v>
      </c>
      <c r="F4" s="4" t="s">
        <v>56</v>
      </c>
      <c r="G4" s="5">
        <v>2606</v>
      </c>
      <c r="H4" s="4" t="s">
        <v>11</v>
      </c>
    </row>
    <row r="5" spans="1:8" ht="15" hidden="1" customHeight="1" x14ac:dyDescent="0.25">
      <c r="A5" s="3">
        <v>4</v>
      </c>
      <c r="B5" s="4">
        <v>10540003</v>
      </c>
      <c r="C5" s="4" t="s">
        <v>15</v>
      </c>
      <c r="D5" s="4" t="s">
        <v>9</v>
      </c>
      <c r="E5" s="4" t="s">
        <v>16</v>
      </c>
      <c r="F5" s="4" t="s">
        <v>57</v>
      </c>
      <c r="G5" s="5">
        <v>38798</v>
      </c>
      <c r="H5" s="4" t="s">
        <v>11</v>
      </c>
    </row>
    <row r="6" spans="1:8" ht="15" hidden="1" customHeight="1" x14ac:dyDescent="0.25">
      <c r="A6" s="3">
        <v>6</v>
      </c>
      <c r="B6" s="4">
        <v>10110143</v>
      </c>
      <c r="C6" s="4" t="s">
        <v>19</v>
      </c>
      <c r="D6" s="4" t="s">
        <v>9</v>
      </c>
      <c r="E6" s="4" t="s">
        <v>20</v>
      </c>
      <c r="F6" s="4" t="s">
        <v>53</v>
      </c>
      <c r="G6" s="5">
        <v>8503</v>
      </c>
      <c r="H6" s="4" t="s">
        <v>11</v>
      </c>
    </row>
    <row r="7" spans="1:8" ht="15" hidden="1" customHeight="1" x14ac:dyDescent="0.25">
      <c r="A7" s="3">
        <v>7</v>
      </c>
      <c r="B7" s="4">
        <v>10110143</v>
      </c>
      <c r="C7" s="4" t="s">
        <v>19</v>
      </c>
      <c r="D7" s="4" t="s">
        <v>9</v>
      </c>
      <c r="E7" s="4" t="s">
        <v>21</v>
      </c>
      <c r="F7" s="7" t="s">
        <v>58</v>
      </c>
      <c r="G7" s="5">
        <v>2586</v>
      </c>
      <c r="H7" s="4" t="s">
        <v>11</v>
      </c>
    </row>
    <row r="8" spans="1:8" ht="15" hidden="1" customHeight="1" x14ac:dyDescent="0.25">
      <c r="A8" s="3">
        <v>8</v>
      </c>
      <c r="B8" s="4">
        <v>10110143</v>
      </c>
      <c r="C8" s="4" t="s">
        <v>19</v>
      </c>
      <c r="D8" s="4" t="s">
        <v>9</v>
      </c>
      <c r="E8" s="4" t="s">
        <v>22</v>
      </c>
      <c r="F8" s="4" t="s">
        <v>59</v>
      </c>
      <c r="G8" s="5">
        <v>2681</v>
      </c>
      <c r="H8" s="4" t="s">
        <v>11</v>
      </c>
    </row>
    <row r="9" spans="1:8" ht="15" hidden="1" customHeight="1" x14ac:dyDescent="0.25">
      <c r="A9" s="3">
        <v>10</v>
      </c>
      <c r="B9" s="4">
        <v>10110143</v>
      </c>
      <c r="C9" s="4" t="s">
        <v>19</v>
      </c>
      <c r="D9" s="4" t="s">
        <v>9</v>
      </c>
      <c r="E9" s="4" t="s">
        <v>25</v>
      </c>
      <c r="F9" s="4" t="s">
        <v>60</v>
      </c>
      <c r="G9" s="5">
        <v>4069</v>
      </c>
      <c r="H9" s="4" t="s">
        <v>11</v>
      </c>
    </row>
    <row r="10" spans="1:8" ht="15" hidden="1" customHeight="1" x14ac:dyDescent="0.25">
      <c r="A10" s="3">
        <v>11</v>
      </c>
      <c r="B10" s="4">
        <v>10110143</v>
      </c>
      <c r="C10" s="4" t="s">
        <v>19</v>
      </c>
      <c r="D10" s="4" t="s">
        <v>9</v>
      </c>
      <c r="E10" s="4" t="s">
        <v>26</v>
      </c>
      <c r="F10" s="9" t="s">
        <v>61</v>
      </c>
      <c r="G10" s="5">
        <v>2291</v>
      </c>
      <c r="H10" s="4" t="s">
        <v>11</v>
      </c>
    </row>
    <row r="11" spans="1:8" ht="15" hidden="1" customHeight="1" x14ac:dyDescent="0.25">
      <c r="A11" s="3">
        <v>12</v>
      </c>
      <c r="B11" s="4">
        <v>10110143</v>
      </c>
      <c r="C11" s="4" t="s">
        <v>19</v>
      </c>
      <c r="D11" s="4" t="s">
        <v>9</v>
      </c>
      <c r="E11" s="4" t="s">
        <v>27</v>
      </c>
      <c r="F11" s="4" t="s">
        <v>62</v>
      </c>
      <c r="G11" s="5">
        <v>5123</v>
      </c>
      <c r="H11" s="4" t="s">
        <v>11</v>
      </c>
    </row>
    <row r="12" spans="1:8" ht="15" hidden="1" customHeight="1" x14ac:dyDescent="0.25">
      <c r="A12" s="3">
        <v>13</v>
      </c>
      <c r="B12" s="4">
        <v>10110112</v>
      </c>
      <c r="C12" s="4" t="s">
        <v>28</v>
      </c>
      <c r="D12" s="4" t="s">
        <v>9</v>
      </c>
      <c r="E12" s="4" t="s">
        <v>29</v>
      </c>
      <c r="F12" s="4" t="s">
        <v>63</v>
      </c>
      <c r="G12" s="5">
        <v>3597</v>
      </c>
      <c r="H12" s="4" t="s">
        <v>11</v>
      </c>
    </row>
    <row r="13" spans="1:8" ht="15" hidden="1" customHeight="1" x14ac:dyDescent="0.25">
      <c r="A13" s="3">
        <v>14</v>
      </c>
      <c r="B13" s="4">
        <v>10110112</v>
      </c>
      <c r="C13" s="4" t="s">
        <v>28</v>
      </c>
      <c r="D13" s="4" t="s">
        <v>9</v>
      </c>
      <c r="E13" s="4" t="s">
        <v>30</v>
      </c>
      <c r="F13" s="4" t="s">
        <v>64</v>
      </c>
      <c r="G13" s="5">
        <v>3587</v>
      </c>
      <c r="H13" s="4" t="s">
        <v>11</v>
      </c>
    </row>
    <row r="14" spans="1:8" ht="15" hidden="1" customHeight="1" x14ac:dyDescent="0.25">
      <c r="A14" s="3">
        <v>15</v>
      </c>
      <c r="B14" s="4">
        <v>10110112</v>
      </c>
      <c r="C14" s="4" t="s">
        <v>28</v>
      </c>
      <c r="D14" s="4" t="s">
        <v>9</v>
      </c>
      <c r="E14" s="4" t="s">
        <v>31</v>
      </c>
      <c r="F14" s="4" t="s">
        <v>58</v>
      </c>
      <c r="G14" s="5">
        <v>5097</v>
      </c>
      <c r="H14" s="4" t="s">
        <v>11</v>
      </c>
    </row>
    <row r="15" spans="1:8" ht="15" hidden="1" customHeight="1" x14ac:dyDescent="0.25">
      <c r="A15" s="3">
        <v>18</v>
      </c>
      <c r="B15" s="4">
        <v>10110112</v>
      </c>
      <c r="C15" s="4" t="s">
        <v>28</v>
      </c>
      <c r="D15" s="4" t="s">
        <v>9</v>
      </c>
      <c r="E15" s="4" t="s">
        <v>35</v>
      </c>
      <c r="F15" s="4" t="s">
        <v>60</v>
      </c>
      <c r="G15" s="5">
        <v>9573</v>
      </c>
      <c r="H15" s="4" t="s">
        <v>11</v>
      </c>
    </row>
    <row r="16" spans="1:8" ht="15" customHeight="1" x14ac:dyDescent="0.25">
      <c r="A16" s="3">
        <v>19</v>
      </c>
      <c r="B16" s="4">
        <v>10540005</v>
      </c>
      <c r="C16" s="4" t="s">
        <v>36</v>
      </c>
      <c r="D16" s="4" t="s">
        <v>9</v>
      </c>
      <c r="E16" s="4" t="s">
        <v>37</v>
      </c>
      <c r="F16" s="10" t="s">
        <v>65</v>
      </c>
      <c r="G16" s="5">
        <v>2555</v>
      </c>
      <c r="H16" s="4" t="s">
        <v>11</v>
      </c>
    </row>
    <row r="17" spans="1:8" ht="15" customHeight="1" x14ac:dyDescent="0.25">
      <c r="A17" s="3">
        <v>20</v>
      </c>
      <c r="B17" s="4">
        <v>10540005</v>
      </c>
      <c r="C17" s="4" t="s">
        <v>36</v>
      </c>
      <c r="D17" s="4" t="s">
        <v>9</v>
      </c>
      <c r="E17" s="4" t="s">
        <v>38</v>
      </c>
      <c r="F17" s="4" t="s">
        <v>66</v>
      </c>
      <c r="G17" s="5">
        <v>1251</v>
      </c>
      <c r="H17" s="4" t="s">
        <v>11</v>
      </c>
    </row>
    <row r="18" spans="1:8" ht="15" customHeight="1" x14ac:dyDescent="0.25">
      <c r="A18" s="3">
        <v>21</v>
      </c>
      <c r="B18" s="4">
        <v>10540005</v>
      </c>
      <c r="C18" s="4" t="s">
        <v>36</v>
      </c>
      <c r="D18" s="4" t="s">
        <v>9</v>
      </c>
      <c r="E18" s="4" t="s">
        <v>39</v>
      </c>
      <c r="F18" s="4" t="s">
        <v>67</v>
      </c>
      <c r="G18" s="5">
        <v>1385</v>
      </c>
      <c r="H18" s="4" t="s">
        <v>11</v>
      </c>
    </row>
    <row r="19" spans="1:8" ht="15" customHeight="1" x14ac:dyDescent="0.25">
      <c r="A19" s="3">
        <v>22</v>
      </c>
      <c r="B19" s="4">
        <v>10540005</v>
      </c>
      <c r="C19" s="4" t="s">
        <v>36</v>
      </c>
      <c r="D19" s="4" t="s">
        <v>9</v>
      </c>
      <c r="E19" s="4" t="s">
        <v>20</v>
      </c>
      <c r="F19" s="4" t="s">
        <v>53</v>
      </c>
      <c r="G19" s="5">
        <v>1870</v>
      </c>
      <c r="H19" s="4" t="s">
        <v>11</v>
      </c>
    </row>
    <row r="20" spans="1:8" ht="15" customHeight="1" x14ac:dyDescent="0.25">
      <c r="A20" s="3">
        <v>23</v>
      </c>
      <c r="B20" s="4">
        <v>10540005</v>
      </c>
      <c r="C20" s="4" t="s">
        <v>36</v>
      </c>
      <c r="D20" s="4" t="s">
        <v>9</v>
      </c>
      <c r="E20" s="4" t="s">
        <v>40</v>
      </c>
      <c r="F20" s="4" t="s">
        <v>68</v>
      </c>
      <c r="G20" s="5">
        <v>6221</v>
      </c>
      <c r="H20" s="4" t="s">
        <v>11</v>
      </c>
    </row>
    <row r="21" spans="1:8" ht="15" customHeight="1" x14ac:dyDescent="0.25">
      <c r="A21" s="3">
        <v>25</v>
      </c>
      <c r="B21" s="4">
        <v>10540005</v>
      </c>
      <c r="C21" s="4" t="s">
        <v>36</v>
      </c>
      <c r="D21" s="4" t="s">
        <v>9</v>
      </c>
      <c r="E21" s="4" t="s">
        <v>42</v>
      </c>
      <c r="F21" s="4" t="s">
        <v>69</v>
      </c>
      <c r="G21" s="5">
        <v>8927</v>
      </c>
      <c r="H21" s="4" t="s">
        <v>11</v>
      </c>
    </row>
    <row r="22" spans="1:8" ht="15" hidden="1" customHeight="1" x14ac:dyDescent="0.25">
      <c r="A22" s="3">
        <v>27</v>
      </c>
      <c r="B22" s="4">
        <v>10540018</v>
      </c>
      <c r="C22" s="4" t="s">
        <v>46</v>
      </c>
      <c r="D22" s="4" t="s">
        <v>9</v>
      </c>
      <c r="E22" s="4" t="s">
        <v>47</v>
      </c>
      <c r="F22" s="4" t="s">
        <v>62</v>
      </c>
      <c r="G22" s="5">
        <v>2457</v>
      </c>
      <c r="H22" s="4" t="s">
        <v>11</v>
      </c>
    </row>
    <row r="23" spans="1:8" ht="15" hidden="1" customHeight="1" x14ac:dyDescent="0.25">
      <c r="A23" s="3">
        <v>28</v>
      </c>
      <c r="B23" s="4">
        <v>10110133</v>
      </c>
      <c r="C23" s="4" t="s">
        <v>48</v>
      </c>
      <c r="D23" s="4" t="s">
        <v>9</v>
      </c>
      <c r="E23" s="4" t="s">
        <v>49</v>
      </c>
      <c r="F23" s="8" t="s">
        <v>70</v>
      </c>
      <c r="G23" s="5">
        <v>18481</v>
      </c>
      <c r="H23" s="4" t="s">
        <v>11</v>
      </c>
    </row>
    <row r="24" spans="1:8" ht="15" hidden="1" customHeight="1" x14ac:dyDescent="0.25">
      <c r="A24" s="3">
        <v>29</v>
      </c>
      <c r="B24" s="4">
        <v>10110129</v>
      </c>
      <c r="C24" s="4" t="s">
        <v>50</v>
      </c>
      <c r="D24" s="4" t="s">
        <v>9</v>
      </c>
      <c r="E24" s="4" t="s">
        <v>51</v>
      </c>
      <c r="F24" s="4" t="s">
        <v>71</v>
      </c>
      <c r="G24" s="5">
        <v>35682</v>
      </c>
      <c r="H24" s="4" t="s">
        <v>11</v>
      </c>
    </row>
    <row r="25" spans="1:8" ht="15" hidden="1" customHeight="1" x14ac:dyDescent="0.25">
      <c r="A25" s="3">
        <v>30</v>
      </c>
      <c r="B25" s="4">
        <v>10110140</v>
      </c>
      <c r="C25" s="4" t="s">
        <v>52</v>
      </c>
      <c r="D25" s="4" t="s">
        <v>9</v>
      </c>
      <c r="E25" s="4" t="s">
        <v>51</v>
      </c>
      <c r="F25" s="4" t="s">
        <v>71</v>
      </c>
      <c r="G25" s="5">
        <v>12614</v>
      </c>
      <c r="H25" s="4" t="s">
        <v>11</v>
      </c>
    </row>
  </sheetData>
  <autoFilter ref="A1:H25" xr:uid="{F67D693D-6BDD-4EA6-A203-1E3F6872E9CF}">
    <filterColumn colId="1">
      <filters>
        <filter val="1054000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2026-07-15T05:13:43Z</dcterms:created>
  <dcterms:modified xsi:type="dcterms:W3CDTF">2026-07-16T10:55:10Z</dcterms:modified>
</cp:coreProperties>
</file>