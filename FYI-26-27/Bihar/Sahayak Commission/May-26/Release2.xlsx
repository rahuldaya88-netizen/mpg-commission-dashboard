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"/>
    </mc:Choice>
  </mc:AlternateContent>
  <xr:revisionPtr revIDLastSave="0" documentId="8_{CC653C8C-A58C-4F3A-A103-356DAA2DB1E6}" xr6:coauthVersionLast="47" xr6:coauthVersionMax="47" xr10:uidLastSave="{00000000-0000-0000-0000-000000000000}"/>
  <bookViews>
    <workbookView xWindow="-120" yWindow="-120" windowWidth="29040" windowHeight="15720" xr2:uid="{BC76C4A4-5FEA-4409-B94D-C5B9BABBB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  <c r="E8" i="1"/>
</calcChain>
</file>

<file path=xl/sharedStrings.xml><?xml version="1.0" encoding="utf-8"?>
<sst xmlns="http://schemas.openxmlformats.org/spreadsheetml/2006/main" count="62" uniqueCount="48">
  <si>
    <t xml:space="preserve">Code </t>
  </si>
  <si>
    <t xml:space="preserve">MPG NAME </t>
  </si>
  <si>
    <t>BMC Volume</t>
  </si>
  <si>
    <t>BMC Amount</t>
  </si>
  <si>
    <t>Payble to Sahyak</t>
  </si>
  <si>
    <t xml:space="preserve">Payment relase </t>
  </si>
  <si>
    <t>Remarks</t>
  </si>
  <si>
    <t>Pending Down Payment</t>
  </si>
  <si>
    <t>Recommendation</t>
  </si>
  <si>
    <t>Gomukh Birauli Khurd</t>
  </si>
  <si>
    <t>Release</t>
  </si>
  <si>
    <t>Down Payment</t>
  </si>
  <si>
    <t>Release2</t>
  </si>
  <si>
    <t>GOMUKH BALAHA W-9</t>
  </si>
  <si>
    <t>GOMUKH DADHIYA-2</t>
  </si>
  <si>
    <t>GOMUKH Waini</t>
  </si>
  <si>
    <t>Agreement issue</t>
  </si>
  <si>
    <t>GOMUKH GHOSRAWAN</t>
  </si>
  <si>
    <t>GOMUKH BANDRA W-9</t>
  </si>
  <si>
    <t>TOTAL</t>
  </si>
  <si>
    <t>Rajkishor Panday</t>
  </si>
  <si>
    <t>30642386150</t>
  </si>
  <si>
    <t>SBIN0001953</t>
  </si>
  <si>
    <t xml:space="preserve">State Bank of India </t>
  </si>
  <si>
    <t>Veleshwar Roy</t>
  </si>
  <si>
    <t>75342250005130</t>
  </si>
  <si>
    <t>CNRB0017534</t>
  </si>
  <si>
    <t xml:space="preserve">Canara Bank </t>
  </si>
  <si>
    <t>Ravindra Ray</t>
  </si>
  <si>
    <t>28770110157756</t>
  </si>
  <si>
    <t>UCBA0002877</t>
  </si>
  <si>
    <t xml:space="preserve">Uco Bank </t>
  </si>
  <si>
    <t>Krishna Kishor Ray</t>
  </si>
  <si>
    <t>3178898000</t>
  </si>
  <si>
    <t>CBIN0282536</t>
  </si>
  <si>
    <t>Centaral Bank Of India</t>
  </si>
  <si>
    <t xml:space="preserve">Ramashankar Jha </t>
  </si>
  <si>
    <t>8246280064</t>
  </si>
  <si>
    <t>KKBK0004618</t>
  </si>
  <si>
    <t xml:space="preserve">Kotak Mahindra Bank </t>
  </si>
  <si>
    <t>Guddu Kumar</t>
  </si>
  <si>
    <t>110298755101</t>
  </si>
  <si>
    <t>CNRB0017531</t>
  </si>
  <si>
    <t>Canara Bank</t>
  </si>
  <si>
    <t>Farmers Account Name</t>
  </si>
  <si>
    <t>Account no</t>
  </si>
  <si>
    <t>IFSC code</t>
  </si>
  <si>
    <t xml:space="preserve">Bank Of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</si>
</sst>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theme="7" tint="0.799859614856410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2" fillId="0" borderId="1" xfId="1" applyNumberFormat="1" applyFont="1" applyBorder="1"/>
    <xf numFmtId="0" fontId="5" fillId="0" borderId="1" xfId="0" applyFont="1" applyBorder="1"/>
    <xf numFmtId="0" fontId="5" fillId="0" borderId="0" xfId="0" applyFont="1"/>
    <xf numFmtId="166" fontId="3" fillId="7" borderId="1" xfId="0" applyNumberFormat="1" applyFont="1" applyFill="1" applyBorder="1"/>
    <xf numFmtId="166" fontId="3" fillId="7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/>
    <xf numFmtId="166" fontId="4" fillId="0" borderId="1" xfId="2" applyNumberFormat="1" applyFont="1" applyFill="1" applyBorder="1" applyAlignment="1">
      <alignment horizontal="center"/>
    </xf>
    <xf numFmtId="43" fontId="3" fillId="2" borderId="2" xfId="2" applyFont="1" applyFill="1" applyBorder="1" applyAlignment="1">
      <alignment horizontal="center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6" fontId="5" fillId="0" borderId="1" xfId="2" applyNumberFormat="1" applyFont="1" applyFill="1" applyBorder="1"/>
    <xf numFmtId="165" fontId="4" fillId="0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0" fontId="0" fillId="0" borderId="1" xfId="0" applyBorder="1"/>
  </cellXfs>
  <cellStyles count="3">
    <cellStyle name="Comma" xfId="1" builtinId="3"/>
    <cellStyle name="Comma 2" xfId="2" xr:uid="{A4EF5237-E681-4EEA-B0E3-35A050956AD2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E870-1926-4B62-953C-E67A781249E6}">
  <dimension ref="A1:M8"/>
  <sheetViews>
    <sheetView tabSelected="1" workbookViewId="0">
      <selection activeCell="J14" sqref="J14"/>
    </sheetView>
  </sheetViews>
  <sheetFormatPr defaultRowHeight="15" x14ac:dyDescent="0.25"/>
  <cols>
    <col min="1" max="1" width="9" bestFit="1" customWidth="1"/>
    <col min="2" max="2" width="21.42578125" bestFit="1" customWidth="1"/>
    <col min="3" max="3" width="12.85546875" bestFit="1" customWidth="1"/>
    <col min="4" max="4" width="13.140625" bestFit="1" customWidth="1"/>
    <col min="5" max="5" width="16.5703125" bestFit="1" customWidth="1"/>
    <col min="6" max="6" width="15" bestFit="1" customWidth="1"/>
    <col min="7" max="7" width="17" bestFit="1" customWidth="1"/>
    <col min="8" max="8" width="22.5703125" bestFit="1" customWidth="1"/>
    <col min="9" max="9" width="17.28515625" bestFit="1" customWidth="1"/>
    <col min="10" max="10" width="22.140625" bestFit="1" customWidth="1"/>
    <col min="11" max="11" width="15.140625" bestFit="1" customWidth="1"/>
    <col min="12" max="12" width="12.85546875" bestFit="1" customWidth="1"/>
    <col min="13" max="13" width="21" bestFit="1" customWidth="1"/>
  </cols>
  <sheetData>
    <row r="1" spans="1:13" s="1" customFormat="1" ht="29.1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44</v>
      </c>
      <c r="K1" s="13" t="s">
        <v>45</v>
      </c>
      <c r="L1" s="13" t="s">
        <v>46</v>
      </c>
      <c r="M1" s="13" t="s">
        <v>47</v>
      </c>
    </row>
    <row r="2" spans="1:13" s="5" customFormat="1" x14ac:dyDescent="0.25">
      <c r="A2" s="2">
        <v>10530035</v>
      </c>
      <c r="B2" s="14" t="s">
        <v>9</v>
      </c>
      <c r="C2" s="15">
        <v>2339.5</v>
      </c>
      <c r="D2" s="15">
        <v>99718.885536738351</v>
      </c>
      <c r="E2" s="16">
        <v>3874</v>
      </c>
      <c r="F2" s="9" t="s">
        <v>10</v>
      </c>
      <c r="G2" s="3" t="s">
        <v>11</v>
      </c>
      <c r="H2" s="17">
        <v>4.7200000000011642</v>
      </c>
      <c r="I2" s="3" t="s">
        <v>12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s="5" customFormat="1" x14ac:dyDescent="0.25">
      <c r="A3" s="2">
        <v>10530074</v>
      </c>
      <c r="B3" s="14" t="s">
        <v>13</v>
      </c>
      <c r="C3" s="15">
        <v>3678.4999999999991</v>
      </c>
      <c r="D3" s="15">
        <v>140752.60185754634</v>
      </c>
      <c r="E3" s="16">
        <v>4998</v>
      </c>
      <c r="F3" s="9" t="s">
        <v>10</v>
      </c>
      <c r="G3" s="3" t="s">
        <v>11</v>
      </c>
      <c r="H3" s="17">
        <v>3416</v>
      </c>
      <c r="I3" s="3" t="s">
        <v>12</v>
      </c>
      <c r="J3" s="4" t="s">
        <v>24</v>
      </c>
      <c r="K3" s="4" t="s">
        <v>25</v>
      </c>
      <c r="L3" s="4" t="s">
        <v>26</v>
      </c>
      <c r="M3" s="4" t="s">
        <v>27</v>
      </c>
    </row>
    <row r="4" spans="1:13" s="5" customFormat="1" x14ac:dyDescent="0.25">
      <c r="A4" s="2">
        <v>10530081</v>
      </c>
      <c r="B4" s="14" t="s">
        <v>14</v>
      </c>
      <c r="C4" s="15">
        <v>6813.15</v>
      </c>
      <c r="D4" s="15">
        <v>297661.60755348031</v>
      </c>
      <c r="E4" s="16">
        <v>9164</v>
      </c>
      <c r="F4" s="9" t="s">
        <v>10</v>
      </c>
      <c r="G4" s="3" t="s">
        <v>11</v>
      </c>
      <c r="H4" s="17">
        <v>9279</v>
      </c>
      <c r="I4" s="3" t="s">
        <v>12</v>
      </c>
      <c r="J4" s="4" t="s">
        <v>28</v>
      </c>
      <c r="K4" s="4" t="s">
        <v>29</v>
      </c>
      <c r="L4" s="4" t="s">
        <v>30</v>
      </c>
      <c r="M4" s="4" t="s">
        <v>31</v>
      </c>
    </row>
    <row r="5" spans="1:13" s="5" customFormat="1" x14ac:dyDescent="0.25">
      <c r="A5" s="2">
        <v>10530108</v>
      </c>
      <c r="B5" s="14" t="s">
        <v>15</v>
      </c>
      <c r="C5" s="15">
        <v>804.45</v>
      </c>
      <c r="D5" s="15">
        <v>31827.537430061002</v>
      </c>
      <c r="E5" s="16">
        <v>2013</v>
      </c>
      <c r="F5" s="9" t="s">
        <v>10</v>
      </c>
      <c r="G5" s="3" t="s">
        <v>16</v>
      </c>
      <c r="H5" s="17">
        <v>0</v>
      </c>
      <c r="I5" s="3" t="s">
        <v>12</v>
      </c>
      <c r="J5" s="4" t="s">
        <v>32</v>
      </c>
      <c r="K5" s="4" t="s">
        <v>33</v>
      </c>
      <c r="L5" s="4" t="s">
        <v>34</v>
      </c>
      <c r="M5" s="4" t="s">
        <v>35</v>
      </c>
    </row>
    <row r="6" spans="1:13" s="5" customFormat="1" x14ac:dyDescent="0.25">
      <c r="A6" s="2">
        <v>10530113</v>
      </c>
      <c r="B6" s="14" t="s">
        <v>17</v>
      </c>
      <c r="C6" s="15">
        <v>2160.0500000000002</v>
      </c>
      <c r="D6" s="15">
        <v>83388.972941845743</v>
      </c>
      <c r="E6" s="16">
        <v>4120</v>
      </c>
      <c r="F6" s="9" t="s">
        <v>10</v>
      </c>
      <c r="G6" s="3" t="s">
        <v>11</v>
      </c>
      <c r="H6" s="17">
        <v>20000</v>
      </c>
      <c r="I6" s="3" t="s">
        <v>12</v>
      </c>
      <c r="J6" s="4" t="s">
        <v>36</v>
      </c>
      <c r="K6" s="4" t="s">
        <v>37</v>
      </c>
      <c r="L6" s="4" t="s">
        <v>38</v>
      </c>
      <c r="M6" s="4" t="s">
        <v>39</v>
      </c>
    </row>
    <row r="7" spans="1:13" s="5" customFormat="1" x14ac:dyDescent="0.25">
      <c r="A7" s="2">
        <v>10530114</v>
      </c>
      <c r="B7" s="14" t="s">
        <v>18</v>
      </c>
      <c r="C7" s="15">
        <v>262.14999999999998</v>
      </c>
      <c r="D7" s="15">
        <v>13307.320978234751</v>
      </c>
      <c r="E7" s="16">
        <v>728</v>
      </c>
      <c r="F7" s="9" t="s">
        <v>10</v>
      </c>
      <c r="G7" s="3" t="s">
        <v>11</v>
      </c>
      <c r="H7" s="17">
        <v>20000</v>
      </c>
      <c r="I7" s="3" t="s">
        <v>12</v>
      </c>
      <c r="J7" s="4" t="s">
        <v>40</v>
      </c>
      <c r="K7" s="4" t="s">
        <v>41</v>
      </c>
      <c r="L7" s="4" t="s">
        <v>42</v>
      </c>
      <c r="M7" s="4" t="s">
        <v>43</v>
      </c>
    </row>
    <row r="8" spans="1:13" x14ac:dyDescent="0.25">
      <c r="A8" s="7">
        <v>1033</v>
      </c>
      <c r="B8" s="6" t="s">
        <v>19</v>
      </c>
      <c r="C8" s="6">
        <f>SUM(C2:C7)</f>
        <v>16057.799999999997</v>
      </c>
      <c r="D8" s="6">
        <f>SUM(D2:D7)</f>
        <v>666656.92629790655</v>
      </c>
      <c r="E8" s="6">
        <f>SUM(E2:E7)</f>
        <v>24897</v>
      </c>
      <c r="F8" s="9"/>
      <c r="G8" s="8"/>
      <c r="H8" s="8"/>
      <c r="I8" s="8"/>
      <c r="J8" s="18"/>
      <c r="K8" s="18"/>
      <c r="L8" s="18"/>
      <c r="M8" s="18"/>
    </row>
  </sheetData>
  <conditionalFormatting sqref="A1">
    <cfRule type="duplicateValues" dxfId="1" priority="4" stopIfTrue="1"/>
  </conditionalFormatting>
  <conditionalFormatting sqref="F8 E2:F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2026-07-07T11:22:23Z</dcterms:created>
  <dcterms:modified xsi:type="dcterms:W3CDTF">2026-07-07T11:54:58Z</dcterms:modified>
</cp:coreProperties>
</file>