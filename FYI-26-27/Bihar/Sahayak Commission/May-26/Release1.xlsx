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"/>
    </mc:Choice>
  </mc:AlternateContent>
  <xr:revisionPtr revIDLastSave="0" documentId="13_ncr:1_{49B45CD1-C013-4ECA-8227-D4D53A7E0802}" xr6:coauthVersionLast="47" xr6:coauthVersionMax="47" xr10:uidLastSave="{00000000-0000-0000-0000-000000000000}"/>
  <bookViews>
    <workbookView xWindow="-120" yWindow="-120" windowWidth="29040" windowHeight="15720" xr2:uid="{CD84E28F-614D-45C8-A37D-EBE7835EF72B}"/>
  </bookViews>
  <sheets>
    <sheet name="Sheet1" sheetId="1" r:id="rId1"/>
  </sheets>
  <definedNames>
    <definedName name="_xlnm._FilterDatabase" localSheetId="0" hidden="1">Sheet1!$A$1:$T$24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L24" i="1"/>
  <c r="K24" i="1"/>
  <c r="J24" i="1"/>
  <c r="I24" i="1"/>
  <c r="H24" i="1"/>
</calcChain>
</file>

<file path=xl/sharedStrings.xml><?xml version="1.0" encoding="utf-8"?>
<sst xmlns="http://schemas.openxmlformats.org/spreadsheetml/2006/main" count="285" uniqueCount="132">
  <si>
    <t xml:space="preserve">Code </t>
  </si>
  <si>
    <t xml:space="preserve">MPG NAME </t>
  </si>
  <si>
    <t>VLC Type</t>
  </si>
  <si>
    <t>Farmer Payment</t>
  </si>
  <si>
    <t>MCC</t>
  </si>
  <si>
    <t>Start Date</t>
  </si>
  <si>
    <t>BMC Volume</t>
  </si>
  <si>
    <t>BMC Amount</t>
  </si>
  <si>
    <t>Net Sahayak Income</t>
  </si>
  <si>
    <t>New Assets EMI</t>
  </si>
  <si>
    <t>Consumables</t>
  </si>
  <si>
    <t>Net Payble</t>
  </si>
  <si>
    <t xml:space="preserve">Payment relase </t>
  </si>
  <si>
    <t>Remarks</t>
  </si>
  <si>
    <t>Recommendation</t>
  </si>
  <si>
    <t>Gomukh Rajpur</t>
  </si>
  <si>
    <t>MPG</t>
  </si>
  <si>
    <t>Direct</t>
  </si>
  <si>
    <t>Dumraon</t>
  </si>
  <si>
    <t>Release</t>
  </si>
  <si>
    <t>Down Payment</t>
  </si>
  <si>
    <t>Release1</t>
  </si>
  <si>
    <t>PIPARPATI</t>
  </si>
  <si>
    <t>Sonvarsha</t>
  </si>
  <si>
    <t>GOMUKH GANGATI</t>
  </si>
  <si>
    <t>Mahua BMC</t>
  </si>
  <si>
    <t>Agreement issue</t>
  </si>
  <si>
    <t>GOMUKH Bhagwatpur</t>
  </si>
  <si>
    <t>Down Payment / Agreement issue</t>
  </si>
  <si>
    <t>GOMUKH Khanpatti</t>
  </si>
  <si>
    <t>GOMUKH BHATOLIYA</t>
  </si>
  <si>
    <t>GOMUKH KHAJECHAND</t>
  </si>
  <si>
    <t>GOMUKH SALEMPUR</t>
  </si>
  <si>
    <t>Gomukh Paharpur</t>
  </si>
  <si>
    <t>Gomukh Karhatiya Bujurg</t>
  </si>
  <si>
    <t>vlc</t>
  </si>
  <si>
    <t>Indirect</t>
  </si>
  <si>
    <t>Non pouring</t>
  </si>
  <si>
    <t>GOMUKH Bheraukhara</t>
  </si>
  <si>
    <t>GOMUKH SUPOLTARIYA</t>
  </si>
  <si>
    <t>GOMUKH Jilwara</t>
  </si>
  <si>
    <t>GOMUKH ABBUCHAK</t>
  </si>
  <si>
    <t>Gomukh Dumari</t>
  </si>
  <si>
    <t>GOMUKH Shravanapatti</t>
  </si>
  <si>
    <t>GOMUKH KAILA JALALPUR</t>
  </si>
  <si>
    <t>Gomukh Jhitkahi East</t>
  </si>
  <si>
    <t>GOMUKH BAKHRI</t>
  </si>
  <si>
    <t>GOMUKH BABA CHAUK</t>
  </si>
  <si>
    <t>GOMUKH PAITRAPUR</t>
  </si>
  <si>
    <t>GOMUKH JAI MATA DI MILK CENTER</t>
  </si>
  <si>
    <t>TOTAL</t>
  </si>
  <si>
    <t>Code</t>
  </si>
  <si>
    <t>0002</t>
  </si>
  <si>
    <t>Farmers Account Name</t>
  </si>
  <si>
    <t>Account no</t>
  </si>
  <si>
    <t>IFSC code</t>
  </si>
  <si>
    <t xml:space="preserve">Bank Of name </t>
  </si>
  <si>
    <t>Dhirendra Thakur</t>
  </si>
  <si>
    <t>1748101011324</t>
  </si>
  <si>
    <t>CNRB0001748</t>
  </si>
  <si>
    <t xml:space="preserve">Canara Bank </t>
  </si>
  <si>
    <t>Amrendra Yadav</t>
  </si>
  <si>
    <t>1781000100025146</t>
  </si>
  <si>
    <t>PUNB0178100</t>
  </si>
  <si>
    <t>Punjab National Bank</t>
  </si>
  <si>
    <t>Rishikesh Kumar</t>
  </si>
  <si>
    <t>20367282535</t>
  </si>
  <si>
    <t>SBIN0008135</t>
  </si>
  <si>
    <t xml:space="preserve">State Bank of India </t>
  </si>
  <si>
    <t>Pappu Kumar Ray</t>
  </si>
  <si>
    <t>44790100006146</t>
  </si>
  <si>
    <t>BARB0MAHUAX</t>
  </si>
  <si>
    <t>Bank Of Baroda</t>
  </si>
  <si>
    <t>Birendra Ray</t>
  </si>
  <si>
    <t>44790100007984</t>
  </si>
  <si>
    <t>Sita Devi</t>
  </si>
  <si>
    <t>41250100000195</t>
  </si>
  <si>
    <t>PUNB0MBGB06</t>
  </si>
  <si>
    <t xml:space="preserve">Uttar Bihar Gramin Bank </t>
  </si>
  <si>
    <t>Ravindra Ray</t>
  </si>
  <si>
    <t>7322000100173451</t>
  </si>
  <si>
    <t>PUNB0732200</t>
  </si>
  <si>
    <t xml:space="preserve">Punjab National Bank </t>
  </si>
  <si>
    <t xml:space="preserve">Manjay Kumar </t>
  </si>
  <si>
    <t>50100306565052</t>
  </si>
  <si>
    <t>HDFC0000235</t>
  </si>
  <si>
    <t xml:space="preserve">HDFC Bank </t>
  </si>
  <si>
    <t>Ajeet Kumar</t>
  </si>
  <si>
    <t>3708797895</t>
  </si>
  <si>
    <t>CBIN0281036</t>
  </si>
  <si>
    <t xml:space="preserve">Central Bank Of India </t>
  </si>
  <si>
    <t xml:space="preserve">Shobha Kumari </t>
  </si>
  <si>
    <t>42240209642</t>
  </si>
  <si>
    <t>SBIN0015344</t>
  </si>
  <si>
    <t>State Bank Of India</t>
  </si>
  <si>
    <t>Sunil Kumar Ray</t>
  </si>
  <si>
    <t>1864047700</t>
  </si>
  <si>
    <t>Vishal Kumar</t>
  </si>
  <si>
    <t>7322001700010139</t>
  </si>
  <si>
    <t>Sanjay Kumar Ray</t>
  </si>
  <si>
    <t>1001521010002050</t>
  </si>
  <si>
    <t xml:space="preserve">Uttar Bihar Garmin Bank </t>
  </si>
  <si>
    <t>Santosh Kumar</t>
  </si>
  <si>
    <t>35494891016</t>
  </si>
  <si>
    <t>SBIN0010352</t>
  </si>
  <si>
    <t xml:space="preserve">Vikash Kumar </t>
  </si>
  <si>
    <t>20240262576</t>
  </si>
  <si>
    <t xml:space="preserve">Virchand Ray </t>
  </si>
  <si>
    <t>007910022611</t>
  </si>
  <si>
    <t>IPOS0000001</t>
  </si>
  <si>
    <t>India Post Payment Bank</t>
  </si>
  <si>
    <t xml:space="preserve">Raju kumar </t>
  </si>
  <si>
    <t>5936362712</t>
  </si>
  <si>
    <t>CBIN0281802</t>
  </si>
  <si>
    <t>Central Bank Of India</t>
  </si>
  <si>
    <t>Shila Devi</t>
  </si>
  <si>
    <t>32405632922</t>
  </si>
  <si>
    <t>SBI</t>
  </si>
  <si>
    <t>Pankaj Kumar</t>
  </si>
  <si>
    <t>44790100014401</t>
  </si>
  <si>
    <t>Bank of Baroda</t>
  </si>
  <si>
    <t>OKIL KUMAR</t>
  </si>
  <si>
    <t>5494531453</t>
  </si>
  <si>
    <t>CBIN0282921</t>
  </si>
  <si>
    <t>CANTRAL BANK OF INDIA</t>
  </si>
  <si>
    <t>Jaychand Ray</t>
  </si>
  <si>
    <t>11441387085</t>
  </si>
  <si>
    <t>SBIN0002933</t>
  </si>
  <si>
    <t>State bank of india</t>
  </si>
  <si>
    <t>Mithun Kumar</t>
  </si>
  <si>
    <t>38685091340</t>
  </si>
  <si>
    <t>SBIN0014295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</si>
</sst>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theme="7" tint="0.799859614856410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43" fontId="2" fillId="2" borderId="2" xfId="2" applyFont="1" applyFill="1" applyBorder="1" applyAlignment="1">
      <alignment horizontal="center" vertical="center" wrapText="1"/>
    </xf>
    <xf numFmtId="43" fontId="2" fillId="3" borderId="2" xfId="2" applyFont="1" applyFill="1" applyBorder="1" applyAlignment="1">
      <alignment horizontal="center" vertical="center" wrapText="1"/>
    </xf>
    <xf numFmtId="43" fontId="2" fillId="4" borderId="2" xfId="2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6" fontId="5" fillId="0" borderId="1" xfId="2" applyNumberFormat="1" applyFont="1" applyFill="1" applyBorder="1"/>
    <xf numFmtId="166" fontId="3" fillId="0" borderId="1" xfId="2" applyNumberFormat="1" applyFont="1" applyFill="1" applyBorder="1"/>
    <xf numFmtId="165" fontId="5" fillId="0" borderId="1" xfId="0" applyNumberFormat="1" applyFont="1" applyBorder="1"/>
    <xf numFmtId="165" fontId="3" fillId="4" borderId="1" xfId="1" applyNumberFormat="1" applyFont="1" applyFill="1" applyBorder="1" applyAlignment="1">
      <alignment horizontal="right"/>
    </xf>
    <xf numFmtId="166" fontId="3" fillId="0" borderId="1" xfId="2" applyNumberFormat="1" applyFont="1" applyFill="1" applyBorder="1" applyAlignment="1">
      <alignment horizontal="center"/>
    </xf>
    <xf numFmtId="165" fontId="6" fillId="0" borderId="1" xfId="1" applyNumberFormat="1" applyFont="1" applyBorder="1"/>
    <xf numFmtId="0" fontId="5" fillId="0" borderId="1" xfId="0" applyFont="1" applyBorder="1"/>
    <xf numFmtId="0" fontId="5" fillId="0" borderId="0" xfId="0" applyFont="1"/>
    <xf numFmtId="166" fontId="2" fillId="7" borderId="1" xfId="0" applyNumberFormat="1" applyFont="1" applyFill="1" applyBorder="1" applyAlignment="1">
      <alignment horizontal="center"/>
    </xf>
    <xf numFmtId="166" fontId="2" fillId="7" borderId="1" xfId="0" applyNumberFormat="1" applyFont="1" applyFill="1" applyBorder="1"/>
    <xf numFmtId="166" fontId="2" fillId="4" borderId="1" xfId="0" applyNumberFormat="1" applyFont="1" applyFill="1" applyBorder="1"/>
    <xf numFmtId="0" fontId="4" fillId="0" borderId="0" xfId="0" applyFont="1"/>
  </cellXfs>
  <cellStyles count="3">
    <cellStyle name="Comma" xfId="1" builtinId="3"/>
    <cellStyle name="Comma 2" xfId="2" xr:uid="{3E4546A3-2FCA-418B-A55F-760DEB279D0E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285D-9ABF-4BD0-A5D7-096D94BD2545}">
  <dimension ref="A1:T24"/>
  <sheetViews>
    <sheetView tabSelected="1" zoomScale="88" workbookViewId="0">
      <selection activeCell="M36" sqref="M36"/>
    </sheetView>
  </sheetViews>
  <sheetFormatPr defaultRowHeight="13.5" x14ac:dyDescent="0.25"/>
  <cols>
    <col min="1" max="1" width="9.85546875" style="24" bestFit="1" customWidth="1"/>
    <col min="2" max="2" width="9.85546875" style="24" customWidth="1"/>
    <col min="3" max="3" width="32.7109375" style="24" bestFit="1" customWidth="1"/>
    <col min="4" max="4" width="9.7109375" style="24" bestFit="1" customWidth="1"/>
    <col min="5" max="5" width="12.5703125" style="24" customWidth="1"/>
    <col min="6" max="6" width="11.85546875" style="24" bestFit="1" customWidth="1"/>
    <col min="7" max="7" width="11.28515625" style="24" bestFit="1" customWidth="1"/>
    <col min="8" max="8" width="13.140625" style="24" bestFit="1" customWidth="1"/>
    <col min="9" max="9" width="13.28515625" style="24" bestFit="1" customWidth="1"/>
    <col min="10" max="10" width="11.7109375" style="24" customWidth="1"/>
    <col min="11" max="11" width="9.85546875" style="24" customWidth="1"/>
    <col min="12" max="12" width="13.140625" style="24" customWidth="1"/>
    <col min="13" max="13" width="11.140625" style="24" bestFit="1" customWidth="1"/>
    <col min="14" max="14" width="11.85546875" style="24" customWidth="1"/>
    <col min="15" max="15" width="28.7109375" style="24" bestFit="1" customWidth="1"/>
    <col min="16" max="16" width="15.7109375" style="24" customWidth="1"/>
    <col min="17" max="17" width="22.7109375" style="24" bestFit="1" customWidth="1"/>
    <col min="18" max="18" width="19" style="24" bestFit="1" customWidth="1"/>
    <col min="19" max="19" width="15.28515625" style="24" bestFit="1" customWidth="1"/>
    <col min="20" max="20" width="23.140625" style="24" bestFit="1" customWidth="1"/>
    <col min="21" max="16384" width="9.140625" style="24"/>
  </cols>
  <sheetData>
    <row r="1" spans="1:20" s="6" customFormat="1" ht="29.1" customHeight="1" x14ac:dyDescent="0.25">
      <c r="A1" s="1" t="s">
        <v>0</v>
      </c>
      <c r="B1" s="1" t="s">
        <v>51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  <c r="L1" s="3" t="s">
        <v>10</v>
      </c>
      <c r="M1" s="2" t="s">
        <v>11</v>
      </c>
      <c r="N1" s="4" t="s">
        <v>12</v>
      </c>
      <c r="O1" s="5" t="s">
        <v>13</v>
      </c>
      <c r="P1" s="5" t="s">
        <v>14</v>
      </c>
      <c r="Q1" s="5" t="s">
        <v>53</v>
      </c>
      <c r="R1" s="5" t="s">
        <v>54</v>
      </c>
      <c r="S1" s="5" t="s">
        <v>55</v>
      </c>
      <c r="T1" s="5" t="s">
        <v>56</v>
      </c>
    </row>
    <row r="2" spans="1:20" s="20" customFormat="1" x14ac:dyDescent="0.25">
      <c r="A2" s="7">
        <v>10140179</v>
      </c>
      <c r="B2" s="8" t="s">
        <v>52</v>
      </c>
      <c r="C2" s="9" t="s">
        <v>15</v>
      </c>
      <c r="D2" s="10" t="s">
        <v>16</v>
      </c>
      <c r="E2" s="11" t="s">
        <v>17</v>
      </c>
      <c r="F2" s="11" t="s">
        <v>18</v>
      </c>
      <c r="G2" s="12">
        <v>45800</v>
      </c>
      <c r="H2" s="13">
        <v>4894.7</v>
      </c>
      <c r="I2" s="13">
        <v>187814.04928505002</v>
      </c>
      <c r="J2" s="14">
        <v>10235</v>
      </c>
      <c r="K2" s="15">
        <v>3756.2809857010002</v>
      </c>
      <c r="L2" s="13">
        <v>2163.46</v>
      </c>
      <c r="M2" s="16">
        <v>4315</v>
      </c>
      <c r="N2" s="17" t="s">
        <v>19</v>
      </c>
      <c r="O2" s="18" t="s">
        <v>20</v>
      </c>
      <c r="P2" s="18" t="s">
        <v>21</v>
      </c>
      <c r="Q2" s="19" t="s">
        <v>57</v>
      </c>
      <c r="R2" s="19" t="s">
        <v>58</v>
      </c>
      <c r="S2" s="19" t="s">
        <v>59</v>
      </c>
      <c r="T2" s="19" t="s">
        <v>60</v>
      </c>
    </row>
    <row r="3" spans="1:20" s="20" customFormat="1" x14ac:dyDescent="0.25">
      <c r="A3" s="7">
        <v>10060106</v>
      </c>
      <c r="B3" s="8" t="s">
        <v>52</v>
      </c>
      <c r="C3" s="9" t="s">
        <v>22</v>
      </c>
      <c r="D3" s="10" t="s">
        <v>16</v>
      </c>
      <c r="E3" s="11" t="s">
        <v>17</v>
      </c>
      <c r="F3" s="11" t="s">
        <v>23</v>
      </c>
      <c r="G3" s="12">
        <v>45978</v>
      </c>
      <c r="H3" s="13">
        <v>2569.8999999999996</v>
      </c>
      <c r="I3" s="13">
        <v>123410.32746238899</v>
      </c>
      <c r="J3" s="14">
        <v>5130</v>
      </c>
      <c r="K3" s="15">
        <v>2468.20654924778</v>
      </c>
      <c r="L3" s="13">
        <v>0</v>
      </c>
      <c r="M3" s="16">
        <v>2662</v>
      </c>
      <c r="N3" s="17" t="s">
        <v>19</v>
      </c>
      <c r="O3" s="18" t="s">
        <v>20</v>
      </c>
      <c r="P3" s="18" t="s">
        <v>21</v>
      </c>
      <c r="Q3" s="19" t="s">
        <v>61</v>
      </c>
      <c r="R3" s="19" t="s">
        <v>62</v>
      </c>
      <c r="S3" s="19" t="s">
        <v>63</v>
      </c>
      <c r="T3" s="19" t="s">
        <v>64</v>
      </c>
    </row>
    <row r="4" spans="1:20" s="20" customFormat="1" x14ac:dyDescent="0.25">
      <c r="A4" s="7">
        <v>10610008</v>
      </c>
      <c r="B4" s="8" t="s">
        <v>52</v>
      </c>
      <c r="C4" s="9" t="s">
        <v>24</v>
      </c>
      <c r="D4" s="10" t="s">
        <v>16</v>
      </c>
      <c r="E4" s="11" t="s">
        <v>17</v>
      </c>
      <c r="F4" s="11" t="s">
        <v>25</v>
      </c>
      <c r="G4" s="12">
        <v>46053</v>
      </c>
      <c r="H4" s="13">
        <v>2003.5</v>
      </c>
      <c r="I4" s="13">
        <v>87514.049857424136</v>
      </c>
      <c r="J4" s="14">
        <v>2512</v>
      </c>
      <c r="K4" s="15">
        <v>1861</v>
      </c>
      <c r="L4" s="13">
        <v>0</v>
      </c>
      <c r="M4" s="16">
        <v>651</v>
      </c>
      <c r="N4" s="17" t="s">
        <v>19</v>
      </c>
      <c r="O4" s="18" t="s">
        <v>26</v>
      </c>
      <c r="P4" s="18" t="s">
        <v>21</v>
      </c>
      <c r="Q4" s="19" t="s">
        <v>65</v>
      </c>
      <c r="R4" s="19" t="s">
        <v>66</v>
      </c>
      <c r="S4" s="19" t="s">
        <v>67</v>
      </c>
      <c r="T4" s="19" t="s">
        <v>68</v>
      </c>
    </row>
    <row r="5" spans="1:20" s="20" customFormat="1" x14ac:dyDescent="0.25">
      <c r="A5" s="7">
        <v>10610010</v>
      </c>
      <c r="B5" s="8" t="s">
        <v>52</v>
      </c>
      <c r="C5" s="9" t="s">
        <v>27</v>
      </c>
      <c r="D5" s="10" t="s">
        <v>16</v>
      </c>
      <c r="E5" s="11" t="s">
        <v>17</v>
      </c>
      <c r="F5" s="11" t="s">
        <v>25</v>
      </c>
      <c r="G5" s="12">
        <v>46053</v>
      </c>
      <c r="H5" s="13">
        <v>1837.6000000000001</v>
      </c>
      <c r="I5" s="13">
        <v>77916.534707330793</v>
      </c>
      <c r="J5" s="14">
        <v>2109</v>
      </c>
      <c r="K5" s="15">
        <v>1861</v>
      </c>
      <c r="L5" s="13">
        <v>0</v>
      </c>
      <c r="M5" s="16">
        <v>248</v>
      </c>
      <c r="N5" s="17" t="s">
        <v>19</v>
      </c>
      <c r="O5" s="18" t="s">
        <v>28</v>
      </c>
      <c r="P5" s="18" t="s">
        <v>21</v>
      </c>
      <c r="Q5" s="19" t="s">
        <v>69</v>
      </c>
      <c r="R5" s="19" t="s">
        <v>70</v>
      </c>
      <c r="S5" s="19" t="s">
        <v>71</v>
      </c>
      <c r="T5" s="19" t="s">
        <v>72</v>
      </c>
    </row>
    <row r="6" spans="1:20" s="20" customFormat="1" x14ac:dyDescent="0.25">
      <c r="A6" s="7">
        <v>10610009</v>
      </c>
      <c r="B6" s="8" t="s">
        <v>52</v>
      </c>
      <c r="C6" s="9" t="s">
        <v>29</v>
      </c>
      <c r="D6" s="10" t="s">
        <v>16</v>
      </c>
      <c r="E6" s="11" t="s">
        <v>17</v>
      </c>
      <c r="F6" s="11" t="s">
        <v>25</v>
      </c>
      <c r="G6" s="12">
        <v>46071</v>
      </c>
      <c r="H6" s="13">
        <v>3795.06</v>
      </c>
      <c r="I6" s="13">
        <v>170116.62224452797</v>
      </c>
      <c r="J6" s="14">
        <v>7051</v>
      </c>
      <c r="K6" s="15">
        <v>3402.3324448905596</v>
      </c>
      <c r="L6" s="13">
        <v>0</v>
      </c>
      <c r="M6" s="16">
        <v>3649</v>
      </c>
      <c r="N6" s="17" t="s">
        <v>19</v>
      </c>
      <c r="O6" s="18" t="s">
        <v>28</v>
      </c>
      <c r="P6" s="18" t="s">
        <v>21</v>
      </c>
      <c r="Q6" s="19" t="s">
        <v>73</v>
      </c>
      <c r="R6" s="19" t="s">
        <v>74</v>
      </c>
      <c r="S6" s="19" t="s">
        <v>71</v>
      </c>
      <c r="T6" s="19" t="s">
        <v>72</v>
      </c>
    </row>
    <row r="7" spans="1:20" s="20" customFormat="1" x14ac:dyDescent="0.25">
      <c r="A7" s="7">
        <v>10610001</v>
      </c>
      <c r="B7" s="8" t="s">
        <v>52</v>
      </c>
      <c r="C7" s="9" t="s">
        <v>30</v>
      </c>
      <c r="D7" s="10" t="s">
        <v>16</v>
      </c>
      <c r="E7" s="11" t="s">
        <v>17</v>
      </c>
      <c r="F7" s="11" t="s">
        <v>25</v>
      </c>
      <c r="G7" s="12">
        <v>46097</v>
      </c>
      <c r="H7" s="13">
        <v>3502.2000000000007</v>
      </c>
      <c r="I7" s="13">
        <v>152429.46388925001</v>
      </c>
      <c r="J7" s="14">
        <v>6734</v>
      </c>
      <c r="K7" s="15">
        <v>0</v>
      </c>
      <c r="L7" s="13">
        <v>0</v>
      </c>
      <c r="M7" s="16">
        <v>6734</v>
      </c>
      <c r="N7" s="17" t="s">
        <v>19</v>
      </c>
      <c r="O7" s="18" t="s">
        <v>26</v>
      </c>
      <c r="P7" s="18" t="s">
        <v>21</v>
      </c>
      <c r="Q7" s="19" t="s">
        <v>75</v>
      </c>
      <c r="R7" s="19" t="s">
        <v>76</v>
      </c>
      <c r="S7" s="19" t="s">
        <v>77</v>
      </c>
      <c r="T7" s="19" t="s">
        <v>78</v>
      </c>
    </row>
    <row r="8" spans="1:20" s="20" customFormat="1" x14ac:dyDescent="0.25">
      <c r="A8" s="7">
        <v>10610003</v>
      </c>
      <c r="B8" s="8" t="s">
        <v>52</v>
      </c>
      <c r="C8" s="9" t="s">
        <v>31</v>
      </c>
      <c r="D8" s="10" t="s">
        <v>16</v>
      </c>
      <c r="E8" s="11" t="s">
        <v>17</v>
      </c>
      <c r="F8" s="11" t="s">
        <v>25</v>
      </c>
      <c r="G8" s="12">
        <v>46097</v>
      </c>
      <c r="H8" s="13">
        <v>1637.5000000000002</v>
      </c>
      <c r="I8" s="13">
        <v>64818.104748269994</v>
      </c>
      <c r="J8" s="14">
        <v>2620</v>
      </c>
      <c r="K8" s="15">
        <v>0</v>
      </c>
      <c r="L8" s="13">
        <v>0</v>
      </c>
      <c r="M8" s="16">
        <v>2620</v>
      </c>
      <c r="N8" s="17" t="s">
        <v>19</v>
      </c>
      <c r="O8" s="18" t="s">
        <v>26</v>
      </c>
      <c r="P8" s="18" t="s">
        <v>21</v>
      </c>
      <c r="Q8" s="19" t="s">
        <v>79</v>
      </c>
      <c r="R8" s="19" t="s">
        <v>80</v>
      </c>
      <c r="S8" s="19" t="s">
        <v>81</v>
      </c>
      <c r="T8" s="19" t="s">
        <v>82</v>
      </c>
    </row>
    <row r="9" spans="1:20" s="20" customFormat="1" x14ac:dyDescent="0.25">
      <c r="A9" s="7">
        <v>10610004</v>
      </c>
      <c r="B9" s="8" t="s">
        <v>52</v>
      </c>
      <c r="C9" s="9" t="s">
        <v>32</v>
      </c>
      <c r="D9" s="10" t="s">
        <v>16</v>
      </c>
      <c r="E9" s="11" t="s">
        <v>17</v>
      </c>
      <c r="F9" s="11" t="s">
        <v>25</v>
      </c>
      <c r="G9" s="12">
        <v>46097</v>
      </c>
      <c r="H9" s="13">
        <v>651.9</v>
      </c>
      <c r="I9" s="13">
        <v>27768.048748979501</v>
      </c>
      <c r="J9" s="14">
        <v>1652</v>
      </c>
      <c r="K9" s="15">
        <v>0</v>
      </c>
      <c r="L9" s="13">
        <v>0</v>
      </c>
      <c r="M9" s="16">
        <v>1652</v>
      </c>
      <c r="N9" s="17" t="s">
        <v>19</v>
      </c>
      <c r="O9" s="18" t="s">
        <v>28</v>
      </c>
      <c r="P9" s="18" t="s">
        <v>21</v>
      </c>
      <c r="Q9" s="19" t="s">
        <v>83</v>
      </c>
      <c r="R9" s="19" t="s">
        <v>84</v>
      </c>
      <c r="S9" s="19" t="s">
        <v>85</v>
      </c>
      <c r="T9" s="19" t="s">
        <v>86</v>
      </c>
    </row>
    <row r="10" spans="1:20" s="20" customFormat="1" x14ac:dyDescent="0.25">
      <c r="A10" s="7">
        <v>10610005</v>
      </c>
      <c r="B10" s="8" t="s">
        <v>52</v>
      </c>
      <c r="C10" s="9" t="s">
        <v>33</v>
      </c>
      <c r="D10" s="10" t="s">
        <v>16</v>
      </c>
      <c r="E10" s="11" t="s">
        <v>17</v>
      </c>
      <c r="F10" s="11" t="s">
        <v>25</v>
      </c>
      <c r="G10" s="12">
        <v>46097</v>
      </c>
      <c r="H10" s="13">
        <v>1786.0000000000002</v>
      </c>
      <c r="I10" s="13">
        <v>75963.544551143001</v>
      </c>
      <c r="J10" s="14">
        <v>2858</v>
      </c>
      <c r="K10" s="15">
        <v>0</v>
      </c>
      <c r="L10" s="13">
        <v>0</v>
      </c>
      <c r="M10" s="16">
        <v>2858</v>
      </c>
      <c r="N10" s="17" t="s">
        <v>19</v>
      </c>
      <c r="O10" s="18" t="s">
        <v>26</v>
      </c>
      <c r="P10" s="18" t="s">
        <v>21</v>
      </c>
      <c r="Q10" s="19" t="s">
        <v>87</v>
      </c>
      <c r="R10" s="19" t="s">
        <v>88</v>
      </c>
      <c r="S10" s="19" t="s">
        <v>89</v>
      </c>
      <c r="T10" s="19" t="s">
        <v>90</v>
      </c>
    </row>
    <row r="11" spans="1:20" s="20" customFormat="1" x14ac:dyDescent="0.25">
      <c r="A11" s="7">
        <v>10610015</v>
      </c>
      <c r="B11" s="8" t="s">
        <v>52</v>
      </c>
      <c r="C11" s="9" t="s">
        <v>34</v>
      </c>
      <c r="D11" s="10" t="s">
        <v>35</v>
      </c>
      <c r="E11" s="11" t="s">
        <v>36</v>
      </c>
      <c r="F11" s="11" t="s">
        <v>25</v>
      </c>
      <c r="G11" s="12">
        <v>46097</v>
      </c>
      <c r="H11" s="13">
        <v>1024.5999999999999</v>
      </c>
      <c r="I11" s="13">
        <v>36365.173771550006</v>
      </c>
      <c r="J11" s="14">
        <v>1639</v>
      </c>
      <c r="K11" s="15">
        <v>0</v>
      </c>
      <c r="L11" s="13">
        <v>0</v>
      </c>
      <c r="M11" s="16">
        <v>1639</v>
      </c>
      <c r="N11" s="17" t="s">
        <v>19</v>
      </c>
      <c r="O11" s="18" t="s">
        <v>37</v>
      </c>
      <c r="P11" s="18" t="s">
        <v>21</v>
      </c>
      <c r="Q11" s="19" t="s">
        <v>115</v>
      </c>
      <c r="R11" s="19" t="s">
        <v>116</v>
      </c>
      <c r="S11" s="19" t="s">
        <v>67</v>
      </c>
      <c r="T11" s="19" t="s">
        <v>117</v>
      </c>
    </row>
    <row r="12" spans="1:20" s="20" customFormat="1" x14ac:dyDescent="0.25">
      <c r="A12" s="7">
        <v>10610017</v>
      </c>
      <c r="B12" s="8" t="s">
        <v>52</v>
      </c>
      <c r="C12" s="9" t="s">
        <v>38</v>
      </c>
      <c r="D12" s="10" t="s">
        <v>16</v>
      </c>
      <c r="E12" s="11" t="s">
        <v>17</v>
      </c>
      <c r="F12" s="11" t="s">
        <v>25</v>
      </c>
      <c r="G12" s="12">
        <v>46097</v>
      </c>
      <c r="H12" s="13">
        <v>810.19999999999993</v>
      </c>
      <c r="I12" s="13">
        <v>32818.884989066995</v>
      </c>
      <c r="J12" s="14">
        <v>1296</v>
      </c>
      <c r="K12" s="15">
        <v>0</v>
      </c>
      <c r="L12" s="13">
        <v>0</v>
      </c>
      <c r="M12" s="16">
        <v>1296</v>
      </c>
      <c r="N12" s="17" t="s">
        <v>19</v>
      </c>
      <c r="O12" s="18" t="s">
        <v>28</v>
      </c>
      <c r="P12" s="18" t="s">
        <v>21</v>
      </c>
      <c r="Q12" s="19" t="s">
        <v>91</v>
      </c>
      <c r="R12" s="19" t="s">
        <v>92</v>
      </c>
      <c r="S12" s="19" t="s">
        <v>93</v>
      </c>
      <c r="T12" s="19" t="s">
        <v>94</v>
      </c>
    </row>
    <row r="13" spans="1:20" s="20" customFormat="1" x14ac:dyDescent="0.25">
      <c r="A13" s="7">
        <v>10610018</v>
      </c>
      <c r="B13" s="8" t="s">
        <v>52</v>
      </c>
      <c r="C13" s="9" t="s">
        <v>39</v>
      </c>
      <c r="D13" s="10" t="s">
        <v>16</v>
      </c>
      <c r="E13" s="11" t="s">
        <v>17</v>
      </c>
      <c r="F13" s="11" t="s">
        <v>25</v>
      </c>
      <c r="G13" s="12">
        <v>46097</v>
      </c>
      <c r="H13" s="13">
        <v>1931.5</v>
      </c>
      <c r="I13" s="13">
        <v>85431.683812514006</v>
      </c>
      <c r="J13" s="14">
        <v>3090</v>
      </c>
      <c r="K13" s="15">
        <v>0</v>
      </c>
      <c r="L13" s="13">
        <v>0</v>
      </c>
      <c r="M13" s="16">
        <v>3090</v>
      </c>
      <c r="N13" s="17" t="s">
        <v>19</v>
      </c>
      <c r="O13" s="18" t="s">
        <v>28</v>
      </c>
      <c r="P13" s="18" t="s">
        <v>21</v>
      </c>
      <c r="Q13" s="19" t="s">
        <v>95</v>
      </c>
      <c r="R13" s="19" t="s">
        <v>96</v>
      </c>
      <c r="S13" s="19" t="s">
        <v>89</v>
      </c>
      <c r="T13" s="19" t="s">
        <v>90</v>
      </c>
    </row>
    <row r="14" spans="1:20" s="20" customFormat="1" x14ac:dyDescent="0.25">
      <c r="A14" s="7">
        <v>10610020</v>
      </c>
      <c r="B14" s="8" t="s">
        <v>52</v>
      </c>
      <c r="C14" s="9" t="s">
        <v>40</v>
      </c>
      <c r="D14" s="10" t="s">
        <v>16</v>
      </c>
      <c r="E14" s="11" t="s">
        <v>17</v>
      </c>
      <c r="F14" s="11" t="s">
        <v>25</v>
      </c>
      <c r="G14" s="12">
        <v>46097</v>
      </c>
      <c r="H14" s="13">
        <v>1607.4999999999998</v>
      </c>
      <c r="I14" s="13">
        <v>65022.825328003004</v>
      </c>
      <c r="J14" s="14">
        <v>2572</v>
      </c>
      <c r="K14" s="15">
        <v>0</v>
      </c>
      <c r="L14" s="13">
        <v>0</v>
      </c>
      <c r="M14" s="16">
        <v>2572</v>
      </c>
      <c r="N14" s="17" t="s">
        <v>19</v>
      </c>
      <c r="O14" s="18" t="s">
        <v>26</v>
      </c>
      <c r="P14" s="18" t="s">
        <v>21</v>
      </c>
      <c r="Q14" s="19" t="s">
        <v>97</v>
      </c>
      <c r="R14" s="19" t="s">
        <v>98</v>
      </c>
      <c r="S14" s="19" t="s">
        <v>81</v>
      </c>
      <c r="T14" s="19" t="s">
        <v>82</v>
      </c>
    </row>
    <row r="15" spans="1:20" s="20" customFormat="1" x14ac:dyDescent="0.25">
      <c r="A15" s="7">
        <v>10610022</v>
      </c>
      <c r="B15" s="8" t="s">
        <v>52</v>
      </c>
      <c r="C15" s="9" t="s">
        <v>41</v>
      </c>
      <c r="D15" s="10" t="s">
        <v>16</v>
      </c>
      <c r="E15" s="11" t="s">
        <v>17</v>
      </c>
      <c r="F15" s="11" t="s">
        <v>25</v>
      </c>
      <c r="G15" s="12">
        <v>46097</v>
      </c>
      <c r="H15" s="13">
        <v>924.90000000000009</v>
      </c>
      <c r="I15" s="13">
        <v>39161.727273500699</v>
      </c>
      <c r="J15" s="14">
        <v>1480</v>
      </c>
      <c r="K15" s="15">
        <v>0</v>
      </c>
      <c r="L15" s="13">
        <v>0</v>
      </c>
      <c r="M15" s="16">
        <v>1480</v>
      </c>
      <c r="N15" s="17" t="s">
        <v>19</v>
      </c>
      <c r="O15" s="18" t="s">
        <v>28</v>
      </c>
      <c r="P15" s="18" t="s">
        <v>21</v>
      </c>
      <c r="Q15" s="19" t="s">
        <v>99</v>
      </c>
      <c r="R15" s="19" t="s">
        <v>100</v>
      </c>
      <c r="S15" s="19" t="s">
        <v>77</v>
      </c>
      <c r="T15" s="19" t="s">
        <v>101</v>
      </c>
    </row>
    <row r="16" spans="1:20" s="20" customFormat="1" x14ac:dyDescent="0.25">
      <c r="A16" s="7">
        <v>10610025</v>
      </c>
      <c r="B16" s="8" t="s">
        <v>52</v>
      </c>
      <c r="C16" s="9" t="s">
        <v>42</v>
      </c>
      <c r="D16" s="10" t="s">
        <v>35</v>
      </c>
      <c r="E16" s="11" t="s">
        <v>36</v>
      </c>
      <c r="F16" s="11" t="s">
        <v>25</v>
      </c>
      <c r="G16" s="12">
        <v>46097</v>
      </c>
      <c r="H16" s="13">
        <v>153.20000000000002</v>
      </c>
      <c r="I16" s="13">
        <v>5588.22</v>
      </c>
      <c r="J16" s="14">
        <v>245</v>
      </c>
      <c r="K16" s="15">
        <v>0</v>
      </c>
      <c r="L16" s="13">
        <v>0</v>
      </c>
      <c r="M16" s="16">
        <v>245</v>
      </c>
      <c r="N16" s="17" t="s">
        <v>19</v>
      </c>
      <c r="O16" s="18" t="s">
        <v>37</v>
      </c>
      <c r="P16" s="18" t="s">
        <v>21</v>
      </c>
      <c r="Q16" s="19" t="s">
        <v>118</v>
      </c>
      <c r="R16" s="19" t="s">
        <v>119</v>
      </c>
      <c r="S16" s="19" t="s">
        <v>71</v>
      </c>
      <c r="T16" s="19" t="s">
        <v>120</v>
      </c>
    </row>
    <row r="17" spans="1:20" s="20" customFormat="1" x14ac:dyDescent="0.25">
      <c r="A17" s="7">
        <v>10610019</v>
      </c>
      <c r="B17" s="8" t="s">
        <v>52</v>
      </c>
      <c r="C17" s="9" t="s">
        <v>43</v>
      </c>
      <c r="D17" s="10" t="s">
        <v>16</v>
      </c>
      <c r="E17" s="11" t="s">
        <v>17</v>
      </c>
      <c r="F17" s="11" t="s">
        <v>25</v>
      </c>
      <c r="G17" s="12">
        <v>46103</v>
      </c>
      <c r="H17" s="13">
        <v>583.29999999999995</v>
      </c>
      <c r="I17" s="13">
        <v>27719.239694642602</v>
      </c>
      <c r="J17" s="14">
        <v>933</v>
      </c>
      <c r="K17" s="15">
        <v>0</v>
      </c>
      <c r="L17" s="13">
        <v>0</v>
      </c>
      <c r="M17" s="16">
        <v>933</v>
      </c>
      <c r="N17" s="17" t="s">
        <v>19</v>
      </c>
      <c r="O17" s="18" t="s">
        <v>28</v>
      </c>
      <c r="P17" s="18" t="s">
        <v>21</v>
      </c>
      <c r="Q17" s="19" t="s">
        <v>102</v>
      </c>
      <c r="R17" s="19" t="s">
        <v>103</v>
      </c>
      <c r="S17" s="19" t="s">
        <v>104</v>
      </c>
      <c r="T17" s="19" t="s">
        <v>68</v>
      </c>
    </row>
    <row r="18" spans="1:20" s="20" customFormat="1" x14ac:dyDescent="0.25">
      <c r="A18" s="7">
        <v>10610024</v>
      </c>
      <c r="B18" s="8" t="s">
        <v>52</v>
      </c>
      <c r="C18" s="9" t="s">
        <v>44</v>
      </c>
      <c r="D18" s="10" t="s">
        <v>16</v>
      </c>
      <c r="E18" s="11" t="s">
        <v>17</v>
      </c>
      <c r="F18" s="11" t="s">
        <v>25</v>
      </c>
      <c r="G18" s="12">
        <v>46107</v>
      </c>
      <c r="H18" s="13">
        <v>1017.0999999999999</v>
      </c>
      <c r="I18" s="13">
        <v>38892.768837470008</v>
      </c>
      <c r="J18" s="14">
        <v>2145</v>
      </c>
      <c r="K18" s="15">
        <v>0</v>
      </c>
      <c r="L18" s="13">
        <v>0</v>
      </c>
      <c r="M18" s="16">
        <v>2145</v>
      </c>
      <c r="N18" s="17" t="s">
        <v>19</v>
      </c>
      <c r="O18" s="18" t="s">
        <v>26</v>
      </c>
      <c r="P18" s="18" t="s">
        <v>21</v>
      </c>
      <c r="Q18" s="19" t="s">
        <v>105</v>
      </c>
      <c r="R18" s="19" t="s">
        <v>106</v>
      </c>
      <c r="S18" s="19" t="s">
        <v>67</v>
      </c>
      <c r="T18" s="19" t="s">
        <v>94</v>
      </c>
    </row>
    <row r="19" spans="1:20" s="20" customFormat="1" x14ac:dyDescent="0.25">
      <c r="A19" s="7">
        <v>10610026</v>
      </c>
      <c r="B19" s="8" t="s">
        <v>52</v>
      </c>
      <c r="C19" s="9" t="s">
        <v>45</v>
      </c>
      <c r="D19" s="10" t="s">
        <v>16</v>
      </c>
      <c r="E19" s="11" t="s">
        <v>17</v>
      </c>
      <c r="F19" s="11" t="s">
        <v>25</v>
      </c>
      <c r="G19" s="12">
        <v>46112</v>
      </c>
      <c r="H19" s="13">
        <v>297.5</v>
      </c>
      <c r="I19" s="13">
        <v>18858.177928891</v>
      </c>
      <c r="J19" s="14">
        <v>476</v>
      </c>
      <c r="K19" s="15">
        <v>0</v>
      </c>
      <c r="L19" s="13">
        <v>0</v>
      </c>
      <c r="M19" s="16">
        <v>476</v>
      </c>
      <c r="N19" s="17" t="s">
        <v>19</v>
      </c>
      <c r="O19" s="18" t="s">
        <v>28</v>
      </c>
      <c r="P19" s="18" t="s">
        <v>21</v>
      </c>
      <c r="Q19" s="19" t="s">
        <v>107</v>
      </c>
      <c r="R19" s="19" t="s">
        <v>108</v>
      </c>
      <c r="S19" s="19" t="s">
        <v>109</v>
      </c>
      <c r="T19" s="19" t="s">
        <v>110</v>
      </c>
    </row>
    <row r="20" spans="1:20" s="20" customFormat="1" x14ac:dyDescent="0.25">
      <c r="A20" s="7">
        <v>10610039</v>
      </c>
      <c r="B20" s="8" t="s">
        <v>52</v>
      </c>
      <c r="C20" s="9" t="s">
        <v>46</v>
      </c>
      <c r="D20" s="10" t="s">
        <v>35</v>
      </c>
      <c r="E20" s="11" t="s">
        <v>36</v>
      </c>
      <c r="F20" s="11" t="s">
        <v>25</v>
      </c>
      <c r="G20" s="12">
        <v>46108</v>
      </c>
      <c r="H20" s="13">
        <v>768.4</v>
      </c>
      <c r="I20" s="13">
        <v>28187.77</v>
      </c>
      <c r="J20" s="14">
        <v>1229</v>
      </c>
      <c r="K20" s="15">
        <v>0</v>
      </c>
      <c r="L20" s="13">
        <v>0</v>
      </c>
      <c r="M20" s="16">
        <v>1229</v>
      </c>
      <c r="N20" s="17" t="s">
        <v>19</v>
      </c>
      <c r="O20" s="18" t="s">
        <v>37</v>
      </c>
      <c r="P20" s="18" t="s">
        <v>21</v>
      </c>
      <c r="Q20" s="19" t="s">
        <v>121</v>
      </c>
      <c r="R20" s="19" t="s">
        <v>122</v>
      </c>
      <c r="S20" s="19" t="s">
        <v>123</v>
      </c>
      <c r="T20" s="19" t="s">
        <v>124</v>
      </c>
    </row>
    <row r="21" spans="1:20" s="20" customFormat="1" x14ac:dyDescent="0.25">
      <c r="A21" s="7">
        <v>10610044</v>
      </c>
      <c r="B21" s="8" t="s">
        <v>52</v>
      </c>
      <c r="C21" s="9" t="s">
        <v>47</v>
      </c>
      <c r="D21" s="10" t="s">
        <v>35</v>
      </c>
      <c r="E21" s="11" t="s">
        <v>36</v>
      </c>
      <c r="F21" s="11" t="s">
        <v>25</v>
      </c>
      <c r="G21" s="12">
        <v>46115</v>
      </c>
      <c r="H21" s="13">
        <v>49.3</v>
      </c>
      <c r="I21" s="13">
        <v>1741.74</v>
      </c>
      <c r="J21" s="14">
        <v>79</v>
      </c>
      <c r="K21" s="15">
        <v>0</v>
      </c>
      <c r="L21" s="13">
        <v>0</v>
      </c>
      <c r="M21" s="16">
        <v>79</v>
      </c>
      <c r="N21" s="17" t="s">
        <v>19</v>
      </c>
      <c r="O21" s="18" t="s">
        <v>37</v>
      </c>
      <c r="P21" s="18" t="s">
        <v>21</v>
      </c>
      <c r="Q21" s="19" t="s">
        <v>125</v>
      </c>
      <c r="R21" s="19" t="s">
        <v>126</v>
      </c>
      <c r="S21" s="19" t="s">
        <v>127</v>
      </c>
      <c r="T21" s="19" t="s">
        <v>128</v>
      </c>
    </row>
    <row r="22" spans="1:20" s="20" customFormat="1" x14ac:dyDescent="0.25">
      <c r="A22" s="7">
        <v>10610055</v>
      </c>
      <c r="B22" s="8" t="s">
        <v>52</v>
      </c>
      <c r="C22" s="9" t="s">
        <v>48</v>
      </c>
      <c r="D22" s="10" t="s">
        <v>35</v>
      </c>
      <c r="E22" s="11" t="s">
        <v>17</v>
      </c>
      <c r="F22" s="11" t="s">
        <v>25</v>
      </c>
      <c r="G22" s="12">
        <v>46159</v>
      </c>
      <c r="H22" s="13">
        <v>250.70000000000002</v>
      </c>
      <c r="I22" s="13">
        <v>11215.822487240901</v>
      </c>
      <c r="J22" s="14">
        <v>401</v>
      </c>
      <c r="K22" s="15">
        <v>0</v>
      </c>
      <c r="L22" s="13">
        <v>0</v>
      </c>
      <c r="M22" s="16">
        <v>401</v>
      </c>
      <c r="N22" s="17" t="s">
        <v>19</v>
      </c>
      <c r="O22" s="18" t="s">
        <v>20</v>
      </c>
      <c r="P22" s="18" t="s">
        <v>21</v>
      </c>
      <c r="Q22" s="19" t="s">
        <v>111</v>
      </c>
      <c r="R22" s="19" t="s">
        <v>112</v>
      </c>
      <c r="S22" s="19" t="s">
        <v>113</v>
      </c>
      <c r="T22" s="19" t="s">
        <v>114</v>
      </c>
    </row>
    <row r="23" spans="1:20" s="20" customFormat="1" x14ac:dyDescent="0.25">
      <c r="A23" s="7">
        <v>10610056</v>
      </c>
      <c r="B23" s="8" t="s">
        <v>52</v>
      </c>
      <c r="C23" s="9" t="s">
        <v>49</v>
      </c>
      <c r="D23" s="10" t="s">
        <v>35</v>
      </c>
      <c r="E23" s="11" t="s">
        <v>36</v>
      </c>
      <c r="F23" s="11" t="s">
        <v>25</v>
      </c>
      <c r="G23" s="12">
        <v>46160</v>
      </c>
      <c r="H23" s="13">
        <v>431.69999999999993</v>
      </c>
      <c r="I23" s="13">
        <v>20301.180970286201</v>
      </c>
      <c r="J23" s="14">
        <v>691</v>
      </c>
      <c r="K23" s="15">
        <v>0</v>
      </c>
      <c r="L23" s="13">
        <v>0</v>
      </c>
      <c r="M23" s="16">
        <v>691</v>
      </c>
      <c r="N23" s="17" t="s">
        <v>19</v>
      </c>
      <c r="O23" s="18" t="s">
        <v>37</v>
      </c>
      <c r="P23" s="18" t="s">
        <v>21</v>
      </c>
      <c r="Q23" s="19" t="s">
        <v>129</v>
      </c>
      <c r="R23" s="19" t="s">
        <v>130</v>
      </c>
      <c r="S23" s="19" t="s">
        <v>131</v>
      </c>
      <c r="T23" s="19" t="s">
        <v>117</v>
      </c>
    </row>
    <row r="24" spans="1:20" x14ac:dyDescent="0.25">
      <c r="A24" s="21"/>
      <c r="B24" s="21"/>
      <c r="C24" s="22" t="s">
        <v>50</v>
      </c>
      <c r="D24" s="22"/>
      <c r="E24" s="22"/>
      <c r="F24" s="22"/>
      <c r="G24" s="21"/>
      <c r="H24" s="22">
        <f>SUM(H2:H23)</f>
        <v>32528.260000000002</v>
      </c>
      <c r="I24" s="22">
        <f>SUM(I2:I23)</f>
        <v>1379055.9605875299</v>
      </c>
      <c r="J24" s="22">
        <f>SUM(J2:J23)</f>
        <v>57177</v>
      </c>
      <c r="K24" s="22">
        <f>SUM(K2:K23)</f>
        <v>13348.81997983934</v>
      </c>
      <c r="L24" s="22">
        <f>SUM(L2:L23)</f>
        <v>2163.46</v>
      </c>
      <c r="M24" s="23">
        <f>SUM(M2:M23)</f>
        <v>41665</v>
      </c>
      <c r="N24" s="17">
        <v>136</v>
      </c>
      <c r="O24" s="23"/>
      <c r="P24" s="23"/>
      <c r="Q24" s="23"/>
      <c r="R24" s="23"/>
      <c r="S24" s="23"/>
      <c r="T24" s="23"/>
    </row>
  </sheetData>
  <conditionalFormatting sqref="A1:B1">
    <cfRule type="duplicateValues" dxfId="4" priority="8" stopIfTrue="1"/>
  </conditionalFormatting>
  <conditionalFormatting sqref="N24 J2:J24 M2:N23">
    <cfRule type="cellIs" dxfId="3" priority="5" operator="lessThan">
      <formula>0</formula>
    </cfRule>
  </conditionalFormatting>
  <conditionalFormatting sqref="R1">
    <cfRule type="duplicateValues" dxfId="2" priority="4"/>
  </conditionalFormatting>
  <conditionalFormatting sqref="Q2:Q23">
    <cfRule type="duplicateValues" dxfId="1" priority="2"/>
  </conditionalFormatting>
  <conditionalFormatting sqref="R2:R2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2026-06-24T04:32:36Z</dcterms:created>
  <dcterms:modified xsi:type="dcterms:W3CDTF">2026-06-24T05:01:04Z</dcterms:modified>
</cp:coreProperties>
</file>