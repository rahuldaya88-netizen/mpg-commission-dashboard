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"/>
    </mc:Choice>
  </mc:AlternateContent>
  <xr:revisionPtr revIDLastSave="0" documentId="13_ncr:1_{9611D0EA-B636-49D4-960A-58C1A06D8398}" xr6:coauthVersionLast="47" xr6:coauthVersionMax="47" xr10:uidLastSave="{00000000-0000-0000-0000-000000000000}"/>
  <bookViews>
    <workbookView xWindow="-120" yWindow="-120" windowWidth="29040" windowHeight="15720" xr2:uid="{2ABBA2FB-BBD9-4680-A3E4-E51ECC47AE74}"/>
  </bookViews>
  <sheets>
    <sheet name="Sheet1" sheetId="1" r:id="rId1"/>
  </sheets>
  <definedNames>
    <definedName name="_xlnm._FilterDatabase" localSheetId="0" hidden="1">Sheet1!$A$1:$BC$20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19" i="1" l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2" i="1"/>
  <c r="J20" i="1" l="1"/>
  <c r="I20" i="1"/>
  <c r="K20" i="1"/>
</calcChain>
</file>

<file path=xl/sharedStrings.xml><?xml version="1.0" encoding="utf-8"?>
<sst xmlns="http://schemas.openxmlformats.org/spreadsheetml/2006/main" count="216" uniqueCount="59">
  <si>
    <t xml:space="preserve">Code </t>
  </si>
  <si>
    <t xml:space="preserve">MPG NAME </t>
  </si>
  <si>
    <t>MCC</t>
  </si>
  <si>
    <t>status</t>
  </si>
  <si>
    <t>Start Date</t>
  </si>
  <si>
    <t>BMC Volume</t>
  </si>
  <si>
    <t>BMC Amount</t>
  </si>
  <si>
    <t>Payble to Sahyak</t>
  </si>
  <si>
    <t xml:space="preserve">Payment relase </t>
  </si>
  <si>
    <t>Remarks</t>
  </si>
  <si>
    <t>Recommendation</t>
  </si>
  <si>
    <t>Gomukh Balaur</t>
  </si>
  <si>
    <t xml:space="preserve">Alauli </t>
  </si>
  <si>
    <t>Old</t>
  </si>
  <si>
    <t>Release</t>
  </si>
  <si>
    <t>Down Payment</t>
  </si>
  <si>
    <t>DP Done dtd. 09-07-2026</t>
  </si>
  <si>
    <t xml:space="preserve">Gomukh Hathwan </t>
  </si>
  <si>
    <t>New</t>
  </si>
  <si>
    <t>Agreement issue</t>
  </si>
  <si>
    <t>Agreeement Issue</t>
  </si>
  <si>
    <t>Gomukh Amarpur</t>
  </si>
  <si>
    <t>Teghra</t>
  </si>
  <si>
    <t>GOMUKH FATEHA SALEMPUR</t>
  </si>
  <si>
    <t>Gaura</t>
  </si>
  <si>
    <t>Mukhtiyarpur</t>
  </si>
  <si>
    <t>Agreement Issue</t>
  </si>
  <si>
    <t>Agreement Issue / Down Payment</t>
  </si>
  <si>
    <t>Down Payment Issue</t>
  </si>
  <si>
    <t>Month</t>
  </si>
  <si>
    <t>0002</t>
  </si>
  <si>
    <t>Farmer Code</t>
  </si>
  <si>
    <t>ID</t>
  </si>
  <si>
    <t>Indrajeet Yadav</t>
  </si>
  <si>
    <t>35320110061728</t>
  </si>
  <si>
    <t>PUNB0MBGB06</t>
  </si>
  <si>
    <t xml:space="preserve">Bihar Gramin Bank </t>
  </si>
  <si>
    <t xml:space="preserve">Pravin Kumar </t>
  </si>
  <si>
    <t>6642001700005276</t>
  </si>
  <si>
    <t>PUNB0664200</t>
  </si>
  <si>
    <t>Punjab National Bank</t>
  </si>
  <si>
    <t xml:space="preserve">Ajay ray </t>
  </si>
  <si>
    <t>12340100009040</t>
  </si>
  <si>
    <t>UCBA0001234</t>
  </si>
  <si>
    <t xml:space="preserve">Uco Bank </t>
  </si>
  <si>
    <t>Bittu Kumar Ray</t>
  </si>
  <si>
    <t>12330110074077</t>
  </si>
  <si>
    <t>UCBA0001233</t>
  </si>
  <si>
    <t>Nabin Kumar Ray</t>
  </si>
  <si>
    <t>3275447997</t>
  </si>
  <si>
    <t>CBIN0282735</t>
  </si>
  <si>
    <t xml:space="preserve">Central Bank Of India </t>
  </si>
  <si>
    <t>Niva Kumari</t>
  </si>
  <si>
    <t>04933211041542</t>
  </si>
  <si>
    <t>UCBA0000493</t>
  </si>
  <si>
    <t>Farmers Account Name</t>
  </si>
  <si>
    <t>Account no</t>
  </si>
  <si>
    <t>IFSC code</t>
  </si>
  <si>
    <t xml:space="preserve">Bank Of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</si>
</sst>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_);_(* \(#,##0\);_(* &quot;-&quot;??_);_(@_)"/>
    <numFmt numFmtId="166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82604449598681E-2"/>
        <bgColor indexed="64"/>
      </patternFill>
    </fill>
    <fill>
      <patternFill patternType="solid">
        <fgColor theme="7" tint="0.7998596148564104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3" fontId="2" fillId="2" borderId="5" xfId="2" applyFont="1" applyFill="1" applyBorder="1" applyAlignment="1">
      <alignment horizontal="center" vertical="center" wrapText="1"/>
    </xf>
    <xf numFmtId="43" fontId="2" fillId="3" borderId="5" xfId="2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" fontId="5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66" fontId="5" fillId="0" borderId="1" xfId="2" applyNumberFormat="1" applyFont="1" applyFill="1" applyBorder="1"/>
    <xf numFmtId="165" fontId="3" fillId="0" borderId="1" xfId="1" applyNumberFormat="1" applyFont="1" applyFill="1" applyBorder="1" applyAlignment="1">
      <alignment horizontal="right"/>
    </xf>
    <xf numFmtId="166" fontId="3" fillId="0" borderId="1" xfId="2" applyNumberFormat="1" applyFont="1" applyFill="1" applyBorder="1" applyAlignment="1">
      <alignment horizontal="center"/>
    </xf>
    <xf numFmtId="165" fontId="6" fillId="0" borderId="1" xfId="1" applyNumberFormat="1" applyFont="1" applyBorder="1"/>
    <xf numFmtId="0" fontId="5" fillId="0" borderId="1" xfId="0" applyFont="1" applyBorder="1"/>
    <xf numFmtId="0" fontId="5" fillId="0" borderId="0" xfId="0" applyFont="1"/>
    <xf numFmtId="0" fontId="5" fillId="0" borderId="2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center"/>
    </xf>
    <xf numFmtId="166" fontId="5" fillId="0" borderId="2" xfId="2" applyNumberFormat="1" applyFont="1" applyFill="1" applyBorder="1"/>
    <xf numFmtId="165" fontId="3" fillId="0" borderId="2" xfId="1" applyNumberFormat="1" applyFont="1" applyFill="1" applyBorder="1" applyAlignment="1">
      <alignment horizontal="right"/>
    </xf>
    <xf numFmtId="166" fontId="3" fillId="0" borderId="2" xfId="2" applyNumberFormat="1" applyFont="1" applyFill="1" applyBorder="1" applyAlignment="1">
      <alignment horizontal="center"/>
    </xf>
    <xf numFmtId="165" fontId="6" fillId="0" borderId="2" xfId="1" applyNumberFormat="1" applyFont="1" applyBorder="1"/>
    <xf numFmtId="165" fontId="6" fillId="0" borderId="1" xfId="2" applyNumberFormat="1" applyFont="1" applyBorder="1"/>
    <xf numFmtId="166" fontId="2" fillId="7" borderId="2" xfId="0" applyNumberFormat="1" applyFont="1" applyFill="1" applyBorder="1" applyAlignment="1">
      <alignment horizontal="center"/>
    </xf>
    <xf numFmtId="166" fontId="2" fillId="7" borderId="2" xfId="0" applyNumberFormat="1" applyFont="1" applyFill="1" applyBorder="1"/>
    <xf numFmtId="166" fontId="2" fillId="4" borderId="2" xfId="0" applyNumberFormat="1" applyFont="1" applyFill="1" applyBorder="1"/>
    <xf numFmtId="0" fontId="4" fillId="0" borderId="0" xfId="0" applyFont="1"/>
  </cellXfs>
  <cellStyles count="3">
    <cellStyle name="Comma" xfId="1" builtinId="3"/>
    <cellStyle name="Comma 2" xfId="2" xr:uid="{2BD89F61-23C7-4E49-8F86-D1C7AA7B1614}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C6DB-0B00-4DF7-BEF7-D8AB7A49791A}">
  <dimension ref="A1:R30"/>
  <sheetViews>
    <sheetView tabSelected="1" workbookViewId="0">
      <selection activeCell="N32" sqref="N32"/>
    </sheetView>
  </sheetViews>
  <sheetFormatPr defaultRowHeight="13.5" x14ac:dyDescent="0.25"/>
  <cols>
    <col min="1" max="1" width="7.28515625" style="30" bestFit="1" customWidth="1"/>
    <col min="2" max="2" width="13.140625" style="30" bestFit="1" customWidth="1"/>
    <col min="3" max="3" width="9" style="30" bestFit="1" customWidth="1"/>
    <col min="4" max="4" width="9" style="30" customWidth="1"/>
    <col min="5" max="5" width="26.140625" style="30" bestFit="1" customWidth="1"/>
    <col min="6" max="7" width="7" style="30" bestFit="1" customWidth="1"/>
    <col min="8" max="8" width="10.42578125" style="30" bestFit="1" customWidth="1"/>
    <col min="9" max="9" width="12.85546875" style="30" bestFit="1" customWidth="1"/>
    <col min="10" max="10" width="13.140625" style="30" bestFit="1" customWidth="1"/>
    <col min="11" max="11" width="16.5703125" style="30" bestFit="1" customWidth="1"/>
    <col min="12" max="12" width="15" style="30" bestFit="1" customWidth="1"/>
    <col min="13" max="13" width="18.140625" style="30" bestFit="1" customWidth="1"/>
    <col min="14" max="14" width="24" style="30" bestFit="1" customWidth="1"/>
    <col min="15" max="15" width="26.7109375" style="30" bestFit="1" customWidth="1"/>
    <col min="16" max="16" width="17.28515625" style="30" bestFit="1" customWidth="1"/>
    <col min="17" max="17" width="14.5703125" style="30" bestFit="1" customWidth="1"/>
    <col min="18" max="18" width="20.5703125" style="30" bestFit="1" customWidth="1"/>
    <col min="19" max="16384" width="9.140625" style="30"/>
  </cols>
  <sheetData>
    <row r="1" spans="1:18" s="7" customFormat="1" ht="29.1" customHeight="1" x14ac:dyDescent="0.25">
      <c r="A1" s="1" t="s">
        <v>29</v>
      </c>
      <c r="B1" s="2" t="s">
        <v>32</v>
      </c>
      <c r="C1" s="3" t="s">
        <v>0</v>
      </c>
      <c r="D1" s="3" t="s">
        <v>31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4" t="s">
        <v>7</v>
      </c>
      <c r="L1" s="5" t="s">
        <v>8</v>
      </c>
      <c r="M1" s="6" t="s">
        <v>9</v>
      </c>
      <c r="N1" s="6" t="s">
        <v>10</v>
      </c>
      <c r="O1" s="6" t="s">
        <v>55</v>
      </c>
      <c r="P1" s="6" t="s">
        <v>56</v>
      </c>
      <c r="Q1" s="6" t="s">
        <v>57</v>
      </c>
      <c r="R1" s="6" t="s">
        <v>58</v>
      </c>
    </row>
    <row r="2" spans="1:18" s="19" customFormat="1" x14ac:dyDescent="0.25">
      <c r="A2" s="8">
        <v>46113</v>
      </c>
      <c r="B2" s="8" t="str">
        <f>CONCATENATE(C2,D2)</f>
        <v>105400420002</v>
      </c>
      <c r="C2" s="9">
        <v>10540042</v>
      </c>
      <c r="D2" s="10" t="s">
        <v>30</v>
      </c>
      <c r="E2" s="11" t="s">
        <v>11</v>
      </c>
      <c r="F2" s="12" t="s">
        <v>12</v>
      </c>
      <c r="G2" s="13" t="s">
        <v>13</v>
      </c>
      <c r="H2" s="13">
        <v>46046</v>
      </c>
      <c r="I2" s="14">
        <v>4209.1000000000004</v>
      </c>
      <c r="J2" s="14">
        <v>199533.87</v>
      </c>
      <c r="K2" s="15">
        <v>2744</v>
      </c>
      <c r="L2" s="16" t="s">
        <v>14</v>
      </c>
      <c r="M2" s="17" t="s">
        <v>15</v>
      </c>
      <c r="N2" s="17" t="s">
        <v>16</v>
      </c>
      <c r="O2" s="18" t="s">
        <v>33</v>
      </c>
      <c r="P2" s="18" t="s">
        <v>34</v>
      </c>
      <c r="Q2" s="18" t="s">
        <v>35</v>
      </c>
      <c r="R2" s="18" t="s">
        <v>36</v>
      </c>
    </row>
    <row r="3" spans="1:18" s="19" customFormat="1" x14ac:dyDescent="0.25">
      <c r="A3" s="8">
        <v>46113</v>
      </c>
      <c r="B3" s="8" t="str">
        <f t="shared" ref="B3:B4" si="0">CONCATENATE(C3,D3)</f>
        <v>100800770002</v>
      </c>
      <c r="C3" s="9">
        <v>10080077</v>
      </c>
      <c r="D3" s="10" t="s">
        <v>30</v>
      </c>
      <c r="E3" s="20" t="s">
        <v>21</v>
      </c>
      <c r="F3" s="12" t="s">
        <v>22</v>
      </c>
      <c r="G3" s="21" t="s">
        <v>13</v>
      </c>
      <c r="H3" s="21">
        <v>45614</v>
      </c>
      <c r="I3" s="22">
        <v>3384.55</v>
      </c>
      <c r="J3" s="22">
        <v>125400.19</v>
      </c>
      <c r="K3" s="23">
        <v>2838</v>
      </c>
      <c r="L3" s="24" t="s">
        <v>14</v>
      </c>
      <c r="M3" s="17" t="s">
        <v>15</v>
      </c>
      <c r="N3" s="25" t="s">
        <v>16</v>
      </c>
      <c r="O3" s="18" t="s">
        <v>41</v>
      </c>
      <c r="P3" s="18" t="s">
        <v>42</v>
      </c>
      <c r="Q3" s="18" t="s">
        <v>43</v>
      </c>
      <c r="R3" s="18" t="s">
        <v>44</v>
      </c>
    </row>
    <row r="4" spans="1:18" s="19" customFormat="1" x14ac:dyDescent="0.25">
      <c r="A4" s="8">
        <v>46113</v>
      </c>
      <c r="B4" s="8" t="str">
        <f t="shared" si="0"/>
        <v>105400460002</v>
      </c>
      <c r="C4" s="9">
        <v>10540046</v>
      </c>
      <c r="D4" s="10" t="s">
        <v>30</v>
      </c>
      <c r="E4" s="20" t="s">
        <v>17</v>
      </c>
      <c r="F4" s="12" t="s">
        <v>12</v>
      </c>
      <c r="G4" s="21" t="s">
        <v>18</v>
      </c>
      <c r="H4" s="21">
        <v>46101</v>
      </c>
      <c r="I4" s="22">
        <v>1648.9</v>
      </c>
      <c r="J4" s="22">
        <v>73057.3</v>
      </c>
      <c r="K4" s="23">
        <v>2638</v>
      </c>
      <c r="L4" s="24" t="s">
        <v>14</v>
      </c>
      <c r="M4" s="17" t="s">
        <v>19</v>
      </c>
      <c r="N4" s="25" t="s">
        <v>16</v>
      </c>
      <c r="O4" s="18" t="s">
        <v>37</v>
      </c>
      <c r="P4" s="18" t="s">
        <v>38</v>
      </c>
      <c r="Q4" s="18" t="s">
        <v>39</v>
      </c>
      <c r="R4" s="18" t="s">
        <v>40</v>
      </c>
    </row>
    <row r="5" spans="1:18" s="19" customFormat="1" x14ac:dyDescent="0.25">
      <c r="A5" s="8">
        <v>46143</v>
      </c>
      <c r="B5" s="8" t="str">
        <f t="shared" ref="B5:B19" si="1">CONCATENATE(C5,D5)</f>
        <v>105400460002</v>
      </c>
      <c r="C5" s="9">
        <v>10540046</v>
      </c>
      <c r="D5" s="10" t="s">
        <v>30</v>
      </c>
      <c r="E5" s="11" t="s">
        <v>17</v>
      </c>
      <c r="F5" s="12" t="s">
        <v>12</v>
      </c>
      <c r="G5" s="13" t="s">
        <v>18</v>
      </c>
      <c r="H5" s="13">
        <v>46101</v>
      </c>
      <c r="I5" s="14">
        <v>1654.1999999999998</v>
      </c>
      <c r="J5" s="14">
        <v>72162.587323172571</v>
      </c>
      <c r="K5" s="15">
        <v>2647</v>
      </c>
      <c r="L5" s="16" t="s">
        <v>14</v>
      </c>
      <c r="M5" s="17" t="s">
        <v>19</v>
      </c>
      <c r="N5" s="17" t="s">
        <v>16</v>
      </c>
      <c r="O5" s="18" t="s">
        <v>37</v>
      </c>
      <c r="P5" s="18" t="s">
        <v>38</v>
      </c>
      <c r="Q5" s="18" t="s">
        <v>39</v>
      </c>
      <c r="R5" s="18" t="s">
        <v>40</v>
      </c>
    </row>
    <row r="6" spans="1:18" s="19" customFormat="1" x14ac:dyDescent="0.25">
      <c r="A6" s="8">
        <v>46023</v>
      </c>
      <c r="B6" s="8" t="str">
        <f t="shared" si="1"/>
        <v>100800770002</v>
      </c>
      <c r="C6" s="9">
        <v>10080077</v>
      </c>
      <c r="D6" s="10" t="s">
        <v>30</v>
      </c>
      <c r="E6" s="11" t="s">
        <v>21</v>
      </c>
      <c r="F6" s="12" t="s">
        <v>22</v>
      </c>
      <c r="G6" s="13" t="s">
        <v>13</v>
      </c>
      <c r="H6" s="13">
        <v>45614</v>
      </c>
      <c r="I6" s="14">
        <v>2205.9</v>
      </c>
      <c r="J6" s="14">
        <v>83914.09</v>
      </c>
      <c r="K6" s="15">
        <v>2200</v>
      </c>
      <c r="L6" s="16" t="s">
        <v>14</v>
      </c>
      <c r="M6" s="17" t="s">
        <v>20</v>
      </c>
      <c r="N6" s="26" t="s">
        <v>16</v>
      </c>
      <c r="O6" s="18" t="s">
        <v>41</v>
      </c>
      <c r="P6" s="18" t="s">
        <v>42</v>
      </c>
      <c r="Q6" s="18" t="s">
        <v>43</v>
      </c>
      <c r="R6" s="18" t="s">
        <v>44</v>
      </c>
    </row>
    <row r="7" spans="1:18" s="19" customFormat="1" x14ac:dyDescent="0.25">
      <c r="A7" s="8">
        <v>46023</v>
      </c>
      <c r="B7" s="8" t="str">
        <f t="shared" si="1"/>
        <v>100800860002</v>
      </c>
      <c r="C7" s="9">
        <v>10080086</v>
      </c>
      <c r="D7" s="10" t="s">
        <v>30</v>
      </c>
      <c r="E7" s="11" t="s">
        <v>23</v>
      </c>
      <c r="F7" s="12" t="s">
        <v>22</v>
      </c>
      <c r="G7" s="13" t="s">
        <v>13</v>
      </c>
      <c r="H7" s="13">
        <v>45716</v>
      </c>
      <c r="I7" s="14">
        <v>1632.35</v>
      </c>
      <c r="J7" s="14">
        <v>57142.66</v>
      </c>
      <c r="K7" s="15">
        <v>462</v>
      </c>
      <c r="L7" s="16" t="s">
        <v>14</v>
      </c>
      <c r="M7" s="17" t="s">
        <v>20</v>
      </c>
      <c r="N7" s="26" t="s">
        <v>16</v>
      </c>
      <c r="O7" s="18" t="s">
        <v>45</v>
      </c>
      <c r="P7" s="18" t="s">
        <v>46</v>
      </c>
      <c r="Q7" s="18" t="s">
        <v>47</v>
      </c>
      <c r="R7" s="18" t="s">
        <v>44</v>
      </c>
    </row>
    <row r="8" spans="1:18" s="19" customFormat="1" x14ac:dyDescent="0.25">
      <c r="A8" s="8">
        <v>46023</v>
      </c>
      <c r="B8" s="8" t="str">
        <f t="shared" si="1"/>
        <v>100801150002</v>
      </c>
      <c r="C8" s="9">
        <v>10080115</v>
      </c>
      <c r="D8" s="10" t="s">
        <v>30</v>
      </c>
      <c r="E8" s="11" t="s">
        <v>24</v>
      </c>
      <c r="F8" s="12" t="s">
        <v>22</v>
      </c>
      <c r="G8" s="13" t="s">
        <v>18</v>
      </c>
      <c r="H8" s="13">
        <v>45992</v>
      </c>
      <c r="I8" s="14">
        <v>1813.5500000000002</v>
      </c>
      <c r="J8" s="14">
        <v>66143.540000000008</v>
      </c>
      <c r="K8" s="15">
        <v>2902</v>
      </c>
      <c r="L8" s="16" t="s">
        <v>14</v>
      </c>
      <c r="M8" s="17" t="s">
        <v>20</v>
      </c>
      <c r="N8" s="26" t="s">
        <v>16</v>
      </c>
      <c r="O8" s="18" t="s">
        <v>48</v>
      </c>
      <c r="P8" s="18" t="s">
        <v>49</v>
      </c>
      <c r="Q8" s="18" t="s">
        <v>50</v>
      </c>
      <c r="R8" s="18" t="s">
        <v>51</v>
      </c>
    </row>
    <row r="9" spans="1:18" s="19" customFormat="1" x14ac:dyDescent="0.25">
      <c r="A9" s="8">
        <v>46023</v>
      </c>
      <c r="B9" s="8" t="str">
        <f t="shared" si="1"/>
        <v>100801190002</v>
      </c>
      <c r="C9" s="9">
        <v>10080119</v>
      </c>
      <c r="D9" s="10" t="s">
        <v>30</v>
      </c>
      <c r="E9" s="11" t="s">
        <v>25</v>
      </c>
      <c r="F9" s="12" t="s">
        <v>22</v>
      </c>
      <c r="G9" s="13" t="s">
        <v>18</v>
      </c>
      <c r="H9" s="13">
        <v>46027</v>
      </c>
      <c r="I9" s="14">
        <v>885.09999999999991</v>
      </c>
      <c r="J9" s="14">
        <v>33780.29</v>
      </c>
      <c r="K9" s="15">
        <v>1416</v>
      </c>
      <c r="L9" s="16" t="s">
        <v>14</v>
      </c>
      <c r="M9" s="17" t="s">
        <v>20</v>
      </c>
      <c r="N9" s="26" t="s">
        <v>16</v>
      </c>
      <c r="O9" s="18" t="s">
        <v>52</v>
      </c>
      <c r="P9" s="18" t="s">
        <v>53</v>
      </c>
      <c r="Q9" s="18" t="s">
        <v>54</v>
      </c>
      <c r="R9" s="18" t="s">
        <v>44</v>
      </c>
    </row>
    <row r="10" spans="1:18" s="19" customFormat="1" x14ac:dyDescent="0.25">
      <c r="A10" s="8">
        <v>46023</v>
      </c>
      <c r="B10" s="8" t="str">
        <f t="shared" si="1"/>
        <v>105400420002</v>
      </c>
      <c r="C10" s="9">
        <v>10540042</v>
      </c>
      <c r="D10" s="10" t="s">
        <v>30</v>
      </c>
      <c r="E10" s="11" t="s">
        <v>11</v>
      </c>
      <c r="F10" s="12" t="s">
        <v>12</v>
      </c>
      <c r="G10" s="13" t="s">
        <v>18</v>
      </c>
      <c r="H10" s="13">
        <v>46046</v>
      </c>
      <c r="I10" s="14">
        <v>339.1</v>
      </c>
      <c r="J10" s="14">
        <v>16680.5</v>
      </c>
      <c r="K10" s="15">
        <v>543</v>
      </c>
      <c r="L10" s="16" t="s">
        <v>14</v>
      </c>
      <c r="M10" s="17" t="s">
        <v>20</v>
      </c>
      <c r="N10" s="26" t="s">
        <v>16</v>
      </c>
      <c r="O10" s="18" t="s">
        <v>33</v>
      </c>
      <c r="P10" s="18" t="s">
        <v>34</v>
      </c>
      <c r="Q10" s="18" t="s">
        <v>35</v>
      </c>
      <c r="R10" s="18" t="s">
        <v>36</v>
      </c>
    </row>
    <row r="11" spans="1:18" s="19" customFormat="1" x14ac:dyDescent="0.25">
      <c r="A11" s="8">
        <v>46054</v>
      </c>
      <c r="B11" s="8" t="str">
        <f t="shared" si="1"/>
        <v>100800770002</v>
      </c>
      <c r="C11" s="9">
        <v>10080077</v>
      </c>
      <c r="D11" s="10" t="s">
        <v>30</v>
      </c>
      <c r="E11" s="11" t="s">
        <v>21</v>
      </c>
      <c r="F11" s="12" t="s">
        <v>22</v>
      </c>
      <c r="G11" s="13" t="s">
        <v>13</v>
      </c>
      <c r="H11" s="13">
        <v>45614</v>
      </c>
      <c r="I11" s="14">
        <v>4715.75</v>
      </c>
      <c r="J11" s="14">
        <v>177943.59819689998</v>
      </c>
      <c r="K11" s="15">
        <v>4508</v>
      </c>
      <c r="L11" s="16" t="s">
        <v>14</v>
      </c>
      <c r="M11" s="17" t="s">
        <v>26</v>
      </c>
      <c r="N11" s="26" t="s">
        <v>16</v>
      </c>
      <c r="O11" s="18" t="s">
        <v>41</v>
      </c>
      <c r="P11" s="18" t="s">
        <v>42</v>
      </c>
      <c r="Q11" s="18" t="s">
        <v>43</v>
      </c>
      <c r="R11" s="18" t="s">
        <v>44</v>
      </c>
    </row>
    <row r="12" spans="1:18" s="19" customFormat="1" x14ac:dyDescent="0.25">
      <c r="A12" s="8">
        <v>46054</v>
      </c>
      <c r="B12" s="8" t="str">
        <f t="shared" si="1"/>
        <v>100801150002</v>
      </c>
      <c r="C12" s="9">
        <v>10080115</v>
      </c>
      <c r="D12" s="10" t="s">
        <v>30</v>
      </c>
      <c r="E12" s="11" t="s">
        <v>24</v>
      </c>
      <c r="F12" s="12" t="s">
        <v>22</v>
      </c>
      <c r="G12" s="13" t="s">
        <v>18</v>
      </c>
      <c r="H12" s="13">
        <v>45992</v>
      </c>
      <c r="I12" s="14">
        <v>3278.3999999999996</v>
      </c>
      <c r="J12" s="14">
        <v>117989.31204630501</v>
      </c>
      <c r="K12" s="15">
        <v>5245</v>
      </c>
      <c r="L12" s="16" t="s">
        <v>14</v>
      </c>
      <c r="M12" s="17" t="s">
        <v>26</v>
      </c>
      <c r="N12" s="26" t="s">
        <v>16</v>
      </c>
      <c r="O12" s="18" t="s">
        <v>48</v>
      </c>
      <c r="P12" s="18" t="s">
        <v>49</v>
      </c>
      <c r="Q12" s="18" t="s">
        <v>50</v>
      </c>
      <c r="R12" s="18" t="s">
        <v>51</v>
      </c>
    </row>
    <row r="13" spans="1:18" s="19" customFormat="1" x14ac:dyDescent="0.25">
      <c r="A13" s="8">
        <v>46054</v>
      </c>
      <c r="B13" s="8" t="str">
        <f t="shared" si="1"/>
        <v>100801190002</v>
      </c>
      <c r="C13" s="9">
        <v>10080119</v>
      </c>
      <c r="D13" s="10" t="s">
        <v>30</v>
      </c>
      <c r="E13" s="11" t="s">
        <v>25</v>
      </c>
      <c r="F13" s="12" t="s">
        <v>22</v>
      </c>
      <c r="G13" s="13" t="s">
        <v>18</v>
      </c>
      <c r="H13" s="13">
        <v>46027</v>
      </c>
      <c r="I13" s="14">
        <v>3658.75</v>
      </c>
      <c r="J13" s="14">
        <v>134559.09936926301</v>
      </c>
      <c r="K13" s="15">
        <v>5854</v>
      </c>
      <c r="L13" s="16" t="s">
        <v>14</v>
      </c>
      <c r="M13" s="17" t="s">
        <v>26</v>
      </c>
      <c r="N13" s="26" t="s">
        <v>16</v>
      </c>
      <c r="O13" s="18" t="s">
        <v>52</v>
      </c>
      <c r="P13" s="18" t="s">
        <v>53</v>
      </c>
      <c r="Q13" s="18" t="s">
        <v>54</v>
      </c>
      <c r="R13" s="18" t="s">
        <v>44</v>
      </c>
    </row>
    <row r="14" spans="1:18" s="19" customFormat="1" x14ac:dyDescent="0.25">
      <c r="A14" s="8">
        <v>46054</v>
      </c>
      <c r="B14" s="8" t="str">
        <f t="shared" si="1"/>
        <v>105400420002</v>
      </c>
      <c r="C14" s="9">
        <v>10540042</v>
      </c>
      <c r="D14" s="10" t="s">
        <v>30</v>
      </c>
      <c r="E14" s="11" t="s">
        <v>11</v>
      </c>
      <c r="F14" s="12" t="s">
        <v>12</v>
      </c>
      <c r="G14" s="13" t="s">
        <v>18</v>
      </c>
      <c r="H14" s="13">
        <v>46046</v>
      </c>
      <c r="I14" s="14">
        <v>3466.6000000000004</v>
      </c>
      <c r="J14" s="14">
        <v>164234.12092421387</v>
      </c>
      <c r="K14" s="15">
        <v>5547</v>
      </c>
      <c r="L14" s="16" t="s">
        <v>14</v>
      </c>
      <c r="M14" s="17" t="s">
        <v>27</v>
      </c>
      <c r="N14" s="26" t="s">
        <v>16</v>
      </c>
      <c r="O14" s="18" t="s">
        <v>33</v>
      </c>
      <c r="P14" s="18" t="s">
        <v>34</v>
      </c>
      <c r="Q14" s="18" t="s">
        <v>35</v>
      </c>
      <c r="R14" s="18" t="s">
        <v>36</v>
      </c>
    </row>
    <row r="15" spans="1:18" s="19" customFormat="1" x14ac:dyDescent="0.25">
      <c r="A15" s="8">
        <v>46082</v>
      </c>
      <c r="B15" s="8" t="str">
        <f t="shared" si="1"/>
        <v>100800770002</v>
      </c>
      <c r="C15" s="9">
        <v>10080077</v>
      </c>
      <c r="D15" s="10" t="s">
        <v>30</v>
      </c>
      <c r="E15" s="11" t="s">
        <v>21</v>
      </c>
      <c r="F15" s="12" t="s">
        <v>22</v>
      </c>
      <c r="G15" s="13" t="s">
        <v>13</v>
      </c>
      <c r="H15" s="13">
        <v>45614</v>
      </c>
      <c r="I15" s="14">
        <v>4405.75</v>
      </c>
      <c r="J15" s="14">
        <v>166812.86000000002</v>
      </c>
      <c r="K15" s="15">
        <v>976</v>
      </c>
      <c r="L15" s="16" t="s">
        <v>14</v>
      </c>
      <c r="M15" s="17" t="s">
        <v>19</v>
      </c>
      <c r="N15" s="26" t="s">
        <v>16</v>
      </c>
      <c r="O15" s="18" t="s">
        <v>41</v>
      </c>
      <c r="P15" s="18" t="s">
        <v>42</v>
      </c>
      <c r="Q15" s="18" t="s">
        <v>43</v>
      </c>
      <c r="R15" s="18" t="s">
        <v>44</v>
      </c>
    </row>
    <row r="16" spans="1:18" s="19" customFormat="1" x14ac:dyDescent="0.25">
      <c r="A16" s="8">
        <v>46082</v>
      </c>
      <c r="B16" s="8" t="str">
        <f t="shared" si="1"/>
        <v>100801150002</v>
      </c>
      <c r="C16" s="9">
        <v>10080115</v>
      </c>
      <c r="D16" s="10" t="s">
        <v>30</v>
      </c>
      <c r="E16" s="11" t="s">
        <v>24</v>
      </c>
      <c r="F16" s="12" t="s">
        <v>22</v>
      </c>
      <c r="G16" s="13" t="s">
        <v>13</v>
      </c>
      <c r="H16" s="13">
        <v>45992</v>
      </c>
      <c r="I16" s="14">
        <v>4707.2</v>
      </c>
      <c r="J16" s="14">
        <v>165970.93</v>
      </c>
      <c r="K16" s="15">
        <v>4213</v>
      </c>
      <c r="L16" s="16" t="s">
        <v>14</v>
      </c>
      <c r="M16" s="17" t="s">
        <v>19</v>
      </c>
      <c r="N16" s="26" t="s">
        <v>16</v>
      </c>
      <c r="O16" s="18" t="s">
        <v>48</v>
      </c>
      <c r="P16" s="18" t="s">
        <v>49</v>
      </c>
      <c r="Q16" s="18" t="s">
        <v>50</v>
      </c>
      <c r="R16" s="18" t="s">
        <v>51</v>
      </c>
    </row>
    <row r="17" spans="1:18" s="19" customFormat="1" x14ac:dyDescent="0.25">
      <c r="A17" s="8">
        <v>46082</v>
      </c>
      <c r="B17" s="8" t="str">
        <f t="shared" si="1"/>
        <v>100801190002</v>
      </c>
      <c r="C17" s="9">
        <v>10080119</v>
      </c>
      <c r="D17" s="10" t="s">
        <v>30</v>
      </c>
      <c r="E17" s="11" t="s">
        <v>25</v>
      </c>
      <c r="F17" s="12" t="s">
        <v>22</v>
      </c>
      <c r="G17" s="13" t="s">
        <v>18</v>
      </c>
      <c r="H17" s="13">
        <v>46027</v>
      </c>
      <c r="I17" s="14">
        <v>5545.2999999999993</v>
      </c>
      <c r="J17" s="14">
        <v>205062.18000000005</v>
      </c>
      <c r="K17" s="15">
        <v>8872</v>
      </c>
      <c r="L17" s="16" t="s">
        <v>14</v>
      </c>
      <c r="M17" s="17" t="s">
        <v>19</v>
      </c>
      <c r="N17" s="26" t="s">
        <v>16</v>
      </c>
      <c r="O17" s="18" t="s">
        <v>52</v>
      </c>
      <c r="P17" s="18" t="s">
        <v>53</v>
      </c>
      <c r="Q17" s="18" t="s">
        <v>54</v>
      </c>
      <c r="R17" s="18" t="s">
        <v>44</v>
      </c>
    </row>
    <row r="18" spans="1:18" s="19" customFormat="1" x14ac:dyDescent="0.25">
      <c r="A18" s="8">
        <v>46082</v>
      </c>
      <c r="B18" s="8" t="str">
        <f t="shared" si="1"/>
        <v>105400420002</v>
      </c>
      <c r="C18" s="9">
        <v>10540042</v>
      </c>
      <c r="D18" s="10" t="s">
        <v>30</v>
      </c>
      <c r="E18" s="11" t="s">
        <v>11</v>
      </c>
      <c r="F18" s="12" t="s">
        <v>12</v>
      </c>
      <c r="G18" s="13" t="s">
        <v>18</v>
      </c>
      <c r="H18" s="13">
        <v>46046</v>
      </c>
      <c r="I18" s="14">
        <v>4428.7</v>
      </c>
      <c r="J18" s="14">
        <v>209929.81999999998</v>
      </c>
      <c r="K18" s="15">
        <v>7086</v>
      </c>
      <c r="L18" s="16" t="s">
        <v>14</v>
      </c>
      <c r="M18" s="17" t="s">
        <v>28</v>
      </c>
      <c r="N18" s="26" t="s">
        <v>16</v>
      </c>
      <c r="O18" s="18" t="s">
        <v>33</v>
      </c>
      <c r="P18" s="18" t="s">
        <v>34</v>
      </c>
      <c r="Q18" s="18" t="s">
        <v>35</v>
      </c>
      <c r="R18" s="18" t="s">
        <v>36</v>
      </c>
    </row>
    <row r="19" spans="1:18" s="19" customFormat="1" x14ac:dyDescent="0.25">
      <c r="A19" s="8">
        <v>46082</v>
      </c>
      <c r="B19" s="8" t="str">
        <f t="shared" si="1"/>
        <v>105400460002</v>
      </c>
      <c r="C19" s="9">
        <v>10540046</v>
      </c>
      <c r="D19" s="10" t="s">
        <v>30</v>
      </c>
      <c r="E19" s="11" t="s">
        <v>17</v>
      </c>
      <c r="F19" s="12" t="s">
        <v>12</v>
      </c>
      <c r="G19" s="13" t="s">
        <v>18</v>
      </c>
      <c r="H19" s="13">
        <v>46101</v>
      </c>
      <c r="I19" s="14">
        <v>1418.8</v>
      </c>
      <c r="J19" s="14">
        <v>58491.05</v>
      </c>
      <c r="K19" s="15">
        <v>2270</v>
      </c>
      <c r="L19" s="16" t="s">
        <v>14</v>
      </c>
      <c r="M19" s="17" t="s">
        <v>19</v>
      </c>
      <c r="N19" s="26" t="s">
        <v>16</v>
      </c>
      <c r="O19" s="18" t="s">
        <v>37</v>
      </c>
      <c r="P19" s="18" t="s">
        <v>38</v>
      </c>
      <c r="Q19" s="18" t="s">
        <v>39</v>
      </c>
      <c r="R19" s="18" t="s">
        <v>40</v>
      </c>
    </row>
    <row r="20" spans="1:18" s="30" customFormat="1" x14ac:dyDescent="0.25">
      <c r="A20" s="27"/>
      <c r="B20" s="27"/>
      <c r="C20" s="28"/>
      <c r="D20" s="28"/>
      <c r="E20" s="28"/>
      <c r="F20" s="28"/>
      <c r="G20" s="27"/>
      <c r="H20" s="27"/>
      <c r="I20" s="28">
        <f>SUM(I2:I19)</f>
        <v>53397.999999999985</v>
      </c>
      <c r="J20" s="28">
        <f>SUM(J2:J19)</f>
        <v>2128807.9978598547</v>
      </c>
      <c r="K20" s="28">
        <f>SUM(K2:K19)</f>
        <v>62961</v>
      </c>
      <c r="L20" s="24">
        <v>163</v>
      </c>
      <c r="M20" s="29"/>
      <c r="N20" s="29"/>
      <c r="O20" s="29"/>
      <c r="P20" s="29"/>
      <c r="Q20" s="29"/>
      <c r="R20" s="29"/>
    </row>
    <row r="24" spans="1:18" s="30" customFormat="1" x14ac:dyDescent="0.25"/>
    <row r="25" spans="1:18" s="30" customFormat="1" x14ac:dyDescent="0.25"/>
    <row r="26" spans="1:18" s="30" customFormat="1" x14ac:dyDescent="0.25"/>
    <row r="27" spans="1:18" s="30" customFormat="1" x14ac:dyDescent="0.25"/>
    <row r="28" spans="1:18" s="30" customFormat="1" x14ac:dyDescent="0.25"/>
    <row r="29" spans="1:18" s="30" customFormat="1" x14ac:dyDescent="0.25"/>
    <row r="30" spans="1:18" s="30" customFormat="1" x14ac:dyDescent="0.25"/>
  </sheetData>
  <autoFilter ref="A1:BC20" xr:uid="{F461C6DB-0B00-4DF7-BEF7-D8AB7A49791A}"/>
  <conditionalFormatting sqref="C1:D1">
    <cfRule type="duplicateValues" dxfId="11" priority="33" stopIfTrue="1"/>
  </conditionalFormatting>
  <conditionalFormatting sqref="G1:G19">
    <cfRule type="containsText" dxfId="10" priority="32" stopIfTrue="1" operator="containsText" text="100%">
      <formula>NOT(ISERROR(SEARCH("100%",G1)))</formula>
    </cfRule>
  </conditionalFormatting>
  <conditionalFormatting sqref="G2:G4">
    <cfRule type="containsText" dxfId="9" priority="31" stopIfTrue="1" operator="containsText" text="Direct Farfmer Payment ">
      <formula>NOT(ISERROR(SEARCH("Direct Farfmer Payment ",G2)))</formula>
    </cfRule>
  </conditionalFormatting>
  <conditionalFormatting sqref="K2:L19">
    <cfRule type="cellIs" dxfId="8" priority="30" operator="lessThan">
      <formula>0</formula>
    </cfRule>
  </conditionalFormatting>
  <conditionalFormatting sqref="G5">
    <cfRule type="containsText" dxfId="7" priority="27" stopIfTrue="1" operator="containsText" text="Direct Farfmer Payment ">
      <formula>NOT(ISERROR(SEARCH("Direct Farfmer Payment ",G5)))</formula>
    </cfRule>
  </conditionalFormatting>
  <conditionalFormatting sqref="G6:G10">
    <cfRule type="containsText" dxfId="6" priority="18" stopIfTrue="1" operator="containsText" text="Direct Farfmer Payment ">
      <formula>NOT(ISERROR(SEARCH("Direct Farfmer Payment ",G6)))</formula>
    </cfRule>
  </conditionalFormatting>
  <conditionalFormatting sqref="G11:G14">
    <cfRule type="containsText" dxfId="5" priority="13" stopIfTrue="1" operator="containsText" text="Direct Farfmer Payment ">
      <formula>NOT(ISERROR(SEARCH("Direct Farfmer Payment ",G11)))</formula>
    </cfRule>
  </conditionalFormatting>
  <conditionalFormatting sqref="G15:G19">
    <cfRule type="containsText" dxfId="4" priority="7" stopIfTrue="1" operator="containsText" text="Direct Farfmer Payment ">
      <formula>NOT(ISERROR(SEARCH("Direct Farfmer Payment ",G15)))</formula>
    </cfRule>
  </conditionalFormatting>
  <conditionalFormatting sqref="L20">
    <cfRule type="cellIs" dxfId="3" priority="6" operator="lessThan">
      <formula>0</formula>
    </cfRule>
  </conditionalFormatting>
  <conditionalFormatting sqref="P1">
    <cfRule type="duplicateValues" dxfId="2" priority="5"/>
  </conditionalFormatting>
  <conditionalFormatting sqref="G3:G4">
    <cfRule type="containsText" dxfId="0" priority="2" stopIfTrue="1" operator="containsText" text="Direct Farfmer Payment ">
      <formula>NOT(ISERROR(SEARCH("Direct Farfmer Payment ",G3)))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2026-07-09T10:38:30Z</dcterms:created>
  <dcterms:modified xsi:type="dcterms:W3CDTF">2026-07-09T11:34:40Z</dcterms:modified>
</cp:coreProperties>
</file>