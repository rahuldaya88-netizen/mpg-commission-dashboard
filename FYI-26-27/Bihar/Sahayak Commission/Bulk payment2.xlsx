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"/>
    </mc:Choice>
  </mc:AlternateContent>
  <xr:revisionPtr revIDLastSave="0" documentId="8_{79746ABA-791C-4AC7-99D7-1A446666CAB3}" xr6:coauthVersionLast="47" xr6:coauthVersionMax="47" xr10:uidLastSave="{00000000-0000-0000-0000-000000000000}"/>
  <bookViews>
    <workbookView xWindow="-120" yWindow="-120" windowWidth="29040" windowHeight="15720" xr2:uid="{7A6A22CF-CE6C-4B80-8886-09FEB7A10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L10" i="1"/>
  <c r="K10" i="1"/>
  <c r="J10" i="1"/>
  <c r="B3" i="1" l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<sst xmlns="http://schemas.openxmlformats.org/spreadsheetml/2006/main" count="117" uniqueCount="40">
  <si>
    <t xml:space="preserve">Code </t>
  </si>
  <si>
    <t xml:space="preserve">MPG NAME </t>
  </si>
  <si>
    <t>Farmer Payment</t>
  </si>
  <si>
    <t>MCC</t>
  </si>
  <si>
    <t>status</t>
  </si>
  <si>
    <t>Start Date</t>
  </si>
  <si>
    <t>BMC Volume</t>
  </si>
  <si>
    <t>BMC Amount</t>
  </si>
  <si>
    <t>Net Sahayak Income</t>
  </si>
  <si>
    <t>Net Payble</t>
  </si>
  <si>
    <t xml:space="preserve">Payment relase </t>
  </si>
  <si>
    <t>Remarks</t>
  </si>
  <si>
    <t>MISHRBIGHA</t>
  </si>
  <si>
    <t>Direct</t>
  </si>
  <si>
    <t>Gopalpur Bmc</t>
  </si>
  <si>
    <t>New</t>
  </si>
  <si>
    <t>Release</t>
  </si>
  <si>
    <t>Agreement Issue / Down Payment</t>
  </si>
  <si>
    <t>PRATAPUR</t>
  </si>
  <si>
    <t>Month</t>
  </si>
  <si>
    <t>TOTAL</t>
  </si>
  <si>
    <t>Old</t>
  </si>
  <si>
    <t>Agreement issue / Down Payment</t>
  </si>
  <si>
    <t>Down Payment</t>
  </si>
  <si>
    <t>ID</t>
  </si>
  <si>
    <t>0002</t>
  </si>
  <si>
    <t>Farmers Code</t>
  </si>
  <si>
    <t>Farmers Account Name</t>
  </si>
  <si>
    <t>Account no</t>
  </si>
  <si>
    <t>IFSC code</t>
  </si>
  <si>
    <t xml:space="preserve">Bank Of name </t>
  </si>
  <si>
    <t>Barbir Yadav</t>
  </si>
  <si>
    <t>39145615626</t>
  </si>
  <si>
    <t>SBIN0000097</t>
  </si>
  <si>
    <t>SBI-Kiosk Banking</t>
  </si>
  <si>
    <t>Mantu Kumar Yadav</t>
  </si>
  <si>
    <t>3746580582</t>
  </si>
  <si>
    <t>CBIN0284386</t>
  </si>
  <si>
    <t xml:space="preserve">Central Bank Of India </t>
  </si>
  <si>
    <t>Farmer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</si>
</sst>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_);_(* \(#,##0\);_(* &quot;-&quot;??_);_(@_)"/>
    <numFmt numFmtId="166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7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7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" fontId="3" fillId="0" borderId="1" xfId="2" applyNumberFormat="1" applyFont="1" applyFill="1" applyBorder="1"/>
    <xf numFmtId="1" fontId="4" fillId="0" borderId="1" xfId="2" applyNumberFormat="1" applyFont="1" applyFill="1" applyBorder="1"/>
    <xf numFmtId="1" fontId="4" fillId="3" borderId="1" xfId="1" applyNumberFormat="1" applyFont="1" applyFill="1" applyBorder="1" applyAlignment="1">
      <alignment horizontal="right"/>
    </xf>
    <xf numFmtId="166" fontId="4" fillId="0" borderId="1" xfId="2" applyNumberFormat="1" applyFont="1" applyFill="1" applyBorder="1" applyAlignment="1">
      <alignment horizontal="center"/>
    </xf>
    <xf numFmtId="165" fontId="5" fillId="0" borderId="1" xfId="1" applyNumberFormat="1" applyFont="1" applyBorder="1"/>
    <xf numFmtId="0" fontId="2" fillId="0" borderId="1" xfId="0" applyFont="1" applyBorder="1"/>
    <xf numFmtId="166" fontId="6" fillId="4" borderId="1" xfId="0" applyNumberFormat="1" applyFont="1" applyFill="1" applyBorder="1" applyAlignment="1">
      <alignment horizontal="center"/>
    </xf>
    <xf numFmtId="166" fontId="6" fillId="4" borderId="1" xfId="0" applyNumberFormat="1" applyFont="1" applyFill="1" applyBorder="1"/>
    <xf numFmtId="1" fontId="6" fillId="4" borderId="1" xfId="0" applyNumberFormat="1" applyFont="1" applyFill="1" applyBorder="1"/>
    <xf numFmtId="1" fontId="6" fillId="3" borderId="1" xfId="0" applyNumberFormat="1" applyFont="1" applyFill="1" applyBorder="1"/>
    <xf numFmtId="166" fontId="6" fillId="3" borderId="1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84FBD1E6-314B-424F-911A-A59D4183009B}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3896-61BB-4442-BA59-A7B9A76F2295}">
  <dimension ref="A1:T10"/>
  <sheetViews>
    <sheetView tabSelected="1" workbookViewId="0">
      <selection activeCell="M20" sqref="M20"/>
    </sheetView>
  </sheetViews>
  <sheetFormatPr defaultRowHeight="13.5" x14ac:dyDescent="0.25"/>
  <cols>
    <col min="1" max="1" width="7.28515625" style="1" bestFit="1" customWidth="1"/>
    <col min="2" max="2" width="13.140625" style="1" bestFit="1" customWidth="1"/>
    <col min="3" max="3" width="9" style="1" bestFit="1" customWidth="1"/>
    <col min="4" max="4" width="9" style="1" customWidth="1"/>
    <col min="5" max="5" width="12" style="1" bestFit="1" customWidth="1"/>
    <col min="6" max="6" width="8.85546875" style="1" bestFit="1" customWidth="1"/>
    <col min="7" max="7" width="13.7109375" style="1" bestFit="1" customWidth="1"/>
    <col min="8" max="8" width="7" style="1" bestFit="1" customWidth="1"/>
    <col min="9" max="9" width="10.42578125" style="1" bestFit="1" customWidth="1"/>
    <col min="10" max="10" width="10.140625" style="1" bestFit="1" customWidth="1"/>
    <col min="11" max="11" width="12.7109375" style="1" bestFit="1" customWidth="1"/>
    <col min="12" max="12" width="10.140625" style="1" bestFit="1" customWidth="1"/>
    <col min="13" max="13" width="8.5703125" style="1" bestFit="1" customWidth="1"/>
    <col min="14" max="14" width="9.140625" style="1"/>
    <col min="15" max="15" width="32.140625" style="1" bestFit="1" customWidth="1"/>
    <col min="16" max="16" width="13.7109375" style="1" bestFit="1" customWidth="1"/>
    <col min="17" max="17" width="22.140625" style="1" bestFit="1" customWidth="1"/>
    <col min="18" max="18" width="12" style="1" bestFit="1" customWidth="1"/>
    <col min="19" max="19" width="12.140625" style="1" bestFit="1" customWidth="1"/>
    <col min="20" max="20" width="20.28515625" style="1" bestFit="1" customWidth="1"/>
    <col min="21" max="16384" width="9.140625" style="1"/>
  </cols>
  <sheetData>
    <row r="1" spans="1:20" ht="27" x14ac:dyDescent="0.25">
      <c r="A1" s="19" t="s">
        <v>19</v>
      </c>
      <c r="B1" s="19" t="s">
        <v>24</v>
      </c>
      <c r="C1" s="19" t="s">
        <v>0</v>
      </c>
      <c r="D1" s="19" t="s">
        <v>39</v>
      </c>
      <c r="E1" s="19" t="s">
        <v>1</v>
      </c>
      <c r="F1" s="19" t="s">
        <v>2</v>
      </c>
      <c r="G1" s="19" t="s">
        <v>3</v>
      </c>
      <c r="H1" s="19" t="s">
        <v>4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9</v>
      </c>
      <c r="N1" s="19" t="s">
        <v>10</v>
      </c>
      <c r="O1" s="19" t="s">
        <v>11</v>
      </c>
      <c r="P1" s="19" t="s">
        <v>26</v>
      </c>
      <c r="Q1" s="19" t="s">
        <v>27</v>
      </c>
      <c r="R1" s="19" t="s">
        <v>28</v>
      </c>
      <c r="S1" s="19" t="s">
        <v>29</v>
      </c>
      <c r="T1" s="19" t="s">
        <v>30</v>
      </c>
    </row>
    <row r="2" spans="1:20" x14ac:dyDescent="0.25">
      <c r="A2" s="2">
        <v>46054</v>
      </c>
      <c r="B2" s="2" t="str">
        <f>CONCATENATE(C2,D2)</f>
        <v>105900010002</v>
      </c>
      <c r="C2" s="3">
        <v>10590001</v>
      </c>
      <c r="D2" s="4" t="s">
        <v>25</v>
      </c>
      <c r="E2" s="5" t="s">
        <v>12</v>
      </c>
      <c r="F2" s="6" t="s">
        <v>13</v>
      </c>
      <c r="G2" s="6" t="s">
        <v>14</v>
      </c>
      <c r="H2" s="7" t="s">
        <v>15</v>
      </c>
      <c r="I2" s="7">
        <v>46032</v>
      </c>
      <c r="J2" s="8">
        <v>2922.8</v>
      </c>
      <c r="K2" s="8">
        <v>162790.0862650894</v>
      </c>
      <c r="L2" s="9">
        <v>5298</v>
      </c>
      <c r="M2" s="10">
        <v>2918</v>
      </c>
      <c r="N2" s="11" t="s">
        <v>16</v>
      </c>
      <c r="O2" s="12" t="s">
        <v>17</v>
      </c>
      <c r="P2" s="13" t="s">
        <v>25</v>
      </c>
      <c r="Q2" s="13" t="s">
        <v>31</v>
      </c>
      <c r="R2" s="13" t="s">
        <v>32</v>
      </c>
      <c r="S2" s="13" t="s">
        <v>33</v>
      </c>
      <c r="T2" s="13" t="s">
        <v>34</v>
      </c>
    </row>
    <row r="3" spans="1:20" x14ac:dyDescent="0.25">
      <c r="A3" s="2">
        <v>46054</v>
      </c>
      <c r="B3" s="2" t="str">
        <f t="shared" ref="B3:B9" si="0">CONCATENATE(C3,D3)</f>
        <v>105900040002</v>
      </c>
      <c r="C3" s="3">
        <v>10590004</v>
      </c>
      <c r="D3" s="4" t="s">
        <v>25</v>
      </c>
      <c r="E3" s="5" t="s">
        <v>18</v>
      </c>
      <c r="F3" s="6" t="s">
        <v>13</v>
      </c>
      <c r="G3" s="6" t="s">
        <v>14</v>
      </c>
      <c r="H3" s="7" t="s">
        <v>15</v>
      </c>
      <c r="I3" s="7">
        <v>46032</v>
      </c>
      <c r="J3" s="8">
        <v>2666</v>
      </c>
      <c r="K3" s="8">
        <v>108813.21323831999</v>
      </c>
      <c r="L3" s="9">
        <v>4266</v>
      </c>
      <c r="M3" s="10">
        <v>1075</v>
      </c>
      <c r="N3" s="11" t="s">
        <v>16</v>
      </c>
      <c r="O3" s="12" t="s">
        <v>17</v>
      </c>
      <c r="P3" s="13" t="s">
        <v>25</v>
      </c>
      <c r="Q3" s="13" t="s">
        <v>35</v>
      </c>
      <c r="R3" s="13" t="s">
        <v>36</v>
      </c>
      <c r="S3" s="13" t="s">
        <v>37</v>
      </c>
      <c r="T3" s="13" t="s">
        <v>38</v>
      </c>
    </row>
    <row r="4" spans="1:20" x14ac:dyDescent="0.25">
      <c r="A4" s="2">
        <v>46082</v>
      </c>
      <c r="B4" s="2" t="str">
        <f t="shared" si="0"/>
        <v>105900010002</v>
      </c>
      <c r="C4" s="3">
        <v>10590001</v>
      </c>
      <c r="D4" s="4" t="s">
        <v>25</v>
      </c>
      <c r="E4" s="5" t="s">
        <v>12</v>
      </c>
      <c r="F4" s="6" t="s">
        <v>13</v>
      </c>
      <c r="G4" s="6" t="s">
        <v>14</v>
      </c>
      <c r="H4" s="7" t="s">
        <v>15</v>
      </c>
      <c r="I4" s="7">
        <v>46032</v>
      </c>
      <c r="J4" s="8">
        <v>2608.3999999999996</v>
      </c>
      <c r="K4" s="8">
        <v>151636.50999999998</v>
      </c>
      <c r="L4" s="9">
        <v>5132</v>
      </c>
      <c r="M4" s="10">
        <v>5132</v>
      </c>
      <c r="N4" s="11" t="s">
        <v>16</v>
      </c>
      <c r="O4" s="12" t="s">
        <v>22</v>
      </c>
      <c r="P4" s="13" t="s">
        <v>25</v>
      </c>
      <c r="Q4" s="13" t="s">
        <v>31</v>
      </c>
      <c r="R4" s="13" t="s">
        <v>32</v>
      </c>
      <c r="S4" s="13" t="s">
        <v>33</v>
      </c>
      <c r="T4" s="13" t="s">
        <v>34</v>
      </c>
    </row>
    <row r="5" spans="1:20" x14ac:dyDescent="0.25">
      <c r="A5" s="2">
        <v>46082</v>
      </c>
      <c r="B5" s="2" t="str">
        <f t="shared" si="0"/>
        <v>105900040002</v>
      </c>
      <c r="C5" s="3">
        <v>10590004</v>
      </c>
      <c r="D5" s="4" t="s">
        <v>25</v>
      </c>
      <c r="E5" s="5" t="s">
        <v>18</v>
      </c>
      <c r="F5" s="6" t="s">
        <v>13</v>
      </c>
      <c r="G5" s="6" t="s">
        <v>14</v>
      </c>
      <c r="H5" s="7" t="s">
        <v>15</v>
      </c>
      <c r="I5" s="7">
        <v>46032</v>
      </c>
      <c r="J5" s="8">
        <v>5060.9999999999991</v>
      </c>
      <c r="K5" s="8">
        <v>200284.47</v>
      </c>
      <c r="L5" s="9">
        <v>8098</v>
      </c>
      <c r="M5" s="10">
        <v>8098</v>
      </c>
      <c r="N5" s="11" t="s">
        <v>16</v>
      </c>
      <c r="O5" s="12" t="s">
        <v>22</v>
      </c>
      <c r="P5" s="13" t="s">
        <v>25</v>
      </c>
      <c r="Q5" s="13" t="s">
        <v>35</v>
      </c>
      <c r="R5" s="13" t="s">
        <v>36</v>
      </c>
      <c r="S5" s="13" t="s">
        <v>37</v>
      </c>
      <c r="T5" s="13" t="s">
        <v>38</v>
      </c>
    </row>
    <row r="6" spans="1:20" x14ac:dyDescent="0.25">
      <c r="A6" s="2">
        <v>46113</v>
      </c>
      <c r="B6" s="2" t="str">
        <f t="shared" si="0"/>
        <v>105900010002</v>
      </c>
      <c r="C6" s="3">
        <v>10590001</v>
      </c>
      <c r="D6" s="4" t="s">
        <v>25</v>
      </c>
      <c r="E6" s="5" t="s">
        <v>12</v>
      </c>
      <c r="F6" s="6" t="s">
        <v>13</v>
      </c>
      <c r="G6" s="6" t="s">
        <v>14</v>
      </c>
      <c r="H6" s="7" t="s">
        <v>21</v>
      </c>
      <c r="I6" s="7">
        <v>46032</v>
      </c>
      <c r="J6" s="8">
        <v>2658.1000000000004</v>
      </c>
      <c r="K6" s="8">
        <v>143533.39000000001</v>
      </c>
      <c r="L6" s="9">
        <v>5817</v>
      </c>
      <c r="M6" s="10">
        <v>2946</v>
      </c>
      <c r="N6" s="11" t="s">
        <v>16</v>
      </c>
      <c r="O6" s="12" t="s">
        <v>22</v>
      </c>
      <c r="P6" s="13" t="s">
        <v>25</v>
      </c>
      <c r="Q6" s="13" t="s">
        <v>31</v>
      </c>
      <c r="R6" s="13" t="s">
        <v>32</v>
      </c>
      <c r="S6" s="13" t="s">
        <v>33</v>
      </c>
      <c r="T6" s="13" t="s">
        <v>34</v>
      </c>
    </row>
    <row r="7" spans="1:20" x14ac:dyDescent="0.25">
      <c r="A7" s="2">
        <v>46113</v>
      </c>
      <c r="B7" s="2" t="str">
        <f t="shared" si="0"/>
        <v>105900040002</v>
      </c>
      <c r="C7" s="3">
        <v>10590004</v>
      </c>
      <c r="D7" s="4" t="s">
        <v>25</v>
      </c>
      <c r="E7" s="5" t="s">
        <v>18</v>
      </c>
      <c r="F7" s="6" t="s">
        <v>13</v>
      </c>
      <c r="G7" s="6" t="s">
        <v>14</v>
      </c>
      <c r="H7" s="7" t="s">
        <v>21</v>
      </c>
      <c r="I7" s="7">
        <v>46032</v>
      </c>
      <c r="J7" s="8">
        <v>4849.2999999999993</v>
      </c>
      <c r="K7" s="8">
        <v>178363.68999999997</v>
      </c>
      <c r="L7" s="9">
        <v>7768</v>
      </c>
      <c r="M7" s="10">
        <v>4201</v>
      </c>
      <c r="N7" s="11" t="s">
        <v>16</v>
      </c>
      <c r="O7" s="12" t="s">
        <v>22</v>
      </c>
      <c r="P7" s="13" t="s">
        <v>25</v>
      </c>
      <c r="Q7" s="13" t="s">
        <v>35</v>
      </c>
      <c r="R7" s="13" t="s">
        <v>36</v>
      </c>
      <c r="S7" s="13" t="s">
        <v>37</v>
      </c>
      <c r="T7" s="13" t="s">
        <v>38</v>
      </c>
    </row>
    <row r="8" spans="1:20" x14ac:dyDescent="0.25">
      <c r="A8" s="2">
        <v>46143</v>
      </c>
      <c r="B8" s="2" t="str">
        <f t="shared" si="0"/>
        <v>105900010002</v>
      </c>
      <c r="C8" s="3">
        <v>10590001</v>
      </c>
      <c r="D8" s="4" t="s">
        <v>25</v>
      </c>
      <c r="E8" s="5" t="s">
        <v>12</v>
      </c>
      <c r="F8" s="6" t="s">
        <v>13</v>
      </c>
      <c r="G8" s="6" t="s">
        <v>14</v>
      </c>
      <c r="H8" s="7" t="s">
        <v>21</v>
      </c>
      <c r="I8" s="7">
        <v>46032</v>
      </c>
      <c r="J8" s="8">
        <v>3111.4000000000005</v>
      </c>
      <c r="K8" s="8">
        <v>167860.58394438701</v>
      </c>
      <c r="L8" s="9">
        <v>5134</v>
      </c>
      <c r="M8" s="10">
        <v>1777</v>
      </c>
      <c r="N8" s="11" t="s">
        <v>16</v>
      </c>
      <c r="O8" s="12" t="s">
        <v>23</v>
      </c>
      <c r="P8" s="13" t="s">
        <v>25</v>
      </c>
      <c r="Q8" s="13" t="s">
        <v>31</v>
      </c>
      <c r="R8" s="13" t="s">
        <v>32</v>
      </c>
      <c r="S8" s="13" t="s">
        <v>33</v>
      </c>
      <c r="T8" s="13" t="s">
        <v>34</v>
      </c>
    </row>
    <row r="9" spans="1:20" x14ac:dyDescent="0.25">
      <c r="A9" s="2">
        <v>46143</v>
      </c>
      <c r="B9" s="2" t="str">
        <f t="shared" si="0"/>
        <v>105900040002</v>
      </c>
      <c r="C9" s="3">
        <v>10590004</v>
      </c>
      <c r="D9" s="4" t="s">
        <v>25</v>
      </c>
      <c r="E9" s="5" t="s">
        <v>18</v>
      </c>
      <c r="F9" s="6" t="s">
        <v>13</v>
      </c>
      <c r="G9" s="6" t="s">
        <v>14</v>
      </c>
      <c r="H9" s="7" t="s">
        <v>21</v>
      </c>
      <c r="I9" s="7">
        <v>46032</v>
      </c>
      <c r="J9" s="8">
        <v>4043</v>
      </c>
      <c r="K9" s="8">
        <v>152447.44432762</v>
      </c>
      <c r="L9" s="9">
        <v>6469</v>
      </c>
      <c r="M9" s="10">
        <v>3420</v>
      </c>
      <c r="N9" s="11" t="s">
        <v>16</v>
      </c>
      <c r="O9" s="12" t="s">
        <v>23</v>
      </c>
      <c r="P9" s="13" t="s">
        <v>25</v>
      </c>
      <c r="Q9" s="13" t="s">
        <v>35</v>
      </c>
      <c r="R9" s="13" t="s">
        <v>36</v>
      </c>
      <c r="S9" s="13" t="s">
        <v>37</v>
      </c>
      <c r="T9" s="13" t="s">
        <v>38</v>
      </c>
    </row>
    <row r="10" spans="1:20" x14ac:dyDescent="0.25">
      <c r="A10" s="14"/>
      <c r="B10" s="14"/>
      <c r="C10" s="14"/>
      <c r="D10" s="14"/>
      <c r="E10" s="15" t="s">
        <v>20</v>
      </c>
      <c r="F10" s="15"/>
      <c r="G10" s="15"/>
      <c r="H10" s="14"/>
      <c r="I10" s="14"/>
      <c r="J10" s="16">
        <f>SUM(J2:J9)</f>
        <v>27920</v>
      </c>
      <c r="K10" s="16">
        <f>SUM(K2:K9)</f>
        <v>1265729.3877754165</v>
      </c>
      <c r="L10" s="16">
        <f>SUM(L2:L9)</f>
        <v>47982</v>
      </c>
      <c r="M10" s="17">
        <f>SUM(M2:M9)</f>
        <v>29567</v>
      </c>
      <c r="N10" s="11">
        <v>125</v>
      </c>
      <c r="O10" s="18"/>
      <c r="P10" s="13"/>
      <c r="Q10" s="13"/>
      <c r="R10" s="13"/>
      <c r="S10" s="13"/>
      <c r="T10" s="13"/>
    </row>
  </sheetData>
  <conditionalFormatting sqref="C1:D1">
    <cfRule type="duplicateValues" dxfId="8" priority="18" stopIfTrue="1"/>
  </conditionalFormatting>
  <conditionalFormatting sqref="H1:H9">
    <cfRule type="containsText" dxfId="7" priority="17" stopIfTrue="1" operator="containsText" text="100%">
      <formula>NOT(ISERROR(SEARCH("100%",H1)))</formula>
    </cfRule>
  </conditionalFormatting>
  <conditionalFormatting sqref="H2:H3">
    <cfRule type="containsText" dxfId="6" priority="16" stopIfTrue="1" operator="containsText" text="Direct Farfmer Payment ">
      <formula>NOT(ISERROR(SEARCH("Direct Farfmer Payment ",H2)))</formula>
    </cfRule>
  </conditionalFormatting>
  <conditionalFormatting sqref="L2:N9">
    <cfRule type="cellIs" dxfId="5" priority="15" operator="lessThan">
      <formula>0</formula>
    </cfRule>
  </conditionalFormatting>
  <conditionalFormatting sqref="H4:H5">
    <cfRule type="containsText" dxfId="4" priority="11" stopIfTrue="1" operator="containsText" text="Direct Farfmer Payment ">
      <formula>NOT(ISERROR(SEARCH("Direct Farfmer Payment ",H4)))</formula>
    </cfRule>
  </conditionalFormatting>
  <conditionalFormatting sqref="H6:H7">
    <cfRule type="containsText" dxfId="3" priority="7" stopIfTrue="1" operator="containsText" text="Direct Farfmer Payment ">
      <formula>NOT(ISERROR(SEARCH("Direct Farfmer Payment ",H6)))</formula>
    </cfRule>
  </conditionalFormatting>
  <conditionalFormatting sqref="H8:H9">
    <cfRule type="containsText" dxfId="2" priority="3" stopIfTrue="1" operator="containsText" text="Direct Farfmer Payment ">
      <formula>NOT(ISERROR(SEARCH("Direct Farfmer Payment ",H8)))</formula>
    </cfRule>
  </conditionalFormatting>
  <conditionalFormatting sqref="L10 N10">
    <cfRule type="cellIs" dxfId="1" priority="2" operator="lessThan">
      <formula>0</formula>
    </cfRule>
  </conditionalFormatting>
  <conditionalFormatting sqref="R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2026-07-29T05:30:24Z</dcterms:created>
  <dcterms:modified xsi:type="dcterms:W3CDTF">2026-07-29T06:15:41Z</dcterms:modified>
</cp:coreProperties>
</file>