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B67D949C-A6E3-4984-A2BD-AF3C75AF0E05}" xr6:coauthVersionLast="47" xr6:coauthVersionMax="47" xr10:uidLastSave="{00000000-0000-0000-0000-000000000000}"/>
  <bookViews>
    <workbookView xWindow="-120" yWindow="-120" windowWidth="29040" windowHeight="15720" activeTab="2" xr2:uid="{DA677D64-C393-4E04-A33A-44139C5481EB}"/>
  </bookViews>
  <sheets>
    <sheet name="PCB Details " sheetId="2" r:id="rId1"/>
    <sheet name="Recovery Detail" sheetId="3" r:id="rId2"/>
    <sheet name="Deductable for June'26" sheetId="7" r:id="rId3"/>
    <sheet name="Purchase" sheetId="1" r:id="rId4"/>
    <sheet name="Old Purchase " sheetId="6" r:id="rId5"/>
    <sheet name="Not recover Old data" sheetId="4" r:id="rId6"/>
  </sheets>
  <externalReferences>
    <externalReference r:id="rId7"/>
    <externalReference r:id="rId8"/>
  </externalReferences>
  <definedNames>
    <definedName name="_xlnm._FilterDatabase" localSheetId="2" hidden="1">'Deductable for June''26'!$A$8:$C$86</definedName>
    <definedName name="_xlnm._FilterDatabase" localSheetId="5" hidden="1">'Not recover Old data'!$A$1:$G$1</definedName>
    <definedName name="_xlnm._FilterDatabase" localSheetId="0" hidden="1">'PCB Details '!$B$7:$O$148</definedName>
    <definedName name="_xlnm._FilterDatabase" localSheetId="1" hidden="1">'Recovery Detail'!$A$1:$AC$107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" i="7" l="1"/>
  <c r="AB7" i="3"/>
  <c r="AB6" i="3"/>
  <c r="AB5" i="3"/>
  <c r="AB4" i="3"/>
  <c r="AB3" i="3"/>
  <c r="AB2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A107" i="3"/>
  <c r="Z107" i="3"/>
  <c r="Y107" i="3"/>
  <c r="X107" i="3"/>
  <c r="W107" i="3"/>
  <c r="V107" i="3"/>
  <c r="U107" i="3"/>
  <c r="S106" i="3"/>
  <c r="R107" i="3" l="1"/>
  <c r="Q107" i="3"/>
  <c r="O107" i="3"/>
  <c r="F107" i="3"/>
  <c r="M106" i="3"/>
  <c r="AB106" i="3" s="1"/>
  <c r="AB107" i="3" s="1"/>
  <c r="L107" i="3"/>
  <c r="K107" i="3"/>
  <c r="J107" i="3"/>
  <c r="I107" i="3"/>
  <c r="H107" i="3"/>
  <c r="G107" i="3"/>
  <c r="E107" i="3"/>
  <c r="I5" i="1" l="1"/>
  <c r="J155" i="2" l="1"/>
  <c r="I155" i="2"/>
  <c r="F11" i="1"/>
  <c r="D15" i="1" s="1"/>
  <c r="F15" i="1" s="1"/>
  <c r="S107" i="3" l="1"/>
  <c r="D16" i="1"/>
  <c r="D18" i="1"/>
  <c r="F18" i="1" s="1"/>
  <c r="D19" i="1"/>
  <c r="F19" i="1" s="1"/>
  <c r="T107" i="3" l="1"/>
  <c r="P107" i="3"/>
  <c r="M107" i="3"/>
  <c r="G7" i="1"/>
  <c r="G6" i="1"/>
  <c r="F22" i="1" l="1"/>
  <c r="G155" i="2"/>
  <c r="G5" i="1" s="1"/>
  <c r="G18" i="1" l="1"/>
  <c r="F6" i="6"/>
  <c r="F15" i="6"/>
  <c r="E15" i="6"/>
  <c r="D15" i="6"/>
  <c r="E13" i="6"/>
  <c r="E12" i="6"/>
  <c r="E11" i="6"/>
  <c r="E18" i="4" l="1"/>
  <c r="F13" i="4"/>
  <c r="E1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F3" i="4"/>
  <c r="F26" i="4" s="1"/>
  <c r="E3" i="4"/>
  <c r="E26" i="4" s="1"/>
  <c r="A3" i="4"/>
  <c r="H10" i="2" l="1"/>
  <c r="H9" i="2"/>
  <c r="H8" i="2"/>
  <c r="H155" i="2" l="1"/>
  <c r="D17" i="1" s="1"/>
  <c r="F17" i="1" s="1"/>
  <c r="F20" i="1" s="1"/>
  <c r="D20" i="1" l="1"/>
  <c r="D23" i="1" s="1"/>
  <c r="F23" i="1" l="1"/>
  <c r="H5" i="1"/>
  <c r="J5" i="1" s="1"/>
  <c r="N10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41" authorId="0" shapeId="0" xr:uid="{4B622F80-1506-43F8-93DF-DB5AE3F8C9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263878508382
date 23/07/25</t>
        </r>
      </text>
    </comment>
    <comment ref="F42" authorId="0" shapeId="0" xr:uid="{E19CA77D-E29D-43EE-9254-6DAAEB98C7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869729618820
date 07/09/25</t>
        </r>
      </text>
    </comment>
    <comment ref="M51" authorId="0" shapeId="0" xr:uid="{9D0290CA-E541-4025-8DBC-150B424F72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N51" authorId="0" shapeId="0" xr:uid="{3E2FB699-F302-41FE-A6EE-8F09DF0704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O51" authorId="0" shapeId="0" xr:uid="{AF073545-A8E5-469A-BCAA-E4A792692E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F53" authorId="0" shapeId="0" xr:uid="{0F7A01F7-524C-47F3-BAA8-4C2BC7F865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85028866012
date 12/10/25
</t>
        </r>
      </text>
    </comment>
    <comment ref="F68" authorId="0" shapeId="0" xr:uid="{8A8B7635-A0FC-43EA-BD39-C700EA7E75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</t>
        </r>
      </text>
    </comment>
    <comment ref="F76" authorId="0" shapeId="0" xr:uid="{2EC8EDBA-4472-43AD-BCE4-B18095BE15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</t>
        </r>
      </text>
    </comment>
  </commentList>
</comments>
</file>

<file path=xl/sharedStrings.xml><?xml version="1.0" encoding="utf-8"?>
<sst xmlns="http://schemas.openxmlformats.org/spreadsheetml/2006/main" count="1410" uniqueCount="525">
  <si>
    <t>Stipl</t>
  </si>
  <si>
    <t>English Dubauli</t>
  </si>
  <si>
    <t>Dumroan</t>
  </si>
  <si>
    <t>Manish Sir</t>
  </si>
  <si>
    <t>Gaurav</t>
  </si>
  <si>
    <t>Courier</t>
  </si>
  <si>
    <t>Mathura Dera</t>
  </si>
  <si>
    <t>Arak</t>
  </si>
  <si>
    <t>Dumri Purvi</t>
  </si>
  <si>
    <t>GREP041400D4FQH077</t>
  </si>
  <si>
    <t>Mirahati-2</t>
  </si>
  <si>
    <t>Asarganj</t>
  </si>
  <si>
    <t>Babul</t>
  </si>
  <si>
    <t>GREP041400D4FQH103</t>
  </si>
  <si>
    <t>Launa</t>
  </si>
  <si>
    <t>Babul (paid)</t>
  </si>
  <si>
    <t>GREP041400D4FQH079</t>
  </si>
  <si>
    <t>Sangrampur</t>
  </si>
  <si>
    <t>Sonvarsa</t>
  </si>
  <si>
    <t>Umakant</t>
  </si>
  <si>
    <t>GREP041400D4FQH138</t>
  </si>
  <si>
    <t>Mohanpur</t>
  </si>
  <si>
    <t>Laldiyara</t>
  </si>
  <si>
    <t>GREP041400D4FQH080</t>
  </si>
  <si>
    <t>DHARSANDA</t>
  </si>
  <si>
    <t>Halsi</t>
  </si>
  <si>
    <t>GREP041400D4FQH084</t>
  </si>
  <si>
    <t>Halsi BMC</t>
  </si>
  <si>
    <t>GREP041400D4FQH070</t>
  </si>
  <si>
    <t xml:space="preserve">Munger Store </t>
  </si>
  <si>
    <t>Munger</t>
  </si>
  <si>
    <t>Dharmendra Tiwari</t>
  </si>
  <si>
    <t>GREP041400D4FQH126</t>
  </si>
  <si>
    <t>Manjhaul</t>
  </si>
  <si>
    <t>Verma Sir</t>
  </si>
  <si>
    <t>transport</t>
  </si>
  <si>
    <t>Hemadpur</t>
  </si>
  <si>
    <t>GREP041400D4FQH134</t>
  </si>
  <si>
    <t>Tilathi</t>
  </si>
  <si>
    <t>Arun AI</t>
  </si>
  <si>
    <t>GREP041400D4FQH100</t>
  </si>
  <si>
    <t>Basawkala</t>
  </si>
  <si>
    <t>DTDC Courier</t>
  </si>
  <si>
    <t>GREP041400D4FQH123</t>
  </si>
  <si>
    <t>Ramboriya</t>
  </si>
  <si>
    <t>GREP041400D4FQH136</t>
  </si>
  <si>
    <t>Harnaha</t>
  </si>
  <si>
    <t>GREP041400D4FQH112</t>
  </si>
  <si>
    <t>Kabela</t>
  </si>
  <si>
    <t>Araria</t>
  </si>
  <si>
    <t>Devanand</t>
  </si>
  <si>
    <t>GREP041400D4FQH085</t>
  </si>
  <si>
    <t>Thebhay</t>
  </si>
  <si>
    <t>GREP041400D4FQH086</t>
  </si>
  <si>
    <t>Sondiha</t>
  </si>
  <si>
    <t>GREP041400D4FQH119</t>
  </si>
  <si>
    <t>Beri East</t>
  </si>
  <si>
    <t>Simri</t>
  </si>
  <si>
    <t>Shankar sir</t>
  </si>
  <si>
    <t>Shahid</t>
  </si>
  <si>
    <t>Dev Prakash(AI</t>
  </si>
  <si>
    <t>GREP041400D4FQH125</t>
  </si>
  <si>
    <t xml:space="preserve">Ghataho </t>
  </si>
  <si>
    <t>GREP041400D4FQH094</t>
  </si>
  <si>
    <t>Arniyaganj</t>
  </si>
  <si>
    <t>Musrigharari</t>
  </si>
  <si>
    <t>Musrigharari BMC</t>
  </si>
  <si>
    <t>GREP041400D4FQH140</t>
  </si>
  <si>
    <t>Simri Store</t>
  </si>
  <si>
    <t>Gomukh Paharpur</t>
  </si>
  <si>
    <t>Rakesh Sir</t>
  </si>
  <si>
    <t>GREP041400D4FQH127</t>
  </si>
  <si>
    <t xml:space="preserve">TAAL-SHAHARSHA                                                                                      </t>
  </si>
  <si>
    <t>GREP041400D4FQH111</t>
  </si>
  <si>
    <t>Manikpur</t>
  </si>
  <si>
    <t>Umakant(done)</t>
  </si>
  <si>
    <t>GREP041400D4FQH132</t>
  </si>
  <si>
    <t>Jaitpur</t>
  </si>
  <si>
    <t>GREP041400D4FQH118</t>
  </si>
  <si>
    <t>Dedua Balo Tol</t>
  </si>
  <si>
    <t>Kamesh ji</t>
  </si>
  <si>
    <t>GREP041400D4FQH135</t>
  </si>
  <si>
    <t>Transfer to WB</t>
  </si>
  <si>
    <t>Asto</t>
  </si>
  <si>
    <t>GREP041400D4FQH133</t>
  </si>
  <si>
    <t>GREP041400D4FQH067</t>
  </si>
  <si>
    <t>GREP041400D4FQH066</t>
  </si>
  <si>
    <t>GREP041400D4FQH099</t>
  </si>
  <si>
    <t>GREP041400D4FQH073</t>
  </si>
  <si>
    <t>GREP041400D4FQH104</t>
  </si>
  <si>
    <t>GREP041400D4FQH106</t>
  </si>
  <si>
    <t>GREP041400D4FQH124</t>
  </si>
  <si>
    <t>GREP041400D4FQH074</t>
  </si>
  <si>
    <t>GREP041400D4FQH087</t>
  </si>
  <si>
    <t>GREP041400D4FQH129</t>
  </si>
  <si>
    <t>Sibutol-2</t>
  </si>
  <si>
    <t>Teghra</t>
  </si>
  <si>
    <t>Navnit kumar</t>
  </si>
  <si>
    <t>GREP041400D4FQH091</t>
  </si>
  <si>
    <t>Rata</t>
  </si>
  <si>
    <t xml:space="preserve">Ranjeet </t>
  </si>
  <si>
    <t>GREP041400D4FQH075</t>
  </si>
  <si>
    <t>Katni</t>
  </si>
  <si>
    <t>Tinku (Paid)</t>
  </si>
  <si>
    <t>Date</t>
  </si>
  <si>
    <t>Serial No</t>
  </si>
  <si>
    <t>New Code</t>
  </si>
  <si>
    <t>Approved By</t>
  </si>
  <si>
    <t>Delivered By</t>
  </si>
  <si>
    <t>Remarks</t>
  </si>
  <si>
    <t>Receive by</t>
  </si>
  <si>
    <t>AMCU Repair</t>
  </si>
  <si>
    <t>used on non recovery basis in MPG</t>
  </si>
  <si>
    <t>Cost on recovery basis</t>
  </si>
  <si>
    <t>Recovery Basis</t>
  </si>
  <si>
    <t xml:space="preserve">Non -Recovery Basis </t>
  </si>
  <si>
    <t>Used on Non recovery basis in BMC</t>
  </si>
  <si>
    <t>Total Qty</t>
  </si>
  <si>
    <t xml:space="preserve">Purchase </t>
  </si>
  <si>
    <t>Opening</t>
  </si>
  <si>
    <t xml:space="preserve">Closing </t>
  </si>
  <si>
    <t>Receive</t>
  </si>
  <si>
    <t xml:space="preserve">Issue </t>
  </si>
  <si>
    <t>STIPL</t>
  </si>
  <si>
    <t>From Purhcase</t>
  </si>
  <si>
    <t xml:space="preserve">Date </t>
  </si>
  <si>
    <t>Total Closing Stock</t>
  </si>
  <si>
    <t xml:space="preserve">Total Qty </t>
  </si>
  <si>
    <t xml:space="preserve">Closing in Stock </t>
  </si>
  <si>
    <t xml:space="preserve">Rate </t>
  </si>
  <si>
    <t>Amout</t>
  </si>
  <si>
    <t xml:space="preserve">Qty </t>
  </si>
  <si>
    <t xml:space="preserve">Fresh Foulty </t>
  </si>
  <si>
    <t>Fresh Faulty</t>
  </si>
  <si>
    <t>PCB Issued on recoverable Basis</t>
  </si>
  <si>
    <t xml:space="preserve">Total Issue </t>
  </si>
  <si>
    <t>Total Received</t>
  </si>
  <si>
    <t>Particular</t>
  </si>
  <si>
    <t>BMC Name</t>
  </si>
  <si>
    <t>MPG Name</t>
  </si>
  <si>
    <t xml:space="preserve">Issue Date </t>
  </si>
  <si>
    <t>MPG Code</t>
  </si>
  <si>
    <t>New MPG Code</t>
  </si>
  <si>
    <t>Name</t>
  </si>
  <si>
    <t>Total AMT</t>
  </si>
  <si>
    <t>1704</t>
  </si>
  <si>
    <t>Vishnupatti</t>
  </si>
  <si>
    <t>9786</t>
  </si>
  <si>
    <t xml:space="preserve"> Rachiyahi</t>
  </si>
  <si>
    <t>0314</t>
  </si>
  <si>
    <t>Madhepur</t>
  </si>
  <si>
    <t>7101</t>
  </si>
  <si>
    <t>Pachgachiya</t>
  </si>
  <si>
    <t>9149</t>
  </si>
  <si>
    <t>Bachhwara</t>
  </si>
  <si>
    <t>9759</t>
  </si>
  <si>
    <t>Sukhdeo Babutol</t>
  </si>
  <si>
    <t>8574</t>
  </si>
  <si>
    <t>Muradpur</t>
  </si>
  <si>
    <t>5119</t>
  </si>
  <si>
    <t>Barui</t>
  </si>
  <si>
    <t>1198</t>
  </si>
  <si>
    <t>Tetharhat</t>
  </si>
  <si>
    <t>2121</t>
  </si>
  <si>
    <t>Badiya</t>
  </si>
  <si>
    <t>2027</t>
  </si>
  <si>
    <t>Jaunapur</t>
  </si>
  <si>
    <t>7107</t>
  </si>
  <si>
    <t>Mirror Tola</t>
  </si>
  <si>
    <t>8649</t>
  </si>
  <si>
    <t>Bishauni</t>
  </si>
  <si>
    <t>1770</t>
  </si>
  <si>
    <t>Mahipura</t>
  </si>
  <si>
    <t>Rajapur</t>
  </si>
  <si>
    <t>8594</t>
  </si>
  <si>
    <t>Bari Lagar</t>
  </si>
  <si>
    <t>1235</t>
  </si>
  <si>
    <t>Ramsir(10700-4000)</t>
  </si>
  <si>
    <t>0393</t>
  </si>
  <si>
    <t>Matior</t>
  </si>
  <si>
    <t>2460</t>
  </si>
  <si>
    <t>Kaithi</t>
  </si>
  <si>
    <t>1907</t>
  </si>
  <si>
    <t>Gomukh Sarmaspur</t>
  </si>
  <si>
    <t>1287</t>
  </si>
  <si>
    <t>Noma(10700-5400)</t>
  </si>
  <si>
    <t>1723</t>
  </si>
  <si>
    <t>Gomukh BARDIHA TUTRI PETROL PUMP</t>
  </si>
  <si>
    <t>8582</t>
  </si>
  <si>
    <t>Gomukh Kanhaiyachak Pachhim</t>
  </si>
  <si>
    <t>7118</t>
  </si>
  <si>
    <t>Gomukh Amghatta Shreepur</t>
  </si>
  <si>
    <t>2401</t>
  </si>
  <si>
    <t>Dumri Purvi Tola</t>
  </si>
  <si>
    <t>1224</t>
  </si>
  <si>
    <t>Dharsanda(10700-5000)</t>
  </si>
  <si>
    <t>2435</t>
  </si>
  <si>
    <t>HEMDAPUR</t>
  </si>
  <si>
    <t>2415</t>
  </si>
  <si>
    <t>Ramo Bariya</t>
  </si>
  <si>
    <t>2430</t>
  </si>
  <si>
    <t>8613</t>
  </si>
  <si>
    <t>Gomukh Kabela                                                                                       </t>
  </si>
  <si>
    <t>8650</t>
  </si>
  <si>
    <t>Gomukh Tehay</t>
  </si>
  <si>
    <t>10070049</t>
  </si>
  <si>
    <t>10120083</t>
  </si>
  <si>
    <t>2058</t>
  </si>
  <si>
    <t>Gomukh Ghataho</t>
  </si>
  <si>
    <t>1901</t>
  </si>
  <si>
    <t>Gomukha Arniya Ganj</t>
  </si>
  <si>
    <t>1244</t>
  </si>
  <si>
    <t xml:space="preserve">TAAL-SHAHARSHA (10700-5000)                                                                                   </t>
  </si>
  <si>
    <t>1225</t>
  </si>
  <si>
    <t>JAITPUR (10700-1000)</t>
  </si>
  <si>
    <t>10120082</t>
  </si>
  <si>
    <t>1306</t>
  </si>
  <si>
    <t>Rata(10700-5000)</t>
  </si>
  <si>
    <t>Apr'25</t>
  </si>
  <si>
    <t>May'25</t>
  </si>
  <si>
    <t>Jun'25</t>
  </si>
  <si>
    <t>July'25</t>
  </si>
  <si>
    <t>Due</t>
  </si>
  <si>
    <t>1167</t>
  </si>
  <si>
    <t>SANDH MAAF</t>
  </si>
  <si>
    <t>Close</t>
  </si>
  <si>
    <t>1726</t>
  </si>
  <si>
    <t>1916</t>
  </si>
  <si>
    <t>Gomukh Laxminarayanpur</t>
  </si>
  <si>
    <t>1703</t>
  </si>
  <si>
    <t>Mahisor</t>
  </si>
  <si>
    <t>2020</t>
  </si>
  <si>
    <t>Balthara</t>
  </si>
  <si>
    <t>1745</t>
  </si>
  <si>
    <t>Banvira</t>
  </si>
  <si>
    <t>2001</t>
  </si>
  <si>
    <t>Bagnoucha</t>
  </si>
  <si>
    <t>2011</t>
  </si>
  <si>
    <t>Hentanpur</t>
  </si>
  <si>
    <t>0007</t>
  </si>
  <si>
    <t>Jhandapur BMC</t>
  </si>
  <si>
    <t>1701</t>
  </si>
  <si>
    <t>Madhopur</t>
  </si>
  <si>
    <t>0386</t>
  </si>
  <si>
    <t>KURSAHATOL</t>
  </si>
  <si>
    <t>0342</t>
  </si>
  <si>
    <t>PACHPAIKA</t>
  </si>
  <si>
    <t>0316</t>
  </si>
  <si>
    <t>ASHINCHAK</t>
  </si>
  <si>
    <t>0356</t>
  </si>
  <si>
    <t>BHOJPUR</t>
  </si>
  <si>
    <t>0380</t>
  </si>
  <si>
    <t>Hargingpur kothi</t>
  </si>
  <si>
    <t>0118</t>
  </si>
  <si>
    <t>Nandpur</t>
  </si>
  <si>
    <t>9148</t>
  </si>
  <si>
    <t>Gehuni</t>
  </si>
  <si>
    <t>2026</t>
  </si>
  <si>
    <t>SL No.</t>
  </si>
  <si>
    <t xml:space="preserve">BMC Name </t>
  </si>
  <si>
    <t>Lakhisarai Area</t>
  </si>
  <si>
    <t>Samastipur Area</t>
  </si>
  <si>
    <t>Husainipur</t>
  </si>
  <si>
    <t>0936</t>
  </si>
  <si>
    <t>Rachiyahi</t>
  </si>
  <si>
    <t>Bhagalpur Area</t>
  </si>
  <si>
    <t>No deduction from One years</t>
  </si>
  <si>
    <t>Begusarai Area</t>
  </si>
  <si>
    <t>No deduction from Six Month</t>
  </si>
  <si>
    <t>Bisunpur Beri</t>
  </si>
  <si>
    <t xml:space="preserve">Purchase Qty </t>
  </si>
  <si>
    <t xml:space="preserve">Purchase Amount </t>
  </si>
  <si>
    <t>Recovery from LY'23</t>
  </si>
  <si>
    <t>Purchased from CSR</t>
  </si>
  <si>
    <t>Net Recoverable Amount</t>
  </si>
  <si>
    <t>GREP041400D4FQH121</t>
  </si>
  <si>
    <t>GREP041400D4FQH095</t>
  </si>
  <si>
    <t>GREP041400D4FQH081</t>
  </si>
  <si>
    <t>GREP041400D4FQH096</t>
  </si>
  <si>
    <t>Mahasoni</t>
  </si>
  <si>
    <t>Mano-2</t>
  </si>
  <si>
    <t>Umakant (Paid)</t>
  </si>
  <si>
    <t>Aug'25</t>
  </si>
  <si>
    <t>Deduction</t>
  </si>
  <si>
    <t>Sep'25</t>
  </si>
  <si>
    <t>Gomukh Bhith</t>
  </si>
  <si>
    <t>EIPL</t>
  </si>
  <si>
    <t>PFD-12243761</t>
  </si>
  <si>
    <t>Laladiyara</t>
  </si>
  <si>
    <t>Akash kumar</t>
  </si>
  <si>
    <t>used on non recovery basis in BMC</t>
  </si>
  <si>
    <t>PFD-10258649</t>
  </si>
  <si>
    <t>Manjosh</t>
  </si>
  <si>
    <t>Paid</t>
  </si>
  <si>
    <t>PFD-09258542</t>
  </si>
  <si>
    <t>PFD-09258510</t>
  </si>
  <si>
    <t>PFD-09258545</t>
  </si>
  <si>
    <t>PFD-09258544</t>
  </si>
  <si>
    <t>PFD-12243762</t>
  </si>
  <si>
    <t>Mordiwa East</t>
  </si>
  <si>
    <t>Gomukh Bochaha</t>
  </si>
  <si>
    <t>Gomukh Andaha</t>
  </si>
  <si>
    <t>Amardeep</t>
  </si>
  <si>
    <t>Arma</t>
  </si>
  <si>
    <t>Bhandar</t>
  </si>
  <si>
    <t>PFD-09258541</t>
  </si>
  <si>
    <t>PFD-09258547</t>
  </si>
  <si>
    <t>PFD-09258539</t>
  </si>
  <si>
    <t>Bhandar(10700-3000)</t>
  </si>
  <si>
    <t>Mahadatpur</t>
  </si>
  <si>
    <t>Fathepur</t>
  </si>
  <si>
    <t>Bandera</t>
  </si>
  <si>
    <t>Pipra</t>
  </si>
  <si>
    <t>PFD-09258531</t>
  </si>
  <si>
    <t>PFD-09258538</t>
  </si>
  <si>
    <t>PFD-09258536</t>
  </si>
  <si>
    <t>PFD-09258534</t>
  </si>
  <si>
    <t>PFD-09258523</t>
  </si>
  <si>
    <t>PFD-09258535</t>
  </si>
  <si>
    <t>PFD-09258533</t>
  </si>
  <si>
    <t>PFD-09258540</t>
  </si>
  <si>
    <t>PFD-09258517</t>
  </si>
  <si>
    <t>PFD-09258519</t>
  </si>
  <si>
    <t>PFD-09258546</t>
  </si>
  <si>
    <t>PFD-09258548</t>
  </si>
  <si>
    <t>PFD-09258537</t>
  </si>
  <si>
    <t>Sahiyar</t>
  </si>
  <si>
    <t>Adrash Laxmipur - 3</t>
  </si>
  <si>
    <t>Parsama</t>
  </si>
  <si>
    <t>Dhira</t>
  </si>
  <si>
    <t>Nawadih</t>
  </si>
  <si>
    <t>JayNagar</t>
  </si>
  <si>
    <t>Chirinjivipur</t>
  </si>
  <si>
    <t>Hajipur</t>
  </si>
  <si>
    <t>Bith</t>
  </si>
  <si>
    <t>jayant sir</t>
  </si>
  <si>
    <t>Lalan Kumar</t>
  </si>
  <si>
    <t>2407</t>
  </si>
  <si>
    <t>1236</t>
  </si>
  <si>
    <t>ADARSH LAXMIPUR-3(10700-5000)</t>
  </si>
  <si>
    <t>1077</t>
  </si>
  <si>
    <t>Parsama (10700-5000)</t>
  </si>
  <si>
    <t>1217</t>
  </si>
  <si>
    <t>Dhira (10700-5000)</t>
  </si>
  <si>
    <t>Bithh</t>
  </si>
  <si>
    <t>PCB Issued on no recoverable basis </t>
  </si>
  <si>
    <t>PFD-09258543</t>
  </si>
  <si>
    <t>PFD-09258532</t>
  </si>
  <si>
    <t>Gayghat</t>
  </si>
  <si>
    <t>Kudeshawri</t>
  </si>
  <si>
    <t>Birendra Driver</t>
  </si>
  <si>
    <t>PFD-09258530</t>
  </si>
  <si>
    <t>PFD-09258518</t>
  </si>
  <si>
    <t>PFD-09258522</t>
  </si>
  <si>
    <t>Replace GREP041400D4FQH141</t>
  </si>
  <si>
    <t>Sherpur narsari east</t>
  </si>
  <si>
    <t>Shekhpura</t>
  </si>
  <si>
    <t>Oct'25</t>
  </si>
  <si>
    <t>Rasalpur</t>
  </si>
  <si>
    <t>Deduct for milk gain amount payment</t>
  </si>
  <si>
    <t>In Bank</t>
  </si>
  <si>
    <t>PFD-10258631</t>
  </si>
  <si>
    <t>PFD-10258647</t>
  </si>
  <si>
    <t>PFD-10258655</t>
  </si>
  <si>
    <t>PFD-10258646</t>
  </si>
  <si>
    <t>PFD-10258641</t>
  </si>
  <si>
    <t>PFD-10258644</t>
  </si>
  <si>
    <t>Bittu Kumar</t>
  </si>
  <si>
    <t>Tetri</t>
  </si>
  <si>
    <t>S kamal</t>
  </si>
  <si>
    <t>Tulsitol</t>
  </si>
  <si>
    <t>Matihani</t>
  </si>
  <si>
    <t>GOMUKH HANSPUR</t>
  </si>
  <si>
    <t>GOMUKH ROHUA</t>
  </si>
  <si>
    <t>GOMUKH SAIDPUR SAMASTIPUR</t>
  </si>
  <si>
    <t>PFD-10258640</t>
  </si>
  <si>
    <t>Ramjeevan</t>
  </si>
  <si>
    <t>GREP041400D4FQH092</t>
  </si>
  <si>
    <t>GREP041400D4FQH093</t>
  </si>
  <si>
    <t>Showa</t>
  </si>
  <si>
    <t>Kulahriya</t>
  </si>
  <si>
    <t>Naat</t>
  </si>
  <si>
    <t>Gomukh Mangolpur</t>
  </si>
  <si>
    <t>Aure</t>
  </si>
  <si>
    <t>Balahpur</t>
  </si>
  <si>
    <t>PFD-10258633</t>
  </si>
  <si>
    <t>GREP041400D4FQH116</t>
  </si>
  <si>
    <t>Darshan</t>
  </si>
  <si>
    <t>GREP041400D4FQH078</t>
  </si>
  <si>
    <t>GREP041400D4FQH101</t>
  </si>
  <si>
    <t>GREP041400D4FQH071</t>
  </si>
  <si>
    <t>Karauta</t>
  </si>
  <si>
    <t>Chotha</t>
  </si>
  <si>
    <t>Kharagwara</t>
  </si>
  <si>
    <t>Nov'25</t>
  </si>
  <si>
    <t>Dec'25</t>
  </si>
  <si>
    <t>Mar'26</t>
  </si>
  <si>
    <t>Jan'26</t>
  </si>
  <si>
    <t>Feb'26</t>
  </si>
  <si>
    <t>Nandan</t>
  </si>
  <si>
    <t>PFD-10258650</t>
  </si>
  <si>
    <t>Henwa</t>
  </si>
  <si>
    <t>PFD-10258651</t>
  </si>
  <si>
    <t>PFD-10258623</t>
  </si>
  <si>
    <t>Rahimpur Dakshin</t>
  </si>
  <si>
    <t>PFD-10258656</t>
  </si>
  <si>
    <t>Chowki</t>
  </si>
  <si>
    <t>PFD-10258634</t>
  </si>
  <si>
    <t>Sadpur</t>
  </si>
  <si>
    <t>PFD-10258653</t>
  </si>
  <si>
    <t>Mahendrapur</t>
  </si>
  <si>
    <t>PFD-10258654</t>
  </si>
  <si>
    <t>Mathar</t>
  </si>
  <si>
    <t>PFD-10258630</t>
  </si>
  <si>
    <t>Pachrukhi</t>
  </si>
  <si>
    <t>Vikash Kumar</t>
  </si>
  <si>
    <t>PFD-10258617</t>
  </si>
  <si>
    <t>Gowaharnagar</t>
  </si>
  <si>
    <t>PFD-10258614</t>
  </si>
  <si>
    <t>Mohaddinagar</t>
  </si>
  <si>
    <t>PFD-10258648</t>
  </si>
  <si>
    <t>Akalupur</t>
  </si>
  <si>
    <t>2 PCB sent from Store to STIPL for Replace</t>
  </si>
  <si>
    <t>1196</t>
  </si>
  <si>
    <t>Mohanpur (10700-5000)</t>
  </si>
  <si>
    <t/>
  </si>
  <si>
    <t>PFD-032611348</t>
  </si>
  <si>
    <t>PFD-032611331</t>
  </si>
  <si>
    <t>PFD-032611337</t>
  </si>
  <si>
    <t>Araria store</t>
  </si>
  <si>
    <t>PFD-032611350</t>
  </si>
  <si>
    <t>PFD-032611341</t>
  </si>
  <si>
    <t>PFD-032611338</t>
  </si>
  <si>
    <t>PFD-032611334</t>
  </si>
  <si>
    <t>PFD-032611332</t>
  </si>
  <si>
    <t>PFD-032611333</t>
  </si>
  <si>
    <t>Dumroan BMC</t>
  </si>
  <si>
    <t>Gomukh Rajpur</t>
  </si>
  <si>
    <t>RAJAPUR</t>
  </si>
  <si>
    <t>Gomukh Lewar</t>
  </si>
  <si>
    <t>Gomukh Rakshanagar_tola</t>
  </si>
  <si>
    <t>PFD-032611328</t>
  </si>
  <si>
    <t>PFD-032611336</t>
  </si>
  <si>
    <t>PFD-032611342</t>
  </si>
  <si>
    <t>PFD-032611339</t>
  </si>
  <si>
    <t>PFD-032611349</t>
  </si>
  <si>
    <t>PFD-032611351</t>
  </si>
  <si>
    <t>GOMUKH RAMCHANDARPUR II</t>
  </si>
  <si>
    <t>LAXMIPUR</t>
  </si>
  <si>
    <t>SANDH MAAF 2</t>
  </si>
  <si>
    <t>SONDHI</t>
  </si>
  <si>
    <t>BAKHIYA</t>
  </si>
  <si>
    <t>MALIYA</t>
  </si>
  <si>
    <t>PFD-032611352</t>
  </si>
  <si>
    <t>PFD-032611345</t>
  </si>
  <si>
    <t>Barkhanditol</t>
  </si>
  <si>
    <t>Amba-2</t>
  </si>
  <si>
    <t>PFD-032611347</t>
  </si>
  <si>
    <t>PFD-032611329</t>
  </si>
  <si>
    <t>PFD-032611335</t>
  </si>
  <si>
    <t>PFD-032611346</t>
  </si>
  <si>
    <t>PFD-032611343</t>
  </si>
  <si>
    <t>Bajangama</t>
  </si>
  <si>
    <t>Ramiya</t>
  </si>
  <si>
    <t>Manikatol</t>
  </si>
  <si>
    <t>Telgama</t>
  </si>
  <si>
    <t>Tara Dhamaun dakshin</t>
  </si>
  <si>
    <t>Vishnupatti-2</t>
  </si>
  <si>
    <t>Lalbabu</t>
  </si>
  <si>
    <t xml:space="preserve">Remarks </t>
  </si>
  <si>
    <t>Deduct from milk bill payment</t>
  </si>
  <si>
    <t>1305</t>
  </si>
  <si>
    <t>MANJOS(10700-5000)</t>
  </si>
  <si>
    <t>PFD-10258645</t>
  </si>
  <si>
    <t xml:space="preserve">Tinku </t>
  </si>
  <si>
    <t>MASUDAN</t>
  </si>
  <si>
    <t>PFD-032611330</t>
  </si>
  <si>
    <t>PFD-032611340</t>
  </si>
  <si>
    <t>TIYAY</t>
  </si>
  <si>
    <t>PFD-032611707</t>
  </si>
  <si>
    <t>PFD-032611708</t>
  </si>
  <si>
    <t>Amcu Repair</t>
  </si>
  <si>
    <t>PFD-10258643</t>
  </si>
  <si>
    <t>PFD-10258652</t>
  </si>
  <si>
    <t>GOMUKH LAXMIPUR</t>
  </si>
  <si>
    <t>Gomukh Sadananpur</t>
  </si>
  <si>
    <t>PFD-032611705</t>
  </si>
  <si>
    <t>PFD-032611715</t>
  </si>
  <si>
    <t>Vishan pur</t>
  </si>
  <si>
    <t>Parbatta</t>
  </si>
  <si>
    <t>PFD-032611714</t>
  </si>
  <si>
    <t>GREP041400D4FQH120</t>
  </si>
  <si>
    <t>PFD-032611344</t>
  </si>
  <si>
    <t>PFD-10258642</t>
  </si>
  <si>
    <t>PFD-032611702</t>
  </si>
  <si>
    <t>PFD-032611709</t>
  </si>
  <si>
    <t>NARAYANPUR</t>
  </si>
  <si>
    <t>Lahura</t>
  </si>
  <si>
    <t>Raja Ram</t>
  </si>
  <si>
    <t>Apr'26</t>
  </si>
  <si>
    <t>PFD-032611701</t>
  </si>
  <si>
    <t>Khairma</t>
  </si>
  <si>
    <t>Raj Kishor</t>
  </si>
  <si>
    <t>PFD-032611713</t>
  </si>
  <si>
    <t>PFD-032611703</t>
  </si>
  <si>
    <t>Mahila Kuntha</t>
  </si>
  <si>
    <t>Devdha</t>
  </si>
  <si>
    <t>Kapil Dev</t>
  </si>
  <si>
    <t>PFD-032611679</t>
  </si>
  <si>
    <t>PFD-032611700</t>
  </si>
  <si>
    <t>Gangauli</t>
  </si>
  <si>
    <t>Dumari Purvi</t>
  </si>
  <si>
    <t>By courier</t>
  </si>
  <si>
    <t>Sahayak Commision</t>
  </si>
  <si>
    <t>pay rupees 1500/ week from his milk bill</t>
  </si>
  <si>
    <t>May'26</t>
  </si>
  <si>
    <t>June'26</t>
  </si>
  <si>
    <t>July'26</t>
  </si>
  <si>
    <t>Aug'26</t>
  </si>
  <si>
    <t>Sep'26</t>
  </si>
  <si>
    <t>Oct'26</t>
  </si>
  <si>
    <t>Nov'26</t>
  </si>
  <si>
    <t>Dec'26</t>
  </si>
  <si>
    <t xml:space="preserve">Deductable Amount </t>
  </si>
  <si>
    <t xml:space="preserve">Total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</si>
</sst>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[$₹-820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5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0" borderId="0" xfId="1"/>
    <xf numFmtId="0" fontId="2" fillId="0" borderId="1" xfId="1" applyBorder="1"/>
    <xf numFmtId="0" fontId="7" fillId="0" borderId="3" xfId="1" applyFont="1" applyBorder="1"/>
    <xf numFmtId="165" fontId="0" fillId="0" borderId="1" xfId="0" applyNumberFormat="1" applyBorder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164" fontId="6" fillId="0" borderId="6" xfId="0" applyNumberFormat="1" applyFont="1" applyBorder="1" applyAlignment="1">
      <alignment horizontal="right"/>
    </xf>
    <xf numFmtId="164" fontId="0" fillId="0" borderId="0" xfId="0" applyNumberFormat="1"/>
    <xf numFmtId="0" fontId="0" fillId="0" borderId="3" xfId="0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2" fillId="3" borderId="1" xfId="0" applyFont="1" applyFill="1" applyBorder="1"/>
    <xf numFmtId="0" fontId="1" fillId="0" borderId="0" xfId="0" applyFon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quotePrefix="1" applyNumberFormat="1" applyFont="1" applyBorder="1"/>
  </cellXfs>
  <cellStyles count="2">
    <cellStyle name="Normal" xfId="0" builtinId="0"/>
    <cellStyle name="Normal 2" xfId="1" xr:uid="{DCD3885C-47F9-43A2-A3C4-64F6C3F539D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DELL/Downloads/BR_Monthly%20Sahayak%20Income%20Calculation%20-Oct-25%20(1).xlsx" TargetMode="External"/><Relationship Id="rId2" Type="http://schemas.openxmlformats.org/officeDocument/2006/relationships/externalLinkPath" Target="file:///C:\Users\DELL\Downloads\BR_Monthly%20Sahayak%20Income%20Calculation%20-Oct-25%20(1).xlsx" TargetMode="External"/><Relationship Id="rId1" Type="http://schemas.openxmlformats.org/officeDocument/2006/relationships/externalLinkPath" Target="/Users/DELL/Downloads/BR_Monthly%20Sahayak%20Income%20Calculation%20-Oct-25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DELL/Downloads/BR_Monthly%20Sahayak%20Income%20Calculation%20-Apr-26.xlsx" TargetMode="External"/><Relationship Id="rId2" Type="http://schemas.openxmlformats.org/officeDocument/2006/relationships/externalLinkPath" Target="file:///C:\Users\DELL\Downloads\BR_Monthly%20Sahayak%20Income%20Calculation%20-Apr-26.xlsx" TargetMode="External"/><Relationship Id="rId1" Type="http://schemas.openxmlformats.org/officeDocument/2006/relationships/externalLinkPath" Target="/Users/DELL/Downloads/BR_Monthly%20Sahayak%20Income%20Calculation%20-Apr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DF"/>
      <sheetName val="Shayak Income "/>
      <sheetName val="Sheet1"/>
      <sheetName val="MPG Payment "/>
      <sheetName val="Monthly Deduction"/>
    </sheetNames>
    <sheetDataSet>
      <sheetData sheetId="0"/>
      <sheetData sheetId="1">
        <row r="226">
          <cell r="D226">
            <v>10070033</v>
          </cell>
          <cell r="E226" t="str">
            <v>Gomukh Kabela                                                                                       </v>
          </cell>
          <cell r="F226">
            <v>0</v>
          </cell>
          <cell r="G226" t="str">
            <v>MPG</v>
          </cell>
          <cell r="H226" t="str">
            <v>Direct</v>
          </cell>
          <cell r="I226">
            <v>1007</v>
          </cell>
          <cell r="J226" t="str">
            <v>Araria</v>
          </cell>
          <cell r="K226" t="str">
            <v>Old</v>
          </cell>
          <cell r="L226">
            <v>45198</v>
          </cell>
          <cell r="M226">
            <v>1783.8000000000002</v>
          </cell>
          <cell r="N226">
            <v>82817.61</v>
          </cell>
          <cell r="O226">
            <v>1337.8500000000001</v>
          </cell>
          <cell r="P226">
            <v>1694.6100000000001</v>
          </cell>
          <cell r="Q226">
            <v>0</v>
          </cell>
          <cell r="R226">
            <v>2484.5282999999999</v>
          </cell>
          <cell r="S226">
            <v>789.91829999999982</v>
          </cell>
          <cell r="T226">
            <v>178.38000000000002</v>
          </cell>
          <cell r="U226">
            <v>944.682145279417</v>
          </cell>
          <cell r="V226">
            <v>1909</v>
          </cell>
          <cell r="W226">
            <v>1861</v>
          </cell>
          <cell r="X226">
            <v>0</v>
          </cell>
          <cell r="Y226">
            <v>48</v>
          </cell>
        </row>
        <row r="227">
          <cell r="D227">
            <v>10070036</v>
          </cell>
          <cell r="E227" t="str">
            <v xml:space="preserve">Gomukh Navlolya                                                                                     </v>
          </cell>
          <cell r="F227">
            <v>0</v>
          </cell>
          <cell r="G227" t="str">
            <v>vlc</v>
          </cell>
          <cell r="H227" t="str">
            <v>Indirect</v>
          </cell>
          <cell r="I227">
            <v>1056</v>
          </cell>
          <cell r="J227" t="str">
            <v>Chautham</v>
          </cell>
          <cell r="K227" t="str">
            <v>Old</v>
          </cell>
          <cell r="L227">
            <v>45205</v>
          </cell>
          <cell r="M227">
            <v>4460.8</v>
          </cell>
          <cell r="N227">
            <v>173853.23</v>
          </cell>
          <cell r="O227">
            <v>3345.6000000000004</v>
          </cell>
          <cell r="P227">
            <v>4237.76</v>
          </cell>
          <cell r="Q227">
            <v>0</v>
          </cell>
          <cell r="R227">
            <v>5215.5969000000005</v>
          </cell>
          <cell r="S227">
            <v>977.83690000000024</v>
          </cell>
          <cell r="T227">
            <v>446.08000000000004</v>
          </cell>
          <cell r="U227">
            <v>0</v>
          </cell>
          <cell r="V227">
            <v>7137</v>
          </cell>
          <cell r="W227">
            <v>0</v>
          </cell>
          <cell r="X227">
            <v>0</v>
          </cell>
          <cell r="Y227">
            <v>0</v>
          </cell>
        </row>
        <row r="228">
          <cell r="D228">
            <v>10070042</v>
          </cell>
          <cell r="E228" t="str">
            <v>Gomukh Sapha</v>
          </cell>
          <cell r="F228">
            <v>0</v>
          </cell>
          <cell r="G228" t="str">
            <v>MPG</v>
          </cell>
          <cell r="H228" t="str">
            <v>Direct</v>
          </cell>
          <cell r="I228">
            <v>1007</v>
          </cell>
          <cell r="J228" t="str">
            <v>Araria</v>
          </cell>
          <cell r="K228" t="str">
            <v>Old</v>
          </cell>
          <cell r="L228">
            <v>45323</v>
          </cell>
          <cell r="M228">
            <v>744.4</v>
          </cell>
          <cell r="N228">
            <v>33516.410000000003</v>
          </cell>
          <cell r="O228">
            <v>558.29999999999995</v>
          </cell>
          <cell r="P228">
            <v>707.18</v>
          </cell>
          <cell r="Q228">
            <v>2292.4795476949002</v>
          </cell>
          <cell r="R228">
            <v>1005.4923000000001</v>
          </cell>
          <cell r="S228">
            <v>298.31230000000016</v>
          </cell>
          <cell r="T228">
            <v>74.44</v>
          </cell>
          <cell r="U228">
            <v>1853.5212739194046</v>
          </cell>
          <cell r="V228">
            <v>1630</v>
          </cell>
          <cell r="W228">
            <v>0</v>
          </cell>
          <cell r="X228">
            <v>0</v>
          </cell>
          <cell r="Y228">
            <v>0</v>
          </cell>
        </row>
        <row r="229">
          <cell r="D229">
            <v>10070043</v>
          </cell>
          <cell r="E229" t="str">
            <v>Araria</v>
          </cell>
          <cell r="F229">
            <v>0</v>
          </cell>
          <cell r="G229" t="str">
            <v>vlc</v>
          </cell>
          <cell r="H229" t="str">
            <v>Indirect</v>
          </cell>
          <cell r="I229">
            <v>1007</v>
          </cell>
          <cell r="J229" t="str">
            <v>Araria</v>
          </cell>
          <cell r="K229" t="str">
            <v>Old</v>
          </cell>
          <cell r="L229">
            <v>45636</v>
          </cell>
          <cell r="M229">
            <v>18521.5</v>
          </cell>
          <cell r="N229">
            <v>713064.76</v>
          </cell>
          <cell r="O229">
            <v>13891.125</v>
          </cell>
          <cell r="P229">
            <v>17595.424999999999</v>
          </cell>
          <cell r="Q229">
            <v>0</v>
          </cell>
          <cell r="R229">
            <v>21391.942800000001</v>
          </cell>
          <cell r="S229">
            <v>3796.5178000000014</v>
          </cell>
          <cell r="T229">
            <v>1852.15</v>
          </cell>
          <cell r="U229">
            <v>0</v>
          </cell>
          <cell r="V229">
            <v>29634</v>
          </cell>
          <cell r="W229">
            <v>0</v>
          </cell>
          <cell r="X229">
            <v>0</v>
          </cell>
          <cell r="Y229">
            <v>0</v>
          </cell>
        </row>
        <row r="230">
          <cell r="D230">
            <v>10070044</v>
          </cell>
          <cell r="E230" t="str">
            <v>Araria Purbi</v>
          </cell>
          <cell r="F230">
            <v>0</v>
          </cell>
          <cell r="G230" t="str">
            <v>vlc</v>
          </cell>
          <cell r="H230" t="str">
            <v>Indirect</v>
          </cell>
          <cell r="I230">
            <v>1007</v>
          </cell>
          <cell r="J230" t="str">
            <v>Araria</v>
          </cell>
          <cell r="K230" t="str">
            <v>Old</v>
          </cell>
          <cell r="L230">
            <v>45648</v>
          </cell>
          <cell r="M230">
            <v>2787.5</v>
          </cell>
          <cell r="N230">
            <v>85129.85</v>
          </cell>
          <cell r="O230">
            <v>2090.625</v>
          </cell>
          <cell r="P230">
            <v>2648.125</v>
          </cell>
          <cell r="Q230">
            <v>0</v>
          </cell>
          <cell r="R230">
            <v>2553.8955000000001</v>
          </cell>
          <cell r="S230">
            <v>-94.229499999999916</v>
          </cell>
          <cell r="T230">
            <v>278.75</v>
          </cell>
          <cell r="U230">
            <v>112.15447002610665</v>
          </cell>
          <cell r="V230">
            <v>4348</v>
          </cell>
          <cell r="W230">
            <v>0</v>
          </cell>
          <cell r="X230">
            <v>0</v>
          </cell>
          <cell r="Y230">
            <v>0</v>
          </cell>
        </row>
        <row r="231">
          <cell r="D231">
            <v>10070045</v>
          </cell>
          <cell r="E231" t="str">
            <v>Gomukh Gauchhari</v>
          </cell>
          <cell r="F231">
            <v>0</v>
          </cell>
          <cell r="G231" t="str">
            <v>MPG</v>
          </cell>
          <cell r="H231" t="str">
            <v>Direct</v>
          </cell>
          <cell r="I231">
            <v>1007</v>
          </cell>
          <cell r="J231" t="str">
            <v>Araria</v>
          </cell>
          <cell r="K231" t="str">
            <v>Old</v>
          </cell>
          <cell r="L231">
            <v>45646</v>
          </cell>
          <cell r="M231">
            <v>3495.7999999999993</v>
          </cell>
          <cell r="N231">
            <v>131155.22</v>
          </cell>
          <cell r="O231">
            <v>2621.8499999999995</v>
          </cell>
          <cell r="P231">
            <v>3321.0099999999993</v>
          </cell>
          <cell r="Q231">
            <v>206.91364188000006</v>
          </cell>
          <cell r="R231">
            <v>3934.6565999999998</v>
          </cell>
          <cell r="S231">
            <v>613.64660000000049</v>
          </cell>
          <cell r="T231">
            <v>349.57999999999993</v>
          </cell>
          <cell r="U231">
            <v>272.36420506915886</v>
          </cell>
          <cell r="V231">
            <v>5528</v>
          </cell>
          <cell r="W231">
            <v>2623.1044000000002</v>
          </cell>
          <cell r="X231">
            <v>0</v>
          </cell>
          <cell r="Y231">
            <v>0</v>
          </cell>
        </row>
        <row r="232">
          <cell r="D232">
            <v>10070046</v>
          </cell>
          <cell r="E232" t="str">
            <v>Telouch</v>
          </cell>
          <cell r="F232">
            <v>0</v>
          </cell>
          <cell r="G232" t="str">
            <v>MPG</v>
          </cell>
          <cell r="H232" t="str">
            <v>Direct</v>
          </cell>
          <cell r="I232">
            <v>1056</v>
          </cell>
          <cell r="J232" t="str">
            <v>Chautham</v>
          </cell>
          <cell r="K232" t="str">
            <v>Old</v>
          </cell>
          <cell r="L232">
            <v>45647</v>
          </cell>
          <cell r="M232">
            <v>7856.2999999999993</v>
          </cell>
          <cell r="N232">
            <v>293129.24</v>
          </cell>
          <cell r="O232">
            <v>5892.2249999999995</v>
          </cell>
          <cell r="P232">
            <v>7463.4849999999988</v>
          </cell>
          <cell r="Q232">
            <v>2046.0776579800004</v>
          </cell>
          <cell r="R232">
            <v>8793.877199999999</v>
          </cell>
          <cell r="S232">
            <v>1330.3922000000002</v>
          </cell>
          <cell r="T232">
            <v>785.63</v>
          </cell>
          <cell r="U232">
            <v>0</v>
          </cell>
          <cell r="V232">
            <v>14616</v>
          </cell>
          <cell r="W232">
            <v>5862.5847999999996</v>
          </cell>
          <cell r="X232">
            <v>0</v>
          </cell>
          <cell r="Y232">
            <v>0</v>
          </cell>
        </row>
        <row r="233">
          <cell r="D233">
            <v>10070048</v>
          </cell>
          <cell r="E233" t="str">
            <v>Gomukh Jhangara B</v>
          </cell>
          <cell r="F233">
            <v>0</v>
          </cell>
          <cell r="G233" t="str">
            <v>MPG</v>
          </cell>
          <cell r="H233" t="str">
            <v>Direct</v>
          </cell>
          <cell r="I233">
            <v>1007</v>
          </cell>
          <cell r="J233" t="str">
            <v>Araria</v>
          </cell>
          <cell r="K233" t="str">
            <v>Old</v>
          </cell>
          <cell r="L233">
            <v>45681</v>
          </cell>
          <cell r="M233">
            <v>3285.5</v>
          </cell>
          <cell r="N233">
            <v>126664.23000000001</v>
          </cell>
          <cell r="O233">
            <v>2464.125</v>
          </cell>
          <cell r="P233">
            <v>3121.2249999999999</v>
          </cell>
          <cell r="Q233">
            <v>0</v>
          </cell>
          <cell r="R233">
            <v>3799.9269000000004</v>
          </cell>
          <cell r="S233">
            <v>678.70190000000048</v>
          </cell>
          <cell r="T233">
            <v>328.55</v>
          </cell>
          <cell r="U233">
            <v>0</v>
          </cell>
          <cell r="V233">
            <v>5257</v>
          </cell>
          <cell r="W233">
            <v>2533.2846000000004</v>
          </cell>
          <cell r="X233">
            <v>0</v>
          </cell>
          <cell r="Y233">
            <v>0</v>
          </cell>
        </row>
        <row r="234">
          <cell r="D234">
            <v>10070049</v>
          </cell>
          <cell r="E234" t="str">
            <v>Gomukh Sondiha Uttri</v>
          </cell>
          <cell r="F234">
            <v>0</v>
          </cell>
          <cell r="G234" t="str">
            <v>MPG</v>
          </cell>
          <cell r="H234" t="str">
            <v>Direct</v>
          </cell>
          <cell r="I234">
            <v>1007</v>
          </cell>
          <cell r="J234" t="str">
            <v>Araria</v>
          </cell>
          <cell r="K234" t="str">
            <v>Old</v>
          </cell>
          <cell r="L234">
            <v>45692</v>
          </cell>
          <cell r="M234">
            <v>1519.1000000000001</v>
          </cell>
          <cell r="N234">
            <v>57960.43</v>
          </cell>
          <cell r="O234">
            <v>1139.325</v>
          </cell>
          <cell r="P234">
            <v>1443.145</v>
          </cell>
          <cell r="Q234">
            <v>321.94241409020003</v>
          </cell>
          <cell r="R234">
            <v>1738.8128999999999</v>
          </cell>
          <cell r="S234">
            <v>295.66789999999992</v>
          </cell>
          <cell r="T234">
            <v>151.91000000000003</v>
          </cell>
          <cell r="U234">
            <v>984.31916654606061</v>
          </cell>
          <cell r="V234">
            <v>1768</v>
          </cell>
          <cell r="W234">
            <v>1768</v>
          </cell>
          <cell r="X234">
            <v>0</v>
          </cell>
          <cell r="Y234">
            <v>0</v>
          </cell>
        </row>
        <row r="235">
          <cell r="D235">
            <v>10070056</v>
          </cell>
          <cell r="E235" t="str">
            <v xml:space="preserve"> Gomukh Nauranga</v>
          </cell>
          <cell r="F235">
            <v>0</v>
          </cell>
          <cell r="G235" t="str">
            <v>vlc</v>
          </cell>
          <cell r="H235" t="str">
            <v>Indirect</v>
          </cell>
          <cell r="I235">
            <v>1056</v>
          </cell>
          <cell r="J235" t="str">
            <v>Chautham</v>
          </cell>
          <cell r="K235" t="str">
            <v>Old</v>
          </cell>
          <cell r="L235">
            <v>45709</v>
          </cell>
          <cell r="M235">
            <v>5878.2999999999993</v>
          </cell>
          <cell r="N235">
            <v>236278.26</v>
          </cell>
          <cell r="O235">
            <v>4408.7249999999995</v>
          </cell>
          <cell r="P235">
            <v>5584.3849999999993</v>
          </cell>
          <cell r="Q235">
            <v>0</v>
          </cell>
          <cell r="R235">
            <v>7088.3478000000005</v>
          </cell>
          <cell r="S235">
            <v>1503.9628000000012</v>
          </cell>
          <cell r="T235">
            <v>587.82999999999993</v>
          </cell>
          <cell r="U235">
            <v>0</v>
          </cell>
          <cell r="V235">
            <v>9405</v>
          </cell>
          <cell r="W235">
            <v>0</v>
          </cell>
          <cell r="X235">
            <v>0</v>
          </cell>
          <cell r="Y235">
            <v>0</v>
          </cell>
        </row>
        <row r="236">
          <cell r="D236">
            <v>10070057</v>
          </cell>
          <cell r="E236" t="str">
            <v>Gomukh Bharatkhand Purbi</v>
          </cell>
          <cell r="F236">
            <v>0</v>
          </cell>
          <cell r="G236" t="str">
            <v>MPG</v>
          </cell>
          <cell r="H236" t="str">
            <v>Direct</v>
          </cell>
          <cell r="I236">
            <v>1007</v>
          </cell>
          <cell r="J236" t="str">
            <v>Araria</v>
          </cell>
          <cell r="K236" t="str">
            <v>Old</v>
          </cell>
          <cell r="L236">
            <v>45736</v>
          </cell>
          <cell r="M236">
            <v>200.9</v>
          </cell>
          <cell r="N236">
            <v>6900.4699999999993</v>
          </cell>
          <cell r="O236">
            <v>150.67500000000001</v>
          </cell>
          <cell r="P236">
            <v>190.85499999999999</v>
          </cell>
          <cell r="Q236">
            <v>0</v>
          </cell>
          <cell r="R236">
            <v>207.01409999999998</v>
          </cell>
          <cell r="S236">
            <v>16.159099999999995</v>
          </cell>
          <cell r="T236">
            <v>20.090000000000003</v>
          </cell>
          <cell r="U236">
            <v>321.40581713197184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D237">
            <v>10070059</v>
          </cell>
          <cell r="E237" t="str">
            <v>Gomukh Pakrail Vijay Nagar VLC</v>
          </cell>
          <cell r="F237">
            <v>0</v>
          </cell>
          <cell r="G237" t="str">
            <v>vlc</v>
          </cell>
          <cell r="H237" t="str">
            <v>Indirect</v>
          </cell>
          <cell r="I237">
            <v>1056</v>
          </cell>
          <cell r="J237" t="str">
            <v>Chautham</v>
          </cell>
          <cell r="K237" t="str">
            <v>Old</v>
          </cell>
          <cell r="L237">
            <v>45726</v>
          </cell>
          <cell r="M237">
            <v>2228.5</v>
          </cell>
          <cell r="N237">
            <v>84225.85</v>
          </cell>
          <cell r="O237">
            <v>1671.375</v>
          </cell>
          <cell r="P237">
            <v>2117.0749999999998</v>
          </cell>
          <cell r="Q237">
            <v>0</v>
          </cell>
          <cell r="R237">
            <v>2526.7755000000002</v>
          </cell>
          <cell r="S237">
            <v>409.70050000000037</v>
          </cell>
          <cell r="T237">
            <v>222.85000000000002</v>
          </cell>
          <cell r="U237">
            <v>430.74723764633598</v>
          </cell>
          <cell r="V237">
            <v>3135</v>
          </cell>
          <cell r="W237">
            <v>0</v>
          </cell>
          <cell r="X237">
            <v>0</v>
          </cell>
          <cell r="Y237">
            <v>0</v>
          </cell>
        </row>
        <row r="238">
          <cell r="D238">
            <v>10070060</v>
          </cell>
          <cell r="E238" t="str">
            <v>Gomukh Pakrail Shirnia VLC</v>
          </cell>
          <cell r="F238">
            <v>0</v>
          </cell>
          <cell r="G238" t="str">
            <v>vlc</v>
          </cell>
          <cell r="H238" t="str">
            <v>Indirect</v>
          </cell>
          <cell r="I238">
            <v>1056</v>
          </cell>
          <cell r="J238" t="str">
            <v>Chautham</v>
          </cell>
          <cell r="K238" t="str">
            <v>Old</v>
          </cell>
          <cell r="L238">
            <v>45735</v>
          </cell>
          <cell r="M238">
            <v>75.5</v>
          </cell>
          <cell r="N238">
            <v>3101.91</v>
          </cell>
          <cell r="O238">
            <v>56.625</v>
          </cell>
          <cell r="P238">
            <v>71.724999999999994</v>
          </cell>
          <cell r="Q238">
            <v>0</v>
          </cell>
          <cell r="R238">
            <v>93.057299999999998</v>
          </cell>
          <cell r="S238">
            <v>21.332300000000004</v>
          </cell>
          <cell r="T238">
            <v>7.5500000000000007</v>
          </cell>
          <cell r="U238">
            <v>121.15040927152313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D239">
            <v>10070061</v>
          </cell>
          <cell r="E239" t="str">
            <v>Gomukh Godhiyasi Nayagow VLC</v>
          </cell>
          <cell r="F239">
            <v>0</v>
          </cell>
          <cell r="G239" t="str">
            <v>vlc</v>
          </cell>
          <cell r="H239" t="str">
            <v>Indirect</v>
          </cell>
          <cell r="I239">
            <v>1007</v>
          </cell>
          <cell r="J239" t="str">
            <v>Araria</v>
          </cell>
          <cell r="K239" t="str">
            <v>Old</v>
          </cell>
          <cell r="L239">
            <v>45742</v>
          </cell>
          <cell r="M239">
            <v>203.99999999999997</v>
          </cell>
          <cell r="N239">
            <v>6696.98</v>
          </cell>
          <cell r="O239">
            <v>152.99999999999997</v>
          </cell>
          <cell r="P239">
            <v>193.79999999999995</v>
          </cell>
          <cell r="Q239">
            <v>0</v>
          </cell>
          <cell r="R239">
            <v>200.90939999999998</v>
          </cell>
          <cell r="S239">
            <v>7.1094000000000221</v>
          </cell>
          <cell r="T239">
            <v>20.399999999999999</v>
          </cell>
          <cell r="U239">
            <v>326.3694168056536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D240">
            <v>10070063</v>
          </cell>
          <cell r="E240" t="str">
            <v>Gomukh Bandehra Purbi</v>
          </cell>
          <cell r="F240">
            <v>0</v>
          </cell>
          <cell r="G240" t="str">
            <v>MPG</v>
          </cell>
          <cell r="H240" t="str">
            <v>Direct</v>
          </cell>
          <cell r="I240">
            <v>1007</v>
          </cell>
          <cell r="J240" t="str">
            <v>Araria</v>
          </cell>
          <cell r="K240" t="str">
            <v>Old</v>
          </cell>
          <cell r="L240">
            <v>45770</v>
          </cell>
          <cell r="M240">
            <v>2106.6999999999998</v>
          </cell>
          <cell r="N240">
            <v>83452.89</v>
          </cell>
          <cell r="O240">
            <v>1580.0249999999999</v>
          </cell>
          <cell r="P240">
            <v>2001.3649999999998</v>
          </cell>
          <cell r="Q240">
            <v>0</v>
          </cell>
          <cell r="R240">
            <v>2503.5866999999998</v>
          </cell>
          <cell r="S240">
            <v>502.22170000000006</v>
          </cell>
          <cell r="T240">
            <v>210.67</v>
          </cell>
          <cell r="U240">
            <v>552.52931093105894</v>
          </cell>
          <cell r="V240">
            <v>2818</v>
          </cell>
          <cell r="W240">
            <v>1861</v>
          </cell>
          <cell r="X240">
            <v>0</v>
          </cell>
          <cell r="Y240">
            <v>0</v>
          </cell>
        </row>
        <row r="241">
          <cell r="D241">
            <v>10070064</v>
          </cell>
          <cell r="E241" t="str">
            <v>Gomukh Tila Tol</v>
          </cell>
          <cell r="F241">
            <v>0</v>
          </cell>
          <cell r="G241" t="str">
            <v>MPG</v>
          </cell>
          <cell r="H241" t="str">
            <v>Direct</v>
          </cell>
          <cell r="I241">
            <v>1056</v>
          </cell>
          <cell r="J241" t="str">
            <v>Chautham</v>
          </cell>
          <cell r="K241" t="str">
            <v>Old</v>
          </cell>
          <cell r="L241">
            <v>45770</v>
          </cell>
          <cell r="M241">
            <v>1814.8999999999999</v>
          </cell>
          <cell r="N241">
            <v>69783.11</v>
          </cell>
          <cell r="O241">
            <v>1361.175</v>
          </cell>
          <cell r="P241">
            <v>1724.1549999999997</v>
          </cell>
          <cell r="Q241">
            <v>3953.3522841187396</v>
          </cell>
          <cell r="R241">
            <v>2093.4933000000001</v>
          </cell>
          <cell r="S241">
            <v>369.33830000000034</v>
          </cell>
          <cell r="T241">
            <v>181.49</v>
          </cell>
          <cell r="U241">
            <v>756.9102936999052</v>
          </cell>
          <cell r="V241">
            <v>6100</v>
          </cell>
          <cell r="W241">
            <v>1861</v>
          </cell>
          <cell r="X241">
            <v>0</v>
          </cell>
          <cell r="Y241">
            <v>0</v>
          </cell>
        </row>
        <row r="242">
          <cell r="D242">
            <v>10070065</v>
          </cell>
          <cell r="E242" t="str">
            <v>Gomukh Dina Chakla Vlc</v>
          </cell>
          <cell r="F242">
            <v>0</v>
          </cell>
          <cell r="G242" t="str">
            <v>vlc</v>
          </cell>
          <cell r="H242" t="str">
            <v>Indirect</v>
          </cell>
          <cell r="I242">
            <v>1007</v>
          </cell>
          <cell r="J242" t="str">
            <v>Araria</v>
          </cell>
          <cell r="K242" t="str">
            <v>Old</v>
          </cell>
          <cell r="L242">
            <v>45769</v>
          </cell>
          <cell r="M242">
            <v>701</v>
          </cell>
          <cell r="N242">
            <v>25840.67</v>
          </cell>
          <cell r="O242">
            <v>525.75</v>
          </cell>
          <cell r="P242">
            <v>665.94999999999993</v>
          </cell>
          <cell r="Q242">
            <v>0</v>
          </cell>
          <cell r="R242">
            <v>775.22009999999989</v>
          </cell>
          <cell r="S242">
            <v>109.27009999999996</v>
          </cell>
          <cell r="T242">
            <v>70.100000000000009</v>
          </cell>
          <cell r="U242">
            <v>1121.4356992053276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D243">
            <v>10070074</v>
          </cell>
          <cell r="E243" t="str">
            <v>Gomukh Gogri VLC</v>
          </cell>
          <cell r="F243">
            <v>0</v>
          </cell>
          <cell r="G243" t="str">
            <v>vlc</v>
          </cell>
          <cell r="H243" t="str">
            <v>Indirect</v>
          </cell>
          <cell r="I243">
            <v>1007</v>
          </cell>
          <cell r="J243" t="str">
            <v>Araria</v>
          </cell>
          <cell r="K243" t="str">
            <v>Old</v>
          </cell>
          <cell r="L243">
            <v>45869</v>
          </cell>
          <cell r="M243">
            <v>223.2</v>
          </cell>
          <cell r="N243">
            <v>6870.06</v>
          </cell>
          <cell r="O243">
            <v>167.39999999999998</v>
          </cell>
          <cell r="P243">
            <v>212.04</v>
          </cell>
          <cell r="Q243">
            <v>0</v>
          </cell>
          <cell r="R243">
            <v>206.1018</v>
          </cell>
          <cell r="S243">
            <v>-5.9381999999999948</v>
          </cell>
          <cell r="T243">
            <v>22.32</v>
          </cell>
          <cell r="U243">
            <v>356.93413568904589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D244">
            <v>10070076</v>
          </cell>
          <cell r="E244" t="str">
            <v>Gomukh Sondiha Jay Prakash VLC</v>
          </cell>
          <cell r="F244">
            <v>0</v>
          </cell>
          <cell r="G244" t="str">
            <v>vlc</v>
          </cell>
          <cell r="H244" t="str">
            <v>Indirect</v>
          </cell>
          <cell r="I244">
            <v>1007</v>
          </cell>
          <cell r="J244" t="str">
            <v>Araria</v>
          </cell>
          <cell r="K244" t="str">
            <v>New</v>
          </cell>
          <cell r="L244">
            <v>45881</v>
          </cell>
          <cell r="M244">
            <v>1347</v>
          </cell>
          <cell r="N244">
            <v>48056.799999999996</v>
          </cell>
          <cell r="O244">
            <v>1010.25</v>
          </cell>
          <cell r="P244">
            <v>1279.6499999999999</v>
          </cell>
          <cell r="Q244">
            <v>0</v>
          </cell>
          <cell r="R244">
            <v>1441.7039999999997</v>
          </cell>
          <cell r="S244">
            <v>162.05399999999986</v>
          </cell>
          <cell r="T244">
            <v>134.70000000000002</v>
          </cell>
          <cell r="U244">
            <v>0</v>
          </cell>
          <cell r="V244">
            <v>2155</v>
          </cell>
          <cell r="W244">
            <v>0</v>
          </cell>
          <cell r="X244">
            <v>0</v>
          </cell>
          <cell r="Y244">
            <v>0</v>
          </cell>
        </row>
        <row r="245">
          <cell r="D245">
            <v>10080001</v>
          </cell>
          <cell r="E245" t="str">
            <v>Chak Punervas</v>
          </cell>
          <cell r="F245">
            <v>0</v>
          </cell>
          <cell r="G245" t="str">
            <v>vlc</v>
          </cell>
          <cell r="H245" t="str">
            <v>Indirect</v>
          </cell>
          <cell r="I245">
            <v>1011</v>
          </cell>
          <cell r="J245" t="str">
            <v>Sahibpur Kamal</v>
          </cell>
          <cell r="K245" t="str">
            <v>Old</v>
          </cell>
          <cell r="L245">
            <v>42996</v>
          </cell>
          <cell r="M245">
            <v>1740.9500000000003</v>
          </cell>
          <cell r="N245">
            <v>63559.850000000006</v>
          </cell>
          <cell r="O245">
            <v>1305.7125000000001</v>
          </cell>
          <cell r="P245">
            <v>1653.9025000000001</v>
          </cell>
          <cell r="Q245">
            <v>0</v>
          </cell>
          <cell r="R245">
            <v>1906.7955000000002</v>
          </cell>
          <cell r="S245">
            <v>252.89300000000003</v>
          </cell>
          <cell r="T245">
            <v>174.09500000000003</v>
          </cell>
          <cell r="U245">
            <v>780.80135049789772</v>
          </cell>
          <cell r="V245">
            <v>2005</v>
          </cell>
          <cell r="W245">
            <v>0</v>
          </cell>
          <cell r="X245">
            <v>0</v>
          </cell>
          <cell r="Y245">
            <v>0</v>
          </cell>
        </row>
        <row r="246">
          <cell r="D246">
            <v>10080002</v>
          </cell>
          <cell r="E246" t="str">
            <v>Labherchak</v>
          </cell>
          <cell r="F246">
            <v>0</v>
          </cell>
          <cell r="G246" t="str">
            <v>vlc</v>
          </cell>
          <cell r="H246" t="str">
            <v>Indirect</v>
          </cell>
          <cell r="I246">
            <v>1008</v>
          </cell>
          <cell r="J246" t="str">
            <v>Teghra</v>
          </cell>
          <cell r="K246" t="str">
            <v>Old</v>
          </cell>
          <cell r="L246">
            <v>42997</v>
          </cell>
          <cell r="M246">
            <v>1410.4999999999998</v>
          </cell>
          <cell r="N246">
            <v>52473.460000000006</v>
          </cell>
          <cell r="O246">
            <v>1057.8749999999998</v>
          </cell>
          <cell r="P246">
            <v>1339.9749999999997</v>
          </cell>
          <cell r="Q246">
            <v>0</v>
          </cell>
          <cell r="R246">
            <v>1574.2038000000002</v>
          </cell>
          <cell r="S246">
            <v>234.22880000000055</v>
          </cell>
          <cell r="T246">
            <v>141.04999999999998</v>
          </cell>
          <cell r="U246">
            <v>1029.9197761108371</v>
          </cell>
          <cell r="V246">
            <v>1227</v>
          </cell>
          <cell r="W246">
            <v>0</v>
          </cell>
          <cell r="X246">
            <v>0</v>
          </cell>
          <cell r="Y246">
            <v>0</v>
          </cell>
        </row>
        <row r="247">
          <cell r="D247">
            <v>10080003</v>
          </cell>
          <cell r="E247" t="str">
            <v>Paspura</v>
          </cell>
          <cell r="F247">
            <v>0</v>
          </cell>
          <cell r="G247" t="str">
            <v>vlc</v>
          </cell>
          <cell r="H247" t="str">
            <v>Indirect</v>
          </cell>
          <cell r="I247">
            <v>1008</v>
          </cell>
          <cell r="J247" t="str">
            <v>Teghra</v>
          </cell>
          <cell r="K247" t="str">
            <v>Old</v>
          </cell>
          <cell r="L247">
            <v>42999</v>
          </cell>
          <cell r="M247">
            <v>269.60000000000002</v>
          </cell>
          <cell r="N247">
            <v>10261.210000000001</v>
          </cell>
          <cell r="O247">
            <v>202.20000000000002</v>
          </cell>
          <cell r="P247">
            <v>256.12</v>
          </cell>
          <cell r="Q247">
            <v>0</v>
          </cell>
          <cell r="R247">
            <v>307.83629999999999</v>
          </cell>
          <cell r="S247">
            <v>51.71629999999999</v>
          </cell>
          <cell r="T247">
            <v>26.960000000000004</v>
          </cell>
          <cell r="U247">
            <v>431.79485793487652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D248">
            <v>10080004</v>
          </cell>
          <cell r="E248" t="str">
            <v>Gomukh Godhna</v>
          </cell>
          <cell r="F248">
            <v>0</v>
          </cell>
          <cell r="G248" t="str">
            <v>vlc</v>
          </cell>
          <cell r="H248" t="str">
            <v>Indirect</v>
          </cell>
          <cell r="I248">
            <v>1008</v>
          </cell>
          <cell r="J248" t="str">
            <v>Teghra</v>
          </cell>
          <cell r="K248" t="str">
            <v>Old</v>
          </cell>
          <cell r="L248">
            <v>43077</v>
          </cell>
          <cell r="M248">
            <v>327.39999999999998</v>
          </cell>
          <cell r="N248">
            <v>11780.380000000001</v>
          </cell>
          <cell r="O248">
            <v>245.54999999999998</v>
          </cell>
          <cell r="P248">
            <v>311.02999999999997</v>
          </cell>
          <cell r="Q248">
            <v>0</v>
          </cell>
          <cell r="R248">
            <v>353.41140000000001</v>
          </cell>
          <cell r="S248">
            <v>42.381400000000042</v>
          </cell>
          <cell r="T248">
            <v>32.74</v>
          </cell>
          <cell r="U248">
            <v>523.70224738264847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D249">
            <v>10080006</v>
          </cell>
          <cell r="E249" t="str">
            <v>Gomukh Sihma 2</v>
          </cell>
          <cell r="F249">
            <v>0</v>
          </cell>
          <cell r="G249" t="str">
            <v>vlc</v>
          </cell>
          <cell r="H249" t="str">
            <v>Indirect</v>
          </cell>
          <cell r="I249">
            <v>1008</v>
          </cell>
          <cell r="J249" t="str">
            <v>Teghra</v>
          </cell>
          <cell r="K249" t="str">
            <v>Old</v>
          </cell>
          <cell r="L249">
            <v>43407</v>
          </cell>
          <cell r="M249">
            <v>791.8</v>
          </cell>
          <cell r="N249">
            <v>31783.75</v>
          </cell>
          <cell r="O249">
            <v>593.84999999999991</v>
          </cell>
          <cell r="P249">
            <v>752.20999999999992</v>
          </cell>
          <cell r="Q249">
            <v>0</v>
          </cell>
          <cell r="R249">
            <v>953.51249999999993</v>
          </cell>
          <cell r="S249">
            <v>201.30250000000001</v>
          </cell>
          <cell r="T249">
            <v>79.180000000000007</v>
          </cell>
          <cell r="U249">
            <v>1266.8015438986663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D250">
            <v>10080007</v>
          </cell>
          <cell r="E250" t="str">
            <v>Gomukh ID Marsaito</v>
          </cell>
          <cell r="F250">
            <v>0</v>
          </cell>
          <cell r="G250" t="str">
            <v>vlc</v>
          </cell>
          <cell r="H250" t="str">
            <v>Indirect</v>
          </cell>
          <cell r="I250">
            <v>1008</v>
          </cell>
          <cell r="J250" t="str">
            <v>Teghra</v>
          </cell>
          <cell r="K250" t="str">
            <v>Old</v>
          </cell>
          <cell r="L250">
            <v>43785</v>
          </cell>
          <cell r="M250">
            <v>2634.3</v>
          </cell>
          <cell r="N250">
            <v>95470.98000000001</v>
          </cell>
          <cell r="O250">
            <v>1975.7250000000001</v>
          </cell>
          <cell r="P250">
            <v>2502.585</v>
          </cell>
          <cell r="Q250">
            <v>0</v>
          </cell>
          <cell r="R250">
            <v>2864.1294000000003</v>
          </cell>
          <cell r="S250">
            <v>361.54440000000022</v>
          </cell>
          <cell r="T250">
            <v>263.43</v>
          </cell>
          <cell r="U250">
            <v>220.75191038449819</v>
          </cell>
          <cell r="V250">
            <v>3994</v>
          </cell>
          <cell r="W250">
            <v>0</v>
          </cell>
          <cell r="X250">
            <v>0</v>
          </cell>
          <cell r="Y250">
            <v>0</v>
          </cell>
        </row>
        <row r="251">
          <cell r="D251">
            <v>10080013</v>
          </cell>
          <cell r="E251" t="str">
            <v>Gomukh ID Akashpur</v>
          </cell>
          <cell r="F251">
            <v>0</v>
          </cell>
          <cell r="G251" t="str">
            <v>vlc</v>
          </cell>
          <cell r="H251" t="str">
            <v>Indirect</v>
          </cell>
          <cell r="I251">
            <v>1008</v>
          </cell>
          <cell r="J251" t="str">
            <v>Teghra</v>
          </cell>
          <cell r="K251" t="str">
            <v>Old</v>
          </cell>
          <cell r="L251">
            <v>44373</v>
          </cell>
          <cell r="M251">
            <v>63.95</v>
          </cell>
          <cell r="N251">
            <v>2091</v>
          </cell>
          <cell r="O251">
            <v>47.962500000000006</v>
          </cell>
          <cell r="P251">
            <v>60.752499999999998</v>
          </cell>
          <cell r="Q251">
            <v>0</v>
          </cell>
          <cell r="R251">
            <v>62.73</v>
          </cell>
          <cell r="S251">
            <v>1.9774999999999991</v>
          </cell>
          <cell r="T251">
            <v>6.3950000000000005</v>
          </cell>
          <cell r="U251">
            <v>101.94387802971062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</row>
        <row r="252">
          <cell r="D252">
            <v>10080014</v>
          </cell>
          <cell r="E252" t="str">
            <v>Gomukh ID Rachiyahi</v>
          </cell>
          <cell r="F252">
            <v>0</v>
          </cell>
          <cell r="G252" t="str">
            <v>vlc</v>
          </cell>
          <cell r="H252" t="str">
            <v>Indirect</v>
          </cell>
          <cell r="I252">
            <v>1008</v>
          </cell>
          <cell r="J252" t="str">
            <v>Teghra</v>
          </cell>
          <cell r="K252" t="str">
            <v>Old</v>
          </cell>
          <cell r="L252">
            <v>44375</v>
          </cell>
          <cell r="M252">
            <v>258.39999999999998</v>
          </cell>
          <cell r="N252">
            <v>10309.02</v>
          </cell>
          <cell r="O252">
            <v>193.79999999999998</v>
          </cell>
          <cell r="P252">
            <v>245.47999999999996</v>
          </cell>
          <cell r="Q252">
            <v>0</v>
          </cell>
          <cell r="R252">
            <v>309.2706</v>
          </cell>
          <cell r="S252">
            <v>63.79060000000004</v>
          </cell>
          <cell r="T252">
            <v>25.84</v>
          </cell>
          <cell r="U252">
            <v>413.59931339084778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D253">
            <v>10080015</v>
          </cell>
          <cell r="E253" t="str">
            <v>GomukhBariyahi Chanan</v>
          </cell>
          <cell r="F253">
            <v>0</v>
          </cell>
          <cell r="G253" t="str">
            <v>MPG</v>
          </cell>
          <cell r="H253" t="str">
            <v>Direct</v>
          </cell>
          <cell r="I253">
            <v>1008</v>
          </cell>
          <cell r="J253" t="str">
            <v>Teghra</v>
          </cell>
          <cell r="K253" t="str">
            <v>Old</v>
          </cell>
          <cell r="L253">
            <v>44693</v>
          </cell>
          <cell r="M253">
            <v>2379.4499999999998</v>
          </cell>
          <cell r="N253">
            <v>85098.18</v>
          </cell>
          <cell r="O253">
            <v>1784.5874999999999</v>
          </cell>
          <cell r="P253">
            <v>2260.4774999999995</v>
          </cell>
          <cell r="Q253">
            <v>226.95236113200002</v>
          </cell>
          <cell r="R253">
            <v>2552.9453999999996</v>
          </cell>
          <cell r="S253">
            <v>292.4679000000001</v>
          </cell>
          <cell r="T253">
            <v>237.94499999999999</v>
          </cell>
          <cell r="U253">
            <v>412.72746701589313</v>
          </cell>
          <cell r="V253">
            <v>3621</v>
          </cell>
          <cell r="W253">
            <v>0</v>
          </cell>
          <cell r="X253">
            <v>0</v>
          </cell>
          <cell r="Y253">
            <v>0</v>
          </cell>
        </row>
        <row r="254">
          <cell r="D254">
            <v>10080016</v>
          </cell>
          <cell r="E254" t="str">
            <v>GomukhGehuni</v>
          </cell>
          <cell r="F254">
            <v>0</v>
          </cell>
          <cell r="G254" t="str">
            <v>MPG</v>
          </cell>
          <cell r="H254" t="str">
            <v>Direct</v>
          </cell>
          <cell r="I254">
            <v>1008</v>
          </cell>
          <cell r="J254" t="str">
            <v>Teghra</v>
          </cell>
          <cell r="K254" t="str">
            <v>Old</v>
          </cell>
          <cell r="L254">
            <v>44694</v>
          </cell>
          <cell r="M254">
            <v>624.40000000000009</v>
          </cell>
          <cell r="N254">
            <v>24881.480000000003</v>
          </cell>
          <cell r="O254">
            <v>468.30000000000007</v>
          </cell>
          <cell r="P254">
            <v>593.18000000000006</v>
          </cell>
          <cell r="Q254">
            <v>342.68355841200002</v>
          </cell>
          <cell r="R254">
            <v>746.44440000000009</v>
          </cell>
          <cell r="S254">
            <v>153.26440000000002</v>
          </cell>
          <cell r="T254">
            <v>62.440000000000012</v>
          </cell>
          <cell r="U254">
            <v>1341.8558000345611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</row>
        <row r="255">
          <cell r="D255">
            <v>10080020</v>
          </cell>
          <cell r="E255" t="str">
            <v>Gomukh Handalpur</v>
          </cell>
          <cell r="F255">
            <v>0</v>
          </cell>
          <cell r="G255" t="str">
            <v>MPG</v>
          </cell>
          <cell r="H255" t="str">
            <v>Direct</v>
          </cell>
          <cell r="I255">
            <v>1008</v>
          </cell>
          <cell r="J255" t="str">
            <v>Teghra</v>
          </cell>
          <cell r="K255" t="str">
            <v>Old</v>
          </cell>
          <cell r="L255">
            <v>44967</v>
          </cell>
          <cell r="M255">
            <v>34.700000000000003</v>
          </cell>
          <cell r="N255">
            <v>1398.47</v>
          </cell>
          <cell r="O255">
            <v>26.025000000000002</v>
          </cell>
          <cell r="P255">
            <v>32.965000000000003</v>
          </cell>
          <cell r="Q255">
            <v>0</v>
          </cell>
          <cell r="R255">
            <v>41.954099999999997</v>
          </cell>
          <cell r="S255">
            <v>8.9890999999999934</v>
          </cell>
          <cell r="T255">
            <v>3.4700000000000006</v>
          </cell>
          <cell r="U255">
            <v>55.254807492795294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D256">
            <v>10080022</v>
          </cell>
          <cell r="E256" t="str">
            <v>Gomukh Bakhatpur</v>
          </cell>
          <cell r="F256">
            <v>0</v>
          </cell>
          <cell r="G256" t="str">
            <v>MPG</v>
          </cell>
          <cell r="H256" t="str">
            <v>Direct</v>
          </cell>
          <cell r="I256">
            <v>1008</v>
          </cell>
          <cell r="J256" t="str">
            <v>Teghra</v>
          </cell>
          <cell r="K256" t="str">
            <v>Old</v>
          </cell>
          <cell r="L256">
            <v>44979</v>
          </cell>
          <cell r="M256">
            <v>693.84999999999991</v>
          </cell>
          <cell r="N256">
            <v>28699.17</v>
          </cell>
          <cell r="O256">
            <v>520.38749999999993</v>
          </cell>
          <cell r="P256">
            <v>659.15749999999991</v>
          </cell>
          <cell r="Q256">
            <v>771.87461996399998</v>
          </cell>
          <cell r="R256">
            <v>860.97509999999988</v>
          </cell>
          <cell r="S256">
            <v>201.81759999999997</v>
          </cell>
          <cell r="T256">
            <v>69.384999999999991</v>
          </cell>
          <cell r="U256">
            <v>1744.0598684497638</v>
          </cell>
          <cell r="V256">
            <v>138</v>
          </cell>
          <cell r="W256">
            <v>138</v>
          </cell>
          <cell r="X256">
            <v>0</v>
          </cell>
          <cell r="Y256">
            <v>0</v>
          </cell>
        </row>
        <row r="257">
          <cell r="D257">
            <v>10080024</v>
          </cell>
          <cell r="E257" t="str">
            <v>Ananaya Dairy</v>
          </cell>
          <cell r="F257">
            <v>0</v>
          </cell>
          <cell r="G257" t="str">
            <v>vlc</v>
          </cell>
          <cell r="H257" t="str">
            <v>Indirect</v>
          </cell>
          <cell r="I257">
            <v>1008</v>
          </cell>
          <cell r="J257" t="str">
            <v>Teghra</v>
          </cell>
          <cell r="K257" t="str">
            <v>Old</v>
          </cell>
          <cell r="L257">
            <v>45001</v>
          </cell>
          <cell r="M257">
            <v>13824.7</v>
          </cell>
          <cell r="N257">
            <v>541926.69999999995</v>
          </cell>
          <cell r="O257">
            <v>10368.525000000001</v>
          </cell>
          <cell r="P257">
            <v>13133.465</v>
          </cell>
          <cell r="Q257">
            <v>0</v>
          </cell>
          <cell r="R257">
            <v>16257.800999999998</v>
          </cell>
          <cell r="S257">
            <v>3124.3359999999975</v>
          </cell>
          <cell r="T257">
            <v>1382.4700000000003</v>
          </cell>
          <cell r="U257">
            <v>0</v>
          </cell>
          <cell r="V257">
            <v>22120</v>
          </cell>
          <cell r="W257">
            <v>0</v>
          </cell>
          <cell r="X257">
            <v>0</v>
          </cell>
          <cell r="Y257">
            <v>0</v>
          </cell>
        </row>
        <row r="258">
          <cell r="D258">
            <v>10080025</v>
          </cell>
          <cell r="E258" t="str">
            <v>Gomukh Bishanpur</v>
          </cell>
          <cell r="F258">
            <v>0</v>
          </cell>
          <cell r="G258" t="str">
            <v>MPG</v>
          </cell>
          <cell r="H258" t="str">
            <v>Direct</v>
          </cell>
          <cell r="I258">
            <v>1008</v>
          </cell>
          <cell r="J258" t="str">
            <v>Teghra</v>
          </cell>
          <cell r="K258" t="str">
            <v>Old</v>
          </cell>
          <cell r="L258">
            <v>45003</v>
          </cell>
          <cell r="M258">
            <v>2886.4500000000003</v>
          </cell>
          <cell r="N258">
            <v>112917.53000000001</v>
          </cell>
          <cell r="O258">
            <v>2164.8375000000001</v>
          </cell>
          <cell r="P258">
            <v>2742.1275000000001</v>
          </cell>
          <cell r="Q258">
            <v>1871.69657505804</v>
          </cell>
          <cell r="R258">
            <v>3387.5259000000001</v>
          </cell>
          <cell r="S258">
            <v>645.39840000000004</v>
          </cell>
          <cell r="T258">
            <v>288.64500000000004</v>
          </cell>
          <cell r="U258">
            <v>0</v>
          </cell>
          <cell r="V258">
            <v>6490</v>
          </cell>
          <cell r="W258">
            <v>2258.3506000000002</v>
          </cell>
          <cell r="X258">
            <v>0</v>
          </cell>
          <cell r="Y258">
            <v>0</v>
          </cell>
        </row>
        <row r="259">
          <cell r="D259">
            <v>10080032</v>
          </cell>
          <cell r="E259" t="str">
            <v>GOMUKH BEGAMSARAI</v>
          </cell>
          <cell r="F259">
            <v>0</v>
          </cell>
          <cell r="G259" t="str">
            <v>MPG</v>
          </cell>
          <cell r="H259" t="str">
            <v>Direct</v>
          </cell>
          <cell r="I259">
            <v>1008</v>
          </cell>
          <cell r="J259" t="str">
            <v>Teghra</v>
          </cell>
          <cell r="K259" t="str">
            <v>Old</v>
          </cell>
          <cell r="L259">
            <v>45148</v>
          </cell>
          <cell r="M259">
            <v>2218.3000000000002</v>
          </cell>
          <cell r="N259">
            <v>91330.489999999991</v>
          </cell>
          <cell r="O259">
            <v>1663.7250000000001</v>
          </cell>
          <cell r="P259">
            <v>2107.3850000000002</v>
          </cell>
          <cell r="Q259">
            <v>639.15435417999993</v>
          </cell>
          <cell r="R259">
            <v>2739.9146999999998</v>
          </cell>
          <cell r="S259">
            <v>632.52969999999959</v>
          </cell>
          <cell r="T259">
            <v>221.83000000000004</v>
          </cell>
          <cell r="U259">
            <v>476.46968167038131</v>
          </cell>
          <cell r="V259">
            <v>3712</v>
          </cell>
          <cell r="W259">
            <v>1861</v>
          </cell>
          <cell r="X259">
            <v>0</v>
          </cell>
          <cell r="Y259">
            <v>0</v>
          </cell>
        </row>
        <row r="260">
          <cell r="D260">
            <v>10080039</v>
          </cell>
          <cell r="E260" t="str">
            <v>Hasanpur - Abhijeet</v>
          </cell>
          <cell r="F260">
            <v>0</v>
          </cell>
          <cell r="G260" t="str">
            <v>vlc</v>
          </cell>
          <cell r="H260" t="str">
            <v>Indirect</v>
          </cell>
          <cell r="I260">
            <v>1008</v>
          </cell>
          <cell r="J260" t="str">
            <v>Teghra</v>
          </cell>
          <cell r="K260" t="str">
            <v>Old</v>
          </cell>
          <cell r="L260">
            <v>45115</v>
          </cell>
          <cell r="M260">
            <v>438.09999999999997</v>
          </cell>
          <cell r="N260">
            <v>16068.619999999999</v>
          </cell>
          <cell r="O260">
            <v>328.57499999999999</v>
          </cell>
          <cell r="P260">
            <v>416.19499999999994</v>
          </cell>
          <cell r="Q260">
            <v>0</v>
          </cell>
          <cell r="R260">
            <v>482.05859999999996</v>
          </cell>
          <cell r="S260">
            <v>65.863600000000019</v>
          </cell>
          <cell r="T260">
            <v>43.81</v>
          </cell>
          <cell r="U260">
            <v>700.54297239968855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</row>
        <row r="261">
          <cell r="D261">
            <v>10080040</v>
          </cell>
          <cell r="E261" t="str">
            <v>Adharpur - Manish</v>
          </cell>
          <cell r="F261">
            <v>0</v>
          </cell>
          <cell r="G261" t="str">
            <v>vlc</v>
          </cell>
          <cell r="H261" t="str">
            <v>Indirect</v>
          </cell>
          <cell r="I261">
            <v>1008</v>
          </cell>
          <cell r="J261" t="str">
            <v>Teghra</v>
          </cell>
          <cell r="K261" t="str">
            <v>Old</v>
          </cell>
          <cell r="L261">
            <v>44379</v>
          </cell>
          <cell r="M261">
            <v>2138.9500000000003</v>
          </cell>
          <cell r="N261">
            <v>83323.5</v>
          </cell>
          <cell r="O261">
            <v>1604.2125000000001</v>
          </cell>
          <cell r="P261">
            <v>2032.0025000000001</v>
          </cell>
          <cell r="Q261">
            <v>0</v>
          </cell>
          <cell r="R261">
            <v>2499.7049999999999</v>
          </cell>
          <cell r="S261">
            <v>467.70249999999987</v>
          </cell>
          <cell r="T261">
            <v>213.89500000000004</v>
          </cell>
          <cell r="U261">
            <v>515.98071565867997</v>
          </cell>
          <cell r="V261">
            <v>2906</v>
          </cell>
          <cell r="W261">
            <v>0</v>
          </cell>
          <cell r="X261">
            <v>0</v>
          </cell>
          <cell r="Y261">
            <v>0</v>
          </cell>
        </row>
        <row r="262">
          <cell r="D262">
            <v>10080041</v>
          </cell>
          <cell r="E262" t="str">
            <v>Rani - Surender</v>
          </cell>
          <cell r="F262">
            <v>0</v>
          </cell>
          <cell r="G262" t="str">
            <v>vlc</v>
          </cell>
          <cell r="H262" t="str">
            <v>Indirect</v>
          </cell>
          <cell r="I262">
            <v>1008</v>
          </cell>
          <cell r="J262" t="str">
            <v>Teghra</v>
          </cell>
          <cell r="K262" t="str">
            <v>Old</v>
          </cell>
          <cell r="L262">
            <v>45126</v>
          </cell>
          <cell r="M262">
            <v>859.45</v>
          </cell>
          <cell r="N262">
            <v>34238.250000000007</v>
          </cell>
          <cell r="O262">
            <v>644.58750000000009</v>
          </cell>
          <cell r="P262">
            <v>816.47749999999996</v>
          </cell>
          <cell r="Q262">
            <v>0</v>
          </cell>
          <cell r="R262">
            <v>1027.1475000000003</v>
          </cell>
          <cell r="S262">
            <v>210.6700000000003</v>
          </cell>
          <cell r="T262">
            <v>85.945000000000007</v>
          </cell>
          <cell r="U262">
            <v>1375.2568072102474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D263">
            <v>10080042</v>
          </cell>
          <cell r="E263" t="str">
            <v>Barauni - Ramnandan</v>
          </cell>
          <cell r="F263">
            <v>0</v>
          </cell>
          <cell r="G263" t="str">
            <v>vlc</v>
          </cell>
          <cell r="H263" t="str">
            <v>Indirect</v>
          </cell>
          <cell r="I263">
            <v>1008</v>
          </cell>
          <cell r="J263" t="str">
            <v>Teghra</v>
          </cell>
          <cell r="K263" t="str">
            <v>Old</v>
          </cell>
          <cell r="L263">
            <v>45156</v>
          </cell>
          <cell r="M263">
            <v>1397.8</v>
          </cell>
          <cell r="N263">
            <v>63599.709999999992</v>
          </cell>
          <cell r="O263">
            <v>1048.3499999999999</v>
          </cell>
          <cell r="P263">
            <v>1327.9099999999999</v>
          </cell>
          <cell r="Q263">
            <v>0</v>
          </cell>
          <cell r="R263">
            <v>1907.9912999999997</v>
          </cell>
          <cell r="S263">
            <v>580.08129999999983</v>
          </cell>
          <cell r="T263">
            <v>139.78</v>
          </cell>
          <cell r="U263">
            <v>1256.9282025899197</v>
          </cell>
          <cell r="V263">
            <v>980</v>
          </cell>
          <cell r="W263">
            <v>0</v>
          </cell>
          <cell r="X263">
            <v>0</v>
          </cell>
          <cell r="Y263">
            <v>0</v>
          </cell>
        </row>
        <row r="264">
          <cell r="D264">
            <v>10080043</v>
          </cell>
          <cell r="E264" t="str">
            <v>Gangaprasad - Prashant</v>
          </cell>
          <cell r="F264">
            <v>0</v>
          </cell>
          <cell r="G264" t="str">
            <v>vlc</v>
          </cell>
          <cell r="H264" t="str">
            <v>Indirect</v>
          </cell>
          <cell r="I264">
            <v>1008</v>
          </cell>
          <cell r="J264" t="str">
            <v>Teghra</v>
          </cell>
          <cell r="K264" t="str">
            <v>Old</v>
          </cell>
          <cell r="L264">
            <v>45111</v>
          </cell>
          <cell r="M264">
            <v>482.20000000000005</v>
          </cell>
          <cell r="N264">
            <v>17612.39</v>
          </cell>
          <cell r="O264">
            <v>361.65000000000003</v>
          </cell>
          <cell r="P264">
            <v>458.09000000000003</v>
          </cell>
          <cell r="Q264">
            <v>0</v>
          </cell>
          <cell r="R264">
            <v>528.37169999999992</v>
          </cell>
          <cell r="S264">
            <v>70.281699999999887</v>
          </cell>
          <cell r="T264">
            <v>48.220000000000006</v>
          </cell>
          <cell r="U264">
            <v>771.95196537098218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</row>
        <row r="265">
          <cell r="D265">
            <v>10080048</v>
          </cell>
          <cell r="E265" t="str">
            <v>GOMUKH RANI 3</v>
          </cell>
          <cell r="F265">
            <v>0</v>
          </cell>
          <cell r="G265" t="str">
            <v>MPG</v>
          </cell>
          <cell r="H265" t="str">
            <v>Direct</v>
          </cell>
          <cell r="I265">
            <v>1008</v>
          </cell>
          <cell r="J265" t="str">
            <v>Teghra</v>
          </cell>
          <cell r="K265" t="str">
            <v>Old</v>
          </cell>
          <cell r="L265">
            <v>45264</v>
          </cell>
          <cell r="M265">
            <v>1518.25</v>
          </cell>
          <cell r="N265">
            <v>75440.539999999994</v>
          </cell>
          <cell r="O265">
            <v>1138.6875</v>
          </cell>
          <cell r="P265">
            <v>1442.3374999999999</v>
          </cell>
          <cell r="Q265">
            <v>389.78113900660998</v>
          </cell>
          <cell r="R265">
            <v>2263.2161999999998</v>
          </cell>
          <cell r="S265">
            <v>820.87869999999998</v>
          </cell>
          <cell r="T265">
            <v>151.82500000000002</v>
          </cell>
          <cell r="U265">
            <v>1275.7865094747187</v>
          </cell>
          <cell r="V265">
            <v>1543</v>
          </cell>
          <cell r="W265">
            <v>1543</v>
          </cell>
          <cell r="X265">
            <v>0</v>
          </cell>
          <cell r="Y265">
            <v>0</v>
          </cell>
        </row>
        <row r="266">
          <cell r="D266">
            <v>10080051</v>
          </cell>
          <cell r="E266" t="str">
            <v>Gomukh Ramchandarpur</v>
          </cell>
          <cell r="F266">
            <v>0</v>
          </cell>
          <cell r="G266" t="str">
            <v>MPG</v>
          </cell>
          <cell r="H266" t="str">
            <v>Direct</v>
          </cell>
          <cell r="I266">
            <v>1008</v>
          </cell>
          <cell r="J266" t="str">
            <v>Teghra</v>
          </cell>
          <cell r="K266" t="str">
            <v>Old</v>
          </cell>
          <cell r="L266">
            <v>45235</v>
          </cell>
          <cell r="M266">
            <v>790.75</v>
          </cell>
          <cell r="N266">
            <v>30708.729999999996</v>
          </cell>
          <cell r="O266">
            <v>593.0625</v>
          </cell>
          <cell r="P266">
            <v>751.21249999999998</v>
          </cell>
          <cell r="Q266">
            <v>545.04425788000003</v>
          </cell>
          <cell r="R266">
            <v>921.26189999999986</v>
          </cell>
          <cell r="S266">
            <v>170.04939999999988</v>
          </cell>
          <cell r="T266">
            <v>79.075000000000003</v>
          </cell>
          <cell r="U266">
            <v>1560.781802027348</v>
          </cell>
          <cell r="V266">
            <v>249</v>
          </cell>
          <cell r="W266">
            <v>249</v>
          </cell>
          <cell r="X266">
            <v>0</v>
          </cell>
          <cell r="Y266">
            <v>0</v>
          </cell>
        </row>
        <row r="267">
          <cell r="D267">
            <v>10080052</v>
          </cell>
          <cell r="E267" t="str">
            <v>GOMUKH NONPUR</v>
          </cell>
          <cell r="F267">
            <v>0</v>
          </cell>
          <cell r="G267" t="str">
            <v>MPG</v>
          </cell>
          <cell r="H267" t="str">
            <v>Direct</v>
          </cell>
          <cell r="I267">
            <v>1008</v>
          </cell>
          <cell r="J267" t="str">
            <v>Teghra</v>
          </cell>
          <cell r="K267" t="str">
            <v>Old</v>
          </cell>
          <cell r="L267">
            <v>45268</v>
          </cell>
          <cell r="M267">
            <v>660.25</v>
          </cell>
          <cell r="N267">
            <v>26095.699999999997</v>
          </cell>
          <cell r="O267">
            <v>495.1875</v>
          </cell>
          <cell r="P267">
            <v>627.23749999999995</v>
          </cell>
          <cell r="Q267">
            <v>138.57746849124999</v>
          </cell>
          <cell r="R267">
            <v>782.87099999999987</v>
          </cell>
          <cell r="S267">
            <v>155.63349999999991</v>
          </cell>
          <cell r="T267">
            <v>66.025000000000006</v>
          </cell>
          <cell r="U267">
            <v>1195.0127618813876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D268">
            <v>10080053</v>
          </cell>
          <cell r="E268" t="str">
            <v>GOMUKH FATEHA</v>
          </cell>
          <cell r="F268">
            <v>0</v>
          </cell>
          <cell r="G268" t="str">
            <v>MPG</v>
          </cell>
          <cell r="H268" t="str">
            <v>Direct</v>
          </cell>
          <cell r="I268">
            <v>1008</v>
          </cell>
          <cell r="J268" t="str">
            <v>Teghra</v>
          </cell>
          <cell r="K268" t="str">
            <v>Old</v>
          </cell>
          <cell r="L268">
            <v>45287</v>
          </cell>
          <cell r="M268">
            <v>1721.6</v>
          </cell>
          <cell r="N268">
            <v>60603.78</v>
          </cell>
          <cell r="O268">
            <v>1291.1999999999998</v>
          </cell>
          <cell r="P268">
            <v>1635.5199999999998</v>
          </cell>
          <cell r="Q268">
            <v>0</v>
          </cell>
          <cell r="R268">
            <v>1818.1134</v>
          </cell>
          <cell r="S268">
            <v>182.5934000000002</v>
          </cell>
          <cell r="T268">
            <v>172.16</v>
          </cell>
          <cell r="U268">
            <v>758.72736765463355</v>
          </cell>
          <cell r="V268">
            <v>1996</v>
          </cell>
          <cell r="W268">
            <v>1861</v>
          </cell>
          <cell r="X268">
            <v>0</v>
          </cell>
          <cell r="Y268">
            <v>0</v>
          </cell>
        </row>
        <row r="269">
          <cell r="D269">
            <v>10080054</v>
          </cell>
          <cell r="E269" t="str">
            <v>Bablu Singh</v>
          </cell>
          <cell r="F269">
            <v>0</v>
          </cell>
          <cell r="G269" t="str">
            <v>vlc</v>
          </cell>
          <cell r="H269" t="str">
            <v>Indirect</v>
          </cell>
          <cell r="I269">
            <v>1008</v>
          </cell>
          <cell r="J269" t="str">
            <v>Teghra</v>
          </cell>
          <cell r="K269" t="str">
            <v>Old</v>
          </cell>
          <cell r="L269">
            <v>45257</v>
          </cell>
          <cell r="M269">
            <v>1197.6500000000001</v>
          </cell>
          <cell r="N269">
            <v>42792.729999999996</v>
          </cell>
          <cell r="O269">
            <v>898.23750000000007</v>
          </cell>
          <cell r="P269">
            <v>1137.7674999999999</v>
          </cell>
          <cell r="Q269">
            <v>0</v>
          </cell>
          <cell r="R269">
            <v>1283.7818999999997</v>
          </cell>
          <cell r="S269">
            <v>146.0143999999998</v>
          </cell>
          <cell r="T269">
            <v>119.76500000000001</v>
          </cell>
          <cell r="U269">
            <v>1153.6320942944178</v>
          </cell>
          <cell r="V269">
            <v>763</v>
          </cell>
          <cell r="W269">
            <v>0</v>
          </cell>
          <cell r="X269">
            <v>0</v>
          </cell>
          <cell r="Y269">
            <v>0</v>
          </cell>
        </row>
        <row r="270">
          <cell r="D270">
            <v>10080055</v>
          </cell>
          <cell r="E270" t="str">
            <v>Gomukh Rani                                                                                         </v>
          </cell>
          <cell r="F270">
            <v>0</v>
          </cell>
          <cell r="G270" t="str">
            <v>MPG</v>
          </cell>
          <cell r="H270" t="str">
            <v>Direct</v>
          </cell>
          <cell r="I270">
            <v>1008</v>
          </cell>
          <cell r="J270" t="str">
            <v>Teghra</v>
          </cell>
          <cell r="K270" t="str">
            <v>Old</v>
          </cell>
          <cell r="L270">
            <v>45205</v>
          </cell>
          <cell r="M270">
            <v>877.95</v>
          </cell>
          <cell r="N270">
            <v>36053.86</v>
          </cell>
          <cell r="O270">
            <v>658.46250000000009</v>
          </cell>
          <cell r="P270">
            <v>834.05250000000001</v>
          </cell>
          <cell r="Q270">
            <v>0</v>
          </cell>
          <cell r="R270">
            <v>1081.6158</v>
          </cell>
          <cell r="S270">
            <v>247.56330000000003</v>
          </cell>
          <cell r="T270">
            <v>87.795000000000016</v>
          </cell>
          <cell r="U270">
            <v>1404.2683871956926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D271">
            <v>10080062</v>
          </cell>
          <cell r="E271" t="str">
            <v>GOMUKH SIBUTOL 2</v>
          </cell>
          <cell r="F271">
            <v>0</v>
          </cell>
          <cell r="G271" t="str">
            <v>MPG</v>
          </cell>
          <cell r="H271" t="str">
            <v>Direct</v>
          </cell>
          <cell r="I271">
            <v>1008</v>
          </cell>
          <cell r="J271" t="str">
            <v>Teghra</v>
          </cell>
          <cell r="K271" t="str">
            <v>Old</v>
          </cell>
          <cell r="L271">
            <v>45323</v>
          </cell>
          <cell r="M271">
            <v>787.55</v>
          </cell>
          <cell r="N271">
            <v>34863.800000000003</v>
          </cell>
          <cell r="O271">
            <v>590.66249999999991</v>
          </cell>
          <cell r="P271">
            <v>748.1724999999999</v>
          </cell>
          <cell r="Q271">
            <v>0</v>
          </cell>
          <cell r="R271">
            <v>1045.914</v>
          </cell>
          <cell r="S271">
            <v>297.74150000000009</v>
          </cell>
          <cell r="T271">
            <v>78.754999999999995</v>
          </cell>
          <cell r="U271">
            <v>1259.830560032854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>
            <v>10080065</v>
          </cell>
          <cell r="E272" t="str">
            <v>GOMUKH HADIPUR</v>
          </cell>
          <cell r="F272">
            <v>0</v>
          </cell>
          <cell r="G272" t="str">
            <v>MPG</v>
          </cell>
          <cell r="H272" t="str">
            <v>Direct</v>
          </cell>
          <cell r="I272">
            <v>1008</v>
          </cell>
          <cell r="J272" t="str">
            <v>Teghra</v>
          </cell>
          <cell r="K272" t="str">
            <v>Old</v>
          </cell>
          <cell r="L272">
            <v>45323</v>
          </cell>
          <cell r="M272">
            <v>343.25000000000006</v>
          </cell>
          <cell r="N272">
            <v>13636.24</v>
          </cell>
          <cell r="O272">
            <v>257.43750000000006</v>
          </cell>
          <cell r="P272">
            <v>326.08750000000003</v>
          </cell>
          <cell r="Q272">
            <v>49.295925075687506</v>
          </cell>
          <cell r="R272">
            <v>409.0872</v>
          </cell>
          <cell r="S272">
            <v>82.999699999999962</v>
          </cell>
          <cell r="T272">
            <v>34.32500000000001</v>
          </cell>
          <cell r="U272">
            <v>598.83679978769055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D273">
            <v>10080067</v>
          </cell>
          <cell r="E273" t="str">
            <v>Gomukh Harichak</v>
          </cell>
          <cell r="F273">
            <v>0</v>
          </cell>
          <cell r="G273" t="str">
            <v>MPG</v>
          </cell>
          <cell r="H273" t="str">
            <v>Direct</v>
          </cell>
          <cell r="I273">
            <v>1008</v>
          </cell>
          <cell r="J273" t="str">
            <v>Teghra</v>
          </cell>
          <cell r="K273" t="str">
            <v>Old</v>
          </cell>
          <cell r="L273">
            <v>45323</v>
          </cell>
          <cell r="M273">
            <v>952.65000000000009</v>
          </cell>
          <cell r="N273">
            <v>35420.400000000001</v>
          </cell>
          <cell r="O273">
            <v>714.48750000000007</v>
          </cell>
          <cell r="P273">
            <v>905.01750000000004</v>
          </cell>
          <cell r="Q273">
            <v>0</v>
          </cell>
          <cell r="R273">
            <v>1062.6120000000001</v>
          </cell>
          <cell r="S273">
            <v>157.59450000000004</v>
          </cell>
          <cell r="T273">
            <v>95.265000000000015</v>
          </cell>
          <cell r="U273">
            <v>1372.1623597111416</v>
          </cell>
          <cell r="V273">
            <v>152</v>
          </cell>
          <cell r="W273">
            <v>152</v>
          </cell>
          <cell r="X273">
            <v>0</v>
          </cell>
          <cell r="Y273">
            <v>0</v>
          </cell>
        </row>
        <row r="274">
          <cell r="D274">
            <v>10080070</v>
          </cell>
          <cell r="E274" t="str">
            <v>GOMUKH MARANCHI</v>
          </cell>
          <cell r="F274">
            <v>0</v>
          </cell>
          <cell r="G274" t="str">
            <v>MPG</v>
          </cell>
          <cell r="H274" t="str">
            <v>Direct</v>
          </cell>
          <cell r="I274">
            <v>1008</v>
          </cell>
          <cell r="J274" t="str">
            <v>Teghra</v>
          </cell>
          <cell r="K274" t="str">
            <v>Old</v>
          </cell>
          <cell r="L274">
            <v>45513</v>
          </cell>
          <cell r="M274">
            <v>392.65000000000003</v>
          </cell>
          <cell r="N274">
            <v>15886.99</v>
          </cell>
          <cell r="O274">
            <v>294.48750000000001</v>
          </cell>
          <cell r="P274">
            <v>373.01750000000004</v>
          </cell>
          <cell r="Q274">
            <v>73.693232508000008</v>
          </cell>
          <cell r="R274">
            <v>476.60969999999998</v>
          </cell>
          <cell r="S274">
            <v>103.59219999999993</v>
          </cell>
          <cell r="T274">
            <v>39.265000000000008</v>
          </cell>
          <cell r="U274">
            <v>701.91546685307139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D275">
            <v>10080072</v>
          </cell>
          <cell r="E275" t="str">
            <v>GOMUKH CHIRANJIVIPUR</v>
          </cell>
          <cell r="F275">
            <v>0</v>
          </cell>
          <cell r="G275" t="str">
            <v>MPG</v>
          </cell>
          <cell r="H275" t="str">
            <v>Direct</v>
          </cell>
          <cell r="I275">
            <v>1008</v>
          </cell>
          <cell r="J275" t="str">
            <v>Teghra</v>
          </cell>
          <cell r="K275" t="str">
            <v>Old</v>
          </cell>
          <cell r="L275">
            <v>45480</v>
          </cell>
          <cell r="M275">
            <v>323.70000000000005</v>
          </cell>
          <cell r="N275">
            <v>10709.06</v>
          </cell>
          <cell r="O275">
            <v>242.77500000000003</v>
          </cell>
          <cell r="P275">
            <v>307.51500000000004</v>
          </cell>
          <cell r="Q275">
            <v>673.75634522999997</v>
          </cell>
          <cell r="R275">
            <v>321.27179999999998</v>
          </cell>
          <cell r="S275">
            <v>13.756799999999942</v>
          </cell>
          <cell r="T275">
            <v>32.370000000000005</v>
          </cell>
          <cell r="U275">
            <v>1192.136887269199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D276">
            <v>10080073</v>
          </cell>
          <cell r="E276" t="str">
            <v>PAWAN RAY</v>
          </cell>
          <cell r="F276">
            <v>0</v>
          </cell>
          <cell r="G276" t="str">
            <v>vlc</v>
          </cell>
          <cell r="H276" t="str">
            <v>Indirect</v>
          </cell>
          <cell r="I276">
            <v>1008</v>
          </cell>
          <cell r="J276" t="str">
            <v>Teghra</v>
          </cell>
          <cell r="K276" t="str">
            <v>Old</v>
          </cell>
          <cell r="L276">
            <v>45530</v>
          </cell>
          <cell r="M276">
            <v>6455.4</v>
          </cell>
          <cell r="N276">
            <v>253496.31</v>
          </cell>
          <cell r="O276">
            <v>4841.5499999999993</v>
          </cell>
          <cell r="P276">
            <v>6132.6299999999992</v>
          </cell>
          <cell r="Q276">
            <v>0</v>
          </cell>
          <cell r="R276">
            <v>7604.8892999999998</v>
          </cell>
          <cell r="S276">
            <v>1472.2593000000006</v>
          </cell>
          <cell r="T276">
            <v>645.54</v>
          </cell>
          <cell r="U276">
            <v>0</v>
          </cell>
          <cell r="V276">
            <v>10329</v>
          </cell>
          <cell r="W276">
            <v>0</v>
          </cell>
          <cell r="X276">
            <v>0</v>
          </cell>
          <cell r="Y276">
            <v>0</v>
          </cell>
        </row>
        <row r="277">
          <cell r="D277">
            <v>10080076</v>
          </cell>
          <cell r="E277" t="str">
            <v>RAJ BHARDWAJ</v>
          </cell>
          <cell r="F277">
            <v>0</v>
          </cell>
          <cell r="G277" t="str">
            <v>vlc</v>
          </cell>
          <cell r="H277" t="str">
            <v>Indirect</v>
          </cell>
          <cell r="I277">
            <v>1008</v>
          </cell>
          <cell r="J277" t="str">
            <v>Teghra</v>
          </cell>
          <cell r="K277" t="str">
            <v>Old</v>
          </cell>
          <cell r="L277">
            <v>45599</v>
          </cell>
          <cell r="M277">
            <v>331.95</v>
          </cell>
          <cell r="N277">
            <v>13096.419999999998</v>
          </cell>
          <cell r="O277">
            <v>248.96249999999998</v>
          </cell>
          <cell r="P277">
            <v>315.35249999999996</v>
          </cell>
          <cell r="Q277">
            <v>0</v>
          </cell>
          <cell r="R277">
            <v>392.89259999999996</v>
          </cell>
          <cell r="S277">
            <v>77.540099999999995</v>
          </cell>
          <cell r="T277">
            <v>33.195</v>
          </cell>
          <cell r="U277">
            <v>531.10255923721911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D278">
            <v>10080077</v>
          </cell>
          <cell r="E278" t="str">
            <v>Gomukh Amarpur</v>
          </cell>
          <cell r="F278">
            <v>0</v>
          </cell>
          <cell r="G278" t="str">
            <v>MPG</v>
          </cell>
          <cell r="H278" t="str">
            <v>Direct</v>
          </cell>
          <cell r="I278">
            <v>1008</v>
          </cell>
          <cell r="J278" t="str">
            <v>Teghra</v>
          </cell>
          <cell r="K278" t="str">
            <v>Old</v>
          </cell>
          <cell r="L278">
            <v>45614</v>
          </cell>
          <cell r="M278">
            <v>442.4</v>
          </cell>
          <cell r="N278">
            <v>19608.54</v>
          </cell>
          <cell r="O278">
            <v>331.79999999999995</v>
          </cell>
          <cell r="P278">
            <v>420.28</v>
          </cell>
          <cell r="Q278">
            <v>147.99938917944002</v>
          </cell>
          <cell r="R278">
            <v>588.25620000000004</v>
          </cell>
          <cell r="S278">
            <v>167.97620000000006</v>
          </cell>
          <cell r="T278">
            <v>44.24</v>
          </cell>
          <cell r="U278">
            <v>855.49151474125301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D279">
            <v>10080078</v>
          </cell>
          <cell r="E279" t="str">
            <v>Prashant Kumar</v>
          </cell>
          <cell r="F279">
            <v>0</v>
          </cell>
          <cell r="G279" t="str">
            <v>vlc</v>
          </cell>
          <cell r="H279" t="str">
            <v>Indirect</v>
          </cell>
          <cell r="I279">
            <v>1008</v>
          </cell>
          <cell r="J279" t="str">
            <v>Teghra</v>
          </cell>
          <cell r="K279" t="str">
            <v>Old</v>
          </cell>
          <cell r="L279">
            <v>45604</v>
          </cell>
          <cell r="M279">
            <v>474.65000000000003</v>
          </cell>
          <cell r="N279">
            <v>16966.890000000003</v>
          </cell>
          <cell r="O279">
            <v>355.98750000000001</v>
          </cell>
          <cell r="P279">
            <v>450.91750000000002</v>
          </cell>
          <cell r="Q279">
            <v>0</v>
          </cell>
          <cell r="R279">
            <v>509.00670000000008</v>
          </cell>
          <cell r="S279">
            <v>58.089200000000062</v>
          </cell>
          <cell r="T279">
            <v>47.465000000000003</v>
          </cell>
          <cell r="U279">
            <v>759.92421675304536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D280">
            <v>10080079</v>
          </cell>
          <cell r="E280" t="str">
            <v>Gomukh Barauni 3</v>
          </cell>
          <cell r="F280">
            <v>0</v>
          </cell>
          <cell r="G280" t="str">
            <v>MPG</v>
          </cell>
          <cell r="H280" t="str">
            <v>Direct</v>
          </cell>
          <cell r="I280">
            <v>1008</v>
          </cell>
          <cell r="J280" t="str">
            <v>Teghra</v>
          </cell>
          <cell r="K280" t="str">
            <v>Old</v>
          </cell>
          <cell r="L280">
            <v>45631</v>
          </cell>
          <cell r="M280">
            <v>248.84999999999997</v>
          </cell>
          <cell r="N280">
            <v>10574.199999999999</v>
          </cell>
          <cell r="O280">
            <v>186.63749999999999</v>
          </cell>
          <cell r="P280">
            <v>236.40749999999997</v>
          </cell>
          <cell r="Q280">
            <v>53.607333380000007</v>
          </cell>
          <cell r="R280">
            <v>317.22599999999994</v>
          </cell>
          <cell r="S280">
            <v>80.818499999999972</v>
          </cell>
          <cell r="T280">
            <v>24.884999999999998</v>
          </cell>
          <cell r="U280">
            <v>451.62274036541112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</row>
        <row r="281">
          <cell r="D281">
            <v>10080080</v>
          </cell>
          <cell r="E281" t="str">
            <v>CHANDAN YADAV</v>
          </cell>
          <cell r="F281">
            <v>0</v>
          </cell>
          <cell r="G281" t="str">
            <v>vlc</v>
          </cell>
          <cell r="H281" t="str">
            <v>Indirect</v>
          </cell>
          <cell r="I281">
            <v>1008</v>
          </cell>
          <cell r="J281" t="str">
            <v>Teghra</v>
          </cell>
          <cell r="K281" t="str">
            <v>Old</v>
          </cell>
          <cell r="L281">
            <v>45644</v>
          </cell>
          <cell r="M281">
            <v>470.4</v>
          </cell>
          <cell r="N281">
            <v>19150.03</v>
          </cell>
          <cell r="O281">
            <v>352.79999999999995</v>
          </cell>
          <cell r="P281">
            <v>446.87999999999994</v>
          </cell>
          <cell r="Q281">
            <v>0</v>
          </cell>
          <cell r="R281">
            <v>574.50089999999989</v>
          </cell>
          <cell r="S281">
            <v>127.62089999999995</v>
          </cell>
          <cell r="T281">
            <v>47.04</v>
          </cell>
          <cell r="U281">
            <v>752.98641528221765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</row>
        <row r="282">
          <cell r="D282">
            <v>10080082</v>
          </cell>
          <cell r="E282" t="str">
            <v>DINESH YADAV</v>
          </cell>
          <cell r="F282">
            <v>0</v>
          </cell>
          <cell r="G282" t="str">
            <v>vlc</v>
          </cell>
          <cell r="H282" t="str">
            <v>Indirect</v>
          </cell>
          <cell r="I282">
            <v>1008</v>
          </cell>
          <cell r="J282" t="str">
            <v>Teghra</v>
          </cell>
          <cell r="K282" t="str">
            <v>Old</v>
          </cell>
          <cell r="L282">
            <v>45644</v>
          </cell>
          <cell r="M282">
            <v>798.5</v>
          </cell>
          <cell r="N282">
            <v>30530.35</v>
          </cell>
          <cell r="O282">
            <v>598.875</v>
          </cell>
          <cell r="P282">
            <v>758.57499999999993</v>
          </cell>
          <cell r="Q282">
            <v>0</v>
          </cell>
          <cell r="R282">
            <v>915.91049999999996</v>
          </cell>
          <cell r="S282">
            <v>157.33550000000002</v>
          </cell>
          <cell r="T282">
            <v>79.850000000000009</v>
          </cell>
          <cell r="U282">
            <v>1277.6354901662692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</row>
        <row r="283">
          <cell r="D283">
            <v>10080083</v>
          </cell>
          <cell r="E283" t="str">
            <v>ANITA DEVI</v>
          </cell>
          <cell r="F283">
            <v>0</v>
          </cell>
          <cell r="G283" t="str">
            <v>vlc</v>
          </cell>
          <cell r="H283" t="str">
            <v>Indirect</v>
          </cell>
          <cell r="I283">
            <v>1008</v>
          </cell>
          <cell r="J283" t="str">
            <v>Teghra</v>
          </cell>
          <cell r="K283" t="str">
            <v>Old</v>
          </cell>
          <cell r="L283">
            <v>45643</v>
          </cell>
          <cell r="M283">
            <v>591.09999999999991</v>
          </cell>
          <cell r="N283">
            <v>23647.86</v>
          </cell>
          <cell r="O283">
            <v>443.32499999999993</v>
          </cell>
          <cell r="P283">
            <v>561.54499999999985</v>
          </cell>
          <cell r="Q283">
            <v>0</v>
          </cell>
          <cell r="R283">
            <v>709.43579999999997</v>
          </cell>
          <cell r="S283">
            <v>147.89080000000013</v>
          </cell>
          <cell r="T283">
            <v>59.109999999999992</v>
          </cell>
          <cell r="U283">
            <v>945.44598417640282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</row>
        <row r="284">
          <cell r="D284">
            <v>10080086</v>
          </cell>
          <cell r="E284" t="str">
            <v>GOMUKH FATEHA SALEMPUR</v>
          </cell>
          <cell r="F284">
            <v>0</v>
          </cell>
          <cell r="G284" t="str">
            <v>MPG</v>
          </cell>
          <cell r="H284" t="str">
            <v>Direct</v>
          </cell>
          <cell r="I284">
            <v>1008</v>
          </cell>
          <cell r="J284" t="str">
            <v>Teghra</v>
          </cell>
          <cell r="K284" t="str">
            <v>Old</v>
          </cell>
          <cell r="L284">
            <v>45716</v>
          </cell>
          <cell r="M284">
            <v>2067.65</v>
          </cell>
          <cell r="N284">
            <v>77944.51999999999</v>
          </cell>
          <cell r="O284">
            <v>1550.7375000000002</v>
          </cell>
          <cell r="P284">
            <v>1964.2674999999999</v>
          </cell>
          <cell r="Q284">
            <v>229.66316062000004</v>
          </cell>
          <cell r="R284">
            <v>2338.3355999999994</v>
          </cell>
          <cell r="S284">
            <v>374.0680999999995</v>
          </cell>
          <cell r="T284">
            <v>206.76500000000001</v>
          </cell>
          <cell r="U284">
            <v>551.99520621390388</v>
          </cell>
          <cell r="V284">
            <v>2986</v>
          </cell>
          <cell r="W284">
            <v>1861</v>
          </cell>
          <cell r="X284">
            <v>0</v>
          </cell>
          <cell r="Y284">
            <v>0</v>
          </cell>
        </row>
        <row r="285">
          <cell r="D285">
            <v>10080087</v>
          </cell>
          <cell r="E285" t="str">
            <v>GOMUKH GEHUNI 2</v>
          </cell>
          <cell r="F285">
            <v>0</v>
          </cell>
          <cell r="G285" t="str">
            <v>MPG</v>
          </cell>
          <cell r="H285" t="str">
            <v>Direct</v>
          </cell>
          <cell r="I285">
            <v>1008</v>
          </cell>
          <cell r="J285" t="str">
            <v>Teghra</v>
          </cell>
          <cell r="K285" t="str">
            <v>Old</v>
          </cell>
          <cell r="L285">
            <v>45745</v>
          </cell>
          <cell r="M285">
            <v>1382.3000000000002</v>
          </cell>
          <cell r="N285">
            <v>59645.670000000006</v>
          </cell>
          <cell r="O285">
            <v>1036.7250000000001</v>
          </cell>
          <cell r="P285">
            <v>1313.1850000000002</v>
          </cell>
          <cell r="Q285">
            <v>82.217365939450005</v>
          </cell>
          <cell r="R285">
            <v>1789.3701000000001</v>
          </cell>
          <cell r="S285">
            <v>476.18509999999992</v>
          </cell>
          <cell r="T285">
            <v>138.23000000000002</v>
          </cell>
          <cell r="U285">
            <v>1230.2521248567598</v>
          </cell>
          <cell r="V285">
            <v>1064</v>
          </cell>
          <cell r="W285">
            <v>1064</v>
          </cell>
          <cell r="X285">
            <v>0</v>
          </cell>
          <cell r="Y285">
            <v>0</v>
          </cell>
        </row>
        <row r="286">
          <cell r="D286">
            <v>10080088</v>
          </cell>
          <cell r="E286" t="str">
            <v>GOMUKH MALHIPUR</v>
          </cell>
          <cell r="F286">
            <v>0</v>
          </cell>
          <cell r="G286" t="str">
            <v>MPG</v>
          </cell>
          <cell r="H286" t="str">
            <v>Direct</v>
          </cell>
          <cell r="I286">
            <v>1008</v>
          </cell>
          <cell r="J286" t="str">
            <v>Teghra</v>
          </cell>
          <cell r="K286" t="str">
            <v>Old</v>
          </cell>
          <cell r="L286">
            <v>45745</v>
          </cell>
          <cell r="M286">
            <v>2930.55</v>
          </cell>
          <cell r="N286">
            <v>104971.98000000001</v>
          </cell>
          <cell r="O286">
            <v>2197.9125000000004</v>
          </cell>
          <cell r="P286">
            <v>2784.0225</v>
          </cell>
          <cell r="Q286">
            <v>271.86159215300006</v>
          </cell>
          <cell r="R286">
            <v>3149.1594</v>
          </cell>
          <cell r="S286">
            <v>365.13689999999997</v>
          </cell>
          <cell r="T286">
            <v>293.05500000000001</v>
          </cell>
          <cell r="U286">
            <v>199.86578256305495</v>
          </cell>
          <cell r="V286">
            <v>4761</v>
          </cell>
          <cell r="W286">
            <v>2099.4396000000002</v>
          </cell>
          <cell r="X286">
            <v>0</v>
          </cell>
          <cell r="Y286">
            <v>0</v>
          </cell>
        </row>
        <row r="287">
          <cell r="D287">
            <v>10080090</v>
          </cell>
          <cell r="E287" t="str">
            <v>Rasalpur - Durgesh Kumar</v>
          </cell>
          <cell r="F287">
            <v>0</v>
          </cell>
          <cell r="G287" t="str">
            <v>vlc</v>
          </cell>
          <cell r="H287" t="str">
            <v>Indirect</v>
          </cell>
          <cell r="I287">
            <v>1008</v>
          </cell>
          <cell r="J287" t="str">
            <v>Teghra</v>
          </cell>
          <cell r="K287" t="str">
            <v>Old</v>
          </cell>
          <cell r="L287">
            <v>45802</v>
          </cell>
          <cell r="M287">
            <v>1723.15</v>
          </cell>
          <cell r="N287">
            <v>68494.319999999992</v>
          </cell>
          <cell r="O287">
            <v>1292.3625000000002</v>
          </cell>
          <cell r="P287">
            <v>1636.9925000000001</v>
          </cell>
          <cell r="Q287">
            <v>0</v>
          </cell>
          <cell r="R287">
            <v>2054.8295999999996</v>
          </cell>
          <cell r="S287">
            <v>417.83709999999951</v>
          </cell>
          <cell r="T287">
            <v>172.31500000000003</v>
          </cell>
          <cell r="U287">
            <v>858.17170215226906</v>
          </cell>
          <cell r="V287">
            <v>1899</v>
          </cell>
          <cell r="W287">
            <v>0</v>
          </cell>
          <cell r="X287">
            <v>0</v>
          </cell>
          <cell r="Y287">
            <v>0</v>
          </cell>
        </row>
        <row r="288">
          <cell r="D288">
            <v>10080093</v>
          </cell>
          <cell r="E288" t="str">
            <v>Barauni Bariyarpur</v>
          </cell>
          <cell r="F288">
            <v>0</v>
          </cell>
          <cell r="G288" t="str">
            <v>MPG</v>
          </cell>
          <cell r="H288" t="str">
            <v>Direct</v>
          </cell>
          <cell r="I288">
            <v>1008</v>
          </cell>
          <cell r="J288" t="str">
            <v>Teghra</v>
          </cell>
          <cell r="K288" t="str">
            <v>Old</v>
          </cell>
          <cell r="L288">
            <v>45809</v>
          </cell>
          <cell r="M288">
            <v>468.65</v>
          </cell>
          <cell r="N288">
            <v>17190.800000000003</v>
          </cell>
          <cell r="O288">
            <v>351.48749999999995</v>
          </cell>
          <cell r="P288">
            <v>445.21749999999997</v>
          </cell>
          <cell r="Q288">
            <v>0</v>
          </cell>
          <cell r="R288">
            <v>515.72400000000005</v>
          </cell>
          <cell r="S288">
            <v>70.506500000000074</v>
          </cell>
          <cell r="T288">
            <v>46.865000000000002</v>
          </cell>
          <cell r="U288">
            <v>749.78954287987585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D289">
            <v>10080095</v>
          </cell>
          <cell r="E289" t="str">
            <v>Jaynagar</v>
          </cell>
          <cell r="F289">
            <v>0</v>
          </cell>
          <cell r="G289" t="str">
            <v>MPG</v>
          </cell>
          <cell r="H289" t="str">
            <v>Direct</v>
          </cell>
          <cell r="I289">
            <v>1008</v>
          </cell>
          <cell r="J289" t="str">
            <v>Teghra</v>
          </cell>
          <cell r="K289" t="str">
            <v>Old</v>
          </cell>
          <cell r="L289">
            <v>45838</v>
          </cell>
          <cell r="M289">
            <v>234.45</v>
          </cell>
          <cell r="N289">
            <v>9272.32</v>
          </cell>
          <cell r="O289">
            <v>175.83749999999998</v>
          </cell>
          <cell r="P289">
            <v>222.72749999999999</v>
          </cell>
          <cell r="Q289">
            <v>0</v>
          </cell>
          <cell r="R289">
            <v>278.1696</v>
          </cell>
          <cell r="S289">
            <v>55.442100000000011</v>
          </cell>
          <cell r="T289">
            <v>23.445</v>
          </cell>
          <cell r="U289">
            <v>374.67709813726242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D290">
            <v>10080096</v>
          </cell>
          <cell r="E290" t="str">
            <v>Amba-2</v>
          </cell>
          <cell r="F290">
            <v>0</v>
          </cell>
          <cell r="G290" t="str">
            <v>MPG</v>
          </cell>
          <cell r="H290" t="str">
            <v>Direct</v>
          </cell>
          <cell r="I290">
            <v>1008</v>
          </cell>
          <cell r="J290" t="str">
            <v>Teghra</v>
          </cell>
          <cell r="K290" t="str">
            <v>Old</v>
          </cell>
          <cell r="L290">
            <v>45831</v>
          </cell>
          <cell r="M290">
            <v>191.3</v>
          </cell>
          <cell r="N290">
            <v>7176.77</v>
          </cell>
          <cell r="O290">
            <v>143.47500000000002</v>
          </cell>
          <cell r="P290">
            <v>181.73500000000001</v>
          </cell>
          <cell r="Q290">
            <v>0</v>
          </cell>
          <cell r="R290">
            <v>215.3031</v>
          </cell>
          <cell r="S290">
            <v>33.568099999999987</v>
          </cell>
          <cell r="T290">
            <v>19.130000000000003</v>
          </cell>
          <cell r="U290">
            <v>305.80570990469278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D291">
            <v>10080097</v>
          </cell>
          <cell r="E291" t="str">
            <v>Fateha - Anil Yadav</v>
          </cell>
          <cell r="F291">
            <v>0</v>
          </cell>
          <cell r="G291" t="str">
            <v>vlc</v>
          </cell>
          <cell r="H291" t="str">
            <v>Indirect</v>
          </cell>
          <cell r="I291">
            <v>1008</v>
          </cell>
          <cell r="J291" t="str">
            <v>Teghra</v>
          </cell>
          <cell r="K291" t="str">
            <v>Old</v>
          </cell>
          <cell r="L291">
            <v>45786</v>
          </cell>
          <cell r="M291">
            <v>1312.2999999999997</v>
          </cell>
          <cell r="N291">
            <v>46348.260000000009</v>
          </cell>
          <cell r="O291">
            <v>984.2249999999998</v>
          </cell>
          <cell r="P291">
            <v>1246.6849999999997</v>
          </cell>
          <cell r="Q291">
            <v>0</v>
          </cell>
          <cell r="R291">
            <v>1390.4478000000001</v>
          </cell>
          <cell r="S291">
            <v>143.76280000000042</v>
          </cell>
          <cell r="T291">
            <v>131.22999999999999</v>
          </cell>
          <cell r="U291">
            <v>1048.5994501707619</v>
          </cell>
          <cell r="V291">
            <v>1051</v>
          </cell>
          <cell r="W291">
            <v>0</v>
          </cell>
          <cell r="X291">
            <v>0</v>
          </cell>
          <cell r="Y291">
            <v>0</v>
          </cell>
        </row>
        <row r="292">
          <cell r="D292">
            <v>10080098</v>
          </cell>
          <cell r="E292" t="str">
            <v>Rani Panchwati</v>
          </cell>
          <cell r="F292">
            <v>0</v>
          </cell>
          <cell r="G292" t="str">
            <v>MPG</v>
          </cell>
          <cell r="H292" t="str">
            <v>Direct</v>
          </cell>
          <cell r="I292">
            <v>1008</v>
          </cell>
          <cell r="J292" t="str">
            <v>Teghra</v>
          </cell>
          <cell r="K292" t="str">
            <v>Old</v>
          </cell>
          <cell r="L292">
            <v>45815</v>
          </cell>
          <cell r="M292">
            <v>1352.05</v>
          </cell>
          <cell r="N292">
            <v>48538.640000000007</v>
          </cell>
          <cell r="O292">
            <v>1014.0374999999999</v>
          </cell>
          <cell r="P292">
            <v>1284.4475</v>
          </cell>
          <cell r="Q292">
            <v>277.62156930539999</v>
          </cell>
          <cell r="R292">
            <v>1456.1592000000001</v>
          </cell>
          <cell r="S292">
            <v>171.71170000000006</v>
          </cell>
          <cell r="T292">
            <v>135.20500000000001</v>
          </cell>
          <cell r="U292">
            <v>1039.6803999816921</v>
          </cell>
          <cell r="V292">
            <v>1401</v>
          </cell>
          <cell r="W292">
            <v>1401</v>
          </cell>
          <cell r="X292">
            <v>0</v>
          </cell>
          <cell r="Y292">
            <v>0</v>
          </cell>
        </row>
        <row r="293">
          <cell r="D293">
            <v>10080099</v>
          </cell>
          <cell r="E293" t="str">
            <v>Bihat - Chakballi</v>
          </cell>
          <cell r="F293">
            <v>0</v>
          </cell>
          <cell r="G293" t="str">
            <v>MPG</v>
          </cell>
          <cell r="H293" t="str">
            <v>Direct</v>
          </cell>
          <cell r="I293">
            <v>1008</v>
          </cell>
          <cell r="J293" t="str">
            <v>Teghra</v>
          </cell>
          <cell r="K293" t="str">
            <v>Old</v>
          </cell>
          <cell r="L293">
            <v>45810</v>
          </cell>
          <cell r="M293">
            <v>4835.8999999999996</v>
          </cell>
          <cell r="N293">
            <v>157378.71</v>
          </cell>
          <cell r="O293">
            <v>3626.9249999999997</v>
          </cell>
          <cell r="P293">
            <v>4594.1049999999996</v>
          </cell>
          <cell r="Q293">
            <v>0</v>
          </cell>
          <cell r="R293">
            <v>4721.3612999999996</v>
          </cell>
          <cell r="S293">
            <v>127.25630000000001</v>
          </cell>
          <cell r="T293">
            <v>483.59</v>
          </cell>
          <cell r="U293">
            <v>248.76357450980396</v>
          </cell>
          <cell r="V293">
            <v>7489</v>
          </cell>
          <cell r="W293">
            <v>3147.5742</v>
          </cell>
          <cell r="X293">
            <v>0</v>
          </cell>
          <cell r="Y293">
            <v>0</v>
          </cell>
        </row>
        <row r="294">
          <cell r="D294">
            <v>10080100</v>
          </cell>
          <cell r="E294" t="str">
            <v>Sibutol- Naya Tola</v>
          </cell>
          <cell r="F294">
            <v>0</v>
          </cell>
          <cell r="G294" t="str">
            <v>MPG</v>
          </cell>
          <cell r="H294" t="str">
            <v>Direct</v>
          </cell>
          <cell r="I294">
            <v>1008</v>
          </cell>
          <cell r="J294" t="str">
            <v>Teghra</v>
          </cell>
          <cell r="K294" t="str">
            <v>Old</v>
          </cell>
          <cell r="L294">
            <v>45843</v>
          </cell>
          <cell r="M294">
            <v>1363.35</v>
          </cell>
          <cell r="N294">
            <v>51890.31</v>
          </cell>
          <cell r="O294">
            <v>1022.5124999999999</v>
          </cell>
          <cell r="P294">
            <v>1295.1824999999999</v>
          </cell>
          <cell r="Q294">
            <v>0</v>
          </cell>
          <cell r="R294">
            <v>1556.7093</v>
          </cell>
          <cell r="S294">
            <v>261.52680000000009</v>
          </cell>
          <cell r="T294">
            <v>136.33500000000001</v>
          </cell>
          <cell r="U294">
            <v>1094.9768839075143</v>
          </cell>
          <cell r="V294">
            <v>1086</v>
          </cell>
          <cell r="W294">
            <v>1086</v>
          </cell>
          <cell r="X294">
            <v>0</v>
          </cell>
          <cell r="Y294">
            <v>0</v>
          </cell>
        </row>
        <row r="295">
          <cell r="D295">
            <v>10080107</v>
          </cell>
          <cell r="E295" t="str">
            <v>Rasalpur</v>
          </cell>
          <cell r="F295">
            <v>0</v>
          </cell>
          <cell r="G295" t="str">
            <v>vlc</v>
          </cell>
          <cell r="H295" t="str">
            <v>Indirect</v>
          </cell>
          <cell r="I295">
            <v>1008</v>
          </cell>
          <cell r="J295" t="str">
            <v>Teghra</v>
          </cell>
          <cell r="K295" t="str">
            <v>New</v>
          </cell>
          <cell r="L295">
            <v>45870</v>
          </cell>
          <cell r="M295">
            <v>1843.8000000000002</v>
          </cell>
          <cell r="N295">
            <v>65337.659999999996</v>
          </cell>
          <cell r="O295">
            <v>1382.8500000000001</v>
          </cell>
          <cell r="P295">
            <v>1751.6100000000001</v>
          </cell>
          <cell r="Q295">
            <v>0</v>
          </cell>
          <cell r="R295">
            <v>1960.1297999999997</v>
          </cell>
          <cell r="S295">
            <v>208.51979999999958</v>
          </cell>
          <cell r="T295">
            <v>184.38000000000002</v>
          </cell>
          <cell r="U295">
            <v>0</v>
          </cell>
          <cell r="V295">
            <v>2950</v>
          </cell>
          <cell r="W295">
            <v>0</v>
          </cell>
          <cell r="X295">
            <v>0</v>
          </cell>
          <cell r="Y295">
            <v>0</v>
          </cell>
        </row>
        <row r="296">
          <cell r="D296">
            <v>10080109</v>
          </cell>
          <cell r="E296" t="str">
            <v>Mokhtiyarpur</v>
          </cell>
          <cell r="F296">
            <v>0</v>
          </cell>
          <cell r="G296" t="str">
            <v>vlc</v>
          </cell>
          <cell r="H296" t="str">
            <v>Indirect</v>
          </cell>
          <cell r="I296">
            <v>1008</v>
          </cell>
          <cell r="J296" t="str">
            <v>Teghra</v>
          </cell>
          <cell r="K296" t="str">
            <v>New</v>
          </cell>
          <cell r="L296">
            <v>45896</v>
          </cell>
          <cell r="M296">
            <v>3937.1000000000004</v>
          </cell>
          <cell r="N296">
            <v>162564.75999999998</v>
          </cell>
          <cell r="O296">
            <v>2952.8250000000003</v>
          </cell>
          <cell r="P296">
            <v>3740.2450000000003</v>
          </cell>
          <cell r="Q296">
            <v>0</v>
          </cell>
          <cell r="R296">
            <v>4876.9427999999989</v>
          </cell>
          <cell r="S296">
            <v>1136.6977999999986</v>
          </cell>
          <cell r="T296">
            <v>393.71000000000004</v>
          </cell>
          <cell r="U296">
            <v>0</v>
          </cell>
          <cell r="V296">
            <v>6299</v>
          </cell>
          <cell r="W296">
            <v>0</v>
          </cell>
          <cell r="X296">
            <v>0</v>
          </cell>
          <cell r="Y296">
            <v>0</v>
          </cell>
        </row>
        <row r="297">
          <cell r="D297">
            <v>10090001</v>
          </cell>
          <cell r="E297" t="str">
            <v>POHE</v>
          </cell>
          <cell r="F297">
            <v>0</v>
          </cell>
          <cell r="G297" t="str">
            <v>vlc</v>
          </cell>
          <cell r="H297" t="str">
            <v>Indirect</v>
          </cell>
          <cell r="I297">
            <v>1009</v>
          </cell>
          <cell r="J297" t="str">
            <v>Halsi</v>
          </cell>
          <cell r="K297" t="str">
            <v>Old</v>
          </cell>
          <cell r="L297">
            <v>42979</v>
          </cell>
          <cell r="M297">
            <v>1707</v>
          </cell>
          <cell r="N297">
            <v>71329.11</v>
          </cell>
          <cell r="O297">
            <v>1280.25</v>
          </cell>
          <cell r="P297">
            <v>1621.6499999999999</v>
          </cell>
          <cell r="Q297">
            <v>0</v>
          </cell>
          <cell r="R297">
            <v>2139.8732999999997</v>
          </cell>
          <cell r="S297">
            <v>518.22329999999988</v>
          </cell>
          <cell r="T297">
            <v>170.70000000000002</v>
          </cell>
          <cell r="U297">
            <v>914.69424069864306</v>
          </cell>
          <cell r="V297">
            <v>1817</v>
          </cell>
          <cell r="W297">
            <v>0</v>
          </cell>
          <cell r="X297">
            <v>1426.5822000000001</v>
          </cell>
          <cell r="Y297">
            <v>0</v>
          </cell>
        </row>
        <row r="298">
          <cell r="D298">
            <v>10090002</v>
          </cell>
          <cell r="E298" t="str">
            <v>AURO</v>
          </cell>
          <cell r="F298">
            <v>0</v>
          </cell>
          <cell r="G298" t="str">
            <v>MPG</v>
          </cell>
          <cell r="H298" t="str">
            <v>Direct</v>
          </cell>
          <cell r="I298">
            <v>1009</v>
          </cell>
          <cell r="J298" t="str">
            <v>Halsi</v>
          </cell>
          <cell r="K298" t="str">
            <v>Old</v>
          </cell>
          <cell r="L298">
            <v>42979</v>
          </cell>
          <cell r="M298">
            <v>5489.7</v>
          </cell>
          <cell r="N298">
            <v>240024.64</v>
          </cell>
          <cell r="O298">
            <v>4117.2749999999996</v>
          </cell>
          <cell r="P298">
            <v>5215.2149999999992</v>
          </cell>
          <cell r="Q298">
            <v>1657.3994216076003</v>
          </cell>
          <cell r="R298">
            <v>7200.7392</v>
          </cell>
          <cell r="S298">
            <v>1985.5242000000007</v>
          </cell>
          <cell r="T298">
            <v>548.97</v>
          </cell>
          <cell r="U298">
            <v>0</v>
          </cell>
          <cell r="V298">
            <v>10441</v>
          </cell>
          <cell r="W298">
            <v>0</v>
          </cell>
          <cell r="X298">
            <v>0</v>
          </cell>
          <cell r="Y298">
            <v>0</v>
          </cell>
        </row>
        <row r="299">
          <cell r="D299">
            <v>10090003</v>
          </cell>
          <cell r="E299" t="str">
            <v>PARSHAMA</v>
          </cell>
          <cell r="F299">
            <v>0</v>
          </cell>
          <cell r="G299" t="str">
            <v>MPG</v>
          </cell>
          <cell r="H299" t="str">
            <v>Direct</v>
          </cell>
          <cell r="I299">
            <v>1009</v>
          </cell>
          <cell r="J299" t="str">
            <v>Halsi</v>
          </cell>
          <cell r="K299" t="str">
            <v>Old</v>
          </cell>
          <cell r="L299">
            <v>42979</v>
          </cell>
          <cell r="M299">
            <v>415.90000000000003</v>
          </cell>
          <cell r="N299">
            <v>14383.4</v>
          </cell>
          <cell r="O299">
            <v>311.92500000000001</v>
          </cell>
          <cell r="P299">
            <v>395.10500000000002</v>
          </cell>
          <cell r="Q299">
            <v>429.77264447200002</v>
          </cell>
          <cell r="R299">
            <v>431.50199999999995</v>
          </cell>
          <cell r="S299">
            <v>36.396999999999935</v>
          </cell>
          <cell r="T299">
            <v>41.59</v>
          </cell>
          <cell r="U299">
            <v>1095.3633607006377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>
            <v>10090004</v>
          </cell>
          <cell r="E300" t="str">
            <v>BAHCHA</v>
          </cell>
          <cell r="F300">
            <v>0</v>
          </cell>
          <cell r="G300" t="str">
            <v>MPG</v>
          </cell>
          <cell r="H300" t="str">
            <v>Direct</v>
          </cell>
          <cell r="I300">
            <v>1009</v>
          </cell>
          <cell r="J300" t="str">
            <v>Halsi</v>
          </cell>
          <cell r="K300" t="str">
            <v>Old</v>
          </cell>
          <cell r="L300">
            <v>42979</v>
          </cell>
          <cell r="M300">
            <v>915.00000000000011</v>
          </cell>
          <cell r="N300">
            <v>39486.410000000003</v>
          </cell>
          <cell r="O300">
            <v>686.25000000000011</v>
          </cell>
          <cell r="P300">
            <v>869.25000000000011</v>
          </cell>
          <cell r="Q300">
            <v>232.02712199999999</v>
          </cell>
          <cell r="R300">
            <v>1184.5923</v>
          </cell>
          <cell r="S300">
            <v>315.34229999999991</v>
          </cell>
          <cell r="T300">
            <v>91.500000000000014</v>
          </cell>
          <cell r="U300">
            <v>1630.6296980161169</v>
          </cell>
          <cell r="V300">
            <v>65</v>
          </cell>
          <cell r="W300">
            <v>0</v>
          </cell>
          <cell r="X300">
            <v>0</v>
          </cell>
          <cell r="Y300">
            <v>0</v>
          </cell>
        </row>
        <row r="301">
          <cell r="D301">
            <v>10090005</v>
          </cell>
          <cell r="E301" t="str">
            <v>PRATAPUR 2</v>
          </cell>
          <cell r="F301">
            <v>0</v>
          </cell>
          <cell r="G301" t="str">
            <v>vlc</v>
          </cell>
          <cell r="H301" t="str">
            <v>Indirect</v>
          </cell>
          <cell r="I301">
            <v>1009</v>
          </cell>
          <cell r="J301" t="str">
            <v>Halsi</v>
          </cell>
          <cell r="K301" t="str">
            <v>Old</v>
          </cell>
          <cell r="L301">
            <v>42979</v>
          </cell>
          <cell r="M301">
            <v>416.79999999999995</v>
          </cell>
          <cell r="N301">
            <v>17668.79</v>
          </cell>
          <cell r="O301">
            <v>312.59999999999997</v>
          </cell>
          <cell r="P301">
            <v>395.95999999999992</v>
          </cell>
          <cell r="Q301">
            <v>0</v>
          </cell>
          <cell r="R301">
            <v>530.06370000000004</v>
          </cell>
          <cell r="S301">
            <v>134.10370000000012</v>
          </cell>
          <cell r="T301">
            <v>41.68</v>
          </cell>
          <cell r="U301">
            <v>666.88639772386273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>
            <v>10090006</v>
          </cell>
          <cell r="E302" t="str">
            <v>BALLOPUR</v>
          </cell>
          <cell r="F302">
            <v>0</v>
          </cell>
          <cell r="G302" t="str">
            <v>MPG</v>
          </cell>
          <cell r="H302" t="str">
            <v>Direct</v>
          </cell>
          <cell r="I302">
            <v>1009</v>
          </cell>
          <cell r="J302" t="str">
            <v>Halsi</v>
          </cell>
          <cell r="K302" t="str">
            <v>Old</v>
          </cell>
          <cell r="L302">
            <v>42979</v>
          </cell>
          <cell r="M302">
            <v>5077.6000000000004</v>
          </cell>
          <cell r="N302">
            <v>185437.85000000003</v>
          </cell>
          <cell r="O302">
            <v>3808.2000000000003</v>
          </cell>
          <cell r="P302">
            <v>4823.72</v>
          </cell>
          <cell r="Q302">
            <v>146.17311546400003</v>
          </cell>
          <cell r="R302">
            <v>5563.1355000000012</v>
          </cell>
          <cell r="S302">
            <v>739.41550000000097</v>
          </cell>
          <cell r="T302">
            <v>507.76000000000005</v>
          </cell>
          <cell r="U302">
            <v>0</v>
          </cell>
          <cell r="V302">
            <v>8270</v>
          </cell>
          <cell r="W302">
            <v>0</v>
          </cell>
          <cell r="X302">
            <v>0</v>
          </cell>
          <cell r="Y302">
            <v>0</v>
          </cell>
        </row>
        <row r="303">
          <cell r="D303">
            <v>10090007</v>
          </cell>
          <cell r="E303" t="str">
            <v>KHAIRMA</v>
          </cell>
          <cell r="F303">
            <v>0</v>
          </cell>
          <cell r="G303" t="str">
            <v>MPG</v>
          </cell>
          <cell r="H303" t="str">
            <v>Direct</v>
          </cell>
          <cell r="I303">
            <v>1009</v>
          </cell>
          <cell r="J303" t="str">
            <v>Halsi</v>
          </cell>
          <cell r="K303" t="str">
            <v>Old</v>
          </cell>
          <cell r="L303">
            <v>42979</v>
          </cell>
          <cell r="M303">
            <v>1972.6</v>
          </cell>
          <cell r="N303">
            <v>72475.42</v>
          </cell>
          <cell r="O303">
            <v>1479.4499999999998</v>
          </cell>
          <cell r="P303">
            <v>1873.9699999999998</v>
          </cell>
          <cell r="Q303">
            <v>314.69166480600006</v>
          </cell>
          <cell r="R303">
            <v>2174.2626</v>
          </cell>
          <cell r="S303">
            <v>300.29260000000022</v>
          </cell>
          <cell r="T303">
            <v>197.26</v>
          </cell>
          <cell r="U303">
            <v>623.20329848394135</v>
          </cell>
          <cell r="V303">
            <v>2848</v>
          </cell>
          <cell r="W303">
            <v>0</v>
          </cell>
          <cell r="X303">
            <v>0</v>
          </cell>
          <cell r="Y303">
            <v>0</v>
          </cell>
        </row>
        <row r="304">
          <cell r="D304">
            <v>10090008</v>
          </cell>
          <cell r="E304" t="str">
            <v>MAHASONI</v>
          </cell>
          <cell r="F304">
            <v>0</v>
          </cell>
          <cell r="G304" t="str">
            <v>MPG</v>
          </cell>
          <cell r="H304" t="str">
            <v>Direct</v>
          </cell>
          <cell r="I304">
            <v>1009</v>
          </cell>
          <cell r="J304" t="str">
            <v>Halsi</v>
          </cell>
          <cell r="K304" t="str">
            <v>Old</v>
          </cell>
          <cell r="L304">
            <v>42979</v>
          </cell>
          <cell r="M304">
            <v>2090.5</v>
          </cell>
          <cell r="N304">
            <v>75866.53</v>
          </cell>
          <cell r="O304">
            <v>1567.875</v>
          </cell>
          <cell r="P304">
            <v>1985.9749999999999</v>
          </cell>
          <cell r="Q304">
            <v>1026.6472082719999</v>
          </cell>
          <cell r="R304">
            <v>2275.9958999999999</v>
          </cell>
          <cell r="S304">
            <v>290.02089999999998</v>
          </cell>
          <cell r="T304">
            <v>209.05</v>
          </cell>
          <cell r="U304">
            <v>514.12301918285925</v>
          </cell>
          <cell r="V304">
            <v>3857</v>
          </cell>
          <cell r="W304">
            <v>0</v>
          </cell>
          <cell r="X304">
            <v>0</v>
          </cell>
          <cell r="Y304">
            <v>0</v>
          </cell>
        </row>
        <row r="305">
          <cell r="D305">
            <v>10090009</v>
          </cell>
          <cell r="E305" t="str">
            <v>SONDHI</v>
          </cell>
          <cell r="F305">
            <v>0</v>
          </cell>
          <cell r="G305" t="str">
            <v>MPG</v>
          </cell>
          <cell r="H305" t="str">
            <v>Direct</v>
          </cell>
          <cell r="I305">
            <v>1009</v>
          </cell>
          <cell r="J305" t="str">
            <v>Halsi</v>
          </cell>
          <cell r="K305" t="str">
            <v>Old</v>
          </cell>
          <cell r="L305">
            <v>42979</v>
          </cell>
          <cell r="M305">
            <v>2161.2999999999997</v>
          </cell>
          <cell r="N305">
            <v>96448.590000000011</v>
          </cell>
          <cell r="O305">
            <v>1620.9749999999999</v>
          </cell>
          <cell r="P305">
            <v>2053.2349999999997</v>
          </cell>
          <cell r="Q305">
            <v>1244.8360017354003</v>
          </cell>
          <cell r="R305">
            <v>2893.4577000000004</v>
          </cell>
          <cell r="S305">
            <v>840.22270000000071</v>
          </cell>
          <cell r="T305">
            <v>216.13</v>
          </cell>
          <cell r="U305">
            <v>569.37626804957199</v>
          </cell>
          <cell r="V305">
            <v>4134</v>
          </cell>
          <cell r="W305">
            <v>0</v>
          </cell>
          <cell r="X305">
            <v>0</v>
          </cell>
          <cell r="Y305">
            <v>0</v>
          </cell>
        </row>
        <row r="306">
          <cell r="D306">
            <v>10090010</v>
          </cell>
          <cell r="E306" t="str">
            <v>NANDNAMA</v>
          </cell>
          <cell r="F306">
            <v>0</v>
          </cell>
          <cell r="G306" t="str">
            <v>vlc</v>
          </cell>
          <cell r="H306" t="str">
            <v>Indirect</v>
          </cell>
          <cell r="I306">
            <v>1009</v>
          </cell>
          <cell r="J306" t="str">
            <v>Halsi</v>
          </cell>
          <cell r="K306" t="str">
            <v>Old</v>
          </cell>
          <cell r="L306">
            <v>42979</v>
          </cell>
          <cell r="M306">
            <v>859.30000000000007</v>
          </cell>
          <cell r="N306">
            <v>32645.199999999997</v>
          </cell>
          <cell r="O306">
            <v>644.47500000000002</v>
          </cell>
          <cell r="P306">
            <v>816.33500000000004</v>
          </cell>
          <cell r="Q306">
            <v>0</v>
          </cell>
          <cell r="R306">
            <v>979.35599999999988</v>
          </cell>
          <cell r="S306">
            <v>163.02099999999984</v>
          </cell>
          <cell r="T306">
            <v>85.93</v>
          </cell>
          <cell r="U306">
            <v>1374.5775875221434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</row>
        <row r="307">
          <cell r="D307">
            <v>10090011</v>
          </cell>
          <cell r="E307" t="str">
            <v>BELDARAYA</v>
          </cell>
          <cell r="F307">
            <v>0</v>
          </cell>
          <cell r="G307" t="str">
            <v>vlc</v>
          </cell>
          <cell r="H307" t="str">
            <v>Indirect</v>
          </cell>
          <cell r="I307">
            <v>1009</v>
          </cell>
          <cell r="J307" t="str">
            <v>Halsi</v>
          </cell>
          <cell r="K307" t="str">
            <v>Old</v>
          </cell>
          <cell r="L307">
            <v>42979</v>
          </cell>
          <cell r="M307">
            <v>1498.9</v>
          </cell>
          <cell r="N307">
            <v>55160.729999999996</v>
          </cell>
          <cell r="O307">
            <v>1124.1750000000002</v>
          </cell>
          <cell r="P307">
            <v>1423.9549999999999</v>
          </cell>
          <cell r="Q307">
            <v>0</v>
          </cell>
          <cell r="R307">
            <v>1654.8218999999999</v>
          </cell>
          <cell r="S307">
            <v>230.86689999999999</v>
          </cell>
          <cell r="T307">
            <v>149.89000000000001</v>
          </cell>
          <cell r="U307">
            <v>442.68775159680786</v>
          </cell>
          <cell r="V307">
            <v>1956</v>
          </cell>
          <cell r="W307">
            <v>0</v>
          </cell>
          <cell r="X307">
            <v>0</v>
          </cell>
          <cell r="Y307">
            <v>0</v>
          </cell>
        </row>
        <row r="308">
          <cell r="D308">
            <v>10090012</v>
          </cell>
          <cell r="E308" t="str">
            <v>Gomukh ID Aure-2</v>
          </cell>
          <cell r="F308">
            <v>0</v>
          </cell>
          <cell r="G308" t="str">
            <v>vlc</v>
          </cell>
          <cell r="H308" t="str">
            <v>Indirect</v>
          </cell>
          <cell r="I308">
            <v>1009</v>
          </cell>
          <cell r="J308" t="str">
            <v>Halsi</v>
          </cell>
          <cell r="K308" t="str">
            <v>Old</v>
          </cell>
          <cell r="L308">
            <v>43071</v>
          </cell>
          <cell r="M308">
            <v>2316</v>
          </cell>
          <cell r="N308">
            <v>85482.71</v>
          </cell>
          <cell r="O308">
            <v>1737</v>
          </cell>
          <cell r="P308">
            <v>2200.1999999999998</v>
          </cell>
          <cell r="Q308">
            <v>0</v>
          </cell>
          <cell r="R308">
            <v>2564.4812999999999</v>
          </cell>
          <cell r="S308">
            <v>364.2813000000001</v>
          </cell>
          <cell r="T308">
            <v>231.60000000000002</v>
          </cell>
          <cell r="U308">
            <v>135.84046483133</v>
          </cell>
          <cell r="V308">
            <v>3570</v>
          </cell>
          <cell r="W308">
            <v>0</v>
          </cell>
          <cell r="X308">
            <v>0</v>
          </cell>
          <cell r="Y308">
            <v>0</v>
          </cell>
        </row>
        <row r="309">
          <cell r="D309">
            <v>10090014</v>
          </cell>
          <cell r="E309" t="str">
            <v>Gomukh Karma</v>
          </cell>
          <cell r="F309">
            <v>0</v>
          </cell>
          <cell r="G309" t="str">
            <v>vlc</v>
          </cell>
          <cell r="H309" t="str">
            <v>Indirect</v>
          </cell>
          <cell r="I309">
            <v>1009</v>
          </cell>
          <cell r="J309" t="str">
            <v>Halsi</v>
          </cell>
          <cell r="K309" t="str">
            <v>Old</v>
          </cell>
          <cell r="L309">
            <v>43786</v>
          </cell>
          <cell r="M309">
            <v>1106.4000000000001</v>
          </cell>
          <cell r="N309">
            <v>44726.780000000006</v>
          </cell>
          <cell r="O309">
            <v>829.80000000000007</v>
          </cell>
          <cell r="P309">
            <v>1051.08</v>
          </cell>
          <cell r="Q309">
            <v>0</v>
          </cell>
          <cell r="R309">
            <v>1341.8034000000002</v>
          </cell>
          <cell r="S309">
            <v>290.72340000000031</v>
          </cell>
          <cell r="T309">
            <v>110.64000000000001</v>
          </cell>
          <cell r="U309">
            <v>1367.1278590603138</v>
          </cell>
          <cell r="V309">
            <v>403</v>
          </cell>
          <cell r="W309">
            <v>0</v>
          </cell>
          <cell r="X309">
            <v>0</v>
          </cell>
          <cell r="Y309">
            <v>0</v>
          </cell>
        </row>
        <row r="310">
          <cell r="D310">
            <v>10090015</v>
          </cell>
          <cell r="E310" t="str">
            <v>GOMUKH UKSI</v>
          </cell>
          <cell r="F310">
            <v>0</v>
          </cell>
          <cell r="G310" t="str">
            <v>vlc</v>
          </cell>
          <cell r="H310" t="str">
            <v>Indirect</v>
          </cell>
          <cell r="I310">
            <v>1009</v>
          </cell>
          <cell r="J310" t="str">
            <v>Halsi</v>
          </cell>
          <cell r="K310" t="str">
            <v>Old</v>
          </cell>
          <cell r="L310">
            <v>43789</v>
          </cell>
          <cell r="M310">
            <v>869.69999999999993</v>
          </cell>
          <cell r="N310">
            <v>35510.43</v>
          </cell>
          <cell r="O310">
            <v>652.27499999999998</v>
          </cell>
          <cell r="P310">
            <v>826.21499999999992</v>
          </cell>
          <cell r="Q310">
            <v>0</v>
          </cell>
          <cell r="R310">
            <v>1065.3128999999999</v>
          </cell>
          <cell r="S310">
            <v>239.09789999999998</v>
          </cell>
          <cell r="T310">
            <v>86.97</v>
          </cell>
          <cell r="U310">
            <v>1391.7736366841405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D311">
            <v>10090017</v>
          </cell>
          <cell r="E311" t="str">
            <v>Gomukh ID Halsi</v>
          </cell>
          <cell r="F311">
            <v>0</v>
          </cell>
          <cell r="G311" t="str">
            <v>vlc</v>
          </cell>
          <cell r="H311" t="str">
            <v>Indirect</v>
          </cell>
          <cell r="I311">
            <v>1009</v>
          </cell>
          <cell r="J311" t="str">
            <v>Halsi</v>
          </cell>
          <cell r="K311" t="str">
            <v>Old</v>
          </cell>
          <cell r="L311">
            <v>44321</v>
          </cell>
          <cell r="M311">
            <v>11331.2</v>
          </cell>
          <cell r="N311">
            <v>417516.5</v>
          </cell>
          <cell r="O311">
            <v>8498.4000000000015</v>
          </cell>
          <cell r="P311">
            <v>10764.64</v>
          </cell>
          <cell r="Q311">
            <v>0</v>
          </cell>
          <cell r="R311">
            <v>12525.494999999999</v>
          </cell>
          <cell r="S311">
            <v>1760.8549999999996</v>
          </cell>
          <cell r="T311">
            <v>1133.1200000000001</v>
          </cell>
          <cell r="U311">
            <v>0</v>
          </cell>
          <cell r="V311">
            <v>18130</v>
          </cell>
          <cell r="W311">
            <v>0</v>
          </cell>
          <cell r="X311">
            <v>0</v>
          </cell>
          <cell r="Y311">
            <v>0</v>
          </cell>
        </row>
        <row r="312">
          <cell r="D312">
            <v>10090021</v>
          </cell>
          <cell r="E312" t="str">
            <v>KHURIYARI</v>
          </cell>
          <cell r="F312">
            <v>0</v>
          </cell>
          <cell r="G312" t="str">
            <v>MPG</v>
          </cell>
          <cell r="H312" t="str">
            <v>Direct</v>
          </cell>
          <cell r="I312">
            <v>1009</v>
          </cell>
          <cell r="J312" t="str">
            <v>Halsi</v>
          </cell>
          <cell r="K312" t="str">
            <v>Old</v>
          </cell>
          <cell r="L312">
            <v>44676</v>
          </cell>
          <cell r="M312">
            <v>3332.4999999999995</v>
          </cell>
          <cell r="N312">
            <v>156288.14000000001</v>
          </cell>
          <cell r="O312">
            <v>2499.3749999999995</v>
          </cell>
          <cell r="P312">
            <v>3165.8749999999995</v>
          </cell>
          <cell r="Q312">
            <v>332.99084363524003</v>
          </cell>
          <cell r="R312">
            <v>4688.6442000000006</v>
          </cell>
          <cell r="S312">
            <v>1522.7692000000011</v>
          </cell>
          <cell r="T312">
            <v>333.25</v>
          </cell>
          <cell r="U312">
            <v>62.976644254510859</v>
          </cell>
          <cell r="V312">
            <v>5602</v>
          </cell>
          <cell r="W312">
            <v>0</v>
          </cell>
          <cell r="X312">
            <v>0</v>
          </cell>
          <cell r="Y312">
            <v>0</v>
          </cell>
        </row>
        <row r="313">
          <cell r="D313">
            <v>10090022</v>
          </cell>
          <cell r="E313" t="str">
            <v>BISANPUR</v>
          </cell>
          <cell r="F313">
            <v>0</v>
          </cell>
          <cell r="G313" t="str">
            <v>vlc</v>
          </cell>
          <cell r="H313" t="str">
            <v>Indirect</v>
          </cell>
          <cell r="I313">
            <v>1009</v>
          </cell>
          <cell r="J313" t="str">
            <v>Halsi</v>
          </cell>
          <cell r="K313" t="str">
            <v>Old</v>
          </cell>
          <cell r="L313">
            <v>44680</v>
          </cell>
          <cell r="M313">
            <v>573.1</v>
          </cell>
          <cell r="N313">
            <v>24378.560000000005</v>
          </cell>
          <cell r="O313">
            <v>429.82500000000005</v>
          </cell>
          <cell r="P313">
            <v>544.44500000000005</v>
          </cell>
          <cell r="Q313">
            <v>0</v>
          </cell>
          <cell r="R313">
            <v>731.35680000000013</v>
          </cell>
          <cell r="S313">
            <v>186.91180000000008</v>
          </cell>
          <cell r="T313">
            <v>57.31</v>
          </cell>
          <cell r="U313">
            <v>916.65682944278706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D314">
            <v>10090024</v>
          </cell>
          <cell r="E314" t="str">
            <v>BEHRAMA</v>
          </cell>
          <cell r="F314">
            <v>0</v>
          </cell>
          <cell r="G314" t="str">
            <v>vlc</v>
          </cell>
          <cell r="H314" t="str">
            <v>Indirect</v>
          </cell>
          <cell r="I314">
            <v>1009</v>
          </cell>
          <cell r="J314" t="str">
            <v>Halsi</v>
          </cell>
          <cell r="K314" t="str">
            <v>Old</v>
          </cell>
          <cell r="L314">
            <v>44722</v>
          </cell>
          <cell r="M314">
            <v>1260.0999999999999</v>
          </cell>
          <cell r="N314">
            <v>48806.39</v>
          </cell>
          <cell r="O314">
            <v>945.07499999999993</v>
          </cell>
          <cell r="P314">
            <v>1197.0949999999998</v>
          </cell>
          <cell r="Q314">
            <v>0</v>
          </cell>
          <cell r="R314">
            <v>1464.1916999999999</v>
          </cell>
          <cell r="S314">
            <v>267.09670000000006</v>
          </cell>
          <cell r="T314">
            <v>126.00999999999999</v>
          </cell>
          <cell r="U314">
            <v>1191.7942727360983</v>
          </cell>
          <cell r="V314">
            <v>824</v>
          </cell>
          <cell r="W314">
            <v>0</v>
          </cell>
          <cell r="X314">
            <v>0</v>
          </cell>
          <cell r="Y314">
            <v>0</v>
          </cell>
        </row>
        <row r="315">
          <cell r="D315">
            <v>10090025</v>
          </cell>
          <cell r="E315" t="str">
            <v>Gomukh ID Mathurapur</v>
          </cell>
          <cell r="F315">
            <v>0</v>
          </cell>
          <cell r="G315" t="str">
            <v>vlc</v>
          </cell>
          <cell r="H315" t="str">
            <v>Indirect</v>
          </cell>
          <cell r="I315">
            <v>1009</v>
          </cell>
          <cell r="J315" t="str">
            <v>Halsi</v>
          </cell>
          <cell r="K315" t="str">
            <v>Old</v>
          </cell>
          <cell r="L315">
            <v>44835</v>
          </cell>
          <cell r="M315">
            <v>1651.3000000000002</v>
          </cell>
          <cell r="N315">
            <v>77582.11</v>
          </cell>
          <cell r="O315">
            <v>1238.4750000000001</v>
          </cell>
          <cell r="P315">
            <v>1568.7350000000001</v>
          </cell>
          <cell r="Q315">
            <v>0</v>
          </cell>
          <cell r="R315">
            <v>2327.4632999999999</v>
          </cell>
          <cell r="S315">
            <v>758.72829999999976</v>
          </cell>
          <cell r="T315">
            <v>165.13000000000002</v>
          </cell>
          <cell r="U315">
            <v>1078.3191623063979</v>
          </cell>
          <cell r="V315">
            <v>1564</v>
          </cell>
          <cell r="W315">
            <v>0</v>
          </cell>
          <cell r="X315">
            <v>0</v>
          </cell>
          <cell r="Y315">
            <v>0</v>
          </cell>
        </row>
        <row r="316">
          <cell r="D316">
            <v>10090026</v>
          </cell>
          <cell r="E316" t="str">
            <v>Gomukh ID Nawadih</v>
          </cell>
          <cell r="F316">
            <v>0</v>
          </cell>
          <cell r="G316" t="str">
            <v>vlc</v>
          </cell>
          <cell r="H316" t="str">
            <v>Indirect</v>
          </cell>
          <cell r="I316">
            <v>1009</v>
          </cell>
          <cell r="J316" t="str">
            <v>Halsi</v>
          </cell>
          <cell r="K316" t="str">
            <v>Old</v>
          </cell>
          <cell r="L316">
            <v>44835</v>
          </cell>
          <cell r="M316">
            <v>251.70000000000002</v>
          </cell>
          <cell r="N316">
            <v>10291.14</v>
          </cell>
          <cell r="O316">
            <v>188.77500000000001</v>
          </cell>
          <cell r="P316">
            <v>239.11500000000001</v>
          </cell>
          <cell r="Q316">
            <v>0</v>
          </cell>
          <cell r="R316">
            <v>308.73419999999999</v>
          </cell>
          <cell r="S316">
            <v>69.619199999999978</v>
          </cell>
          <cell r="T316">
            <v>25.17</v>
          </cell>
          <cell r="U316">
            <v>402.63706055994862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D317">
            <v>10090027</v>
          </cell>
          <cell r="E317" t="str">
            <v>Gomukh ID Kurha Dih</v>
          </cell>
          <cell r="F317">
            <v>0</v>
          </cell>
          <cell r="G317" t="str">
            <v>vlc</v>
          </cell>
          <cell r="H317" t="str">
            <v>Indirect</v>
          </cell>
          <cell r="I317">
            <v>1009</v>
          </cell>
          <cell r="J317" t="str">
            <v>Halsi</v>
          </cell>
          <cell r="K317" t="str">
            <v>Old</v>
          </cell>
          <cell r="L317">
            <v>44866</v>
          </cell>
          <cell r="M317">
            <v>797.1</v>
          </cell>
          <cell r="N317">
            <v>31078.33</v>
          </cell>
          <cell r="O317">
            <v>597.82500000000005</v>
          </cell>
          <cell r="P317">
            <v>757.245</v>
          </cell>
          <cell r="Q317">
            <v>0</v>
          </cell>
          <cell r="R317">
            <v>932.34990000000005</v>
          </cell>
          <cell r="S317">
            <v>175.10490000000004</v>
          </cell>
          <cell r="T317">
            <v>79.710000000000008</v>
          </cell>
          <cell r="U317">
            <v>1275.1617806507281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D318">
            <v>10090028</v>
          </cell>
          <cell r="E318" t="str">
            <v>KUMAR</v>
          </cell>
          <cell r="F318">
            <v>0</v>
          </cell>
          <cell r="G318" t="str">
            <v>MPG</v>
          </cell>
          <cell r="H318" t="str">
            <v>Direct</v>
          </cell>
          <cell r="I318">
            <v>1009</v>
          </cell>
          <cell r="J318" t="str">
            <v>Halsi</v>
          </cell>
          <cell r="K318" t="str">
            <v>Old</v>
          </cell>
          <cell r="L318">
            <v>44946</v>
          </cell>
          <cell r="M318">
            <v>993.8</v>
          </cell>
          <cell r="N318">
            <v>40122.009999999995</v>
          </cell>
          <cell r="O318">
            <v>745.34999999999991</v>
          </cell>
          <cell r="P318">
            <v>944.1099999999999</v>
          </cell>
          <cell r="Q318">
            <v>537.39554674720011</v>
          </cell>
          <cell r="R318">
            <v>1203.6602999999998</v>
          </cell>
          <cell r="S318">
            <v>259.55029999999988</v>
          </cell>
          <cell r="T318">
            <v>99.38</v>
          </cell>
          <cell r="U318">
            <v>892.44595309104568</v>
          </cell>
          <cell r="V318">
            <v>1235</v>
          </cell>
          <cell r="W318">
            <v>1235</v>
          </cell>
          <cell r="X318">
            <v>0</v>
          </cell>
          <cell r="Y318">
            <v>0</v>
          </cell>
        </row>
        <row r="319">
          <cell r="D319">
            <v>10090029</v>
          </cell>
          <cell r="E319" t="str">
            <v>RAMNAGAR</v>
          </cell>
          <cell r="F319">
            <v>0</v>
          </cell>
          <cell r="G319" t="str">
            <v>MPG</v>
          </cell>
          <cell r="H319" t="str">
            <v>Direct</v>
          </cell>
          <cell r="I319">
            <v>1009</v>
          </cell>
          <cell r="J319" t="str">
            <v>Halsi</v>
          </cell>
          <cell r="K319" t="str">
            <v>Old</v>
          </cell>
          <cell r="L319">
            <v>44967</v>
          </cell>
          <cell r="M319">
            <v>2483.5</v>
          </cell>
          <cell r="N319">
            <v>103931.42</v>
          </cell>
          <cell r="O319">
            <v>1862.625</v>
          </cell>
          <cell r="P319">
            <v>2359.3249999999998</v>
          </cell>
          <cell r="Q319">
            <v>875.77284227600001</v>
          </cell>
          <cell r="R319">
            <v>3117.9425999999999</v>
          </cell>
          <cell r="S319">
            <v>758.61760000000004</v>
          </cell>
          <cell r="T319">
            <v>248.35000000000002</v>
          </cell>
          <cell r="U319">
            <v>327.40973745219185</v>
          </cell>
          <cell r="V319">
            <v>4522</v>
          </cell>
          <cell r="W319">
            <v>2078.6284000000001</v>
          </cell>
          <cell r="X319">
            <v>0</v>
          </cell>
          <cell r="Y319">
            <v>0</v>
          </cell>
        </row>
        <row r="320">
          <cell r="D320">
            <v>10090030</v>
          </cell>
          <cell r="E320" t="str">
            <v>GUNSAGAR 1</v>
          </cell>
          <cell r="F320">
            <v>0</v>
          </cell>
          <cell r="G320" t="str">
            <v>MPG</v>
          </cell>
          <cell r="H320" t="str">
            <v>Direct</v>
          </cell>
          <cell r="I320">
            <v>1009</v>
          </cell>
          <cell r="J320" t="str">
            <v>Halsi</v>
          </cell>
          <cell r="K320" t="str">
            <v>Old</v>
          </cell>
          <cell r="L320">
            <v>44978</v>
          </cell>
          <cell r="M320">
            <v>123.8</v>
          </cell>
          <cell r="N320">
            <v>5203.9000000000005</v>
          </cell>
          <cell r="O320">
            <v>92.85</v>
          </cell>
          <cell r="P320">
            <v>117.60999999999999</v>
          </cell>
          <cell r="Q320">
            <v>0</v>
          </cell>
          <cell r="R320">
            <v>156.11700000000002</v>
          </cell>
          <cell r="S320">
            <v>38.507000000000033</v>
          </cell>
          <cell r="T320">
            <v>12.38</v>
          </cell>
          <cell r="U320">
            <v>197.9958615617852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D321">
            <v>10090033</v>
          </cell>
          <cell r="E321" t="str">
            <v>SANDH MAAF 2</v>
          </cell>
          <cell r="F321">
            <v>0</v>
          </cell>
          <cell r="G321" t="str">
            <v>MPG</v>
          </cell>
          <cell r="H321" t="str">
            <v>Direct</v>
          </cell>
          <cell r="I321">
            <v>1009</v>
          </cell>
          <cell r="J321" t="str">
            <v>Halsi</v>
          </cell>
          <cell r="K321" t="str">
            <v>Old</v>
          </cell>
          <cell r="L321">
            <v>45009</v>
          </cell>
          <cell r="M321">
            <v>3984.1000000000004</v>
          </cell>
          <cell r="N321">
            <v>195109.81</v>
          </cell>
          <cell r="O321">
            <v>2988.0750000000003</v>
          </cell>
          <cell r="P321">
            <v>3784.895</v>
          </cell>
          <cell r="Q321">
            <v>1420.7219416683999</v>
          </cell>
          <cell r="R321">
            <v>5853.2942999999996</v>
          </cell>
          <cell r="S321">
            <v>2068.3992999999996</v>
          </cell>
          <cell r="T321">
            <v>398.41000000000008</v>
          </cell>
          <cell r="U321">
            <v>0</v>
          </cell>
          <cell r="V321">
            <v>7795</v>
          </cell>
          <cell r="W321">
            <v>0</v>
          </cell>
          <cell r="X321">
            <v>3902.1961999999999</v>
          </cell>
          <cell r="Y321">
            <v>0</v>
          </cell>
        </row>
        <row r="322">
          <cell r="D322">
            <v>10090034</v>
          </cell>
          <cell r="E322" t="str">
            <v xml:space="preserve">BHATTA                                                                                              </v>
          </cell>
          <cell r="F322">
            <v>0</v>
          </cell>
          <cell r="G322" t="str">
            <v>MPG</v>
          </cell>
          <cell r="H322" t="str">
            <v>Direct</v>
          </cell>
          <cell r="I322">
            <v>1009</v>
          </cell>
          <cell r="J322" t="str">
            <v>Halsi</v>
          </cell>
          <cell r="K322" t="str">
            <v>Old</v>
          </cell>
          <cell r="L322">
            <v>45021</v>
          </cell>
          <cell r="M322">
            <v>2185.4999999999995</v>
          </cell>
          <cell r="N322">
            <v>88901.09</v>
          </cell>
          <cell r="O322">
            <v>1639.1249999999995</v>
          </cell>
          <cell r="P322">
            <v>2076.2249999999995</v>
          </cell>
          <cell r="Q322">
            <v>460.87028656079997</v>
          </cell>
          <cell r="R322">
            <v>2667.0326999999997</v>
          </cell>
          <cell r="S322">
            <v>590.8077000000003</v>
          </cell>
          <cell r="T322">
            <v>218.54999999999995</v>
          </cell>
          <cell r="U322">
            <v>502.15459509519792</v>
          </cell>
          <cell r="V322">
            <v>3456</v>
          </cell>
          <cell r="W322">
            <v>0</v>
          </cell>
          <cell r="X322">
            <v>0</v>
          </cell>
          <cell r="Y322">
            <v>0</v>
          </cell>
        </row>
        <row r="323">
          <cell r="D323">
            <v>10090036</v>
          </cell>
          <cell r="E323" t="str">
            <v xml:space="preserve">TAAL-SHAHARSHA                                                                                      </v>
          </cell>
          <cell r="F323">
            <v>0</v>
          </cell>
          <cell r="G323" t="str">
            <v>MPG</v>
          </cell>
          <cell r="H323" t="str">
            <v>Direct</v>
          </cell>
          <cell r="I323">
            <v>1009</v>
          </cell>
          <cell r="J323" t="str">
            <v>Halsi</v>
          </cell>
          <cell r="K323" t="str">
            <v>Old</v>
          </cell>
          <cell r="L323">
            <v>45052</v>
          </cell>
          <cell r="M323">
            <v>1577.5</v>
          </cell>
          <cell r="N323">
            <v>65219.97</v>
          </cell>
          <cell r="O323">
            <v>1183.125</v>
          </cell>
          <cell r="P323">
            <v>1498.625</v>
          </cell>
          <cell r="Q323">
            <v>921.31256941519996</v>
          </cell>
          <cell r="R323">
            <v>1956.5990999999999</v>
          </cell>
          <cell r="S323">
            <v>457.97409999999991</v>
          </cell>
          <cell r="T323">
            <v>157.75</v>
          </cell>
          <cell r="U323">
            <v>1014.1349535614711</v>
          </cell>
          <cell r="V323">
            <v>2431</v>
          </cell>
          <cell r="W323">
            <v>1861</v>
          </cell>
          <cell r="X323">
            <v>0</v>
          </cell>
          <cell r="Y323">
            <v>570</v>
          </cell>
        </row>
        <row r="324">
          <cell r="D324">
            <v>10090037</v>
          </cell>
          <cell r="E324" t="str">
            <v>Dhira</v>
          </cell>
          <cell r="F324">
            <v>0</v>
          </cell>
          <cell r="G324" t="str">
            <v>MPG</v>
          </cell>
          <cell r="H324" t="str">
            <v>Direct</v>
          </cell>
          <cell r="I324">
            <v>1009</v>
          </cell>
          <cell r="J324" t="str">
            <v>Halsi</v>
          </cell>
          <cell r="K324" t="str">
            <v>Old</v>
          </cell>
          <cell r="L324">
            <v>45078</v>
          </cell>
          <cell r="M324">
            <v>2074.8000000000002</v>
          </cell>
          <cell r="N324">
            <v>101993.19</v>
          </cell>
          <cell r="O324">
            <v>1556.1000000000001</v>
          </cell>
          <cell r="P324">
            <v>1971.0600000000002</v>
          </cell>
          <cell r="Q324">
            <v>884.49776744645999</v>
          </cell>
          <cell r="R324">
            <v>3059.7957000000001</v>
          </cell>
          <cell r="S324">
            <v>1088.7357</v>
          </cell>
          <cell r="T324">
            <v>207.48000000000002</v>
          </cell>
          <cell r="U324">
            <v>715.6071938336006</v>
          </cell>
          <cell r="V324">
            <v>3489</v>
          </cell>
          <cell r="W324">
            <v>2039.8638000000001</v>
          </cell>
          <cell r="X324">
            <v>0</v>
          </cell>
          <cell r="Y324">
            <v>0</v>
          </cell>
        </row>
        <row r="325">
          <cell r="D325">
            <v>10090040</v>
          </cell>
          <cell r="E325" t="str">
            <v>BARHARA</v>
          </cell>
          <cell r="F325">
            <v>0</v>
          </cell>
          <cell r="G325" t="str">
            <v>MPG</v>
          </cell>
          <cell r="H325" t="str">
            <v>Direct</v>
          </cell>
          <cell r="I325">
            <v>1009</v>
          </cell>
          <cell r="J325" t="str">
            <v>Halsi</v>
          </cell>
          <cell r="K325" t="str">
            <v>Old</v>
          </cell>
          <cell r="L325">
            <v>45110</v>
          </cell>
          <cell r="M325">
            <v>1810.1</v>
          </cell>
          <cell r="N325">
            <v>76214.990000000005</v>
          </cell>
          <cell r="O325">
            <v>1357.5749999999998</v>
          </cell>
          <cell r="P325">
            <v>1719.5949999999998</v>
          </cell>
          <cell r="Q325">
            <v>0</v>
          </cell>
          <cell r="R325">
            <v>2286.4497000000001</v>
          </cell>
          <cell r="S325">
            <v>566.85470000000032</v>
          </cell>
          <cell r="T325">
            <v>181.01</v>
          </cell>
          <cell r="U325">
            <v>837.54806945988503</v>
          </cell>
          <cell r="V325">
            <v>2059</v>
          </cell>
          <cell r="W325">
            <v>1861</v>
          </cell>
          <cell r="X325">
            <v>0</v>
          </cell>
          <cell r="Y325">
            <v>0</v>
          </cell>
        </row>
        <row r="326">
          <cell r="D326">
            <v>10090041</v>
          </cell>
          <cell r="E326" t="str">
            <v>AZADNAGAR(VLC)</v>
          </cell>
          <cell r="F326">
            <v>0</v>
          </cell>
          <cell r="G326" t="str">
            <v>vlc</v>
          </cell>
          <cell r="H326" t="str">
            <v>Indirect</v>
          </cell>
          <cell r="I326">
            <v>1009</v>
          </cell>
          <cell r="J326" t="str">
            <v>Halsi</v>
          </cell>
          <cell r="K326" t="str">
            <v>Old</v>
          </cell>
          <cell r="L326">
            <v>45152</v>
          </cell>
          <cell r="M326">
            <v>1139.1999999999998</v>
          </cell>
          <cell r="N326">
            <v>34187.279999999999</v>
          </cell>
          <cell r="O326">
            <v>854.39999999999986</v>
          </cell>
          <cell r="P326">
            <v>1082.2399999999998</v>
          </cell>
          <cell r="Q326">
            <v>0</v>
          </cell>
          <cell r="R326">
            <v>1025.6183999999998</v>
          </cell>
          <cell r="S326">
            <v>-56.621599999999944</v>
          </cell>
          <cell r="T326">
            <v>113.91999999999999</v>
          </cell>
          <cell r="U326">
            <v>985.74110106451576</v>
          </cell>
          <cell r="V326">
            <v>837</v>
          </cell>
          <cell r="W326">
            <v>0</v>
          </cell>
          <cell r="X326">
            <v>0</v>
          </cell>
          <cell r="Y326">
            <v>0</v>
          </cell>
        </row>
        <row r="327">
          <cell r="D327">
            <v>10090042</v>
          </cell>
          <cell r="E327" t="str">
            <v>REWAI</v>
          </cell>
          <cell r="F327">
            <v>0</v>
          </cell>
          <cell r="G327" t="str">
            <v>MPG</v>
          </cell>
          <cell r="H327" t="str">
            <v>Direct</v>
          </cell>
          <cell r="I327">
            <v>1009</v>
          </cell>
          <cell r="J327" t="str">
            <v>Halsi</v>
          </cell>
          <cell r="K327" t="str">
            <v>Old</v>
          </cell>
          <cell r="L327">
            <v>44652</v>
          </cell>
          <cell r="M327">
            <v>2201.9</v>
          </cell>
          <cell r="N327">
            <v>95052.77</v>
          </cell>
          <cell r="O327">
            <v>1651.4250000000002</v>
          </cell>
          <cell r="P327">
            <v>2091.8049999999998</v>
          </cell>
          <cell r="Q327">
            <v>398.81310276913007</v>
          </cell>
          <cell r="R327">
            <v>2851.5830999999998</v>
          </cell>
          <cell r="S327">
            <v>759.77809999999999</v>
          </cell>
          <cell r="T327">
            <v>220.19000000000003</v>
          </cell>
          <cell r="U327">
            <v>556.74157281305816</v>
          </cell>
          <cell r="V327">
            <v>3365</v>
          </cell>
          <cell r="W327">
            <v>1901.0554000000002</v>
          </cell>
          <cell r="X327">
            <v>0</v>
          </cell>
          <cell r="Y327">
            <v>0</v>
          </cell>
        </row>
        <row r="328">
          <cell r="D328">
            <v>10090043</v>
          </cell>
          <cell r="E328" t="str">
            <v>BAKHIYA</v>
          </cell>
          <cell r="F328">
            <v>0</v>
          </cell>
          <cell r="G328" t="str">
            <v>MPG</v>
          </cell>
          <cell r="H328" t="str">
            <v>Direct</v>
          </cell>
          <cell r="I328">
            <v>1009</v>
          </cell>
          <cell r="J328" t="str">
            <v>Halsi</v>
          </cell>
          <cell r="K328" t="str">
            <v>Old</v>
          </cell>
          <cell r="L328">
            <v>45236</v>
          </cell>
          <cell r="M328">
            <v>689.3</v>
          </cell>
          <cell r="N328">
            <v>30281.4</v>
          </cell>
          <cell r="O328">
            <v>516.97499999999991</v>
          </cell>
          <cell r="P328">
            <v>654.83499999999992</v>
          </cell>
          <cell r="Q328">
            <v>190.02126888436001</v>
          </cell>
          <cell r="R328">
            <v>908.44200000000001</v>
          </cell>
          <cell r="S328">
            <v>253.60700000000008</v>
          </cell>
          <cell r="T328">
            <v>68.929999999999993</v>
          </cell>
          <cell r="U328">
            <v>1292.5405690523298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</row>
        <row r="329">
          <cell r="D329">
            <v>10090045</v>
          </cell>
          <cell r="E329" t="str">
            <v>MANJOS</v>
          </cell>
          <cell r="F329">
            <v>0</v>
          </cell>
          <cell r="G329" t="str">
            <v>MPG</v>
          </cell>
          <cell r="H329" t="str">
            <v>Direct</v>
          </cell>
          <cell r="I329">
            <v>1009</v>
          </cell>
          <cell r="J329" t="str">
            <v>Halsi</v>
          </cell>
          <cell r="K329" t="str">
            <v>Old</v>
          </cell>
          <cell r="L329">
            <v>45226</v>
          </cell>
          <cell r="M329">
            <v>320.10000000000002</v>
          </cell>
          <cell r="N329">
            <v>13631.220000000001</v>
          </cell>
          <cell r="O329">
            <v>240.07500000000002</v>
          </cell>
          <cell r="P329">
            <v>304.09500000000003</v>
          </cell>
          <cell r="Q329">
            <v>2.2599999999999998</v>
          </cell>
          <cell r="R329">
            <v>408.9366</v>
          </cell>
          <cell r="S329">
            <v>104.84159999999997</v>
          </cell>
          <cell r="T329">
            <v>32.010000000000005</v>
          </cell>
          <cell r="U329">
            <v>513.98421926295123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</row>
        <row r="330">
          <cell r="D330">
            <v>10090046</v>
          </cell>
          <cell r="E330" t="str">
            <v>RATA</v>
          </cell>
          <cell r="F330">
            <v>0</v>
          </cell>
          <cell r="G330" t="str">
            <v>MPG</v>
          </cell>
          <cell r="H330" t="str">
            <v>Direct</v>
          </cell>
          <cell r="I330">
            <v>1009</v>
          </cell>
          <cell r="J330" t="str">
            <v>Halsi</v>
          </cell>
          <cell r="K330" t="str">
            <v>Old</v>
          </cell>
          <cell r="L330">
            <v>45226</v>
          </cell>
          <cell r="M330">
            <v>1026.0999999999999</v>
          </cell>
          <cell r="N330">
            <v>46335.5</v>
          </cell>
          <cell r="O330">
            <v>769.57499999999993</v>
          </cell>
          <cell r="P330">
            <v>974.79499999999985</v>
          </cell>
          <cell r="Q330">
            <v>161.87844539600002</v>
          </cell>
          <cell r="R330">
            <v>1390.0650000000001</v>
          </cell>
          <cell r="S330">
            <v>415.27000000000021</v>
          </cell>
          <cell r="T330">
            <v>102.61</v>
          </cell>
          <cell r="U330">
            <v>1607.1108045519379</v>
          </cell>
          <cell r="V330">
            <v>197</v>
          </cell>
          <cell r="W330">
            <v>197</v>
          </cell>
          <cell r="X330">
            <v>0</v>
          </cell>
          <cell r="Y330">
            <v>0</v>
          </cell>
        </row>
        <row r="331">
          <cell r="D331">
            <v>10090047</v>
          </cell>
          <cell r="E331" t="str">
            <v>BARUI</v>
          </cell>
          <cell r="F331">
            <v>0</v>
          </cell>
          <cell r="G331" t="str">
            <v>MPG</v>
          </cell>
          <cell r="H331" t="str">
            <v>Direct</v>
          </cell>
          <cell r="I331">
            <v>1009</v>
          </cell>
          <cell r="J331" t="str">
            <v>Halsi</v>
          </cell>
          <cell r="K331" t="str">
            <v>Old</v>
          </cell>
          <cell r="L331">
            <v>45219</v>
          </cell>
          <cell r="M331">
            <v>2262.1999999999998</v>
          </cell>
          <cell r="N331">
            <v>95361.75</v>
          </cell>
          <cell r="O331">
            <v>1696.6499999999999</v>
          </cell>
          <cell r="P331">
            <v>2149.0899999999997</v>
          </cell>
          <cell r="Q331">
            <v>1052.0603389287999</v>
          </cell>
          <cell r="R331">
            <v>2860.8525</v>
          </cell>
          <cell r="S331">
            <v>711.76250000000027</v>
          </cell>
          <cell r="T331">
            <v>226.22</v>
          </cell>
          <cell r="U331">
            <v>452.69064444541129</v>
          </cell>
          <cell r="V331">
            <v>4219</v>
          </cell>
          <cell r="W331">
            <v>1907.2350000000001</v>
          </cell>
          <cell r="X331">
            <v>0</v>
          </cell>
          <cell r="Y331">
            <v>0</v>
          </cell>
        </row>
        <row r="332">
          <cell r="D332">
            <v>10090049</v>
          </cell>
          <cell r="E332" t="str">
            <v>LAHUARA                                                                                             </v>
          </cell>
          <cell r="F332">
            <v>0</v>
          </cell>
          <cell r="G332" t="str">
            <v>MPG</v>
          </cell>
          <cell r="H332" t="str">
            <v>Direct</v>
          </cell>
          <cell r="I332">
            <v>1009</v>
          </cell>
          <cell r="J332" t="str">
            <v>Halsi</v>
          </cell>
          <cell r="K332" t="str">
            <v>Old</v>
          </cell>
          <cell r="L332">
            <v>45198</v>
          </cell>
          <cell r="M332">
            <v>3223.7</v>
          </cell>
          <cell r="N332">
            <v>144860.91999999998</v>
          </cell>
          <cell r="O332">
            <v>2417.7749999999996</v>
          </cell>
          <cell r="P332">
            <v>3062.5149999999999</v>
          </cell>
          <cell r="Q332">
            <v>1040.1900578658001</v>
          </cell>
          <cell r="R332">
            <v>4345.8275999999996</v>
          </cell>
          <cell r="S332">
            <v>1283.3125999999997</v>
          </cell>
          <cell r="T332">
            <v>322.37</v>
          </cell>
          <cell r="U332">
            <v>0</v>
          </cell>
          <cell r="V332">
            <v>6198</v>
          </cell>
          <cell r="W332">
            <v>2897.2183999999997</v>
          </cell>
          <cell r="X332">
            <v>0</v>
          </cell>
          <cell r="Y332">
            <v>0</v>
          </cell>
        </row>
        <row r="333">
          <cell r="D333">
            <v>10090052</v>
          </cell>
          <cell r="E333" t="str">
            <v>LACHHUAR</v>
          </cell>
          <cell r="F333">
            <v>0</v>
          </cell>
          <cell r="G333" t="str">
            <v>MPG</v>
          </cell>
          <cell r="H333" t="str">
            <v>Direct</v>
          </cell>
          <cell r="I333">
            <v>1009</v>
          </cell>
          <cell r="J333" t="str">
            <v>Halsi</v>
          </cell>
          <cell r="K333" t="str">
            <v>Old</v>
          </cell>
          <cell r="L333">
            <v>45323</v>
          </cell>
          <cell r="M333">
            <v>1694.4</v>
          </cell>
          <cell r="N333">
            <v>75393.94</v>
          </cell>
          <cell r="O333">
            <v>1270.8000000000002</v>
          </cell>
          <cell r="P333">
            <v>1609.68</v>
          </cell>
          <cell r="Q333">
            <v>314.15841705985599</v>
          </cell>
          <cell r="R333">
            <v>2261.8182000000002</v>
          </cell>
          <cell r="S333">
            <v>652.1382000000001</v>
          </cell>
          <cell r="T333">
            <v>169.44000000000003</v>
          </cell>
          <cell r="U333">
            <v>987.38724567333952</v>
          </cell>
          <cell r="V333">
            <v>2038</v>
          </cell>
          <cell r="W333">
            <v>1861</v>
          </cell>
          <cell r="X333">
            <v>0</v>
          </cell>
          <cell r="Y333">
            <v>0</v>
          </cell>
        </row>
        <row r="334">
          <cell r="D334">
            <v>10090054</v>
          </cell>
          <cell r="E334" t="str">
            <v>NANDNAMA-2</v>
          </cell>
          <cell r="F334">
            <v>0</v>
          </cell>
          <cell r="G334" t="str">
            <v>MPG</v>
          </cell>
          <cell r="H334" t="str">
            <v>Direct</v>
          </cell>
          <cell r="I334">
            <v>1009</v>
          </cell>
          <cell r="J334" t="str">
            <v>Halsi</v>
          </cell>
          <cell r="K334" t="str">
            <v>Old</v>
          </cell>
          <cell r="L334">
            <v>45541</v>
          </cell>
          <cell r="M334">
            <v>862.99999999999977</v>
          </cell>
          <cell r="N334">
            <v>40026.050000000003</v>
          </cell>
          <cell r="O334">
            <v>647.24999999999977</v>
          </cell>
          <cell r="P334">
            <v>819.8499999999998</v>
          </cell>
          <cell r="Q334">
            <v>86.749599353299999</v>
          </cell>
          <cell r="R334">
            <v>1200.7815000000001</v>
          </cell>
          <cell r="S334">
            <v>380.93150000000026</v>
          </cell>
          <cell r="T334">
            <v>86.299999999999983</v>
          </cell>
          <cell r="U334">
            <v>1467.1175213288748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>
            <v>10090055</v>
          </cell>
          <cell r="E335" t="str">
            <v>RAMDIH Ajit Kumar</v>
          </cell>
          <cell r="F335">
            <v>0</v>
          </cell>
          <cell r="G335" t="str">
            <v>vlc</v>
          </cell>
          <cell r="H335" t="str">
            <v>Indirect</v>
          </cell>
          <cell r="I335">
            <v>1009</v>
          </cell>
          <cell r="J335" t="str">
            <v>Halsi</v>
          </cell>
          <cell r="K335" t="str">
            <v>Old</v>
          </cell>
          <cell r="L335">
            <v>45590</v>
          </cell>
          <cell r="M335">
            <v>458</v>
          </cell>
          <cell r="N335">
            <v>21517.23</v>
          </cell>
          <cell r="O335">
            <v>343.5</v>
          </cell>
          <cell r="P335">
            <v>435.09999999999997</v>
          </cell>
          <cell r="Q335">
            <v>0</v>
          </cell>
          <cell r="R335">
            <v>645.51689999999996</v>
          </cell>
          <cell r="S335">
            <v>210.4169</v>
          </cell>
          <cell r="T335">
            <v>45.800000000000004</v>
          </cell>
          <cell r="U335">
            <v>732.62057632233336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>
            <v>10090056</v>
          </cell>
          <cell r="E336" t="str">
            <v>NARAYANPUR</v>
          </cell>
          <cell r="F336">
            <v>0</v>
          </cell>
          <cell r="G336" t="str">
            <v>MPG</v>
          </cell>
          <cell r="H336" t="str">
            <v>Direct</v>
          </cell>
          <cell r="I336">
            <v>1009</v>
          </cell>
          <cell r="J336" t="str">
            <v>Halsi</v>
          </cell>
          <cell r="K336" t="str">
            <v>Old</v>
          </cell>
          <cell r="L336">
            <v>45614</v>
          </cell>
          <cell r="M336">
            <v>1600.2000000000003</v>
          </cell>
          <cell r="N336">
            <v>66131.430000000008</v>
          </cell>
          <cell r="O336">
            <v>1200.1500000000001</v>
          </cell>
          <cell r="P336">
            <v>1520.1900000000003</v>
          </cell>
          <cell r="Q336">
            <v>131.73935486451998</v>
          </cell>
          <cell r="R336">
            <v>1983.9429000000002</v>
          </cell>
          <cell r="S336">
            <v>463.75289999999995</v>
          </cell>
          <cell r="T336">
            <v>160.02000000000004</v>
          </cell>
          <cell r="U336">
            <v>987.55036050147532</v>
          </cell>
          <cell r="V336">
            <v>1705</v>
          </cell>
          <cell r="W336">
            <v>1705</v>
          </cell>
          <cell r="X336">
            <v>0</v>
          </cell>
          <cell r="Y336">
            <v>0</v>
          </cell>
        </row>
        <row r="337">
          <cell r="D337">
            <v>10090057</v>
          </cell>
          <cell r="E337" t="str">
            <v>BELLORI</v>
          </cell>
          <cell r="F337">
            <v>0</v>
          </cell>
          <cell r="G337" t="str">
            <v>MPG</v>
          </cell>
          <cell r="H337" t="str">
            <v>Direct</v>
          </cell>
          <cell r="I337">
            <v>1009</v>
          </cell>
          <cell r="J337" t="str">
            <v>Halsi</v>
          </cell>
          <cell r="K337" t="str">
            <v>Old</v>
          </cell>
          <cell r="L337">
            <v>45721</v>
          </cell>
          <cell r="M337">
            <v>487.59999999999991</v>
          </cell>
          <cell r="N337">
            <v>21696.550000000003</v>
          </cell>
          <cell r="O337">
            <v>365.69999999999993</v>
          </cell>
          <cell r="P337">
            <v>463.21999999999991</v>
          </cell>
          <cell r="Q337">
            <v>8.2016150400000001</v>
          </cell>
          <cell r="R337">
            <v>650.89650000000006</v>
          </cell>
          <cell r="S337">
            <v>187.67650000000015</v>
          </cell>
          <cell r="T337">
            <v>48.759999999999991</v>
          </cell>
          <cell r="U337">
            <v>788.83855274188409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</row>
        <row r="338">
          <cell r="D338">
            <v>10090058</v>
          </cell>
          <cell r="E338" t="str">
            <v>NAWKADIH</v>
          </cell>
          <cell r="F338">
            <v>0</v>
          </cell>
          <cell r="G338" t="str">
            <v>MPG</v>
          </cell>
          <cell r="H338" t="str">
            <v>Direct</v>
          </cell>
          <cell r="I338">
            <v>1009</v>
          </cell>
          <cell r="J338" t="str">
            <v>Halsi</v>
          </cell>
          <cell r="K338" t="str">
            <v>Old</v>
          </cell>
          <cell r="L338">
            <v>45681</v>
          </cell>
          <cell r="M338">
            <v>1775.9</v>
          </cell>
          <cell r="N338">
            <v>72931.899999999994</v>
          </cell>
          <cell r="O338">
            <v>1331.9250000000002</v>
          </cell>
          <cell r="P338">
            <v>1687.105</v>
          </cell>
          <cell r="Q338">
            <v>294.820595948</v>
          </cell>
          <cell r="R338">
            <v>2187.9569999999999</v>
          </cell>
          <cell r="S338">
            <v>500.85199999999986</v>
          </cell>
          <cell r="T338">
            <v>177.59000000000003</v>
          </cell>
          <cell r="U338">
            <v>841.64790318531345</v>
          </cell>
          <cell r="V338">
            <v>2295</v>
          </cell>
          <cell r="W338">
            <v>1861</v>
          </cell>
          <cell r="X338">
            <v>0</v>
          </cell>
          <cell r="Y338">
            <v>0</v>
          </cell>
        </row>
        <row r="339">
          <cell r="D339">
            <v>10090060</v>
          </cell>
          <cell r="E339" t="str">
            <v xml:space="preserve">KHARAGWADA </v>
          </cell>
          <cell r="F339">
            <v>0</v>
          </cell>
          <cell r="G339" t="str">
            <v>MPG</v>
          </cell>
          <cell r="H339" t="str">
            <v>Direct</v>
          </cell>
          <cell r="I339">
            <v>1009</v>
          </cell>
          <cell r="J339" t="str">
            <v>Halsi</v>
          </cell>
          <cell r="K339" t="str">
            <v>Old</v>
          </cell>
          <cell r="L339">
            <v>45707</v>
          </cell>
          <cell r="M339">
            <v>691.80000000000007</v>
          </cell>
          <cell r="N339">
            <v>28533.379999999997</v>
          </cell>
          <cell r="O339">
            <v>518.85</v>
          </cell>
          <cell r="P339">
            <v>657.21</v>
          </cell>
          <cell r="Q339">
            <v>0</v>
          </cell>
          <cell r="R339">
            <v>856.00139999999988</v>
          </cell>
          <cell r="S339">
            <v>198.79139999999984</v>
          </cell>
          <cell r="T339">
            <v>69.180000000000007</v>
          </cell>
          <cell r="U339">
            <v>1106.6412540695612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</row>
        <row r="340">
          <cell r="D340">
            <v>10090061</v>
          </cell>
          <cell r="E340" t="str">
            <v>UFFAPUR</v>
          </cell>
          <cell r="F340">
            <v>0</v>
          </cell>
          <cell r="G340" t="str">
            <v>MPG</v>
          </cell>
          <cell r="H340" t="str">
            <v>Direct</v>
          </cell>
          <cell r="I340">
            <v>1009</v>
          </cell>
          <cell r="J340" t="str">
            <v>Halsi</v>
          </cell>
          <cell r="K340" t="str">
            <v>Old</v>
          </cell>
          <cell r="L340">
            <v>45722</v>
          </cell>
          <cell r="M340">
            <v>1317.8999999999999</v>
          </cell>
          <cell r="N340">
            <v>56257.009999999995</v>
          </cell>
          <cell r="O340">
            <v>988.42499999999995</v>
          </cell>
          <cell r="P340">
            <v>1252.0049999999999</v>
          </cell>
          <cell r="Q340">
            <v>0</v>
          </cell>
          <cell r="R340">
            <v>1687.7102999999997</v>
          </cell>
          <cell r="S340">
            <v>435.70529999999985</v>
          </cell>
          <cell r="T340">
            <v>131.79</v>
          </cell>
          <cell r="U340">
            <v>1268.5210814608224</v>
          </cell>
          <cell r="V340">
            <v>840</v>
          </cell>
          <cell r="W340">
            <v>840</v>
          </cell>
          <cell r="X340">
            <v>0</v>
          </cell>
          <cell r="Y340">
            <v>0</v>
          </cell>
        </row>
        <row r="341">
          <cell r="D341">
            <v>10090063</v>
          </cell>
          <cell r="E341" t="str">
            <v>BIHRAURA</v>
          </cell>
          <cell r="F341">
            <v>0</v>
          </cell>
          <cell r="G341" t="str">
            <v>MPG</v>
          </cell>
          <cell r="H341" t="str">
            <v>Direct</v>
          </cell>
          <cell r="I341">
            <v>1009</v>
          </cell>
          <cell r="J341" t="str">
            <v>Halsi</v>
          </cell>
          <cell r="K341" t="str">
            <v>Old</v>
          </cell>
          <cell r="L341">
            <v>45745</v>
          </cell>
          <cell r="M341">
            <v>554.20000000000005</v>
          </cell>
          <cell r="N341">
            <v>24905.61</v>
          </cell>
          <cell r="O341">
            <v>415.65000000000003</v>
          </cell>
          <cell r="P341">
            <v>526.49</v>
          </cell>
          <cell r="Q341">
            <v>110.641551916</v>
          </cell>
          <cell r="R341">
            <v>747.16830000000004</v>
          </cell>
          <cell r="S341">
            <v>220.67830000000004</v>
          </cell>
          <cell r="T341">
            <v>55.420000000000009</v>
          </cell>
          <cell r="U341">
            <v>997.14954678310596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D342">
            <v>10090064</v>
          </cell>
          <cell r="E342" t="str">
            <v>SHIJHORI</v>
          </cell>
          <cell r="F342">
            <v>0</v>
          </cell>
          <cell r="G342" t="str">
            <v>MPG</v>
          </cell>
          <cell r="H342" t="str">
            <v>Direct</v>
          </cell>
          <cell r="I342">
            <v>1009</v>
          </cell>
          <cell r="J342" t="str">
            <v>Halsi</v>
          </cell>
          <cell r="K342" t="str">
            <v>Old</v>
          </cell>
          <cell r="L342">
            <v>45745</v>
          </cell>
          <cell r="M342">
            <v>1364.7</v>
          </cell>
          <cell r="N342">
            <v>55427.909999999996</v>
          </cell>
          <cell r="O342">
            <v>1023.5250000000001</v>
          </cell>
          <cell r="P342">
            <v>1296.4649999999999</v>
          </cell>
          <cell r="Q342">
            <v>0</v>
          </cell>
          <cell r="R342">
            <v>1662.8372999999999</v>
          </cell>
          <cell r="S342">
            <v>366.3723</v>
          </cell>
          <cell r="T342">
            <v>136.47</v>
          </cell>
          <cell r="U342">
            <v>1163.7318317205986</v>
          </cell>
          <cell r="V342">
            <v>1020</v>
          </cell>
          <cell r="W342">
            <v>1020</v>
          </cell>
          <cell r="X342">
            <v>0</v>
          </cell>
          <cell r="Y342">
            <v>0</v>
          </cell>
        </row>
        <row r="343">
          <cell r="D343">
            <v>10090065</v>
          </cell>
          <cell r="E343" t="str">
            <v>RAM PRAVESH YADAV</v>
          </cell>
          <cell r="F343">
            <v>0</v>
          </cell>
          <cell r="G343" t="str">
            <v>MPG</v>
          </cell>
          <cell r="H343" t="str">
            <v>Direct</v>
          </cell>
          <cell r="I343">
            <v>1009</v>
          </cell>
          <cell r="J343" t="str">
            <v>Halsi</v>
          </cell>
          <cell r="K343" t="str">
            <v>Old</v>
          </cell>
          <cell r="L343">
            <v>45796</v>
          </cell>
          <cell r="M343">
            <v>1762.6999999999998</v>
          </cell>
          <cell r="N343">
            <v>73197.59</v>
          </cell>
          <cell r="O343">
            <v>1322.0249999999999</v>
          </cell>
          <cell r="P343">
            <v>1674.5649999999998</v>
          </cell>
          <cell r="Q343">
            <v>0</v>
          </cell>
          <cell r="R343">
            <v>2195.9276999999997</v>
          </cell>
          <cell r="S343">
            <v>521.3626999999999</v>
          </cell>
          <cell r="T343">
            <v>176.26999999999998</v>
          </cell>
          <cell r="U343">
            <v>861.46774186094058</v>
          </cell>
          <cell r="V343">
            <v>1959</v>
          </cell>
          <cell r="W343">
            <v>1861</v>
          </cell>
          <cell r="X343">
            <v>0</v>
          </cell>
          <cell r="Y343">
            <v>0</v>
          </cell>
        </row>
        <row r="344">
          <cell r="D344">
            <v>10090066</v>
          </cell>
          <cell r="E344" t="str">
            <v>KRAUTA</v>
          </cell>
          <cell r="F344">
            <v>0</v>
          </cell>
          <cell r="G344" t="str">
            <v>MPG</v>
          </cell>
          <cell r="H344" t="str">
            <v>Direct</v>
          </cell>
          <cell r="I344">
            <v>1009</v>
          </cell>
          <cell r="J344" t="str">
            <v>Halsi</v>
          </cell>
          <cell r="K344" t="str">
            <v>New</v>
          </cell>
          <cell r="L344">
            <v>45872</v>
          </cell>
          <cell r="M344">
            <v>1659.9999999999998</v>
          </cell>
          <cell r="N344">
            <v>68344.039999999994</v>
          </cell>
          <cell r="O344">
            <v>1244.9999999999998</v>
          </cell>
          <cell r="P344">
            <v>1576.9999999999998</v>
          </cell>
          <cell r="Q344">
            <v>0</v>
          </cell>
          <cell r="R344">
            <v>2050.3211999999999</v>
          </cell>
          <cell r="S344">
            <v>473.32120000000009</v>
          </cell>
          <cell r="T344">
            <v>166</v>
          </cell>
          <cell r="U344">
            <v>0</v>
          </cell>
          <cell r="V344">
            <v>2656</v>
          </cell>
          <cell r="W344">
            <v>0</v>
          </cell>
          <cell r="X344">
            <v>0</v>
          </cell>
          <cell r="Y344">
            <v>0</v>
          </cell>
        </row>
        <row r="345">
          <cell r="D345">
            <v>10090069</v>
          </cell>
          <cell r="E345" t="str">
            <v>MAHMADPUR VL</v>
          </cell>
          <cell r="F345">
            <v>0</v>
          </cell>
          <cell r="G345" t="str">
            <v>vlc</v>
          </cell>
          <cell r="H345" t="str">
            <v>Indirect</v>
          </cell>
          <cell r="I345">
            <v>1009</v>
          </cell>
          <cell r="J345" t="str">
            <v>Halsi</v>
          </cell>
          <cell r="K345" t="str">
            <v>New</v>
          </cell>
          <cell r="L345">
            <v>45892</v>
          </cell>
          <cell r="M345">
            <v>297.8</v>
          </cell>
          <cell r="N345">
            <v>11565.09</v>
          </cell>
          <cell r="O345">
            <v>223.35000000000002</v>
          </cell>
          <cell r="P345">
            <v>282.91000000000003</v>
          </cell>
          <cell r="Q345">
            <v>0</v>
          </cell>
          <cell r="R345">
            <v>346.95269999999999</v>
          </cell>
          <cell r="S345">
            <v>64.042699999999968</v>
          </cell>
          <cell r="T345">
            <v>29.78</v>
          </cell>
          <cell r="U345">
            <v>0</v>
          </cell>
          <cell r="V345">
            <v>476</v>
          </cell>
          <cell r="W345">
            <v>0</v>
          </cell>
          <cell r="X345">
            <v>0</v>
          </cell>
          <cell r="Y345">
            <v>0</v>
          </cell>
        </row>
        <row r="346">
          <cell r="D346">
            <v>10100001</v>
          </cell>
          <cell r="E346" t="str">
            <v>Vishan Pur</v>
          </cell>
          <cell r="F346">
            <v>0</v>
          </cell>
          <cell r="G346" t="str">
            <v>MPG</v>
          </cell>
          <cell r="H346" t="str">
            <v>Direct</v>
          </cell>
          <cell r="I346">
            <v>1007</v>
          </cell>
          <cell r="J346" t="str">
            <v>Araria</v>
          </cell>
          <cell r="K346" t="str">
            <v>Old</v>
          </cell>
          <cell r="L346">
            <v>43020</v>
          </cell>
          <cell r="M346">
            <v>926.10000000000014</v>
          </cell>
          <cell r="N346">
            <v>33780.17</v>
          </cell>
          <cell r="O346">
            <v>694.57500000000005</v>
          </cell>
          <cell r="P346">
            <v>879.79500000000007</v>
          </cell>
          <cell r="Q346">
            <v>984.73800520000009</v>
          </cell>
          <cell r="R346">
            <v>1013.4050999999999</v>
          </cell>
          <cell r="S346">
            <v>133.61009999999987</v>
          </cell>
          <cell r="T346">
            <v>92.610000000000014</v>
          </cell>
          <cell r="U346">
            <v>1366.7288917268229</v>
          </cell>
          <cell r="V346">
            <v>1100</v>
          </cell>
          <cell r="W346">
            <v>1100</v>
          </cell>
          <cell r="X346">
            <v>0</v>
          </cell>
          <cell r="Y346">
            <v>0</v>
          </cell>
        </row>
        <row r="347">
          <cell r="D347">
            <v>10100003</v>
          </cell>
          <cell r="E347" t="str">
            <v>Gomukh Madhawpur</v>
          </cell>
          <cell r="F347">
            <v>0</v>
          </cell>
          <cell r="G347" t="str">
            <v>MPG</v>
          </cell>
          <cell r="H347" t="str">
            <v>Direct</v>
          </cell>
          <cell r="I347">
            <v>1007</v>
          </cell>
          <cell r="J347" t="str">
            <v>Araria</v>
          </cell>
          <cell r="K347" t="str">
            <v>Old</v>
          </cell>
          <cell r="L347">
            <v>44974</v>
          </cell>
          <cell r="M347">
            <v>2786.1</v>
          </cell>
          <cell r="N347">
            <v>116542.17</v>
          </cell>
          <cell r="O347">
            <v>2089.5749999999998</v>
          </cell>
          <cell r="P347">
            <v>2646.7949999999996</v>
          </cell>
          <cell r="Q347">
            <v>1039.3042160345001</v>
          </cell>
          <cell r="R347">
            <v>3496.2650999999996</v>
          </cell>
          <cell r="S347">
            <v>849.4701</v>
          </cell>
          <cell r="T347">
            <v>278.61</v>
          </cell>
          <cell r="U347">
            <v>179.9623460405727</v>
          </cell>
          <cell r="V347">
            <v>5317</v>
          </cell>
          <cell r="W347">
            <v>0</v>
          </cell>
          <cell r="X347">
            <v>0</v>
          </cell>
          <cell r="Y347">
            <v>0</v>
          </cell>
        </row>
        <row r="348">
          <cell r="D348">
            <v>10100009</v>
          </cell>
          <cell r="E348" t="str">
            <v>Gomukh Kanhaiyachak Pachhim</v>
          </cell>
          <cell r="F348">
            <v>0</v>
          </cell>
          <cell r="G348" t="str">
            <v>MPG</v>
          </cell>
          <cell r="H348" t="str">
            <v>Direct</v>
          </cell>
          <cell r="I348">
            <v>1007</v>
          </cell>
          <cell r="J348" t="str">
            <v>Araria</v>
          </cell>
          <cell r="K348" t="str">
            <v>Old</v>
          </cell>
          <cell r="L348">
            <v>45012</v>
          </cell>
          <cell r="M348">
            <v>1836</v>
          </cell>
          <cell r="N348">
            <v>92386.880000000005</v>
          </cell>
          <cell r="O348">
            <v>1377</v>
          </cell>
          <cell r="P348">
            <v>1744.1999999999998</v>
          </cell>
          <cell r="Q348">
            <v>0</v>
          </cell>
          <cell r="R348">
            <v>2771.6064000000001</v>
          </cell>
          <cell r="S348">
            <v>1027.4064000000003</v>
          </cell>
          <cell r="T348">
            <v>183.60000000000002</v>
          </cell>
          <cell r="U348">
            <v>957.81096612782687</v>
          </cell>
          <cell r="V348">
            <v>1980</v>
          </cell>
          <cell r="W348">
            <v>1861</v>
          </cell>
          <cell r="X348">
            <v>0</v>
          </cell>
          <cell r="Y348">
            <v>0</v>
          </cell>
        </row>
        <row r="349">
          <cell r="D349">
            <v>10100019</v>
          </cell>
          <cell r="E349" t="str">
            <v xml:space="preserve">Gomukh Badi Lagar                                                                                   </v>
          </cell>
          <cell r="F349">
            <v>0</v>
          </cell>
          <cell r="G349" t="str">
            <v>MPG</v>
          </cell>
          <cell r="H349" t="str">
            <v>Direct</v>
          </cell>
          <cell r="I349">
            <v>1007</v>
          </cell>
          <cell r="J349" t="str">
            <v>Araria</v>
          </cell>
          <cell r="K349" t="str">
            <v>Old</v>
          </cell>
          <cell r="L349">
            <v>45043</v>
          </cell>
          <cell r="M349">
            <v>25.3</v>
          </cell>
          <cell r="N349">
            <v>1283.03</v>
          </cell>
          <cell r="O349">
            <v>18.975000000000001</v>
          </cell>
          <cell r="P349">
            <v>24.035</v>
          </cell>
          <cell r="Q349">
            <v>0</v>
          </cell>
          <cell r="R349">
            <v>38.490899999999996</v>
          </cell>
          <cell r="S349">
            <v>14.455899999999996</v>
          </cell>
          <cell r="T349">
            <v>2.5300000000000002</v>
          </cell>
          <cell r="U349">
            <v>40.316475098814294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D350">
            <v>10100021</v>
          </cell>
          <cell r="E350" t="str">
            <v xml:space="preserve">Gomukh Bandahera                                                                                    </v>
          </cell>
          <cell r="F350">
            <v>0</v>
          </cell>
          <cell r="G350" t="str">
            <v>MPG</v>
          </cell>
          <cell r="H350" t="str">
            <v>Direct</v>
          </cell>
          <cell r="I350">
            <v>1007</v>
          </cell>
          <cell r="J350" t="str">
            <v>Araria</v>
          </cell>
          <cell r="K350" t="str">
            <v>Old</v>
          </cell>
          <cell r="L350">
            <v>45017</v>
          </cell>
          <cell r="M350">
            <v>3283.8999999999996</v>
          </cell>
          <cell r="N350">
            <v>144771.43</v>
          </cell>
          <cell r="O350">
            <v>2462.9249999999997</v>
          </cell>
          <cell r="P350">
            <v>3119.7049999999995</v>
          </cell>
          <cell r="Q350">
            <v>253.55485672580002</v>
          </cell>
          <cell r="R350">
            <v>4343.1428999999998</v>
          </cell>
          <cell r="S350">
            <v>1223.4379000000004</v>
          </cell>
          <cell r="T350">
            <v>328.39</v>
          </cell>
          <cell r="U350">
            <v>43.133849462365596</v>
          </cell>
          <cell r="V350">
            <v>5465</v>
          </cell>
          <cell r="W350">
            <v>2895.4285999999997</v>
          </cell>
          <cell r="X350">
            <v>0</v>
          </cell>
          <cell r="Y350">
            <v>0</v>
          </cell>
        </row>
        <row r="351">
          <cell r="D351">
            <v>10100024</v>
          </cell>
          <cell r="E351" t="str">
            <v xml:space="preserve">Gomukh Aguwani                                                                                      </v>
          </cell>
          <cell r="F351">
            <v>0</v>
          </cell>
          <cell r="G351" t="str">
            <v>MPG</v>
          </cell>
          <cell r="H351" t="str">
            <v>Direct</v>
          </cell>
          <cell r="I351">
            <v>1007</v>
          </cell>
          <cell r="J351" t="str">
            <v>Araria</v>
          </cell>
          <cell r="K351" t="str">
            <v>Old</v>
          </cell>
          <cell r="L351">
            <v>45017</v>
          </cell>
          <cell r="M351">
            <v>10</v>
          </cell>
          <cell r="N351">
            <v>358.72</v>
          </cell>
          <cell r="O351">
            <v>7.5</v>
          </cell>
          <cell r="P351">
            <v>9.5</v>
          </cell>
          <cell r="Q351">
            <v>5.0506212120000002</v>
          </cell>
          <cell r="R351">
            <v>10.7616</v>
          </cell>
          <cell r="S351">
            <v>1.2615999999999996</v>
          </cell>
          <cell r="T351">
            <v>1</v>
          </cell>
          <cell r="U351">
            <v>21.033600000000035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D352">
            <v>10100033</v>
          </cell>
          <cell r="E352" t="str">
            <v>Gomukh Basudevpur</v>
          </cell>
          <cell r="F352">
            <v>0</v>
          </cell>
          <cell r="G352" t="str">
            <v>vlc</v>
          </cell>
          <cell r="H352" t="str">
            <v>Indirect</v>
          </cell>
          <cell r="I352">
            <v>1007</v>
          </cell>
          <cell r="J352" t="str">
            <v>Araria</v>
          </cell>
          <cell r="K352" t="str">
            <v>Old</v>
          </cell>
          <cell r="L352">
            <v>45238</v>
          </cell>
          <cell r="M352">
            <v>373.70000000000005</v>
          </cell>
          <cell r="N352">
            <v>14063.06</v>
          </cell>
          <cell r="O352">
            <v>280.27500000000003</v>
          </cell>
          <cell r="P352">
            <v>355.01500000000004</v>
          </cell>
          <cell r="Q352">
            <v>0</v>
          </cell>
          <cell r="R352">
            <v>421.89179999999999</v>
          </cell>
          <cell r="S352">
            <v>66.876799999999946</v>
          </cell>
          <cell r="T352">
            <v>37.370000000000005</v>
          </cell>
          <cell r="U352">
            <v>597.50649995191384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>
            <v>10100035</v>
          </cell>
          <cell r="E353" t="str">
            <v>Gomukh Fudkichak</v>
          </cell>
          <cell r="F353">
            <v>0</v>
          </cell>
          <cell r="G353" t="str">
            <v>MPG</v>
          </cell>
          <cell r="H353" t="str">
            <v>Direct</v>
          </cell>
          <cell r="I353">
            <v>1007</v>
          </cell>
          <cell r="J353" t="str">
            <v>Araria</v>
          </cell>
          <cell r="K353" t="str">
            <v>Old</v>
          </cell>
          <cell r="L353">
            <v>45238</v>
          </cell>
          <cell r="M353">
            <v>387.70000000000005</v>
          </cell>
          <cell r="N353">
            <v>17439.25</v>
          </cell>
          <cell r="O353">
            <v>290.77500000000003</v>
          </cell>
          <cell r="P353">
            <v>368.315</v>
          </cell>
          <cell r="Q353">
            <v>1582.99914870778</v>
          </cell>
          <cell r="R353">
            <v>523.17750000000001</v>
          </cell>
          <cell r="S353">
            <v>154.86250000000001</v>
          </cell>
          <cell r="T353">
            <v>38.77000000000001</v>
          </cell>
          <cell r="U353">
            <v>1560.2704082432149</v>
          </cell>
          <cell r="V353">
            <v>643</v>
          </cell>
          <cell r="W353">
            <v>643</v>
          </cell>
          <cell r="X353">
            <v>0</v>
          </cell>
          <cell r="Y353">
            <v>0</v>
          </cell>
        </row>
        <row r="354">
          <cell r="D354">
            <v>10100037</v>
          </cell>
          <cell r="E354" t="str">
            <v>Gomukh Tehay</v>
          </cell>
          <cell r="F354">
            <v>0</v>
          </cell>
          <cell r="G354" t="str">
            <v>MPG</v>
          </cell>
          <cell r="H354" t="str">
            <v>Direct</v>
          </cell>
          <cell r="I354">
            <v>1007</v>
          </cell>
          <cell r="J354" t="str">
            <v>Araria</v>
          </cell>
          <cell r="K354" t="str">
            <v>Old</v>
          </cell>
          <cell r="L354">
            <v>45260</v>
          </cell>
          <cell r="M354">
            <v>1329.6</v>
          </cell>
          <cell r="N354">
            <v>57586.150000000009</v>
          </cell>
          <cell r="O354">
            <v>997.19999999999993</v>
          </cell>
          <cell r="P354">
            <v>1263.1199999999999</v>
          </cell>
          <cell r="Q354">
            <v>297.25109329000003</v>
          </cell>
          <cell r="R354">
            <v>1727.5845000000002</v>
          </cell>
          <cell r="S354">
            <v>464.46450000000027</v>
          </cell>
          <cell r="T354">
            <v>132.96</v>
          </cell>
          <cell r="U354">
            <v>1272.9657026005202</v>
          </cell>
          <cell r="V354">
            <v>1152</v>
          </cell>
          <cell r="W354">
            <v>1152</v>
          </cell>
          <cell r="X354">
            <v>0</v>
          </cell>
          <cell r="Y354">
            <v>0</v>
          </cell>
        </row>
        <row r="355">
          <cell r="D355">
            <v>10100045</v>
          </cell>
          <cell r="E355" t="str">
            <v>Gomukh Krochaka Dudhela</v>
          </cell>
          <cell r="F355">
            <v>0</v>
          </cell>
          <cell r="G355" t="str">
            <v>MPG</v>
          </cell>
          <cell r="H355" t="str">
            <v>Direct</v>
          </cell>
          <cell r="I355">
            <v>1007</v>
          </cell>
          <cell r="J355" t="str">
            <v>Araria</v>
          </cell>
          <cell r="K355" t="str">
            <v>Old</v>
          </cell>
          <cell r="L355">
            <v>45471</v>
          </cell>
          <cell r="M355">
            <v>962.40000000000009</v>
          </cell>
          <cell r="N355">
            <v>35727.58</v>
          </cell>
          <cell r="O355">
            <v>721.80000000000007</v>
          </cell>
          <cell r="P355">
            <v>914.28000000000009</v>
          </cell>
          <cell r="Q355">
            <v>663.04656752379992</v>
          </cell>
          <cell r="R355">
            <v>1071.8274000000001</v>
          </cell>
          <cell r="S355">
            <v>157.54740000000004</v>
          </cell>
          <cell r="T355">
            <v>96.240000000000009</v>
          </cell>
          <cell r="U355">
            <v>1367.5112534800492</v>
          </cell>
          <cell r="V355">
            <v>835</v>
          </cell>
          <cell r="W355">
            <v>835</v>
          </cell>
          <cell r="X355">
            <v>0</v>
          </cell>
          <cell r="Y355">
            <v>0</v>
          </cell>
        </row>
        <row r="356">
          <cell r="D356">
            <v>10100048</v>
          </cell>
          <cell r="E356" t="str">
            <v>Gomukh Ganga Nagar</v>
          </cell>
          <cell r="F356">
            <v>0</v>
          </cell>
          <cell r="G356" t="str">
            <v>MPG</v>
          </cell>
          <cell r="H356" t="str">
            <v>Direct</v>
          </cell>
          <cell r="I356">
            <v>1036</v>
          </cell>
          <cell r="J356" t="str">
            <v>MAHADAT PUR 2</v>
          </cell>
          <cell r="K356" t="str">
            <v>Old</v>
          </cell>
          <cell r="L356">
            <v>45593</v>
          </cell>
          <cell r="M356">
            <v>162.9</v>
          </cell>
          <cell r="N356">
            <v>5166.3999999999996</v>
          </cell>
          <cell r="O356">
            <v>122.17500000000001</v>
          </cell>
          <cell r="P356">
            <v>154.755</v>
          </cell>
          <cell r="Q356">
            <v>0</v>
          </cell>
          <cell r="R356">
            <v>154.99199999999999</v>
          </cell>
          <cell r="S356">
            <v>0.23699999999999477</v>
          </cell>
          <cell r="T356">
            <v>16.290000000000003</v>
          </cell>
          <cell r="U356">
            <v>260.92990314643293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D357">
            <v>10100049</v>
          </cell>
          <cell r="E357" t="str">
            <v>Gomukh Govind Pur</v>
          </cell>
          <cell r="F357">
            <v>0</v>
          </cell>
          <cell r="G357" t="str">
            <v>MPG</v>
          </cell>
          <cell r="H357" t="str">
            <v>Direct</v>
          </cell>
          <cell r="I357">
            <v>1007</v>
          </cell>
          <cell r="J357" t="str">
            <v>Araria</v>
          </cell>
          <cell r="K357" t="str">
            <v>Old</v>
          </cell>
          <cell r="L357">
            <v>45562</v>
          </cell>
          <cell r="M357">
            <v>945.5</v>
          </cell>
          <cell r="N357">
            <v>34826.81</v>
          </cell>
          <cell r="O357">
            <v>709.125</v>
          </cell>
          <cell r="P357">
            <v>898.22499999999991</v>
          </cell>
          <cell r="Q357">
            <v>189.15511388000002</v>
          </cell>
          <cell r="R357">
            <v>1044.8042999999998</v>
          </cell>
          <cell r="S357">
            <v>146.57929999999988</v>
          </cell>
          <cell r="T357">
            <v>94.550000000000011</v>
          </cell>
          <cell r="U357">
            <v>1346.5697091550801</v>
          </cell>
          <cell r="V357">
            <v>355</v>
          </cell>
          <cell r="W357">
            <v>355</v>
          </cell>
          <cell r="X357">
            <v>0</v>
          </cell>
          <cell r="Y357">
            <v>0</v>
          </cell>
        </row>
        <row r="358">
          <cell r="D358">
            <v>10100051</v>
          </cell>
          <cell r="E358" t="str">
            <v>Gomukh Sondiha</v>
          </cell>
          <cell r="F358">
            <v>0</v>
          </cell>
          <cell r="G358" t="str">
            <v>MPG</v>
          </cell>
          <cell r="H358" t="str">
            <v>Direct</v>
          </cell>
          <cell r="I358">
            <v>1007</v>
          </cell>
          <cell r="J358" t="str">
            <v>Araria</v>
          </cell>
          <cell r="K358" t="str">
            <v>Old</v>
          </cell>
          <cell r="L358">
            <v>45556</v>
          </cell>
          <cell r="M358">
            <v>2298.9</v>
          </cell>
          <cell r="N358">
            <v>92364.170000000013</v>
          </cell>
          <cell r="O358">
            <v>1724.1750000000002</v>
          </cell>
          <cell r="P358">
            <v>2183.9549999999999</v>
          </cell>
          <cell r="Q358">
            <v>169.09258456999999</v>
          </cell>
          <cell r="R358">
            <v>2770.9251000000004</v>
          </cell>
          <cell r="S358">
            <v>586.97010000000046</v>
          </cell>
          <cell r="T358">
            <v>229.89000000000001</v>
          </cell>
          <cell r="U358">
            <v>404.60954443762262</v>
          </cell>
          <cell r="V358">
            <v>3443</v>
          </cell>
          <cell r="W358">
            <v>1861</v>
          </cell>
          <cell r="X358">
            <v>0</v>
          </cell>
          <cell r="Y358">
            <v>0</v>
          </cell>
        </row>
        <row r="359">
          <cell r="D359">
            <v>10100054</v>
          </cell>
          <cell r="E359" t="str">
            <v>Gomukh Thebhay B</v>
          </cell>
          <cell r="F359">
            <v>0</v>
          </cell>
          <cell r="G359" t="str">
            <v>MPG</v>
          </cell>
          <cell r="H359" t="str">
            <v>Direct</v>
          </cell>
          <cell r="I359">
            <v>1007</v>
          </cell>
          <cell r="J359" t="str">
            <v>Araria</v>
          </cell>
          <cell r="K359" t="str">
            <v>Old</v>
          </cell>
          <cell r="L359">
            <v>45657</v>
          </cell>
          <cell r="M359">
            <v>1021.8</v>
          </cell>
          <cell r="N359">
            <v>42602.869999999995</v>
          </cell>
          <cell r="O359">
            <v>766.34999999999991</v>
          </cell>
          <cell r="P359">
            <v>970.70999999999992</v>
          </cell>
          <cell r="Q359">
            <v>947.02825283900006</v>
          </cell>
          <cell r="R359">
            <v>1278.0860999999998</v>
          </cell>
          <cell r="S359">
            <v>307.37609999999984</v>
          </cell>
          <cell r="T359">
            <v>102.18</v>
          </cell>
          <cell r="U359">
            <v>1482.0675170198713</v>
          </cell>
          <cell r="V359">
            <v>1100</v>
          </cell>
          <cell r="W359">
            <v>1100</v>
          </cell>
          <cell r="X359">
            <v>0</v>
          </cell>
          <cell r="Y359">
            <v>0</v>
          </cell>
        </row>
        <row r="360">
          <cell r="D360">
            <v>10100057</v>
          </cell>
          <cell r="E360" t="str">
            <v xml:space="preserve">Gomukh Bishouni Purbi </v>
          </cell>
          <cell r="F360">
            <v>0</v>
          </cell>
          <cell r="G360" t="str">
            <v>vlc</v>
          </cell>
          <cell r="H360" t="str">
            <v>Indirect</v>
          </cell>
          <cell r="I360">
            <v>1007</v>
          </cell>
          <cell r="J360" t="str">
            <v>Araria</v>
          </cell>
          <cell r="K360" t="str">
            <v>Old</v>
          </cell>
          <cell r="L360">
            <v>45653</v>
          </cell>
          <cell r="M360">
            <v>122.8</v>
          </cell>
          <cell r="N360">
            <v>5029.53</v>
          </cell>
          <cell r="O360">
            <v>92.1</v>
          </cell>
          <cell r="P360">
            <v>116.66</v>
          </cell>
          <cell r="Q360">
            <v>0</v>
          </cell>
          <cell r="R360">
            <v>150.88589999999999</v>
          </cell>
          <cell r="S360">
            <v>34.225899999999996</v>
          </cell>
          <cell r="T360">
            <v>12.280000000000001</v>
          </cell>
          <cell r="U360">
            <v>196.80858566775242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D361">
            <v>10100060</v>
          </cell>
          <cell r="E361" t="str">
            <v>Gomukh Baisa</v>
          </cell>
          <cell r="F361">
            <v>0</v>
          </cell>
          <cell r="G361" t="str">
            <v>MPG</v>
          </cell>
          <cell r="H361" t="str">
            <v>Direct</v>
          </cell>
          <cell r="I361">
            <v>1007</v>
          </cell>
          <cell r="J361" t="str">
            <v>Araria</v>
          </cell>
          <cell r="K361" t="str">
            <v>Old</v>
          </cell>
          <cell r="L361">
            <v>45657</v>
          </cell>
          <cell r="M361">
            <v>2280.5</v>
          </cell>
          <cell r="N361">
            <v>92023.709999999992</v>
          </cell>
          <cell r="O361">
            <v>1710.375</v>
          </cell>
          <cell r="P361">
            <v>2166.4749999999999</v>
          </cell>
          <cell r="Q361">
            <v>287.35353568712003</v>
          </cell>
          <cell r="R361">
            <v>2760.7112999999995</v>
          </cell>
          <cell r="S361">
            <v>594.23629999999957</v>
          </cell>
          <cell r="T361">
            <v>228.05</v>
          </cell>
          <cell r="U361">
            <v>419.69633935983876</v>
          </cell>
          <cell r="V361">
            <v>3516</v>
          </cell>
          <cell r="W361">
            <v>1861</v>
          </cell>
          <cell r="X361">
            <v>0</v>
          </cell>
          <cell r="Y361">
            <v>0</v>
          </cell>
        </row>
        <row r="362">
          <cell r="D362">
            <v>10110001</v>
          </cell>
          <cell r="E362" t="str">
            <v>Gomukh Mahendrapur</v>
          </cell>
          <cell r="F362">
            <v>0</v>
          </cell>
          <cell r="G362" t="str">
            <v>MPG</v>
          </cell>
          <cell r="H362" t="str">
            <v>Direct</v>
          </cell>
          <cell r="I362">
            <v>1011</v>
          </cell>
          <cell r="J362" t="str">
            <v>Sahibpur Kamal</v>
          </cell>
          <cell r="K362" t="str">
            <v>Old</v>
          </cell>
          <cell r="L362">
            <v>42979</v>
          </cell>
          <cell r="M362">
            <v>3957.9000000000005</v>
          </cell>
          <cell r="N362">
            <v>158662.79999999999</v>
          </cell>
          <cell r="O362">
            <v>2968.4250000000002</v>
          </cell>
          <cell r="P362">
            <v>3760.0050000000006</v>
          </cell>
          <cell r="Q362">
            <v>2809.6941284800005</v>
          </cell>
          <cell r="R362">
            <v>4759.8839999999991</v>
          </cell>
          <cell r="S362">
            <v>999.87899999999854</v>
          </cell>
          <cell r="T362">
            <v>395.79000000000008</v>
          </cell>
          <cell r="U362">
            <v>0</v>
          </cell>
          <cell r="V362">
            <v>9142</v>
          </cell>
          <cell r="W362">
            <v>0</v>
          </cell>
          <cell r="X362">
            <v>0</v>
          </cell>
          <cell r="Y362">
            <v>0</v>
          </cell>
        </row>
        <row r="363">
          <cell r="D363">
            <v>10110002</v>
          </cell>
          <cell r="E363" t="str">
            <v>Gomukh Balahpur</v>
          </cell>
          <cell r="F363">
            <v>0</v>
          </cell>
          <cell r="G363" t="str">
            <v>MPG</v>
          </cell>
          <cell r="H363" t="str">
            <v>Direct</v>
          </cell>
          <cell r="I363">
            <v>1011</v>
          </cell>
          <cell r="J363" t="str">
            <v>Sahibpur Kamal</v>
          </cell>
          <cell r="K363" t="str">
            <v>Old</v>
          </cell>
          <cell r="L363">
            <v>42979</v>
          </cell>
          <cell r="M363">
            <v>1036.55</v>
          </cell>
          <cell r="N363">
            <v>35843.11</v>
          </cell>
          <cell r="O363">
            <v>777.41249999999991</v>
          </cell>
          <cell r="P363">
            <v>984.72249999999985</v>
          </cell>
          <cell r="Q363">
            <v>20.581855439999998</v>
          </cell>
          <cell r="R363">
            <v>1075.2933</v>
          </cell>
          <cell r="S363">
            <v>90.57080000000019</v>
          </cell>
          <cell r="T363">
            <v>103.655</v>
          </cell>
          <cell r="U363">
            <v>1286.6086101369183</v>
          </cell>
          <cell r="V363">
            <v>392</v>
          </cell>
          <cell r="W363">
            <v>392</v>
          </cell>
          <cell r="X363">
            <v>0</v>
          </cell>
          <cell r="Y363">
            <v>0</v>
          </cell>
        </row>
        <row r="364">
          <cell r="D364">
            <v>10110004</v>
          </cell>
          <cell r="E364" t="str">
            <v>Gomukh Danauli</v>
          </cell>
          <cell r="F364">
            <v>0</v>
          </cell>
          <cell r="G364" t="str">
            <v>MPG</v>
          </cell>
          <cell r="H364" t="str">
            <v>Direct</v>
          </cell>
          <cell r="I364">
            <v>1011</v>
          </cell>
          <cell r="J364" t="str">
            <v>Sahibpur Kamal</v>
          </cell>
          <cell r="K364" t="str">
            <v>Old</v>
          </cell>
          <cell r="L364">
            <v>42979</v>
          </cell>
          <cell r="M364">
            <v>2703.95</v>
          </cell>
          <cell r="N364">
            <v>103312.35999999999</v>
          </cell>
          <cell r="O364">
            <v>2027.9624999999999</v>
          </cell>
          <cell r="P364">
            <v>2568.7524999999996</v>
          </cell>
          <cell r="Q364">
            <v>203.15934339800003</v>
          </cell>
          <cell r="R364">
            <v>3099.3707999999997</v>
          </cell>
          <cell r="S364">
            <v>530.61830000000009</v>
          </cell>
          <cell r="T364">
            <v>270.39499999999998</v>
          </cell>
          <cell r="U364">
            <v>139.8043435401199</v>
          </cell>
          <cell r="V364">
            <v>4390</v>
          </cell>
          <cell r="W364">
            <v>2066.2471999999998</v>
          </cell>
          <cell r="X364">
            <v>0</v>
          </cell>
          <cell r="Y364">
            <v>0</v>
          </cell>
        </row>
        <row r="365">
          <cell r="D365">
            <v>10110005</v>
          </cell>
          <cell r="E365" t="str">
            <v>NAYAGAW</v>
          </cell>
          <cell r="F365">
            <v>0</v>
          </cell>
          <cell r="G365" t="str">
            <v>MPG</v>
          </cell>
          <cell r="H365" t="str">
            <v>Direct</v>
          </cell>
          <cell r="I365">
            <v>1055</v>
          </cell>
          <cell r="J365" t="str">
            <v>Matihani</v>
          </cell>
          <cell r="K365" t="str">
            <v>Old</v>
          </cell>
          <cell r="L365">
            <v>42979</v>
          </cell>
          <cell r="M365">
            <v>8052</v>
          </cell>
          <cell r="N365">
            <v>351855.51</v>
          </cell>
          <cell r="O365">
            <v>6039</v>
          </cell>
          <cell r="P365">
            <v>7649.4</v>
          </cell>
          <cell r="Q365">
            <v>5162.0943928281204</v>
          </cell>
          <cell r="R365">
            <v>10555.665300000001</v>
          </cell>
          <cell r="S365">
            <v>2906.2653000000009</v>
          </cell>
          <cell r="T365">
            <v>805.2</v>
          </cell>
          <cell r="U365">
            <v>0</v>
          </cell>
          <cell r="V365">
            <v>18045</v>
          </cell>
          <cell r="W365">
            <v>0</v>
          </cell>
          <cell r="X365">
            <v>6400</v>
          </cell>
          <cell r="Y365">
            <v>0</v>
          </cell>
        </row>
        <row r="366">
          <cell r="D366">
            <v>10110007</v>
          </cell>
          <cell r="E366" t="str">
            <v>Dandari</v>
          </cell>
          <cell r="F366">
            <v>0</v>
          </cell>
          <cell r="G366" t="str">
            <v>MPG</v>
          </cell>
          <cell r="H366" t="str">
            <v>Direct</v>
          </cell>
          <cell r="I366">
            <v>1011</v>
          </cell>
          <cell r="J366" t="str">
            <v>Sahibpur Kamal</v>
          </cell>
          <cell r="K366" t="str">
            <v>Old</v>
          </cell>
          <cell r="L366">
            <v>42979</v>
          </cell>
          <cell r="M366">
            <v>3962.8</v>
          </cell>
          <cell r="N366">
            <v>155498.07999999996</v>
          </cell>
          <cell r="O366">
            <v>2972.1000000000004</v>
          </cell>
          <cell r="P366">
            <v>3764.66</v>
          </cell>
          <cell r="Q366">
            <v>331.68043248000004</v>
          </cell>
          <cell r="R366">
            <v>4664.942399999999</v>
          </cell>
          <cell r="S366">
            <v>900.28239999999914</v>
          </cell>
          <cell r="T366">
            <v>396.28000000000003</v>
          </cell>
          <cell r="U366">
            <v>0</v>
          </cell>
          <cell r="V366">
            <v>6672</v>
          </cell>
          <cell r="W366">
            <v>0</v>
          </cell>
          <cell r="X366">
            <v>0</v>
          </cell>
          <cell r="Y366">
            <v>0</v>
          </cell>
        </row>
        <row r="367">
          <cell r="D367">
            <v>10110008</v>
          </cell>
          <cell r="E367" t="str">
            <v>Rahimpur Pachkhutti</v>
          </cell>
          <cell r="F367">
            <v>0</v>
          </cell>
          <cell r="G367" t="str">
            <v>MPG</v>
          </cell>
          <cell r="H367" t="str">
            <v>Direct</v>
          </cell>
          <cell r="I367">
            <v>1011</v>
          </cell>
          <cell r="J367" t="str">
            <v>Sahibpur Kamal</v>
          </cell>
          <cell r="K367" t="str">
            <v>Old</v>
          </cell>
          <cell r="L367">
            <v>42979</v>
          </cell>
          <cell r="M367">
            <v>11230.75</v>
          </cell>
          <cell r="N367">
            <v>448341.61</v>
          </cell>
          <cell r="O367">
            <v>8423.0625</v>
          </cell>
          <cell r="P367">
            <v>10669.2125</v>
          </cell>
          <cell r="Q367">
            <v>633.75534896400006</v>
          </cell>
          <cell r="R367">
            <v>13450.248299999999</v>
          </cell>
          <cell r="S367">
            <v>2781.0357999999997</v>
          </cell>
          <cell r="T367">
            <v>1123.075</v>
          </cell>
          <cell r="U367">
            <v>0</v>
          </cell>
          <cell r="V367">
            <v>18603</v>
          </cell>
          <cell r="W367">
            <v>0</v>
          </cell>
          <cell r="X367">
            <v>0</v>
          </cell>
          <cell r="Y367">
            <v>0</v>
          </cell>
        </row>
        <row r="368">
          <cell r="D368">
            <v>10110011</v>
          </cell>
          <cell r="E368" t="str">
            <v>GOMUKH PARTARPUR</v>
          </cell>
          <cell r="F368">
            <v>0</v>
          </cell>
          <cell r="G368" t="str">
            <v>MPG</v>
          </cell>
          <cell r="H368" t="str">
            <v>Direct</v>
          </cell>
          <cell r="I368">
            <v>1011</v>
          </cell>
          <cell r="J368" t="str">
            <v>Sahibpur Kamal</v>
          </cell>
          <cell r="K368" t="str">
            <v>Old</v>
          </cell>
          <cell r="L368">
            <v>44373</v>
          </cell>
          <cell r="M368">
            <v>1762.65</v>
          </cell>
          <cell r="N368">
            <v>83430.290000000008</v>
          </cell>
          <cell r="O368">
            <v>1321.9875000000002</v>
          </cell>
          <cell r="P368">
            <v>1674.5174999999999</v>
          </cell>
          <cell r="Q368">
            <v>244.5011814282</v>
          </cell>
          <cell r="R368">
            <v>2502.9087</v>
          </cell>
          <cell r="S368">
            <v>828.39120000000003</v>
          </cell>
          <cell r="T368">
            <v>176.26500000000001</v>
          </cell>
          <cell r="U368">
            <v>980.98488909221555</v>
          </cell>
          <cell r="V368">
            <v>2084</v>
          </cell>
          <cell r="W368">
            <v>1861</v>
          </cell>
          <cell r="X368">
            <v>0</v>
          </cell>
          <cell r="Y368">
            <v>0</v>
          </cell>
        </row>
        <row r="369">
          <cell r="D369">
            <v>10110013</v>
          </cell>
          <cell r="E369" t="str">
            <v xml:space="preserve">Gomukh Mohanpur                                                                                     </v>
          </cell>
          <cell r="F369">
            <v>0</v>
          </cell>
          <cell r="G369" t="str">
            <v>MPG</v>
          </cell>
          <cell r="H369" t="str">
            <v>Direct</v>
          </cell>
          <cell r="I369">
            <v>1011</v>
          </cell>
          <cell r="J369" t="str">
            <v>Sahibpur Kamal</v>
          </cell>
          <cell r="K369" t="str">
            <v>Old</v>
          </cell>
          <cell r="L369">
            <v>44681</v>
          </cell>
          <cell r="M369">
            <v>3416.3</v>
          </cell>
          <cell r="N369">
            <v>127649.97000000002</v>
          </cell>
          <cell r="O369">
            <v>2562.2250000000004</v>
          </cell>
          <cell r="P369">
            <v>3245.4850000000001</v>
          </cell>
          <cell r="Q369">
            <v>1012.3249076000001</v>
          </cell>
          <cell r="R369">
            <v>3829.4991000000005</v>
          </cell>
          <cell r="S369">
            <v>584.01410000000033</v>
          </cell>
          <cell r="T369">
            <v>341.63000000000005</v>
          </cell>
          <cell r="U369">
            <v>31.405580228136948</v>
          </cell>
          <cell r="V369">
            <v>6447</v>
          </cell>
          <cell r="W369">
            <v>0</v>
          </cell>
          <cell r="X369">
            <v>0</v>
          </cell>
          <cell r="Y369">
            <v>0</v>
          </cell>
        </row>
        <row r="370">
          <cell r="D370">
            <v>10110014</v>
          </cell>
          <cell r="E370" t="str">
            <v>Gomukh Raghunathpur</v>
          </cell>
          <cell r="F370">
            <v>0</v>
          </cell>
          <cell r="G370" t="str">
            <v>MPG</v>
          </cell>
          <cell r="H370" t="str">
            <v>Direct</v>
          </cell>
          <cell r="I370">
            <v>1011</v>
          </cell>
          <cell r="J370" t="str">
            <v>Sahibpur Kamal</v>
          </cell>
          <cell r="K370" t="str">
            <v>Old</v>
          </cell>
          <cell r="L370">
            <v>44681</v>
          </cell>
          <cell r="M370">
            <v>5930.1</v>
          </cell>
          <cell r="N370">
            <v>272256.10000000003</v>
          </cell>
          <cell r="O370">
            <v>4447.5750000000007</v>
          </cell>
          <cell r="P370">
            <v>5633.5950000000003</v>
          </cell>
          <cell r="Q370">
            <v>4336.6997058061006</v>
          </cell>
          <cell r="R370">
            <v>8167.6830000000009</v>
          </cell>
          <cell r="S370">
            <v>2534.0880000000006</v>
          </cell>
          <cell r="T370">
            <v>593.0100000000001</v>
          </cell>
          <cell r="U370">
            <v>0</v>
          </cell>
          <cell r="V370">
            <v>13825</v>
          </cell>
          <cell r="W370">
            <v>0</v>
          </cell>
          <cell r="X370">
            <v>0</v>
          </cell>
          <cell r="Y370">
            <v>0</v>
          </cell>
        </row>
        <row r="371">
          <cell r="D371">
            <v>10110015</v>
          </cell>
          <cell r="E371" t="str">
            <v>Gomukh Chhitraur</v>
          </cell>
          <cell r="F371">
            <v>0</v>
          </cell>
          <cell r="G371" t="str">
            <v>MPG</v>
          </cell>
          <cell r="H371" t="str">
            <v>Direct</v>
          </cell>
          <cell r="I371">
            <v>1011</v>
          </cell>
          <cell r="J371" t="str">
            <v>Sahibpur Kamal</v>
          </cell>
          <cell r="K371" t="str">
            <v>Old</v>
          </cell>
          <cell r="L371">
            <v>44694</v>
          </cell>
          <cell r="M371">
            <v>1724.65</v>
          </cell>
          <cell r="N371">
            <v>73896.66</v>
          </cell>
          <cell r="O371">
            <v>1293.4875000000002</v>
          </cell>
          <cell r="P371">
            <v>1638.4175</v>
          </cell>
          <cell r="Q371">
            <v>81.023675040000001</v>
          </cell>
          <cell r="R371">
            <v>2216.8998000000001</v>
          </cell>
          <cell r="S371">
            <v>578.48230000000012</v>
          </cell>
          <cell r="T371">
            <v>172.46500000000003</v>
          </cell>
          <cell r="U371">
            <v>918.91425989039067</v>
          </cell>
          <cell r="V371">
            <v>1922</v>
          </cell>
          <cell r="W371">
            <v>0</v>
          </cell>
          <cell r="X371">
            <v>0</v>
          </cell>
          <cell r="Y371">
            <v>0</v>
          </cell>
        </row>
        <row r="372">
          <cell r="D372">
            <v>10110016</v>
          </cell>
          <cell r="E372" t="str">
            <v>Gomukh Khorampur Chakaur</v>
          </cell>
          <cell r="F372">
            <v>0</v>
          </cell>
          <cell r="G372" t="str">
            <v>MPG</v>
          </cell>
          <cell r="H372" t="str">
            <v>Direct</v>
          </cell>
          <cell r="I372">
            <v>1011</v>
          </cell>
          <cell r="J372" t="str">
            <v>Sahibpur Kamal</v>
          </cell>
          <cell r="K372" t="str">
            <v>Old</v>
          </cell>
          <cell r="L372">
            <v>44694</v>
          </cell>
          <cell r="M372">
            <v>1233.0999999999999</v>
          </cell>
          <cell r="N372">
            <v>47674.04</v>
          </cell>
          <cell r="O372">
            <v>924.82499999999993</v>
          </cell>
          <cell r="P372">
            <v>1171.4449999999999</v>
          </cell>
          <cell r="Q372">
            <v>370.21895640000008</v>
          </cell>
          <cell r="R372">
            <v>1430.2212</v>
          </cell>
          <cell r="S372">
            <v>258.77620000000002</v>
          </cell>
          <cell r="T372">
            <v>123.31</v>
          </cell>
          <cell r="U372">
            <v>1214.2032703819459</v>
          </cell>
          <cell r="V372">
            <v>1129</v>
          </cell>
          <cell r="W372">
            <v>0</v>
          </cell>
          <cell r="X372">
            <v>953.48080000000004</v>
          </cell>
          <cell r="Y372">
            <v>0</v>
          </cell>
        </row>
        <row r="373">
          <cell r="D373">
            <v>10110021</v>
          </cell>
          <cell r="E373" t="str">
            <v>GOMUKH Mathar</v>
          </cell>
          <cell r="F373">
            <v>0</v>
          </cell>
          <cell r="G373" t="str">
            <v>MPG</v>
          </cell>
          <cell r="H373" t="str">
            <v>Direct</v>
          </cell>
          <cell r="I373">
            <v>1011</v>
          </cell>
          <cell r="J373" t="str">
            <v>Sahibpur Kamal</v>
          </cell>
          <cell r="K373" t="str">
            <v>Old</v>
          </cell>
          <cell r="L373">
            <v>44759</v>
          </cell>
          <cell r="M373">
            <v>478</v>
          </cell>
          <cell r="N373">
            <v>20776.22</v>
          </cell>
          <cell r="O373">
            <v>358.5</v>
          </cell>
          <cell r="P373">
            <v>454.09999999999997</v>
          </cell>
          <cell r="Q373">
            <v>279.27929306840002</v>
          </cell>
          <cell r="R373">
            <v>623.28660000000002</v>
          </cell>
          <cell r="S373">
            <v>169.18660000000006</v>
          </cell>
          <cell r="T373">
            <v>47.800000000000004</v>
          </cell>
          <cell r="U373">
            <v>1044.5181507116515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D374">
            <v>10110033</v>
          </cell>
          <cell r="E374" t="str">
            <v>Gomukh Sanhatol</v>
          </cell>
          <cell r="F374">
            <v>0</v>
          </cell>
          <cell r="G374" t="str">
            <v>MPG</v>
          </cell>
          <cell r="H374" t="str">
            <v>Direct</v>
          </cell>
          <cell r="I374">
            <v>1011</v>
          </cell>
          <cell r="J374" t="str">
            <v>Sahibpur Kamal</v>
          </cell>
          <cell r="K374" t="str">
            <v>Old</v>
          </cell>
          <cell r="L374">
            <v>45015</v>
          </cell>
          <cell r="M374">
            <v>256.7</v>
          </cell>
          <cell r="N374">
            <v>9380.64</v>
          </cell>
          <cell r="O374">
            <v>192.52499999999998</v>
          </cell>
          <cell r="P374">
            <v>243.86499999999998</v>
          </cell>
          <cell r="Q374">
            <v>101.12816736000002</v>
          </cell>
          <cell r="R374">
            <v>281.41919999999999</v>
          </cell>
          <cell r="S374">
            <v>37.554200000000009</v>
          </cell>
          <cell r="T374">
            <v>25.67</v>
          </cell>
          <cell r="U374">
            <v>512.08292368177035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D375">
            <v>10110042</v>
          </cell>
          <cell r="E375" t="str">
            <v>Gomukh Sonapur</v>
          </cell>
          <cell r="F375">
            <v>0</v>
          </cell>
          <cell r="G375" t="str">
            <v>vlc</v>
          </cell>
          <cell r="H375" t="str">
            <v>Indirect</v>
          </cell>
          <cell r="I375">
            <v>1055</v>
          </cell>
          <cell r="J375" t="str">
            <v>Matihani</v>
          </cell>
          <cell r="K375" t="str">
            <v>Old</v>
          </cell>
          <cell r="L375">
            <v>45226</v>
          </cell>
          <cell r="M375">
            <v>4563.8999999999996</v>
          </cell>
          <cell r="N375">
            <v>184571.39999999997</v>
          </cell>
          <cell r="O375">
            <v>3422.9249999999997</v>
          </cell>
          <cell r="P375">
            <v>4335.704999999999</v>
          </cell>
          <cell r="Q375">
            <v>0</v>
          </cell>
          <cell r="R375">
            <v>5537.1419999999989</v>
          </cell>
          <cell r="S375">
            <v>1201.4369999999999</v>
          </cell>
          <cell r="T375">
            <v>456.39</v>
          </cell>
          <cell r="U375">
            <v>0</v>
          </cell>
          <cell r="V375">
            <v>7302</v>
          </cell>
          <cell r="W375">
            <v>0</v>
          </cell>
          <cell r="X375">
            <v>0</v>
          </cell>
          <cell r="Y375">
            <v>0</v>
          </cell>
        </row>
        <row r="376">
          <cell r="D376">
            <v>10110043</v>
          </cell>
          <cell r="E376" t="str">
            <v>Gomukh Barkhandi 2</v>
          </cell>
          <cell r="F376">
            <v>0</v>
          </cell>
          <cell r="G376" t="str">
            <v>MPG</v>
          </cell>
          <cell r="H376" t="str">
            <v>Indirect</v>
          </cell>
          <cell r="I376">
            <v>1011</v>
          </cell>
          <cell r="J376" t="str">
            <v>Sahibpur Kamal</v>
          </cell>
          <cell r="K376" t="str">
            <v>Old</v>
          </cell>
          <cell r="L376">
            <v>45226</v>
          </cell>
          <cell r="M376">
            <v>807.5</v>
          </cell>
          <cell r="N376">
            <v>33186.869999999995</v>
          </cell>
          <cell r="O376">
            <v>605.625</v>
          </cell>
          <cell r="P376">
            <v>767.125</v>
          </cell>
          <cell r="Q376">
            <v>0</v>
          </cell>
          <cell r="R376">
            <v>995.60609999999986</v>
          </cell>
          <cell r="S376">
            <v>228.48109999999986</v>
          </cell>
          <cell r="T376">
            <v>80.75</v>
          </cell>
          <cell r="U376">
            <v>1064.5761911111804</v>
          </cell>
          <cell r="V376">
            <v>227</v>
          </cell>
          <cell r="W376">
            <v>227</v>
          </cell>
          <cell r="X376">
            <v>0</v>
          </cell>
          <cell r="Y376">
            <v>0</v>
          </cell>
        </row>
        <row r="377">
          <cell r="D377">
            <v>10110050</v>
          </cell>
          <cell r="E377" t="str">
            <v xml:space="preserve">Gomukh Fatehpur                                                                                     </v>
          </cell>
          <cell r="F377">
            <v>0</v>
          </cell>
          <cell r="G377" t="str">
            <v>MPG</v>
          </cell>
          <cell r="H377" t="str">
            <v>Direct</v>
          </cell>
          <cell r="I377">
            <v>1011</v>
          </cell>
          <cell r="J377" t="str">
            <v>Sahibpur Kamal</v>
          </cell>
          <cell r="K377" t="str">
            <v>Old</v>
          </cell>
          <cell r="L377">
            <v>45205</v>
          </cell>
          <cell r="M377">
            <v>3085.95</v>
          </cell>
          <cell r="N377">
            <v>129416.94</v>
          </cell>
          <cell r="O377">
            <v>2314.4624999999996</v>
          </cell>
          <cell r="P377">
            <v>2931.6524999999997</v>
          </cell>
          <cell r="Q377">
            <v>0</v>
          </cell>
          <cell r="R377">
            <v>3882.5081999999998</v>
          </cell>
          <cell r="S377">
            <v>950.85570000000007</v>
          </cell>
          <cell r="T377">
            <v>308.59500000000003</v>
          </cell>
          <cell r="U377">
            <v>96.610715973292187</v>
          </cell>
          <cell r="V377">
            <v>4841</v>
          </cell>
          <cell r="W377">
            <v>0</v>
          </cell>
          <cell r="X377">
            <v>0</v>
          </cell>
          <cell r="Y377">
            <v>0</v>
          </cell>
        </row>
        <row r="378">
          <cell r="D378">
            <v>10110053</v>
          </cell>
          <cell r="E378" t="str">
            <v>GOMUKH KATAHRI</v>
          </cell>
          <cell r="F378">
            <v>0</v>
          </cell>
          <cell r="G378" t="str">
            <v>MPG</v>
          </cell>
          <cell r="H378" t="str">
            <v>Direct</v>
          </cell>
          <cell r="I378">
            <v>1011</v>
          </cell>
          <cell r="J378" t="str">
            <v>Sahibpur Kamal</v>
          </cell>
          <cell r="K378" t="str">
            <v>Old</v>
          </cell>
          <cell r="L378">
            <v>45323</v>
          </cell>
          <cell r="M378">
            <v>1069.45</v>
          </cell>
          <cell r="N378">
            <v>39885.85</v>
          </cell>
          <cell r="O378">
            <v>802.08750000000009</v>
          </cell>
          <cell r="P378">
            <v>1015.9775</v>
          </cell>
          <cell r="Q378">
            <v>320.60849719999999</v>
          </cell>
          <cell r="R378">
            <v>1196.5754999999999</v>
          </cell>
          <cell r="S378">
            <v>180.59799999999996</v>
          </cell>
          <cell r="T378">
            <v>106.94500000000001</v>
          </cell>
          <cell r="U378">
            <v>1290.5041639635049</v>
          </cell>
          <cell r="V378">
            <v>741</v>
          </cell>
          <cell r="W378">
            <v>741</v>
          </cell>
          <cell r="X378">
            <v>0</v>
          </cell>
          <cell r="Y378">
            <v>0</v>
          </cell>
        </row>
        <row r="379">
          <cell r="D379">
            <v>10110055</v>
          </cell>
          <cell r="E379" t="str">
            <v>GOMUKH Mathar Ward 10</v>
          </cell>
          <cell r="F379">
            <v>0</v>
          </cell>
          <cell r="G379" t="str">
            <v>MPG</v>
          </cell>
          <cell r="H379" t="str">
            <v>Direct</v>
          </cell>
          <cell r="I379">
            <v>1011</v>
          </cell>
          <cell r="J379" t="str">
            <v>Sahibpur Kamal</v>
          </cell>
          <cell r="K379" t="str">
            <v>Old</v>
          </cell>
          <cell r="L379">
            <v>45323</v>
          </cell>
          <cell r="M379">
            <v>2218.4500000000007</v>
          </cell>
          <cell r="N379">
            <v>93272.62000000001</v>
          </cell>
          <cell r="O379">
            <v>1663.8375000000005</v>
          </cell>
          <cell r="P379">
            <v>2107.5275000000006</v>
          </cell>
          <cell r="Q379">
            <v>268.22917732000008</v>
          </cell>
          <cell r="R379">
            <v>2798.1786000000002</v>
          </cell>
          <cell r="S379">
            <v>690.65109999999959</v>
          </cell>
          <cell r="T379">
            <v>221.84500000000008</v>
          </cell>
          <cell r="U379">
            <v>36.485957157238673</v>
          </cell>
          <cell r="V379">
            <v>3781</v>
          </cell>
          <cell r="W379">
            <v>1865.4524000000001</v>
          </cell>
          <cell r="X379">
            <v>0</v>
          </cell>
          <cell r="Y379">
            <v>0</v>
          </cell>
        </row>
        <row r="380">
          <cell r="D380">
            <v>10110057</v>
          </cell>
          <cell r="E380" t="str">
            <v>GOMUKH Tartor 2</v>
          </cell>
          <cell r="F380">
            <v>0</v>
          </cell>
          <cell r="G380" t="str">
            <v>MPG</v>
          </cell>
          <cell r="H380" t="str">
            <v>Direct</v>
          </cell>
          <cell r="I380">
            <v>1011</v>
          </cell>
          <cell r="J380" t="str">
            <v>Sahibpur Kamal</v>
          </cell>
          <cell r="K380" t="str">
            <v>Old</v>
          </cell>
          <cell r="L380">
            <v>45323</v>
          </cell>
          <cell r="M380">
            <v>700.84999999999991</v>
          </cell>
          <cell r="N380">
            <v>28533.640000000003</v>
          </cell>
          <cell r="O380">
            <v>525.63749999999993</v>
          </cell>
          <cell r="P380">
            <v>665.80749999999989</v>
          </cell>
          <cell r="Q380">
            <v>0</v>
          </cell>
          <cell r="R380">
            <v>856.00920000000008</v>
          </cell>
          <cell r="S380">
            <v>190.20170000000019</v>
          </cell>
          <cell r="T380">
            <v>70.084999999999994</v>
          </cell>
          <cell r="U380">
            <v>1121.8330402081847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D381">
            <v>10110059</v>
          </cell>
          <cell r="E381" t="str">
            <v>Gomukh Aho Ghat</v>
          </cell>
          <cell r="F381">
            <v>0</v>
          </cell>
          <cell r="G381" t="str">
            <v>MPG</v>
          </cell>
          <cell r="H381" t="str">
            <v>Direct</v>
          </cell>
          <cell r="I381">
            <v>1011</v>
          </cell>
          <cell r="J381" t="str">
            <v>Sahibpur Kamal</v>
          </cell>
          <cell r="K381" t="str">
            <v>Old</v>
          </cell>
          <cell r="L381">
            <v>45323</v>
          </cell>
          <cell r="M381">
            <v>1125.5</v>
          </cell>
          <cell r="N381">
            <v>49370.680000000008</v>
          </cell>
          <cell r="O381">
            <v>844.125</v>
          </cell>
          <cell r="P381">
            <v>1069.2249999999999</v>
          </cell>
          <cell r="Q381">
            <v>333.60440522555996</v>
          </cell>
          <cell r="R381">
            <v>1481.1204000000002</v>
          </cell>
          <cell r="S381">
            <v>411.89540000000034</v>
          </cell>
          <cell r="T381">
            <v>112.55000000000001</v>
          </cell>
          <cell r="U381">
            <v>1469.198159112158</v>
          </cell>
          <cell r="V381">
            <v>665</v>
          </cell>
          <cell r="W381">
            <v>665</v>
          </cell>
          <cell r="X381">
            <v>0</v>
          </cell>
          <cell r="Y381">
            <v>0</v>
          </cell>
        </row>
        <row r="382">
          <cell r="D382">
            <v>10110065</v>
          </cell>
          <cell r="E382" t="str">
            <v>Gomukh Chaidha</v>
          </cell>
          <cell r="F382">
            <v>0</v>
          </cell>
          <cell r="G382" t="str">
            <v>MPG</v>
          </cell>
          <cell r="H382" t="str">
            <v>Direct</v>
          </cell>
          <cell r="I382">
            <v>1011</v>
          </cell>
          <cell r="J382" t="str">
            <v>Sahibpur Kamal</v>
          </cell>
          <cell r="K382" t="str">
            <v>Old</v>
          </cell>
          <cell r="L382">
            <v>45323</v>
          </cell>
          <cell r="M382">
            <v>1452.45</v>
          </cell>
          <cell r="N382">
            <v>55448.13</v>
          </cell>
          <cell r="O382">
            <v>1089.3375000000001</v>
          </cell>
          <cell r="P382">
            <v>1379.8274999999999</v>
          </cell>
          <cell r="Q382">
            <v>371.40939240960006</v>
          </cell>
          <cell r="R382">
            <v>1663.4438999999998</v>
          </cell>
          <cell r="S382">
            <v>283.61639999999989</v>
          </cell>
          <cell r="T382">
            <v>145.245</v>
          </cell>
          <cell r="U382">
            <v>1024.9325463288455</v>
          </cell>
          <cell r="V382">
            <v>1670</v>
          </cell>
          <cell r="W382">
            <v>1670</v>
          </cell>
          <cell r="X382">
            <v>0</v>
          </cell>
          <cell r="Y382">
            <v>0</v>
          </cell>
        </row>
        <row r="383">
          <cell r="D383">
            <v>10110066</v>
          </cell>
          <cell r="E383" t="str">
            <v>Gomukh Bakiya</v>
          </cell>
          <cell r="F383">
            <v>0</v>
          </cell>
          <cell r="G383" t="str">
            <v>MPG</v>
          </cell>
          <cell r="H383" t="str">
            <v>Direct</v>
          </cell>
          <cell r="I383">
            <v>1011</v>
          </cell>
          <cell r="J383" t="str">
            <v>Sahibpur Kamal</v>
          </cell>
          <cell r="K383" t="str">
            <v>Old</v>
          </cell>
          <cell r="L383">
            <v>45323</v>
          </cell>
          <cell r="M383">
            <v>2465</v>
          </cell>
          <cell r="N383">
            <v>99191.010000000009</v>
          </cell>
          <cell r="O383">
            <v>1848.75</v>
          </cell>
          <cell r="P383">
            <v>2341.75</v>
          </cell>
          <cell r="Q383">
            <v>808.03309917920012</v>
          </cell>
          <cell r="R383">
            <v>2975.7303000000002</v>
          </cell>
          <cell r="S383">
            <v>633.98030000000017</v>
          </cell>
          <cell r="T383">
            <v>246.5</v>
          </cell>
          <cell r="U383">
            <v>267.61907123127128</v>
          </cell>
          <cell r="V383">
            <v>4484</v>
          </cell>
          <cell r="W383">
            <v>1983.8202000000003</v>
          </cell>
          <cell r="X383">
            <v>0</v>
          </cell>
          <cell r="Y383">
            <v>0</v>
          </cell>
        </row>
        <row r="384">
          <cell r="D384">
            <v>10110071</v>
          </cell>
          <cell r="E384" t="str">
            <v>Gomukh Sadpur</v>
          </cell>
          <cell r="F384">
            <v>0</v>
          </cell>
          <cell r="G384" t="str">
            <v>MPG</v>
          </cell>
          <cell r="H384" t="str">
            <v>Direct</v>
          </cell>
          <cell r="I384">
            <v>1011</v>
          </cell>
          <cell r="J384" t="str">
            <v>Sahibpur Kamal</v>
          </cell>
          <cell r="K384" t="str">
            <v>Old</v>
          </cell>
          <cell r="L384">
            <v>44986</v>
          </cell>
          <cell r="M384">
            <v>513.29999999999995</v>
          </cell>
          <cell r="N384">
            <v>18463.000000000004</v>
          </cell>
          <cell r="O384">
            <v>384.97499999999997</v>
          </cell>
          <cell r="P384">
            <v>487.63499999999993</v>
          </cell>
          <cell r="Q384">
            <v>0</v>
          </cell>
          <cell r="R384">
            <v>553.8900000000001</v>
          </cell>
          <cell r="S384">
            <v>66.255000000000166</v>
          </cell>
          <cell r="T384">
            <v>51.33</v>
          </cell>
          <cell r="U384">
            <v>821.70518799631441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D385">
            <v>10110073</v>
          </cell>
          <cell r="E385" t="str">
            <v>GOMUKH Nista Tol</v>
          </cell>
          <cell r="F385">
            <v>0</v>
          </cell>
          <cell r="G385" t="str">
            <v>MPG</v>
          </cell>
          <cell r="H385" t="str">
            <v>Direct</v>
          </cell>
          <cell r="I385">
            <v>1011</v>
          </cell>
          <cell r="J385" t="str">
            <v>Sahibpur Kamal</v>
          </cell>
          <cell r="K385" t="str">
            <v>Old</v>
          </cell>
          <cell r="L385">
            <v>45323</v>
          </cell>
          <cell r="M385">
            <v>531.54999999999995</v>
          </cell>
          <cell r="N385">
            <v>18468.410000000003</v>
          </cell>
          <cell r="O385">
            <v>398.66249999999997</v>
          </cell>
          <cell r="P385">
            <v>504.97249999999991</v>
          </cell>
          <cell r="Q385">
            <v>0</v>
          </cell>
          <cell r="R385">
            <v>554.05230000000006</v>
          </cell>
          <cell r="S385">
            <v>49.079800000000148</v>
          </cell>
          <cell r="T385">
            <v>53.155000000000001</v>
          </cell>
          <cell r="U385">
            <v>850.92939956746613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D386">
            <v>10110076</v>
          </cell>
          <cell r="E386" t="str">
            <v>GOMUKH SRINAGAR</v>
          </cell>
          <cell r="F386">
            <v>0</v>
          </cell>
          <cell r="G386" t="str">
            <v>MPG</v>
          </cell>
          <cell r="H386" t="str">
            <v>Direct</v>
          </cell>
          <cell r="I386">
            <v>1011</v>
          </cell>
          <cell r="J386" t="str">
            <v>Sahibpur Kamal</v>
          </cell>
          <cell r="K386" t="str">
            <v>Old</v>
          </cell>
          <cell r="L386">
            <v>45429</v>
          </cell>
          <cell r="M386">
            <v>4153.8499999999995</v>
          </cell>
          <cell r="N386">
            <v>189404.16000000003</v>
          </cell>
          <cell r="O386">
            <v>3115.3874999999998</v>
          </cell>
          <cell r="P386">
            <v>3946.1574999999993</v>
          </cell>
          <cell r="Q386">
            <v>1022.1192983143641</v>
          </cell>
          <cell r="R386">
            <v>5682.1248000000005</v>
          </cell>
          <cell r="S386">
            <v>1735.9673000000012</v>
          </cell>
          <cell r="T386">
            <v>415.38499999999999</v>
          </cell>
          <cell r="U386">
            <v>85.860007918514981</v>
          </cell>
          <cell r="V386">
            <v>7582</v>
          </cell>
          <cell r="W386">
            <v>0</v>
          </cell>
          <cell r="X386">
            <v>0</v>
          </cell>
          <cell r="Y386">
            <v>0</v>
          </cell>
        </row>
        <row r="387">
          <cell r="D387">
            <v>10110078</v>
          </cell>
          <cell r="E387" t="str">
            <v>GOMUKH THATHA</v>
          </cell>
          <cell r="F387">
            <v>0</v>
          </cell>
          <cell r="G387" t="str">
            <v>MPG</v>
          </cell>
          <cell r="H387" t="str">
            <v>Direct</v>
          </cell>
          <cell r="I387">
            <v>1011</v>
          </cell>
          <cell r="J387" t="str">
            <v>Sahibpur Kamal</v>
          </cell>
          <cell r="K387" t="str">
            <v>Old</v>
          </cell>
          <cell r="L387">
            <v>45429</v>
          </cell>
          <cell r="M387">
            <v>486.04999999999995</v>
          </cell>
          <cell r="N387">
            <v>15834.91</v>
          </cell>
          <cell r="O387">
            <v>364.53749999999997</v>
          </cell>
          <cell r="P387">
            <v>461.74749999999995</v>
          </cell>
          <cell r="Q387">
            <v>0</v>
          </cell>
          <cell r="R387">
            <v>475.04729999999995</v>
          </cell>
          <cell r="S387">
            <v>13.299800000000005</v>
          </cell>
          <cell r="T387">
            <v>48.604999999999997</v>
          </cell>
          <cell r="U387">
            <v>778.09864875115568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D388">
            <v>10110086</v>
          </cell>
          <cell r="E388" t="str">
            <v>Gomukh Durgapur</v>
          </cell>
          <cell r="F388">
            <v>0</v>
          </cell>
          <cell r="G388" t="str">
            <v>MPG</v>
          </cell>
          <cell r="H388" t="str">
            <v>Direct</v>
          </cell>
          <cell r="I388">
            <v>1011</v>
          </cell>
          <cell r="J388" t="str">
            <v>Sahibpur Kamal</v>
          </cell>
          <cell r="K388" t="str">
            <v>Old</v>
          </cell>
          <cell r="L388">
            <v>45523</v>
          </cell>
          <cell r="M388">
            <v>264.40000000000003</v>
          </cell>
          <cell r="N388">
            <v>10676.56</v>
          </cell>
          <cell r="O388">
            <v>198.3</v>
          </cell>
          <cell r="P388">
            <v>251.18</v>
          </cell>
          <cell r="Q388">
            <v>183.90978390000001</v>
          </cell>
          <cell r="R388">
            <v>320.29679999999996</v>
          </cell>
          <cell r="S388">
            <v>69.116799999999955</v>
          </cell>
          <cell r="T388">
            <v>26.440000000000005</v>
          </cell>
          <cell r="U388">
            <v>607.06008270410348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D389">
            <v>10110091</v>
          </cell>
          <cell r="E389" t="str">
            <v>Gomukh Singhpur Balahpur</v>
          </cell>
          <cell r="F389">
            <v>0</v>
          </cell>
          <cell r="G389" t="str">
            <v>vlc</v>
          </cell>
          <cell r="H389" t="str">
            <v>Indirect</v>
          </cell>
          <cell r="I389">
            <v>1055</v>
          </cell>
          <cell r="J389" t="str">
            <v>Matihani</v>
          </cell>
          <cell r="K389" t="str">
            <v>Old</v>
          </cell>
          <cell r="L389">
            <v>45596</v>
          </cell>
          <cell r="M389">
            <v>16736.100000000002</v>
          </cell>
          <cell r="N389">
            <v>632081.92999999993</v>
          </cell>
          <cell r="O389">
            <v>12552.075000000001</v>
          </cell>
          <cell r="P389">
            <v>15899.295000000002</v>
          </cell>
          <cell r="Q389">
            <v>0</v>
          </cell>
          <cell r="R389">
            <v>18962.457899999998</v>
          </cell>
          <cell r="S389">
            <v>3063.1628999999957</v>
          </cell>
          <cell r="T389">
            <v>1673.6100000000004</v>
          </cell>
          <cell r="U389">
            <v>0</v>
          </cell>
          <cell r="V389">
            <v>26778</v>
          </cell>
          <cell r="W389">
            <v>0</v>
          </cell>
          <cell r="X389">
            <v>0</v>
          </cell>
          <cell r="Y389">
            <v>0</v>
          </cell>
        </row>
        <row r="390">
          <cell r="D390">
            <v>10110093</v>
          </cell>
          <cell r="E390" t="str">
            <v>Gomukh Koniya</v>
          </cell>
          <cell r="F390">
            <v>0</v>
          </cell>
          <cell r="G390" t="str">
            <v>MPG</v>
          </cell>
          <cell r="H390" t="str">
            <v>Direct</v>
          </cell>
          <cell r="I390">
            <v>1054</v>
          </cell>
          <cell r="J390" t="str">
            <v xml:space="preserve">Alauli </v>
          </cell>
          <cell r="K390" t="str">
            <v>Old</v>
          </cell>
          <cell r="L390">
            <v>45629</v>
          </cell>
          <cell r="M390">
            <v>1478.7</v>
          </cell>
          <cell r="N390">
            <v>58686.340000000011</v>
          </cell>
          <cell r="O390">
            <v>1109.0250000000001</v>
          </cell>
          <cell r="P390">
            <v>1404.7649999999999</v>
          </cell>
          <cell r="Q390">
            <v>1496.6536736000003</v>
          </cell>
          <cell r="R390">
            <v>1760.5902000000003</v>
          </cell>
          <cell r="S390">
            <v>355.82520000000045</v>
          </cell>
          <cell r="T390">
            <v>147.87</v>
          </cell>
          <cell r="U390">
            <v>1054.1073435102567</v>
          </cell>
          <cell r="V390">
            <v>2808</v>
          </cell>
          <cell r="W390">
            <v>1861</v>
          </cell>
          <cell r="X390">
            <v>0</v>
          </cell>
          <cell r="Y390">
            <v>0</v>
          </cell>
        </row>
        <row r="391">
          <cell r="D391">
            <v>10110094</v>
          </cell>
          <cell r="E391" t="str">
            <v>GOMUKH ROHUA</v>
          </cell>
          <cell r="F391">
            <v>0</v>
          </cell>
          <cell r="G391" t="str">
            <v>MPG</v>
          </cell>
          <cell r="H391" t="str">
            <v>Direct</v>
          </cell>
          <cell r="I391">
            <v>1011</v>
          </cell>
          <cell r="J391" t="str">
            <v>Sahibpur Kamal</v>
          </cell>
          <cell r="K391" t="str">
            <v>Old</v>
          </cell>
          <cell r="L391">
            <v>45631</v>
          </cell>
          <cell r="M391">
            <v>1838.6999999999998</v>
          </cell>
          <cell r="N391">
            <v>69070.349999999991</v>
          </cell>
          <cell r="O391">
            <v>1379.0249999999999</v>
          </cell>
          <cell r="P391">
            <v>1746.7649999999996</v>
          </cell>
          <cell r="Q391">
            <v>1223.0613678512002</v>
          </cell>
          <cell r="R391">
            <v>2072.1104999999998</v>
          </cell>
          <cell r="S391">
            <v>325.34550000000013</v>
          </cell>
          <cell r="T391">
            <v>183.87</v>
          </cell>
          <cell r="U391">
            <v>722.66385047208064</v>
          </cell>
          <cell r="V391">
            <v>3442</v>
          </cell>
          <cell r="W391">
            <v>1861</v>
          </cell>
          <cell r="X391">
            <v>0</v>
          </cell>
          <cell r="Y391">
            <v>0</v>
          </cell>
        </row>
        <row r="392">
          <cell r="D392">
            <v>10110095</v>
          </cell>
          <cell r="E392" t="str">
            <v>GOMUKH LAXMIPUR</v>
          </cell>
          <cell r="F392">
            <v>0</v>
          </cell>
          <cell r="G392" t="str">
            <v>MPG</v>
          </cell>
          <cell r="H392" t="str">
            <v>Direct</v>
          </cell>
          <cell r="I392">
            <v>1011</v>
          </cell>
          <cell r="J392" t="str">
            <v>Sahibpur Kamal</v>
          </cell>
          <cell r="K392" t="str">
            <v>Old</v>
          </cell>
          <cell r="L392">
            <v>45629</v>
          </cell>
          <cell r="M392">
            <v>1100.8000000000002</v>
          </cell>
          <cell r="N392">
            <v>44556.009999999995</v>
          </cell>
          <cell r="O392">
            <v>825.60000000000014</v>
          </cell>
          <cell r="P392">
            <v>1045.7600000000002</v>
          </cell>
          <cell r="Q392">
            <v>1074.0149608255999</v>
          </cell>
          <cell r="R392">
            <v>1336.6802999999998</v>
          </cell>
          <cell r="S392">
            <v>290.92029999999954</v>
          </cell>
          <cell r="T392">
            <v>110.08000000000003</v>
          </cell>
          <cell r="U392">
            <v>1375.5265644617702</v>
          </cell>
          <cell r="V392">
            <v>1460</v>
          </cell>
          <cell r="W392">
            <v>1460</v>
          </cell>
          <cell r="X392">
            <v>0</v>
          </cell>
          <cell r="Y392">
            <v>0</v>
          </cell>
        </row>
        <row r="393">
          <cell r="D393">
            <v>10110097</v>
          </cell>
          <cell r="E393" t="str">
            <v>GOMUKH BACHOTA</v>
          </cell>
          <cell r="F393">
            <v>0</v>
          </cell>
          <cell r="G393" t="str">
            <v>MPG</v>
          </cell>
          <cell r="H393" t="str">
            <v>Direct</v>
          </cell>
          <cell r="I393">
            <v>1054</v>
          </cell>
          <cell r="J393" t="str">
            <v xml:space="preserve">Alauli </v>
          </cell>
          <cell r="K393" t="str">
            <v>Old</v>
          </cell>
          <cell r="L393">
            <v>45652</v>
          </cell>
          <cell r="M393">
            <v>690.59999999999991</v>
          </cell>
          <cell r="N393">
            <v>26635.1</v>
          </cell>
          <cell r="O393">
            <v>517.94999999999993</v>
          </cell>
          <cell r="P393">
            <v>656.06999999999994</v>
          </cell>
          <cell r="Q393">
            <v>315.80237265300002</v>
          </cell>
          <cell r="R393">
            <v>799.05299999999988</v>
          </cell>
          <cell r="S393">
            <v>142.98299999999995</v>
          </cell>
          <cell r="T393">
            <v>69.059999999999988</v>
          </cell>
          <cell r="U393">
            <v>1420.2941296359913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D394">
            <v>10110098</v>
          </cell>
          <cell r="E394" t="str">
            <v>GOMUKH CHATAR</v>
          </cell>
          <cell r="F394">
            <v>0</v>
          </cell>
          <cell r="G394" t="str">
            <v>MPG</v>
          </cell>
          <cell r="H394" t="str">
            <v>Direct</v>
          </cell>
          <cell r="I394">
            <v>1054</v>
          </cell>
          <cell r="J394" t="str">
            <v xml:space="preserve">Alauli </v>
          </cell>
          <cell r="K394" t="str">
            <v>Old</v>
          </cell>
          <cell r="L394">
            <v>45653</v>
          </cell>
          <cell r="M394">
            <v>439</v>
          </cell>
          <cell r="N394">
            <v>16522.07</v>
          </cell>
          <cell r="O394">
            <v>329.25</v>
          </cell>
          <cell r="P394">
            <v>417.04999999999995</v>
          </cell>
          <cell r="Q394">
            <v>0</v>
          </cell>
          <cell r="R394">
            <v>495.66209999999995</v>
          </cell>
          <cell r="S394">
            <v>78.612099999999998</v>
          </cell>
          <cell r="T394">
            <v>43.900000000000006</v>
          </cell>
          <cell r="U394">
            <v>702.01062408643111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</row>
        <row r="395">
          <cell r="D395">
            <v>10110100</v>
          </cell>
          <cell r="E395" t="str">
            <v>GOMUKH BATHNAMA</v>
          </cell>
          <cell r="F395">
            <v>0</v>
          </cell>
          <cell r="G395" t="str">
            <v>MPG</v>
          </cell>
          <cell r="H395" t="str">
            <v>Direct</v>
          </cell>
          <cell r="I395">
            <v>1054</v>
          </cell>
          <cell r="J395" t="str">
            <v xml:space="preserve">Alauli </v>
          </cell>
          <cell r="K395" t="str">
            <v>Old</v>
          </cell>
          <cell r="L395">
            <v>45653</v>
          </cell>
          <cell r="M395">
            <v>5787.0999999999995</v>
          </cell>
          <cell r="N395">
            <v>246011.10000000003</v>
          </cell>
          <cell r="O395">
            <v>4340.3249999999998</v>
          </cell>
          <cell r="P395">
            <v>5497.744999999999</v>
          </cell>
          <cell r="Q395">
            <v>1630.5383583959799</v>
          </cell>
          <cell r="R395">
            <v>7380.3330000000005</v>
          </cell>
          <cell r="S395">
            <v>1882.5880000000016</v>
          </cell>
          <cell r="T395">
            <v>578.70999999999992</v>
          </cell>
          <cell r="U395">
            <v>0</v>
          </cell>
          <cell r="V395">
            <v>10890</v>
          </cell>
          <cell r="W395">
            <v>4920.2220000000007</v>
          </cell>
          <cell r="X395">
            <v>0</v>
          </cell>
          <cell r="Y395">
            <v>0</v>
          </cell>
        </row>
        <row r="396">
          <cell r="D396">
            <v>10110101</v>
          </cell>
          <cell r="E396" t="str">
            <v>GOMUKH TILAK NAGAR</v>
          </cell>
          <cell r="F396">
            <v>0</v>
          </cell>
          <cell r="G396" t="str">
            <v>MPG</v>
          </cell>
          <cell r="H396" t="str">
            <v>Direct</v>
          </cell>
          <cell r="I396">
            <v>1054</v>
          </cell>
          <cell r="J396" t="str">
            <v xml:space="preserve">Alauli </v>
          </cell>
          <cell r="K396" t="str">
            <v>Old</v>
          </cell>
          <cell r="L396">
            <v>45672</v>
          </cell>
          <cell r="M396">
            <v>1690.0999999999997</v>
          </cell>
          <cell r="N396">
            <v>70716.570000000007</v>
          </cell>
          <cell r="O396">
            <v>1267.5749999999998</v>
          </cell>
          <cell r="P396">
            <v>1605.5949999999996</v>
          </cell>
          <cell r="Q396">
            <v>1666.5546971292802</v>
          </cell>
          <cell r="R396">
            <v>2121.4971</v>
          </cell>
          <cell r="S396">
            <v>515.90210000000047</v>
          </cell>
          <cell r="T396">
            <v>169.01</v>
          </cell>
          <cell r="U396">
            <v>930.15182227742491</v>
          </cell>
          <cell r="V396">
            <v>3441</v>
          </cell>
          <cell r="W396">
            <v>1861</v>
          </cell>
          <cell r="X396">
            <v>0</v>
          </cell>
          <cell r="Y396">
            <v>0</v>
          </cell>
        </row>
        <row r="397">
          <cell r="D397">
            <v>10110105</v>
          </cell>
          <cell r="E397" t="str">
            <v>Gomukh Thatha Purvi</v>
          </cell>
          <cell r="F397">
            <v>0</v>
          </cell>
          <cell r="G397" t="str">
            <v>MPG</v>
          </cell>
          <cell r="H397" t="str">
            <v>Direct</v>
          </cell>
          <cell r="I397">
            <v>1011</v>
          </cell>
          <cell r="J397" t="str">
            <v>Sahibpur Kamal</v>
          </cell>
          <cell r="K397" t="str">
            <v>Old</v>
          </cell>
          <cell r="L397">
            <v>45700</v>
          </cell>
          <cell r="M397">
            <v>1298.2</v>
          </cell>
          <cell r="N397">
            <v>55560.37</v>
          </cell>
          <cell r="O397">
            <v>973.65000000000009</v>
          </cell>
          <cell r="P397">
            <v>1233.29</v>
          </cell>
          <cell r="Q397">
            <v>0</v>
          </cell>
          <cell r="R397">
            <v>1666.8111000000001</v>
          </cell>
          <cell r="S397">
            <v>433.52110000000016</v>
          </cell>
          <cell r="T397">
            <v>129.82000000000002</v>
          </cell>
          <cell r="U397">
            <v>1281.516005534854</v>
          </cell>
          <cell r="V397">
            <v>796</v>
          </cell>
          <cell r="W397">
            <v>796</v>
          </cell>
          <cell r="X397">
            <v>0</v>
          </cell>
          <cell r="Y397">
            <v>0</v>
          </cell>
        </row>
        <row r="398">
          <cell r="D398">
            <v>10110106</v>
          </cell>
          <cell r="E398" t="str">
            <v>Gomukh Rahimpur Dakshin</v>
          </cell>
          <cell r="F398">
            <v>0</v>
          </cell>
          <cell r="G398" t="str">
            <v>MPG</v>
          </cell>
          <cell r="H398" t="str">
            <v>Direct</v>
          </cell>
          <cell r="I398">
            <v>1011</v>
          </cell>
          <cell r="J398" t="str">
            <v>Sahibpur Kamal</v>
          </cell>
          <cell r="K398" t="str">
            <v>Old</v>
          </cell>
          <cell r="L398">
            <v>45692</v>
          </cell>
          <cell r="M398">
            <v>7019.55</v>
          </cell>
          <cell r="N398">
            <v>276311.74</v>
          </cell>
          <cell r="O398">
            <v>5264.6625000000004</v>
          </cell>
          <cell r="P398">
            <v>6668.5725000000002</v>
          </cell>
          <cell r="Q398">
            <v>986.27737959187994</v>
          </cell>
          <cell r="R398">
            <v>8289.3521999999994</v>
          </cell>
          <cell r="S398">
            <v>1620.7796999999991</v>
          </cell>
          <cell r="T398">
            <v>701.95500000000004</v>
          </cell>
          <cell r="U398">
            <v>0</v>
          </cell>
          <cell r="V398">
            <v>12218</v>
          </cell>
          <cell r="W398">
            <v>5526.2348000000002</v>
          </cell>
          <cell r="X398">
            <v>0</v>
          </cell>
          <cell r="Y398">
            <v>0</v>
          </cell>
        </row>
        <row r="399">
          <cell r="D399">
            <v>10110109</v>
          </cell>
          <cell r="E399" t="str">
            <v>GOMUKH MORKAHI</v>
          </cell>
          <cell r="F399">
            <v>0</v>
          </cell>
          <cell r="G399" t="str">
            <v>MPG</v>
          </cell>
          <cell r="H399" t="str">
            <v>Direct</v>
          </cell>
          <cell r="I399">
            <v>1054</v>
          </cell>
          <cell r="J399" t="str">
            <v xml:space="preserve">Alauli </v>
          </cell>
          <cell r="K399" t="str">
            <v>Old</v>
          </cell>
          <cell r="L399">
            <v>45702</v>
          </cell>
          <cell r="M399">
            <v>1025.8999999999999</v>
          </cell>
          <cell r="N399">
            <v>42285</v>
          </cell>
          <cell r="O399">
            <v>769.42499999999995</v>
          </cell>
          <cell r="P399">
            <v>974.60499999999979</v>
          </cell>
          <cell r="Q399">
            <v>213.58178687200004</v>
          </cell>
          <cell r="R399">
            <v>1268.55</v>
          </cell>
          <cell r="S399">
            <v>293.94500000000016</v>
          </cell>
          <cell r="T399">
            <v>102.58999999999999</v>
          </cell>
          <cell r="U399">
            <v>1463.0837313724076</v>
          </cell>
          <cell r="V399">
            <v>392</v>
          </cell>
          <cell r="W399">
            <v>392</v>
          </cell>
          <cell r="X399">
            <v>0</v>
          </cell>
          <cell r="Y399">
            <v>0</v>
          </cell>
        </row>
        <row r="400">
          <cell r="D400">
            <v>10110110</v>
          </cell>
          <cell r="E400" t="str">
            <v>GOMUKH HANSPUR</v>
          </cell>
          <cell r="F400">
            <v>0</v>
          </cell>
          <cell r="G400" t="str">
            <v>MPG</v>
          </cell>
          <cell r="H400" t="str">
            <v>Direct</v>
          </cell>
          <cell r="I400">
            <v>1055</v>
          </cell>
          <cell r="J400" t="str">
            <v>Matihani</v>
          </cell>
          <cell r="K400" t="str">
            <v>Old</v>
          </cell>
          <cell r="L400">
            <v>45745</v>
          </cell>
          <cell r="M400">
            <v>909.80000000000007</v>
          </cell>
          <cell r="N400">
            <v>43809.69</v>
          </cell>
          <cell r="O400">
            <v>682.35</v>
          </cell>
          <cell r="P400">
            <v>864.31000000000006</v>
          </cell>
          <cell r="Q400">
            <v>232.76339787619997</v>
          </cell>
          <cell r="R400">
            <v>1314.2907</v>
          </cell>
          <cell r="S400">
            <v>449.98069999999996</v>
          </cell>
          <cell r="T400">
            <v>90.980000000000018</v>
          </cell>
          <cell r="U400">
            <v>1688.1007723372197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D401">
            <v>10110111</v>
          </cell>
          <cell r="E401" t="str">
            <v>GOMUKH NAYAGAON 2</v>
          </cell>
          <cell r="F401">
            <v>0</v>
          </cell>
          <cell r="G401" t="str">
            <v>MPG</v>
          </cell>
          <cell r="H401" t="str">
            <v>Direct</v>
          </cell>
          <cell r="I401">
            <v>1055</v>
          </cell>
          <cell r="J401" t="str">
            <v>Matihani</v>
          </cell>
          <cell r="K401" t="str">
            <v>Old</v>
          </cell>
          <cell r="L401">
            <v>45716</v>
          </cell>
          <cell r="M401">
            <v>794.19999999999993</v>
          </cell>
          <cell r="N401">
            <v>37694.629999999997</v>
          </cell>
          <cell r="O401">
            <v>595.65</v>
          </cell>
          <cell r="P401">
            <v>754.4899999999999</v>
          </cell>
          <cell r="Q401">
            <v>1402.99759474292</v>
          </cell>
          <cell r="R401">
            <v>1130.8389</v>
          </cell>
          <cell r="S401">
            <v>376.34890000000007</v>
          </cell>
          <cell r="T401">
            <v>79.42</v>
          </cell>
          <cell r="U401">
            <v>1904.4361779115663</v>
          </cell>
          <cell r="V401">
            <v>769</v>
          </cell>
          <cell r="W401">
            <v>769</v>
          </cell>
          <cell r="X401">
            <v>0</v>
          </cell>
          <cell r="Y401">
            <v>0</v>
          </cell>
        </row>
        <row r="402">
          <cell r="D402">
            <v>10110112</v>
          </cell>
          <cell r="E402" t="str">
            <v>GOMUKH ALOLI</v>
          </cell>
          <cell r="F402">
            <v>0</v>
          </cell>
          <cell r="G402" t="str">
            <v>MPG</v>
          </cell>
          <cell r="H402" t="str">
            <v>Direct</v>
          </cell>
          <cell r="I402">
            <v>1054</v>
          </cell>
          <cell r="J402" t="str">
            <v xml:space="preserve">Alauli </v>
          </cell>
          <cell r="K402" t="str">
            <v>Old</v>
          </cell>
          <cell r="L402">
            <v>45814</v>
          </cell>
          <cell r="M402">
            <v>276.5</v>
          </cell>
          <cell r="N402">
            <v>10080.689999999999</v>
          </cell>
          <cell r="O402">
            <v>207.375</v>
          </cell>
          <cell r="P402">
            <v>262.67500000000001</v>
          </cell>
          <cell r="Q402">
            <v>0</v>
          </cell>
          <cell r="R402">
            <v>302.42069999999995</v>
          </cell>
          <cell r="S402">
            <v>39.745699999999943</v>
          </cell>
          <cell r="T402">
            <v>27.650000000000002</v>
          </cell>
          <cell r="U402">
            <v>442.23983060649425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</row>
        <row r="403">
          <cell r="D403">
            <v>10110113</v>
          </cell>
          <cell r="E403" t="str">
            <v>GOMUKH SONVARSA</v>
          </cell>
          <cell r="F403">
            <v>0</v>
          </cell>
          <cell r="G403" t="str">
            <v>MPG</v>
          </cell>
          <cell r="H403" t="str">
            <v>Direct</v>
          </cell>
          <cell r="I403">
            <v>1055</v>
          </cell>
          <cell r="J403" t="str">
            <v>Matihani</v>
          </cell>
          <cell r="K403" t="str">
            <v>Old</v>
          </cell>
          <cell r="L403">
            <v>45745</v>
          </cell>
          <cell r="M403">
            <v>1120.3000000000002</v>
          </cell>
          <cell r="N403">
            <v>44186.49</v>
          </cell>
          <cell r="O403">
            <v>840.22500000000014</v>
          </cell>
          <cell r="P403">
            <v>1064.2850000000001</v>
          </cell>
          <cell r="Q403">
            <v>9.1465333740000005</v>
          </cell>
          <cell r="R403">
            <v>1325.5946999999999</v>
          </cell>
          <cell r="S403">
            <v>261.30969999999979</v>
          </cell>
          <cell r="T403">
            <v>112.03000000000003</v>
          </cell>
          <cell r="U403">
            <v>321.65301799485854</v>
          </cell>
          <cell r="V403">
            <v>1480</v>
          </cell>
          <cell r="W403">
            <v>1480</v>
          </cell>
          <cell r="X403">
            <v>0</v>
          </cell>
          <cell r="Y403">
            <v>0</v>
          </cell>
        </row>
        <row r="404">
          <cell r="D404">
            <v>10110114</v>
          </cell>
          <cell r="E404" t="str">
            <v>GOMUKH LABHGAON</v>
          </cell>
          <cell r="F404">
            <v>0</v>
          </cell>
          <cell r="G404" t="str">
            <v>MPG</v>
          </cell>
          <cell r="H404" t="str">
            <v>Direct</v>
          </cell>
          <cell r="I404">
            <v>1054</v>
          </cell>
          <cell r="J404" t="str">
            <v xml:space="preserve">Alauli </v>
          </cell>
          <cell r="K404" t="str">
            <v>Old</v>
          </cell>
          <cell r="L404">
            <v>45745</v>
          </cell>
          <cell r="M404">
            <v>773.5</v>
          </cell>
          <cell r="N404">
            <v>31517.850000000006</v>
          </cell>
          <cell r="O404">
            <v>580.125</v>
          </cell>
          <cell r="P404">
            <v>734.82499999999993</v>
          </cell>
          <cell r="Q404">
            <v>179.47191798360001</v>
          </cell>
          <cell r="R404">
            <v>945.53550000000018</v>
          </cell>
          <cell r="S404">
            <v>210.71050000000025</v>
          </cell>
          <cell r="T404">
            <v>77.350000000000009</v>
          </cell>
          <cell r="U404">
            <v>1416.9914443596108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</row>
        <row r="405">
          <cell r="D405">
            <v>10110115</v>
          </cell>
          <cell r="E405" t="str">
            <v>GOMUKH TATRABAD</v>
          </cell>
          <cell r="F405">
            <v>0</v>
          </cell>
          <cell r="G405" t="str">
            <v>MPG</v>
          </cell>
          <cell r="H405" t="str">
            <v>Direct</v>
          </cell>
          <cell r="I405">
            <v>1054</v>
          </cell>
          <cell r="J405" t="str">
            <v xml:space="preserve">Alauli </v>
          </cell>
          <cell r="K405" t="str">
            <v>Old</v>
          </cell>
          <cell r="L405">
            <v>45745</v>
          </cell>
          <cell r="M405">
            <v>253.6</v>
          </cell>
          <cell r="N405">
            <v>10356.16</v>
          </cell>
          <cell r="O405">
            <v>190.2</v>
          </cell>
          <cell r="P405">
            <v>240.92</v>
          </cell>
          <cell r="Q405">
            <v>0</v>
          </cell>
          <cell r="R405">
            <v>310.6848</v>
          </cell>
          <cell r="S405">
            <v>69.764800000000008</v>
          </cell>
          <cell r="T405">
            <v>25.36</v>
          </cell>
          <cell r="U405">
            <v>405.96231766513665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</row>
        <row r="406">
          <cell r="D406">
            <v>10110116</v>
          </cell>
          <cell r="E406" t="str">
            <v>GOMUKH CHANDPURA</v>
          </cell>
          <cell r="F406">
            <v>0</v>
          </cell>
          <cell r="G406" t="str">
            <v>MPG</v>
          </cell>
          <cell r="H406" t="str">
            <v>Direct</v>
          </cell>
          <cell r="I406">
            <v>1054</v>
          </cell>
          <cell r="J406" t="str">
            <v xml:space="preserve">Alauli </v>
          </cell>
          <cell r="K406" t="str">
            <v>Old</v>
          </cell>
          <cell r="L406">
            <v>45745</v>
          </cell>
          <cell r="M406">
            <v>2063.1</v>
          </cell>
          <cell r="N406">
            <v>78978.260000000009</v>
          </cell>
          <cell r="O406">
            <v>1547.3249999999998</v>
          </cell>
          <cell r="P406">
            <v>1959.9449999999997</v>
          </cell>
          <cell r="Q406">
            <v>0</v>
          </cell>
          <cell r="R406">
            <v>2369.3478</v>
          </cell>
          <cell r="S406">
            <v>409.4028000000003</v>
          </cell>
          <cell r="T406">
            <v>206.31</v>
          </cell>
          <cell r="U406">
            <v>564.93034365295705</v>
          </cell>
          <cell r="V406">
            <v>2736</v>
          </cell>
          <cell r="W406">
            <v>1861</v>
          </cell>
          <cell r="X406">
            <v>0</v>
          </cell>
          <cell r="Y406">
            <v>0</v>
          </cell>
        </row>
        <row r="407">
          <cell r="D407">
            <v>10110118</v>
          </cell>
          <cell r="E407" t="str">
            <v>GOMUKH BADIL TOL</v>
          </cell>
          <cell r="F407">
            <v>0</v>
          </cell>
          <cell r="G407" t="str">
            <v>MPG</v>
          </cell>
          <cell r="H407" t="str">
            <v>Direct</v>
          </cell>
          <cell r="I407">
            <v>1054</v>
          </cell>
          <cell r="J407" t="str">
            <v xml:space="preserve">Alauli </v>
          </cell>
          <cell r="K407" t="str">
            <v>Old</v>
          </cell>
          <cell r="L407">
            <v>45745</v>
          </cell>
          <cell r="M407">
            <v>4108.0999999999995</v>
          </cell>
          <cell r="N407">
            <v>170419.07999999996</v>
          </cell>
          <cell r="O407">
            <v>3081.0749999999998</v>
          </cell>
          <cell r="P407">
            <v>3902.6949999999993</v>
          </cell>
          <cell r="Q407">
            <v>4719.2712209016499</v>
          </cell>
          <cell r="R407">
            <v>5112.5723999999982</v>
          </cell>
          <cell r="S407">
            <v>1209.8773999999989</v>
          </cell>
          <cell r="T407">
            <v>410.80999999999995</v>
          </cell>
          <cell r="U407">
            <v>0</v>
          </cell>
          <cell r="V407">
            <v>11292</v>
          </cell>
          <cell r="W407">
            <v>3408.3815999999993</v>
          </cell>
          <cell r="X407">
            <v>0</v>
          </cell>
          <cell r="Y407">
            <v>0</v>
          </cell>
        </row>
        <row r="408">
          <cell r="D408">
            <v>10110119</v>
          </cell>
          <cell r="E408" t="str">
            <v>GOMUKH TRIBHUVAN TOLA</v>
          </cell>
          <cell r="F408">
            <v>0</v>
          </cell>
          <cell r="G408" t="str">
            <v>MPG</v>
          </cell>
          <cell r="H408" t="str">
            <v>Direct</v>
          </cell>
          <cell r="I408">
            <v>1054</v>
          </cell>
          <cell r="J408" t="str">
            <v xml:space="preserve">Alauli </v>
          </cell>
          <cell r="K408" t="str">
            <v>Old</v>
          </cell>
          <cell r="L408">
            <v>45745</v>
          </cell>
          <cell r="M408">
            <v>1061.8</v>
          </cell>
          <cell r="N408">
            <v>44019.100000000006</v>
          </cell>
          <cell r="O408">
            <v>796.34999999999991</v>
          </cell>
          <cell r="P408">
            <v>1008.7099999999999</v>
          </cell>
          <cell r="Q408">
            <v>0</v>
          </cell>
          <cell r="R408">
            <v>1320.5730000000001</v>
          </cell>
          <cell r="S408">
            <v>311.86300000000017</v>
          </cell>
          <cell r="T408">
            <v>106.18</v>
          </cell>
          <cell r="U408">
            <v>1448.2637606270953</v>
          </cell>
          <cell r="V408">
            <v>251</v>
          </cell>
          <cell r="W408">
            <v>251</v>
          </cell>
          <cell r="X408">
            <v>0</v>
          </cell>
          <cell r="Y408">
            <v>0</v>
          </cell>
        </row>
        <row r="409">
          <cell r="D409">
            <v>10110120</v>
          </cell>
          <cell r="E409" t="str">
            <v>GOMUKH SANTOSHPUL</v>
          </cell>
          <cell r="F409">
            <v>0</v>
          </cell>
          <cell r="G409" t="str">
            <v>MPG</v>
          </cell>
          <cell r="H409" t="str">
            <v>Direct</v>
          </cell>
          <cell r="I409">
            <v>1054</v>
          </cell>
          <cell r="J409" t="str">
            <v xml:space="preserve">Alauli </v>
          </cell>
          <cell r="K409" t="str">
            <v>Old</v>
          </cell>
          <cell r="L409">
            <v>45819</v>
          </cell>
          <cell r="M409">
            <v>5354.0999999999995</v>
          </cell>
          <cell r="N409">
            <v>235580.62</v>
          </cell>
          <cell r="O409">
            <v>4015.5749999999998</v>
          </cell>
          <cell r="P409">
            <v>5086.3949999999995</v>
          </cell>
          <cell r="Q409">
            <v>0</v>
          </cell>
          <cell r="R409">
            <v>7067.4186</v>
          </cell>
          <cell r="S409">
            <v>1981.0236000000004</v>
          </cell>
          <cell r="T409">
            <v>535.41</v>
          </cell>
          <cell r="U409">
            <v>0</v>
          </cell>
          <cell r="V409">
            <v>8567</v>
          </cell>
          <cell r="W409">
            <v>4711.6124</v>
          </cell>
          <cell r="X409">
            <v>0</v>
          </cell>
          <cell r="Y409">
            <v>0</v>
          </cell>
        </row>
        <row r="410">
          <cell r="D410">
            <v>10110121</v>
          </cell>
          <cell r="E410" t="str">
            <v>GOMUKH AHUNA</v>
          </cell>
          <cell r="F410">
            <v>0</v>
          </cell>
          <cell r="G410" t="str">
            <v>MPG</v>
          </cell>
          <cell r="H410" t="str">
            <v>Direct</v>
          </cell>
          <cell r="I410">
            <v>1054</v>
          </cell>
          <cell r="J410" t="str">
            <v xml:space="preserve">Alauli </v>
          </cell>
          <cell r="K410" t="str">
            <v>Old</v>
          </cell>
          <cell r="L410">
            <v>45745</v>
          </cell>
          <cell r="M410">
            <v>1016.5</v>
          </cell>
          <cell r="N410">
            <v>42021.08</v>
          </cell>
          <cell r="O410">
            <v>762.375</v>
          </cell>
          <cell r="P410">
            <v>965.67499999999995</v>
          </cell>
          <cell r="Q410">
            <v>128.04</v>
          </cell>
          <cell r="R410">
            <v>1260.6324</v>
          </cell>
          <cell r="S410">
            <v>294.95740000000001</v>
          </cell>
          <cell r="T410">
            <v>101.65</v>
          </cell>
          <cell r="U410">
            <v>1476.4686184307895</v>
          </cell>
          <cell r="V410">
            <v>278</v>
          </cell>
          <cell r="W410">
            <v>278</v>
          </cell>
          <cell r="X410">
            <v>0</v>
          </cell>
          <cell r="Y410">
            <v>0</v>
          </cell>
        </row>
        <row r="411">
          <cell r="D411">
            <v>10110123</v>
          </cell>
          <cell r="E411" t="str">
            <v>GOMUKH SHADIPUR</v>
          </cell>
          <cell r="F411">
            <v>0</v>
          </cell>
          <cell r="G411" t="str">
            <v>MPG</v>
          </cell>
          <cell r="H411" t="str">
            <v>Direct</v>
          </cell>
          <cell r="I411">
            <v>1055</v>
          </cell>
          <cell r="J411" t="str">
            <v>Matihani</v>
          </cell>
          <cell r="K411" t="str">
            <v>Old</v>
          </cell>
          <cell r="L411">
            <v>45745</v>
          </cell>
          <cell r="M411">
            <v>2439.6000000000004</v>
          </cell>
          <cell r="N411">
            <v>119522.02</v>
          </cell>
          <cell r="O411">
            <v>1829.7000000000003</v>
          </cell>
          <cell r="P411">
            <v>2317.6200000000003</v>
          </cell>
          <cell r="Q411">
            <v>2127.3121870710102</v>
          </cell>
          <cell r="R411">
            <v>3585.6606000000002</v>
          </cell>
          <cell r="S411">
            <v>1268.0405999999998</v>
          </cell>
          <cell r="T411">
            <v>243.96000000000004</v>
          </cell>
          <cell r="U411">
            <v>353.33990828803678</v>
          </cell>
          <cell r="V411">
            <v>5677</v>
          </cell>
          <cell r="W411">
            <v>2390.4404</v>
          </cell>
          <cell r="X411">
            <v>0</v>
          </cell>
          <cell r="Y411">
            <v>0</v>
          </cell>
        </row>
        <row r="412">
          <cell r="D412">
            <v>10110124</v>
          </cell>
          <cell r="E412" t="str">
            <v>GOMUKH ASHRAPHA DIYARA</v>
          </cell>
          <cell r="F412">
            <v>0</v>
          </cell>
          <cell r="G412" t="str">
            <v>MPG</v>
          </cell>
          <cell r="H412" t="str">
            <v>Direct</v>
          </cell>
          <cell r="I412">
            <v>1055</v>
          </cell>
          <cell r="J412" t="str">
            <v>Matihani</v>
          </cell>
          <cell r="K412" t="str">
            <v>Old</v>
          </cell>
          <cell r="L412">
            <v>45745</v>
          </cell>
          <cell r="M412">
            <v>1570.9</v>
          </cell>
          <cell r="N412">
            <v>63119.479999999996</v>
          </cell>
          <cell r="O412">
            <v>1178.1750000000002</v>
          </cell>
          <cell r="P412">
            <v>1492.355</v>
          </cell>
          <cell r="Q412">
            <v>1188.225122735</v>
          </cell>
          <cell r="R412">
            <v>1893.5843999999997</v>
          </cell>
          <cell r="S412">
            <v>401.22939999999971</v>
          </cell>
          <cell r="T412">
            <v>157.09000000000003</v>
          </cell>
          <cell r="U412">
            <v>988.19374882714453</v>
          </cell>
          <cell r="V412">
            <v>2713</v>
          </cell>
          <cell r="W412">
            <v>1861</v>
          </cell>
          <cell r="X412">
            <v>0</v>
          </cell>
          <cell r="Y412">
            <v>0</v>
          </cell>
        </row>
        <row r="413">
          <cell r="D413">
            <v>10110127</v>
          </cell>
          <cell r="E413" t="str">
            <v>GOMUKH SANJHOTI</v>
          </cell>
          <cell r="F413">
            <v>0</v>
          </cell>
          <cell r="G413" t="str">
            <v>MPG</v>
          </cell>
          <cell r="H413" t="str">
            <v>Direct</v>
          </cell>
          <cell r="I413">
            <v>1054</v>
          </cell>
          <cell r="J413" t="str">
            <v xml:space="preserve">Alauli </v>
          </cell>
          <cell r="K413" t="str">
            <v>Old</v>
          </cell>
          <cell r="L413">
            <v>45831</v>
          </cell>
          <cell r="M413">
            <v>3177.7</v>
          </cell>
          <cell r="N413">
            <v>135817.69</v>
          </cell>
          <cell r="O413">
            <v>2383.2749999999996</v>
          </cell>
          <cell r="P413">
            <v>3018.8149999999996</v>
          </cell>
          <cell r="Q413">
            <v>0</v>
          </cell>
          <cell r="R413">
            <v>4074.5306999999998</v>
          </cell>
          <cell r="S413">
            <v>1055.7157000000002</v>
          </cell>
          <cell r="T413">
            <v>317.77</v>
          </cell>
          <cell r="U413">
            <v>0</v>
          </cell>
          <cell r="V413">
            <v>5084</v>
          </cell>
          <cell r="W413">
            <v>2716.3538000000003</v>
          </cell>
          <cell r="X413">
            <v>0</v>
          </cell>
          <cell r="Y413">
            <v>0</v>
          </cell>
        </row>
        <row r="414">
          <cell r="D414">
            <v>10110128</v>
          </cell>
          <cell r="E414" t="str">
            <v>GOMUKH MANIAPPA</v>
          </cell>
          <cell r="F414">
            <v>0</v>
          </cell>
          <cell r="G414" t="str">
            <v>MPG</v>
          </cell>
          <cell r="H414" t="str">
            <v>Direct</v>
          </cell>
          <cell r="I414">
            <v>1055</v>
          </cell>
          <cell r="J414" t="str">
            <v>Matihani</v>
          </cell>
          <cell r="K414" t="str">
            <v>Old</v>
          </cell>
          <cell r="L414">
            <v>45745</v>
          </cell>
          <cell r="M414">
            <v>1149.0999999999999</v>
          </cell>
          <cell r="N414">
            <v>45649.600000000006</v>
          </cell>
          <cell r="O414">
            <v>861.82499999999993</v>
          </cell>
          <cell r="P414">
            <v>1091.6449999999998</v>
          </cell>
          <cell r="Q414">
            <v>381.21233200059999</v>
          </cell>
          <cell r="R414">
            <v>1369.4880000000001</v>
          </cell>
          <cell r="S414">
            <v>277.8430000000003</v>
          </cell>
          <cell r="T414">
            <v>114.91</v>
          </cell>
          <cell r="U414">
            <v>1312.750006312885</v>
          </cell>
          <cell r="V414">
            <v>907</v>
          </cell>
          <cell r="W414">
            <v>907</v>
          </cell>
          <cell r="X414">
            <v>0</v>
          </cell>
          <cell r="Y414">
            <v>0</v>
          </cell>
        </row>
        <row r="415">
          <cell r="D415">
            <v>10110129</v>
          </cell>
          <cell r="E415" t="str">
            <v>GOMUKH D SANJHAUTI</v>
          </cell>
          <cell r="F415">
            <v>0</v>
          </cell>
          <cell r="G415" t="str">
            <v>MPG</v>
          </cell>
          <cell r="H415" t="str">
            <v>Direct</v>
          </cell>
          <cell r="I415">
            <v>1054</v>
          </cell>
          <cell r="J415" t="str">
            <v xml:space="preserve">Alauli </v>
          </cell>
          <cell r="K415" t="str">
            <v>Old</v>
          </cell>
          <cell r="L415">
            <v>45831</v>
          </cell>
          <cell r="M415">
            <v>3785.1</v>
          </cell>
          <cell r="N415">
            <v>144028.99000000002</v>
          </cell>
          <cell r="O415">
            <v>2838.8249999999998</v>
          </cell>
          <cell r="P415">
            <v>3595.8449999999998</v>
          </cell>
          <cell r="Q415">
            <v>0</v>
          </cell>
          <cell r="R415">
            <v>4320.8697000000002</v>
          </cell>
          <cell r="S415">
            <v>725.02470000000039</v>
          </cell>
          <cell r="T415">
            <v>378.51</v>
          </cell>
          <cell r="U415">
            <v>0</v>
          </cell>
          <cell r="V415">
            <v>6056</v>
          </cell>
          <cell r="W415">
            <v>2880.5798000000004</v>
          </cell>
          <cell r="X415">
            <v>0</v>
          </cell>
          <cell r="Y415">
            <v>0</v>
          </cell>
        </row>
        <row r="416">
          <cell r="D416">
            <v>10110131</v>
          </cell>
          <cell r="E416" t="str">
            <v>GOMUKH KAMALPUR</v>
          </cell>
          <cell r="F416">
            <v>0</v>
          </cell>
          <cell r="G416" t="str">
            <v>MPG</v>
          </cell>
          <cell r="H416" t="str">
            <v>Direct</v>
          </cell>
          <cell r="I416">
            <v>1055</v>
          </cell>
          <cell r="J416" t="str">
            <v>Matihani</v>
          </cell>
          <cell r="K416" t="str">
            <v>Old</v>
          </cell>
          <cell r="L416">
            <v>45756</v>
          </cell>
          <cell r="M416">
            <v>544.59999999999991</v>
          </cell>
          <cell r="N416">
            <v>20485.54</v>
          </cell>
          <cell r="O416">
            <v>408.44999999999993</v>
          </cell>
          <cell r="P416">
            <v>517.36999999999989</v>
          </cell>
          <cell r="Q416">
            <v>304.34132912000001</v>
          </cell>
          <cell r="R416">
            <v>614.56619999999998</v>
          </cell>
          <cell r="S416">
            <v>97.19620000000009</v>
          </cell>
          <cell r="T416">
            <v>54.459999999999994</v>
          </cell>
          <cell r="U416">
            <v>1175.7708116780009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</row>
        <row r="417">
          <cell r="D417">
            <v>10110132</v>
          </cell>
          <cell r="E417" t="str">
            <v>GOMUKH DHUSMURI BISHANPUR</v>
          </cell>
          <cell r="F417">
            <v>0</v>
          </cell>
          <cell r="G417" t="str">
            <v>MPG</v>
          </cell>
          <cell r="H417" t="str">
            <v>Direct</v>
          </cell>
          <cell r="I417">
            <v>1054</v>
          </cell>
          <cell r="J417" t="str">
            <v xml:space="preserve">Alauli </v>
          </cell>
          <cell r="K417" t="str">
            <v>Old</v>
          </cell>
          <cell r="L417">
            <v>45772</v>
          </cell>
          <cell r="M417">
            <v>1389</v>
          </cell>
          <cell r="N417">
            <v>57129.62</v>
          </cell>
          <cell r="O417">
            <v>1041.75</v>
          </cell>
          <cell r="P417">
            <v>1319.55</v>
          </cell>
          <cell r="Q417">
            <v>0</v>
          </cell>
          <cell r="R417">
            <v>1713.8886</v>
          </cell>
          <cell r="S417">
            <v>394.33860000000004</v>
          </cell>
          <cell r="T417">
            <v>138.9</v>
          </cell>
          <cell r="U417">
            <v>1162.2265313538742</v>
          </cell>
          <cell r="V417">
            <v>1060</v>
          </cell>
          <cell r="W417">
            <v>1060</v>
          </cell>
          <cell r="X417">
            <v>0</v>
          </cell>
          <cell r="Y417">
            <v>0</v>
          </cell>
        </row>
        <row r="418">
          <cell r="D418">
            <v>10110133</v>
          </cell>
          <cell r="E418" t="str">
            <v>GOMUKH ANANDPUR PARAS</v>
          </cell>
          <cell r="F418">
            <v>0</v>
          </cell>
          <cell r="G418" t="str">
            <v>MPG</v>
          </cell>
          <cell r="H418" t="str">
            <v>Direct</v>
          </cell>
          <cell r="I418">
            <v>1054</v>
          </cell>
          <cell r="J418" t="str">
            <v xml:space="preserve">Alauli </v>
          </cell>
          <cell r="K418" t="str">
            <v>Old</v>
          </cell>
          <cell r="L418">
            <v>45786</v>
          </cell>
          <cell r="M418">
            <v>13382.6</v>
          </cell>
          <cell r="N418">
            <v>549621.97000000009</v>
          </cell>
          <cell r="O418">
            <v>10036.950000000001</v>
          </cell>
          <cell r="P418">
            <v>12713.47</v>
          </cell>
          <cell r="Q418">
            <v>0</v>
          </cell>
          <cell r="R418">
            <v>16488.659100000001</v>
          </cell>
          <cell r="S418">
            <v>3775.1891000000014</v>
          </cell>
          <cell r="T418">
            <v>1338.2600000000002</v>
          </cell>
          <cell r="U418">
            <v>0</v>
          </cell>
          <cell r="V418">
            <v>21412</v>
          </cell>
          <cell r="W418">
            <v>10992.439400000001</v>
          </cell>
          <cell r="X418">
            <v>0</v>
          </cell>
          <cell r="Y418">
            <v>0</v>
          </cell>
        </row>
        <row r="419">
          <cell r="D419">
            <v>10110134</v>
          </cell>
          <cell r="E419" t="str">
            <v>Gomukh Bishanpur</v>
          </cell>
          <cell r="F419">
            <v>0</v>
          </cell>
          <cell r="G419" t="str">
            <v>MPG</v>
          </cell>
          <cell r="H419" t="str">
            <v>Direct</v>
          </cell>
          <cell r="I419">
            <v>1054</v>
          </cell>
          <cell r="J419" t="str">
            <v xml:space="preserve">Alauli </v>
          </cell>
          <cell r="K419" t="str">
            <v>Old</v>
          </cell>
          <cell r="L419">
            <v>45770</v>
          </cell>
          <cell r="M419">
            <v>545.5</v>
          </cell>
          <cell r="N419">
            <v>21629.109999999997</v>
          </cell>
          <cell r="O419">
            <v>409.125</v>
          </cell>
          <cell r="P419">
            <v>518.22500000000002</v>
          </cell>
          <cell r="Q419">
            <v>0</v>
          </cell>
          <cell r="R419">
            <v>648.87329999999986</v>
          </cell>
          <cell r="S419">
            <v>130.64829999999984</v>
          </cell>
          <cell r="T419">
            <v>54.550000000000004</v>
          </cell>
          <cell r="U419">
            <v>872.78888978891678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D420">
            <v>10110135</v>
          </cell>
          <cell r="E420" t="str">
            <v>GOMUKH BISHANPUR 2</v>
          </cell>
          <cell r="F420">
            <v>0</v>
          </cell>
          <cell r="G420" t="str">
            <v>MPG</v>
          </cell>
          <cell r="H420" t="str">
            <v>Direct</v>
          </cell>
          <cell r="I420">
            <v>1054</v>
          </cell>
          <cell r="J420" t="str">
            <v xml:space="preserve">Alauli </v>
          </cell>
          <cell r="K420" t="str">
            <v>Old</v>
          </cell>
          <cell r="L420">
            <v>45767</v>
          </cell>
          <cell r="M420">
            <v>1669.5</v>
          </cell>
          <cell r="N420">
            <v>65894.87000000001</v>
          </cell>
          <cell r="O420">
            <v>1252.125</v>
          </cell>
          <cell r="P420">
            <v>1586.0249999999999</v>
          </cell>
          <cell r="Q420">
            <v>1157.51847638</v>
          </cell>
          <cell r="R420">
            <v>1976.8461000000002</v>
          </cell>
          <cell r="S420">
            <v>390.82110000000034</v>
          </cell>
          <cell r="T420">
            <v>166.95000000000002</v>
          </cell>
          <cell r="U420">
            <v>899.79881751699077</v>
          </cell>
          <cell r="V420">
            <v>2929</v>
          </cell>
          <cell r="W420">
            <v>1861</v>
          </cell>
          <cell r="X420">
            <v>0</v>
          </cell>
          <cell r="Y420">
            <v>0</v>
          </cell>
        </row>
        <row r="421">
          <cell r="D421">
            <v>10110140</v>
          </cell>
          <cell r="E421" t="str">
            <v>GOMUKH GHAMARIYA</v>
          </cell>
          <cell r="F421">
            <v>0</v>
          </cell>
          <cell r="G421" t="str">
            <v>MPG</v>
          </cell>
          <cell r="H421" t="str">
            <v>Direct</v>
          </cell>
          <cell r="I421">
            <v>1054</v>
          </cell>
          <cell r="J421" t="str">
            <v xml:space="preserve">Alauli </v>
          </cell>
          <cell r="K421" t="str">
            <v>Old</v>
          </cell>
          <cell r="L421">
            <v>45786</v>
          </cell>
          <cell r="M421">
            <v>1127.7</v>
          </cell>
          <cell r="N421">
            <v>49315.289999999994</v>
          </cell>
          <cell r="O421">
            <v>845.77500000000009</v>
          </cell>
          <cell r="P421">
            <v>1071.3150000000001</v>
          </cell>
          <cell r="Q421">
            <v>449.53549050135007</v>
          </cell>
          <cell r="R421">
            <v>1479.4586999999997</v>
          </cell>
          <cell r="S421">
            <v>408.14369999999963</v>
          </cell>
          <cell r="T421">
            <v>112.77000000000001</v>
          </cell>
          <cell r="U421">
            <v>1462.3071835909286</v>
          </cell>
          <cell r="V421">
            <v>792</v>
          </cell>
          <cell r="W421">
            <v>792</v>
          </cell>
          <cell r="X421">
            <v>0</v>
          </cell>
          <cell r="Y421">
            <v>0</v>
          </cell>
        </row>
        <row r="422">
          <cell r="D422">
            <v>10110141</v>
          </cell>
          <cell r="E422" t="str">
            <v>GOMUKH MEGHAUMA</v>
          </cell>
          <cell r="F422">
            <v>0</v>
          </cell>
          <cell r="G422" t="str">
            <v>MPG</v>
          </cell>
          <cell r="H422" t="str">
            <v>Direct</v>
          </cell>
          <cell r="I422">
            <v>1054</v>
          </cell>
          <cell r="J422" t="str">
            <v xml:space="preserve">Alauli </v>
          </cell>
          <cell r="K422" t="str">
            <v>Old</v>
          </cell>
          <cell r="L422">
            <v>45786</v>
          </cell>
          <cell r="M422">
            <v>5382.8</v>
          </cell>
          <cell r="N422">
            <v>229598.68</v>
          </cell>
          <cell r="O422">
            <v>4037.1000000000004</v>
          </cell>
          <cell r="P422">
            <v>5113.66</v>
          </cell>
          <cell r="Q422">
            <v>2722.4918684926201</v>
          </cell>
          <cell r="R422">
            <v>6887.9603999999999</v>
          </cell>
          <cell r="S422">
            <v>1774.3004000000001</v>
          </cell>
          <cell r="T422">
            <v>538.28000000000009</v>
          </cell>
          <cell r="U422">
            <v>0</v>
          </cell>
          <cell r="V422">
            <v>11335</v>
          </cell>
          <cell r="W422">
            <v>4591.9736000000003</v>
          </cell>
          <cell r="X422">
            <v>0</v>
          </cell>
          <cell r="Y422">
            <v>0</v>
          </cell>
        </row>
        <row r="423">
          <cell r="D423">
            <v>10110142</v>
          </cell>
          <cell r="E423" t="str">
            <v>GOUKH SIRSIYA</v>
          </cell>
          <cell r="F423">
            <v>0</v>
          </cell>
          <cell r="G423" t="str">
            <v>MPG</v>
          </cell>
          <cell r="H423" t="str">
            <v>Direct</v>
          </cell>
          <cell r="I423">
            <v>1054</v>
          </cell>
          <cell r="J423" t="str">
            <v xml:space="preserve">Alauli </v>
          </cell>
          <cell r="K423" t="str">
            <v>Old</v>
          </cell>
          <cell r="L423">
            <v>45786</v>
          </cell>
          <cell r="M423">
            <v>2807.2</v>
          </cell>
          <cell r="N423">
            <v>106958.59</v>
          </cell>
          <cell r="O423">
            <v>2105.3999999999996</v>
          </cell>
          <cell r="P423">
            <v>2666.8399999999997</v>
          </cell>
          <cell r="Q423">
            <v>0</v>
          </cell>
          <cell r="R423">
            <v>3208.7576999999997</v>
          </cell>
          <cell r="S423">
            <v>541.91769999999997</v>
          </cell>
          <cell r="T423">
            <v>280.71999999999997</v>
          </cell>
          <cell r="U423">
            <v>94.697595189003366</v>
          </cell>
          <cell r="V423">
            <v>4397</v>
          </cell>
          <cell r="W423">
            <v>2139.1718000000001</v>
          </cell>
          <cell r="X423">
            <v>0</v>
          </cell>
          <cell r="Y423">
            <v>0</v>
          </cell>
        </row>
        <row r="424">
          <cell r="D424">
            <v>10110143</v>
          </cell>
          <cell r="E424" t="str">
            <v>GOMUKH AURA</v>
          </cell>
          <cell r="F424">
            <v>0</v>
          </cell>
          <cell r="G424" t="str">
            <v>MPG</v>
          </cell>
          <cell r="H424" t="str">
            <v>Direct</v>
          </cell>
          <cell r="I424">
            <v>1054</v>
          </cell>
          <cell r="J424" t="str">
            <v xml:space="preserve">Alauli </v>
          </cell>
          <cell r="K424" t="str">
            <v>Old</v>
          </cell>
          <cell r="L424">
            <v>45786</v>
          </cell>
          <cell r="M424">
            <v>5722.5</v>
          </cell>
          <cell r="N424">
            <v>240428.59999999998</v>
          </cell>
          <cell r="O424">
            <v>4291.875</v>
          </cell>
          <cell r="P424">
            <v>5436.375</v>
          </cell>
          <cell r="Q424">
            <v>0</v>
          </cell>
          <cell r="R424">
            <v>7212.8579999999993</v>
          </cell>
          <cell r="S424">
            <v>1776.4829999999993</v>
          </cell>
          <cell r="T424">
            <v>572.25</v>
          </cell>
          <cell r="U424">
            <v>0</v>
          </cell>
          <cell r="V424">
            <v>9156</v>
          </cell>
          <cell r="W424">
            <v>4808.5719999999992</v>
          </cell>
          <cell r="X424">
            <v>0</v>
          </cell>
          <cell r="Y424">
            <v>0</v>
          </cell>
        </row>
        <row r="425">
          <cell r="D425">
            <v>10110144</v>
          </cell>
          <cell r="E425" t="str">
            <v>GOMUKH BEHORBA</v>
          </cell>
          <cell r="F425">
            <v>0</v>
          </cell>
          <cell r="G425" t="str">
            <v>MPG</v>
          </cell>
          <cell r="H425" t="str">
            <v>Direct</v>
          </cell>
          <cell r="I425">
            <v>1054</v>
          </cell>
          <cell r="J425" t="str">
            <v xml:space="preserve">Alauli </v>
          </cell>
          <cell r="K425" t="str">
            <v>Old</v>
          </cell>
          <cell r="L425">
            <v>45786</v>
          </cell>
          <cell r="M425">
            <v>4173.3</v>
          </cell>
          <cell r="N425">
            <v>161983.91</v>
          </cell>
          <cell r="O425">
            <v>3129.9750000000004</v>
          </cell>
          <cell r="P425">
            <v>3964.6349999999998</v>
          </cell>
          <cell r="Q425">
            <v>0</v>
          </cell>
          <cell r="R425">
            <v>4859.5172999999995</v>
          </cell>
          <cell r="S425">
            <v>894.88229999999976</v>
          </cell>
          <cell r="T425">
            <v>417.33000000000004</v>
          </cell>
          <cell r="U425">
            <v>0</v>
          </cell>
          <cell r="V425">
            <v>6677</v>
          </cell>
          <cell r="W425">
            <v>3239.6782000000003</v>
          </cell>
          <cell r="X425">
            <v>0</v>
          </cell>
          <cell r="Y425">
            <v>0</v>
          </cell>
        </row>
        <row r="426">
          <cell r="D426">
            <v>10110145</v>
          </cell>
          <cell r="E426" t="str">
            <v>GOMUKH SONAPUR BHARAT</v>
          </cell>
          <cell r="F426">
            <v>0</v>
          </cell>
          <cell r="G426" t="str">
            <v>MPG</v>
          </cell>
          <cell r="H426" t="str">
            <v>Direct</v>
          </cell>
          <cell r="I426">
            <v>1055</v>
          </cell>
          <cell r="J426" t="str">
            <v>Matihani</v>
          </cell>
          <cell r="K426" t="str">
            <v>Old</v>
          </cell>
          <cell r="L426">
            <v>45777</v>
          </cell>
          <cell r="M426">
            <v>1249.4000000000001</v>
          </cell>
          <cell r="N426">
            <v>51846.109999999993</v>
          </cell>
          <cell r="O426">
            <v>937.05000000000007</v>
          </cell>
          <cell r="P426">
            <v>1186.93</v>
          </cell>
          <cell r="Q426">
            <v>0</v>
          </cell>
          <cell r="R426">
            <v>1555.3832999999997</v>
          </cell>
          <cell r="S426">
            <v>368.45329999999967</v>
          </cell>
          <cell r="T426">
            <v>124.94000000000001</v>
          </cell>
          <cell r="U426">
            <v>1286.1721309409481</v>
          </cell>
          <cell r="V426">
            <v>713</v>
          </cell>
          <cell r="W426">
            <v>713</v>
          </cell>
          <cell r="X426">
            <v>0</v>
          </cell>
          <cell r="Y426">
            <v>0</v>
          </cell>
        </row>
        <row r="427">
          <cell r="D427">
            <v>10110146</v>
          </cell>
          <cell r="E427" t="str">
            <v>GOMUKH SAIDPUR SAMASTIPUR</v>
          </cell>
          <cell r="F427">
            <v>0</v>
          </cell>
          <cell r="G427" t="str">
            <v>MPG</v>
          </cell>
          <cell r="H427" t="str">
            <v>Direct</v>
          </cell>
          <cell r="I427">
            <v>1011</v>
          </cell>
          <cell r="J427" t="str">
            <v>Sahibpur Kamal</v>
          </cell>
          <cell r="K427" t="str">
            <v>Old</v>
          </cell>
          <cell r="L427">
            <v>45768</v>
          </cell>
          <cell r="M427">
            <v>8108.5500000000011</v>
          </cell>
          <cell r="N427">
            <v>316411.15999999997</v>
          </cell>
          <cell r="O427">
            <v>6081.4125000000004</v>
          </cell>
          <cell r="P427">
            <v>7703.1225000000004</v>
          </cell>
          <cell r="Q427">
            <v>78.000931800000004</v>
          </cell>
          <cell r="R427">
            <v>9492.3347999999987</v>
          </cell>
          <cell r="S427">
            <v>1789.2122999999983</v>
          </cell>
          <cell r="T427">
            <v>810.85500000000013</v>
          </cell>
          <cell r="U427">
            <v>183.03821459227456</v>
          </cell>
          <cell r="V427">
            <v>12869</v>
          </cell>
          <cell r="W427">
            <v>6328.2231999999995</v>
          </cell>
          <cell r="X427">
            <v>0</v>
          </cell>
          <cell r="Y427">
            <v>0</v>
          </cell>
        </row>
        <row r="428">
          <cell r="D428">
            <v>10110148</v>
          </cell>
          <cell r="E428" t="str">
            <v>GOMUKH SAHARBANNI</v>
          </cell>
          <cell r="F428">
            <v>0</v>
          </cell>
          <cell r="G428" t="str">
            <v>MPG</v>
          </cell>
          <cell r="H428" t="str">
            <v>Direct</v>
          </cell>
          <cell r="I428">
            <v>1054</v>
          </cell>
          <cell r="J428" t="str">
            <v xml:space="preserve">Alauli </v>
          </cell>
          <cell r="K428" t="str">
            <v>Old</v>
          </cell>
          <cell r="L428">
            <v>45800</v>
          </cell>
          <cell r="M428">
            <v>2779.4</v>
          </cell>
          <cell r="N428">
            <v>125747.45</v>
          </cell>
          <cell r="O428">
            <v>2084.5500000000002</v>
          </cell>
          <cell r="P428">
            <v>2640.43</v>
          </cell>
          <cell r="Q428">
            <v>0</v>
          </cell>
          <cell r="R428">
            <v>3772.4234999999999</v>
          </cell>
          <cell r="S428">
            <v>1131.9935</v>
          </cell>
          <cell r="T428">
            <v>277.94</v>
          </cell>
          <cell r="U428">
            <v>159.75783251055958</v>
          </cell>
          <cell r="V428">
            <v>4287</v>
          </cell>
          <cell r="W428">
            <v>2514.9490000000001</v>
          </cell>
          <cell r="X428">
            <v>0</v>
          </cell>
          <cell r="Y428">
            <v>0</v>
          </cell>
        </row>
        <row r="429">
          <cell r="D429">
            <v>10110149</v>
          </cell>
          <cell r="E429" t="str">
            <v>GOMUKH PHULTAURA</v>
          </cell>
          <cell r="F429">
            <v>0</v>
          </cell>
          <cell r="G429" t="str">
            <v>MPG</v>
          </cell>
          <cell r="H429" t="str">
            <v>Direct</v>
          </cell>
          <cell r="I429">
            <v>1054</v>
          </cell>
          <cell r="J429" t="str">
            <v xml:space="preserve">Alauli </v>
          </cell>
          <cell r="K429" t="str">
            <v>Old</v>
          </cell>
          <cell r="L429">
            <v>45805</v>
          </cell>
          <cell r="M429">
            <v>1574.3000000000002</v>
          </cell>
          <cell r="N429">
            <v>62652.890000000007</v>
          </cell>
          <cell r="O429">
            <v>1180.7250000000001</v>
          </cell>
          <cell r="P429">
            <v>1495.585</v>
          </cell>
          <cell r="Q429">
            <v>0</v>
          </cell>
          <cell r="R429">
            <v>1879.5867000000001</v>
          </cell>
          <cell r="S429">
            <v>384.00170000000003</v>
          </cell>
          <cell r="T429">
            <v>157.43000000000004</v>
          </cell>
          <cell r="U429">
            <v>975.26374022524078</v>
          </cell>
          <cell r="V429">
            <v>1544</v>
          </cell>
          <cell r="W429">
            <v>1544</v>
          </cell>
          <cell r="X429">
            <v>0</v>
          </cell>
          <cell r="Y429">
            <v>0</v>
          </cell>
        </row>
        <row r="430">
          <cell r="D430">
            <v>10110153</v>
          </cell>
          <cell r="E430" t="str">
            <v xml:space="preserve">Jangli Tol Vlc </v>
          </cell>
          <cell r="F430">
            <v>0</v>
          </cell>
          <cell r="G430" t="str">
            <v>vlc</v>
          </cell>
          <cell r="H430" t="str">
            <v>Indirect</v>
          </cell>
          <cell r="I430">
            <v>1011</v>
          </cell>
          <cell r="J430" t="str">
            <v>Sahibpur Kamal</v>
          </cell>
          <cell r="K430" t="str">
            <v>Old</v>
          </cell>
          <cell r="L430">
            <v>45821</v>
          </cell>
          <cell r="M430">
            <v>2554</v>
          </cell>
          <cell r="N430">
            <v>100303.4</v>
          </cell>
          <cell r="O430">
            <v>1915.5</v>
          </cell>
          <cell r="P430">
            <v>2426.2999999999997</v>
          </cell>
          <cell r="Q430">
            <v>0</v>
          </cell>
          <cell r="R430">
            <v>3009.1019999999999</v>
          </cell>
          <cell r="S430">
            <v>582.80200000000013</v>
          </cell>
          <cell r="T430">
            <v>255.4</v>
          </cell>
          <cell r="U430">
            <v>448.64023763138897</v>
          </cell>
          <cell r="V430">
            <v>3638</v>
          </cell>
          <cell r="W430">
            <v>0</v>
          </cell>
          <cell r="X430">
            <v>0</v>
          </cell>
          <cell r="Y430">
            <v>0</v>
          </cell>
        </row>
        <row r="431">
          <cell r="D431">
            <v>10110155</v>
          </cell>
          <cell r="E431" t="str">
            <v xml:space="preserve">DILKHUSH KUMAR </v>
          </cell>
          <cell r="F431">
            <v>0</v>
          </cell>
          <cell r="G431" t="str">
            <v>vlc</v>
          </cell>
          <cell r="H431" t="str">
            <v>Indirect</v>
          </cell>
          <cell r="I431">
            <v>1055</v>
          </cell>
          <cell r="J431" t="str">
            <v>Matihani</v>
          </cell>
          <cell r="K431" t="str">
            <v>Old</v>
          </cell>
          <cell r="L431">
            <v>45828</v>
          </cell>
          <cell r="M431">
            <v>1020.1</v>
          </cell>
          <cell r="N431">
            <v>38202.930000000008</v>
          </cell>
          <cell r="O431">
            <v>765.07500000000005</v>
          </cell>
          <cell r="P431">
            <v>969.09500000000003</v>
          </cell>
          <cell r="Q431">
            <v>0</v>
          </cell>
          <cell r="R431">
            <v>1146.0879000000002</v>
          </cell>
          <cell r="S431">
            <v>176.99290000000019</v>
          </cell>
          <cell r="T431">
            <v>102.01</v>
          </cell>
          <cell r="U431">
            <v>1315.8741593709044</v>
          </cell>
          <cell r="V431">
            <v>316</v>
          </cell>
          <cell r="W431">
            <v>0</v>
          </cell>
          <cell r="X431">
            <v>0</v>
          </cell>
          <cell r="Y431">
            <v>0</v>
          </cell>
        </row>
        <row r="432">
          <cell r="D432">
            <v>10110158</v>
          </cell>
          <cell r="E432" t="str">
            <v>GOMUKH CHOWKI 2</v>
          </cell>
          <cell r="F432">
            <v>0</v>
          </cell>
          <cell r="G432" t="str">
            <v>MPG</v>
          </cell>
          <cell r="H432" t="str">
            <v>Direct</v>
          </cell>
          <cell r="I432">
            <v>1011</v>
          </cell>
          <cell r="J432" t="str">
            <v>Sahibpur Kamal</v>
          </cell>
          <cell r="K432" t="str">
            <v>Old</v>
          </cell>
          <cell r="L432">
            <v>45845</v>
          </cell>
          <cell r="M432">
            <v>7695.35</v>
          </cell>
          <cell r="N432">
            <v>301817.96000000002</v>
          </cell>
          <cell r="O432">
            <v>5771.5125000000007</v>
          </cell>
          <cell r="P432">
            <v>7310.5825000000004</v>
          </cell>
          <cell r="Q432">
            <v>0</v>
          </cell>
          <cell r="R432">
            <v>9054.5388000000003</v>
          </cell>
          <cell r="S432">
            <v>1743.9562999999998</v>
          </cell>
          <cell r="T432">
            <v>769.53500000000008</v>
          </cell>
          <cell r="U432">
            <v>0</v>
          </cell>
          <cell r="V432">
            <v>12313</v>
          </cell>
          <cell r="W432">
            <v>6036.3592000000008</v>
          </cell>
          <cell r="X432">
            <v>0</v>
          </cell>
          <cell r="Y432">
            <v>0</v>
          </cell>
        </row>
        <row r="433">
          <cell r="D433">
            <v>10110159</v>
          </cell>
          <cell r="E433" t="str">
            <v>GOMUKH MOHABA</v>
          </cell>
          <cell r="F433">
            <v>0</v>
          </cell>
          <cell r="G433" t="str">
            <v>MPG</v>
          </cell>
          <cell r="H433" t="str">
            <v>Direct</v>
          </cell>
          <cell r="I433">
            <v>1011</v>
          </cell>
          <cell r="J433" t="str">
            <v>Sahibpur Kamal</v>
          </cell>
          <cell r="K433" t="str">
            <v>Old</v>
          </cell>
          <cell r="L433">
            <v>45839</v>
          </cell>
          <cell r="M433">
            <v>2838.1</v>
          </cell>
          <cell r="N433">
            <v>109151.67</v>
          </cell>
          <cell r="O433">
            <v>2128.5749999999998</v>
          </cell>
          <cell r="P433">
            <v>2696.1949999999997</v>
          </cell>
          <cell r="Q433">
            <v>0</v>
          </cell>
          <cell r="R433">
            <v>3274.5500999999999</v>
          </cell>
          <cell r="S433">
            <v>578.35510000000022</v>
          </cell>
          <cell r="T433">
            <v>283.81</v>
          </cell>
          <cell r="U433">
            <v>57.458864684008191</v>
          </cell>
          <cell r="V433">
            <v>4484</v>
          </cell>
          <cell r="W433">
            <v>2183.0333999999998</v>
          </cell>
          <cell r="X433">
            <v>0</v>
          </cell>
          <cell r="Y433">
            <v>0</v>
          </cell>
        </row>
        <row r="434">
          <cell r="D434">
            <v>10110160</v>
          </cell>
          <cell r="E434" t="str">
            <v>SANHA VLC</v>
          </cell>
          <cell r="F434">
            <v>0</v>
          </cell>
          <cell r="G434" t="str">
            <v>vlc</v>
          </cell>
          <cell r="H434" t="str">
            <v>Indirect</v>
          </cell>
          <cell r="I434">
            <v>1011</v>
          </cell>
          <cell r="J434" t="str">
            <v>Sahibpur Kamal</v>
          </cell>
          <cell r="K434" t="str">
            <v>Old</v>
          </cell>
          <cell r="L434">
            <v>45850</v>
          </cell>
          <cell r="M434">
            <v>1263.8</v>
          </cell>
          <cell r="N434">
            <v>43157.31</v>
          </cell>
          <cell r="O434">
            <v>947.84999999999991</v>
          </cell>
          <cell r="P434">
            <v>1200.6099999999999</v>
          </cell>
          <cell r="Q434">
            <v>0</v>
          </cell>
          <cell r="R434">
            <v>1294.7193</v>
          </cell>
          <cell r="S434">
            <v>94.109300000000076</v>
          </cell>
          <cell r="T434">
            <v>126.38</v>
          </cell>
          <cell r="U434">
            <v>1051.7817410730988</v>
          </cell>
          <cell r="V434">
            <v>970</v>
          </cell>
          <cell r="W434">
            <v>0</v>
          </cell>
          <cell r="X434">
            <v>0</v>
          </cell>
          <cell r="Y434">
            <v>0</v>
          </cell>
        </row>
        <row r="435">
          <cell r="D435">
            <v>10110161</v>
          </cell>
          <cell r="E435" t="str">
            <v>MOHANPUR VLC</v>
          </cell>
          <cell r="F435">
            <v>0</v>
          </cell>
          <cell r="G435" t="str">
            <v>vlc</v>
          </cell>
          <cell r="H435" t="str">
            <v>Indirect</v>
          </cell>
          <cell r="I435">
            <v>1011</v>
          </cell>
          <cell r="J435" t="str">
            <v>Sahibpur Kamal</v>
          </cell>
          <cell r="K435" t="str">
            <v>Old</v>
          </cell>
          <cell r="L435">
            <v>45849</v>
          </cell>
          <cell r="M435">
            <v>725.39999999999986</v>
          </cell>
          <cell r="N435">
            <v>27527.41</v>
          </cell>
          <cell r="O435">
            <v>544.04999999999995</v>
          </cell>
          <cell r="P435">
            <v>689.12999999999988</v>
          </cell>
          <cell r="Q435">
            <v>0</v>
          </cell>
          <cell r="R435">
            <v>825.82229999999993</v>
          </cell>
          <cell r="S435">
            <v>136.69230000000005</v>
          </cell>
          <cell r="T435">
            <v>72.539999999999992</v>
          </cell>
          <cell r="U435">
            <v>1160.3333333597022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</row>
        <row r="436">
          <cell r="D436">
            <v>10110165</v>
          </cell>
          <cell r="E436" t="str">
            <v>Gomukh Chakwari Tola</v>
          </cell>
          <cell r="F436">
            <v>0</v>
          </cell>
          <cell r="G436" t="str">
            <v>MPG</v>
          </cell>
          <cell r="H436" t="str">
            <v>Direct</v>
          </cell>
          <cell r="I436">
            <v>1011</v>
          </cell>
          <cell r="J436" t="str">
            <v>Sahibpur Kamal</v>
          </cell>
          <cell r="K436" t="str">
            <v>Old</v>
          </cell>
          <cell r="L436">
            <v>45869</v>
          </cell>
          <cell r="M436">
            <v>841.80000000000018</v>
          </cell>
          <cell r="N436">
            <v>31365.71</v>
          </cell>
          <cell r="O436">
            <v>631.35000000000014</v>
          </cell>
          <cell r="P436">
            <v>799.71000000000015</v>
          </cell>
          <cell r="Q436">
            <v>0</v>
          </cell>
          <cell r="R436">
            <v>940.97129999999993</v>
          </cell>
          <cell r="S436">
            <v>141.26129999999978</v>
          </cell>
          <cell r="T436">
            <v>84.180000000000021</v>
          </cell>
          <cell r="U436">
            <v>378.9173397856764</v>
          </cell>
          <cell r="V436">
            <v>968</v>
          </cell>
          <cell r="W436">
            <v>968</v>
          </cell>
          <cell r="X436">
            <v>0</v>
          </cell>
          <cell r="Y436">
            <v>0</v>
          </cell>
        </row>
        <row r="437">
          <cell r="D437">
            <v>10110166</v>
          </cell>
          <cell r="E437" t="str">
            <v>Hiratol VLC</v>
          </cell>
          <cell r="F437">
            <v>0</v>
          </cell>
          <cell r="G437" t="str">
            <v>vlc</v>
          </cell>
          <cell r="H437" t="str">
            <v>Indirect</v>
          </cell>
          <cell r="I437">
            <v>1011</v>
          </cell>
          <cell r="J437" t="str">
            <v>Sahibpur Kamal</v>
          </cell>
          <cell r="K437" t="str">
            <v>Old</v>
          </cell>
          <cell r="L437">
            <v>45863</v>
          </cell>
          <cell r="M437">
            <v>884.05</v>
          </cell>
          <cell r="N437">
            <v>32805.71</v>
          </cell>
          <cell r="O437">
            <v>663.03749999999991</v>
          </cell>
          <cell r="P437">
            <v>839.84749999999997</v>
          </cell>
          <cell r="Q437">
            <v>0</v>
          </cell>
          <cell r="R437">
            <v>984.17129999999997</v>
          </cell>
          <cell r="S437">
            <v>144.32380000000001</v>
          </cell>
          <cell r="T437">
            <v>88.405000000000001</v>
          </cell>
          <cell r="U437">
            <v>1414.4378616517274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</row>
        <row r="438">
          <cell r="D438">
            <v>10120001</v>
          </cell>
          <cell r="E438" t="str">
            <v>GOMUKH SUBHANPUR</v>
          </cell>
          <cell r="F438">
            <v>0</v>
          </cell>
          <cell r="G438" t="str">
            <v>vlc</v>
          </cell>
          <cell r="H438" t="str">
            <v>Indirect</v>
          </cell>
          <cell r="I438">
            <v>1012</v>
          </cell>
          <cell r="J438" t="str">
            <v>DalsinghSarai</v>
          </cell>
          <cell r="K438" t="str">
            <v>Old</v>
          </cell>
          <cell r="L438">
            <v>43622</v>
          </cell>
          <cell r="M438">
            <v>1283.3500000000001</v>
          </cell>
          <cell r="N438">
            <v>50859.520000000004</v>
          </cell>
          <cell r="O438">
            <v>962.51250000000005</v>
          </cell>
          <cell r="P438">
            <v>1219.1825000000001</v>
          </cell>
          <cell r="Q438">
            <v>0</v>
          </cell>
          <cell r="R438">
            <v>1525.7856000000002</v>
          </cell>
          <cell r="S438">
            <v>306.60310000000004</v>
          </cell>
          <cell r="T438">
            <v>128.33500000000001</v>
          </cell>
          <cell r="U438">
            <v>1211.5806293138187</v>
          </cell>
          <cell r="V438">
            <v>842</v>
          </cell>
          <cell r="W438">
            <v>0</v>
          </cell>
          <cell r="X438">
            <v>0</v>
          </cell>
          <cell r="Y438">
            <v>0</v>
          </cell>
        </row>
        <row r="439">
          <cell r="D439">
            <v>10120002</v>
          </cell>
          <cell r="E439" t="str">
            <v>GOMUKH  BHAJANGAMA</v>
          </cell>
          <cell r="F439">
            <v>0</v>
          </cell>
          <cell r="G439" t="str">
            <v>vlc</v>
          </cell>
          <cell r="H439" t="str">
            <v>Indirect</v>
          </cell>
          <cell r="I439">
            <v>1012</v>
          </cell>
          <cell r="J439" t="str">
            <v>DalsinghSarai</v>
          </cell>
          <cell r="K439" t="str">
            <v>Old</v>
          </cell>
          <cell r="L439">
            <v>43622</v>
          </cell>
          <cell r="M439">
            <v>2088.2199999999998</v>
          </cell>
          <cell r="N439">
            <v>82200.26999999999</v>
          </cell>
          <cell r="O439">
            <v>1566.165</v>
          </cell>
          <cell r="P439">
            <v>1983.8089999999997</v>
          </cell>
          <cell r="Q439">
            <v>0</v>
          </cell>
          <cell r="R439">
            <v>2466.0080999999996</v>
          </cell>
          <cell r="S439">
            <v>482.19909999999982</v>
          </cell>
          <cell r="T439">
            <v>208.822</v>
          </cell>
          <cell r="U439">
            <v>570.56088154871247</v>
          </cell>
          <cell r="V439">
            <v>2771</v>
          </cell>
          <cell r="W439">
            <v>0</v>
          </cell>
          <cell r="X439">
            <v>0</v>
          </cell>
          <cell r="Y439">
            <v>0</v>
          </cell>
        </row>
        <row r="440">
          <cell r="D440">
            <v>10120004</v>
          </cell>
          <cell r="E440" t="str">
            <v>Gomukh Chora Tabhka</v>
          </cell>
          <cell r="F440">
            <v>0</v>
          </cell>
          <cell r="G440" t="str">
            <v>vlc</v>
          </cell>
          <cell r="H440" t="str">
            <v>Indirect</v>
          </cell>
          <cell r="I440">
            <v>1012</v>
          </cell>
          <cell r="J440" t="str">
            <v>DalsinghSarai</v>
          </cell>
          <cell r="K440" t="str">
            <v>Old</v>
          </cell>
          <cell r="L440">
            <v>43671</v>
          </cell>
          <cell r="M440">
            <v>1221.8</v>
          </cell>
          <cell r="N440">
            <v>33359.49</v>
          </cell>
          <cell r="O440">
            <v>916.34999999999991</v>
          </cell>
          <cell r="P440">
            <v>1160.7099999999998</v>
          </cell>
          <cell r="Q440">
            <v>0</v>
          </cell>
          <cell r="R440">
            <v>1000.7846999999999</v>
          </cell>
          <cell r="S440">
            <v>-159.92529999999988</v>
          </cell>
          <cell r="T440">
            <v>122.18</v>
          </cell>
          <cell r="U440">
            <v>862.48323769471301</v>
          </cell>
          <cell r="V440">
            <v>1092</v>
          </cell>
          <cell r="W440">
            <v>0</v>
          </cell>
          <cell r="X440">
            <v>0</v>
          </cell>
          <cell r="Y440">
            <v>0</v>
          </cell>
        </row>
        <row r="441">
          <cell r="D441">
            <v>10120005</v>
          </cell>
          <cell r="E441" t="str">
            <v>Gomukh Basadhiya Kurni</v>
          </cell>
          <cell r="F441">
            <v>0</v>
          </cell>
          <cell r="G441" t="str">
            <v>MPG</v>
          </cell>
          <cell r="H441" t="str">
            <v>Direct</v>
          </cell>
          <cell r="I441">
            <v>1012</v>
          </cell>
          <cell r="J441" t="str">
            <v>DalsinghSarai</v>
          </cell>
          <cell r="K441" t="str">
            <v>Old</v>
          </cell>
          <cell r="L441">
            <v>43678</v>
          </cell>
          <cell r="M441">
            <v>1940.21</v>
          </cell>
          <cell r="N441">
            <v>72226.560000000012</v>
          </cell>
          <cell r="O441">
            <v>1455.1575</v>
          </cell>
          <cell r="P441">
            <v>1843.1994999999999</v>
          </cell>
          <cell r="Q441">
            <v>0</v>
          </cell>
          <cell r="R441">
            <v>2166.7968000000001</v>
          </cell>
          <cell r="S441">
            <v>323.59730000000013</v>
          </cell>
          <cell r="T441">
            <v>194.02100000000002</v>
          </cell>
          <cell r="U441">
            <v>638.31722919945423</v>
          </cell>
          <cell r="V441">
            <v>2466</v>
          </cell>
          <cell r="W441">
            <v>1861</v>
          </cell>
          <cell r="X441">
            <v>0</v>
          </cell>
          <cell r="Y441">
            <v>0</v>
          </cell>
        </row>
        <row r="442">
          <cell r="D442">
            <v>10120006</v>
          </cell>
          <cell r="E442" t="str">
            <v>KHAJURI</v>
          </cell>
          <cell r="F442">
            <v>0</v>
          </cell>
          <cell r="G442" t="str">
            <v>MPG</v>
          </cell>
          <cell r="H442" t="str">
            <v>Direct</v>
          </cell>
          <cell r="I442">
            <v>1012</v>
          </cell>
          <cell r="J442" t="str">
            <v>DalsinghSarai</v>
          </cell>
          <cell r="K442" t="str">
            <v>Old</v>
          </cell>
          <cell r="L442">
            <v>43731</v>
          </cell>
          <cell r="M442">
            <v>1222.2799999999997</v>
          </cell>
          <cell r="N442">
            <v>47656.23</v>
          </cell>
          <cell r="O442">
            <v>916.70999999999981</v>
          </cell>
          <cell r="P442">
            <v>1161.1659999999997</v>
          </cell>
          <cell r="Q442">
            <v>747.21764762500004</v>
          </cell>
          <cell r="R442">
            <v>1429.6869000000002</v>
          </cell>
          <cell r="S442">
            <v>268.52090000000044</v>
          </cell>
          <cell r="T442">
            <v>122.22799999999998</v>
          </cell>
          <cell r="U442">
            <v>1232.0113704838727</v>
          </cell>
          <cell r="V442">
            <v>1471</v>
          </cell>
          <cell r="W442">
            <v>0</v>
          </cell>
          <cell r="X442">
            <v>0</v>
          </cell>
          <cell r="Y442">
            <v>0</v>
          </cell>
        </row>
        <row r="443">
          <cell r="D443">
            <v>10120007</v>
          </cell>
          <cell r="E443" t="str">
            <v>ARMAULI-2</v>
          </cell>
          <cell r="F443">
            <v>0</v>
          </cell>
          <cell r="G443" t="str">
            <v>MPG</v>
          </cell>
          <cell r="H443" t="str">
            <v>Direct</v>
          </cell>
          <cell r="I443">
            <v>1012</v>
          </cell>
          <cell r="J443" t="str">
            <v>DalsinghSarai</v>
          </cell>
          <cell r="K443" t="str">
            <v>Old</v>
          </cell>
          <cell r="L443">
            <v>43731</v>
          </cell>
          <cell r="M443">
            <v>4965.92</v>
          </cell>
          <cell r="N443">
            <v>208710.80000000005</v>
          </cell>
          <cell r="O443">
            <v>3724.44</v>
          </cell>
          <cell r="P443">
            <v>4717.6239999999998</v>
          </cell>
          <cell r="Q443">
            <v>2879.5710018360005</v>
          </cell>
          <cell r="R443">
            <v>6261.3240000000014</v>
          </cell>
          <cell r="S443">
            <v>1543.7000000000016</v>
          </cell>
          <cell r="T443">
            <v>496.59200000000004</v>
          </cell>
          <cell r="U443">
            <v>0</v>
          </cell>
          <cell r="V443">
            <v>10825</v>
          </cell>
          <cell r="W443">
            <v>0</v>
          </cell>
          <cell r="X443">
            <v>0</v>
          </cell>
          <cell r="Y443">
            <v>0</v>
          </cell>
        </row>
        <row r="444">
          <cell r="D444">
            <v>10120008</v>
          </cell>
          <cell r="E444" t="str">
            <v>MUSAPUR - 2</v>
          </cell>
          <cell r="F444">
            <v>0</v>
          </cell>
          <cell r="G444" t="str">
            <v>vlc</v>
          </cell>
          <cell r="H444" t="str">
            <v>Indirect</v>
          </cell>
          <cell r="I444">
            <v>1012</v>
          </cell>
          <cell r="J444" t="str">
            <v>DalsinghSarai</v>
          </cell>
          <cell r="K444" t="str">
            <v>Old</v>
          </cell>
          <cell r="L444">
            <v>43756</v>
          </cell>
          <cell r="M444">
            <v>155.21</v>
          </cell>
          <cell r="N444">
            <v>5163.71</v>
          </cell>
          <cell r="O444">
            <v>116.4075</v>
          </cell>
          <cell r="P444">
            <v>147.4495</v>
          </cell>
          <cell r="Q444">
            <v>0</v>
          </cell>
          <cell r="R444">
            <v>154.91129999999998</v>
          </cell>
          <cell r="S444">
            <v>7.4617999999999824</v>
          </cell>
          <cell r="T444">
            <v>15.521000000000001</v>
          </cell>
          <cell r="U444">
            <v>248.2985930036798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D445">
            <v>10120010</v>
          </cell>
          <cell r="E445" t="str">
            <v>Janganath Pur</v>
          </cell>
          <cell r="F445">
            <v>0</v>
          </cell>
          <cell r="G445" t="str">
            <v>vlc</v>
          </cell>
          <cell r="H445" t="str">
            <v>Indirect</v>
          </cell>
          <cell r="I445">
            <v>1012</v>
          </cell>
          <cell r="J445" t="str">
            <v>DalsinghSarai</v>
          </cell>
          <cell r="K445" t="str">
            <v>Old</v>
          </cell>
          <cell r="L445">
            <v>43903</v>
          </cell>
          <cell r="M445">
            <v>7763.42</v>
          </cell>
          <cell r="N445">
            <v>331241.03000000003</v>
          </cell>
          <cell r="O445">
            <v>5822.5650000000005</v>
          </cell>
          <cell r="P445">
            <v>7375.2489999999998</v>
          </cell>
          <cell r="Q445">
            <v>0</v>
          </cell>
          <cell r="R445">
            <v>9937.2309000000005</v>
          </cell>
          <cell r="S445">
            <v>2561.9819000000007</v>
          </cell>
          <cell r="T445">
            <v>776.3420000000001</v>
          </cell>
          <cell r="U445">
            <v>0</v>
          </cell>
          <cell r="V445">
            <v>12421</v>
          </cell>
          <cell r="W445">
            <v>0</v>
          </cell>
          <cell r="X445">
            <v>0</v>
          </cell>
          <cell r="Y445">
            <v>0</v>
          </cell>
        </row>
        <row r="446">
          <cell r="D446">
            <v>10120011</v>
          </cell>
          <cell r="E446" t="str">
            <v>Nagargama</v>
          </cell>
          <cell r="F446">
            <v>0</v>
          </cell>
          <cell r="G446" t="str">
            <v>vlc</v>
          </cell>
          <cell r="H446" t="str">
            <v>Indirect</v>
          </cell>
          <cell r="I446">
            <v>1012</v>
          </cell>
          <cell r="J446" t="str">
            <v>DalsinghSarai</v>
          </cell>
          <cell r="K446" t="str">
            <v>Old</v>
          </cell>
          <cell r="L446">
            <v>43917</v>
          </cell>
          <cell r="M446">
            <v>1725.17</v>
          </cell>
          <cell r="N446">
            <v>70291.92</v>
          </cell>
          <cell r="O446">
            <v>1293.8775000000001</v>
          </cell>
          <cell r="P446">
            <v>1638.9114999999999</v>
          </cell>
          <cell r="Q446">
            <v>0</v>
          </cell>
          <cell r="R446">
            <v>2108.7575999999999</v>
          </cell>
          <cell r="S446">
            <v>469.84609999999998</v>
          </cell>
          <cell r="T446">
            <v>172.51700000000002</v>
          </cell>
          <cell r="U446">
            <v>879.56954530017276</v>
          </cell>
          <cell r="V446">
            <v>1881</v>
          </cell>
          <cell r="W446">
            <v>0</v>
          </cell>
          <cell r="X446">
            <v>0</v>
          </cell>
          <cell r="Y446">
            <v>0</v>
          </cell>
        </row>
        <row r="447">
          <cell r="D447">
            <v>10120012</v>
          </cell>
          <cell r="E447" t="str">
            <v>Sato Ghachchhi</v>
          </cell>
          <cell r="F447">
            <v>0</v>
          </cell>
          <cell r="G447" t="str">
            <v>MPG</v>
          </cell>
          <cell r="H447" t="str">
            <v>Direct</v>
          </cell>
          <cell r="I447">
            <v>1012</v>
          </cell>
          <cell r="J447" t="str">
            <v>DalsinghSarai</v>
          </cell>
          <cell r="K447" t="str">
            <v>Old</v>
          </cell>
          <cell r="L447">
            <v>43924</v>
          </cell>
          <cell r="M447">
            <v>3198.2200000000003</v>
          </cell>
          <cell r="N447">
            <v>142803.51</v>
          </cell>
          <cell r="O447">
            <v>2398.665</v>
          </cell>
          <cell r="P447">
            <v>3038.3090000000002</v>
          </cell>
          <cell r="Q447">
            <v>1940.3501243544001</v>
          </cell>
          <cell r="R447">
            <v>4284.1053000000002</v>
          </cell>
          <cell r="S447">
            <v>1245.7963</v>
          </cell>
          <cell r="T447">
            <v>319.82200000000006</v>
          </cell>
          <cell r="U447">
            <v>0</v>
          </cell>
          <cell r="V447">
            <v>7058</v>
          </cell>
          <cell r="W447">
            <v>0</v>
          </cell>
          <cell r="X447">
            <v>0</v>
          </cell>
          <cell r="Y447">
            <v>0</v>
          </cell>
        </row>
        <row r="448">
          <cell r="D448">
            <v>10120013</v>
          </cell>
          <cell r="E448" t="str">
            <v>Bhatgama</v>
          </cell>
          <cell r="F448">
            <v>0</v>
          </cell>
          <cell r="G448" t="str">
            <v>vlc</v>
          </cell>
          <cell r="H448" t="str">
            <v>Indirect</v>
          </cell>
          <cell r="I448">
            <v>1012</v>
          </cell>
          <cell r="J448" t="str">
            <v>DalsinghSarai</v>
          </cell>
          <cell r="K448" t="str">
            <v>Old</v>
          </cell>
          <cell r="L448">
            <v>43935</v>
          </cell>
          <cell r="M448">
            <v>1671.21</v>
          </cell>
          <cell r="N448">
            <v>52446.770000000004</v>
          </cell>
          <cell r="O448">
            <v>1253.4075</v>
          </cell>
          <cell r="P448">
            <v>1587.6495</v>
          </cell>
          <cell r="Q448">
            <v>0</v>
          </cell>
          <cell r="R448">
            <v>1573.4031</v>
          </cell>
          <cell r="S448">
            <v>-14.246399999999994</v>
          </cell>
          <cell r="T448">
            <v>167.12100000000001</v>
          </cell>
          <cell r="U448">
            <v>704.19113577664189</v>
          </cell>
          <cell r="V448">
            <v>1970</v>
          </cell>
          <cell r="W448">
            <v>0</v>
          </cell>
          <cell r="X448">
            <v>0</v>
          </cell>
          <cell r="Y448">
            <v>0</v>
          </cell>
        </row>
        <row r="449">
          <cell r="D449">
            <v>10120014</v>
          </cell>
          <cell r="E449" t="str">
            <v>Borna Rasalpur</v>
          </cell>
          <cell r="F449">
            <v>0</v>
          </cell>
          <cell r="G449" t="str">
            <v>MPG</v>
          </cell>
          <cell r="H449" t="str">
            <v>Direct</v>
          </cell>
          <cell r="I449">
            <v>1012</v>
          </cell>
          <cell r="J449" t="str">
            <v>DalsinghSarai</v>
          </cell>
          <cell r="K449" t="str">
            <v>Old</v>
          </cell>
          <cell r="L449">
            <v>43936</v>
          </cell>
          <cell r="M449">
            <v>4623.2299999999996</v>
          </cell>
          <cell r="N449">
            <v>192041.25999999998</v>
          </cell>
          <cell r="O449">
            <v>3467.4224999999997</v>
          </cell>
          <cell r="P449">
            <v>4392.0684999999994</v>
          </cell>
          <cell r="Q449">
            <v>904.099311048</v>
          </cell>
          <cell r="R449">
            <v>5761.237799999999</v>
          </cell>
          <cell r="S449">
            <v>1369.1692999999996</v>
          </cell>
          <cell r="T449">
            <v>462.32299999999998</v>
          </cell>
          <cell r="U449">
            <v>0</v>
          </cell>
          <cell r="V449">
            <v>8301</v>
          </cell>
          <cell r="W449">
            <v>0</v>
          </cell>
          <cell r="X449">
            <v>0</v>
          </cell>
          <cell r="Y449">
            <v>0</v>
          </cell>
        </row>
        <row r="450">
          <cell r="D450">
            <v>10120015</v>
          </cell>
          <cell r="E450" t="str">
            <v>Rasalpur</v>
          </cell>
          <cell r="F450">
            <v>0</v>
          </cell>
          <cell r="G450" t="str">
            <v>MPG</v>
          </cell>
          <cell r="H450" t="str">
            <v>Direct</v>
          </cell>
          <cell r="I450">
            <v>1012</v>
          </cell>
          <cell r="J450" t="str">
            <v>DalsinghSarai</v>
          </cell>
          <cell r="K450" t="str">
            <v>Old</v>
          </cell>
          <cell r="L450">
            <v>43942</v>
          </cell>
          <cell r="M450">
            <v>4724.0300000000007</v>
          </cell>
          <cell r="N450">
            <v>181303.88999999998</v>
          </cell>
          <cell r="O450">
            <v>3543.0225000000005</v>
          </cell>
          <cell r="P450">
            <v>4487.8285000000005</v>
          </cell>
          <cell r="Q450">
            <v>0</v>
          </cell>
          <cell r="R450">
            <v>5439.1166999999996</v>
          </cell>
          <cell r="S450">
            <v>951.28819999999905</v>
          </cell>
          <cell r="T450">
            <v>472.40300000000008</v>
          </cell>
          <cell r="U450">
            <v>0</v>
          </cell>
          <cell r="V450">
            <v>7558</v>
          </cell>
          <cell r="W450">
            <v>0</v>
          </cell>
          <cell r="X450">
            <v>0</v>
          </cell>
          <cell r="Y450">
            <v>0</v>
          </cell>
        </row>
        <row r="451">
          <cell r="D451">
            <v>10120016</v>
          </cell>
          <cell r="E451" t="str">
            <v>Narahan</v>
          </cell>
          <cell r="F451">
            <v>0</v>
          </cell>
          <cell r="G451" t="str">
            <v>MPG</v>
          </cell>
          <cell r="H451" t="str">
            <v>Direct</v>
          </cell>
          <cell r="I451">
            <v>1012</v>
          </cell>
          <cell r="J451" t="str">
            <v>DalsinghSarai</v>
          </cell>
          <cell r="K451" t="str">
            <v>Old</v>
          </cell>
          <cell r="L451">
            <v>44120</v>
          </cell>
          <cell r="M451">
            <v>1019.1800000000001</v>
          </cell>
          <cell r="N451">
            <v>36607.909999999996</v>
          </cell>
          <cell r="O451">
            <v>764.38499999999999</v>
          </cell>
          <cell r="P451">
            <v>968.221</v>
          </cell>
          <cell r="Q451">
            <v>384.52834750019997</v>
          </cell>
          <cell r="R451">
            <v>1098.2372999999998</v>
          </cell>
          <cell r="S451">
            <v>130.01629999999977</v>
          </cell>
          <cell r="T451">
            <v>101.91800000000001</v>
          </cell>
          <cell r="U451">
            <v>1282.8622786526039</v>
          </cell>
          <cell r="V451">
            <v>732</v>
          </cell>
          <cell r="W451">
            <v>0</v>
          </cell>
          <cell r="X451">
            <v>0</v>
          </cell>
          <cell r="Y451">
            <v>0</v>
          </cell>
        </row>
        <row r="452">
          <cell r="D452">
            <v>10120017</v>
          </cell>
          <cell r="E452" t="str">
            <v>Gomukh Dumduma</v>
          </cell>
          <cell r="F452">
            <v>0</v>
          </cell>
          <cell r="G452" t="str">
            <v>MPG</v>
          </cell>
          <cell r="H452" t="str">
            <v>Direct</v>
          </cell>
          <cell r="I452">
            <v>1012</v>
          </cell>
          <cell r="J452" t="str">
            <v>DalsinghSarai</v>
          </cell>
          <cell r="K452" t="str">
            <v>Old</v>
          </cell>
          <cell r="L452">
            <v>44135</v>
          </cell>
          <cell r="M452">
            <v>2154.9699999999998</v>
          </cell>
          <cell r="N452">
            <v>83708.989999999991</v>
          </cell>
          <cell r="O452">
            <v>1616.2275</v>
          </cell>
          <cell r="P452">
            <v>2047.2214999999997</v>
          </cell>
          <cell r="Q452">
            <v>0</v>
          </cell>
          <cell r="R452">
            <v>2511.2696999999998</v>
          </cell>
          <cell r="S452">
            <v>464.04820000000018</v>
          </cell>
          <cell r="T452">
            <v>215.49699999999999</v>
          </cell>
          <cell r="U452">
            <v>501.6595975111843</v>
          </cell>
          <cell r="V452">
            <v>2946</v>
          </cell>
          <cell r="W452">
            <v>0</v>
          </cell>
          <cell r="X452">
            <v>0</v>
          </cell>
          <cell r="Y452">
            <v>0</v>
          </cell>
        </row>
        <row r="453">
          <cell r="D453">
            <v>10120018</v>
          </cell>
          <cell r="E453" t="str">
            <v>SUPOL</v>
          </cell>
          <cell r="F453">
            <v>0</v>
          </cell>
          <cell r="G453" t="str">
            <v>MPG</v>
          </cell>
          <cell r="H453" t="str">
            <v>Direct</v>
          </cell>
          <cell r="I453">
            <v>1012</v>
          </cell>
          <cell r="J453" t="str">
            <v>DalsinghSarai</v>
          </cell>
          <cell r="K453" t="str">
            <v>Old</v>
          </cell>
          <cell r="L453">
            <v>44162</v>
          </cell>
          <cell r="M453">
            <v>3419.01</v>
          </cell>
          <cell r="N453">
            <v>128955.59999999999</v>
          </cell>
          <cell r="O453">
            <v>2564.2575000000002</v>
          </cell>
          <cell r="P453">
            <v>3248.0594999999998</v>
          </cell>
          <cell r="Q453">
            <v>6539.2665901408991</v>
          </cell>
          <cell r="R453">
            <v>3868.6679999999997</v>
          </cell>
          <cell r="S453">
            <v>620.60849999999982</v>
          </cell>
          <cell r="T453">
            <v>341.90100000000007</v>
          </cell>
          <cell r="U453">
            <v>0</v>
          </cell>
          <cell r="V453">
            <v>12010</v>
          </cell>
          <cell r="W453">
            <v>0</v>
          </cell>
          <cell r="X453">
            <v>2579.1120000000001</v>
          </cell>
          <cell r="Y453">
            <v>0</v>
          </cell>
        </row>
        <row r="454">
          <cell r="D454">
            <v>10120019</v>
          </cell>
          <cell r="E454" t="str">
            <v>BHUSARAI</v>
          </cell>
          <cell r="F454">
            <v>0</v>
          </cell>
          <cell r="G454" t="str">
            <v>MPG</v>
          </cell>
          <cell r="H454" t="str">
            <v>Direct</v>
          </cell>
          <cell r="I454">
            <v>1012</v>
          </cell>
          <cell r="J454" t="str">
            <v>DalsinghSarai</v>
          </cell>
          <cell r="K454" t="str">
            <v>Old</v>
          </cell>
          <cell r="L454">
            <v>44165</v>
          </cell>
          <cell r="M454">
            <v>779.91000000000008</v>
          </cell>
          <cell r="N454">
            <v>30441.289999999997</v>
          </cell>
          <cell r="O454">
            <v>584.93250000000012</v>
          </cell>
          <cell r="P454">
            <v>740.91450000000009</v>
          </cell>
          <cell r="Q454">
            <v>484.33910309200002</v>
          </cell>
          <cell r="R454">
            <v>913.23869999999988</v>
          </cell>
          <cell r="S454">
            <v>172.32419999999979</v>
          </cell>
          <cell r="T454">
            <v>77.991000000000014</v>
          </cell>
          <cell r="U454">
            <v>1580.2342482545828</v>
          </cell>
          <cell r="V454">
            <v>152</v>
          </cell>
          <cell r="W454">
            <v>152</v>
          </cell>
          <cell r="X454">
            <v>0</v>
          </cell>
          <cell r="Y454">
            <v>0</v>
          </cell>
        </row>
        <row r="455">
          <cell r="D455">
            <v>10120021</v>
          </cell>
          <cell r="E455" t="str">
            <v>Gomukha Bisanpur Beri</v>
          </cell>
          <cell r="F455">
            <v>0</v>
          </cell>
          <cell r="G455" t="str">
            <v>vlc</v>
          </cell>
          <cell r="H455" t="str">
            <v>Indirect</v>
          </cell>
          <cell r="I455">
            <v>1012</v>
          </cell>
          <cell r="J455" t="str">
            <v>DalsinghSarai</v>
          </cell>
          <cell r="K455" t="str">
            <v>Old</v>
          </cell>
          <cell r="L455">
            <v>44184</v>
          </cell>
          <cell r="M455">
            <v>36.330000000000005</v>
          </cell>
          <cell r="N455">
            <v>1229.5900000000001</v>
          </cell>
          <cell r="O455">
            <v>27.247500000000002</v>
          </cell>
          <cell r="P455">
            <v>34.513500000000001</v>
          </cell>
          <cell r="Q455">
            <v>0</v>
          </cell>
          <cell r="R455">
            <v>36.887700000000002</v>
          </cell>
          <cell r="S455">
            <v>2.3742000000000019</v>
          </cell>
          <cell r="T455">
            <v>3.6330000000000009</v>
          </cell>
          <cell r="U455">
            <v>58.579447615153867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>
            <v>10120022</v>
          </cell>
          <cell r="E456" t="str">
            <v>Gomukha Jounapur</v>
          </cell>
          <cell r="F456">
            <v>0</v>
          </cell>
          <cell r="G456" t="str">
            <v>vlc</v>
          </cell>
          <cell r="H456" t="str">
            <v>Indirect</v>
          </cell>
          <cell r="I456">
            <v>1012</v>
          </cell>
          <cell r="J456" t="str">
            <v>DalsinghSarai</v>
          </cell>
          <cell r="K456" t="str">
            <v>Old</v>
          </cell>
          <cell r="L456">
            <v>44184</v>
          </cell>
          <cell r="M456">
            <v>433.08000000000004</v>
          </cell>
          <cell r="N456">
            <v>15404.850000000002</v>
          </cell>
          <cell r="O456">
            <v>324.81000000000006</v>
          </cell>
          <cell r="P456">
            <v>411.42600000000004</v>
          </cell>
          <cell r="Q456">
            <v>0</v>
          </cell>
          <cell r="R456">
            <v>462.14550000000003</v>
          </cell>
          <cell r="S456">
            <v>50.719499999999982</v>
          </cell>
          <cell r="T456">
            <v>43.308000000000007</v>
          </cell>
          <cell r="U456">
            <v>692.86138473214987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>
            <v>10120023</v>
          </cell>
          <cell r="E457" t="str">
            <v>Patailliya</v>
          </cell>
          <cell r="F457">
            <v>0</v>
          </cell>
          <cell r="G457" t="str">
            <v>vlc</v>
          </cell>
          <cell r="H457" t="str">
            <v>Indirect</v>
          </cell>
          <cell r="I457">
            <v>1012</v>
          </cell>
          <cell r="J457" t="str">
            <v>DalsinghSarai</v>
          </cell>
          <cell r="K457" t="str">
            <v>Old</v>
          </cell>
          <cell r="L457">
            <v>44190</v>
          </cell>
          <cell r="M457">
            <v>607.4</v>
          </cell>
          <cell r="N457">
            <v>21530.76</v>
          </cell>
          <cell r="O457">
            <v>455.54999999999995</v>
          </cell>
          <cell r="P457">
            <v>577.03</v>
          </cell>
          <cell r="Q457">
            <v>0</v>
          </cell>
          <cell r="R457">
            <v>645.92279999999994</v>
          </cell>
          <cell r="S457">
            <v>68.892799999999966</v>
          </cell>
          <cell r="T457">
            <v>60.74</v>
          </cell>
          <cell r="U457">
            <v>971.34347525059297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>
            <v>10120024</v>
          </cell>
          <cell r="E458" t="str">
            <v>Badiya</v>
          </cell>
          <cell r="F458">
            <v>0</v>
          </cell>
          <cell r="G458" t="str">
            <v>vlc</v>
          </cell>
          <cell r="H458" t="str">
            <v>Indirect</v>
          </cell>
          <cell r="I458">
            <v>1012</v>
          </cell>
          <cell r="J458" t="str">
            <v>DalsinghSarai</v>
          </cell>
          <cell r="K458" t="str">
            <v>Old</v>
          </cell>
          <cell r="L458">
            <v>44190</v>
          </cell>
          <cell r="M458">
            <v>455.15000000000003</v>
          </cell>
          <cell r="N458">
            <v>13510.84</v>
          </cell>
          <cell r="O458">
            <v>341.36250000000001</v>
          </cell>
          <cell r="P458">
            <v>432.39249999999998</v>
          </cell>
          <cell r="Q458">
            <v>0</v>
          </cell>
          <cell r="R458">
            <v>405.3252</v>
          </cell>
          <cell r="S458">
            <v>-27.067299999999989</v>
          </cell>
          <cell r="T458">
            <v>45.515000000000008</v>
          </cell>
          <cell r="U458">
            <v>728.6072960358415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>
            <v>10120025</v>
          </cell>
          <cell r="E459" t="str">
            <v>Gomukh Tabhka</v>
          </cell>
          <cell r="F459">
            <v>0</v>
          </cell>
          <cell r="G459" t="str">
            <v>MPG</v>
          </cell>
          <cell r="H459" t="str">
            <v>Direct</v>
          </cell>
          <cell r="I459">
            <v>1012</v>
          </cell>
          <cell r="J459" t="str">
            <v>DalsinghSarai</v>
          </cell>
          <cell r="K459" t="str">
            <v>Old</v>
          </cell>
          <cell r="L459">
            <v>44453</v>
          </cell>
          <cell r="M459">
            <v>7667.09</v>
          </cell>
          <cell r="N459">
            <v>308633.60000000003</v>
          </cell>
          <cell r="O459">
            <v>5750.3175000000001</v>
          </cell>
          <cell r="P459">
            <v>7283.7354999999998</v>
          </cell>
          <cell r="Q459">
            <v>2702.8280481520001</v>
          </cell>
          <cell r="R459">
            <v>9259.0079999999998</v>
          </cell>
          <cell r="S459">
            <v>1975.2725</v>
          </cell>
          <cell r="T459">
            <v>766.70900000000006</v>
          </cell>
          <cell r="U459">
            <v>0</v>
          </cell>
          <cell r="V459">
            <v>14970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>
            <v>10120026</v>
          </cell>
          <cell r="E460" t="str">
            <v>Ghato</v>
          </cell>
          <cell r="F460">
            <v>0</v>
          </cell>
          <cell r="G460" t="str">
            <v>vlc</v>
          </cell>
          <cell r="H460" t="str">
            <v>Indirect</v>
          </cell>
          <cell r="I460">
            <v>1012</v>
          </cell>
          <cell r="J460" t="str">
            <v>DalsinghSarai</v>
          </cell>
          <cell r="K460" t="str">
            <v>Old</v>
          </cell>
          <cell r="L460">
            <v>44571</v>
          </cell>
          <cell r="M460">
            <v>213.25</v>
          </cell>
          <cell r="N460">
            <v>6259.5399999999991</v>
          </cell>
          <cell r="O460">
            <v>159.9375</v>
          </cell>
          <cell r="P460">
            <v>202.58749999999998</v>
          </cell>
          <cell r="Q460">
            <v>0</v>
          </cell>
          <cell r="R460">
            <v>187.78619999999995</v>
          </cell>
          <cell r="S460">
            <v>-14.801300000000026</v>
          </cell>
          <cell r="T460">
            <v>21.325000000000003</v>
          </cell>
          <cell r="U460">
            <v>340.75308546283941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D461">
            <v>10120029</v>
          </cell>
          <cell r="E461" t="str">
            <v xml:space="preserve">RAMNATHPUR                                                                                          </v>
          </cell>
          <cell r="F461">
            <v>0</v>
          </cell>
          <cell r="G461" t="str">
            <v>MPG</v>
          </cell>
          <cell r="H461" t="str">
            <v>Direct</v>
          </cell>
          <cell r="I461">
            <v>1012</v>
          </cell>
          <cell r="J461" t="str">
            <v>DalsinghSarai</v>
          </cell>
          <cell r="K461" t="str">
            <v>Old</v>
          </cell>
          <cell r="L461">
            <v>44729</v>
          </cell>
          <cell r="M461">
            <v>2472.2600000000002</v>
          </cell>
          <cell r="N461">
            <v>98070.76</v>
          </cell>
          <cell r="O461">
            <v>1854.1950000000002</v>
          </cell>
          <cell r="P461">
            <v>2348.6469999999999</v>
          </cell>
          <cell r="Q461">
            <v>989.17622475560006</v>
          </cell>
          <cell r="R461">
            <v>2942.1227999999996</v>
          </cell>
          <cell r="S461">
            <v>593.47579999999971</v>
          </cell>
          <cell r="T461">
            <v>247.22600000000003</v>
          </cell>
          <cell r="U461">
            <v>285.30819107463407</v>
          </cell>
          <cell r="V461">
            <v>4659</v>
          </cell>
          <cell r="W461">
            <v>1961.4151999999999</v>
          </cell>
          <cell r="X461">
            <v>0</v>
          </cell>
          <cell r="Y461">
            <v>0</v>
          </cell>
        </row>
        <row r="462">
          <cell r="D462">
            <v>10120030</v>
          </cell>
          <cell r="E462" t="str">
            <v>KEWAS JAGIR</v>
          </cell>
          <cell r="F462">
            <v>0</v>
          </cell>
          <cell r="G462" t="str">
            <v>MPG</v>
          </cell>
          <cell r="H462" t="str">
            <v>Direct</v>
          </cell>
          <cell r="I462">
            <v>1012</v>
          </cell>
          <cell r="J462" t="str">
            <v>DalsinghSarai</v>
          </cell>
          <cell r="K462" t="str">
            <v>Old</v>
          </cell>
          <cell r="L462">
            <v>44776</v>
          </cell>
          <cell r="M462">
            <v>853.86</v>
          </cell>
          <cell r="N462">
            <v>40097.760000000002</v>
          </cell>
          <cell r="O462">
            <v>640.39499999999998</v>
          </cell>
          <cell r="P462">
            <v>811.16700000000003</v>
          </cell>
          <cell r="Q462">
            <v>425.12800959799995</v>
          </cell>
          <cell r="R462">
            <v>1202.9328</v>
          </cell>
          <cell r="S462">
            <v>391.76580000000001</v>
          </cell>
          <cell r="T462">
            <v>85.38600000000001</v>
          </cell>
          <cell r="U462">
            <v>1791.3628421752176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</row>
        <row r="463">
          <cell r="D463">
            <v>10120031</v>
          </cell>
          <cell r="E463" t="str">
            <v>DESUA</v>
          </cell>
          <cell r="F463">
            <v>0</v>
          </cell>
          <cell r="G463" t="str">
            <v>MPG</v>
          </cell>
          <cell r="H463" t="str">
            <v>Direct</v>
          </cell>
          <cell r="I463">
            <v>1012</v>
          </cell>
          <cell r="J463" t="str">
            <v>DalsinghSarai</v>
          </cell>
          <cell r="K463" t="str">
            <v>Old</v>
          </cell>
          <cell r="L463">
            <v>44835</v>
          </cell>
          <cell r="M463">
            <v>541.31000000000006</v>
          </cell>
          <cell r="N463">
            <v>23832.989999999998</v>
          </cell>
          <cell r="O463">
            <v>405.98250000000007</v>
          </cell>
          <cell r="P463">
            <v>514.24450000000002</v>
          </cell>
          <cell r="Q463">
            <v>499.18042198094997</v>
          </cell>
          <cell r="R463">
            <v>714.98969999999986</v>
          </cell>
          <cell r="S463">
            <v>200.74519999999984</v>
          </cell>
          <cell r="T463">
            <v>54.131000000000007</v>
          </cell>
          <cell r="U463">
            <v>1365.6124097731836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D464">
            <v>10120034</v>
          </cell>
          <cell r="E464" t="str">
            <v>Matior</v>
          </cell>
          <cell r="F464">
            <v>0</v>
          </cell>
          <cell r="G464" t="str">
            <v>MPG</v>
          </cell>
          <cell r="H464" t="str">
            <v>Direct</v>
          </cell>
          <cell r="I464">
            <v>1012</v>
          </cell>
          <cell r="J464" t="str">
            <v>DalsinghSarai</v>
          </cell>
          <cell r="K464" t="str">
            <v>Old</v>
          </cell>
          <cell r="L464">
            <v>44942</v>
          </cell>
          <cell r="M464">
            <v>349.59000000000003</v>
          </cell>
          <cell r="N464">
            <v>12776.210000000001</v>
          </cell>
          <cell r="O464">
            <v>262.1925</v>
          </cell>
          <cell r="P464">
            <v>332.1105</v>
          </cell>
          <cell r="Q464">
            <v>0</v>
          </cell>
          <cell r="R464">
            <v>383.28630000000004</v>
          </cell>
          <cell r="S464">
            <v>51.175800000000038</v>
          </cell>
          <cell r="T464">
            <v>34.959000000000003</v>
          </cell>
          <cell r="U464">
            <v>559.5920220822145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D465">
            <v>10120035</v>
          </cell>
          <cell r="E465" t="str">
            <v>TELGAMA</v>
          </cell>
          <cell r="F465">
            <v>0</v>
          </cell>
          <cell r="G465" t="str">
            <v>vlc</v>
          </cell>
          <cell r="H465" t="str">
            <v>Indirect</v>
          </cell>
          <cell r="I465">
            <v>1012</v>
          </cell>
          <cell r="J465" t="str">
            <v>DalsinghSarai</v>
          </cell>
          <cell r="K465" t="str">
            <v>Old</v>
          </cell>
          <cell r="L465">
            <v>44943</v>
          </cell>
          <cell r="M465">
            <v>1411.35</v>
          </cell>
          <cell r="N465">
            <v>60397.67</v>
          </cell>
          <cell r="O465">
            <v>1058.5124999999998</v>
          </cell>
          <cell r="P465">
            <v>1340.7824999999998</v>
          </cell>
          <cell r="Q465">
            <v>0</v>
          </cell>
          <cell r="R465">
            <v>1811.9300999999998</v>
          </cell>
          <cell r="S465">
            <v>471.14760000000001</v>
          </cell>
          <cell r="T465">
            <v>141.13499999999999</v>
          </cell>
          <cell r="U465">
            <v>1189.711910199981</v>
          </cell>
          <cell r="V465">
            <v>1068</v>
          </cell>
          <cell r="W465">
            <v>0</v>
          </cell>
          <cell r="X465">
            <v>0</v>
          </cell>
          <cell r="Y465">
            <v>0</v>
          </cell>
        </row>
        <row r="466">
          <cell r="D466">
            <v>10120043</v>
          </cell>
          <cell r="E466" t="str">
            <v>GOMUKH TATARPUR</v>
          </cell>
          <cell r="F466">
            <v>0</v>
          </cell>
          <cell r="G466" t="str">
            <v>MPG</v>
          </cell>
          <cell r="H466" t="str">
            <v>Direct</v>
          </cell>
          <cell r="I466">
            <v>1012</v>
          </cell>
          <cell r="J466" t="str">
            <v>DalsinghSarai</v>
          </cell>
          <cell r="K466" t="str">
            <v>Old</v>
          </cell>
          <cell r="L466">
            <v>45126</v>
          </cell>
          <cell r="M466">
            <v>291.20999999999998</v>
          </cell>
          <cell r="N466">
            <v>11401.990000000002</v>
          </cell>
          <cell r="O466">
            <v>218.40749999999997</v>
          </cell>
          <cell r="P466">
            <v>276.64949999999999</v>
          </cell>
          <cell r="Q466">
            <v>0</v>
          </cell>
          <cell r="R466">
            <v>342.05970000000002</v>
          </cell>
          <cell r="S466">
            <v>65.410200000000032</v>
          </cell>
          <cell r="T466">
            <v>29.120999999999999</v>
          </cell>
          <cell r="U466">
            <v>465.81962541465032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</row>
        <row r="467">
          <cell r="D467">
            <v>10120046</v>
          </cell>
          <cell r="E467" t="str">
            <v>Gomukh Ghataho</v>
          </cell>
          <cell r="F467">
            <v>0</v>
          </cell>
          <cell r="G467" t="str">
            <v>MPG</v>
          </cell>
          <cell r="H467" t="str">
            <v>Direct</v>
          </cell>
          <cell r="I467">
            <v>1012</v>
          </cell>
          <cell r="J467" t="str">
            <v>DalsinghSarai</v>
          </cell>
          <cell r="K467" t="str">
            <v>Old</v>
          </cell>
          <cell r="L467">
            <v>45142</v>
          </cell>
          <cell r="M467">
            <v>3060.63</v>
          </cell>
          <cell r="N467">
            <v>118812.69</v>
          </cell>
          <cell r="O467">
            <v>2295.4724999999999</v>
          </cell>
          <cell r="P467">
            <v>2907.5985000000001</v>
          </cell>
          <cell r="Q467">
            <v>1731.1381946580002</v>
          </cell>
          <cell r="R467">
            <v>3564.3807000000002</v>
          </cell>
          <cell r="S467">
            <v>656.7822000000001</v>
          </cell>
          <cell r="T467">
            <v>306.06300000000005</v>
          </cell>
          <cell r="U467">
            <v>0</v>
          </cell>
          <cell r="V467">
            <v>6628</v>
          </cell>
          <cell r="W467">
            <v>18.950063053169288</v>
          </cell>
          <cell r="X467">
            <v>0</v>
          </cell>
          <cell r="Y467">
            <v>0</v>
          </cell>
        </row>
        <row r="468">
          <cell r="D468">
            <v>10120047</v>
          </cell>
          <cell r="E468" t="str">
            <v>Madhepur - Bishwanath</v>
          </cell>
          <cell r="F468">
            <v>0</v>
          </cell>
          <cell r="G468" t="str">
            <v>vlc</v>
          </cell>
          <cell r="H468" t="str">
            <v>Indirect</v>
          </cell>
          <cell r="I468">
            <v>1012</v>
          </cell>
          <cell r="J468" t="str">
            <v>DalsinghSarai</v>
          </cell>
          <cell r="K468" t="str">
            <v>Old</v>
          </cell>
          <cell r="L468">
            <v>44915</v>
          </cell>
          <cell r="M468">
            <v>604.43000000000006</v>
          </cell>
          <cell r="N468">
            <v>20771.099999999999</v>
          </cell>
          <cell r="O468">
            <v>453.32250000000005</v>
          </cell>
          <cell r="P468">
            <v>574.20850000000007</v>
          </cell>
          <cell r="Q468">
            <v>0</v>
          </cell>
          <cell r="R468">
            <v>623.13299999999992</v>
          </cell>
          <cell r="S468">
            <v>48.924499999999853</v>
          </cell>
          <cell r="T468">
            <v>60.443000000000012</v>
          </cell>
          <cell r="U468">
            <v>967.10845690727638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>
            <v>10120049</v>
          </cell>
          <cell r="E469" t="str">
            <v>Kacha - Amarjeet</v>
          </cell>
          <cell r="F469">
            <v>0</v>
          </cell>
          <cell r="G469" t="str">
            <v>vlc</v>
          </cell>
          <cell r="H469" t="str">
            <v>Indirect</v>
          </cell>
          <cell r="I469">
            <v>1012</v>
          </cell>
          <cell r="J469" t="str">
            <v>DalsinghSarai</v>
          </cell>
          <cell r="K469" t="str">
            <v>Old</v>
          </cell>
          <cell r="L469">
            <v>45058</v>
          </cell>
          <cell r="M469">
            <v>2577.83</v>
          </cell>
          <cell r="N469">
            <v>113185.76999999999</v>
          </cell>
          <cell r="O469">
            <v>1933.3724999999999</v>
          </cell>
          <cell r="P469">
            <v>2448.9384999999997</v>
          </cell>
          <cell r="Q469">
            <v>0</v>
          </cell>
          <cell r="R469">
            <v>3395.5730999999996</v>
          </cell>
          <cell r="S469">
            <v>946.63459999999986</v>
          </cell>
          <cell r="T469">
            <v>257.78300000000002</v>
          </cell>
          <cell r="U469">
            <v>235.09216312110345</v>
          </cell>
          <cell r="V469">
            <v>3889</v>
          </cell>
          <cell r="W469">
            <v>0</v>
          </cell>
          <cell r="X469">
            <v>0</v>
          </cell>
          <cell r="Y469">
            <v>0</v>
          </cell>
        </row>
        <row r="470">
          <cell r="D470">
            <v>10120050</v>
          </cell>
          <cell r="E470" t="str">
            <v>Simri - Suman</v>
          </cell>
          <cell r="F470">
            <v>0</v>
          </cell>
          <cell r="G470" t="str">
            <v>vlc</v>
          </cell>
          <cell r="H470" t="str">
            <v>Indirect</v>
          </cell>
          <cell r="I470">
            <v>1012</v>
          </cell>
          <cell r="J470" t="str">
            <v>DalsinghSarai</v>
          </cell>
          <cell r="K470" t="str">
            <v>Old</v>
          </cell>
          <cell r="L470">
            <v>44957</v>
          </cell>
          <cell r="M470">
            <v>13762.15</v>
          </cell>
          <cell r="N470">
            <v>583486.23</v>
          </cell>
          <cell r="O470">
            <v>10321.612499999999</v>
          </cell>
          <cell r="P470">
            <v>13074.0425</v>
          </cell>
          <cell r="Q470">
            <v>0</v>
          </cell>
          <cell r="R470">
            <v>17504.586899999998</v>
          </cell>
          <cell r="S470">
            <v>4430.5443999999989</v>
          </cell>
          <cell r="T470">
            <v>1376.2150000000001</v>
          </cell>
          <cell r="U470">
            <v>0</v>
          </cell>
          <cell r="V470">
            <v>22019</v>
          </cell>
          <cell r="W470">
            <v>0</v>
          </cell>
          <cell r="X470">
            <v>0</v>
          </cell>
          <cell r="Y470">
            <v>0</v>
          </cell>
        </row>
        <row r="471">
          <cell r="D471">
            <v>10120051</v>
          </cell>
          <cell r="E471" t="str">
            <v>Narenpur</v>
          </cell>
          <cell r="F471">
            <v>0</v>
          </cell>
          <cell r="G471" t="str">
            <v>MPG</v>
          </cell>
          <cell r="H471" t="str">
            <v>Direct</v>
          </cell>
          <cell r="I471">
            <v>1012</v>
          </cell>
          <cell r="J471" t="str">
            <v>DalsinghSarai</v>
          </cell>
          <cell r="K471" t="str">
            <v>Old</v>
          </cell>
          <cell r="L471">
            <v>45226</v>
          </cell>
          <cell r="M471">
            <v>1624.0300000000002</v>
          </cell>
          <cell r="N471">
            <v>68128.59</v>
          </cell>
          <cell r="O471">
            <v>1218.0225</v>
          </cell>
          <cell r="P471">
            <v>1542.8285000000001</v>
          </cell>
          <cell r="Q471">
            <v>0</v>
          </cell>
          <cell r="R471">
            <v>2043.8576999999998</v>
          </cell>
          <cell r="S471">
            <v>501.02919999999972</v>
          </cell>
          <cell r="T471">
            <v>162.40300000000002</v>
          </cell>
          <cell r="U471">
            <v>986.343876158076</v>
          </cell>
          <cell r="V471">
            <v>1612</v>
          </cell>
          <cell r="W471">
            <v>1612</v>
          </cell>
          <cell r="X471">
            <v>0</v>
          </cell>
          <cell r="Y471">
            <v>0</v>
          </cell>
        </row>
        <row r="472">
          <cell r="D472">
            <v>10120052</v>
          </cell>
          <cell r="E472" t="str">
            <v>Mordiba</v>
          </cell>
          <cell r="F472">
            <v>0</v>
          </cell>
          <cell r="G472" t="str">
            <v>MPG</v>
          </cell>
          <cell r="H472" t="str">
            <v>Direct</v>
          </cell>
          <cell r="I472">
            <v>1012</v>
          </cell>
          <cell r="J472" t="str">
            <v>DalsinghSarai</v>
          </cell>
          <cell r="K472" t="str">
            <v>Old</v>
          </cell>
          <cell r="L472">
            <v>45240</v>
          </cell>
          <cell r="M472">
            <v>4614.76</v>
          </cell>
          <cell r="N472">
            <v>183168.17000000004</v>
          </cell>
          <cell r="O472">
            <v>3461.07</v>
          </cell>
          <cell r="P472">
            <v>4384.0219999999999</v>
          </cell>
          <cell r="Q472">
            <v>1048.5469079013999</v>
          </cell>
          <cell r="R472">
            <v>5495.0451000000012</v>
          </cell>
          <cell r="S472">
            <v>1111.0231000000013</v>
          </cell>
          <cell r="T472">
            <v>461.47600000000006</v>
          </cell>
          <cell r="U472">
            <v>0</v>
          </cell>
          <cell r="V472">
            <v>8432</v>
          </cell>
          <cell r="W472">
            <v>0</v>
          </cell>
          <cell r="X472">
            <v>0</v>
          </cell>
          <cell r="Y472">
            <v>0</v>
          </cell>
        </row>
        <row r="473">
          <cell r="D473">
            <v>10120053</v>
          </cell>
          <cell r="E473" t="str">
            <v>Jagdispur</v>
          </cell>
          <cell r="F473">
            <v>0</v>
          </cell>
          <cell r="G473" t="str">
            <v>MPG</v>
          </cell>
          <cell r="H473" t="str">
            <v>Direct</v>
          </cell>
          <cell r="I473">
            <v>1012</v>
          </cell>
          <cell r="J473" t="str">
            <v>DalsinghSarai</v>
          </cell>
          <cell r="K473" t="str">
            <v>Old</v>
          </cell>
          <cell r="L473">
            <v>45226</v>
          </cell>
          <cell r="M473">
            <v>1221.07</v>
          </cell>
          <cell r="N473">
            <v>49361.659999999996</v>
          </cell>
          <cell r="O473">
            <v>915.80250000000001</v>
          </cell>
          <cell r="P473">
            <v>1160.0165</v>
          </cell>
          <cell r="Q473">
            <v>81.819999999999993</v>
          </cell>
          <cell r="R473">
            <v>1480.8497999999997</v>
          </cell>
          <cell r="S473">
            <v>320.83329999999978</v>
          </cell>
          <cell r="T473">
            <v>122.107</v>
          </cell>
          <cell r="U473">
            <v>1280.616682277122</v>
          </cell>
          <cell r="V473">
            <v>755</v>
          </cell>
          <cell r="W473">
            <v>755</v>
          </cell>
          <cell r="X473">
            <v>0</v>
          </cell>
          <cell r="Y473">
            <v>0</v>
          </cell>
        </row>
        <row r="474">
          <cell r="D474">
            <v>10120054</v>
          </cell>
          <cell r="E474" t="str">
            <v>Baruna Rasalpur</v>
          </cell>
          <cell r="F474">
            <v>0</v>
          </cell>
          <cell r="G474" t="str">
            <v>MPG</v>
          </cell>
          <cell r="H474" t="str">
            <v>Direct</v>
          </cell>
          <cell r="I474">
            <v>1012</v>
          </cell>
          <cell r="J474" t="str">
            <v>DalsinghSarai</v>
          </cell>
          <cell r="K474" t="str">
            <v>Old</v>
          </cell>
          <cell r="L474">
            <v>45226</v>
          </cell>
          <cell r="M474">
            <v>941.44</v>
          </cell>
          <cell r="N474">
            <v>33767.82</v>
          </cell>
          <cell r="O474">
            <v>706.08</v>
          </cell>
          <cell r="P474">
            <v>894.36800000000005</v>
          </cell>
          <cell r="Q474">
            <v>0</v>
          </cell>
          <cell r="R474">
            <v>1013.0346</v>
          </cell>
          <cell r="S474">
            <v>118.6665999999999</v>
          </cell>
          <cell r="T474">
            <v>94.144000000000005</v>
          </cell>
          <cell r="U474">
            <v>1323.4185761564929</v>
          </cell>
          <cell r="V474">
            <v>183</v>
          </cell>
          <cell r="W474">
            <v>183</v>
          </cell>
          <cell r="X474">
            <v>0</v>
          </cell>
          <cell r="Y474">
            <v>0</v>
          </cell>
        </row>
        <row r="475">
          <cell r="D475">
            <v>10120060</v>
          </cell>
          <cell r="E475" t="str">
            <v>Chaklal Sahi_Vikrant</v>
          </cell>
          <cell r="F475">
            <v>0</v>
          </cell>
          <cell r="G475" t="str">
            <v>vlc</v>
          </cell>
          <cell r="H475" t="str">
            <v>Indirect</v>
          </cell>
          <cell r="I475">
            <v>1012</v>
          </cell>
          <cell r="J475" t="str">
            <v>DalsinghSarai</v>
          </cell>
          <cell r="K475" t="str">
            <v>Old</v>
          </cell>
          <cell r="L475">
            <v>45260</v>
          </cell>
          <cell r="M475">
            <v>12052</v>
          </cell>
          <cell r="N475">
            <v>471806.04000000004</v>
          </cell>
          <cell r="O475">
            <v>9039</v>
          </cell>
          <cell r="P475">
            <v>11449.4</v>
          </cell>
          <cell r="Q475">
            <v>0</v>
          </cell>
          <cell r="R475">
            <v>14154.181200000001</v>
          </cell>
          <cell r="S475">
            <v>2704.7812000000013</v>
          </cell>
          <cell r="T475">
            <v>1205.2</v>
          </cell>
          <cell r="U475">
            <v>0</v>
          </cell>
          <cell r="V475">
            <v>19283</v>
          </cell>
          <cell r="W475">
            <v>0</v>
          </cell>
          <cell r="X475">
            <v>0</v>
          </cell>
          <cell r="Y475">
            <v>0</v>
          </cell>
        </row>
        <row r="476">
          <cell r="D476">
            <v>10120065</v>
          </cell>
          <cell r="E476" t="str">
            <v>Ghataho East</v>
          </cell>
          <cell r="F476">
            <v>0</v>
          </cell>
          <cell r="G476" t="str">
            <v>MPG</v>
          </cell>
          <cell r="H476" t="str">
            <v>Direct</v>
          </cell>
          <cell r="I476">
            <v>1012</v>
          </cell>
          <cell r="J476" t="str">
            <v>DalsinghSarai</v>
          </cell>
          <cell r="K476" t="str">
            <v>Old</v>
          </cell>
          <cell r="L476">
            <v>45323</v>
          </cell>
          <cell r="M476">
            <v>1025.8800000000001</v>
          </cell>
          <cell r="N476">
            <v>38146.060000000005</v>
          </cell>
          <cell r="O476">
            <v>769.41000000000008</v>
          </cell>
          <cell r="P476">
            <v>974.58600000000001</v>
          </cell>
          <cell r="Q476">
            <v>1147.6311265398001</v>
          </cell>
          <cell r="R476">
            <v>1144.3818000000001</v>
          </cell>
          <cell r="S476">
            <v>169.7958000000001</v>
          </cell>
          <cell r="T476">
            <v>102.58800000000002</v>
          </cell>
          <cell r="U476">
            <v>1317.0511157793649</v>
          </cell>
          <cell r="V476">
            <v>1472</v>
          </cell>
          <cell r="W476">
            <v>1472</v>
          </cell>
          <cell r="X476">
            <v>0</v>
          </cell>
          <cell r="Y476">
            <v>0</v>
          </cell>
        </row>
        <row r="477">
          <cell r="D477">
            <v>10120066</v>
          </cell>
          <cell r="E477" t="str">
            <v>Piparpaati</v>
          </cell>
          <cell r="F477">
            <v>0</v>
          </cell>
          <cell r="G477" t="str">
            <v>vlc</v>
          </cell>
          <cell r="H477" t="str">
            <v>Indirect</v>
          </cell>
          <cell r="I477">
            <v>1012</v>
          </cell>
          <cell r="J477" t="str">
            <v>DalsinghSarai</v>
          </cell>
          <cell r="K477" t="str">
            <v>Old</v>
          </cell>
          <cell r="L477">
            <v>45323</v>
          </cell>
          <cell r="M477">
            <v>881.96</v>
          </cell>
          <cell r="N477">
            <v>33593.349999999991</v>
          </cell>
          <cell r="O477">
            <v>661.47</v>
          </cell>
          <cell r="P477">
            <v>837.86199999999997</v>
          </cell>
          <cell r="Q477">
            <v>0</v>
          </cell>
          <cell r="R477">
            <v>1007.8004999999997</v>
          </cell>
          <cell r="S477">
            <v>169.93849999999975</v>
          </cell>
          <cell r="T477">
            <v>88.196000000000012</v>
          </cell>
          <cell r="U477">
            <v>1411.0390734320749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</row>
        <row r="478">
          <cell r="D478">
            <v>10120071</v>
          </cell>
          <cell r="E478" t="str">
            <v>Suratpur</v>
          </cell>
          <cell r="F478">
            <v>0</v>
          </cell>
          <cell r="G478" t="str">
            <v>MPG</v>
          </cell>
          <cell r="H478" t="str">
            <v>Direct</v>
          </cell>
          <cell r="I478">
            <v>1012</v>
          </cell>
          <cell r="J478" t="str">
            <v>DalsinghSarai</v>
          </cell>
          <cell r="K478" t="str">
            <v>Old</v>
          </cell>
          <cell r="L478">
            <v>45413</v>
          </cell>
          <cell r="M478">
            <v>2607.5000000000005</v>
          </cell>
          <cell r="N478">
            <v>104152.12</v>
          </cell>
          <cell r="O478">
            <v>1955.6250000000005</v>
          </cell>
          <cell r="P478">
            <v>2477.1250000000005</v>
          </cell>
          <cell r="Q478">
            <v>25.311646404000001</v>
          </cell>
          <cell r="R478">
            <v>3124.5636</v>
          </cell>
          <cell r="S478">
            <v>647.4385999999995</v>
          </cell>
          <cell r="T478">
            <v>260.75000000000006</v>
          </cell>
          <cell r="U478">
            <v>260.4502149552751</v>
          </cell>
          <cell r="V478">
            <v>3937</v>
          </cell>
          <cell r="W478">
            <v>2083.0423999999998</v>
          </cell>
          <cell r="X478">
            <v>0</v>
          </cell>
          <cell r="Y478">
            <v>0</v>
          </cell>
        </row>
        <row r="479">
          <cell r="D479">
            <v>10120080</v>
          </cell>
          <cell r="E479" t="str">
            <v>Manika Tol</v>
          </cell>
          <cell r="F479">
            <v>0</v>
          </cell>
          <cell r="G479" t="str">
            <v>MPG</v>
          </cell>
          <cell r="H479" t="str">
            <v>Direct</v>
          </cell>
          <cell r="I479">
            <v>1012</v>
          </cell>
          <cell r="J479" t="str">
            <v>DalsinghSarai</v>
          </cell>
          <cell r="K479" t="str">
            <v>Old</v>
          </cell>
          <cell r="L479">
            <v>45462</v>
          </cell>
          <cell r="M479">
            <v>553.73</v>
          </cell>
          <cell r="N479">
            <v>21288.04</v>
          </cell>
          <cell r="O479">
            <v>415.29750000000001</v>
          </cell>
          <cell r="P479">
            <v>526.04349999999999</v>
          </cell>
          <cell r="Q479">
            <v>323.72376844454999</v>
          </cell>
          <cell r="R479">
            <v>638.64120000000003</v>
          </cell>
          <cell r="S479">
            <v>112.59770000000003</v>
          </cell>
          <cell r="T479">
            <v>55.373000000000005</v>
          </cell>
          <cell r="U479">
            <v>1210.0023375709443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</row>
        <row r="480">
          <cell r="D480">
            <v>10120081</v>
          </cell>
          <cell r="E480" t="str">
            <v>Musapur Bichla Tol-Prashant</v>
          </cell>
          <cell r="F480">
            <v>0</v>
          </cell>
          <cell r="G480" t="str">
            <v>vlc</v>
          </cell>
          <cell r="H480" t="str">
            <v>Indirect</v>
          </cell>
          <cell r="I480">
            <v>1012</v>
          </cell>
          <cell r="J480" t="str">
            <v>DalsinghSarai</v>
          </cell>
          <cell r="K480" t="str">
            <v>Old</v>
          </cell>
          <cell r="L480">
            <v>45526</v>
          </cell>
          <cell r="M480">
            <v>3417.87</v>
          </cell>
          <cell r="N480">
            <v>125901.25</v>
          </cell>
          <cell r="O480">
            <v>2563.4025000000001</v>
          </cell>
          <cell r="P480">
            <v>3246.9764999999998</v>
          </cell>
          <cell r="Q480">
            <v>0</v>
          </cell>
          <cell r="R480">
            <v>3777.0374999999999</v>
          </cell>
          <cell r="S480">
            <v>530.06100000000015</v>
          </cell>
          <cell r="T480">
            <v>341.78700000000003</v>
          </cell>
          <cell r="U480">
            <v>187.17193486506196</v>
          </cell>
          <cell r="V480">
            <v>5281</v>
          </cell>
          <cell r="W480">
            <v>0</v>
          </cell>
          <cell r="X480">
            <v>0</v>
          </cell>
          <cell r="Y480">
            <v>0</v>
          </cell>
        </row>
        <row r="481">
          <cell r="D481">
            <v>10120083</v>
          </cell>
          <cell r="E481" t="str">
            <v>Beri</v>
          </cell>
          <cell r="F481">
            <v>0</v>
          </cell>
          <cell r="G481" t="str">
            <v>MPG</v>
          </cell>
          <cell r="H481" t="str">
            <v>Direct</v>
          </cell>
          <cell r="I481">
            <v>1012</v>
          </cell>
          <cell r="J481" t="str">
            <v>DalsinghSarai</v>
          </cell>
          <cell r="K481" t="str">
            <v>Old</v>
          </cell>
          <cell r="L481">
            <v>45530</v>
          </cell>
          <cell r="M481">
            <v>2928.0100000000007</v>
          </cell>
          <cell r="N481">
            <v>129405.52</v>
          </cell>
          <cell r="O481">
            <v>2196.0075000000006</v>
          </cell>
          <cell r="P481">
            <v>2781.6095000000005</v>
          </cell>
          <cell r="Q481">
            <v>0</v>
          </cell>
          <cell r="R481">
            <v>3882.1655999999998</v>
          </cell>
          <cell r="S481">
            <v>1100.5560999999993</v>
          </cell>
          <cell r="T481">
            <v>292.8010000000001</v>
          </cell>
          <cell r="U481">
            <v>272.18068584112916</v>
          </cell>
          <cell r="V481">
            <v>4413</v>
          </cell>
          <cell r="W481">
            <v>2588.1104</v>
          </cell>
          <cell r="X481">
            <v>0</v>
          </cell>
          <cell r="Y481">
            <v>1825</v>
          </cell>
        </row>
        <row r="482">
          <cell r="D482">
            <v>10120084</v>
          </cell>
          <cell r="E482" t="str">
            <v>Mahmmadipur</v>
          </cell>
          <cell r="F482">
            <v>0</v>
          </cell>
          <cell r="G482" t="str">
            <v>MPG</v>
          </cell>
          <cell r="H482" t="str">
            <v>Direct</v>
          </cell>
          <cell r="I482">
            <v>1012</v>
          </cell>
          <cell r="J482" t="str">
            <v>DalsinghSarai</v>
          </cell>
          <cell r="K482" t="str">
            <v>Old</v>
          </cell>
          <cell r="L482">
            <v>45536</v>
          </cell>
          <cell r="M482">
            <v>5069.97</v>
          </cell>
          <cell r="N482">
            <v>227946.22</v>
          </cell>
          <cell r="O482">
            <v>3802.4775</v>
          </cell>
          <cell r="P482">
            <v>4816.4714999999997</v>
          </cell>
          <cell r="Q482">
            <v>155.73938240581003</v>
          </cell>
          <cell r="R482">
            <v>6838.3865999999998</v>
          </cell>
          <cell r="S482">
            <v>2021.9151000000002</v>
          </cell>
          <cell r="T482">
            <v>506.99700000000007</v>
          </cell>
          <cell r="U482">
            <v>0</v>
          </cell>
          <cell r="V482">
            <v>8268</v>
          </cell>
          <cell r="W482">
            <v>4558.9243999999999</v>
          </cell>
          <cell r="X482">
            <v>0</v>
          </cell>
          <cell r="Y482">
            <v>0</v>
          </cell>
        </row>
        <row r="483">
          <cell r="D483">
            <v>10120086</v>
          </cell>
          <cell r="E483" t="str">
            <v>Simri-Rupesh</v>
          </cell>
          <cell r="F483">
            <v>0</v>
          </cell>
          <cell r="G483" t="str">
            <v>vlc</v>
          </cell>
          <cell r="H483" t="str">
            <v>Indirect</v>
          </cell>
          <cell r="I483">
            <v>1012</v>
          </cell>
          <cell r="J483" t="str">
            <v>DalsinghSarai</v>
          </cell>
          <cell r="K483" t="str">
            <v>Old</v>
          </cell>
          <cell r="L483">
            <v>45529</v>
          </cell>
          <cell r="M483">
            <v>3846.9000000000005</v>
          </cell>
          <cell r="N483">
            <v>158829.82999999999</v>
          </cell>
          <cell r="O483">
            <v>2885.1750000000002</v>
          </cell>
          <cell r="P483">
            <v>3654.5550000000003</v>
          </cell>
          <cell r="Q483">
            <v>0</v>
          </cell>
          <cell r="R483">
            <v>4764.8948999999993</v>
          </cell>
          <cell r="S483">
            <v>1110.339899999999</v>
          </cell>
          <cell r="T483">
            <v>384.69000000000005</v>
          </cell>
          <cell r="U483">
            <v>0</v>
          </cell>
          <cell r="V483">
            <v>6155</v>
          </cell>
          <cell r="W483">
            <v>0</v>
          </cell>
          <cell r="X483">
            <v>0</v>
          </cell>
          <cell r="Y483">
            <v>0</v>
          </cell>
        </row>
        <row r="484">
          <cell r="D484">
            <v>10120089</v>
          </cell>
          <cell r="E484" t="str">
            <v>Gomukh Jhaura Tabhka</v>
          </cell>
          <cell r="F484">
            <v>0</v>
          </cell>
          <cell r="G484" t="str">
            <v>MPG</v>
          </cell>
          <cell r="H484" t="str">
            <v>Direct</v>
          </cell>
          <cell r="I484">
            <v>1012</v>
          </cell>
          <cell r="J484" t="str">
            <v>DalsinghSarai</v>
          </cell>
          <cell r="K484" t="str">
            <v>Old</v>
          </cell>
          <cell r="L484">
            <v>45649</v>
          </cell>
          <cell r="M484">
            <v>1869.52</v>
          </cell>
          <cell r="N484">
            <v>70288.66</v>
          </cell>
          <cell r="O484">
            <v>1402.1399999999999</v>
          </cell>
          <cell r="P484">
            <v>1776.0439999999999</v>
          </cell>
          <cell r="Q484">
            <v>182.47023068000004</v>
          </cell>
          <cell r="R484">
            <v>2108.6597999999999</v>
          </cell>
          <cell r="S484">
            <v>332.61580000000004</v>
          </cell>
          <cell r="T484">
            <v>186.952</v>
          </cell>
          <cell r="U484">
            <v>697.67108276855322</v>
          </cell>
          <cell r="V484">
            <v>2476</v>
          </cell>
          <cell r="W484">
            <v>1861</v>
          </cell>
          <cell r="X484">
            <v>0</v>
          </cell>
          <cell r="Y484">
            <v>0</v>
          </cell>
        </row>
        <row r="485">
          <cell r="D485">
            <v>10120090</v>
          </cell>
          <cell r="E485" t="str">
            <v>Gomukh Kewasnijamat</v>
          </cell>
          <cell r="F485">
            <v>0</v>
          </cell>
          <cell r="G485" t="str">
            <v>MPG</v>
          </cell>
          <cell r="H485" t="str">
            <v>Direct</v>
          </cell>
          <cell r="I485">
            <v>1012</v>
          </cell>
          <cell r="J485" t="str">
            <v>DalsinghSarai</v>
          </cell>
          <cell r="K485" t="str">
            <v>Old</v>
          </cell>
          <cell r="L485">
            <v>45631</v>
          </cell>
          <cell r="M485">
            <v>460.49</v>
          </cell>
          <cell r="N485">
            <v>19920.099999999999</v>
          </cell>
          <cell r="O485">
            <v>345.36750000000001</v>
          </cell>
          <cell r="P485">
            <v>437.46549999999996</v>
          </cell>
          <cell r="Q485">
            <v>294.6429024857365</v>
          </cell>
          <cell r="R485">
            <v>597.60299999999995</v>
          </cell>
          <cell r="S485">
            <v>160.13749999999999</v>
          </cell>
          <cell r="T485">
            <v>46.049000000000007</v>
          </cell>
          <cell r="U485">
            <v>1031.5585124279062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>
            <v>10120091</v>
          </cell>
          <cell r="E486" t="str">
            <v>Gomukh Mohanpur</v>
          </cell>
          <cell r="F486">
            <v>0</v>
          </cell>
          <cell r="G486" t="str">
            <v>MPG</v>
          </cell>
          <cell r="H486" t="str">
            <v>Direct</v>
          </cell>
          <cell r="I486">
            <v>1012</v>
          </cell>
          <cell r="J486" t="str">
            <v>DalsinghSarai</v>
          </cell>
          <cell r="K486" t="str">
            <v>Old</v>
          </cell>
          <cell r="L486">
            <v>45653</v>
          </cell>
          <cell r="M486">
            <v>1415.31</v>
          </cell>
          <cell r="N486">
            <v>57897.5</v>
          </cell>
          <cell r="O486">
            <v>1061.4825000000001</v>
          </cell>
          <cell r="P486">
            <v>1344.5445</v>
          </cell>
          <cell r="Q486">
            <v>1656.3882537916002</v>
          </cell>
          <cell r="R486">
            <v>1736.925</v>
          </cell>
          <cell r="S486">
            <v>392.38049999999998</v>
          </cell>
          <cell r="T486">
            <v>141.53100000000001</v>
          </cell>
          <cell r="U486">
            <v>1134.1081784195835</v>
          </cell>
          <cell r="V486">
            <v>2787</v>
          </cell>
          <cell r="W486">
            <v>1861</v>
          </cell>
          <cell r="X486">
            <v>0</v>
          </cell>
          <cell r="Y486">
            <v>0</v>
          </cell>
        </row>
        <row r="487">
          <cell r="D487">
            <v>10120094</v>
          </cell>
          <cell r="E487" t="str">
            <v>Gomukh Bochaha</v>
          </cell>
          <cell r="F487">
            <v>0</v>
          </cell>
          <cell r="G487" t="str">
            <v>MPG</v>
          </cell>
          <cell r="H487" t="str">
            <v>Direct</v>
          </cell>
          <cell r="I487">
            <v>1012</v>
          </cell>
          <cell r="J487" t="str">
            <v>DalsinghSarai</v>
          </cell>
          <cell r="K487" t="str">
            <v>Old</v>
          </cell>
          <cell r="L487">
            <v>45666</v>
          </cell>
          <cell r="M487">
            <v>2932.84</v>
          </cell>
          <cell r="N487">
            <v>139943.31</v>
          </cell>
          <cell r="O487">
            <v>2199.63</v>
          </cell>
          <cell r="P487">
            <v>2786.1979999999999</v>
          </cell>
          <cell r="Q487">
            <v>0</v>
          </cell>
          <cell r="R487">
            <v>4198.2992999999997</v>
          </cell>
          <cell r="S487">
            <v>1412.1012999999998</v>
          </cell>
          <cell r="T487">
            <v>293.28400000000005</v>
          </cell>
          <cell r="U487">
            <v>111.14492077278172</v>
          </cell>
          <cell r="V487">
            <v>4581</v>
          </cell>
          <cell r="W487">
            <v>2798.8661999999999</v>
          </cell>
          <cell r="X487">
            <v>0</v>
          </cell>
          <cell r="Y487">
            <v>0</v>
          </cell>
        </row>
        <row r="488">
          <cell r="D488">
            <v>10120095</v>
          </cell>
          <cell r="E488" t="str">
            <v>Gomukh Terganj</v>
          </cell>
          <cell r="F488">
            <v>0</v>
          </cell>
          <cell r="G488" t="str">
            <v>MPG</v>
          </cell>
          <cell r="H488" t="str">
            <v>Direct</v>
          </cell>
          <cell r="I488">
            <v>1012</v>
          </cell>
          <cell r="J488" t="str">
            <v>DalsinghSarai</v>
          </cell>
          <cell r="K488" t="str">
            <v>Old</v>
          </cell>
          <cell r="L488">
            <v>45705</v>
          </cell>
          <cell r="M488">
            <v>1012.05</v>
          </cell>
          <cell r="N488">
            <v>42347.340000000004</v>
          </cell>
          <cell r="O488">
            <v>759.03749999999991</v>
          </cell>
          <cell r="P488">
            <v>961.44749999999988</v>
          </cell>
          <cell r="Q488">
            <v>0</v>
          </cell>
          <cell r="R488">
            <v>1270.4202</v>
          </cell>
          <cell r="S488">
            <v>308.97270000000015</v>
          </cell>
          <cell r="T488">
            <v>101.205</v>
          </cell>
          <cell r="U488">
            <v>1490.7424070371744</v>
          </cell>
          <cell r="V488">
            <v>129</v>
          </cell>
          <cell r="W488">
            <v>0</v>
          </cell>
          <cell r="X488">
            <v>0</v>
          </cell>
          <cell r="Y488">
            <v>0</v>
          </cell>
        </row>
        <row r="489">
          <cell r="D489">
            <v>10120096</v>
          </cell>
          <cell r="E489" t="str">
            <v>Gomukh Chapra</v>
          </cell>
          <cell r="F489">
            <v>0</v>
          </cell>
          <cell r="G489" t="str">
            <v>vlc</v>
          </cell>
          <cell r="H489" t="str">
            <v>Indirect</v>
          </cell>
          <cell r="I489">
            <v>1012</v>
          </cell>
          <cell r="J489" t="str">
            <v>DalsinghSarai</v>
          </cell>
          <cell r="K489" t="str">
            <v>Old</v>
          </cell>
          <cell r="L489">
            <v>45664</v>
          </cell>
          <cell r="M489">
            <v>10334.81</v>
          </cell>
          <cell r="N489">
            <v>417368.15</v>
          </cell>
          <cell r="O489">
            <v>7751.1075000000001</v>
          </cell>
          <cell r="P489">
            <v>9818.0694999999996</v>
          </cell>
          <cell r="Q489">
            <v>0</v>
          </cell>
          <cell r="R489">
            <v>12521.0445</v>
          </cell>
          <cell r="S489">
            <v>2702.9750000000004</v>
          </cell>
          <cell r="T489">
            <v>1033.481</v>
          </cell>
          <cell r="U489">
            <v>0</v>
          </cell>
          <cell r="V489">
            <v>16536</v>
          </cell>
          <cell r="W489">
            <v>0</v>
          </cell>
          <cell r="X489">
            <v>0</v>
          </cell>
          <cell r="Y489">
            <v>0</v>
          </cell>
        </row>
        <row r="490">
          <cell r="D490">
            <v>10120099</v>
          </cell>
          <cell r="E490" t="str">
            <v>GOMUKH Chiranjipur</v>
          </cell>
          <cell r="F490">
            <v>0</v>
          </cell>
          <cell r="G490" t="str">
            <v>vlc</v>
          </cell>
          <cell r="H490" t="str">
            <v>Indirect</v>
          </cell>
          <cell r="I490">
            <v>1012</v>
          </cell>
          <cell r="J490" t="str">
            <v>DalsinghSarai</v>
          </cell>
          <cell r="K490" t="str">
            <v>Old</v>
          </cell>
          <cell r="L490">
            <v>45715</v>
          </cell>
          <cell r="M490">
            <v>11844.5</v>
          </cell>
          <cell r="N490">
            <v>450545.24</v>
          </cell>
          <cell r="O490">
            <v>8883.375</v>
          </cell>
          <cell r="P490">
            <v>11252.275</v>
          </cell>
          <cell r="Q490">
            <v>0</v>
          </cell>
          <cell r="R490">
            <v>13516.357199999999</v>
          </cell>
          <cell r="S490">
            <v>2264.0821999999989</v>
          </cell>
          <cell r="T490">
            <v>1184.45</v>
          </cell>
          <cell r="U490">
            <v>0</v>
          </cell>
          <cell r="V490">
            <v>18951</v>
          </cell>
          <cell r="W490">
            <v>0</v>
          </cell>
          <cell r="X490">
            <v>0</v>
          </cell>
          <cell r="Y490">
            <v>0</v>
          </cell>
        </row>
        <row r="491">
          <cell r="D491">
            <v>10120103</v>
          </cell>
          <cell r="E491" t="str">
            <v>Gomukh Sahu Tol</v>
          </cell>
          <cell r="F491">
            <v>0</v>
          </cell>
          <cell r="G491" t="str">
            <v>vlc</v>
          </cell>
          <cell r="H491" t="str">
            <v>Indirect</v>
          </cell>
          <cell r="I491">
            <v>1012</v>
          </cell>
          <cell r="J491" t="str">
            <v>DalsinghSarai</v>
          </cell>
          <cell r="K491" t="str">
            <v>Old</v>
          </cell>
          <cell r="L491">
            <v>45743</v>
          </cell>
          <cell r="M491">
            <v>8810</v>
          </cell>
          <cell r="N491">
            <v>341452.66</v>
          </cell>
          <cell r="O491">
            <v>6607.5</v>
          </cell>
          <cell r="P491">
            <v>8369.5</v>
          </cell>
          <cell r="Q491">
            <v>0</v>
          </cell>
          <cell r="R491">
            <v>10243.5798</v>
          </cell>
          <cell r="S491">
            <v>1874.0797999999995</v>
          </cell>
          <cell r="T491">
            <v>881</v>
          </cell>
          <cell r="U491">
            <v>0</v>
          </cell>
          <cell r="V491">
            <v>14096</v>
          </cell>
          <cell r="W491">
            <v>0</v>
          </cell>
          <cell r="X491">
            <v>0</v>
          </cell>
          <cell r="Y491">
            <v>0</v>
          </cell>
        </row>
        <row r="492">
          <cell r="D492">
            <v>10120104</v>
          </cell>
          <cell r="E492" t="str">
            <v>Gomukh Mordiwa East</v>
          </cell>
          <cell r="F492">
            <v>0</v>
          </cell>
          <cell r="G492" t="str">
            <v>MPG</v>
          </cell>
          <cell r="H492" t="str">
            <v>Direct</v>
          </cell>
          <cell r="I492">
            <v>1012</v>
          </cell>
          <cell r="J492" t="str">
            <v>DalsinghSarai</v>
          </cell>
          <cell r="K492" t="str">
            <v>Old</v>
          </cell>
          <cell r="L492">
            <v>45793</v>
          </cell>
          <cell r="M492">
            <v>1859.1799999999998</v>
          </cell>
          <cell r="N492">
            <v>75290.709999999992</v>
          </cell>
          <cell r="O492">
            <v>1394.3849999999998</v>
          </cell>
          <cell r="P492">
            <v>1766.2209999999998</v>
          </cell>
          <cell r="Q492">
            <v>422.409989172</v>
          </cell>
          <cell r="R492">
            <v>2258.7212999999997</v>
          </cell>
          <cell r="S492">
            <v>492.50029999999992</v>
          </cell>
          <cell r="T492">
            <v>185.91800000000001</v>
          </cell>
          <cell r="U492">
            <v>762.142009172445</v>
          </cell>
          <cell r="V492">
            <v>2635</v>
          </cell>
          <cell r="W492">
            <v>1861</v>
          </cell>
          <cell r="X492">
            <v>0</v>
          </cell>
          <cell r="Y492">
            <v>0</v>
          </cell>
        </row>
        <row r="493">
          <cell r="D493">
            <v>10120105</v>
          </cell>
          <cell r="E493" t="str">
            <v>GOMUKH HANUMAN NAGAR</v>
          </cell>
          <cell r="F493">
            <v>0</v>
          </cell>
          <cell r="G493" t="str">
            <v>MPG</v>
          </cell>
          <cell r="H493" t="str">
            <v>Direct</v>
          </cell>
          <cell r="I493">
            <v>1012</v>
          </cell>
          <cell r="J493" t="str">
            <v>DalsinghSarai</v>
          </cell>
          <cell r="K493" t="str">
            <v>Old</v>
          </cell>
          <cell r="L493">
            <v>45778</v>
          </cell>
          <cell r="M493">
            <v>109.75000000000001</v>
          </cell>
          <cell r="N493">
            <v>3654.79</v>
          </cell>
          <cell r="O493">
            <v>82.312500000000014</v>
          </cell>
          <cell r="P493">
            <v>104.2625</v>
          </cell>
          <cell r="Q493">
            <v>0</v>
          </cell>
          <cell r="R493">
            <v>109.6437</v>
          </cell>
          <cell r="S493">
            <v>5.3811999999999927</v>
          </cell>
          <cell r="T493">
            <v>10.975000000000001</v>
          </cell>
          <cell r="U493">
            <v>175.67065256088063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</row>
        <row r="494">
          <cell r="D494">
            <v>10120106</v>
          </cell>
          <cell r="E494" t="str">
            <v>Gomukh Belamegh</v>
          </cell>
          <cell r="F494">
            <v>0</v>
          </cell>
          <cell r="G494" t="str">
            <v>vlc</v>
          </cell>
          <cell r="H494" t="str">
            <v>Indirect</v>
          </cell>
          <cell r="I494">
            <v>1012</v>
          </cell>
          <cell r="J494" t="str">
            <v>DalsinghSarai</v>
          </cell>
          <cell r="K494" t="str">
            <v>Old</v>
          </cell>
          <cell r="L494">
            <v>45783</v>
          </cell>
          <cell r="M494">
            <v>4146.8999999999996</v>
          </cell>
          <cell r="N494">
            <v>162390.46000000002</v>
          </cell>
          <cell r="O494">
            <v>3110.1749999999997</v>
          </cell>
          <cell r="P494">
            <v>3939.5549999999994</v>
          </cell>
          <cell r="Q494">
            <v>0</v>
          </cell>
          <cell r="R494">
            <v>4871.7138000000004</v>
          </cell>
          <cell r="S494">
            <v>932.15880000000107</v>
          </cell>
          <cell r="T494">
            <v>414.69</v>
          </cell>
          <cell r="U494">
            <v>428.17200000000003</v>
          </cell>
          <cell r="V494">
            <v>6207</v>
          </cell>
          <cell r="W494">
            <v>0</v>
          </cell>
          <cell r="X494">
            <v>0</v>
          </cell>
          <cell r="Y494">
            <v>0</v>
          </cell>
        </row>
        <row r="495">
          <cell r="D495">
            <v>10120107</v>
          </cell>
          <cell r="E495" t="str">
            <v>Gomukh Ramaiya</v>
          </cell>
          <cell r="F495">
            <v>0</v>
          </cell>
          <cell r="G495" t="str">
            <v>MPG</v>
          </cell>
          <cell r="H495" t="str">
            <v>Direct</v>
          </cell>
          <cell r="I495">
            <v>1012</v>
          </cell>
          <cell r="J495" t="str">
            <v>DalsinghSarai</v>
          </cell>
          <cell r="K495" t="str">
            <v>Old</v>
          </cell>
          <cell r="L495">
            <v>45798</v>
          </cell>
          <cell r="M495">
            <v>3914.33</v>
          </cell>
          <cell r="N495">
            <v>154212.34000000003</v>
          </cell>
          <cell r="O495">
            <v>2935.7474999999999</v>
          </cell>
          <cell r="P495">
            <v>3718.6134999999999</v>
          </cell>
          <cell r="Q495">
            <v>0</v>
          </cell>
          <cell r="R495">
            <v>4626.3702000000003</v>
          </cell>
          <cell r="S495">
            <v>907.75670000000036</v>
          </cell>
          <cell r="T495">
            <v>391.43299999999999</v>
          </cell>
          <cell r="U495">
            <v>0</v>
          </cell>
          <cell r="V495">
            <v>6263</v>
          </cell>
          <cell r="W495">
            <v>3084.2468000000008</v>
          </cell>
          <cell r="X495">
            <v>0</v>
          </cell>
          <cell r="Y495">
            <v>0</v>
          </cell>
        </row>
        <row r="496">
          <cell r="D496">
            <v>10120108</v>
          </cell>
          <cell r="E496" t="str">
            <v>GOMUKH MANIKA EAST</v>
          </cell>
          <cell r="F496">
            <v>0</v>
          </cell>
          <cell r="G496" t="str">
            <v>MPG</v>
          </cell>
          <cell r="H496" t="str">
            <v>Direct</v>
          </cell>
          <cell r="I496">
            <v>1012</v>
          </cell>
          <cell r="J496" t="str">
            <v>DalsinghSarai</v>
          </cell>
          <cell r="K496" t="str">
            <v>Old</v>
          </cell>
          <cell r="L496">
            <v>45869</v>
          </cell>
          <cell r="M496">
            <v>1137.79</v>
          </cell>
          <cell r="N496">
            <v>45257.5</v>
          </cell>
          <cell r="O496">
            <v>853.34249999999997</v>
          </cell>
          <cell r="P496">
            <v>1080.9005</v>
          </cell>
          <cell r="Q496">
            <v>0</v>
          </cell>
          <cell r="R496">
            <v>1357.7249999999999</v>
          </cell>
          <cell r="S496">
            <v>276.82449999999994</v>
          </cell>
          <cell r="T496">
            <v>113.779</v>
          </cell>
          <cell r="U496">
            <v>1321.0871928638232</v>
          </cell>
          <cell r="V496">
            <v>499</v>
          </cell>
          <cell r="W496">
            <v>499</v>
          </cell>
          <cell r="X496">
            <v>0</v>
          </cell>
          <cell r="Y496">
            <v>0</v>
          </cell>
        </row>
        <row r="497">
          <cell r="D497">
            <v>10120109</v>
          </cell>
          <cell r="E497" t="str">
            <v>IMADPUR</v>
          </cell>
          <cell r="F497">
            <v>0</v>
          </cell>
          <cell r="G497" t="str">
            <v>vlc</v>
          </cell>
          <cell r="H497" t="str">
            <v>Indirect</v>
          </cell>
          <cell r="I497">
            <v>1012</v>
          </cell>
          <cell r="J497" t="str">
            <v>DalsinghSarai</v>
          </cell>
          <cell r="K497" t="str">
            <v>Old</v>
          </cell>
          <cell r="L497">
            <v>45829</v>
          </cell>
          <cell r="M497">
            <v>4023.3499999999995</v>
          </cell>
          <cell r="N497">
            <v>146345.35999999999</v>
          </cell>
          <cell r="O497">
            <v>3017.5124999999998</v>
          </cell>
          <cell r="P497">
            <v>3822.1824999999994</v>
          </cell>
          <cell r="Q497">
            <v>0</v>
          </cell>
          <cell r="R497">
            <v>4390.3607999999995</v>
          </cell>
          <cell r="S497">
            <v>568.17830000000004</v>
          </cell>
          <cell r="T497">
            <v>402.33499999999998</v>
          </cell>
          <cell r="U497">
            <v>113.65038871320226</v>
          </cell>
          <cell r="V497">
            <v>6324</v>
          </cell>
          <cell r="W497">
            <v>0</v>
          </cell>
          <cell r="X497">
            <v>0</v>
          </cell>
          <cell r="Y497">
            <v>0</v>
          </cell>
        </row>
        <row r="498">
          <cell r="D498">
            <v>10120111</v>
          </cell>
          <cell r="E498" t="str">
            <v>GOMUKH Kisanpur Tabhka</v>
          </cell>
          <cell r="F498">
            <v>0</v>
          </cell>
          <cell r="G498" t="str">
            <v>MPG</v>
          </cell>
          <cell r="H498" t="str">
            <v>Direct</v>
          </cell>
          <cell r="I498">
            <v>1012</v>
          </cell>
          <cell r="J498" t="str">
            <v>DalsinghSarai</v>
          </cell>
          <cell r="K498" t="str">
            <v>New</v>
          </cell>
          <cell r="L498">
            <v>45870</v>
          </cell>
          <cell r="M498">
            <v>3387.0400000000004</v>
          </cell>
          <cell r="N498">
            <v>139197.26</v>
          </cell>
          <cell r="O498">
            <v>2540.2800000000002</v>
          </cell>
          <cell r="P498">
            <v>3217.6880000000001</v>
          </cell>
          <cell r="Q498">
            <v>0</v>
          </cell>
          <cell r="R498">
            <v>4175.9178000000002</v>
          </cell>
          <cell r="S498">
            <v>958.22980000000007</v>
          </cell>
          <cell r="T498">
            <v>338.70400000000006</v>
          </cell>
          <cell r="U498">
            <v>0</v>
          </cell>
          <cell r="V498">
            <v>5419</v>
          </cell>
          <cell r="W498">
            <v>0</v>
          </cell>
          <cell r="X498">
            <v>0</v>
          </cell>
          <cell r="Y498">
            <v>0</v>
          </cell>
        </row>
        <row r="499">
          <cell r="D499">
            <v>10120112</v>
          </cell>
          <cell r="E499" t="str">
            <v>Gomukh Mahmaddipur East</v>
          </cell>
          <cell r="F499">
            <v>0</v>
          </cell>
          <cell r="G499" t="str">
            <v>vlc</v>
          </cell>
          <cell r="H499" t="str">
            <v>Indirect</v>
          </cell>
          <cell r="I499">
            <v>1012</v>
          </cell>
          <cell r="J499" t="str">
            <v>DalsinghSarai</v>
          </cell>
          <cell r="K499" t="str">
            <v>Old</v>
          </cell>
          <cell r="L499">
            <v>45863</v>
          </cell>
          <cell r="M499">
            <v>1210.8999999999999</v>
          </cell>
          <cell r="N499">
            <v>51663.66</v>
          </cell>
          <cell r="O499">
            <v>908.17499999999995</v>
          </cell>
          <cell r="P499">
            <v>1150.3549999999998</v>
          </cell>
          <cell r="Q499">
            <v>0</v>
          </cell>
          <cell r="R499">
            <v>1549.9098000000001</v>
          </cell>
          <cell r="S499">
            <v>399.55480000000034</v>
          </cell>
          <cell r="T499">
            <v>121.08999999999999</v>
          </cell>
          <cell r="U499">
            <v>1352.4822291306773</v>
          </cell>
          <cell r="V499">
            <v>585</v>
          </cell>
          <cell r="W499">
            <v>0</v>
          </cell>
          <cell r="X499">
            <v>0</v>
          </cell>
          <cell r="Y499">
            <v>0</v>
          </cell>
        </row>
        <row r="500">
          <cell r="D500">
            <v>10130001</v>
          </cell>
          <cell r="E500" t="str">
            <v>GOMUKH BANGHARH KISHANPUR</v>
          </cell>
          <cell r="F500">
            <v>0</v>
          </cell>
          <cell r="G500" t="str">
            <v>MPG</v>
          </cell>
          <cell r="H500" t="str">
            <v>Direct</v>
          </cell>
          <cell r="I500">
            <v>1013</v>
          </cell>
          <cell r="J500" t="str">
            <v>Musrigharari</v>
          </cell>
          <cell r="K500" t="str">
            <v>Old</v>
          </cell>
          <cell r="L500">
            <v>43622</v>
          </cell>
          <cell r="M500">
            <v>2212.8000000000002</v>
          </cell>
          <cell r="N500">
            <v>84012.24</v>
          </cell>
          <cell r="O500">
            <v>1659.6000000000001</v>
          </cell>
          <cell r="P500">
            <v>2102.16</v>
          </cell>
          <cell r="Q500">
            <v>1061.825259086</v>
          </cell>
          <cell r="R500">
            <v>2520.3672000000001</v>
          </cell>
          <cell r="S500">
            <v>418.20720000000028</v>
          </cell>
          <cell r="T500">
            <v>221.28000000000003</v>
          </cell>
          <cell r="U500">
            <v>438.14984187372704</v>
          </cell>
          <cell r="V500">
            <v>4164</v>
          </cell>
          <cell r="W500">
            <v>1861</v>
          </cell>
          <cell r="X500">
            <v>0</v>
          </cell>
          <cell r="Y500">
            <v>0</v>
          </cell>
        </row>
        <row r="501">
          <cell r="D501">
            <v>10130002</v>
          </cell>
          <cell r="E501" t="str">
            <v>Gomukh Serpur Narsari</v>
          </cell>
          <cell r="F501">
            <v>0</v>
          </cell>
          <cell r="G501" t="str">
            <v>vlc</v>
          </cell>
          <cell r="H501" t="str">
            <v>Indirect</v>
          </cell>
          <cell r="I501">
            <v>1013</v>
          </cell>
          <cell r="J501" t="str">
            <v>Musrigharari</v>
          </cell>
          <cell r="K501" t="str">
            <v>Old</v>
          </cell>
          <cell r="L501">
            <v>43756</v>
          </cell>
          <cell r="M501">
            <v>325.2</v>
          </cell>
          <cell r="N501">
            <v>12963.350000000002</v>
          </cell>
          <cell r="O501">
            <v>243.89999999999998</v>
          </cell>
          <cell r="P501">
            <v>308.94</v>
          </cell>
          <cell r="Q501">
            <v>0</v>
          </cell>
          <cell r="R501">
            <v>388.90050000000008</v>
          </cell>
          <cell r="S501">
            <v>79.960500000000081</v>
          </cell>
          <cell r="T501">
            <v>32.520000000000003</v>
          </cell>
          <cell r="U501">
            <v>520.06604034435964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>
            <v>10130003</v>
          </cell>
          <cell r="E502" t="str">
            <v>PARORIYA</v>
          </cell>
          <cell r="F502">
            <v>0</v>
          </cell>
          <cell r="G502" t="str">
            <v>MPG</v>
          </cell>
          <cell r="H502" t="str">
            <v>Direct</v>
          </cell>
          <cell r="I502">
            <v>1013</v>
          </cell>
          <cell r="J502" t="str">
            <v>Musrigharari</v>
          </cell>
          <cell r="K502" t="str">
            <v>Old</v>
          </cell>
          <cell r="L502">
            <v>43756</v>
          </cell>
          <cell r="M502">
            <v>502.69999999999993</v>
          </cell>
          <cell r="N502">
            <v>17463.93</v>
          </cell>
          <cell r="O502">
            <v>377.02499999999998</v>
          </cell>
          <cell r="P502">
            <v>477.56499999999994</v>
          </cell>
          <cell r="Q502">
            <v>297.66420295</v>
          </cell>
          <cell r="R502">
            <v>523.91790000000003</v>
          </cell>
          <cell r="S502">
            <v>46.352900000000091</v>
          </cell>
          <cell r="T502">
            <v>50.269999999999996</v>
          </cell>
          <cell r="U502">
            <v>1102.0653992565312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D503">
            <v>10130005</v>
          </cell>
          <cell r="E503" t="str">
            <v>JHAKHRA</v>
          </cell>
          <cell r="F503">
            <v>0</v>
          </cell>
          <cell r="G503" t="str">
            <v>vlc</v>
          </cell>
          <cell r="H503" t="str">
            <v>Indirect</v>
          </cell>
          <cell r="I503">
            <v>1013</v>
          </cell>
          <cell r="J503" t="str">
            <v>Musrigharari</v>
          </cell>
          <cell r="K503" t="str">
            <v>Old</v>
          </cell>
          <cell r="L503">
            <v>43758</v>
          </cell>
          <cell r="M503">
            <v>168.9</v>
          </cell>
          <cell r="N503">
            <v>5725.1100000000006</v>
          </cell>
          <cell r="O503">
            <v>126.67500000000001</v>
          </cell>
          <cell r="P503">
            <v>160.45499999999998</v>
          </cell>
          <cell r="Q503">
            <v>0</v>
          </cell>
          <cell r="R503">
            <v>171.75330000000002</v>
          </cell>
          <cell r="S503">
            <v>11.29830000000004</v>
          </cell>
          <cell r="T503">
            <v>16.89</v>
          </cell>
          <cell r="U503">
            <v>270.66015435706231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D504">
            <v>10130006</v>
          </cell>
          <cell r="E504" t="str">
            <v>GOMUKH ANDAHA</v>
          </cell>
          <cell r="F504">
            <v>0</v>
          </cell>
          <cell r="G504" t="str">
            <v>MPG</v>
          </cell>
          <cell r="H504" t="str">
            <v>Direct</v>
          </cell>
          <cell r="I504">
            <v>1013</v>
          </cell>
          <cell r="J504" t="str">
            <v>Musrigharari</v>
          </cell>
          <cell r="K504" t="str">
            <v>Old</v>
          </cell>
          <cell r="L504">
            <v>43786</v>
          </cell>
          <cell r="M504">
            <v>2859.3</v>
          </cell>
          <cell r="N504">
            <v>109867.66</v>
          </cell>
          <cell r="O504">
            <v>2144.4750000000004</v>
          </cell>
          <cell r="P504">
            <v>2716.335</v>
          </cell>
          <cell r="Q504">
            <v>861.6477255474</v>
          </cell>
          <cell r="R504">
            <v>3296.0297999999998</v>
          </cell>
          <cell r="S504">
            <v>579.69479999999976</v>
          </cell>
          <cell r="T504">
            <v>285.93</v>
          </cell>
          <cell r="U504">
            <v>69.459516455696175</v>
          </cell>
          <cell r="V504">
            <v>5367</v>
          </cell>
          <cell r="W504">
            <v>2197.3532</v>
          </cell>
          <cell r="X504">
            <v>0</v>
          </cell>
          <cell r="Y504">
            <v>0</v>
          </cell>
        </row>
        <row r="505">
          <cell r="D505">
            <v>10130008</v>
          </cell>
          <cell r="E505" t="str">
            <v>Gomukha Rohua</v>
          </cell>
          <cell r="F505">
            <v>0</v>
          </cell>
          <cell r="G505" t="str">
            <v>MPG</v>
          </cell>
          <cell r="H505" t="str">
            <v>Direct</v>
          </cell>
          <cell r="I505">
            <v>1013</v>
          </cell>
          <cell r="J505" t="str">
            <v>Musrigharari</v>
          </cell>
          <cell r="K505" t="str">
            <v>Old</v>
          </cell>
          <cell r="L505">
            <v>43913</v>
          </cell>
          <cell r="M505">
            <v>2383</v>
          </cell>
          <cell r="N505">
            <v>97444.73</v>
          </cell>
          <cell r="O505">
            <v>1787.25</v>
          </cell>
          <cell r="P505">
            <v>2263.85</v>
          </cell>
          <cell r="Q505">
            <v>1277.2452296659601</v>
          </cell>
          <cell r="R505">
            <v>2923.3418999999999</v>
          </cell>
          <cell r="S505">
            <v>659.49189999999999</v>
          </cell>
          <cell r="T505">
            <v>238.3</v>
          </cell>
          <cell r="U505">
            <v>338.90963429202594</v>
          </cell>
          <cell r="V505">
            <v>4751</v>
          </cell>
          <cell r="W505">
            <v>0</v>
          </cell>
          <cell r="X505">
            <v>1948.8945999999999</v>
          </cell>
          <cell r="Y505">
            <v>0</v>
          </cell>
        </row>
        <row r="506">
          <cell r="D506">
            <v>10130012</v>
          </cell>
          <cell r="E506" t="str">
            <v>Gomukha Arniya Ganj</v>
          </cell>
          <cell r="F506">
            <v>0</v>
          </cell>
          <cell r="G506" t="str">
            <v>MPG</v>
          </cell>
          <cell r="H506" t="str">
            <v>Direct</v>
          </cell>
          <cell r="I506">
            <v>1013</v>
          </cell>
          <cell r="J506" t="str">
            <v>Musrigharari</v>
          </cell>
          <cell r="K506" t="str">
            <v>Old</v>
          </cell>
          <cell r="L506">
            <v>44102</v>
          </cell>
          <cell r="M506">
            <v>11863.099999999999</v>
          </cell>
          <cell r="N506">
            <v>446783.95999999996</v>
          </cell>
          <cell r="O506">
            <v>8897.3249999999989</v>
          </cell>
          <cell r="P506">
            <v>11269.944999999998</v>
          </cell>
          <cell r="Q506">
            <v>5080.2953190800008</v>
          </cell>
          <cell r="R506">
            <v>13403.518799999998</v>
          </cell>
          <cell r="S506">
            <v>2133.5738000000001</v>
          </cell>
          <cell r="T506">
            <v>1186.31</v>
          </cell>
          <cell r="U506">
            <v>0</v>
          </cell>
          <cell r="V506">
            <v>24061</v>
          </cell>
          <cell r="W506">
            <v>0</v>
          </cell>
          <cell r="X506">
            <v>1093.6411999999982</v>
          </cell>
          <cell r="Y506">
            <v>0</v>
          </cell>
        </row>
        <row r="507">
          <cell r="D507">
            <v>10130013</v>
          </cell>
          <cell r="E507" t="str">
            <v>Gomukh Sarmaspur</v>
          </cell>
          <cell r="F507">
            <v>0</v>
          </cell>
          <cell r="G507" t="str">
            <v>vlc</v>
          </cell>
          <cell r="H507" t="str">
            <v>Indirect</v>
          </cell>
          <cell r="I507">
            <v>1013</v>
          </cell>
          <cell r="J507" t="str">
            <v>Musrigharari</v>
          </cell>
          <cell r="K507" t="str">
            <v>Old</v>
          </cell>
          <cell r="L507">
            <v>44123</v>
          </cell>
          <cell r="M507">
            <v>149.80000000000001</v>
          </cell>
          <cell r="N507">
            <v>5220.0200000000004</v>
          </cell>
          <cell r="O507">
            <v>112.35000000000001</v>
          </cell>
          <cell r="P507">
            <v>142.31</v>
          </cell>
          <cell r="Q507">
            <v>0</v>
          </cell>
          <cell r="R507">
            <v>156.60060000000001</v>
          </cell>
          <cell r="S507">
            <v>14.290600000000012</v>
          </cell>
          <cell r="T507">
            <v>14.980000000000002</v>
          </cell>
          <cell r="U507">
            <v>239.19219815736471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D508">
            <v>10130014</v>
          </cell>
          <cell r="E508" t="str">
            <v>Gomukh Tara Dhamaun Dakshini</v>
          </cell>
          <cell r="F508">
            <v>0</v>
          </cell>
          <cell r="G508" t="str">
            <v>vlc</v>
          </cell>
          <cell r="H508" t="str">
            <v>Indirect</v>
          </cell>
          <cell r="I508">
            <v>1013</v>
          </cell>
          <cell r="J508" t="str">
            <v>Musrigharari</v>
          </cell>
          <cell r="K508" t="str">
            <v>Old</v>
          </cell>
          <cell r="L508">
            <v>44135</v>
          </cell>
          <cell r="M508">
            <v>614.29999999999995</v>
          </cell>
          <cell r="N508">
            <v>26553.379999999997</v>
          </cell>
          <cell r="O508">
            <v>460.72499999999997</v>
          </cell>
          <cell r="P508">
            <v>583.58499999999992</v>
          </cell>
          <cell r="Q508">
            <v>0</v>
          </cell>
          <cell r="R508">
            <v>796.6013999999999</v>
          </cell>
          <cell r="S508">
            <v>213.01639999999998</v>
          </cell>
          <cell r="T508">
            <v>61.43</v>
          </cell>
          <cell r="U508">
            <v>983.00836935678421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</row>
        <row r="509">
          <cell r="D509">
            <v>10130015</v>
          </cell>
          <cell r="E509" t="str">
            <v>Gomukha Vishanupatti II</v>
          </cell>
          <cell r="F509">
            <v>0</v>
          </cell>
          <cell r="G509" t="str">
            <v>vlc</v>
          </cell>
          <cell r="H509" t="str">
            <v>Indirect</v>
          </cell>
          <cell r="I509">
            <v>1013</v>
          </cell>
          <cell r="J509" t="str">
            <v>Musrigharari</v>
          </cell>
          <cell r="K509" t="str">
            <v>Old</v>
          </cell>
          <cell r="L509">
            <v>44225</v>
          </cell>
          <cell r="M509">
            <v>3010.7</v>
          </cell>
          <cell r="N509">
            <v>114461.79000000001</v>
          </cell>
          <cell r="O509">
            <v>2258.0249999999996</v>
          </cell>
          <cell r="P509">
            <v>2860.1649999999995</v>
          </cell>
          <cell r="Q509">
            <v>0</v>
          </cell>
          <cell r="R509">
            <v>3433.8537000000001</v>
          </cell>
          <cell r="S509">
            <v>573.68870000000061</v>
          </cell>
          <cell r="T509">
            <v>301.07</v>
          </cell>
          <cell r="U509">
            <v>15.474371079369726</v>
          </cell>
          <cell r="V509">
            <v>4802</v>
          </cell>
          <cell r="W509">
            <v>0</v>
          </cell>
          <cell r="X509">
            <v>0</v>
          </cell>
          <cell r="Y509">
            <v>4802</v>
          </cell>
        </row>
        <row r="510">
          <cell r="D510">
            <v>10130016</v>
          </cell>
          <cell r="E510" t="str">
            <v>Gomukh Khesarhiya</v>
          </cell>
          <cell r="F510">
            <v>0</v>
          </cell>
          <cell r="G510" t="str">
            <v>vlc</v>
          </cell>
          <cell r="H510" t="str">
            <v>Indirect</v>
          </cell>
          <cell r="I510">
            <v>1013</v>
          </cell>
          <cell r="J510" t="str">
            <v>Musrigharari</v>
          </cell>
          <cell r="K510" t="str">
            <v>Old</v>
          </cell>
          <cell r="L510">
            <v>44256</v>
          </cell>
          <cell r="M510">
            <v>82.5</v>
          </cell>
          <cell r="N510">
            <v>3047.72</v>
          </cell>
          <cell r="O510">
            <v>61.875</v>
          </cell>
          <cell r="P510">
            <v>78.375</v>
          </cell>
          <cell r="Q510">
            <v>0</v>
          </cell>
          <cell r="R510">
            <v>91.431599999999989</v>
          </cell>
          <cell r="S510">
            <v>13.056599999999989</v>
          </cell>
          <cell r="T510">
            <v>8.25</v>
          </cell>
          <cell r="U510">
            <v>131.96380754716984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</row>
        <row r="511">
          <cell r="D511">
            <v>10130018</v>
          </cell>
          <cell r="E511" t="str">
            <v>Harsingpur</v>
          </cell>
          <cell r="F511">
            <v>0</v>
          </cell>
          <cell r="G511" t="str">
            <v>vlc</v>
          </cell>
          <cell r="H511" t="str">
            <v>Indirect</v>
          </cell>
          <cell r="I511">
            <v>1013</v>
          </cell>
          <cell r="J511" t="str">
            <v>Musrigharari</v>
          </cell>
          <cell r="K511" t="str">
            <v>Old</v>
          </cell>
          <cell r="L511">
            <v>44699</v>
          </cell>
          <cell r="M511">
            <v>2638.2999999999997</v>
          </cell>
          <cell r="N511">
            <v>83429.17</v>
          </cell>
          <cell r="O511">
            <v>1978.7249999999999</v>
          </cell>
          <cell r="P511">
            <v>2506.3849999999998</v>
          </cell>
          <cell r="Q511">
            <v>0</v>
          </cell>
          <cell r="R511">
            <v>2502.8750999999997</v>
          </cell>
          <cell r="S511">
            <v>-3.509900000000016</v>
          </cell>
          <cell r="T511">
            <v>263.83</v>
          </cell>
          <cell r="U511">
            <v>162.3838794561851</v>
          </cell>
          <cell r="V511">
            <v>4059</v>
          </cell>
          <cell r="W511">
            <v>0</v>
          </cell>
          <cell r="X511">
            <v>0</v>
          </cell>
          <cell r="Y511">
            <v>0</v>
          </cell>
        </row>
        <row r="512">
          <cell r="D512">
            <v>10130020</v>
          </cell>
          <cell r="E512" t="str">
            <v>Gomukh ID Mahathi</v>
          </cell>
          <cell r="F512">
            <v>0</v>
          </cell>
          <cell r="G512" t="str">
            <v>vlc</v>
          </cell>
          <cell r="H512" t="str">
            <v>Indirect</v>
          </cell>
          <cell r="I512">
            <v>1013</v>
          </cell>
          <cell r="J512" t="str">
            <v>Musrigharari</v>
          </cell>
          <cell r="K512" t="str">
            <v>Old</v>
          </cell>
          <cell r="L512">
            <v>44724</v>
          </cell>
          <cell r="M512">
            <v>1680.5</v>
          </cell>
          <cell r="N512">
            <v>61813.49</v>
          </cell>
          <cell r="O512">
            <v>1260.375</v>
          </cell>
          <cell r="P512">
            <v>1596.4749999999999</v>
          </cell>
          <cell r="Q512">
            <v>0</v>
          </cell>
          <cell r="R512">
            <v>1854.4046999999998</v>
          </cell>
          <cell r="S512">
            <v>257.92969999999991</v>
          </cell>
          <cell r="T512">
            <v>168.05</v>
          </cell>
          <cell r="U512">
            <v>823.00678522173587</v>
          </cell>
          <cell r="V512">
            <v>1866</v>
          </cell>
          <cell r="W512">
            <v>0</v>
          </cell>
          <cell r="X512">
            <v>0</v>
          </cell>
          <cell r="Y512">
            <v>0</v>
          </cell>
        </row>
        <row r="513">
          <cell r="D513">
            <v>10130025</v>
          </cell>
          <cell r="E513" t="str">
            <v>MURTUJAPUR</v>
          </cell>
          <cell r="F513">
            <v>0</v>
          </cell>
          <cell r="G513" t="str">
            <v>vlc</v>
          </cell>
          <cell r="H513" t="str">
            <v>Indirect</v>
          </cell>
          <cell r="I513">
            <v>1013</v>
          </cell>
          <cell r="J513" t="str">
            <v>Musrigharari</v>
          </cell>
          <cell r="K513" t="str">
            <v>Old</v>
          </cell>
          <cell r="L513">
            <v>44949</v>
          </cell>
          <cell r="M513">
            <v>986.5</v>
          </cell>
          <cell r="N513">
            <v>42522.66</v>
          </cell>
          <cell r="O513">
            <v>739.875</v>
          </cell>
          <cell r="P513">
            <v>937.17499999999995</v>
          </cell>
          <cell r="Q513">
            <v>0</v>
          </cell>
          <cell r="R513">
            <v>1275.6798000000001</v>
          </cell>
          <cell r="S513">
            <v>338.50480000000016</v>
          </cell>
          <cell r="T513">
            <v>98.65</v>
          </cell>
          <cell r="U513">
            <v>1568.1696877002028</v>
          </cell>
          <cell r="V513">
            <v>10</v>
          </cell>
          <cell r="W513">
            <v>10</v>
          </cell>
          <cell r="X513">
            <v>0</v>
          </cell>
          <cell r="Y513">
            <v>0</v>
          </cell>
        </row>
        <row r="514">
          <cell r="D514">
            <v>10130026</v>
          </cell>
          <cell r="E514" t="str">
            <v>Rasalpur</v>
          </cell>
          <cell r="F514">
            <v>0</v>
          </cell>
          <cell r="G514" t="str">
            <v>MPG</v>
          </cell>
          <cell r="H514" t="str">
            <v>Direct</v>
          </cell>
          <cell r="I514">
            <v>1013</v>
          </cell>
          <cell r="J514" t="str">
            <v>Musrigharari</v>
          </cell>
          <cell r="K514" t="str">
            <v>Old</v>
          </cell>
          <cell r="L514">
            <v>44982</v>
          </cell>
          <cell r="M514">
            <v>1231.4000000000001</v>
          </cell>
          <cell r="N514">
            <v>48200.11</v>
          </cell>
          <cell r="O514">
            <v>923.55000000000007</v>
          </cell>
          <cell r="P514">
            <v>1169.83</v>
          </cell>
          <cell r="Q514">
            <v>370.28510903170007</v>
          </cell>
          <cell r="R514">
            <v>1446.0032999999999</v>
          </cell>
          <cell r="S514">
            <v>276.17329999999993</v>
          </cell>
          <cell r="T514">
            <v>123.14000000000001</v>
          </cell>
          <cell r="U514">
            <v>1251.3967964493913</v>
          </cell>
          <cell r="V514">
            <v>1089</v>
          </cell>
          <cell r="W514">
            <v>1089</v>
          </cell>
          <cell r="X514">
            <v>0</v>
          </cell>
          <cell r="Y514">
            <v>0</v>
          </cell>
        </row>
        <row r="515">
          <cell r="D515">
            <v>10130027</v>
          </cell>
          <cell r="E515" t="str">
            <v>Gomukh VISHNUPATTI</v>
          </cell>
          <cell r="F515">
            <v>0</v>
          </cell>
          <cell r="G515" t="str">
            <v>vlc</v>
          </cell>
          <cell r="H515" t="str">
            <v>Indirect</v>
          </cell>
          <cell r="I515">
            <v>1013</v>
          </cell>
          <cell r="J515" t="str">
            <v>Musrigharari</v>
          </cell>
          <cell r="K515" t="str">
            <v>Old</v>
          </cell>
          <cell r="L515">
            <v>43846</v>
          </cell>
          <cell r="M515">
            <v>45.6</v>
          </cell>
          <cell r="N515">
            <v>2770.84</v>
          </cell>
          <cell r="O515">
            <v>34.200000000000003</v>
          </cell>
          <cell r="P515">
            <v>43.32</v>
          </cell>
          <cell r="Q515">
            <v>0</v>
          </cell>
          <cell r="R515">
            <v>83.125200000000007</v>
          </cell>
          <cell r="S515">
            <v>39.805200000000006</v>
          </cell>
          <cell r="T515">
            <v>4.5600000000000005</v>
          </cell>
          <cell r="U515">
            <v>73.089964108992262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</row>
        <row r="516">
          <cell r="D516">
            <v>10130030</v>
          </cell>
          <cell r="E516" t="str">
            <v xml:space="preserve">Chhuchhipur                                                                                         </v>
          </cell>
          <cell r="F516">
            <v>0</v>
          </cell>
          <cell r="G516" t="str">
            <v>MPG</v>
          </cell>
          <cell r="H516" t="str">
            <v>Direct</v>
          </cell>
          <cell r="I516">
            <v>1013</v>
          </cell>
          <cell r="J516" t="str">
            <v>Musrigharari</v>
          </cell>
          <cell r="K516" t="str">
            <v>Old</v>
          </cell>
          <cell r="L516">
            <v>45038</v>
          </cell>
          <cell r="M516">
            <v>943.89999999999986</v>
          </cell>
          <cell r="N516">
            <v>29789.229999999996</v>
          </cell>
          <cell r="O516">
            <v>707.92499999999995</v>
          </cell>
          <cell r="P516">
            <v>896.70499999999981</v>
          </cell>
          <cell r="Q516">
            <v>30.83</v>
          </cell>
          <cell r="R516">
            <v>893.67689999999982</v>
          </cell>
          <cell r="S516">
            <v>-3.0280999999999949</v>
          </cell>
          <cell r="T516">
            <v>94.389999999999986</v>
          </cell>
          <cell r="U516">
            <v>1162.5551125926179</v>
          </cell>
          <cell r="V516">
            <v>379</v>
          </cell>
          <cell r="W516">
            <v>0</v>
          </cell>
          <cell r="X516">
            <v>379</v>
          </cell>
          <cell r="Y516">
            <v>0</v>
          </cell>
        </row>
        <row r="517">
          <cell r="D517">
            <v>10130031</v>
          </cell>
          <cell r="E517" t="str">
            <v>Gomukh ID Sararanjan</v>
          </cell>
          <cell r="F517">
            <v>0</v>
          </cell>
          <cell r="G517" t="str">
            <v>vlc</v>
          </cell>
          <cell r="H517" t="str">
            <v>Indirect</v>
          </cell>
          <cell r="I517">
            <v>1013</v>
          </cell>
          <cell r="J517" t="str">
            <v>Musrigharari</v>
          </cell>
          <cell r="K517" t="str">
            <v>Old</v>
          </cell>
          <cell r="L517">
            <v>45074</v>
          </cell>
          <cell r="M517">
            <v>1336.2000000000003</v>
          </cell>
          <cell r="N517">
            <v>49354.59</v>
          </cell>
          <cell r="O517">
            <v>1002.1500000000002</v>
          </cell>
          <cell r="P517">
            <v>1269.3900000000001</v>
          </cell>
          <cell r="Q517">
            <v>0</v>
          </cell>
          <cell r="R517">
            <v>1480.6376999999998</v>
          </cell>
          <cell r="S517">
            <v>211.24769999999967</v>
          </cell>
          <cell r="T517">
            <v>133.62000000000003</v>
          </cell>
          <cell r="U517">
            <v>1075.4175910351651</v>
          </cell>
          <cell r="V517">
            <v>1063</v>
          </cell>
          <cell r="W517">
            <v>0</v>
          </cell>
          <cell r="X517">
            <v>0</v>
          </cell>
          <cell r="Y517">
            <v>0</v>
          </cell>
        </row>
        <row r="518">
          <cell r="D518">
            <v>10130032</v>
          </cell>
          <cell r="E518" t="str">
            <v xml:space="preserve">Gomukh Soharthi Purvi Tola                                                                          </v>
          </cell>
          <cell r="F518">
            <v>0</v>
          </cell>
          <cell r="G518" t="str">
            <v>MPG</v>
          </cell>
          <cell r="H518" t="str">
            <v>Direct</v>
          </cell>
          <cell r="I518">
            <v>1013</v>
          </cell>
          <cell r="J518" t="str">
            <v>Musrigharari</v>
          </cell>
          <cell r="K518" t="str">
            <v>Old</v>
          </cell>
          <cell r="L518">
            <v>45076</v>
          </cell>
          <cell r="M518">
            <v>514.4</v>
          </cell>
          <cell r="N518">
            <v>18321.010000000002</v>
          </cell>
          <cell r="O518">
            <v>385.79999999999995</v>
          </cell>
          <cell r="P518">
            <v>488.67999999999995</v>
          </cell>
          <cell r="Q518">
            <v>0</v>
          </cell>
          <cell r="R518">
            <v>549.63030000000003</v>
          </cell>
          <cell r="S518">
            <v>60.950300000000084</v>
          </cell>
          <cell r="T518">
            <v>51.44</v>
          </cell>
          <cell r="U518">
            <v>822.5742283652155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</row>
        <row r="519">
          <cell r="D519">
            <v>10130040</v>
          </cell>
          <cell r="E519" t="str">
            <v>Birnama</v>
          </cell>
          <cell r="F519">
            <v>0</v>
          </cell>
          <cell r="G519" t="str">
            <v>vlc</v>
          </cell>
          <cell r="H519" t="str">
            <v>Indirect</v>
          </cell>
          <cell r="I519">
            <v>1013</v>
          </cell>
          <cell r="J519" t="str">
            <v>Musrigharari</v>
          </cell>
          <cell r="K519" t="str">
            <v>Old</v>
          </cell>
          <cell r="L519">
            <v>45151</v>
          </cell>
          <cell r="M519">
            <v>14180.100000000002</v>
          </cell>
          <cell r="N519">
            <v>395623.26</v>
          </cell>
          <cell r="O519">
            <v>10635.075000000001</v>
          </cell>
          <cell r="P519">
            <v>13471.095000000001</v>
          </cell>
          <cell r="Q519">
            <v>0</v>
          </cell>
          <cell r="R519">
            <v>11868.6978</v>
          </cell>
          <cell r="S519">
            <v>-1602.3972000000012</v>
          </cell>
          <cell r="T519">
            <v>1418.0100000000002</v>
          </cell>
          <cell r="U519">
            <v>0</v>
          </cell>
          <cell r="V519">
            <v>22688</v>
          </cell>
          <cell r="W519">
            <v>0</v>
          </cell>
          <cell r="X519">
            <v>0</v>
          </cell>
          <cell r="Y519">
            <v>0</v>
          </cell>
        </row>
        <row r="520">
          <cell r="D520">
            <v>10130041</v>
          </cell>
          <cell r="E520" t="str">
            <v>Maraie - Rubi</v>
          </cell>
          <cell r="F520">
            <v>0</v>
          </cell>
          <cell r="G520" t="str">
            <v>vlc</v>
          </cell>
          <cell r="H520" t="str">
            <v>Indirect</v>
          </cell>
          <cell r="I520">
            <v>1013</v>
          </cell>
          <cell r="J520" t="str">
            <v>Musrigharari</v>
          </cell>
          <cell r="K520" t="str">
            <v>Old</v>
          </cell>
          <cell r="L520">
            <v>44911</v>
          </cell>
          <cell r="M520">
            <v>280.89999999999998</v>
          </cell>
          <cell r="N520">
            <v>9128.2199999999993</v>
          </cell>
          <cell r="O520">
            <v>210.67499999999998</v>
          </cell>
          <cell r="P520">
            <v>266.85499999999996</v>
          </cell>
          <cell r="Q520">
            <v>0</v>
          </cell>
          <cell r="R520">
            <v>273.84659999999997</v>
          </cell>
          <cell r="S520">
            <v>6.9916000000000054</v>
          </cell>
          <cell r="T520">
            <v>28.09</v>
          </cell>
          <cell r="U520">
            <v>449.04789939244756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</row>
        <row r="521">
          <cell r="D521">
            <v>10130042</v>
          </cell>
          <cell r="E521" t="str">
            <v>Arniya East Tola - Seema</v>
          </cell>
          <cell r="F521">
            <v>0</v>
          </cell>
          <cell r="G521" t="str">
            <v>vlc</v>
          </cell>
          <cell r="H521" t="str">
            <v>Indirect</v>
          </cell>
          <cell r="I521">
            <v>1013</v>
          </cell>
          <cell r="J521" t="str">
            <v>Musrigharari</v>
          </cell>
          <cell r="K521" t="str">
            <v>Old</v>
          </cell>
          <cell r="L521">
            <v>45212</v>
          </cell>
          <cell r="M521">
            <v>258.89999999999998</v>
          </cell>
          <cell r="N521">
            <v>8796.8000000000011</v>
          </cell>
          <cell r="O521">
            <v>194.17499999999998</v>
          </cell>
          <cell r="P521">
            <v>245.95499999999996</v>
          </cell>
          <cell r="Q521">
            <v>0</v>
          </cell>
          <cell r="R521">
            <v>263.904</v>
          </cell>
          <cell r="S521">
            <v>17.949000000000041</v>
          </cell>
          <cell r="T521">
            <v>25.89</v>
          </cell>
          <cell r="U521">
            <v>414.04143298472468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D522">
            <v>10130044</v>
          </cell>
          <cell r="E522" t="str">
            <v>Lakshmipur Western Tol - Rajeev</v>
          </cell>
          <cell r="F522">
            <v>0</v>
          </cell>
          <cell r="G522" t="str">
            <v>MPG</v>
          </cell>
          <cell r="H522" t="str">
            <v>Indirect</v>
          </cell>
          <cell r="I522">
            <v>1013</v>
          </cell>
          <cell r="J522" t="str">
            <v>Musrigharari</v>
          </cell>
          <cell r="K522" t="str">
            <v>Old</v>
          </cell>
          <cell r="L522">
            <v>44915</v>
          </cell>
          <cell r="M522">
            <v>8356.1999999999989</v>
          </cell>
          <cell r="N522">
            <v>366314.29</v>
          </cell>
          <cell r="O522">
            <v>6267.15</v>
          </cell>
          <cell r="P522">
            <v>7938.3899999999985</v>
          </cell>
          <cell r="Q522">
            <v>183.54</v>
          </cell>
          <cell r="R522">
            <v>10989.428699999999</v>
          </cell>
          <cell r="S522">
            <v>3051.0387000000001</v>
          </cell>
          <cell r="T522">
            <v>835.61999999999989</v>
          </cell>
          <cell r="U522">
            <v>0</v>
          </cell>
          <cell r="V522">
            <v>13553</v>
          </cell>
          <cell r="W522">
            <v>0</v>
          </cell>
          <cell r="X522">
            <v>0</v>
          </cell>
          <cell r="Y522">
            <v>0</v>
          </cell>
        </row>
        <row r="523">
          <cell r="D523">
            <v>10130046</v>
          </cell>
          <cell r="E523" t="str">
            <v>Jahangipur Salkhanni</v>
          </cell>
          <cell r="F523">
            <v>0</v>
          </cell>
          <cell r="G523" t="str">
            <v>MPG</v>
          </cell>
          <cell r="H523" t="str">
            <v>Direct</v>
          </cell>
          <cell r="I523">
            <v>1013</v>
          </cell>
          <cell r="J523" t="str">
            <v>Musrigharari</v>
          </cell>
          <cell r="K523" t="str">
            <v>Old</v>
          </cell>
          <cell r="L523">
            <v>45238</v>
          </cell>
          <cell r="M523">
            <v>2092.4</v>
          </cell>
          <cell r="N523">
            <v>89796.450000000012</v>
          </cell>
          <cell r="O523">
            <v>1569.3000000000002</v>
          </cell>
          <cell r="P523">
            <v>1987.78</v>
          </cell>
          <cell r="Q523">
            <v>1206.6192737355459</v>
          </cell>
          <cell r="R523">
            <v>2693.8935000000001</v>
          </cell>
          <cell r="S523">
            <v>706.11350000000016</v>
          </cell>
          <cell r="T523">
            <v>209.24</v>
          </cell>
          <cell r="U523">
            <v>607.62214200889321</v>
          </cell>
          <cell r="V523">
            <v>3947</v>
          </cell>
          <cell r="W523">
            <v>1861</v>
          </cell>
          <cell r="X523">
            <v>0</v>
          </cell>
          <cell r="Y523">
            <v>0</v>
          </cell>
        </row>
        <row r="524">
          <cell r="D524">
            <v>10130047</v>
          </cell>
          <cell r="E524" t="str">
            <v>Sekhpura</v>
          </cell>
          <cell r="F524">
            <v>0</v>
          </cell>
          <cell r="G524" t="str">
            <v>MPG</v>
          </cell>
          <cell r="H524" t="str">
            <v>Direct</v>
          </cell>
          <cell r="I524">
            <v>1013</v>
          </cell>
          <cell r="J524" t="str">
            <v>Musrigharari</v>
          </cell>
          <cell r="K524" t="str">
            <v>Old</v>
          </cell>
          <cell r="L524">
            <v>45232</v>
          </cell>
          <cell r="M524">
            <v>757.2</v>
          </cell>
          <cell r="N524">
            <v>31835</v>
          </cell>
          <cell r="O524">
            <v>567.90000000000009</v>
          </cell>
          <cell r="P524">
            <v>719.34</v>
          </cell>
          <cell r="Q524">
            <v>510.74323298800005</v>
          </cell>
          <cell r="R524">
            <v>955.05</v>
          </cell>
          <cell r="S524">
            <v>235.70999999999992</v>
          </cell>
          <cell r="T524">
            <v>75.720000000000013</v>
          </cell>
          <cell r="U524">
            <v>1718.87884122374</v>
          </cell>
          <cell r="V524">
            <v>3</v>
          </cell>
          <cell r="W524">
            <v>3</v>
          </cell>
          <cell r="X524">
            <v>0</v>
          </cell>
          <cell r="Y524">
            <v>0</v>
          </cell>
        </row>
        <row r="525">
          <cell r="D525">
            <v>10130052</v>
          </cell>
          <cell r="E525" t="str">
            <v>Songar</v>
          </cell>
          <cell r="F525">
            <v>0</v>
          </cell>
          <cell r="G525" t="str">
            <v>MPG</v>
          </cell>
          <cell r="H525" t="str">
            <v>Direct</v>
          </cell>
          <cell r="I525">
            <v>1013</v>
          </cell>
          <cell r="J525" t="str">
            <v>Musrigharari</v>
          </cell>
          <cell r="K525" t="str">
            <v>Old</v>
          </cell>
          <cell r="L525">
            <v>45392</v>
          </cell>
          <cell r="M525">
            <v>5406.2000000000007</v>
          </cell>
          <cell r="N525">
            <v>199736.5</v>
          </cell>
          <cell r="O525">
            <v>4054.6500000000005</v>
          </cell>
          <cell r="P525">
            <v>5135.8900000000003</v>
          </cell>
          <cell r="Q525">
            <v>2007.7543423942002</v>
          </cell>
          <cell r="R525">
            <v>5992.0949999999993</v>
          </cell>
          <cell r="S525">
            <v>856.20499999999902</v>
          </cell>
          <cell r="T525">
            <v>540.62000000000012</v>
          </cell>
          <cell r="U525">
            <v>0</v>
          </cell>
          <cell r="V525">
            <v>10658</v>
          </cell>
          <cell r="W525">
            <v>3994.73</v>
          </cell>
          <cell r="X525">
            <v>0</v>
          </cell>
          <cell r="Y525">
            <v>0</v>
          </cell>
        </row>
        <row r="526">
          <cell r="D526">
            <v>10130054</v>
          </cell>
          <cell r="E526" t="str">
            <v>Rampur Maheshpur</v>
          </cell>
          <cell r="F526">
            <v>0</v>
          </cell>
          <cell r="G526" t="str">
            <v>MPG</v>
          </cell>
          <cell r="H526" t="str">
            <v>Direct</v>
          </cell>
          <cell r="I526">
            <v>1013</v>
          </cell>
          <cell r="J526" t="str">
            <v>Musrigharari</v>
          </cell>
          <cell r="K526" t="str">
            <v>Old</v>
          </cell>
          <cell r="L526">
            <v>45392</v>
          </cell>
          <cell r="M526">
            <v>3847.7999999999997</v>
          </cell>
          <cell r="N526">
            <v>153914.18</v>
          </cell>
          <cell r="O526">
            <v>2885.85</v>
          </cell>
          <cell r="P526">
            <v>3655.4099999999994</v>
          </cell>
          <cell r="Q526">
            <v>709.22262450320011</v>
          </cell>
          <cell r="R526">
            <v>4617.4253999999992</v>
          </cell>
          <cell r="S526">
            <v>962.01539999999977</v>
          </cell>
          <cell r="T526">
            <v>384.78</v>
          </cell>
          <cell r="U526">
            <v>0</v>
          </cell>
          <cell r="V526">
            <v>6866</v>
          </cell>
          <cell r="W526">
            <v>3078.2835999999998</v>
          </cell>
          <cell r="X526">
            <v>0</v>
          </cell>
          <cell r="Y526">
            <v>0</v>
          </cell>
        </row>
        <row r="527">
          <cell r="D527">
            <v>10130058</v>
          </cell>
          <cell r="E527" t="str">
            <v>Godhiyari</v>
          </cell>
          <cell r="F527">
            <v>0</v>
          </cell>
          <cell r="G527" t="str">
            <v>vlc</v>
          </cell>
          <cell r="H527" t="str">
            <v>Indirect</v>
          </cell>
          <cell r="I527">
            <v>1013</v>
          </cell>
          <cell r="J527" t="str">
            <v>Musrigharari</v>
          </cell>
          <cell r="K527" t="str">
            <v>Old</v>
          </cell>
          <cell r="L527">
            <v>45412</v>
          </cell>
          <cell r="M527">
            <v>1173.8</v>
          </cell>
          <cell r="N527">
            <v>41565.86</v>
          </cell>
          <cell r="O527">
            <v>880.34999999999991</v>
          </cell>
          <cell r="P527">
            <v>1115.1099999999999</v>
          </cell>
          <cell r="Q527">
            <v>0</v>
          </cell>
          <cell r="R527">
            <v>1246.9757999999999</v>
          </cell>
          <cell r="S527">
            <v>131.86580000000004</v>
          </cell>
          <cell r="T527">
            <v>117.38</v>
          </cell>
          <cell r="U527">
            <v>1151.1505231723834</v>
          </cell>
          <cell r="V527">
            <v>727</v>
          </cell>
          <cell r="W527">
            <v>0</v>
          </cell>
          <cell r="X527">
            <v>0</v>
          </cell>
          <cell r="Y527">
            <v>0</v>
          </cell>
        </row>
        <row r="528">
          <cell r="D528">
            <v>10130063</v>
          </cell>
          <cell r="E528" t="str">
            <v>Rampur-Pappu</v>
          </cell>
          <cell r="F528">
            <v>0</v>
          </cell>
          <cell r="G528" t="str">
            <v>vlc</v>
          </cell>
          <cell r="H528" t="str">
            <v>Indirect</v>
          </cell>
          <cell r="I528">
            <v>1013</v>
          </cell>
          <cell r="J528" t="str">
            <v>Musrigharari</v>
          </cell>
          <cell r="K528" t="str">
            <v>Old</v>
          </cell>
          <cell r="L528">
            <v>45444</v>
          </cell>
          <cell r="M528">
            <v>743.20000000000016</v>
          </cell>
          <cell r="N528">
            <v>22790.3</v>
          </cell>
          <cell r="O528">
            <v>557.40000000000009</v>
          </cell>
          <cell r="P528">
            <v>706.04000000000008</v>
          </cell>
          <cell r="Q528">
            <v>0</v>
          </cell>
          <cell r="R528">
            <v>683.70899999999995</v>
          </cell>
          <cell r="S528">
            <v>-22.331000000000131</v>
          </cell>
          <cell r="T528">
            <v>74.320000000000022</v>
          </cell>
          <cell r="U528">
            <v>1188.929717607457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</row>
        <row r="529">
          <cell r="D529">
            <v>10130065</v>
          </cell>
          <cell r="E529" t="str">
            <v>Jhakhra-Rambilash</v>
          </cell>
          <cell r="F529">
            <v>0</v>
          </cell>
          <cell r="G529" t="str">
            <v>vlc</v>
          </cell>
          <cell r="H529" t="str">
            <v>Indirect</v>
          </cell>
          <cell r="I529">
            <v>1013</v>
          </cell>
          <cell r="J529" t="str">
            <v>Musrigharari</v>
          </cell>
          <cell r="K529" t="str">
            <v>Old</v>
          </cell>
          <cell r="L529">
            <v>45440</v>
          </cell>
          <cell r="M529">
            <v>1545.1</v>
          </cell>
          <cell r="N529">
            <v>63860.899999999994</v>
          </cell>
          <cell r="O529">
            <v>1158.8249999999998</v>
          </cell>
          <cell r="P529">
            <v>1467.8449999999998</v>
          </cell>
          <cell r="Q529">
            <v>0</v>
          </cell>
          <cell r="R529">
            <v>1915.8269999999998</v>
          </cell>
          <cell r="S529">
            <v>447.98199999999997</v>
          </cell>
          <cell r="T529">
            <v>154.51</v>
          </cell>
          <cell r="U529">
            <v>1040.0737793027188</v>
          </cell>
          <cell r="V529">
            <v>1432</v>
          </cell>
          <cell r="W529">
            <v>0</v>
          </cell>
          <cell r="X529">
            <v>0</v>
          </cell>
          <cell r="Y529">
            <v>0</v>
          </cell>
        </row>
        <row r="530">
          <cell r="D530">
            <v>10130070</v>
          </cell>
          <cell r="E530" t="str">
            <v>Chaksikandar East</v>
          </cell>
          <cell r="F530">
            <v>0</v>
          </cell>
          <cell r="G530" t="str">
            <v>MPG</v>
          </cell>
          <cell r="H530" t="str">
            <v>Direct</v>
          </cell>
          <cell r="I530">
            <v>1013</v>
          </cell>
          <cell r="J530" t="str">
            <v>Musrigharari</v>
          </cell>
          <cell r="K530" t="str">
            <v>Old</v>
          </cell>
          <cell r="L530">
            <v>45536</v>
          </cell>
          <cell r="M530">
            <v>1364.8999999999999</v>
          </cell>
          <cell r="N530">
            <v>55761.240000000005</v>
          </cell>
          <cell r="O530">
            <v>1023.675</v>
          </cell>
          <cell r="P530">
            <v>1296.6549999999997</v>
          </cell>
          <cell r="Q530">
            <v>8.2106164800000005</v>
          </cell>
          <cell r="R530">
            <v>1672.8372000000002</v>
          </cell>
          <cell r="S530">
            <v>376.18220000000042</v>
          </cell>
          <cell r="T530">
            <v>136.48999999999998</v>
          </cell>
          <cell r="U530">
            <v>1173.959412754828</v>
          </cell>
          <cell r="V530">
            <v>1018</v>
          </cell>
          <cell r="W530">
            <v>1018</v>
          </cell>
          <cell r="X530">
            <v>0</v>
          </cell>
          <cell r="Y530">
            <v>0</v>
          </cell>
        </row>
        <row r="531">
          <cell r="D531">
            <v>10130073</v>
          </cell>
          <cell r="E531" t="str">
            <v>Dagarua</v>
          </cell>
          <cell r="F531">
            <v>0</v>
          </cell>
          <cell r="G531" t="str">
            <v>MPG</v>
          </cell>
          <cell r="H531" t="str">
            <v>Direct</v>
          </cell>
          <cell r="I531">
            <v>1013</v>
          </cell>
          <cell r="J531" t="str">
            <v>Musrigharari</v>
          </cell>
          <cell r="K531" t="str">
            <v>Old</v>
          </cell>
          <cell r="L531">
            <v>45599</v>
          </cell>
          <cell r="M531">
            <v>3045.1000000000004</v>
          </cell>
          <cell r="N531">
            <v>125155.62</v>
          </cell>
          <cell r="O531">
            <v>2283.8250000000003</v>
          </cell>
          <cell r="P531">
            <v>2892.8450000000003</v>
          </cell>
          <cell r="Q531">
            <v>679.54071108400001</v>
          </cell>
          <cell r="R531">
            <v>3754.6685999999995</v>
          </cell>
          <cell r="S531">
            <v>861.82359999999926</v>
          </cell>
          <cell r="T531">
            <v>304.51000000000005</v>
          </cell>
          <cell r="U531">
            <v>55.67194882176176</v>
          </cell>
          <cell r="V531">
            <v>5496</v>
          </cell>
          <cell r="W531">
            <v>2503.1124</v>
          </cell>
          <cell r="X531">
            <v>0</v>
          </cell>
          <cell r="Y531">
            <v>0</v>
          </cell>
        </row>
        <row r="532">
          <cell r="D532">
            <v>10130074</v>
          </cell>
          <cell r="E532" t="str">
            <v>Chakmilki</v>
          </cell>
          <cell r="F532">
            <v>0</v>
          </cell>
          <cell r="G532" t="str">
            <v>MPG</v>
          </cell>
          <cell r="H532" t="str">
            <v>Direct</v>
          </cell>
          <cell r="I532">
            <v>1013</v>
          </cell>
          <cell r="J532" t="str">
            <v>Musrigharari</v>
          </cell>
          <cell r="K532" t="str">
            <v>Old</v>
          </cell>
          <cell r="L532">
            <v>45583</v>
          </cell>
          <cell r="M532">
            <v>2379.9</v>
          </cell>
          <cell r="N532">
            <v>90238.25</v>
          </cell>
          <cell r="O532">
            <v>1784.9250000000002</v>
          </cell>
          <cell r="P532">
            <v>2260.9050000000002</v>
          </cell>
          <cell r="Q532">
            <v>1233.9847894666002</v>
          </cell>
          <cell r="R532">
            <v>2707.1475</v>
          </cell>
          <cell r="S532">
            <v>446.24249999999984</v>
          </cell>
          <cell r="T532">
            <v>237.99</v>
          </cell>
          <cell r="U532">
            <v>317.61347483986094</v>
          </cell>
          <cell r="V532">
            <v>4724</v>
          </cell>
          <cell r="W532">
            <v>1861</v>
          </cell>
          <cell r="X532">
            <v>0</v>
          </cell>
          <cell r="Y532">
            <v>0</v>
          </cell>
        </row>
        <row r="533">
          <cell r="D533">
            <v>10130077</v>
          </cell>
          <cell r="E533" t="str">
            <v>Gomukh Akaha</v>
          </cell>
          <cell r="F533">
            <v>0</v>
          </cell>
          <cell r="G533" t="str">
            <v>MPG</v>
          </cell>
          <cell r="H533" t="str">
            <v>Direct</v>
          </cell>
          <cell r="I533">
            <v>1013</v>
          </cell>
          <cell r="J533" t="str">
            <v>Musrigharari</v>
          </cell>
          <cell r="K533" t="str">
            <v>Old</v>
          </cell>
          <cell r="L533">
            <v>45631</v>
          </cell>
          <cell r="M533">
            <v>1803.6999999999998</v>
          </cell>
          <cell r="N533">
            <v>68364.66</v>
          </cell>
          <cell r="O533">
            <v>1352.7749999999999</v>
          </cell>
          <cell r="P533">
            <v>1713.5149999999996</v>
          </cell>
          <cell r="Q533">
            <v>332.66943944339999</v>
          </cell>
          <cell r="R533">
            <v>2050.9398000000001</v>
          </cell>
          <cell r="S533">
            <v>337.42480000000046</v>
          </cell>
          <cell r="T533">
            <v>180.37</v>
          </cell>
          <cell r="U533">
            <v>755.18592470125941</v>
          </cell>
          <cell r="V533">
            <v>2463</v>
          </cell>
          <cell r="W533">
            <v>1861</v>
          </cell>
          <cell r="X533">
            <v>0</v>
          </cell>
          <cell r="Y533">
            <v>0</v>
          </cell>
        </row>
        <row r="534">
          <cell r="D534">
            <v>10130080</v>
          </cell>
          <cell r="E534" t="str">
            <v>Nauachak-Pankaj</v>
          </cell>
          <cell r="F534">
            <v>0</v>
          </cell>
          <cell r="G534" t="str">
            <v>vlc</v>
          </cell>
          <cell r="H534" t="str">
            <v>Indirect</v>
          </cell>
          <cell r="I534">
            <v>1013</v>
          </cell>
          <cell r="J534" t="str">
            <v>Musrigharari</v>
          </cell>
          <cell r="K534" t="str">
            <v>Old</v>
          </cell>
          <cell r="L534">
            <v>45630</v>
          </cell>
          <cell r="M534">
            <v>1161.5</v>
          </cell>
          <cell r="N534">
            <v>45147.41</v>
          </cell>
          <cell r="O534">
            <v>871.125</v>
          </cell>
          <cell r="P534">
            <v>1103.425</v>
          </cell>
          <cell r="Q534">
            <v>0</v>
          </cell>
          <cell r="R534">
            <v>1354.4223</v>
          </cell>
          <cell r="S534">
            <v>250.9973</v>
          </cell>
          <cell r="T534">
            <v>116.15</v>
          </cell>
          <cell r="U534">
            <v>1356.3727201888855</v>
          </cell>
          <cell r="V534">
            <v>502</v>
          </cell>
          <cell r="W534">
            <v>0</v>
          </cell>
          <cell r="X534">
            <v>0</v>
          </cell>
          <cell r="Y534">
            <v>0</v>
          </cell>
        </row>
        <row r="535">
          <cell r="D535">
            <v>10130083</v>
          </cell>
          <cell r="E535" t="str">
            <v>Gomukh Sirdulpur 2</v>
          </cell>
          <cell r="F535">
            <v>0</v>
          </cell>
          <cell r="G535" t="str">
            <v>vlc</v>
          </cell>
          <cell r="H535" t="str">
            <v>Indirect</v>
          </cell>
          <cell r="I535">
            <v>1013</v>
          </cell>
          <cell r="J535" t="str">
            <v>Musrigharari</v>
          </cell>
          <cell r="K535" t="str">
            <v>Old</v>
          </cell>
          <cell r="L535">
            <v>45645</v>
          </cell>
          <cell r="M535">
            <v>4374.2999999999993</v>
          </cell>
          <cell r="N535">
            <v>133696.99</v>
          </cell>
          <cell r="O535">
            <v>3280.7249999999995</v>
          </cell>
          <cell r="P535">
            <v>4155.5849999999991</v>
          </cell>
          <cell r="Q535">
            <v>0</v>
          </cell>
          <cell r="R535">
            <v>4010.9096999999997</v>
          </cell>
          <cell r="S535">
            <v>-144.67529999999942</v>
          </cell>
          <cell r="T535">
            <v>437.42999999999995</v>
          </cell>
          <cell r="U535">
            <v>0</v>
          </cell>
          <cell r="V535">
            <v>6999</v>
          </cell>
          <cell r="W535">
            <v>0</v>
          </cell>
          <cell r="X535">
            <v>0</v>
          </cell>
          <cell r="Y535">
            <v>0</v>
          </cell>
        </row>
        <row r="536">
          <cell r="D536">
            <v>10130085</v>
          </cell>
          <cell r="E536" t="str">
            <v>Gomukh Repura</v>
          </cell>
          <cell r="F536">
            <v>0</v>
          </cell>
          <cell r="G536" t="str">
            <v>MPG</v>
          </cell>
          <cell r="H536" t="str">
            <v>Direct</v>
          </cell>
          <cell r="I536">
            <v>1013</v>
          </cell>
          <cell r="J536" t="str">
            <v>Musrigharari</v>
          </cell>
          <cell r="K536" t="str">
            <v>Old</v>
          </cell>
          <cell r="L536">
            <v>45657</v>
          </cell>
          <cell r="M536">
            <v>2388.2000000000003</v>
          </cell>
          <cell r="N536">
            <v>88581.430000000008</v>
          </cell>
          <cell r="O536">
            <v>1791.15</v>
          </cell>
          <cell r="P536">
            <v>2268.79</v>
          </cell>
          <cell r="Q536">
            <v>48.266571567</v>
          </cell>
          <cell r="R536">
            <v>2657.4429</v>
          </cell>
          <cell r="S536">
            <v>388.65290000000005</v>
          </cell>
          <cell r="T536">
            <v>238.82000000000005</v>
          </cell>
          <cell r="U536">
            <v>305.68029262979798</v>
          </cell>
          <cell r="V536">
            <v>3564</v>
          </cell>
          <cell r="W536">
            <v>1861</v>
          </cell>
          <cell r="X536">
            <v>0</v>
          </cell>
          <cell r="Y536">
            <v>0</v>
          </cell>
        </row>
        <row r="537">
          <cell r="D537">
            <v>10130091</v>
          </cell>
          <cell r="E537" t="str">
            <v>Gomukh Nipur</v>
          </cell>
          <cell r="F537">
            <v>0</v>
          </cell>
          <cell r="G537" t="str">
            <v>MPG</v>
          </cell>
          <cell r="H537" t="str">
            <v>Direct</v>
          </cell>
          <cell r="I537">
            <v>1013</v>
          </cell>
          <cell r="J537" t="str">
            <v>Musrigharari</v>
          </cell>
          <cell r="K537" t="str">
            <v>Old</v>
          </cell>
          <cell r="L537">
            <v>45698</v>
          </cell>
          <cell r="M537">
            <v>3226</v>
          </cell>
          <cell r="N537">
            <v>131096.53</v>
          </cell>
          <cell r="O537">
            <v>2419.5</v>
          </cell>
          <cell r="P537">
            <v>3064.7</v>
          </cell>
          <cell r="Q537">
            <v>2570.1356583919996</v>
          </cell>
          <cell r="R537">
            <v>3932.8959</v>
          </cell>
          <cell r="S537">
            <v>868.19590000000017</v>
          </cell>
          <cell r="T537">
            <v>322.60000000000002</v>
          </cell>
          <cell r="U537">
            <v>24.849030824372836</v>
          </cell>
          <cell r="V537">
            <v>7707</v>
          </cell>
          <cell r="W537">
            <v>2621.9306000000001</v>
          </cell>
          <cell r="X537">
            <v>0</v>
          </cell>
          <cell r="Y537">
            <v>0</v>
          </cell>
        </row>
        <row r="538">
          <cell r="D538">
            <v>10130093</v>
          </cell>
          <cell r="E538" t="str">
            <v>Gomukh Sherpur Narsari East</v>
          </cell>
          <cell r="F538">
            <v>0</v>
          </cell>
          <cell r="G538" t="str">
            <v>MPG</v>
          </cell>
          <cell r="H538" t="str">
            <v>Direct</v>
          </cell>
          <cell r="I538">
            <v>1013</v>
          </cell>
          <cell r="J538" t="str">
            <v>Musrigharari</v>
          </cell>
          <cell r="K538" t="str">
            <v>Old</v>
          </cell>
          <cell r="L538">
            <v>45740</v>
          </cell>
          <cell r="M538">
            <v>748</v>
          </cell>
          <cell r="N538">
            <v>30108.91</v>
          </cell>
          <cell r="O538">
            <v>561</v>
          </cell>
          <cell r="P538">
            <v>710.6</v>
          </cell>
          <cell r="Q538">
            <v>699.2132919006001</v>
          </cell>
          <cell r="R538">
            <v>903.26729999999998</v>
          </cell>
          <cell r="S538">
            <v>192.66729999999995</v>
          </cell>
          <cell r="T538">
            <v>74.8</v>
          </cell>
          <cell r="U538">
            <v>1647.4566324958228</v>
          </cell>
          <cell r="V538">
            <v>249</v>
          </cell>
          <cell r="W538">
            <v>249</v>
          </cell>
          <cell r="X538">
            <v>0</v>
          </cell>
          <cell r="Y538">
            <v>0</v>
          </cell>
        </row>
        <row r="539">
          <cell r="D539">
            <v>10130094</v>
          </cell>
          <cell r="E539" t="str">
            <v>Gomukh Nauachak East</v>
          </cell>
          <cell r="F539">
            <v>0</v>
          </cell>
          <cell r="G539" t="str">
            <v>MPG</v>
          </cell>
          <cell r="H539" t="str">
            <v>Direct</v>
          </cell>
          <cell r="I539">
            <v>1013</v>
          </cell>
          <cell r="J539" t="str">
            <v>Musrigharari</v>
          </cell>
          <cell r="K539" t="str">
            <v>Old</v>
          </cell>
          <cell r="L539">
            <v>45741</v>
          </cell>
          <cell r="M539">
            <v>434</v>
          </cell>
          <cell r="N539">
            <v>17258.990000000002</v>
          </cell>
          <cell r="O539">
            <v>325.5</v>
          </cell>
          <cell r="P539">
            <v>412.29999999999995</v>
          </cell>
          <cell r="Q539">
            <v>17.820475200000004</v>
          </cell>
          <cell r="R539">
            <v>517.76970000000006</v>
          </cell>
          <cell r="S539">
            <v>105.4697000000001</v>
          </cell>
          <cell r="T539">
            <v>43.400000000000006</v>
          </cell>
          <cell r="U539">
            <v>712.26034127146931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D540">
            <v>10130097</v>
          </cell>
          <cell r="E540" t="str">
            <v>Gomukh Karhatti</v>
          </cell>
          <cell r="F540">
            <v>0</v>
          </cell>
          <cell r="G540" t="str">
            <v>MPG</v>
          </cell>
          <cell r="H540" t="str">
            <v>Direct</v>
          </cell>
          <cell r="I540">
            <v>1013</v>
          </cell>
          <cell r="J540" t="str">
            <v>Musrigharari</v>
          </cell>
          <cell r="K540" t="str">
            <v>Old</v>
          </cell>
          <cell r="L540">
            <v>45826</v>
          </cell>
          <cell r="M540">
            <v>1665.8</v>
          </cell>
          <cell r="N540">
            <v>61861.200000000012</v>
          </cell>
          <cell r="O540">
            <v>1249.3499999999999</v>
          </cell>
          <cell r="P540">
            <v>1582.51</v>
          </cell>
          <cell r="Q540">
            <v>0</v>
          </cell>
          <cell r="R540">
            <v>1855.8360000000002</v>
          </cell>
          <cell r="S540">
            <v>273.32600000000025</v>
          </cell>
          <cell r="T540">
            <v>166.58</v>
          </cell>
          <cell r="U540">
            <v>843.65204399218021</v>
          </cell>
          <cell r="V540">
            <v>1822</v>
          </cell>
          <cell r="W540">
            <v>1822</v>
          </cell>
          <cell r="X540">
            <v>0</v>
          </cell>
          <cell r="Y540">
            <v>0</v>
          </cell>
        </row>
        <row r="541">
          <cell r="D541">
            <v>10130098</v>
          </cell>
          <cell r="E541" t="str">
            <v>Gomukh Gaopur Bhagwatpur</v>
          </cell>
          <cell r="F541">
            <v>0</v>
          </cell>
          <cell r="G541" t="str">
            <v>MPG</v>
          </cell>
          <cell r="H541" t="str">
            <v>Direct</v>
          </cell>
          <cell r="I541">
            <v>1013</v>
          </cell>
          <cell r="J541" t="str">
            <v>Musrigharari</v>
          </cell>
          <cell r="K541" t="str">
            <v>Old</v>
          </cell>
          <cell r="L541">
            <v>45765</v>
          </cell>
          <cell r="M541">
            <v>5439.4</v>
          </cell>
          <cell r="N541">
            <v>219224.65000000002</v>
          </cell>
          <cell r="O541">
            <v>4079.5499999999997</v>
          </cell>
          <cell r="P541">
            <v>5167.4299999999994</v>
          </cell>
          <cell r="Q541">
            <v>268.54173252356503</v>
          </cell>
          <cell r="R541">
            <v>6576.7395000000006</v>
          </cell>
          <cell r="S541">
            <v>1409.3095000000012</v>
          </cell>
          <cell r="T541">
            <v>543.93999999999994</v>
          </cell>
          <cell r="U541">
            <v>0</v>
          </cell>
          <cell r="V541">
            <v>8972</v>
          </cell>
          <cell r="W541">
            <v>4384.4930000000004</v>
          </cell>
          <cell r="X541">
            <v>0</v>
          </cell>
          <cell r="Y541">
            <v>0</v>
          </cell>
        </row>
        <row r="542">
          <cell r="D542">
            <v>10130100</v>
          </cell>
          <cell r="E542" t="str">
            <v>Gomukh Rajwara</v>
          </cell>
          <cell r="F542">
            <v>0</v>
          </cell>
          <cell r="G542" t="str">
            <v>MPG</v>
          </cell>
          <cell r="H542" t="str">
            <v>Direct</v>
          </cell>
          <cell r="I542">
            <v>1013</v>
          </cell>
          <cell r="J542" t="str">
            <v>Musrigharari</v>
          </cell>
          <cell r="K542" t="str">
            <v>Old</v>
          </cell>
          <cell r="L542">
            <v>45809</v>
          </cell>
          <cell r="M542">
            <v>705.7</v>
          </cell>
          <cell r="N542">
            <v>29947.71</v>
          </cell>
          <cell r="O542">
            <v>529.27500000000009</v>
          </cell>
          <cell r="P542">
            <v>670.41499999999996</v>
          </cell>
          <cell r="Q542">
            <v>33.764344479999998</v>
          </cell>
          <cell r="R542">
            <v>898.43129999999996</v>
          </cell>
          <cell r="S542">
            <v>228.0163</v>
          </cell>
          <cell r="T542">
            <v>70.570000000000007</v>
          </cell>
          <cell r="U542">
            <v>1162.9841484154729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</row>
        <row r="543">
          <cell r="D543">
            <v>10130101</v>
          </cell>
          <cell r="E543" t="str">
            <v>Gomukh Karhatiya Bujurg</v>
          </cell>
          <cell r="F543">
            <v>0</v>
          </cell>
          <cell r="G543" t="str">
            <v>vlc</v>
          </cell>
          <cell r="H543" t="str">
            <v>Indirect</v>
          </cell>
          <cell r="I543">
            <v>1013</v>
          </cell>
          <cell r="J543" t="str">
            <v>Musrigharari</v>
          </cell>
          <cell r="K543" t="str">
            <v>Old</v>
          </cell>
          <cell r="L543">
            <v>45788</v>
          </cell>
          <cell r="M543">
            <v>1792.9999999999998</v>
          </cell>
          <cell r="N543">
            <v>72113.51999999999</v>
          </cell>
          <cell r="O543">
            <v>1344.7499999999998</v>
          </cell>
          <cell r="P543">
            <v>1703.3499999999997</v>
          </cell>
          <cell r="Q543">
            <v>0</v>
          </cell>
          <cell r="R543">
            <v>2163.4055999999996</v>
          </cell>
          <cell r="S543">
            <v>460.05559999999991</v>
          </cell>
          <cell r="T543">
            <v>179.29999999999998</v>
          </cell>
          <cell r="U543">
            <v>506.75525036065397</v>
          </cell>
          <cell r="V543">
            <v>2362</v>
          </cell>
          <cell r="W543">
            <v>0</v>
          </cell>
          <cell r="X543">
            <v>0</v>
          </cell>
          <cell r="Y543">
            <v>0</v>
          </cell>
        </row>
        <row r="544">
          <cell r="D544">
            <v>10130102</v>
          </cell>
          <cell r="E544" t="str">
            <v>GOMUKH NIKASPUR</v>
          </cell>
          <cell r="F544">
            <v>0</v>
          </cell>
          <cell r="G544" t="str">
            <v>MPG</v>
          </cell>
          <cell r="H544" t="str">
            <v>Direct</v>
          </cell>
          <cell r="I544">
            <v>1013</v>
          </cell>
          <cell r="J544" t="str">
            <v>Musrigharari</v>
          </cell>
          <cell r="K544" t="str">
            <v>Old</v>
          </cell>
          <cell r="L544">
            <v>45847</v>
          </cell>
          <cell r="M544">
            <v>715.59999999999991</v>
          </cell>
          <cell r="N544">
            <v>24466.550000000003</v>
          </cell>
          <cell r="O544">
            <v>536.69999999999993</v>
          </cell>
          <cell r="P544">
            <v>679.81999999999994</v>
          </cell>
          <cell r="Q544">
            <v>131.27814491800001</v>
          </cell>
          <cell r="R544">
            <v>733.99650000000008</v>
          </cell>
          <cell r="S544">
            <v>54.176500000000146</v>
          </cell>
          <cell r="T544">
            <v>71.559999999999988</v>
          </cell>
          <cell r="U544">
            <v>1276.0266296404893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</row>
        <row r="545">
          <cell r="D545">
            <v>10130103</v>
          </cell>
          <cell r="E545" t="str">
            <v>NAUACHAUK W-04</v>
          </cell>
          <cell r="F545">
            <v>0</v>
          </cell>
          <cell r="G545" t="str">
            <v>vlc</v>
          </cell>
          <cell r="H545" t="str">
            <v>Indirect</v>
          </cell>
          <cell r="I545">
            <v>1013</v>
          </cell>
          <cell r="J545" t="str">
            <v>Musrigharari</v>
          </cell>
          <cell r="K545" t="str">
            <v>Old</v>
          </cell>
          <cell r="L545">
            <v>45820</v>
          </cell>
          <cell r="M545">
            <v>148.30000000000001</v>
          </cell>
          <cell r="N545">
            <v>6132.5599999999995</v>
          </cell>
          <cell r="O545">
            <v>111.22500000000001</v>
          </cell>
          <cell r="P545">
            <v>140.88499999999999</v>
          </cell>
          <cell r="Q545">
            <v>0</v>
          </cell>
          <cell r="R545">
            <v>183.97679999999997</v>
          </cell>
          <cell r="S545">
            <v>43.091799999999978</v>
          </cell>
          <cell r="T545">
            <v>14.830000000000002</v>
          </cell>
          <cell r="U545">
            <v>236.84227950381592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</row>
        <row r="546">
          <cell r="D546">
            <v>10130106</v>
          </cell>
          <cell r="E546" t="str">
            <v>Gomukh Akhtiyarpur</v>
          </cell>
          <cell r="F546">
            <v>0</v>
          </cell>
          <cell r="G546" t="str">
            <v>vlc</v>
          </cell>
          <cell r="H546" t="str">
            <v>Indirect</v>
          </cell>
          <cell r="I546">
            <v>1013</v>
          </cell>
          <cell r="J546" t="str">
            <v>Musrigharari</v>
          </cell>
          <cell r="K546" t="str">
            <v>Old</v>
          </cell>
          <cell r="L546">
            <v>45869</v>
          </cell>
          <cell r="M546">
            <v>8241.1</v>
          </cell>
          <cell r="N546">
            <v>328558.17</v>
          </cell>
          <cell r="O546">
            <v>6180.8250000000007</v>
          </cell>
          <cell r="P546">
            <v>7829.0450000000001</v>
          </cell>
          <cell r="Q546">
            <v>0</v>
          </cell>
          <cell r="R546">
            <v>9856.7450999999983</v>
          </cell>
          <cell r="S546">
            <v>2027.7000999999982</v>
          </cell>
          <cell r="T546">
            <v>824.11000000000013</v>
          </cell>
          <cell r="U546">
            <v>563.1766277695715</v>
          </cell>
          <cell r="V546">
            <v>12623</v>
          </cell>
          <cell r="W546">
            <v>0</v>
          </cell>
          <cell r="X546">
            <v>0</v>
          </cell>
          <cell r="Y546">
            <v>0</v>
          </cell>
        </row>
        <row r="547">
          <cell r="D547">
            <v>10130107</v>
          </cell>
          <cell r="E547" t="str">
            <v>Gomukh Morwa Mohanpur</v>
          </cell>
          <cell r="F547">
            <v>0</v>
          </cell>
          <cell r="G547" t="str">
            <v>vlc</v>
          </cell>
          <cell r="H547" t="str">
            <v>Indirect</v>
          </cell>
          <cell r="I547">
            <v>1013</v>
          </cell>
          <cell r="J547" t="str">
            <v>Musrigharari</v>
          </cell>
          <cell r="K547" t="str">
            <v>Old</v>
          </cell>
          <cell r="L547">
            <v>45868</v>
          </cell>
          <cell r="M547">
            <v>794.4</v>
          </cell>
          <cell r="N547">
            <v>33365.880000000005</v>
          </cell>
          <cell r="O547">
            <v>595.79999999999995</v>
          </cell>
          <cell r="P547">
            <v>754.68</v>
          </cell>
          <cell r="Q547">
            <v>0</v>
          </cell>
          <cell r="R547">
            <v>1000.9764000000001</v>
          </cell>
          <cell r="S547">
            <v>246.29640000000018</v>
          </cell>
          <cell r="T547">
            <v>79.44</v>
          </cell>
          <cell r="U547">
            <v>1271.2515040312032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</row>
        <row r="548">
          <cell r="D548">
            <v>10140001</v>
          </cell>
          <cell r="E548" t="str">
            <v>Dumri Purvi Tola</v>
          </cell>
          <cell r="F548">
            <v>0</v>
          </cell>
          <cell r="G548" t="str">
            <v>MPG</v>
          </cell>
          <cell r="H548" t="str">
            <v>Direct</v>
          </cell>
          <cell r="I548">
            <v>1014</v>
          </cell>
          <cell r="J548" t="str">
            <v>Dumraon</v>
          </cell>
          <cell r="K548" t="str">
            <v>Old</v>
          </cell>
          <cell r="L548">
            <v>44664</v>
          </cell>
          <cell r="M548">
            <v>1341</v>
          </cell>
          <cell r="N548">
            <v>51194.86</v>
          </cell>
          <cell r="O548">
            <v>1005.75</v>
          </cell>
          <cell r="P548">
            <v>1273.95</v>
          </cell>
          <cell r="Q548">
            <v>0</v>
          </cell>
          <cell r="R548">
            <v>1535.8458000000001</v>
          </cell>
          <cell r="S548">
            <v>261.89580000000001</v>
          </cell>
          <cell r="T548">
            <v>134.1</v>
          </cell>
          <cell r="U548">
            <v>1147.5815610728846</v>
          </cell>
          <cell r="V548">
            <v>998</v>
          </cell>
          <cell r="W548">
            <v>0</v>
          </cell>
          <cell r="X548">
            <v>998</v>
          </cell>
          <cell r="Y548">
            <v>0</v>
          </cell>
        </row>
        <row r="549">
          <cell r="D549">
            <v>10140002</v>
          </cell>
          <cell r="E549" t="str">
            <v>Simri</v>
          </cell>
          <cell r="F549">
            <v>0</v>
          </cell>
          <cell r="G549" t="str">
            <v>MPG</v>
          </cell>
          <cell r="H549" t="str">
            <v>Direct</v>
          </cell>
          <cell r="I549">
            <v>1014</v>
          </cell>
          <cell r="J549" t="str">
            <v>Dumraon</v>
          </cell>
          <cell r="K549" t="str">
            <v>Old</v>
          </cell>
          <cell r="L549">
            <v>44664</v>
          </cell>
          <cell r="M549">
            <v>2926.2</v>
          </cell>
          <cell r="N549">
            <v>111887.95000000001</v>
          </cell>
          <cell r="O549">
            <v>2194.6499999999996</v>
          </cell>
          <cell r="P549">
            <v>2779.89</v>
          </cell>
          <cell r="Q549">
            <v>0</v>
          </cell>
          <cell r="R549">
            <v>3356.6385</v>
          </cell>
          <cell r="S549">
            <v>576.74850000000015</v>
          </cell>
          <cell r="T549">
            <v>292.62</v>
          </cell>
          <cell r="U549">
            <v>23.677548154788507</v>
          </cell>
          <cell r="V549">
            <v>4658</v>
          </cell>
          <cell r="W549">
            <v>2237.7590000000005</v>
          </cell>
          <cell r="X549">
            <v>0</v>
          </cell>
          <cell r="Y549">
            <v>0</v>
          </cell>
        </row>
        <row r="550">
          <cell r="D550">
            <v>10140003</v>
          </cell>
          <cell r="E550" t="str">
            <v>Sahiyar</v>
          </cell>
          <cell r="F550">
            <v>0</v>
          </cell>
          <cell r="G550" t="str">
            <v>MPG</v>
          </cell>
          <cell r="H550" t="str">
            <v>Direct</v>
          </cell>
          <cell r="I550">
            <v>1014</v>
          </cell>
          <cell r="J550" t="str">
            <v>Dumraon</v>
          </cell>
          <cell r="K550" t="str">
            <v>Old</v>
          </cell>
          <cell r="L550">
            <v>44664</v>
          </cell>
          <cell r="M550">
            <v>4643.7999999999993</v>
          </cell>
          <cell r="N550">
            <v>186082.26</v>
          </cell>
          <cell r="O550">
            <v>3482.8499999999995</v>
          </cell>
          <cell r="P550">
            <v>4411.6099999999988</v>
          </cell>
          <cell r="Q550">
            <v>3321.6714389899998</v>
          </cell>
          <cell r="R550">
            <v>5582.4678000000004</v>
          </cell>
          <cell r="S550">
            <v>1170.8578000000016</v>
          </cell>
          <cell r="T550">
            <v>464.37999999999994</v>
          </cell>
          <cell r="U550">
            <v>0</v>
          </cell>
          <cell r="V550">
            <v>10752</v>
          </cell>
          <cell r="W550">
            <v>0</v>
          </cell>
          <cell r="X550">
            <v>3088.4627030464617</v>
          </cell>
          <cell r="Y550">
            <v>0</v>
          </cell>
        </row>
        <row r="551">
          <cell r="D551">
            <v>10140004</v>
          </cell>
          <cell r="E551" t="str">
            <v>Majhwari</v>
          </cell>
          <cell r="F551">
            <v>0</v>
          </cell>
          <cell r="G551" t="str">
            <v>MPG</v>
          </cell>
          <cell r="H551" t="str">
            <v>Direct</v>
          </cell>
          <cell r="I551">
            <v>1014</v>
          </cell>
          <cell r="J551" t="str">
            <v>Dumraon</v>
          </cell>
          <cell r="K551" t="str">
            <v>Old</v>
          </cell>
          <cell r="L551">
            <v>44664</v>
          </cell>
          <cell r="M551">
            <v>839.5</v>
          </cell>
          <cell r="N551">
            <v>37897.370000000003</v>
          </cell>
          <cell r="O551">
            <v>629.625</v>
          </cell>
          <cell r="P551">
            <v>797.52499999999998</v>
          </cell>
          <cell r="Q551">
            <v>632.27927661241301</v>
          </cell>
          <cell r="R551">
            <v>1136.9211</v>
          </cell>
          <cell r="S551">
            <v>339.39610000000005</v>
          </cell>
          <cell r="T551">
            <v>83.95</v>
          </cell>
          <cell r="U551">
            <v>1767.9277405788646</v>
          </cell>
          <cell r="V551">
            <v>208</v>
          </cell>
          <cell r="W551">
            <v>0</v>
          </cell>
          <cell r="X551">
            <v>208</v>
          </cell>
          <cell r="Y551">
            <v>0</v>
          </cell>
        </row>
        <row r="552">
          <cell r="D552">
            <v>10140006</v>
          </cell>
          <cell r="E552" t="str">
            <v>Ekauna</v>
          </cell>
          <cell r="F552">
            <v>0</v>
          </cell>
          <cell r="G552" t="str">
            <v>MPG</v>
          </cell>
          <cell r="H552" t="str">
            <v>Direct</v>
          </cell>
          <cell r="I552">
            <v>1014</v>
          </cell>
          <cell r="J552" t="str">
            <v>Dumraon</v>
          </cell>
          <cell r="K552" t="str">
            <v>Old</v>
          </cell>
          <cell r="L552">
            <v>44664</v>
          </cell>
          <cell r="M552">
            <v>90.8</v>
          </cell>
          <cell r="N552">
            <v>2978.62</v>
          </cell>
          <cell r="O552">
            <v>68.099999999999994</v>
          </cell>
          <cell r="P552">
            <v>86.259999999999991</v>
          </cell>
          <cell r="Q552">
            <v>0</v>
          </cell>
          <cell r="R552">
            <v>89.358599999999996</v>
          </cell>
          <cell r="S552">
            <v>3.0986000000000047</v>
          </cell>
          <cell r="T552">
            <v>9.08</v>
          </cell>
          <cell r="U552">
            <v>144.78868533841114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</row>
        <row r="553">
          <cell r="D553">
            <v>10140007</v>
          </cell>
          <cell r="E553" t="str">
            <v>ENGLISH DUBAULI</v>
          </cell>
          <cell r="F553">
            <v>0</v>
          </cell>
          <cell r="G553" t="str">
            <v>MPG</v>
          </cell>
          <cell r="H553" t="str">
            <v>Direct</v>
          </cell>
          <cell r="I553">
            <v>1014</v>
          </cell>
          <cell r="J553" t="str">
            <v>Dumraon</v>
          </cell>
          <cell r="K553" t="str">
            <v>Old</v>
          </cell>
          <cell r="L553">
            <v>44664</v>
          </cell>
          <cell r="M553">
            <v>3296</v>
          </cell>
          <cell r="N553">
            <v>127701.07</v>
          </cell>
          <cell r="O553">
            <v>2472</v>
          </cell>
          <cell r="P553">
            <v>3131.2</v>
          </cell>
          <cell r="Q553">
            <v>4076.8285953943996</v>
          </cell>
          <cell r="R553">
            <v>3831.0320999999999</v>
          </cell>
          <cell r="S553">
            <v>699.83210000000008</v>
          </cell>
          <cell r="T553">
            <v>329.6</v>
          </cell>
          <cell r="U553">
            <v>0</v>
          </cell>
          <cell r="V553">
            <v>9350</v>
          </cell>
          <cell r="W553">
            <v>0</v>
          </cell>
          <cell r="X553">
            <v>2536.112934165707</v>
          </cell>
          <cell r="Y553">
            <v>0</v>
          </cell>
        </row>
        <row r="554">
          <cell r="D554">
            <v>10140008</v>
          </cell>
          <cell r="E554" t="str">
            <v>Ramo Bariya</v>
          </cell>
          <cell r="F554">
            <v>0</v>
          </cell>
          <cell r="G554" t="str">
            <v>MPG</v>
          </cell>
          <cell r="H554" t="str">
            <v>Direct</v>
          </cell>
          <cell r="I554">
            <v>1014</v>
          </cell>
          <cell r="J554" t="str">
            <v>Dumraon</v>
          </cell>
          <cell r="K554" t="str">
            <v>Old</v>
          </cell>
          <cell r="L554">
            <v>44665</v>
          </cell>
          <cell r="M554">
            <v>1898.8000000000002</v>
          </cell>
          <cell r="N554">
            <v>76216.67</v>
          </cell>
          <cell r="O554">
            <v>1424.1000000000001</v>
          </cell>
          <cell r="P554">
            <v>1803.8600000000001</v>
          </cell>
          <cell r="Q554">
            <v>1424.52596976</v>
          </cell>
          <cell r="R554">
            <v>2286.5000999999997</v>
          </cell>
          <cell r="S554">
            <v>482.64009999999962</v>
          </cell>
          <cell r="T554">
            <v>189.88000000000002</v>
          </cell>
          <cell r="U554">
            <v>725.4444144680233</v>
          </cell>
          <cell r="V554">
            <v>3737</v>
          </cell>
          <cell r="W554">
            <v>0</v>
          </cell>
          <cell r="X554">
            <v>0</v>
          </cell>
          <cell r="Y554">
            <v>3000</v>
          </cell>
        </row>
        <row r="555">
          <cell r="D555">
            <v>10140009</v>
          </cell>
          <cell r="E555" t="str">
            <v>HITAN PARARI</v>
          </cell>
          <cell r="F555">
            <v>0</v>
          </cell>
          <cell r="G555" t="str">
            <v>MPG</v>
          </cell>
          <cell r="H555" t="str">
            <v>Direct</v>
          </cell>
          <cell r="I555">
            <v>1014</v>
          </cell>
          <cell r="J555" t="str">
            <v>Dumraon</v>
          </cell>
          <cell r="K555" t="str">
            <v>Old</v>
          </cell>
          <cell r="L555">
            <v>44669</v>
          </cell>
          <cell r="M555">
            <v>2893.5000000000005</v>
          </cell>
          <cell r="N555">
            <v>125541.59</v>
          </cell>
          <cell r="O555">
            <v>2170.1250000000005</v>
          </cell>
          <cell r="P555">
            <v>2748.8250000000003</v>
          </cell>
          <cell r="Q555">
            <v>513.36272656076005</v>
          </cell>
          <cell r="R555">
            <v>3766.2476999999999</v>
          </cell>
          <cell r="S555">
            <v>1017.4226999999996</v>
          </cell>
          <cell r="T555">
            <v>289.35000000000008</v>
          </cell>
          <cell r="U555">
            <v>97.02005016767373</v>
          </cell>
          <cell r="V555">
            <v>5046</v>
          </cell>
          <cell r="W555">
            <v>0</v>
          </cell>
          <cell r="X555">
            <v>2510.8317999999999</v>
          </cell>
          <cell r="Y555">
            <v>0</v>
          </cell>
        </row>
        <row r="556">
          <cell r="D556">
            <v>10140010</v>
          </cell>
          <cell r="E556" t="str">
            <v>ARIAON</v>
          </cell>
          <cell r="F556">
            <v>0</v>
          </cell>
          <cell r="G556" t="str">
            <v>MPG</v>
          </cell>
          <cell r="H556" t="str">
            <v>Direct</v>
          </cell>
          <cell r="I556">
            <v>1014</v>
          </cell>
          <cell r="J556" t="str">
            <v>Dumraon</v>
          </cell>
          <cell r="K556" t="str">
            <v>Old</v>
          </cell>
          <cell r="L556">
            <v>44683</v>
          </cell>
          <cell r="M556">
            <v>563.4</v>
          </cell>
          <cell r="N556">
            <v>25753.989999999998</v>
          </cell>
          <cell r="O556">
            <v>422.54999999999995</v>
          </cell>
          <cell r="P556">
            <v>535.2299999999999</v>
          </cell>
          <cell r="Q556">
            <v>20.73</v>
          </cell>
          <cell r="R556">
            <v>772.61969999999997</v>
          </cell>
          <cell r="S556">
            <v>237.38970000000006</v>
          </cell>
          <cell r="T556">
            <v>56.34</v>
          </cell>
          <cell r="U556">
            <v>921.93048066362144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</row>
        <row r="557">
          <cell r="D557">
            <v>10140012</v>
          </cell>
          <cell r="E557" t="str">
            <v>Gangauli</v>
          </cell>
          <cell r="F557">
            <v>0</v>
          </cell>
          <cell r="G557" t="str">
            <v>MPG</v>
          </cell>
          <cell r="H557" t="str">
            <v>Direct</v>
          </cell>
          <cell r="I557">
            <v>1014</v>
          </cell>
          <cell r="J557" t="str">
            <v>Dumraon</v>
          </cell>
          <cell r="K557" t="str">
            <v>Old</v>
          </cell>
          <cell r="L557">
            <v>44703</v>
          </cell>
          <cell r="M557">
            <v>1970.7000000000003</v>
          </cell>
          <cell r="N557">
            <v>78354.790000000008</v>
          </cell>
          <cell r="O557">
            <v>1478.0250000000001</v>
          </cell>
          <cell r="P557">
            <v>1872.1650000000002</v>
          </cell>
          <cell r="Q557">
            <v>1206.0532090528</v>
          </cell>
          <cell r="R557">
            <v>2350.6437000000001</v>
          </cell>
          <cell r="S557">
            <v>478.47869999999989</v>
          </cell>
          <cell r="T557">
            <v>197.07000000000005</v>
          </cell>
          <cell r="U557">
            <v>658.75856642448502</v>
          </cell>
          <cell r="V557">
            <v>3700</v>
          </cell>
          <cell r="W557">
            <v>0</v>
          </cell>
          <cell r="X557">
            <v>0</v>
          </cell>
          <cell r="Y557">
            <v>0</v>
          </cell>
        </row>
        <row r="558">
          <cell r="D558">
            <v>10140013</v>
          </cell>
          <cell r="E558" t="str">
            <v>MATHURA DERA</v>
          </cell>
          <cell r="F558">
            <v>0</v>
          </cell>
          <cell r="G558" t="str">
            <v>MPG</v>
          </cell>
          <cell r="H558" t="str">
            <v>Direct</v>
          </cell>
          <cell r="I558">
            <v>1014</v>
          </cell>
          <cell r="J558" t="str">
            <v>Dumraon</v>
          </cell>
          <cell r="K558" t="str">
            <v>Old</v>
          </cell>
          <cell r="L558">
            <v>44703</v>
          </cell>
          <cell r="M558">
            <v>3582.1</v>
          </cell>
          <cell r="N558">
            <v>130565.16</v>
          </cell>
          <cell r="O558">
            <v>2686.5749999999998</v>
          </cell>
          <cell r="P558">
            <v>3402.9949999999999</v>
          </cell>
          <cell r="Q558">
            <v>334.62664488000001</v>
          </cell>
          <cell r="R558">
            <v>3916.9548</v>
          </cell>
          <cell r="S558">
            <v>513.95980000000009</v>
          </cell>
          <cell r="T558">
            <v>358.21000000000004</v>
          </cell>
          <cell r="U558">
            <v>56.829486007702201</v>
          </cell>
          <cell r="V558">
            <v>6009</v>
          </cell>
          <cell r="W558">
            <v>0</v>
          </cell>
          <cell r="X558">
            <v>0</v>
          </cell>
          <cell r="Y558">
            <v>0</v>
          </cell>
        </row>
        <row r="559">
          <cell r="D559">
            <v>10140018</v>
          </cell>
          <cell r="E559" t="str">
            <v>NANDAN</v>
          </cell>
          <cell r="F559">
            <v>0</v>
          </cell>
          <cell r="G559" t="str">
            <v>MPG</v>
          </cell>
          <cell r="H559" t="str">
            <v>Direct</v>
          </cell>
          <cell r="I559">
            <v>1014</v>
          </cell>
          <cell r="J559" t="str">
            <v>Dumraon</v>
          </cell>
          <cell r="K559" t="str">
            <v>Old</v>
          </cell>
          <cell r="L559">
            <v>44753</v>
          </cell>
          <cell r="M559">
            <v>1241.3</v>
          </cell>
          <cell r="N559">
            <v>61055.53</v>
          </cell>
          <cell r="O559">
            <v>930.97499999999991</v>
          </cell>
          <cell r="P559">
            <v>1179.2349999999999</v>
          </cell>
          <cell r="Q559">
            <v>63.102133114000011</v>
          </cell>
          <cell r="R559">
            <v>1831.6659</v>
          </cell>
          <cell r="S559">
            <v>652.43090000000007</v>
          </cell>
          <cell r="T559">
            <v>124.13</v>
          </cell>
          <cell r="U559">
            <v>1550.0343259285112</v>
          </cell>
          <cell r="V559">
            <v>499</v>
          </cell>
          <cell r="W559">
            <v>0</v>
          </cell>
          <cell r="X559">
            <v>499</v>
          </cell>
          <cell r="Y559">
            <v>0</v>
          </cell>
        </row>
        <row r="560">
          <cell r="D560">
            <v>10140020</v>
          </cell>
          <cell r="E560" t="str">
            <v>RAJAPUR</v>
          </cell>
          <cell r="F560">
            <v>0</v>
          </cell>
          <cell r="G560" t="str">
            <v>MPG</v>
          </cell>
          <cell r="H560" t="str">
            <v>Direct</v>
          </cell>
          <cell r="I560">
            <v>1014</v>
          </cell>
          <cell r="J560" t="str">
            <v>Dumraon</v>
          </cell>
          <cell r="K560" t="str">
            <v>Old</v>
          </cell>
          <cell r="L560">
            <v>44766</v>
          </cell>
          <cell r="M560">
            <v>352.90000000000003</v>
          </cell>
          <cell r="N560">
            <v>13688.77</v>
          </cell>
          <cell r="O560">
            <v>264.67500000000001</v>
          </cell>
          <cell r="P560">
            <v>335.255</v>
          </cell>
          <cell r="Q560">
            <v>107.818772712</v>
          </cell>
          <cell r="R560">
            <v>410.66309999999999</v>
          </cell>
          <cell r="S560">
            <v>75.40809999999999</v>
          </cell>
          <cell r="T560">
            <v>35.290000000000006</v>
          </cell>
          <cell r="U560">
            <v>672.56430472014245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</row>
        <row r="561">
          <cell r="D561">
            <v>10140022</v>
          </cell>
          <cell r="E561" t="str">
            <v>HEMDAPUR</v>
          </cell>
          <cell r="F561">
            <v>0</v>
          </cell>
          <cell r="G561" t="str">
            <v>MPG</v>
          </cell>
          <cell r="H561" t="str">
            <v>Direct</v>
          </cell>
          <cell r="I561">
            <v>1014</v>
          </cell>
          <cell r="J561" t="str">
            <v>Dumraon</v>
          </cell>
          <cell r="K561" t="str">
            <v>Old</v>
          </cell>
          <cell r="L561">
            <v>44774</v>
          </cell>
          <cell r="M561">
            <v>1247.3000000000002</v>
          </cell>
          <cell r="N561">
            <v>43228.58</v>
          </cell>
          <cell r="O561">
            <v>935.47500000000014</v>
          </cell>
          <cell r="P561">
            <v>1184.9350000000002</v>
          </cell>
          <cell r="Q561">
            <v>733.62114799999995</v>
          </cell>
          <cell r="R561">
            <v>1296.8574000000001</v>
          </cell>
          <cell r="S561">
            <v>111.92239999999993</v>
          </cell>
          <cell r="T561">
            <v>124.73000000000002</v>
          </cell>
          <cell r="U561">
            <v>1075.5509993403007</v>
          </cell>
          <cell r="V561">
            <v>1654</v>
          </cell>
          <cell r="W561">
            <v>1654</v>
          </cell>
          <cell r="X561">
            <v>0</v>
          </cell>
          <cell r="Y561">
            <v>0</v>
          </cell>
        </row>
        <row r="562">
          <cell r="D562">
            <v>10140032</v>
          </cell>
          <cell r="E562" t="str">
            <v>Chaugain</v>
          </cell>
          <cell r="F562">
            <v>0</v>
          </cell>
          <cell r="G562" t="str">
            <v>MPG</v>
          </cell>
          <cell r="H562" t="str">
            <v>Direct</v>
          </cell>
          <cell r="I562">
            <v>1014</v>
          </cell>
          <cell r="J562" t="str">
            <v>Dumraon</v>
          </cell>
          <cell r="K562" t="str">
            <v>Old</v>
          </cell>
          <cell r="L562">
            <v>44923</v>
          </cell>
          <cell r="M562">
            <v>492.59999999999997</v>
          </cell>
          <cell r="N562">
            <v>19144.559999999998</v>
          </cell>
          <cell r="O562">
            <v>369.45</v>
          </cell>
          <cell r="P562">
            <v>467.96999999999997</v>
          </cell>
          <cell r="Q562">
            <v>129.00117160600001</v>
          </cell>
          <cell r="R562">
            <v>574.33679999999993</v>
          </cell>
          <cell r="S562">
            <v>106.36679999999996</v>
          </cell>
          <cell r="T562">
            <v>49.26</v>
          </cell>
          <cell r="U562">
            <v>916.94568765666554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</row>
        <row r="563">
          <cell r="D563">
            <v>10140033</v>
          </cell>
          <cell r="E563" t="str">
            <v>Akalupur</v>
          </cell>
          <cell r="F563">
            <v>0</v>
          </cell>
          <cell r="G563" t="str">
            <v>MPG</v>
          </cell>
          <cell r="H563" t="str">
            <v>Direct</v>
          </cell>
          <cell r="I563">
            <v>1014</v>
          </cell>
          <cell r="J563" t="str">
            <v>Dumraon</v>
          </cell>
          <cell r="K563" t="str">
            <v>Old</v>
          </cell>
          <cell r="L563">
            <v>44923</v>
          </cell>
          <cell r="M563">
            <v>629.6</v>
          </cell>
          <cell r="N563">
            <v>22912.89</v>
          </cell>
          <cell r="O563">
            <v>472.20000000000005</v>
          </cell>
          <cell r="P563">
            <v>598.12</v>
          </cell>
          <cell r="Q563">
            <v>42.751200716800007</v>
          </cell>
          <cell r="R563">
            <v>687.38669999999991</v>
          </cell>
          <cell r="S563">
            <v>89.266699999999901</v>
          </cell>
          <cell r="T563">
            <v>62.960000000000008</v>
          </cell>
          <cell r="U563">
            <v>1049.9861218999401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</row>
        <row r="564">
          <cell r="D564">
            <v>10140034</v>
          </cell>
          <cell r="E564" t="str">
            <v>Chhotka Sihanpura</v>
          </cell>
          <cell r="F564">
            <v>0</v>
          </cell>
          <cell r="G564" t="str">
            <v>MPG</v>
          </cell>
          <cell r="H564" t="str">
            <v>Direct</v>
          </cell>
          <cell r="I564">
            <v>1014</v>
          </cell>
          <cell r="J564" t="str">
            <v>Dumraon</v>
          </cell>
          <cell r="K564" t="str">
            <v>Old</v>
          </cell>
          <cell r="L564">
            <v>44928</v>
          </cell>
          <cell r="M564">
            <v>793.3</v>
          </cell>
          <cell r="N564">
            <v>33749.03</v>
          </cell>
          <cell r="O564">
            <v>594.97499999999991</v>
          </cell>
          <cell r="P564">
            <v>753.63499999999988</v>
          </cell>
          <cell r="Q564">
            <v>807.88856689905003</v>
          </cell>
          <cell r="R564">
            <v>1012.4708999999999</v>
          </cell>
          <cell r="S564">
            <v>258.83590000000004</v>
          </cell>
          <cell r="T564">
            <v>79.33</v>
          </cell>
          <cell r="U564">
            <v>1712.3126022154506</v>
          </cell>
          <cell r="V564">
            <v>365</v>
          </cell>
          <cell r="W564">
            <v>365</v>
          </cell>
          <cell r="X564">
            <v>0</v>
          </cell>
          <cell r="Y564">
            <v>0</v>
          </cell>
        </row>
        <row r="565">
          <cell r="D565">
            <v>10140038</v>
          </cell>
          <cell r="E565" t="str">
            <v>Jagadhra</v>
          </cell>
          <cell r="F565">
            <v>0</v>
          </cell>
          <cell r="G565" t="str">
            <v>MPG</v>
          </cell>
          <cell r="H565" t="str">
            <v>Direct</v>
          </cell>
          <cell r="I565">
            <v>1014</v>
          </cell>
          <cell r="J565" t="str">
            <v>Dumraon</v>
          </cell>
          <cell r="K565" t="str">
            <v>Old</v>
          </cell>
          <cell r="L565">
            <v>44974</v>
          </cell>
          <cell r="M565">
            <v>409.9</v>
          </cell>
          <cell r="N565">
            <v>18850.68</v>
          </cell>
          <cell r="O565">
            <v>307.42499999999995</v>
          </cell>
          <cell r="P565">
            <v>389.40499999999997</v>
          </cell>
          <cell r="Q565">
            <v>237.38310538100001</v>
          </cell>
          <cell r="R565">
            <v>565.5204</v>
          </cell>
          <cell r="S565">
            <v>176.11540000000002</v>
          </cell>
          <cell r="T565">
            <v>40.99</v>
          </cell>
          <cell r="U565">
            <v>893.23154928778695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</row>
        <row r="566">
          <cell r="D566">
            <v>10140039</v>
          </cell>
          <cell r="E566" t="str">
            <v>Dharauli</v>
          </cell>
          <cell r="F566">
            <v>0</v>
          </cell>
          <cell r="G566" t="str">
            <v>MPG</v>
          </cell>
          <cell r="H566" t="str">
            <v>Direct</v>
          </cell>
          <cell r="I566">
            <v>1014</v>
          </cell>
          <cell r="J566" t="str">
            <v>Dumraon</v>
          </cell>
          <cell r="K566" t="str">
            <v>Old</v>
          </cell>
          <cell r="L566">
            <v>44974</v>
          </cell>
          <cell r="M566">
            <v>1334.5</v>
          </cell>
          <cell r="N566">
            <v>56865.47</v>
          </cell>
          <cell r="O566">
            <v>1000.875</v>
          </cell>
          <cell r="P566">
            <v>1267.7749999999999</v>
          </cell>
          <cell r="Q566">
            <v>1164.139319934</v>
          </cell>
          <cell r="R566">
            <v>1705.9640999999999</v>
          </cell>
          <cell r="S566">
            <v>438.18910000000005</v>
          </cell>
          <cell r="T566">
            <v>133.45000000000002</v>
          </cell>
          <cell r="U566">
            <v>1249.0949608193559</v>
          </cell>
          <cell r="V566">
            <v>2050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>
            <v>10140041</v>
          </cell>
          <cell r="E567" t="str">
            <v>Ramopatti</v>
          </cell>
          <cell r="F567">
            <v>0</v>
          </cell>
          <cell r="G567" t="str">
            <v>MPG</v>
          </cell>
          <cell r="H567" t="str">
            <v>Direct</v>
          </cell>
          <cell r="I567">
            <v>1014</v>
          </cell>
          <cell r="J567" t="str">
            <v>Dumraon</v>
          </cell>
          <cell r="K567" t="str">
            <v>Old</v>
          </cell>
          <cell r="L567">
            <v>44979</v>
          </cell>
          <cell r="M567">
            <v>847.30000000000007</v>
          </cell>
          <cell r="N567">
            <v>38058.71</v>
          </cell>
          <cell r="O567">
            <v>635.47500000000002</v>
          </cell>
          <cell r="P567">
            <v>804.93500000000006</v>
          </cell>
          <cell r="Q567">
            <v>214.29</v>
          </cell>
          <cell r="R567">
            <v>1141.7612999999999</v>
          </cell>
          <cell r="S567">
            <v>336.82629999999983</v>
          </cell>
          <cell r="T567">
            <v>84.730000000000018</v>
          </cell>
          <cell r="U567">
            <v>1570.092622481634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>
            <v>10140043</v>
          </cell>
          <cell r="E568" t="str">
            <v>Kaithi</v>
          </cell>
          <cell r="F568">
            <v>0</v>
          </cell>
          <cell r="G568" t="str">
            <v>MPG</v>
          </cell>
          <cell r="H568" t="str">
            <v>Direct</v>
          </cell>
          <cell r="I568">
            <v>1014</v>
          </cell>
          <cell r="J568" t="str">
            <v>Dumraon</v>
          </cell>
          <cell r="K568" t="str">
            <v>Old</v>
          </cell>
          <cell r="L568">
            <v>44984</v>
          </cell>
          <cell r="M568">
            <v>335.29999999999995</v>
          </cell>
          <cell r="N568">
            <v>13450.44</v>
          </cell>
          <cell r="O568">
            <v>251.47499999999997</v>
          </cell>
          <cell r="P568">
            <v>318.53499999999997</v>
          </cell>
          <cell r="Q568">
            <v>604.43320000000006</v>
          </cell>
          <cell r="R568">
            <v>403.51319999999998</v>
          </cell>
          <cell r="S568">
            <v>84.978200000000015</v>
          </cell>
          <cell r="T568">
            <v>33.529999999999994</v>
          </cell>
          <cell r="U568">
            <v>1140.667327008116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>
            <v>10140045</v>
          </cell>
          <cell r="E569" t="str">
            <v>Rangi Dera</v>
          </cell>
          <cell r="F569">
            <v>0</v>
          </cell>
          <cell r="G569" t="str">
            <v>MPG</v>
          </cell>
          <cell r="H569" t="str">
            <v>Direct</v>
          </cell>
          <cell r="I569">
            <v>1014</v>
          </cell>
          <cell r="J569" t="str">
            <v>Dumraon</v>
          </cell>
          <cell r="K569" t="str">
            <v>Old</v>
          </cell>
          <cell r="L569">
            <v>44995</v>
          </cell>
          <cell r="M569">
            <v>1875.5000000000002</v>
          </cell>
          <cell r="N569">
            <v>73063.58</v>
          </cell>
          <cell r="O569">
            <v>1406.6250000000002</v>
          </cell>
          <cell r="P569">
            <v>1781.7250000000001</v>
          </cell>
          <cell r="Q569">
            <v>1717.4593012194825</v>
          </cell>
          <cell r="R569">
            <v>2191.9074000000001</v>
          </cell>
          <cell r="S569">
            <v>410.18239999999992</v>
          </cell>
          <cell r="T569">
            <v>187.55000000000004</v>
          </cell>
          <cell r="U569">
            <v>719.70402000381773</v>
          </cell>
          <cell r="V569">
            <v>3999</v>
          </cell>
          <cell r="W569">
            <v>0</v>
          </cell>
          <cell r="X569">
            <v>1461.2716</v>
          </cell>
          <cell r="Y569">
            <v>0</v>
          </cell>
        </row>
        <row r="570">
          <cell r="D570">
            <v>10140047</v>
          </cell>
          <cell r="E570" t="str">
            <v>Dubki</v>
          </cell>
          <cell r="F570">
            <v>0</v>
          </cell>
          <cell r="G570" t="str">
            <v>MPG</v>
          </cell>
          <cell r="H570" t="str">
            <v>Direct</v>
          </cell>
          <cell r="I570">
            <v>1014</v>
          </cell>
          <cell r="J570" t="str">
            <v>Dumraon</v>
          </cell>
          <cell r="K570" t="str">
            <v>Old</v>
          </cell>
          <cell r="L570">
            <v>44996</v>
          </cell>
          <cell r="M570">
            <v>425.3</v>
          </cell>
          <cell r="N570">
            <v>19838.7</v>
          </cell>
          <cell r="O570">
            <v>318.97500000000002</v>
          </cell>
          <cell r="P570">
            <v>404.03499999999997</v>
          </cell>
          <cell r="Q570">
            <v>174.73952665508</v>
          </cell>
          <cell r="R570">
            <v>595.16099999999994</v>
          </cell>
          <cell r="S570">
            <v>191.12599999999998</v>
          </cell>
          <cell r="T570">
            <v>42.53</v>
          </cell>
          <cell r="U570">
            <v>854.940365185259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>
            <v>10140048</v>
          </cell>
          <cell r="E571" t="str">
            <v>Sonvarsa</v>
          </cell>
          <cell r="F571">
            <v>0</v>
          </cell>
          <cell r="G571" t="str">
            <v>MPG</v>
          </cell>
          <cell r="H571" t="str">
            <v>Direct</v>
          </cell>
          <cell r="I571">
            <v>1014</v>
          </cell>
          <cell r="J571" t="str">
            <v>Dumraon</v>
          </cell>
          <cell r="K571" t="str">
            <v>Old</v>
          </cell>
          <cell r="L571">
            <v>44998</v>
          </cell>
          <cell r="M571">
            <v>542.4</v>
          </cell>
          <cell r="N571">
            <v>22632.839999999997</v>
          </cell>
          <cell r="O571">
            <v>406.79999999999995</v>
          </cell>
          <cell r="P571">
            <v>515.28</v>
          </cell>
          <cell r="Q571">
            <v>60.816636904000006</v>
          </cell>
          <cell r="R571">
            <v>678.98519999999985</v>
          </cell>
          <cell r="S571">
            <v>163.70519999999988</v>
          </cell>
          <cell r="T571">
            <v>54.24</v>
          </cell>
          <cell r="U571">
            <v>928.71531084200433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D572">
            <v>10140054</v>
          </cell>
          <cell r="E572" t="str">
            <v>Soan</v>
          </cell>
          <cell r="F572">
            <v>0</v>
          </cell>
          <cell r="G572" t="str">
            <v>MPG</v>
          </cell>
          <cell r="H572" t="str">
            <v>Direct</v>
          </cell>
          <cell r="I572">
            <v>1014</v>
          </cell>
          <cell r="J572" t="str">
            <v>Dumraon</v>
          </cell>
          <cell r="K572" t="str">
            <v>Old</v>
          </cell>
          <cell r="L572">
            <v>45014</v>
          </cell>
          <cell r="M572">
            <v>1487.3000000000002</v>
          </cell>
          <cell r="N572">
            <v>75060.040000000008</v>
          </cell>
          <cell r="O572">
            <v>1115.4750000000001</v>
          </cell>
          <cell r="P572">
            <v>1412.9350000000002</v>
          </cell>
          <cell r="Q572">
            <v>627.6569862471639</v>
          </cell>
          <cell r="R572">
            <v>2251.8012000000003</v>
          </cell>
          <cell r="S572">
            <v>838.86620000000016</v>
          </cell>
          <cell r="T572">
            <v>148.73000000000002</v>
          </cell>
          <cell r="U572">
            <v>1335.4129242278686</v>
          </cell>
          <cell r="V572">
            <v>1672</v>
          </cell>
          <cell r="W572">
            <v>1672</v>
          </cell>
          <cell r="X572">
            <v>0</v>
          </cell>
          <cell r="Y572">
            <v>0</v>
          </cell>
        </row>
        <row r="573">
          <cell r="D573">
            <v>10140055</v>
          </cell>
          <cell r="E573" t="str">
            <v xml:space="preserve">PURANA BHOJPUR                                                                                      </v>
          </cell>
          <cell r="F573">
            <v>0</v>
          </cell>
          <cell r="G573" t="str">
            <v>MPG</v>
          </cell>
          <cell r="H573" t="str">
            <v>Direct</v>
          </cell>
          <cell r="I573">
            <v>1014</v>
          </cell>
          <cell r="J573" t="str">
            <v>Dumraon</v>
          </cell>
          <cell r="K573" t="str">
            <v>Old</v>
          </cell>
          <cell r="L573">
            <v>45076</v>
          </cell>
          <cell r="M573">
            <v>2145.8000000000002</v>
          </cell>
          <cell r="N573">
            <v>86634.099999999991</v>
          </cell>
          <cell r="O573">
            <v>1609.3500000000001</v>
          </cell>
          <cell r="P573">
            <v>2038.51</v>
          </cell>
          <cell r="Q573">
            <v>157.87105600000001</v>
          </cell>
          <cell r="R573">
            <v>2599.0229999999997</v>
          </cell>
          <cell r="S573">
            <v>560.51299999999969</v>
          </cell>
          <cell r="T573">
            <v>214.58000000000004</v>
          </cell>
          <cell r="U573">
            <v>533.32562083383175</v>
          </cell>
          <cell r="V573">
            <v>3058</v>
          </cell>
          <cell r="W573">
            <v>1861</v>
          </cell>
          <cell r="X573">
            <v>0</v>
          </cell>
          <cell r="Y573">
            <v>0</v>
          </cell>
        </row>
        <row r="574">
          <cell r="D574">
            <v>10140058</v>
          </cell>
          <cell r="E574" t="str">
            <v>Gomukh Lewar</v>
          </cell>
          <cell r="F574">
            <v>0</v>
          </cell>
          <cell r="G574" t="str">
            <v>MPG</v>
          </cell>
          <cell r="H574" t="str">
            <v>Direct</v>
          </cell>
          <cell r="I574">
            <v>1014</v>
          </cell>
          <cell r="J574" t="str">
            <v>Dumraon</v>
          </cell>
          <cell r="K574" t="str">
            <v>Old</v>
          </cell>
          <cell r="L574">
            <v>45127</v>
          </cell>
          <cell r="M574">
            <v>88.8</v>
          </cell>
          <cell r="N574">
            <v>3287.2500000000005</v>
          </cell>
          <cell r="O574">
            <v>66.599999999999994</v>
          </cell>
          <cell r="P574">
            <v>84.36</v>
          </cell>
          <cell r="Q574">
            <v>20.57</v>
          </cell>
          <cell r="R574">
            <v>98.617500000000007</v>
          </cell>
          <cell r="S574">
            <v>14.257500000000007</v>
          </cell>
          <cell r="T574">
            <v>8.8800000000000008</v>
          </cell>
          <cell r="U574">
            <v>162.67618443724177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>
            <v>10140066</v>
          </cell>
          <cell r="E575" t="str">
            <v>Gomukh Kant</v>
          </cell>
          <cell r="F575">
            <v>0</v>
          </cell>
          <cell r="G575" t="str">
            <v>MPG</v>
          </cell>
          <cell r="H575" t="str">
            <v>Direct</v>
          </cell>
          <cell r="I575">
            <v>1014</v>
          </cell>
          <cell r="J575" t="str">
            <v>Dumraon</v>
          </cell>
          <cell r="K575" t="str">
            <v>Old</v>
          </cell>
          <cell r="L575">
            <v>45170</v>
          </cell>
          <cell r="M575">
            <v>1145.5</v>
          </cell>
          <cell r="N575">
            <v>65100.58</v>
          </cell>
          <cell r="O575">
            <v>859.125</v>
          </cell>
          <cell r="P575">
            <v>1088.2249999999999</v>
          </cell>
          <cell r="Q575">
            <v>719.15456881695013</v>
          </cell>
          <cell r="R575">
            <v>1953.0174</v>
          </cell>
          <cell r="S575">
            <v>864.79240000000004</v>
          </cell>
          <cell r="T575">
            <v>114.55000000000001</v>
          </cell>
          <cell r="U575">
            <v>1892.2680119028014</v>
          </cell>
          <cell r="V575">
            <v>660</v>
          </cell>
          <cell r="W575">
            <v>660</v>
          </cell>
          <cell r="X575">
            <v>0</v>
          </cell>
          <cell r="Y575">
            <v>0</v>
          </cell>
        </row>
        <row r="576">
          <cell r="D576">
            <v>10140068</v>
          </cell>
          <cell r="E576" t="str">
            <v>Gomukh Naat</v>
          </cell>
          <cell r="F576">
            <v>0</v>
          </cell>
          <cell r="G576" t="str">
            <v>MPG</v>
          </cell>
          <cell r="H576" t="str">
            <v>Direct</v>
          </cell>
          <cell r="I576">
            <v>1014</v>
          </cell>
          <cell r="J576" t="str">
            <v>Dumraon</v>
          </cell>
          <cell r="K576" t="str">
            <v>Old</v>
          </cell>
          <cell r="L576">
            <v>45170</v>
          </cell>
          <cell r="M576">
            <v>882.59999999999991</v>
          </cell>
          <cell r="N576">
            <v>33250.06</v>
          </cell>
          <cell r="O576">
            <v>661.94999999999993</v>
          </cell>
          <cell r="P576">
            <v>838.46999999999991</v>
          </cell>
          <cell r="Q576">
            <v>507.15530792000004</v>
          </cell>
          <cell r="R576">
            <v>997.50179999999989</v>
          </cell>
          <cell r="S576">
            <v>159.03179999999998</v>
          </cell>
          <cell r="T576">
            <v>88.259999999999991</v>
          </cell>
          <cell r="U576">
            <v>1433.98399862258</v>
          </cell>
          <cell r="V576">
            <v>485</v>
          </cell>
          <cell r="W576">
            <v>485</v>
          </cell>
          <cell r="X576">
            <v>0</v>
          </cell>
          <cell r="Y576">
            <v>0</v>
          </cell>
        </row>
        <row r="577">
          <cell r="D577">
            <v>10140069</v>
          </cell>
          <cell r="E577" t="str">
            <v>Gomukh Raghunathpur</v>
          </cell>
          <cell r="F577">
            <v>0</v>
          </cell>
          <cell r="G577" t="str">
            <v>MPG</v>
          </cell>
          <cell r="H577" t="str">
            <v>Direct</v>
          </cell>
          <cell r="I577">
            <v>1014</v>
          </cell>
          <cell r="J577" t="str">
            <v>Dumraon</v>
          </cell>
          <cell r="K577" t="str">
            <v>Old</v>
          </cell>
          <cell r="L577">
            <v>45170</v>
          </cell>
          <cell r="M577">
            <v>2418</v>
          </cell>
          <cell r="N577">
            <v>98126.59</v>
          </cell>
          <cell r="O577">
            <v>1813.5</v>
          </cell>
          <cell r="P577">
            <v>2297.1</v>
          </cell>
          <cell r="Q577">
            <v>924.50366592000012</v>
          </cell>
          <cell r="R577">
            <v>2943.7976999999996</v>
          </cell>
          <cell r="S577">
            <v>646.69769999999971</v>
          </cell>
          <cell r="T577">
            <v>241.8</v>
          </cell>
          <cell r="U577">
            <v>309.56074238729127</v>
          </cell>
          <cell r="V577">
            <v>4484</v>
          </cell>
          <cell r="W577">
            <v>1962.5318</v>
          </cell>
          <cell r="X577">
            <v>0</v>
          </cell>
          <cell r="Y577">
            <v>0</v>
          </cell>
        </row>
        <row r="578">
          <cell r="D578">
            <v>10140071</v>
          </cell>
          <cell r="E578" t="str">
            <v>Gomukh Tilakraika Hata 1 - Manoj</v>
          </cell>
          <cell r="F578">
            <v>0</v>
          </cell>
          <cell r="G578" t="str">
            <v>vlc</v>
          </cell>
          <cell r="H578" t="str">
            <v>Indirect</v>
          </cell>
          <cell r="I578">
            <v>1014</v>
          </cell>
          <cell r="J578" t="str">
            <v>Dumraon</v>
          </cell>
          <cell r="K578" t="str">
            <v>Old</v>
          </cell>
          <cell r="L578">
            <v>45141</v>
          </cell>
          <cell r="M578">
            <v>2165.5</v>
          </cell>
          <cell r="N578">
            <v>77787.69</v>
          </cell>
          <cell r="O578">
            <v>1624.125</v>
          </cell>
          <cell r="P578">
            <v>2057.2249999999999</v>
          </cell>
          <cell r="Q578">
            <v>0</v>
          </cell>
          <cell r="R578">
            <v>2333.6307000000002</v>
          </cell>
          <cell r="S578">
            <v>276.40570000000025</v>
          </cell>
          <cell r="T578">
            <v>216.55</v>
          </cell>
          <cell r="U578">
            <v>453.96891498473474</v>
          </cell>
          <cell r="V578">
            <v>3011</v>
          </cell>
          <cell r="W578">
            <v>0</v>
          </cell>
          <cell r="X578">
            <v>0</v>
          </cell>
          <cell r="Y578">
            <v>0</v>
          </cell>
        </row>
        <row r="579">
          <cell r="D579">
            <v>10140083</v>
          </cell>
          <cell r="E579" t="str">
            <v>Gomukh Murar</v>
          </cell>
          <cell r="F579">
            <v>0</v>
          </cell>
          <cell r="G579" t="str">
            <v>MPG</v>
          </cell>
          <cell r="H579" t="str">
            <v>Direct</v>
          </cell>
          <cell r="I579">
            <v>1014</v>
          </cell>
          <cell r="J579" t="str">
            <v>Dumraon</v>
          </cell>
          <cell r="K579" t="str">
            <v>Old</v>
          </cell>
          <cell r="L579">
            <v>45291</v>
          </cell>
          <cell r="M579">
            <v>956.2</v>
          </cell>
          <cell r="N579">
            <v>45356.04</v>
          </cell>
          <cell r="O579">
            <v>717.15000000000009</v>
          </cell>
          <cell r="P579">
            <v>908.39</v>
          </cell>
          <cell r="Q579">
            <v>497.81143458723994</v>
          </cell>
          <cell r="R579">
            <v>1360.6812</v>
          </cell>
          <cell r="S579">
            <v>452.2912</v>
          </cell>
          <cell r="T579">
            <v>95.62</v>
          </cell>
          <cell r="U579">
            <v>1754.6311692611855</v>
          </cell>
          <cell r="V579">
            <v>273</v>
          </cell>
          <cell r="W579">
            <v>273</v>
          </cell>
          <cell r="X579">
            <v>0</v>
          </cell>
          <cell r="Y579">
            <v>0</v>
          </cell>
        </row>
        <row r="580">
          <cell r="D580">
            <v>10140087</v>
          </cell>
          <cell r="E580" t="str">
            <v xml:space="preserve">Gomukh Churamanpur                                                                                  </v>
          </cell>
          <cell r="F580">
            <v>0</v>
          </cell>
          <cell r="G580" t="str">
            <v>MPG</v>
          </cell>
          <cell r="H580" t="str">
            <v>Direct</v>
          </cell>
          <cell r="I580">
            <v>1014</v>
          </cell>
          <cell r="J580" t="str">
            <v>Dumraon</v>
          </cell>
          <cell r="K580" t="str">
            <v>Old</v>
          </cell>
          <cell r="L580">
            <v>45297</v>
          </cell>
          <cell r="M580">
            <v>1484.6</v>
          </cell>
          <cell r="N580">
            <v>61024.47</v>
          </cell>
          <cell r="O580">
            <v>1113.4499999999998</v>
          </cell>
          <cell r="P580">
            <v>1410.37</v>
          </cell>
          <cell r="Q580">
            <v>703.23221887240015</v>
          </cell>
          <cell r="R580">
            <v>1830.7340999999999</v>
          </cell>
          <cell r="S580">
            <v>420.36410000000001</v>
          </cell>
          <cell r="T580">
            <v>148.46</v>
          </cell>
          <cell r="U580">
            <v>1084.8182716076012</v>
          </cell>
          <cell r="V580">
            <v>1994</v>
          </cell>
          <cell r="W580">
            <v>1861</v>
          </cell>
          <cell r="X580">
            <v>0</v>
          </cell>
          <cell r="Y580">
            <v>0</v>
          </cell>
        </row>
        <row r="581">
          <cell r="D581">
            <v>10140095</v>
          </cell>
          <cell r="E581" t="str">
            <v>Gomukh Ekauni Karuwaj</v>
          </cell>
          <cell r="F581">
            <v>0</v>
          </cell>
          <cell r="G581" t="str">
            <v>MPG</v>
          </cell>
          <cell r="H581" t="str">
            <v>Direct</v>
          </cell>
          <cell r="I581">
            <v>1014</v>
          </cell>
          <cell r="J581" t="str">
            <v>Dumraon</v>
          </cell>
          <cell r="K581" t="str">
            <v>Old</v>
          </cell>
          <cell r="L581">
            <v>45352</v>
          </cell>
          <cell r="M581">
            <v>1462.9</v>
          </cell>
          <cell r="N581">
            <v>59479.560000000005</v>
          </cell>
          <cell r="O581">
            <v>1097.1750000000002</v>
          </cell>
          <cell r="P581">
            <v>1389.7550000000001</v>
          </cell>
          <cell r="Q581">
            <v>23.3729538459</v>
          </cell>
          <cell r="R581">
            <v>1784.3868</v>
          </cell>
          <cell r="S581">
            <v>394.63179999999988</v>
          </cell>
          <cell r="T581">
            <v>146.29000000000002</v>
          </cell>
          <cell r="U581">
            <v>1091.4591127944127</v>
          </cell>
          <cell r="V581">
            <v>1273</v>
          </cell>
          <cell r="W581">
            <v>361</v>
          </cell>
          <cell r="X581">
            <v>0</v>
          </cell>
          <cell r="Y581">
            <v>0</v>
          </cell>
        </row>
        <row r="582">
          <cell r="D582">
            <v>10140098</v>
          </cell>
          <cell r="E582" t="str">
            <v>Kulharia Agriculture Producer Company Limited</v>
          </cell>
          <cell r="F582">
            <v>0</v>
          </cell>
          <cell r="G582" t="str">
            <v>MPG</v>
          </cell>
          <cell r="H582" t="str">
            <v>Direct</v>
          </cell>
          <cell r="I582">
            <v>1014</v>
          </cell>
          <cell r="J582" t="str">
            <v>Dumraon</v>
          </cell>
          <cell r="K582" t="str">
            <v>Old</v>
          </cell>
          <cell r="L582">
            <v>45457</v>
          </cell>
          <cell r="M582">
            <v>1751.7</v>
          </cell>
          <cell r="N582">
            <v>75034.819999999992</v>
          </cell>
          <cell r="O582">
            <v>1313.7750000000001</v>
          </cell>
          <cell r="P582">
            <v>1664.115</v>
          </cell>
          <cell r="Q582">
            <v>1130.8299220880001</v>
          </cell>
          <cell r="R582">
            <v>2251.0445999999997</v>
          </cell>
          <cell r="S582">
            <v>586.92959999999971</v>
          </cell>
          <cell r="T582">
            <v>175.17000000000002</v>
          </cell>
          <cell r="U582">
            <v>929.93009761541725</v>
          </cell>
          <cell r="V582">
            <v>3004</v>
          </cell>
          <cell r="W582">
            <v>1861</v>
          </cell>
          <cell r="X582">
            <v>0</v>
          </cell>
          <cell r="Y582">
            <v>0</v>
          </cell>
        </row>
        <row r="583">
          <cell r="D583">
            <v>10140099</v>
          </cell>
          <cell r="E583" t="str">
            <v>Gomukh Dhakaich</v>
          </cell>
          <cell r="F583">
            <v>0</v>
          </cell>
          <cell r="G583" t="str">
            <v>MPG</v>
          </cell>
          <cell r="H583" t="str">
            <v>Direct</v>
          </cell>
          <cell r="I583">
            <v>1014</v>
          </cell>
          <cell r="J583" t="str">
            <v>Dumraon</v>
          </cell>
          <cell r="K583" t="str">
            <v>Old</v>
          </cell>
          <cell r="L583">
            <v>45408</v>
          </cell>
          <cell r="M583">
            <v>234.29999999999998</v>
          </cell>
          <cell r="N583">
            <v>8903.5300000000007</v>
          </cell>
          <cell r="O583">
            <v>175.72499999999999</v>
          </cell>
          <cell r="P583">
            <v>222.58499999999998</v>
          </cell>
          <cell r="Q583">
            <v>0</v>
          </cell>
          <cell r="R583">
            <v>267.10590000000002</v>
          </cell>
          <cell r="S583">
            <v>44.52090000000004</v>
          </cell>
          <cell r="T583">
            <v>23.43</v>
          </cell>
          <cell r="U583">
            <v>374.41798794578381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>
            <v>10140107</v>
          </cell>
          <cell r="E584" t="str">
            <v>Gomukh Chhapra</v>
          </cell>
          <cell r="F584">
            <v>0</v>
          </cell>
          <cell r="G584" t="str">
            <v>MPG</v>
          </cell>
          <cell r="H584" t="str">
            <v>Direct</v>
          </cell>
          <cell r="I584">
            <v>1014</v>
          </cell>
          <cell r="J584" t="str">
            <v>Dumraon</v>
          </cell>
          <cell r="K584" t="str">
            <v>Old</v>
          </cell>
          <cell r="L584">
            <v>45485</v>
          </cell>
          <cell r="M584">
            <v>3976.7</v>
          </cell>
          <cell r="N584">
            <v>174572.13</v>
          </cell>
          <cell r="O584">
            <v>2982.5249999999996</v>
          </cell>
          <cell r="P584">
            <v>3777.8649999999998</v>
          </cell>
          <cell r="Q584">
            <v>3840.6451856560002</v>
          </cell>
          <cell r="R584">
            <v>5237.1638999999996</v>
          </cell>
          <cell r="S584">
            <v>1459.2988999999998</v>
          </cell>
          <cell r="T584">
            <v>397.67</v>
          </cell>
          <cell r="U584">
            <v>0</v>
          </cell>
          <cell r="V584">
            <v>10203</v>
          </cell>
          <cell r="W584">
            <v>3491.4426000000003</v>
          </cell>
          <cell r="X584">
            <v>0</v>
          </cell>
          <cell r="Y584">
            <v>0</v>
          </cell>
        </row>
        <row r="585">
          <cell r="D585">
            <v>10140109</v>
          </cell>
          <cell r="E585" t="str">
            <v>Gomukh Kajipura Chandan</v>
          </cell>
          <cell r="F585">
            <v>0</v>
          </cell>
          <cell r="G585" t="str">
            <v>vlc</v>
          </cell>
          <cell r="H585" t="str">
            <v>Indirect</v>
          </cell>
          <cell r="I585">
            <v>1014</v>
          </cell>
          <cell r="J585" t="str">
            <v>Dumraon</v>
          </cell>
          <cell r="K585" t="str">
            <v>Old</v>
          </cell>
          <cell r="L585">
            <v>45444</v>
          </cell>
          <cell r="M585">
            <v>2234.8000000000002</v>
          </cell>
          <cell r="N585">
            <v>87746.73000000001</v>
          </cell>
          <cell r="O585">
            <v>1676.1000000000001</v>
          </cell>
          <cell r="P585">
            <v>2123.06</v>
          </cell>
          <cell r="Q585">
            <v>0</v>
          </cell>
          <cell r="R585">
            <v>2632.4019000000003</v>
          </cell>
          <cell r="S585">
            <v>509.34190000000035</v>
          </cell>
          <cell r="T585">
            <v>223.48000000000002</v>
          </cell>
          <cell r="U585">
            <v>642.3033762385827</v>
          </cell>
          <cell r="V585">
            <v>2933</v>
          </cell>
          <cell r="W585">
            <v>0</v>
          </cell>
          <cell r="X585">
            <v>0</v>
          </cell>
          <cell r="Y585">
            <v>0</v>
          </cell>
        </row>
        <row r="586">
          <cell r="D586">
            <v>10140114</v>
          </cell>
          <cell r="E586" t="str">
            <v>Gomukh Ekrashi Sadabriksh</v>
          </cell>
          <cell r="F586">
            <v>0</v>
          </cell>
          <cell r="G586" t="str">
            <v>vlc</v>
          </cell>
          <cell r="H586" t="str">
            <v>Indirect</v>
          </cell>
          <cell r="I586">
            <v>1014</v>
          </cell>
          <cell r="J586" t="str">
            <v>Dumraon</v>
          </cell>
          <cell r="K586" t="str">
            <v>Old</v>
          </cell>
          <cell r="L586">
            <v>45485</v>
          </cell>
          <cell r="M586">
            <v>496.4</v>
          </cell>
          <cell r="N586">
            <v>26352.409999999996</v>
          </cell>
          <cell r="O586">
            <v>372.29999999999995</v>
          </cell>
          <cell r="P586">
            <v>471.58</v>
          </cell>
          <cell r="Q586">
            <v>0</v>
          </cell>
          <cell r="R586">
            <v>790.57229999999981</v>
          </cell>
          <cell r="S586">
            <v>318.99229999999983</v>
          </cell>
          <cell r="T586">
            <v>49.64</v>
          </cell>
          <cell r="U586">
            <v>794.65904580512961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D587">
            <v>10140119</v>
          </cell>
          <cell r="E587" t="str">
            <v>Gomukh Banswar</v>
          </cell>
          <cell r="F587">
            <v>0</v>
          </cell>
          <cell r="G587" t="str">
            <v>MPG</v>
          </cell>
          <cell r="H587" t="str">
            <v>Direct</v>
          </cell>
          <cell r="I587">
            <v>1014</v>
          </cell>
          <cell r="J587" t="str">
            <v>Dumraon</v>
          </cell>
          <cell r="K587" t="str">
            <v>Old</v>
          </cell>
          <cell r="L587">
            <v>45535</v>
          </cell>
          <cell r="M587">
            <v>1065.3</v>
          </cell>
          <cell r="N587">
            <v>50297.61</v>
          </cell>
          <cell r="O587">
            <v>798.97499999999991</v>
          </cell>
          <cell r="P587">
            <v>1012.0349999999999</v>
          </cell>
          <cell r="Q587">
            <v>1202.5531792320999</v>
          </cell>
          <cell r="R587">
            <v>1508.9283</v>
          </cell>
          <cell r="S587">
            <v>496.89330000000018</v>
          </cell>
          <cell r="T587">
            <v>106.53</v>
          </cell>
          <cell r="U587">
            <v>1637.7234228644729</v>
          </cell>
          <cell r="V587">
            <v>1269</v>
          </cell>
          <cell r="W587">
            <v>1269</v>
          </cell>
          <cell r="X587">
            <v>0</v>
          </cell>
          <cell r="Y587">
            <v>0</v>
          </cell>
        </row>
        <row r="588">
          <cell r="D588">
            <v>10140120</v>
          </cell>
          <cell r="E588" t="str">
            <v>Gomukh Sikraul Lakh</v>
          </cell>
          <cell r="F588">
            <v>0</v>
          </cell>
          <cell r="G588" t="str">
            <v>MPG</v>
          </cell>
          <cell r="H588" t="str">
            <v>Direct</v>
          </cell>
          <cell r="I588">
            <v>1014</v>
          </cell>
          <cell r="J588" t="str">
            <v>Dumraon</v>
          </cell>
          <cell r="K588" t="str">
            <v>Old</v>
          </cell>
          <cell r="L588">
            <v>45590</v>
          </cell>
          <cell r="M588">
            <v>334.9</v>
          </cell>
          <cell r="N588">
            <v>13328.43</v>
          </cell>
          <cell r="O588">
            <v>251.17499999999998</v>
          </cell>
          <cell r="P588">
            <v>318.15499999999997</v>
          </cell>
          <cell r="Q588">
            <v>288.45895186269001</v>
          </cell>
          <cell r="R588">
            <v>399.85289999999998</v>
          </cell>
          <cell r="S588">
            <v>81.697900000000004</v>
          </cell>
          <cell r="T588">
            <v>33.49</v>
          </cell>
          <cell r="U588">
            <v>824.40883944953089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>
            <v>10140122</v>
          </cell>
          <cell r="E589" t="str">
            <v>Gomukh Navadera Prem</v>
          </cell>
          <cell r="F589">
            <v>0</v>
          </cell>
          <cell r="G589" t="str">
            <v>vlc</v>
          </cell>
          <cell r="H589" t="str">
            <v>Indirect</v>
          </cell>
          <cell r="I589">
            <v>1014</v>
          </cell>
          <cell r="J589" t="str">
            <v>Dumraon</v>
          </cell>
          <cell r="K589" t="str">
            <v>Old</v>
          </cell>
          <cell r="L589">
            <v>45541</v>
          </cell>
          <cell r="M589">
            <v>786</v>
          </cell>
          <cell r="N589">
            <v>31141.690000000002</v>
          </cell>
          <cell r="O589">
            <v>589.5</v>
          </cell>
          <cell r="P589">
            <v>746.69999999999993</v>
          </cell>
          <cell r="Q589">
            <v>0</v>
          </cell>
          <cell r="R589">
            <v>934.25070000000005</v>
          </cell>
          <cell r="S589">
            <v>187.55070000000012</v>
          </cell>
          <cell r="T589">
            <v>78.600000000000009</v>
          </cell>
          <cell r="U589">
            <v>1257.7145269291746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D590">
            <v>10140126</v>
          </cell>
          <cell r="E590" t="str">
            <v>Gomukh Dafadihari</v>
          </cell>
          <cell r="F590">
            <v>0</v>
          </cell>
          <cell r="G590" t="str">
            <v>MPG</v>
          </cell>
          <cell r="H590" t="str">
            <v>Direct</v>
          </cell>
          <cell r="I590">
            <v>1014</v>
          </cell>
          <cell r="J590" t="str">
            <v>Dumraon</v>
          </cell>
          <cell r="K590" t="str">
            <v>Old</v>
          </cell>
          <cell r="L590">
            <v>45590</v>
          </cell>
          <cell r="M590">
            <v>805.5</v>
          </cell>
          <cell r="N590">
            <v>35467.380000000005</v>
          </cell>
          <cell r="O590">
            <v>604.125</v>
          </cell>
          <cell r="P590">
            <v>765.22499999999991</v>
          </cell>
          <cell r="Q590">
            <v>580.56094088657505</v>
          </cell>
          <cell r="R590">
            <v>1064.0214000000001</v>
          </cell>
          <cell r="S590">
            <v>298.79640000000018</v>
          </cell>
          <cell r="T590">
            <v>80.550000000000011</v>
          </cell>
          <cell r="U590">
            <v>1759.2924145445572</v>
          </cell>
          <cell r="V590">
            <v>110</v>
          </cell>
          <cell r="W590">
            <v>110</v>
          </cell>
          <cell r="X590">
            <v>0</v>
          </cell>
          <cell r="Y590">
            <v>0</v>
          </cell>
        </row>
        <row r="591">
          <cell r="D591">
            <v>10140129</v>
          </cell>
          <cell r="E591" t="str">
            <v>Gomukh Paharpur</v>
          </cell>
          <cell r="F591">
            <v>0</v>
          </cell>
          <cell r="G591" t="str">
            <v>MPG</v>
          </cell>
          <cell r="H591" t="str">
            <v>Direct</v>
          </cell>
          <cell r="I591">
            <v>1014</v>
          </cell>
          <cell r="J591" t="str">
            <v>Dumraon</v>
          </cell>
          <cell r="K591" t="str">
            <v>Old</v>
          </cell>
          <cell r="L591">
            <v>45590</v>
          </cell>
          <cell r="M591">
            <v>3509</v>
          </cell>
          <cell r="N591">
            <v>133931.22</v>
          </cell>
          <cell r="O591">
            <v>2631.75</v>
          </cell>
          <cell r="P591">
            <v>3333.5499999999997</v>
          </cell>
          <cell r="Q591">
            <v>1005.01450235564</v>
          </cell>
          <cell r="R591">
            <v>4017.9366</v>
          </cell>
          <cell r="S591">
            <v>684.38660000000027</v>
          </cell>
          <cell r="T591">
            <v>350.90000000000003</v>
          </cell>
          <cell r="U591">
            <v>0</v>
          </cell>
          <cell r="V591">
            <v>6619</v>
          </cell>
          <cell r="W591">
            <v>2678.6244000000002</v>
          </cell>
          <cell r="X591">
            <v>0</v>
          </cell>
          <cell r="Y591">
            <v>0</v>
          </cell>
        </row>
        <row r="592">
          <cell r="D592">
            <v>10140130</v>
          </cell>
          <cell r="E592" t="str">
            <v>Gomukh Badkagaon</v>
          </cell>
          <cell r="F592">
            <v>0</v>
          </cell>
          <cell r="G592" t="str">
            <v>MPG</v>
          </cell>
          <cell r="H592" t="str">
            <v>Direct</v>
          </cell>
          <cell r="I592">
            <v>1014</v>
          </cell>
          <cell r="J592" t="str">
            <v>Dumraon</v>
          </cell>
          <cell r="K592" t="str">
            <v>Old</v>
          </cell>
          <cell r="L592">
            <v>45590</v>
          </cell>
          <cell r="M592">
            <v>2797.6</v>
          </cell>
          <cell r="N592">
            <v>116222.56</v>
          </cell>
          <cell r="O592">
            <v>2098.1999999999998</v>
          </cell>
          <cell r="P592">
            <v>2657.72</v>
          </cell>
          <cell r="Q592">
            <v>2607.2397171840003</v>
          </cell>
          <cell r="R592">
            <v>3486.6767999999997</v>
          </cell>
          <cell r="S592">
            <v>828.95679999999993</v>
          </cell>
          <cell r="T592">
            <v>279.76</v>
          </cell>
          <cell r="U592">
            <v>61.578426795655325</v>
          </cell>
          <cell r="V592">
            <v>7022</v>
          </cell>
          <cell r="W592">
            <v>2324.4512</v>
          </cell>
          <cell r="X592">
            <v>0</v>
          </cell>
          <cell r="Y592">
            <v>0</v>
          </cell>
        </row>
        <row r="593">
          <cell r="D593">
            <v>10140131</v>
          </cell>
          <cell r="E593" t="str">
            <v>Gomukh Basaon Kalan</v>
          </cell>
          <cell r="F593">
            <v>0</v>
          </cell>
          <cell r="G593" t="str">
            <v>MPG</v>
          </cell>
          <cell r="H593" t="str">
            <v>Direct</v>
          </cell>
          <cell r="I593">
            <v>1014</v>
          </cell>
          <cell r="J593" t="str">
            <v>Dumraon</v>
          </cell>
          <cell r="K593" t="str">
            <v>Old</v>
          </cell>
          <cell r="L593">
            <v>45590</v>
          </cell>
          <cell r="M593">
            <v>963.2</v>
          </cell>
          <cell r="N593">
            <v>37606.559999999998</v>
          </cell>
          <cell r="O593">
            <v>722.40000000000009</v>
          </cell>
          <cell r="P593">
            <v>915.04</v>
          </cell>
          <cell r="Q593">
            <v>0</v>
          </cell>
          <cell r="R593">
            <v>1128.1967999999999</v>
          </cell>
          <cell r="S593">
            <v>213.15679999999998</v>
          </cell>
          <cell r="T593">
            <v>96.320000000000007</v>
          </cell>
          <cell r="U593">
            <v>1437.8307792186572</v>
          </cell>
          <cell r="V593">
            <v>103</v>
          </cell>
          <cell r="W593">
            <v>0</v>
          </cell>
          <cell r="X593">
            <v>103</v>
          </cell>
          <cell r="Y593">
            <v>0</v>
          </cell>
        </row>
        <row r="594">
          <cell r="D594">
            <v>10140132</v>
          </cell>
          <cell r="E594" t="str">
            <v>Gomukh Mangolpur</v>
          </cell>
          <cell r="F594">
            <v>0</v>
          </cell>
          <cell r="G594" t="str">
            <v>MPG</v>
          </cell>
          <cell r="H594" t="str">
            <v>Direct</v>
          </cell>
          <cell r="I594">
            <v>1014</v>
          </cell>
          <cell r="J594" t="str">
            <v>Dumraon</v>
          </cell>
          <cell r="K594" t="str">
            <v>Old</v>
          </cell>
          <cell r="L594">
            <v>45590</v>
          </cell>
          <cell r="M594">
            <v>694</v>
          </cell>
          <cell r="N594">
            <v>25743.47</v>
          </cell>
          <cell r="O594">
            <v>520.5</v>
          </cell>
          <cell r="P594">
            <v>659.3</v>
          </cell>
          <cell r="Q594">
            <v>661.6097062020001</v>
          </cell>
          <cell r="R594">
            <v>772.30410000000006</v>
          </cell>
          <cell r="S594">
            <v>113.00410000000011</v>
          </cell>
          <cell r="T594">
            <v>69.400000000000006</v>
          </cell>
          <cell r="U594">
            <v>1562.6784208185693</v>
          </cell>
          <cell r="V594">
            <v>209</v>
          </cell>
          <cell r="W594">
            <v>209</v>
          </cell>
          <cell r="X594">
            <v>0</v>
          </cell>
          <cell r="Y594">
            <v>0</v>
          </cell>
        </row>
        <row r="595">
          <cell r="D595">
            <v>10140135</v>
          </cell>
          <cell r="E595" t="str">
            <v>Gomukh Dhanipur</v>
          </cell>
          <cell r="F595">
            <v>0</v>
          </cell>
          <cell r="G595" t="str">
            <v>MPG</v>
          </cell>
          <cell r="H595" t="str">
            <v>Direct</v>
          </cell>
          <cell r="I595">
            <v>1014</v>
          </cell>
          <cell r="J595" t="str">
            <v>Dumraon</v>
          </cell>
          <cell r="K595" t="str">
            <v>Old</v>
          </cell>
          <cell r="L595">
            <v>45599</v>
          </cell>
          <cell r="M595">
            <v>1809.3999999999999</v>
          </cell>
          <cell r="N595">
            <v>71870.039999999994</v>
          </cell>
          <cell r="O595">
            <v>1357.05</v>
          </cell>
          <cell r="P595">
            <v>1718.9299999999998</v>
          </cell>
          <cell r="Q595">
            <v>1120.1652856436001</v>
          </cell>
          <cell r="R595">
            <v>2156.1011999999996</v>
          </cell>
          <cell r="S595">
            <v>437.17119999999977</v>
          </cell>
          <cell r="T595">
            <v>180.94</v>
          </cell>
          <cell r="U595">
            <v>792.73879797226141</v>
          </cell>
          <cell r="V595">
            <v>3222</v>
          </cell>
          <cell r="W595">
            <v>1861</v>
          </cell>
          <cell r="X595">
            <v>0</v>
          </cell>
          <cell r="Y595">
            <v>0</v>
          </cell>
        </row>
        <row r="596">
          <cell r="D596">
            <v>10140137</v>
          </cell>
          <cell r="E596" t="str">
            <v>Gomukh Rakshanagar_tola</v>
          </cell>
          <cell r="F596">
            <v>0</v>
          </cell>
          <cell r="G596" t="str">
            <v>MPG</v>
          </cell>
          <cell r="H596" t="str">
            <v>Direct</v>
          </cell>
          <cell r="I596">
            <v>1014</v>
          </cell>
          <cell r="J596" t="str">
            <v>Dumraon</v>
          </cell>
          <cell r="K596" t="str">
            <v>Old</v>
          </cell>
          <cell r="L596">
            <v>45616</v>
          </cell>
          <cell r="M596">
            <v>2369.6</v>
          </cell>
          <cell r="N596">
            <v>106697.56000000001</v>
          </cell>
          <cell r="O596">
            <v>1777.1999999999998</v>
          </cell>
          <cell r="P596">
            <v>2251.12</v>
          </cell>
          <cell r="Q596">
            <v>477.42252207680002</v>
          </cell>
          <cell r="R596">
            <v>3200.9268000000002</v>
          </cell>
          <cell r="S596">
            <v>949.80680000000029</v>
          </cell>
          <cell r="T596">
            <v>236.96</v>
          </cell>
          <cell r="U596">
            <v>526.90042332384451</v>
          </cell>
          <cell r="V596">
            <v>3742</v>
          </cell>
          <cell r="W596">
            <v>2133.9512000000004</v>
          </cell>
          <cell r="X596">
            <v>0</v>
          </cell>
          <cell r="Y596">
            <v>0</v>
          </cell>
        </row>
        <row r="597">
          <cell r="D597">
            <v>10140138</v>
          </cell>
          <cell r="E597" t="str">
            <v xml:space="preserve">Gomukh Mahada Mirtunjay </v>
          </cell>
          <cell r="F597">
            <v>0</v>
          </cell>
          <cell r="G597" t="str">
            <v>vlc</v>
          </cell>
          <cell r="H597" t="str">
            <v>Indirect</v>
          </cell>
          <cell r="I597">
            <v>1014</v>
          </cell>
          <cell r="J597" t="str">
            <v>Dumraon</v>
          </cell>
          <cell r="K597" t="str">
            <v>Old</v>
          </cell>
          <cell r="L597">
            <v>45629</v>
          </cell>
          <cell r="M597">
            <v>505.09999999999997</v>
          </cell>
          <cell r="N597">
            <v>23920.23</v>
          </cell>
          <cell r="O597">
            <v>378.82499999999999</v>
          </cell>
          <cell r="P597">
            <v>479.84499999999997</v>
          </cell>
          <cell r="Q597">
            <v>0</v>
          </cell>
          <cell r="R597">
            <v>717.6069</v>
          </cell>
          <cell r="S597">
            <v>237.76190000000003</v>
          </cell>
          <cell r="T597">
            <v>50.51</v>
          </cell>
          <cell r="U597">
            <v>807.82723569900281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</row>
        <row r="598">
          <cell r="D598">
            <v>10140139</v>
          </cell>
          <cell r="E598" t="str">
            <v>Gomukh Nadaon</v>
          </cell>
          <cell r="F598">
            <v>0</v>
          </cell>
          <cell r="G598" t="str">
            <v>MPG</v>
          </cell>
          <cell r="H598" t="str">
            <v>Direct</v>
          </cell>
          <cell r="I598">
            <v>1014</v>
          </cell>
          <cell r="J598" t="str">
            <v>Dumraon</v>
          </cell>
          <cell r="K598" t="str">
            <v>Old</v>
          </cell>
          <cell r="L598">
            <v>45625</v>
          </cell>
          <cell r="M598">
            <v>684.1</v>
          </cell>
          <cell r="N598">
            <v>22933.74</v>
          </cell>
          <cell r="O598">
            <v>513.07500000000005</v>
          </cell>
          <cell r="P598">
            <v>649.89499999999998</v>
          </cell>
          <cell r="Q598">
            <v>1520.4919539530001</v>
          </cell>
          <cell r="R598">
            <v>688.01220000000001</v>
          </cell>
          <cell r="S598">
            <v>38.117200000000025</v>
          </cell>
          <cell r="T598">
            <v>68.410000000000011</v>
          </cell>
          <cell r="U598">
            <v>1419.6058590425055</v>
          </cell>
          <cell r="V598">
            <v>1195</v>
          </cell>
          <cell r="W598">
            <v>1195</v>
          </cell>
          <cell r="X598">
            <v>0</v>
          </cell>
          <cell r="Y598">
            <v>0</v>
          </cell>
        </row>
        <row r="599">
          <cell r="D599">
            <v>10140141</v>
          </cell>
          <cell r="E599" t="str">
            <v>Gomukh Bimhnath Girdhar Baraw</v>
          </cell>
          <cell r="F599">
            <v>0</v>
          </cell>
          <cell r="G599" t="str">
            <v>vlc</v>
          </cell>
          <cell r="H599" t="str">
            <v>Indirect</v>
          </cell>
          <cell r="I599">
            <v>1014</v>
          </cell>
          <cell r="J599" t="str">
            <v>Dumraon</v>
          </cell>
          <cell r="K599" t="str">
            <v>Old</v>
          </cell>
          <cell r="L599">
            <v>45620</v>
          </cell>
          <cell r="M599">
            <v>1326.6999999999998</v>
          </cell>
          <cell r="N599">
            <v>68658.950000000012</v>
          </cell>
          <cell r="O599">
            <v>995.02499999999986</v>
          </cell>
          <cell r="P599">
            <v>1260.3649999999998</v>
          </cell>
          <cell r="Q599">
            <v>0</v>
          </cell>
          <cell r="R599">
            <v>2059.7685000000001</v>
          </cell>
          <cell r="S599">
            <v>799.40350000000035</v>
          </cell>
          <cell r="T599">
            <v>132.66999999999999</v>
          </cell>
          <cell r="U599">
            <v>1477.9505132729264</v>
          </cell>
          <cell r="V599">
            <v>645</v>
          </cell>
          <cell r="W599">
            <v>0</v>
          </cell>
          <cell r="X599">
            <v>0</v>
          </cell>
          <cell r="Y599">
            <v>0</v>
          </cell>
        </row>
        <row r="600">
          <cell r="D600">
            <v>10140145</v>
          </cell>
          <cell r="E600" t="str">
            <v>Gomukh Pokhraha</v>
          </cell>
          <cell r="F600">
            <v>0</v>
          </cell>
          <cell r="G600" t="str">
            <v>MPG</v>
          </cell>
          <cell r="H600" t="str">
            <v>Direct</v>
          </cell>
          <cell r="I600">
            <v>1014</v>
          </cell>
          <cell r="J600" t="str">
            <v>Dumraon</v>
          </cell>
          <cell r="K600" t="str">
            <v>Old</v>
          </cell>
          <cell r="L600">
            <v>45646</v>
          </cell>
          <cell r="M600">
            <v>1403.2</v>
          </cell>
          <cell r="N600">
            <v>53507.469999999994</v>
          </cell>
          <cell r="O600">
            <v>1052.4000000000001</v>
          </cell>
          <cell r="P600">
            <v>1333.04</v>
          </cell>
          <cell r="Q600">
            <v>1967.3867161239359</v>
          </cell>
          <cell r="R600">
            <v>1605.2240999999997</v>
          </cell>
          <cell r="S600">
            <v>272.18409999999972</v>
          </cell>
          <cell r="T600">
            <v>140.32000000000002</v>
          </cell>
          <cell r="U600">
            <v>1064.7270378349208</v>
          </cell>
          <cell r="V600">
            <v>3148</v>
          </cell>
          <cell r="W600">
            <v>1861</v>
          </cell>
          <cell r="X600">
            <v>0</v>
          </cell>
          <cell r="Y600">
            <v>0</v>
          </cell>
        </row>
        <row r="601">
          <cell r="D601">
            <v>10140148</v>
          </cell>
          <cell r="E601" t="str">
            <v>Gomukh Dalsagar Pachhim</v>
          </cell>
          <cell r="F601">
            <v>0</v>
          </cell>
          <cell r="G601" t="str">
            <v>MPG</v>
          </cell>
          <cell r="H601" t="str">
            <v>Direct</v>
          </cell>
          <cell r="I601">
            <v>1014</v>
          </cell>
          <cell r="J601" t="str">
            <v>Dumraon</v>
          </cell>
          <cell r="K601" t="str">
            <v>Old</v>
          </cell>
          <cell r="L601">
            <v>45654</v>
          </cell>
          <cell r="M601">
            <v>164.6</v>
          </cell>
          <cell r="N601">
            <v>5621.15</v>
          </cell>
          <cell r="O601">
            <v>123.44999999999999</v>
          </cell>
          <cell r="P601">
            <v>156.36999999999998</v>
          </cell>
          <cell r="Q601">
            <v>36.353912760000007</v>
          </cell>
          <cell r="R601">
            <v>168.63449999999997</v>
          </cell>
          <cell r="S601">
            <v>12.264499999999998</v>
          </cell>
          <cell r="T601">
            <v>16.46</v>
          </cell>
          <cell r="U601">
            <v>300.1259284882367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</row>
        <row r="602">
          <cell r="D602">
            <v>10140152</v>
          </cell>
          <cell r="E602" t="str">
            <v>Gomukh Badkagaon Yamunatola</v>
          </cell>
          <cell r="F602">
            <v>0</v>
          </cell>
          <cell r="G602" t="str">
            <v>MPG</v>
          </cell>
          <cell r="H602" t="str">
            <v>Direct</v>
          </cell>
          <cell r="I602">
            <v>1014</v>
          </cell>
          <cell r="J602" t="str">
            <v>Dumraon</v>
          </cell>
          <cell r="K602" t="str">
            <v>Old</v>
          </cell>
          <cell r="L602">
            <v>45655</v>
          </cell>
          <cell r="M602">
            <v>448.1</v>
          </cell>
          <cell r="N602">
            <v>19898.560000000001</v>
          </cell>
          <cell r="O602">
            <v>336.07500000000005</v>
          </cell>
          <cell r="P602">
            <v>425.69499999999999</v>
          </cell>
          <cell r="Q602">
            <v>545.24713889138002</v>
          </cell>
          <cell r="R602">
            <v>596.95680000000004</v>
          </cell>
          <cell r="S602">
            <v>171.26180000000005</v>
          </cell>
          <cell r="T602">
            <v>44.81</v>
          </cell>
          <cell r="U602">
            <v>1262.5018086101713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</row>
        <row r="603">
          <cell r="D603">
            <v>10140153</v>
          </cell>
          <cell r="E603" t="str">
            <v>Gomukh Bramhpur</v>
          </cell>
          <cell r="F603">
            <v>0</v>
          </cell>
          <cell r="G603" t="str">
            <v>MPG</v>
          </cell>
          <cell r="H603" t="str">
            <v>Direct</v>
          </cell>
          <cell r="I603">
            <v>1014</v>
          </cell>
          <cell r="J603" t="str">
            <v>Dumraon</v>
          </cell>
          <cell r="K603" t="str">
            <v>Old</v>
          </cell>
          <cell r="L603">
            <v>45680</v>
          </cell>
          <cell r="M603">
            <v>609.70000000000005</v>
          </cell>
          <cell r="N603">
            <v>21176.679999999997</v>
          </cell>
          <cell r="O603">
            <v>457.27500000000003</v>
          </cell>
          <cell r="P603">
            <v>579.21500000000003</v>
          </cell>
          <cell r="Q603">
            <v>0</v>
          </cell>
          <cell r="R603">
            <v>635.30039999999985</v>
          </cell>
          <cell r="S603">
            <v>56.085399999999822</v>
          </cell>
          <cell r="T603">
            <v>60.970000000000006</v>
          </cell>
          <cell r="U603">
            <v>975.61830817287091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</row>
        <row r="604">
          <cell r="D604">
            <v>10140155</v>
          </cell>
          <cell r="E604" t="str">
            <v>Gomukh Rajpur Naurang Rai Dera</v>
          </cell>
          <cell r="F604">
            <v>0</v>
          </cell>
          <cell r="G604" t="str">
            <v>MPG</v>
          </cell>
          <cell r="H604" t="str">
            <v>Direct</v>
          </cell>
          <cell r="I604">
            <v>1014</v>
          </cell>
          <cell r="J604" t="str">
            <v>Dumraon</v>
          </cell>
          <cell r="K604" t="str">
            <v>Old</v>
          </cell>
          <cell r="L604">
            <v>45679</v>
          </cell>
          <cell r="M604">
            <v>1283</v>
          </cell>
          <cell r="N604">
            <v>47876.42</v>
          </cell>
          <cell r="O604">
            <v>962.25</v>
          </cell>
          <cell r="P604">
            <v>1218.8499999999999</v>
          </cell>
          <cell r="Q604">
            <v>1134.5033557892002</v>
          </cell>
          <cell r="R604">
            <v>1436.2926</v>
          </cell>
          <cell r="S604">
            <v>217.44260000000008</v>
          </cell>
          <cell r="T604">
            <v>128.30000000000001</v>
          </cell>
          <cell r="U604">
            <v>1131.6749508794533</v>
          </cell>
          <cell r="V604">
            <v>2056</v>
          </cell>
          <cell r="W604">
            <v>1861</v>
          </cell>
          <cell r="X604">
            <v>0</v>
          </cell>
          <cell r="Y604">
            <v>0</v>
          </cell>
        </row>
        <row r="605">
          <cell r="D605">
            <v>10140156</v>
          </cell>
          <cell r="E605" t="str">
            <v>Gomukh Mashariya</v>
          </cell>
          <cell r="F605">
            <v>0</v>
          </cell>
          <cell r="G605" t="str">
            <v>MPG</v>
          </cell>
          <cell r="H605" t="str">
            <v>Direct</v>
          </cell>
          <cell r="I605">
            <v>1014</v>
          </cell>
          <cell r="J605" t="str">
            <v>Dumraon</v>
          </cell>
          <cell r="K605" t="str">
            <v>Old</v>
          </cell>
          <cell r="L605">
            <v>45684</v>
          </cell>
          <cell r="M605">
            <v>2347</v>
          </cell>
          <cell r="N605">
            <v>102335.10000000002</v>
          </cell>
          <cell r="O605">
            <v>1760.25</v>
          </cell>
          <cell r="P605">
            <v>2229.65</v>
          </cell>
          <cell r="Q605">
            <v>5437.5740196298566</v>
          </cell>
          <cell r="R605">
            <v>3070.0530000000003</v>
          </cell>
          <cell r="S605">
            <v>840.40300000000025</v>
          </cell>
          <cell r="T605">
            <v>234.70000000000002</v>
          </cell>
          <cell r="U605">
            <v>573.89093858678348</v>
          </cell>
          <cell r="V605">
            <v>8619</v>
          </cell>
          <cell r="W605">
            <v>2046.7020000000005</v>
          </cell>
          <cell r="X605">
            <v>0</v>
          </cell>
          <cell r="Y605">
            <v>0</v>
          </cell>
        </row>
        <row r="606">
          <cell r="D606">
            <v>10140159</v>
          </cell>
          <cell r="E606" t="str">
            <v>Gomukh Kaudesari</v>
          </cell>
          <cell r="F606">
            <v>0</v>
          </cell>
          <cell r="G606" t="str">
            <v>MPG</v>
          </cell>
          <cell r="H606" t="str">
            <v>Direct</v>
          </cell>
          <cell r="I606">
            <v>1014</v>
          </cell>
          <cell r="J606" t="str">
            <v>Dumraon</v>
          </cell>
          <cell r="K606" t="str">
            <v>Old</v>
          </cell>
          <cell r="L606">
            <v>45687</v>
          </cell>
          <cell r="M606">
            <v>3031.7</v>
          </cell>
          <cell r="N606">
            <v>124722.01000000001</v>
          </cell>
          <cell r="O606">
            <v>2273.7749999999996</v>
          </cell>
          <cell r="P606">
            <v>2880.1149999999998</v>
          </cell>
          <cell r="Q606">
            <v>1947.357945556</v>
          </cell>
          <cell r="R606">
            <v>3741.6603</v>
          </cell>
          <cell r="S606">
            <v>861.54530000000022</v>
          </cell>
          <cell r="T606">
            <v>303.17</v>
          </cell>
          <cell r="U606">
            <v>7.9923131845842139</v>
          </cell>
          <cell r="V606">
            <v>6790</v>
          </cell>
          <cell r="W606">
            <v>2494.4402000000005</v>
          </cell>
          <cell r="X606">
            <v>0</v>
          </cell>
          <cell r="Y606">
            <v>0</v>
          </cell>
        </row>
        <row r="607">
          <cell r="D607">
            <v>10140166</v>
          </cell>
          <cell r="E607" t="str">
            <v>Gomukh KritSagar</v>
          </cell>
          <cell r="F607">
            <v>0</v>
          </cell>
          <cell r="G607" t="str">
            <v>MPG</v>
          </cell>
          <cell r="H607" t="str">
            <v>Direct</v>
          </cell>
          <cell r="I607">
            <v>1014</v>
          </cell>
          <cell r="J607" t="str">
            <v>Dumraon</v>
          </cell>
          <cell r="K607" t="str">
            <v>Old</v>
          </cell>
          <cell r="L607">
            <v>45745</v>
          </cell>
          <cell r="M607">
            <v>196.99999999999997</v>
          </cell>
          <cell r="N607">
            <v>10300.68</v>
          </cell>
          <cell r="O607">
            <v>147.74999999999997</v>
          </cell>
          <cell r="P607">
            <v>187.14999999999998</v>
          </cell>
          <cell r="Q607">
            <v>38.191121579700003</v>
          </cell>
          <cell r="R607">
            <v>309.0204</v>
          </cell>
          <cell r="S607">
            <v>121.87040000000002</v>
          </cell>
          <cell r="T607">
            <v>19.7</v>
          </cell>
          <cell r="U607">
            <v>353.78062526218764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</row>
        <row r="608">
          <cell r="D608">
            <v>10140167</v>
          </cell>
          <cell r="E608" t="str">
            <v>Gomukh Navdera Jaipraksh</v>
          </cell>
          <cell r="F608">
            <v>0</v>
          </cell>
          <cell r="G608" t="str">
            <v>vlc</v>
          </cell>
          <cell r="H608" t="str">
            <v>Indirect</v>
          </cell>
          <cell r="I608">
            <v>1014</v>
          </cell>
          <cell r="J608" t="str">
            <v>Dumraon</v>
          </cell>
          <cell r="K608" t="str">
            <v>Old</v>
          </cell>
          <cell r="L608">
            <v>45745</v>
          </cell>
          <cell r="M608">
            <v>2567.4000000000005</v>
          </cell>
          <cell r="N608">
            <v>112502.02000000002</v>
          </cell>
          <cell r="O608">
            <v>1925.5500000000004</v>
          </cell>
          <cell r="P608">
            <v>2439.0300000000002</v>
          </cell>
          <cell r="Q608">
            <v>0</v>
          </cell>
          <cell r="R608">
            <v>3375.0606000000002</v>
          </cell>
          <cell r="S608">
            <v>936.03060000000005</v>
          </cell>
          <cell r="T608">
            <v>256.74000000000007</v>
          </cell>
          <cell r="U608">
            <v>220.88553037389599</v>
          </cell>
          <cell r="V608">
            <v>3887</v>
          </cell>
          <cell r="W608">
            <v>0</v>
          </cell>
          <cell r="X608">
            <v>0</v>
          </cell>
          <cell r="Y608">
            <v>0</v>
          </cell>
        </row>
        <row r="609">
          <cell r="D609">
            <v>10140170</v>
          </cell>
          <cell r="E609" t="str">
            <v>Gomukh Ataon</v>
          </cell>
          <cell r="F609">
            <v>0</v>
          </cell>
          <cell r="G609" t="str">
            <v>MPG</v>
          </cell>
          <cell r="H609" t="str">
            <v>Direct</v>
          </cell>
          <cell r="I609">
            <v>1014</v>
          </cell>
          <cell r="J609" t="str">
            <v>Dumraon</v>
          </cell>
          <cell r="K609" t="str">
            <v>Old</v>
          </cell>
          <cell r="L609">
            <v>45763</v>
          </cell>
          <cell r="M609">
            <v>1506.6999999999998</v>
          </cell>
          <cell r="N609">
            <v>58639.07</v>
          </cell>
          <cell r="O609">
            <v>1130.0249999999999</v>
          </cell>
          <cell r="P609">
            <v>1431.3649999999998</v>
          </cell>
          <cell r="Q609">
            <v>0</v>
          </cell>
          <cell r="R609">
            <v>1759.1721</v>
          </cell>
          <cell r="S609">
            <v>327.80710000000022</v>
          </cell>
          <cell r="T609">
            <v>150.66999999999999</v>
          </cell>
          <cell r="U609">
            <v>1005.5552216549136</v>
          </cell>
          <cell r="V609">
            <v>1405</v>
          </cell>
          <cell r="W609">
            <v>1405</v>
          </cell>
          <cell r="X609">
            <v>0</v>
          </cell>
          <cell r="Y609">
            <v>0</v>
          </cell>
        </row>
        <row r="610">
          <cell r="D610">
            <v>10140172</v>
          </cell>
          <cell r="E610" t="str">
            <v>Gomukh Laxman Dera</v>
          </cell>
          <cell r="F610">
            <v>0</v>
          </cell>
          <cell r="G610" t="str">
            <v>MPG</v>
          </cell>
          <cell r="H610" t="str">
            <v>Direct</v>
          </cell>
          <cell r="I610">
            <v>1014</v>
          </cell>
          <cell r="J610" t="str">
            <v>Dumraon</v>
          </cell>
          <cell r="K610" t="str">
            <v>Old</v>
          </cell>
          <cell r="L610">
            <v>45774</v>
          </cell>
          <cell r="M610">
            <v>3373.6000000000004</v>
          </cell>
          <cell r="N610">
            <v>135648.93</v>
          </cell>
          <cell r="O610">
            <v>2530.2000000000003</v>
          </cell>
          <cell r="P610">
            <v>3204.92</v>
          </cell>
          <cell r="Q610">
            <v>679.47048232326006</v>
          </cell>
          <cell r="R610">
            <v>4069.4678999999996</v>
          </cell>
          <cell r="S610">
            <v>864.54789999999957</v>
          </cell>
          <cell r="T610">
            <v>337.36000000000007</v>
          </cell>
          <cell r="U610">
            <v>294.37408723972919</v>
          </cell>
          <cell r="V610">
            <v>5783</v>
          </cell>
          <cell r="W610">
            <v>2712.9785999999999</v>
          </cell>
          <cell r="X610">
            <v>0</v>
          </cell>
          <cell r="Y610">
            <v>0</v>
          </cell>
        </row>
        <row r="611">
          <cell r="D611">
            <v>10140173</v>
          </cell>
          <cell r="E611" t="str">
            <v>Gumukh Gayghat</v>
          </cell>
          <cell r="F611">
            <v>0</v>
          </cell>
          <cell r="G611" t="str">
            <v>MPG</v>
          </cell>
          <cell r="H611" t="str">
            <v>Direct</v>
          </cell>
          <cell r="I611">
            <v>1014</v>
          </cell>
          <cell r="J611" t="str">
            <v>Dumraon</v>
          </cell>
          <cell r="K611" t="str">
            <v>Old</v>
          </cell>
          <cell r="L611">
            <v>45777</v>
          </cell>
          <cell r="M611">
            <v>4175.8999999999996</v>
          </cell>
          <cell r="N611">
            <v>151138.69</v>
          </cell>
          <cell r="O611">
            <v>3131.9249999999997</v>
          </cell>
          <cell r="P611">
            <v>3967.1049999999996</v>
          </cell>
          <cell r="Q611">
            <v>1334.4622788304002</v>
          </cell>
          <cell r="R611">
            <v>4534.1606999999995</v>
          </cell>
          <cell r="S611">
            <v>567.05569999999989</v>
          </cell>
          <cell r="T611">
            <v>417.59</v>
          </cell>
          <cell r="U611">
            <v>0</v>
          </cell>
          <cell r="V611">
            <v>8016</v>
          </cell>
          <cell r="W611">
            <v>3022.7737999999999</v>
          </cell>
          <cell r="X611">
            <v>0</v>
          </cell>
          <cell r="Y611">
            <v>0</v>
          </cell>
        </row>
        <row r="612">
          <cell r="D612">
            <v>10140174</v>
          </cell>
          <cell r="E612" t="str">
            <v>Gomukh Shivpur</v>
          </cell>
          <cell r="F612">
            <v>0</v>
          </cell>
          <cell r="G612" t="str">
            <v>MPG</v>
          </cell>
          <cell r="H612" t="str">
            <v>Direct</v>
          </cell>
          <cell r="I612">
            <v>1014</v>
          </cell>
          <cell r="J612" t="str">
            <v>Dumraon</v>
          </cell>
          <cell r="K612" t="str">
            <v>Old</v>
          </cell>
          <cell r="L612">
            <v>45775</v>
          </cell>
          <cell r="M612">
            <v>473.09999999999997</v>
          </cell>
          <cell r="N612">
            <v>18867.22</v>
          </cell>
          <cell r="O612">
            <v>354.82499999999999</v>
          </cell>
          <cell r="P612">
            <v>449.44499999999994</v>
          </cell>
          <cell r="Q612">
            <v>1.71</v>
          </cell>
          <cell r="R612">
            <v>566.01660000000004</v>
          </cell>
          <cell r="S612">
            <v>116.5716000000001</v>
          </cell>
          <cell r="T612">
            <v>47.31</v>
          </cell>
          <cell r="U612">
            <v>758.42898249852601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>
            <v>10140175</v>
          </cell>
          <cell r="E613" t="str">
            <v>Gomukh Koilawar Roma Bharti</v>
          </cell>
          <cell r="F613">
            <v>0</v>
          </cell>
          <cell r="G613" t="str">
            <v>vlc</v>
          </cell>
          <cell r="H613" t="str">
            <v>Indirect</v>
          </cell>
          <cell r="I613">
            <v>1014</v>
          </cell>
          <cell r="J613" t="str">
            <v>Dumraon</v>
          </cell>
          <cell r="K613" t="str">
            <v>Old</v>
          </cell>
          <cell r="L613">
            <v>45837</v>
          </cell>
          <cell r="M613">
            <v>1733.6</v>
          </cell>
          <cell r="N613">
            <v>47046.59</v>
          </cell>
          <cell r="O613">
            <v>1300.1999999999998</v>
          </cell>
          <cell r="P613">
            <v>1646.9199999999998</v>
          </cell>
          <cell r="Q613">
            <v>0</v>
          </cell>
          <cell r="R613">
            <v>1411.3976999999998</v>
          </cell>
          <cell r="S613">
            <v>-235.52230000000009</v>
          </cell>
          <cell r="T613">
            <v>173.36</v>
          </cell>
          <cell r="U613">
            <v>628.30983852364488</v>
          </cell>
          <cell r="V613">
            <v>2145</v>
          </cell>
          <cell r="W613">
            <v>0</v>
          </cell>
          <cell r="X613">
            <v>0</v>
          </cell>
          <cell r="Y613">
            <v>0</v>
          </cell>
        </row>
        <row r="614">
          <cell r="D614">
            <v>10140176</v>
          </cell>
          <cell r="E614" t="str">
            <v>Gomukh Chakki Janardan Yadav</v>
          </cell>
          <cell r="F614">
            <v>0</v>
          </cell>
          <cell r="G614" t="str">
            <v>vlc</v>
          </cell>
          <cell r="H614" t="str">
            <v>Indirect</v>
          </cell>
          <cell r="I614">
            <v>1014</v>
          </cell>
          <cell r="J614" t="str">
            <v>Dumraon</v>
          </cell>
          <cell r="K614" t="str">
            <v>Old</v>
          </cell>
          <cell r="L614">
            <v>45786</v>
          </cell>
          <cell r="M614">
            <v>1870.6</v>
          </cell>
          <cell r="N614">
            <v>67832.09</v>
          </cell>
          <cell r="O614">
            <v>1402.9499999999998</v>
          </cell>
          <cell r="P614">
            <v>1777.07</v>
          </cell>
          <cell r="Q614">
            <v>0</v>
          </cell>
          <cell r="R614">
            <v>2034.9626999999998</v>
          </cell>
          <cell r="S614">
            <v>257.89269999999988</v>
          </cell>
          <cell r="T614">
            <v>187.06</v>
          </cell>
          <cell r="U614">
            <v>673.12621656836961</v>
          </cell>
          <cell r="V614">
            <v>2320</v>
          </cell>
          <cell r="W614">
            <v>0</v>
          </cell>
          <cell r="X614">
            <v>0</v>
          </cell>
          <cell r="Y614">
            <v>0</v>
          </cell>
        </row>
        <row r="615">
          <cell r="D615">
            <v>10140178</v>
          </cell>
          <cell r="E615" t="str">
            <v>Gomukh Tiyar</v>
          </cell>
          <cell r="F615">
            <v>0</v>
          </cell>
          <cell r="G615" t="str">
            <v>MPG</v>
          </cell>
          <cell r="H615" t="str">
            <v>Direct</v>
          </cell>
          <cell r="I615">
            <v>1014</v>
          </cell>
          <cell r="J615" t="str">
            <v>Dumraon</v>
          </cell>
          <cell r="K615" t="str">
            <v>Old</v>
          </cell>
          <cell r="L615">
            <v>45800</v>
          </cell>
          <cell r="M615">
            <v>858.3</v>
          </cell>
          <cell r="N615">
            <v>36865.629999999997</v>
          </cell>
          <cell r="O615">
            <v>643.72499999999991</v>
          </cell>
          <cell r="P615">
            <v>815.38499999999988</v>
          </cell>
          <cell r="Q615">
            <v>501.66892330400003</v>
          </cell>
          <cell r="R615">
            <v>1105.9688999999998</v>
          </cell>
          <cell r="S615">
            <v>290.58389999999997</v>
          </cell>
          <cell r="T615">
            <v>85.83</v>
          </cell>
          <cell r="U615">
            <v>1674.1731224312916</v>
          </cell>
          <cell r="V615">
            <v>201</v>
          </cell>
          <cell r="W615">
            <v>201</v>
          </cell>
          <cell r="X615">
            <v>0</v>
          </cell>
          <cell r="Y615">
            <v>0</v>
          </cell>
        </row>
        <row r="616">
          <cell r="D616">
            <v>10140179</v>
          </cell>
          <cell r="E616" t="str">
            <v>Gomukh Rajpur</v>
          </cell>
          <cell r="F616">
            <v>0</v>
          </cell>
          <cell r="G616" t="str">
            <v>MPG</v>
          </cell>
          <cell r="H616" t="str">
            <v>Direct</v>
          </cell>
          <cell r="I616">
            <v>1014</v>
          </cell>
          <cell r="J616" t="str">
            <v>Dumraon</v>
          </cell>
          <cell r="K616" t="str">
            <v>Old</v>
          </cell>
          <cell r="L616">
            <v>45800</v>
          </cell>
          <cell r="M616">
            <v>2345.1000000000004</v>
          </cell>
          <cell r="N616">
            <v>94069.7</v>
          </cell>
          <cell r="O616">
            <v>1758.8250000000003</v>
          </cell>
          <cell r="P616">
            <v>2227.8450000000003</v>
          </cell>
          <cell r="Q616">
            <v>1725.6290463079999</v>
          </cell>
          <cell r="R616">
            <v>2822.0909999999999</v>
          </cell>
          <cell r="S616">
            <v>594.24599999999964</v>
          </cell>
          <cell r="T616">
            <v>234.51000000000005</v>
          </cell>
          <cell r="U616">
            <v>364.49164122182515</v>
          </cell>
          <cell r="V616">
            <v>5113</v>
          </cell>
          <cell r="W616">
            <v>1881.394</v>
          </cell>
          <cell r="X616">
            <v>0</v>
          </cell>
          <cell r="Y616">
            <v>0</v>
          </cell>
        </row>
        <row r="617">
          <cell r="D617">
            <v>10140180</v>
          </cell>
          <cell r="E617" t="str">
            <v>Gomukh Gangauli Dubha</v>
          </cell>
          <cell r="F617">
            <v>0</v>
          </cell>
          <cell r="G617" t="str">
            <v>MPG</v>
          </cell>
          <cell r="H617" t="str">
            <v>Direct</v>
          </cell>
          <cell r="I617">
            <v>1014</v>
          </cell>
          <cell r="J617" t="str">
            <v>Dumraon</v>
          </cell>
          <cell r="K617" t="str">
            <v>Old</v>
          </cell>
          <cell r="L617">
            <v>45809</v>
          </cell>
          <cell r="M617">
            <v>1725.9</v>
          </cell>
          <cell r="N617">
            <v>67401.48</v>
          </cell>
          <cell r="O617">
            <v>1294.4250000000002</v>
          </cell>
          <cell r="P617">
            <v>1639.605</v>
          </cell>
          <cell r="Q617">
            <v>478.12371808</v>
          </cell>
          <cell r="R617">
            <v>2022.0443999999998</v>
          </cell>
          <cell r="S617">
            <v>382.43939999999975</v>
          </cell>
          <cell r="T617">
            <v>172.59000000000003</v>
          </cell>
          <cell r="U617">
            <v>839.18546168208707</v>
          </cell>
          <cell r="V617">
            <v>2400</v>
          </cell>
          <cell r="W617">
            <v>1861</v>
          </cell>
          <cell r="X617">
            <v>0</v>
          </cell>
          <cell r="Y617">
            <v>0</v>
          </cell>
        </row>
        <row r="618">
          <cell r="D618">
            <v>10140181</v>
          </cell>
          <cell r="E618" t="str">
            <v>Tiyar A2 Milk Producer Company Limited</v>
          </cell>
          <cell r="F618">
            <v>0</v>
          </cell>
          <cell r="G618" t="str">
            <v>vlc</v>
          </cell>
          <cell r="H618" t="str">
            <v>Indirect</v>
          </cell>
          <cell r="I618">
            <v>1014</v>
          </cell>
          <cell r="J618" t="str">
            <v>Dumraon</v>
          </cell>
          <cell r="K618" t="str">
            <v>Old</v>
          </cell>
          <cell r="L618">
            <v>45809</v>
          </cell>
          <cell r="M618">
            <v>6997.6</v>
          </cell>
          <cell r="N618">
            <v>303904.93000000005</v>
          </cell>
          <cell r="O618">
            <v>5248.2000000000007</v>
          </cell>
          <cell r="P618">
            <v>6647.72</v>
          </cell>
          <cell r="Q618">
            <v>0</v>
          </cell>
          <cell r="R618">
            <v>9117.1479000000018</v>
          </cell>
          <cell r="S618">
            <v>2469.4279000000015</v>
          </cell>
          <cell r="T618">
            <v>699.7600000000001</v>
          </cell>
          <cell r="U618">
            <v>0</v>
          </cell>
          <cell r="V618">
            <v>11196</v>
          </cell>
          <cell r="W618">
            <v>0</v>
          </cell>
          <cell r="X618">
            <v>0</v>
          </cell>
          <cell r="Y618">
            <v>0</v>
          </cell>
        </row>
        <row r="619">
          <cell r="D619">
            <v>10140183</v>
          </cell>
          <cell r="E619" t="str">
            <v>Gomukh Uttardahan</v>
          </cell>
          <cell r="F619">
            <v>0</v>
          </cell>
          <cell r="G619" t="str">
            <v>MPG</v>
          </cell>
          <cell r="H619" t="str">
            <v>Direct</v>
          </cell>
          <cell r="I619">
            <v>1014</v>
          </cell>
          <cell r="J619" t="str">
            <v>Dumraon</v>
          </cell>
          <cell r="K619" t="str">
            <v>Old</v>
          </cell>
          <cell r="L619">
            <v>45836</v>
          </cell>
          <cell r="M619">
            <v>1404.1</v>
          </cell>
          <cell r="N619">
            <v>64614.400000000001</v>
          </cell>
          <cell r="O619">
            <v>1053.0749999999998</v>
          </cell>
          <cell r="P619">
            <v>1333.8949999999998</v>
          </cell>
          <cell r="Q619">
            <v>20.307899062440001</v>
          </cell>
          <cell r="R619">
            <v>1938.432</v>
          </cell>
          <cell r="S619">
            <v>604.53700000000026</v>
          </cell>
          <cell r="T619">
            <v>140.41</v>
          </cell>
          <cell r="U619">
            <v>1288.8845611857632</v>
          </cell>
          <cell r="V619">
            <v>978</v>
          </cell>
          <cell r="W619">
            <v>978</v>
          </cell>
          <cell r="X619">
            <v>0</v>
          </cell>
          <cell r="Y619">
            <v>0</v>
          </cell>
        </row>
        <row r="620">
          <cell r="D620">
            <v>10140185</v>
          </cell>
          <cell r="E620" t="str">
            <v>Gomukh Jagdishpur</v>
          </cell>
          <cell r="F620">
            <v>0</v>
          </cell>
          <cell r="G620" t="str">
            <v>MPG</v>
          </cell>
          <cell r="H620" t="str">
            <v>Direct</v>
          </cell>
          <cell r="I620">
            <v>1014</v>
          </cell>
          <cell r="J620" t="str">
            <v>Dumraon</v>
          </cell>
          <cell r="K620" t="str">
            <v>Old</v>
          </cell>
          <cell r="L620">
            <v>45868</v>
          </cell>
          <cell r="M620">
            <v>5352.2000000000007</v>
          </cell>
          <cell r="N620">
            <v>220640.1</v>
          </cell>
          <cell r="O620">
            <v>4014.1500000000005</v>
          </cell>
          <cell r="P620">
            <v>5084.59</v>
          </cell>
          <cell r="Q620">
            <v>0</v>
          </cell>
          <cell r="R620">
            <v>6619.2029999999995</v>
          </cell>
          <cell r="S620">
            <v>1534.6129999999994</v>
          </cell>
          <cell r="T620">
            <v>535.22000000000014</v>
          </cell>
          <cell r="U620">
            <v>0</v>
          </cell>
          <cell r="V620">
            <v>8564</v>
          </cell>
          <cell r="W620">
            <v>4412.8020000000006</v>
          </cell>
          <cell r="X620">
            <v>0</v>
          </cell>
          <cell r="Y620">
            <v>0</v>
          </cell>
        </row>
        <row r="621">
          <cell r="D621">
            <v>10180001</v>
          </cell>
          <cell r="E621" t="str">
            <v>Gaachhi Tola</v>
          </cell>
          <cell r="F621">
            <v>0</v>
          </cell>
          <cell r="G621" t="str">
            <v>RMC</v>
          </cell>
          <cell r="H621" t="str">
            <v>Indirect</v>
          </cell>
          <cell r="I621">
            <v>1002</v>
          </cell>
          <cell r="J621" t="str">
            <v>Laldiyara</v>
          </cell>
          <cell r="K621" t="str">
            <v>Old</v>
          </cell>
          <cell r="L621">
            <v>43510</v>
          </cell>
          <cell r="M621">
            <v>3781.2</v>
          </cell>
          <cell r="N621">
            <v>150600.5</v>
          </cell>
          <cell r="O621">
            <v>2835.8999999999996</v>
          </cell>
          <cell r="P621">
            <v>3592.14</v>
          </cell>
          <cell r="Q621">
            <v>0</v>
          </cell>
          <cell r="R621">
            <v>4518.0149999999994</v>
          </cell>
          <cell r="S621">
            <v>925.87499999999955</v>
          </cell>
          <cell r="T621">
            <v>378.12</v>
          </cell>
          <cell r="U621">
            <v>0</v>
          </cell>
          <cell r="V621">
            <v>6050</v>
          </cell>
          <cell r="W621">
            <v>0</v>
          </cell>
          <cell r="X621">
            <v>0</v>
          </cell>
          <cell r="Y621">
            <v>0</v>
          </cell>
        </row>
        <row r="622">
          <cell r="D622">
            <v>10200001</v>
          </cell>
          <cell r="E622" t="str">
            <v>SHIVNAR-2</v>
          </cell>
          <cell r="F622">
            <v>0</v>
          </cell>
          <cell r="G622" t="str">
            <v>RMC</v>
          </cell>
          <cell r="H622" t="str">
            <v>Direct</v>
          </cell>
          <cell r="I622">
            <v>1002</v>
          </cell>
          <cell r="J622" t="str">
            <v>Laldiyara</v>
          </cell>
          <cell r="K622" t="str">
            <v>Old</v>
          </cell>
          <cell r="L622">
            <v>42979</v>
          </cell>
          <cell r="M622">
            <v>320.5</v>
          </cell>
          <cell r="N622">
            <v>12733.47</v>
          </cell>
          <cell r="O622">
            <v>240.375</v>
          </cell>
          <cell r="P622">
            <v>304.47499999999997</v>
          </cell>
          <cell r="Q622">
            <v>0</v>
          </cell>
          <cell r="R622">
            <v>382.00409999999999</v>
          </cell>
          <cell r="S622">
            <v>77.529100000000028</v>
          </cell>
          <cell r="T622">
            <v>32.050000000000004</v>
          </cell>
          <cell r="U622">
            <v>301.55081840873635</v>
          </cell>
          <cell r="V622">
            <v>211</v>
          </cell>
          <cell r="W622">
            <v>0</v>
          </cell>
          <cell r="X622">
            <v>0</v>
          </cell>
          <cell r="Y622">
            <v>0</v>
          </cell>
        </row>
        <row r="623">
          <cell r="D623">
            <v>10220001</v>
          </cell>
          <cell r="E623" t="str">
            <v>VISHWASHPUR</v>
          </cell>
          <cell r="F623">
            <v>0</v>
          </cell>
          <cell r="G623" t="str">
            <v>RMC</v>
          </cell>
          <cell r="H623" t="str">
            <v>Direct</v>
          </cell>
          <cell r="I623">
            <v>1003</v>
          </cell>
          <cell r="J623" t="str">
            <v>Asarganj</v>
          </cell>
          <cell r="K623" t="str">
            <v>Old</v>
          </cell>
          <cell r="L623">
            <v>42979</v>
          </cell>
          <cell r="M623">
            <v>1703</v>
          </cell>
          <cell r="N623">
            <v>56483.4</v>
          </cell>
          <cell r="O623">
            <v>1277.25</v>
          </cell>
          <cell r="P623">
            <v>1617.85</v>
          </cell>
          <cell r="Q623">
            <v>684.22331745000008</v>
          </cell>
          <cell r="R623">
            <v>1694.502</v>
          </cell>
          <cell r="S623">
            <v>76.652000000000044</v>
          </cell>
          <cell r="T623">
            <v>170.3</v>
          </cell>
          <cell r="U623">
            <v>737.97199999999998</v>
          </cell>
          <cell r="V623">
            <v>2671</v>
          </cell>
          <cell r="W623">
            <v>0</v>
          </cell>
          <cell r="X623">
            <v>0</v>
          </cell>
          <cell r="Y623">
            <v>0</v>
          </cell>
        </row>
        <row r="624">
          <cell r="D624">
            <v>10230001</v>
          </cell>
          <cell r="E624" t="str">
            <v>KHARIYA</v>
          </cell>
          <cell r="F624">
            <v>0</v>
          </cell>
          <cell r="G624" t="str">
            <v>MPG</v>
          </cell>
          <cell r="H624" t="str">
            <v>Direct</v>
          </cell>
          <cell r="I624">
            <v>1003</v>
          </cell>
          <cell r="J624" t="str">
            <v>Asarganj</v>
          </cell>
          <cell r="K624" t="str">
            <v>Old</v>
          </cell>
          <cell r="L624">
            <v>42979</v>
          </cell>
          <cell r="M624">
            <v>472.65000000000003</v>
          </cell>
          <cell r="N624">
            <v>22422.04</v>
          </cell>
          <cell r="O624">
            <v>354.48750000000001</v>
          </cell>
          <cell r="P624">
            <v>449.01749999999998</v>
          </cell>
          <cell r="Q624">
            <v>508.10274805612499</v>
          </cell>
          <cell r="R624">
            <v>672.66120000000001</v>
          </cell>
          <cell r="S624">
            <v>223.64370000000002</v>
          </cell>
          <cell r="T624">
            <v>47.265000000000008</v>
          </cell>
          <cell r="U624">
            <v>1264.4212467756779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D625">
            <v>10240001</v>
          </cell>
          <cell r="E625" t="str">
            <v>KUMARPUIR KATHARA</v>
          </cell>
          <cell r="F625">
            <v>0</v>
          </cell>
          <cell r="G625" t="str">
            <v>RMC</v>
          </cell>
          <cell r="H625" t="str">
            <v>Direct</v>
          </cell>
          <cell r="I625">
            <v>1003</v>
          </cell>
          <cell r="J625" t="str">
            <v>Asarganj</v>
          </cell>
          <cell r="K625" t="str">
            <v>Old</v>
          </cell>
          <cell r="L625">
            <v>42979</v>
          </cell>
          <cell r="M625">
            <v>2608</v>
          </cell>
          <cell r="N625">
            <v>103170.75</v>
          </cell>
          <cell r="O625">
            <v>1956</v>
          </cell>
          <cell r="P625">
            <v>2477.6</v>
          </cell>
          <cell r="Q625">
            <v>2436.85130865066</v>
          </cell>
          <cell r="R625">
            <v>3095.1224999999999</v>
          </cell>
          <cell r="S625">
            <v>617.52250000000004</v>
          </cell>
          <cell r="T625">
            <v>260.8</v>
          </cell>
          <cell r="U625">
            <v>312.91765313817444</v>
          </cell>
          <cell r="V625">
            <v>6297</v>
          </cell>
          <cell r="W625">
            <v>0</v>
          </cell>
          <cell r="X625">
            <v>0</v>
          </cell>
          <cell r="Y625">
            <v>0</v>
          </cell>
        </row>
        <row r="626">
          <cell r="D626">
            <v>10250001</v>
          </cell>
          <cell r="E626" t="str">
            <v>KUDHIYA MPG</v>
          </cell>
          <cell r="F626">
            <v>0</v>
          </cell>
          <cell r="G626" t="str">
            <v>RMC</v>
          </cell>
          <cell r="H626" t="str">
            <v>Direct</v>
          </cell>
          <cell r="I626">
            <v>1003</v>
          </cell>
          <cell r="J626" t="str">
            <v>Asarganj</v>
          </cell>
          <cell r="K626" t="str">
            <v>Old</v>
          </cell>
          <cell r="L626">
            <v>42979</v>
          </cell>
          <cell r="M626">
            <v>3543</v>
          </cell>
          <cell r="N626">
            <v>148345.81</v>
          </cell>
          <cell r="O626">
            <v>2657.25</v>
          </cell>
          <cell r="P626">
            <v>3365.85</v>
          </cell>
          <cell r="Q626">
            <v>1929.6825847200002</v>
          </cell>
          <cell r="R626">
            <v>4450.3742999999995</v>
          </cell>
          <cell r="S626">
            <v>1084.5242999999996</v>
          </cell>
          <cell r="T626">
            <v>354.3</v>
          </cell>
          <cell r="U626">
            <v>252.06720000000001</v>
          </cell>
          <cell r="V626">
            <v>7346</v>
          </cell>
          <cell r="W626">
            <v>0</v>
          </cell>
          <cell r="X626">
            <v>0</v>
          </cell>
          <cell r="Y626">
            <v>0</v>
          </cell>
        </row>
        <row r="627">
          <cell r="D627">
            <v>10260001</v>
          </cell>
          <cell r="E627" t="str">
            <v>SHAHJADPUR MPG</v>
          </cell>
          <cell r="F627">
            <v>0</v>
          </cell>
          <cell r="G627" t="str">
            <v>RMC</v>
          </cell>
          <cell r="H627" t="str">
            <v>Direct</v>
          </cell>
          <cell r="I627">
            <v>1003</v>
          </cell>
          <cell r="J627" t="str">
            <v>Asarganj</v>
          </cell>
          <cell r="K627" t="str">
            <v>Old</v>
          </cell>
          <cell r="L627">
            <v>42979</v>
          </cell>
          <cell r="M627">
            <v>2719</v>
          </cell>
          <cell r="N627">
            <v>96708.67</v>
          </cell>
          <cell r="O627">
            <v>2039.25</v>
          </cell>
          <cell r="P627">
            <v>2583.0499999999997</v>
          </cell>
          <cell r="Q627">
            <v>769.33234868850002</v>
          </cell>
          <cell r="R627">
            <v>2901.2601</v>
          </cell>
          <cell r="S627">
            <v>318.21010000000024</v>
          </cell>
          <cell r="T627">
            <v>271.90000000000003</v>
          </cell>
          <cell r="U627">
            <v>400.65719999999993</v>
          </cell>
          <cell r="V627">
            <v>4719</v>
          </cell>
          <cell r="W627">
            <v>0</v>
          </cell>
          <cell r="X627">
            <v>0</v>
          </cell>
          <cell r="Y627">
            <v>0</v>
          </cell>
        </row>
        <row r="628">
          <cell r="D628">
            <v>10290001</v>
          </cell>
          <cell r="E628" t="str">
            <v>FARDA - 3</v>
          </cell>
          <cell r="F628">
            <v>0</v>
          </cell>
          <cell r="G628" t="str">
            <v>RMC</v>
          </cell>
          <cell r="H628" t="str">
            <v>Direct</v>
          </cell>
          <cell r="I628">
            <v>1006</v>
          </cell>
          <cell r="J628" t="str">
            <v>Sonvarsha</v>
          </cell>
          <cell r="K628" t="str">
            <v>Old</v>
          </cell>
          <cell r="L628">
            <v>42979</v>
          </cell>
          <cell r="M628">
            <v>1760.4</v>
          </cell>
          <cell r="N628">
            <v>73495.200000000012</v>
          </cell>
          <cell r="O628">
            <v>1320.3000000000002</v>
          </cell>
          <cell r="P628">
            <v>1672.38</v>
          </cell>
          <cell r="Q628">
            <v>578.46270816000015</v>
          </cell>
          <cell r="R628">
            <v>2204.8560000000002</v>
          </cell>
          <cell r="S628">
            <v>532.47600000000011</v>
          </cell>
          <cell r="T628">
            <v>176.04000000000002</v>
          </cell>
          <cell r="U628">
            <v>887.41942267184083</v>
          </cell>
          <cell r="V628">
            <v>2508</v>
          </cell>
          <cell r="W628">
            <v>0</v>
          </cell>
          <cell r="X628">
            <v>0</v>
          </cell>
          <cell r="Y628">
            <v>0</v>
          </cell>
        </row>
        <row r="629">
          <cell r="D629">
            <v>10300001</v>
          </cell>
          <cell r="E629" t="str">
            <v>CHANDANPURA</v>
          </cell>
          <cell r="F629">
            <v>0</v>
          </cell>
          <cell r="G629" t="str">
            <v>vlc</v>
          </cell>
          <cell r="H629" t="str">
            <v>Indirect</v>
          </cell>
          <cell r="I629">
            <v>1006</v>
          </cell>
          <cell r="J629" t="str">
            <v>Sonvarsha</v>
          </cell>
          <cell r="K629" t="str">
            <v>Old</v>
          </cell>
          <cell r="L629">
            <v>42979</v>
          </cell>
          <cell r="M629">
            <v>2027.8999999999999</v>
          </cell>
          <cell r="N629">
            <v>104069.08</v>
          </cell>
          <cell r="O629">
            <v>1520.925</v>
          </cell>
          <cell r="P629">
            <v>1926.5049999999999</v>
          </cell>
          <cell r="Q629">
            <v>0</v>
          </cell>
          <cell r="R629">
            <v>3122.0724</v>
          </cell>
          <cell r="S629">
            <v>1195.5674000000001</v>
          </cell>
          <cell r="T629">
            <v>202.79</v>
          </cell>
          <cell r="U629">
            <v>787.77658946943143</v>
          </cell>
          <cell r="V629">
            <v>2457</v>
          </cell>
          <cell r="W629">
            <v>0</v>
          </cell>
          <cell r="X629">
            <v>0</v>
          </cell>
          <cell r="Y629">
            <v>0</v>
          </cell>
        </row>
        <row r="630">
          <cell r="D630">
            <v>10310001</v>
          </cell>
          <cell r="E630" t="str">
            <v>MANIKPUR</v>
          </cell>
          <cell r="F630">
            <v>0</v>
          </cell>
          <cell r="G630" t="str">
            <v>RMC</v>
          </cell>
          <cell r="H630" t="str">
            <v>Direct</v>
          </cell>
          <cell r="I630">
            <v>1006</v>
          </cell>
          <cell r="J630" t="str">
            <v>Sonvarsha</v>
          </cell>
          <cell r="K630" t="str">
            <v>Old</v>
          </cell>
          <cell r="L630">
            <v>42979</v>
          </cell>
          <cell r="M630">
            <v>1569.9</v>
          </cell>
          <cell r="N630">
            <v>69575.510000000009</v>
          </cell>
          <cell r="O630">
            <v>1177.4250000000002</v>
          </cell>
          <cell r="P630">
            <v>1491.405</v>
          </cell>
          <cell r="Q630">
            <v>798.40915348200008</v>
          </cell>
          <cell r="R630">
            <v>2087.2653</v>
          </cell>
          <cell r="S630">
            <v>595.86030000000005</v>
          </cell>
          <cell r="T630">
            <v>156.99</v>
          </cell>
          <cell r="U630">
            <v>522.00283242423484</v>
          </cell>
          <cell r="V630">
            <v>2788</v>
          </cell>
          <cell r="W630">
            <v>0</v>
          </cell>
          <cell r="X630">
            <v>0</v>
          </cell>
          <cell r="Y630">
            <v>0</v>
          </cell>
        </row>
        <row r="631">
          <cell r="D631">
            <v>10320001</v>
          </cell>
          <cell r="E631" t="str">
            <v>JAKARPURA</v>
          </cell>
          <cell r="F631">
            <v>0</v>
          </cell>
          <cell r="G631" t="str">
            <v>vlc</v>
          </cell>
          <cell r="H631" t="str">
            <v>Indirect</v>
          </cell>
          <cell r="I631">
            <v>1006</v>
          </cell>
          <cell r="J631" t="str">
            <v>Sonvarsha</v>
          </cell>
          <cell r="K631" t="str">
            <v>Old</v>
          </cell>
          <cell r="L631">
            <v>42979</v>
          </cell>
          <cell r="M631">
            <v>3005.2999999999997</v>
          </cell>
          <cell r="N631">
            <v>114530.1</v>
          </cell>
          <cell r="O631">
            <v>2253.9749999999999</v>
          </cell>
          <cell r="P631">
            <v>2855.0349999999994</v>
          </cell>
          <cell r="Q631">
            <v>0</v>
          </cell>
          <cell r="R631">
            <v>3435.9030000000002</v>
          </cell>
          <cell r="S631">
            <v>580.86800000000085</v>
          </cell>
          <cell r="T631">
            <v>300.52999999999997</v>
          </cell>
          <cell r="U631">
            <v>163.09851382823874</v>
          </cell>
          <cell r="V631">
            <v>4645</v>
          </cell>
          <cell r="W631">
            <v>0</v>
          </cell>
          <cell r="X631">
            <v>0</v>
          </cell>
          <cell r="Y631">
            <v>0</v>
          </cell>
        </row>
        <row r="632">
          <cell r="D632">
            <v>10340001</v>
          </cell>
          <cell r="E632" t="str">
            <v>NANDPUR</v>
          </cell>
          <cell r="F632">
            <v>0</v>
          </cell>
          <cell r="G632" t="str">
            <v>vlc</v>
          </cell>
          <cell r="H632" t="str">
            <v>Indirect</v>
          </cell>
          <cell r="I632">
            <v>1006</v>
          </cell>
          <cell r="J632" t="str">
            <v>Sonvarsha</v>
          </cell>
          <cell r="K632" t="str">
            <v>Old</v>
          </cell>
          <cell r="L632">
            <v>42979</v>
          </cell>
          <cell r="M632">
            <v>2506.2999999999997</v>
          </cell>
          <cell r="N632">
            <v>95090.58</v>
          </cell>
          <cell r="O632">
            <v>1879.7249999999999</v>
          </cell>
          <cell r="P632">
            <v>2380.9849999999997</v>
          </cell>
          <cell r="Q632">
            <v>0</v>
          </cell>
          <cell r="R632">
            <v>2852.7174</v>
          </cell>
          <cell r="S632">
            <v>471.73240000000033</v>
          </cell>
          <cell r="T632">
            <v>250.63</v>
          </cell>
          <cell r="U632">
            <v>342.67950561333208</v>
          </cell>
          <cell r="V632">
            <v>3667</v>
          </cell>
          <cell r="W632">
            <v>0</v>
          </cell>
          <cell r="X632">
            <v>0</v>
          </cell>
          <cell r="Y632">
            <v>0</v>
          </cell>
        </row>
        <row r="633">
          <cell r="D633">
            <v>10350001</v>
          </cell>
          <cell r="E633" t="str">
            <v>NOWAGADHI</v>
          </cell>
          <cell r="F633">
            <v>0</v>
          </cell>
          <cell r="G633" t="str">
            <v>RMC</v>
          </cell>
          <cell r="H633" t="str">
            <v>Direct</v>
          </cell>
          <cell r="I633">
            <v>1006</v>
          </cell>
          <cell r="J633" t="str">
            <v>Sonvarsha</v>
          </cell>
          <cell r="K633" t="str">
            <v>Old</v>
          </cell>
          <cell r="L633">
            <v>42979</v>
          </cell>
          <cell r="M633">
            <v>2305</v>
          </cell>
          <cell r="N633">
            <v>89849.8</v>
          </cell>
          <cell r="O633">
            <v>1728.75</v>
          </cell>
          <cell r="P633">
            <v>2189.75</v>
          </cell>
          <cell r="Q633">
            <v>1351.7220689440001</v>
          </cell>
          <cell r="R633">
            <v>2695.4940000000001</v>
          </cell>
          <cell r="S633">
            <v>505.74400000000014</v>
          </cell>
          <cell r="T633">
            <v>230.5</v>
          </cell>
          <cell r="U633">
            <v>385.86262595419856</v>
          </cell>
          <cell r="V633">
            <v>4654</v>
          </cell>
          <cell r="W633">
            <v>0</v>
          </cell>
          <cell r="X633">
            <v>1796.9960000000001</v>
          </cell>
          <cell r="Y633">
            <v>0</v>
          </cell>
        </row>
        <row r="634">
          <cell r="D634">
            <v>10360001</v>
          </cell>
          <cell r="E634" t="str">
            <v>MAHADAT PUR 2</v>
          </cell>
          <cell r="F634">
            <v>0</v>
          </cell>
          <cell r="G634" t="str">
            <v>RMC</v>
          </cell>
          <cell r="H634" t="str">
            <v>Direct</v>
          </cell>
          <cell r="I634">
            <v>1036</v>
          </cell>
          <cell r="J634" t="str">
            <v>MAHADAT PUR 2</v>
          </cell>
          <cell r="K634" t="str">
            <v>Old</v>
          </cell>
          <cell r="L634">
            <v>42979</v>
          </cell>
          <cell r="M634">
            <v>5636</v>
          </cell>
          <cell r="N634">
            <v>216202.90999999997</v>
          </cell>
          <cell r="O634">
            <v>4227</v>
          </cell>
          <cell r="P634">
            <v>5354.2</v>
          </cell>
          <cell r="Q634">
            <v>6970.1817399900001</v>
          </cell>
          <cell r="R634">
            <v>6486.0872999999992</v>
          </cell>
          <cell r="S634">
            <v>1131.8872999999994</v>
          </cell>
          <cell r="T634">
            <v>563.6</v>
          </cell>
          <cell r="U634">
            <v>0</v>
          </cell>
          <cell r="V634">
            <v>15988</v>
          </cell>
          <cell r="W634">
            <v>0</v>
          </cell>
          <cell r="X634">
            <v>0</v>
          </cell>
          <cell r="Y634">
            <v>0</v>
          </cell>
        </row>
        <row r="635">
          <cell r="D635">
            <v>10370001</v>
          </cell>
          <cell r="E635" t="str">
            <v>KATHELA TOLA TELDHI</v>
          </cell>
          <cell r="F635">
            <v>0</v>
          </cell>
          <cell r="G635" t="str">
            <v>RMC</v>
          </cell>
          <cell r="H635" t="str">
            <v>Direct</v>
          </cell>
          <cell r="I635">
            <v>1007</v>
          </cell>
          <cell r="J635" t="str">
            <v>Araria</v>
          </cell>
          <cell r="K635" t="str">
            <v>Old</v>
          </cell>
          <cell r="L635">
            <v>42979</v>
          </cell>
          <cell r="M635">
            <v>269</v>
          </cell>
          <cell r="N635">
            <v>9208.51</v>
          </cell>
          <cell r="O635">
            <v>201.75</v>
          </cell>
          <cell r="P635">
            <v>255.54999999999998</v>
          </cell>
          <cell r="Q635">
            <v>0</v>
          </cell>
          <cell r="R635">
            <v>276.25529999999998</v>
          </cell>
          <cell r="S635">
            <v>20.705299999999994</v>
          </cell>
          <cell r="T635">
            <v>26.900000000000002</v>
          </cell>
          <cell r="U635">
            <v>430.6697999999999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>
            <v>10380001</v>
          </cell>
          <cell r="E636" t="str">
            <v>SONBARSHA 1</v>
          </cell>
          <cell r="F636">
            <v>0</v>
          </cell>
          <cell r="G636" t="str">
            <v>RMC</v>
          </cell>
          <cell r="H636" t="str">
            <v>Direct</v>
          </cell>
          <cell r="I636">
            <v>1007</v>
          </cell>
          <cell r="J636" t="str">
            <v>Araria</v>
          </cell>
          <cell r="K636" t="str">
            <v>Old</v>
          </cell>
          <cell r="L636">
            <v>42979</v>
          </cell>
          <cell r="M636">
            <v>1455</v>
          </cell>
          <cell r="N636">
            <v>50667.119999999995</v>
          </cell>
          <cell r="O636">
            <v>1091.25</v>
          </cell>
          <cell r="P636">
            <v>1382.25</v>
          </cell>
          <cell r="Q636">
            <v>521.95350400000007</v>
          </cell>
          <cell r="R636">
            <v>1520.0135999999998</v>
          </cell>
          <cell r="S636">
            <v>137.76359999999977</v>
          </cell>
          <cell r="T636">
            <v>145.5</v>
          </cell>
          <cell r="U636">
            <v>950.92044857991266</v>
          </cell>
          <cell r="V636">
            <v>1899</v>
          </cell>
          <cell r="W636">
            <v>0</v>
          </cell>
          <cell r="X636">
            <v>0</v>
          </cell>
          <cell r="Y636">
            <v>0</v>
          </cell>
        </row>
        <row r="637">
          <cell r="D637">
            <v>10390001</v>
          </cell>
          <cell r="E637" t="str">
            <v>GANOUL</v>
          </cell>
          <cell r="F637">
            <v>0</v>
          </cell>
          <cell r="G637" t="str">
            <v>RMC</v>
          </cell>
          <cell r="H637" t="str">
            <v>Indirect</v>
          </cell>
          <cell r="I637">
            <v>1007</v>
          </cell>
          <cell r="J637" t="str">
            <v>Araria</v>
          </cell>
          <cell r="K637" t="str">
            <v>Old</v>
          </cell>
          <cell r="L637">
            <v>44946</v>
          </cell>
          <cell r="M637">
            <v>968</v>
          </cell>
          <cell r="N637">
            <v>33695.980000000003</v>
          </cell>
          <cell r="O637">
            <v>726</v>
          </cell>
          <cell r="P637">
            <v>919.59999999999991</v>
          </cell>
          <cell r="Q637">
            <v>73.350467200000011</v>
          </cell>
          <cell r="R637">
            <v>1010.8794</v>
          </cell>
          <cell r="S637">
            <v>91.279400000000123</v>
          </cell>
          <cell r="T637">
            <v>96.800000000000011</v>
          </cell>
          <cell r="U637">
            <v>1280.8032691233434</v>
          </cell>
          <cell r="V637">
            <v>341</v>
          </cell>
          <cell r="W637">
            <v>0</v>
          </cell>
          <cell r="X637">
            <v>0</v>
          </cell>
          <cell r="Y637">
            <v>0</v>
          </cell>
        </row>
        <row r="638">
          <cell r="D638">
            <v>10400001</v>
          </cell>
          <cell r="E638" t="str">
            <v>Gauripur</v>
          </cell>
          <cell r="F638">
            <v>0</v>
          </cell>
          <cell r="G638" t="str">
            <v>RMC</v>
          </cell>
          <cell r="H638" t="str">
            <v>Direct</v>
          </cell>
          <cell r="I638">
            <v>1007</v>
          </cell>
          <cell r="J638" t="str">
            <v>Araria</v>
          </cell>
          <cell r="K638" t="str">
            <v>Old</v>
          </cell>
          <cell r="L638">
            <v>42979</v>
          </cell>
          <cell r="M638">
            <v>2116</v>
          </cell>
          <cell r="N638">
            <v>72818.44</v>
          </cell>
          <cell r="O638">
            <v>1587</v>
          </cell>
          <cell r="P638">
            <v>2010.1999999999998</v>
          </cell>
          <cell r="Q638">
            <v>514.04044800000008</v>
          </cell>
          <cell r="R638">
            <v>2184.5531999999998</v>
          </cell>
          <cell r="S638">
            <v>174.35320000000002</v>
          </cell>
          <cell r="T638">
            <v>211.60000000000002</v>
          </cell>
          <cell r="U638">
            <v>474.10042886610688</v>
          </cell>
          <cell r="V638">
            <v>3426</v>
          </cell>
          <cell r="W638">
            <v>0</v>
          </cell>
          <cell r="X638">
            <v>0</v>
          </cell>
          <cell r="Y638">
            <v>0</v>
          </cell>
        </row>
        <row r="639">
          <cell r="D639">
            <v>10410001</v>
          </cell>
          <cell r="E639" t="str">
            <v>Bhramarpur</v>
          </cell>
          <cell r="F639">
            <v>0</v>
          </cell>
          <cell r="G639" t="str">
            <v>RMC</v>
          </cell>
          <cell r="H639" t="str">
            <v>Direct</v>
          </cell>
          <cell r="I639">
            <v>1007</v>
          </cell>
          <cell r="J639" t="str">
            <v>Araria</v>
          </cell>
          <cell r="K639" t="str">
            <v>Old</v>
          </cell>
          <cell r="L639">
            <v>43080</v>
          </cell>
          <cell r="M639">
            <v>2686</v>
          </cell>
          <cell r="N639">
            <v>95875.079999999987</v>
          </cell>
          <cell r="O639">
            <v>2014.5</v>
          </cell>
          <cell r="P639">
            <v>2551.6999999999998</v>
          </cell>
          <cell r="Q639">
            <v>498.724356</v>
          </cell>
          <cell r="R639">
            <v>2876.2523999999994</v>
          </cell>
          <cell r="S639">
            <v>324.55239999999958</v>
          </cell>
          <cell r="T639">
            <v>268.60000000000002</v>
          </cell>
          <cell r="U639">
            <v>284.23696924929754</v>
          </cell>
          <cell r="V639">
            <v>4512</v>
          </cell>
          <cell r="W639">
            <v>0</v>
          </cell>
          <cell r="X639">
            <v>0</v>
          </cell>
          <cell r="Y639">
            <v>0</v>
          </cell>
        </row>
        <row r="640">
          <cell r="D640">
            <v>10440001</v>
          </cell>
          <cell r="E640" t="str">
            <v>Gomukh Sadananpur</v>
          </cell>
          <cell r="F640">
            <v>0</v>
          </cell>
          <cell r="G640" t="str">
            <v>MPG</v>
          </cell>
          <cell r="H640" t="str">
            <v>Direct</v>
          </cell>
          <cell r="I640">
            <v>1011</v>
          </cell>
          <cell r="J640" t="str">
            <v>Sahibpur Kamal</v>
          </cell>
          <cell r="K640" t="str">
            <v>Old</v>
          </cell>
          <cell r="L640">
            <v>42979</v>
          </cell>
          <cell r="M640">
            <v>249.45000000000002</v>
          </cell>
          <cell r="N640">
            <v>8707.5399999999991</v>
          </cell>
          <cell r="O640">
            <v>187.08750000000001</v>
          </cell>
          <cell r="P640">
            <v>236.97749999999999</v>
          </cell>
          <cell r="Q640">
            <v>0</v>
          </cell>
          <cell r="R640">
            <v>261.22619999999995</v>
          </cell>
          <cell r="S640">
            <v>24.248699999999957</v>
          </cell>
          <cell r="T640">
            <v>24.945000000000004</v>
          </cell>
          <cell r="U640">
            <v>399.29272435167604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>
            <v>10460001</v>
          </cell>
          <cell r="E641" t="str">
            <v>TILAKPUR  2</v>
          </cell>
          <cell r="F641">
            <v>0</v>
          </cell>
          <cell r="G641" t="str">
            <v>RMC</v>
          </cell>
          <cell r="H641" t="str">
            <v>Direct</v>
          </cell>
          <cell r="I641">
            <v>1003</v>
          </cell>
          <cell r="J641" t="str">
            <v>Asarganj</v>
          </cell>
          <cell r="K641" t="str">
            <v>Old</v>
          </cell>
          <cell r="L641">
            <v>42979</v>
          </cell>
          <cell r="M641">
            <v>1080.55</v>
          </cell>
          <cell r="N641">
            <v>38377.449999999997</v>
          </cell>
          <cell r="O641">
            <v>810.41249999999991</v>
          </cell>
          <cell r="P641">
            <v>1026.5224999999998</v>
          </cell>
          <cell r="Q641">
            <v>231.97274433600003</v>
          </cell>
          <cell r="R641">
            <v>1151.3235</v>
          </cell>
          <cell r="S641">
            <v>124.80100000000016</v>
          </cell>
          <cell r="T641">
            <v>108.05500000000001</v>
          </cell>
          <cell r="U641">
            <v>1196.8679871606635</v>
          </cell>
          <cell r="V641">
            <v>764</v>
          </cell>
          <cell r="W641">
            <v>0</v>
          </cell>
          <cell r="X641">
            <v>0</v>
          </cell>
          <cell r="Y641">
            <v>0</v>
          </cell>
        </row>
        <row r="642">
          <cell r="D642">
            <v>10460002</v>
          </cell>
          <cell r="E642" t="str">
            <v>TILAKPUR</v>
          </cell>
          <cell r="F642">
            <v>0</v>
          </cell>
          <cell r="G642" t="str">
            <v>MPG</v>
          </cell>
          <cell r="H642" t="str">
            <v>Direct</v>
          </cell>
          <cell r="I642">
            <v>1003</v>
          </cell>
          <cell r="J642" t="str">
            <v>Asarganj</v>
          </cell>
          <cell r="K642" t="str">
            <v>Old</v>
          </cell>
          <cell r="L642">
            <v>44988</v>
          </cell>
          <cell r="M642">
            <v>263.35000000000002</v>
          </cell>
          <cell r="N642">
            <v>8609.2800000000007</v>
          </cell>
          <cell r="O642">
            <v>197.51250000000002</v>
          </cell>
          <cell r="P642">
            <v>250.1825</v>
          </cell>
          <cell r="Q642">
            <v>247.60289986999999</v>
          </cell>
          <cell r="R642">
            <v>258.27840000000003</v>
          </cell>
          <cell r="S642">
            <v>8.0959000000000287</v>
          </cell>
          <cell r="T642">
            <v>26.335000000000004</v>
          </cell>
          <cell r="U642">
            <v>668.87256140309637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>
            <v>10480001</v>
          </cell>
          <cell r="E643" t="str">
            <v>Prasharpur Kadwa Gomukh</v>
          </cell>
          <cell r="F643">
            <v>0</v>
          </cell>
          <cell r="G643" t="str">
            <v>MPG</v>
          </cell>
          <cell r="H643" t="str">
            <v>Direct</v>
          </cell>
          <cell r="I643">
            <v>1036</v>
          </cell>
          <cell r="J643" t="str">
            <v>MAHADAT PUR 2</v>
          </cell>
          <cell r="K643" t="str">
            <v>Old</v>
          </cell>
          <cell r="L643">
            <v>43756</v>
          </cell>
          <cell r="M643">
            <v>1210.3999999999999</v>
          </cell>
          <cell r="N643">
            <v>42326.42</v>
          </cell>
          <cell r="O643">
            <v>907.8</v>
          </cell>
          <cell r="P643">
            <v>1149.8799999999999</v>
          </cell>
          <cell r="Q643">
            <v>448.03778691640002</v>
          </cell>
          <cell r="R643">
            <v>1269.7926</v>
          </cell>
          <cell r="S643">
            <v>119.91260000000011</v>
          </cell>
          <cell r="T643">
            <v>121.03999999999999</v>
          </cell>
          <cell r="U643">
            <v>1104.3259784056188</v>
          </cell>
          <cell r="V643">
            <v>1280</v>
          </cell>
          <cell r="W643">
            <v>1280</v>
          </cell>
          <cell r="X643">
            <v>0</v>
          </cell>
          <cell r="Y643">
            <v>0</v>
          </cell>
        </row>
        <row r="644">
          <cell r="D644">
            <v>10480002</v>
          </cell>
          <cell r="E644" t="str">
            <v>Borwa Tola Gomukh</v>
          </cell>
          <cell r="F644">
            <v>0</v>
          </cell>
          <cell r="G644" t="str">
            <v>vlc</v>
          </cell>
          <cell r="H644" t="str">
            <v>Indirect</v>
          </cell>
          <cell r="I644">
            <v>1036</v>
          </cell>
          <cell r="J644" t="str">
            <v>MAHADAT PUR 2</v>
          </cell>
          <cell r="K644" t="str">
            <v>Old</v>
          </cell>
          <cell r="L644">
            <v>43756</v>
          </cell>
          <cell r="M644">
            <v>714.7</v>
          </cell>
          <cell r="N644">
            <v>24367.39</v>
          </cell>
          <cell r="O644">
            <v>536.02500000000009</v>
          </cell>
          <cell r="P644">
            <v>678.96500000000003</v>
          </cell>
          <cell r="Q644">
            <v>0</v>
          </cell>
          <cell r="R644">
            <v>731.02170000000001</v>
          </cell>
          <cell r="S644">
            <v>52.056699999999978</v>
          </cell>
          <cell r="T644">
            <v>71.470000000000013</v>
          </cell>
          <cell r="U644">
            <v>1143.7777110371967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>
            <v>10480003</v>
          </cell>
          <cell r="E645" t="str">
            <v>Sheela Devi</v>
          </cell>
          <cell r="F645">
            <v>0</v>
          </cell>
          <cell r="G645" t="str">
            <v>vlc</v>
          </cell>
          <cell r="H645" t="str">
            <v>Indirect</v>
          </cell>
          <cell r="I645">
            <v>1007</v>
          </cell>
          <cell r="J645" t="str">
            <v>Araria</v>
          </cell>
          <cell r="K645" t="str">
            <v>Old</v>
          </cell>
          <cell r="L645">
            <v>43932</v>
          </cell>
          <cell r="M645">
            <v>1170</v>
          </cell>
          <cell r="N645">
            <v>39304.589999999997</v>
          </cell>
          <cell r="O645">
            <v>877.5</v>
          </cell>
          <cell r="P645">
            <v>1111.5</v>
          </cell>
          <cell r="Q645">
            <v>0</v>
          </cell>
          <cell r="R645">
            <v>1179.1376999999998</v>
          </cell>
          <cell r="S645">
            <v>67.637699999999768</v>
          </cell>
          <cell r="T645">
            <v>117</v>
          </cell>
          <cell r="U645">
            <v>1089.9472384615383</v>
          </cell>
          <cell r="V645">
            <v>782</v>
          </cell>
          <cell r="W645">
            <v>0</v>
          </cell>
          <cell r="X645">
            <v>0</v>
          </cell>
          <cell r="Y645">
            <v>0</v>
          </cell>
        </row>
        <row r="646">
          <cell r="D646">
            <v>10480005</v>
          </cell>
          <cell r="E646" t="str">
            <v>Gomukh Vijay Lalganj</v>
          </cell>
          <cell r="F646">
            <v>0</v>
          </cell>
          <cell r="G646" t="str">
            <v>MPG</v>
          </cell>
          <cell r="H646" t="str">
            <v>Direct</v>
          </cell>
          <cell r="I646">
            <v>1036</v>
          </cell>
          <cell r="J646" t="str">
            <v>MAHADAT PUR 2</v>
          </cell>
          <cell r="K646" t="str">
            <v>Old</v>
          </cell>
          <cell r="L646">
            <v>44974</v>
          </cell>
          <cell r="M646">
            <v>389.5</v>
          </cell>
          <cell r="N646">
            <v>14828.86</v>
          </cell>
          <cell r="O646">
            <v>292.125</v>
          </cell>
          <cell r="P646">
            <v>370.02499999999998</v>
          </cell>
          <cell r="Q646">
            <v>189.32604167850002</v>
          </cell>
          <cell r="R646">
            <v>444.86579999999998</v>
          </cell>
          <cell r="S646">
            <v>74.840800000000002</v>
          </cell>
          <cell r="T646">
            <v>38.950000000000003</v>
          </cell>
          <cell r="U646">
            <v>812.58322624335233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>
            <v>10480008</v>
          </cell>
          <cell r="E647" t="str">
            <v>Gomukh Sarswati Nagar Nakdahri</v>
          </cell>
          <cell r="F647">
            <v>0</v>
          </cell>
          <cell r="G647" t="str">
            <v>MPG</v>
          </cell>
          <cell r="H647" t="str">
            <v>Direct</v>
          </cell>
          <cell r="I647">
            <v>1036</v>
          </cell>
          <cell r="J647" t="str">
            <v>MAHADAT PUR 2</v>
          </cell>
          <cell r="K647" t="str">
            <v>Old</v>
          </cell>
          <cell r="L647">
            <v>44975</v>
          </cell>
          <cell r="M647">
            <v>1283.2999999999997</v>
          </cell>
          <cell r="N647">
            <v>51173.860000000008</v>
          </cell>
          <cell r="O647">
            <v>962.4749999999998</v>
          </cell>
          <cell r="P647">
            <v>1219.1349999999998</v>
          </cell>
          <cell r="Q647">
            <v>846.43804699600003</v>
          </cell>
          <cell r="R647">
            <v>1535.2158000000002</v>
          </cell>
          <cell r="S647">
            <v>316.08080000000041</v>
          </cell>
          <cell r="T647">
            <v>128.32999999999998</v>
          </cell>
          <cell r="U647">
            <v>1208.8423396820642</v>
          </cell>
          <cell r="V647">
            <v>1691</v>
          </cell>
          <cell r="W647">
            <v>1691</v>
          </cell>
          <cell r="X647">
            <v>0</v>
          </cell>
          <cell r="Y647">
            <v>0</v>
          </cell>
        </row>
        <row r="648">
          <cell r="D648">
            <v>10480012</v>
          </cell>
          <cell r="E648" t="str">
            <v>Gomukh Krishna Dairy Tulsipur</v>
          </cell>
          <cell r="F648">
            <v>0</v>
          </cell>
          <cell r="G648" t="str">
            <v>MPG</v>
          </cell>
          <cell r="H648" t="str">
            <v>Direct</v>
          </cell>
          <cell r="I648">
            <v>1036</v>
          </cell>
          <cell r="J648" t="str">
            <v>MAHADAT PUR 2</v>
          </cell>
          <cell r="K648" t="str">
            <v>Old</v>
          </cell>
          <cell r="L648">
            <v>45323</v>
          </cell>
          <cell r="M648">
            <v>1001.7000000000002</v>
          </cell>
          <cell r="N648">
            <v>40136.280000000006</v>
          </cell>
          <cell r="O648">
            <v>751.27500000000009</v>
          </cell>
          <cell r="P648">
            <v>951.61500000000012</v>
          </cell>
          <cell r="Q648">
            <v>304.14761038900008</v>
          </cell>
          <cell r="R648">
            <v>1204.0884000000001</v>
          </cell>
          <cell r="S648">
            <v>252.47339999999997</v>
          </cell>
          <cell r="T648">
            <v>100.17000000000002</v>
          </cell>
          <cell r="U648">
            <v>1441.0787275633324</v>
          </cell>
          <cell r="V648">
            <v>466</v>
          </cell>
          <cell r="W648">
            <v>466</v>
          </cell>
          <cell r="X648">
            <v>0</v>
          </cell>
          <cell r="Y648">
            <v>0</v>
          </cell>
        </row>
        <row r="649">
          <cell r="D649">
            <v>10480014</v>
          </cell>
          <cell r="E649" t="str">
            <v>Gomukh Amghatta Shreepur</v>
          </cell>
          <cell r="F649">
            <v>0</v>
          </cell>
          <cell r="G649" t="str">
            <v>MPG</v>
          </cell>
          <cell r="H649" t="str">
            <v>Direct</v>
          </cell>
          <cell r="I649">
            <v>1036</v>
          </cell>
          <cell r="J649" t="str">
            <v>MAHADAT PUR 2</v>
          </cell>
          <cell r="K649" t="str">
            <v>Old</v>
          </cell>
          <cell r="L649">
            <v>45056</v>
          </cell>
          <cell r="M649">
            <v>222.89999999999998</v>
          </cell>
          <cell r="N649">
            <v>10047.69</v>
          </cell>
          <cell r="O649">
            <v>167.17499999999998</v>
          </cell>
          <cell r="P649">
            <v>211.75499999999997</v>
          </cell>
          <cell r="Q649">
            <v>343.752989658015</v>
          </cell>
          <cell r="R649">
            <v>301.4307</v>
          </cell>
          <cell r="S649">
            <v>89.675700000000035</v>
          </cell>
          <cell r="T649">
            <v>22.29</v>
          </cell>
          <cell r="U649">
            <v>700.62824912634596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>
            <v>10480016</v>
          </cell>
          <cell r="E650" t="str">
            <v>Gomukh Lauwalagam</v>
          </cell>
          <cell r="F650">
            <v>0</v>
          </cell>
          <cell r="G650" t="str">
            <v>MPG</v>
          </cell>
          <cell r="H650" t="str">
            <v>Direct</v>
          </cell>
          <cell r="I650">
            <v>1036</v>
          </cell>
          <cell r="J650" t="str">
            <v>MAHADAT PUR 2</v>
          </cell>
          <cell r="K650" t="str">
            <v>Old</v>
          </cell>
          <cell r="L650">
            <v>45460</v>
          </cell>
          <cell r="M650">
            <v>1963.6999999999996</v>
          </cell>
          <cell r="N650">
            <v>65483.77</v>
          </cell>
          <cell r="O650">
            <v>1472.7749999999996</v>
          </cell>
          <cell r="P650">
            <v>1865.5149999999994</v>
          </cell>
          <cell r="Q650">
            <v>0</v>
          </cell>
          <cell r="R650">
            <v>1964.5130999999999</v>
          </cell>
          <cell r="S650">
            <v>98.998100000000477</v>
          </cell>
          <cell r="T650">
            <v>196.36999999999998</v>
          </cell>
          <cell r="U650">
            <v>554.13339163388957</v>
          </cell>
          <cell r="V650">
            <v>2588</v>
          </cell>
          <cell r="W650">
            <v>1861</v>
          </cell>
          <cell r="X650">
            <v>0</v>
          </cell>
          <cell r="Y650">
            <v>0</v>
          </cell>
        </row>
        <row r="651">
          <cell r="D651">
            <v>10480022</v>
          </cell>
          <cell r="E651" t="str">
            <v>Dhobina Basa</v>
          </cell>
          <cell r="F651">
            <v>0</v>
          </cell>
          <cell r="G651" t="str">
            <v>MPG</v>
          </cell>
          <cell r="H651" t="str">
            <v>Direct</v>
          </cell>
          <cell r="I651">
            <v>1036</v>
          </cell>
          <cell r="J651" t="str">
            <v>MAHADAT PUR 2</v>
          </cell>
          <cell r="K651" t="str">
            <v>Old</v>
          </cell>
          <cell r="L651">
            <v>45642</v>
          </cell>
          <cell r="M651">
            <v>376.6</v>
          </cell>
          <cell r="N651">
            <v>14296.689999999999</v>
          </cell>
          <cell r="O651">
            <v>282.45000000000005</v>
          </cell>
          <cell r="P651">
            <v>357.77</v>
          </cell>
          <cell r="Q651">
            <v>79.982774840000019</v>
          </cell>
          <cell r="R651">
            <v>428.90069999999997</v>
          </cell>
          <cell r="S651">
            <v>71.13069999999999</v>
          </cell>
          <cell r="T651">
            <v>37.660000000000004</v>
          </cell>
          <cell r="U651">
            <v>682.6293211402342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D652">
            <v>10480023</v>
          </cell>
          <cell r="E652" t="str">
            <v>Gomukh Shreepur Madhay</v>
          </cell>
          <cell r="F652">
            <v>0</v>
          </cell>
          <cell r="G652" t="str">
            <v>MPG</v>
          </cell>
          <cell r="H652" t="str">
            <v>Direct</v>
          </cell>
          <cell r="I652">
            <v>1036</v>
          </cell>
          <cell r="J652" t="str">
            <v>MAHADAT PUR 2</v>
          </cell>
          <cell r="K652" t="str">
            <v>Old</v>
          </cell>
          <cell r="L652">
            <v>45664</v>
          </cell>
          <cell r="M652">
            <v>2292.7000000000003</v>
          </cell>
          <cell r="N652">
            <v>87042.77</v>
          </cell>
          <cell r="O652">
            <v>1719.5250000000001</v>
          </cell>
          <cell r="P652">
            <v>2178.0650000000001</v>
          </cell>
          <cell r="Q652">
            <v>2284.1689857679999</v>
          </cell>
          <cell r="R652">
            <v>2611.2831000000001</v>
          </cell>
          <cell r="S652">
            <v>433.21810000000005</v>
          </cell>
          <cell r="T652">
            <v>229.27000000000004</v>
          </cell>
          <cell r="U652">
            <v>385.87135325393103</v>
          </cell>
          <cell r="V652">
            <v>5567</v>
          </cell>
          <cell r="W652">
            <v>1861</v>
          </cell>
          <cell r="X652">
            <v>0</v>
          </cell>
          <cell r="Y652">
            <v>0</v>
          </cell>
        </row>
        <row r="653">
          <cell r="D653">
            <v>10480028</v>
          </cell>
          <cell r="E653" t="str">
            <v>Gomukh Dhoriya Dadpur -VLC</v>
          </cell>
          <cell r="F653">
            <v>0</v>
          </cell>
          <cell r="G653" t="str">
            <v>vlc</v>
          </cell>
          <cell r="H653" t="str">
            <v>Indirect</v>
          </cell>
          <cell r="I653">
            <v>1036</v>
          </cell>
          <cell r="J653" t="str">
            <v>MAHADAT PUR 2</v>
          </cell>
          <cell r="K653" t="str">
            <v>Old</v>
          </cell>
          <cell r="L653">
            <v>45711</v>
          </cell>
          <cell r="M653">
            <v>253.20000000000002</v>
          </cell>
          <cell r="N653">
            <v>8651.2599999999984</v>
          </cell>
          <cell r="O653">
            <v>189.9</v>
          </cell>
          <cell r="P653">
            <v>240.54</v>
          </cell>
          <cell r="Q653">
            <v>0</v>
          </cell>
          <cell r="R653">
            <v>259.53779999999995</v>
          </cell>
          <cell r="S653">
            <v>18.997799999999955</v>
          </cell>
          <cell r="T653">
            <v>25.320000000000004</v>
          </cell>
          <cell r="U653">
            <v>405.30705056286934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D654">
            <v>10480034</v>
          </cell>
          <cell r="E654" t="str">
            <v>Gomukh Abhirampur VLC</v>
          </cell>
          <cell r="F654">
            <v>0</v>
          </cell>
          <cell r="G654" t="str">
            <v>vlc</v>
          </cell>
          <cell r="H654" t="str">
            <v>Indirect</v>
          </cell>
          <cell r="I654">
            <v>1036</v>
          </cell>
          <cell r="J654" t="str">
            <v>MAHADAT PUR 2</v>
          </cell>
          <cell r="K654" t="str">
            <v>Old</v>
          </cell>
          <cell r="L654">
            <v>45865</v>
          </cell>
          <cell r="M654">
            <v>805.8</v>
          </cell>
          <cell r="N654">
            <v>29907.300000000007</v>
          </cell>
          <cell r="O654">
            <v>604.34999999999991</v>
          </cell>
          <cell r="P654">
            <v>765.50999999999988</v>
          </cell>
          <cell r="Q654">
            <v>0</v>
          </cell>
          <cell r="R654">
            <v>897.21900000000016</v>
          </cell>
          <cell r="S654">
            <v>131.70900000000029</v>
          </cell>
          <cell r="T654">
            <v>80.58</v>
          </cell>
          <cell r="U654">
            <v>892.88821337630407</v>
          </cell>
          <cell r="V654">
            <v>396</v>
          </cell>
          <cell r="W654">
            <v>0</v>
          </cell>
          <cell r="X654">
            <v>0</v>
          </cell>
          <cell r="Y654">
            <v>0</v>
          </cell>
        </row>
        <row r="655">
          <cell r="D655">
            <v>10480035</v>
          </cell>
          <cell r="E655" t="str">
            <v>Gomukh Borba Mahil  VLC</v>
          </cell>
          <cell r="F655">
            <v>0</v>
          </cell>
          <cell r="G655" t="str">
            <v>vlc</v>
          </cell>
          <cell r="H655" t="str">
            <v>Indirect</v>
          </cell>
          <cell r="I655">
            <v>1036</v>
          </cell>
          <cell r="J655" t="str">
            <v>MAHADAT PUR 2</v>
          </cell>
          <cell r="K655" t="str">
            <v>Old</v>
          </cell>
          <cell r="L655">
            <v>45865</v>
          </cell>
          <cell r="M655">
            <v>15.2</v>
          </cell>
          <cell r="N655">
            <v>557.84</v>
          </cell>
          <cell r="O655">
            <v>11.399999999999999</v>
          </cell>
          <cell r="P655">
            <v>14.44</v>
          </cell>
          <cell r="Q655">
            <v>0</v>
          </cell>
          <cell r="R655">
            <v>16.735199999999999</v>
          </cell>
          <cell r="S655">
            <v>2.2951999999999995</v>
          </cell>
          <cell r="T655">
            <v>1.52</v>
          </cell>
          <cell r="U655">
            <v>24.643200000000036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D656">
            <v>10500001</v>
          </cell>
          <cell r="E656" t="str">
            <v>KUNTHA M</v>
          </cell>
          <cell r="F656">
            <v>0</v>
          </cell>
          <cell r="G656" t="str">
            <v>RMC</v>
          </cell>
          <cell r="H656" t="str">
            <v>Direct</v>
          </cell>
          <cell r="I656">
            <v>1003</v>
          </cell>
          <cell r="J656" t="str">
            <v>Asarganj</v>
          </cell>
          <cell r="K656" t="str">
            <v>Old</v>
          </cell>
          <cell r="L656">
            <v>42979</v>
          </cell>
          <cell r="M656">
            <v>1754</v>
          </cell>
          <cell r="N656">
            <v>63706.53</v>
          </cell>
          <cell r="O656">
            <v>1315.5</v>
          </cell>
          <cell r="P656">
            <v>1666.3</v>
          </cell>
          <cell r="Q656">
            <v>1199.9354513999999</v>
          </cell>
          <cell r="R656">
            <v>1911.1958999999999</v>
          </cell>
          <cell r="S656">
            <v>244.89589999999998</v>
          </cell>
          <cell r="T656">
            <v>175.4</v>
          </cell>
          <cell r="U656">
            <v>739.13897077158913</v>
          </cell>
          <cell r="V656">
            <v>3267</v>
          </cell>
          <cell r="W656">
            <v>0</v>
          </cell>
          <cell r="X656">
            <v>0</v>
          </cell>
          <cell r="Y656">
            <v>0</v>
          </cell>
        </row>
        <row r="657">
          <cell r="D657">
            <v>10510001</v>
          </cell>
          <cell r="E657" t="str">
            <v>ARAK</v>
          </cell>
          <cell r="F657">
            <v>0</v>
          </cell>
          <cell r="G657" t="str">
            <v>MPG</v>
          </cell>
          <cell r="H657" t="str">
            <v>Direct</v>
          </cell>
          <cell r="I657">
            <v>1014</v>
          </cell>
          <cell r="J657" t="str">
            <v>Dumraon</v>
          </cell>
          <cell r="K657" t="str">
            <v>Old</v>
          </cell>
          <cell r="L657">
            <v>44708</v>
          </cell>
          <cell r="M657">
            <v>5854.5999999999985</v>
          </cell>
          <cell r="N657">
            <v>215683.46000000002</v>
          </cell>
          <cell r="O657">
            <v>4390.9499999999989</v>
          </cell>
          <cell r="P657">
            <v>5561.8699999999981</v>
          </cell>
          <cell r="Q657">
            <v>2672.3012495159701</v>
          </cell>
          <cell r="R657">
            <v>6470.5038000000004</v>
          </cell>
          <cell r="S657">
            <v>908.63380000000234</v>
          </cell>
          <cell r="T657">
            <v>585.45999999999992</v>
          </cell>
          <cell r="U657">
            <v>0</v>
          </cell>
          <cell r="V657">
            <v>12040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>
            <v>10510002</v>
          </cell>
          <cell r="E658" t="str">
            <v>Diyaman</v>
          </cell>
          <cell r="F658">
            <v>0</v>
          </cell>
          <cell r="G658" t="str">
            <v>MPG</v>
          </cell>
          <cell r="H658" t="str">
            <v>Direct</v>
          </cell>
          <cell r="I658">
            <v>1014</v>
          </cell>
          <cell r="J658" t="str">
            <v>Dumraon</v>
          </cell>
          <cell r="K658" t="str">
            <v>Old</v>
          </cell>
          <cell r="L658">
            <v>44664</v>
          </cell>
          <cell r="M658">
            <v>3726.7</v>
          </cell>
          <cell r="N658">
            <v>153182.34</v>
          </cell>
          <cell r="O658">
            <v>2795.0249999999996</v>
          </cell>
          <cell r="P658">
            <v>3540.3649999999998</v>
          </cell>
          <cell r="Q658">
            <v>1179.8544942860001</v>
          </cell>
          <cell r="R658">
            <v>4595.4701999999997</v>
          </cell>
          <cell r="S658">
            <v>1055.1052</v>
          </cell>
          <cell r="T658">
            <v>372.67</v>
          </cell>
          <cell r="U658">
            <v>0</v>
          </cell>
          <cell r="V658">
            <v>7143</v>
          </cell>
          <cell r="W658">
            <v>0</v>
          </cell>
          <cell r="X658">
            <v>0</v>
          </cell>
          <cell r="Y658">
            <v>0</v>
          </cell>
        </row>
        <row r="659">
          <cell r="D659">
            <v>10510004</v>
          </cell>
          <cell r="E659" t="str">
            <v>HENHA</v>
          </cell>
          <cell r="F659">
            <v>0</v>
          </cell>
          <cell r="G659" t="str">
            <v>MPG</v>
          </cell>
          <cell r="H659" t="str">
            <v>Direct</v>
          </cell>
          <cell r="I659">
            <v>1014</v>
          </cell>
          <cell r="J659" t="str">
            <v>Dumraon</v>
          </cell>
          <cell r="K659" t="str">
            <v>Old</v>
          </cell>
          <cell r="L659">
            <v>45016</v>
          </cell>
          <cell r="M659">
            <v>3939.9</v>
          </cell>
          <cell r="N659">
            <v>153888.99</v>
          </cell>
          <cell r="O659">
            <v>2954.9250000000002</v>
          </cell>
          <cell r="P659">
            <v>3742.9049999999997</v>
          </cell>
          <cell r="Q659">
            <v>3998.0484928668202</v>
          </cell>
          <cell r="R659">
            <v>4616.6696999999995</v>
          </cell>
          <cell r="S659">
            <v>873.76469999999972</v>
          </cell>
          <cell r="T659">
            <v>393.99</v>
          </cell>
          <cell r="U659">
            <v>0</v>
          </cell>
          <cell r="V659">
            <v>10302</v>
          </cell>
          <cell r="W659">
            <v>0</v>
          </cell>
          <cell r="X659">
            <v>0</v>
          </cell>
          <cell r="Y659">
            <v>0</v>
          </cell>
        </row>
        <row r="660">
          <cell r="D660">
            <v>10520006</v>
          </cell>
          <cell r="E660" t="str">
            <v>Suddh Dairy</v>
          </cell>
          <cell r="F660">
            <v>0</v>
          </cell>
          <cell r="G660" t="str">
            <v>vlc</v>
          </cell>
          <cell r="H660" t="str">
            <v>Indirect</v>
          </cell>
          <cell r="I660">
            <v>1012</v>
          </cell>
          <cell r="J660" t="str">
            <v>DalsinghSarai</v>
          </cell>
          <cell r="K660" t="str">
            <v>Old</v>
          </cell>
          <cell r="L660">
            <v>45763</v>
          </cell>
          <cell r="M660">
            <v>82719</v>
          </cell>
          <cell r="N660">
            <v>3064707.66</v>
          </cell>
          <cell r="O660">
            <v>62039.25</v>
          </cell>
          <cell r="P660">
            <v>78583.05</v>
          </cell>
          <cell r="Q660">
            <v>0</v>
          </cell>
          <cell r="R660">
            <v>91941.229800000001</v>
          </cell>
          <cell r="S660">
            <v>13358.179799999998</v>
          </cell>
          <cell r="T660">
            <v>8271.9</v>
          </cell>
          <cell r="U660">
            <v>0</v>
          </cell>
          <cell r="V660">
            <v>132350</v>
          </cell>
          <cell r="W660">
            <v>0</v>
          </cell>
          <cell r="X660">
            <v>0</v>
          </cell>
          <cell r="Y660">
            <v>0</v>
          </cell>
        </row>
        <row r="661">
          <cell r="D661">
            <v>10520007</v>
          </cell>
          <cell r="E661" t="str">
            <v>Krishna Dairy</v>
          </cell>
          <cell r="F661">
            <v>0</v>
          </cell>
          <cell r="G661" t="str">
            <v>vlc</v>
          </cell>
          <cell r="H661" t="str">
            <v>Indirect</v>
          </cell>
          <cell r="I661">
            <v>1012</v>
          </cell>
          <cell r="J661" t="str">
            <v>DalsinghSarai</v>
          </cell>
          <cell r="K661" t="str">
            <v>Old</v>
          </cell>
          <cell r="L661">
            <v>45768</v>
          </cell>
          <cell r="M661">
            <v>4472</v>
          </cell>
          <cell r="N661">
            <v>172840.3</v>
          </cell>
          <cell r="O661">
            <v>3354</v>
          </cell>
          <cell r="P661">
            <v>4248.3999999999996</v>
          </cell>
          <cell r="Q661">
            <v>0</v>
          </cell>
          <cell r="R661">
            <v>5185.2089999999998</v>
          </cell>
          <cell r="S661">
            <v>936.8090000000002</v>
          </cell>
          <cell r="T661">
            <v>447.20000000000005</v>
          </cell>
          <cell r="U661">
            <v>0</v>
          </cell>
          <cell r="V661">
            <v>7155</v>
          </cell>
          <cell r="W661">
            <v>0</v>
          </cell>
          <cell r="X661">
            <v>0</v>
          </cell>
          <cell r="Y661">
            <v>0</v>
          </cell>
        </row>
        <row r="662">
          <cell r="D662">
            <v>10530001</v>
          </cell>
          <cell r="E662" t="str">
            <v>Gomukh CHANDAULI</v>
          </cell>
          <cell r="F662">
            <v>0</v>
          </cell>
          <cell r="G662" t="str">
            <v>MPG</v>
          </cell>
          <cell r="H662" t="str">
            <v>Direct</v>
          </cell>
          <cell r="I662">
            <v>1053</v>
          </cell>
          <cell r="J662" t="str">
            <v>Kalyanpur</v>
          </cell>
          <cell r="K662" t="str">
            <v>Old</v>
          </cell>
          <cell r="L662">
            <v>45696</v>
          </cell>
          <cell r="M662">
            <v>4068.3500000000004</v>
          </cell>
          <cell r="N662">
            <v>176047.42000000004</v>
          </cell>
          <cell r="O662">
            <v>3051.2625000000003</v>
          </cell>
          <cell r="P662">
            <v>3864.9325000000003</v>
          </cell>
          <cell r="Q662">
            <v>2069.552349132</v>
          </cell>
          <cell r="R662">
            <v>5281.4226000000008</v>
          </cell>
          <cell r="S662">
            <v>1416.4901000000004</v>
          </cell>
          <cell r="T662">
            <v>406.83500000000004</v>
          </cell>
          <cell r="U662">
            <v>0</v>
          </cell>
          <cell r="V662">
            <v>8579</v>
          </cell>
          <cell r="W662">
            <v>3520.9484000000011</v>
          </cell>
          <cell r="X662">
            <v>0</v>
          </cell>
          <cell r="Y662">
            <v>0</v>
          </cell>
        </row>
        <row r="663">
          <cell r="D663">
            <v>10530002</v>
          </cell>
          <cell r="E663" t="str">
            <v>GOMUKH HATHA</v>
          </cell>
          <cell r="F663">
            <v>0</v>
          </cell>
          <cell r="G663" t="str">
            <v>MPG</v>
          </cell>
          <cell r="H663" t="str">
            <v>Direct</v>
          </cell>
          <cell r="I663">
            <v>1053</v>
          </cell>
          <cell r="J663" t="str">
            <v>Kalyanpur</v>
          </cell>
          <cell r="K663" t="str">
            <v>Old</v>
          </cell>
          <cell r="L663">
            <v>45696</v>
          </cell>
          <cell r="M663">
            <v>5973.83</v>
          </cell>
          <cell r="N663">
            <v>244112.11</v>
          </cell>
          <cell r="O663">
            <v>4480.3724999999995</v>
          </cell>
          <cell r="P663">
            <v>5675.1385</v>
          </cell>
          <cell r="Q663">
            <v>3070.4433508000002</v>
          </cell>
          <cell r="R663">
            <v>7323.3632999999991</v>
          </cell>
          <cell r="S663">
            <v>1648.224799999999</v>
          </cell>
          <cell r="T663">
            <v>597.38300000000004</v>
          </cell>
          <cell r="U663">
            <v>0</v>
          </cell>
          <cell r="V663">
            <v>12629</v>
          </cell>
          <cell r="W663">
            <v>4882.2421999999997</v>
          </cell>
          <cell r="X663">
            <v>0</v>
          </cell>
          <cell r="Y663">
            <v>0</v>
          </cell>
        </row>
        <row r="664">
          <cell r="D664">
            <v>10530003</v>
          </cell>
          <cell r="E664" t="str">
            <v>GOMUKH VADEYA</v>
          </cell>
          <cell r="F664">
            <v>0</v>
          </cell>
          <cell r="G664" t="str">
            <v>MPG</v>
          </cell>
          <cell r="H664" t="str">
            <v>Direct</v>
          </cell>
          <cell r="I664">
            <v>1053</v>
          </cell>
          <cell r="J664" t="str">
            <v>Kalyanpur</v>
          </cell>
          <cell r="K664" t="str">
            <v>Old</v>
          </cell>
          <cell r="L664">
            <v>45696</v>
          </cell>
          <cell r="M664">
            <v>6735.5</v>
          </cell>
          <cell r="N664">
            <v>319980.56999999995</v>
          </cell>
          <cell r="O664">
            <v>5051.625</v>
          </cell>
          <cell r="P664">
            <v>6398.7249999999995</v>
          </cell>
          <cell r="Q664">
            <v>2528.3759098573805</v>
          </cell>
          <cell r="R664">
            <v>9599.4170999999988</v>
          </cell>
          <cell r="S664">
            <v>3200.6920999999993</v>
          </cell>
          <cell r="T664">
            <v>673.55000000000007</v>
          </cell>
          <cell r="U664">
            <v>0</v>
          </cell>
          <cell r="V664">
            <v>13305</v>
          </cell>
          <cell r="W664">
            <v>6399.6113999999989</v>
          </cell>
          <cell r="X664">
            <v>0</v>
          </cell>
          <cell r="Y664">
            <v>0</v>
          </cell>
        </row>
        <row r="665">
          <cell r="D665">
            <v>10530005</v>
          </cell>
          <cell r="E665" t="str">
            <v>GOMUKH CHANDPURA</v>
          </cell>
          <cell r="F665">
            <v>0</v>
          </cell>
          <cell r="G665" t="str">
            <v>MPG</v>
          </cell>
          <cell r="H665" t="str">
            <v>Direct</v>
          </cell>
          <cell r="I665">
            <v>1053</v>
          </cell>
          <cell r="J665" t="str">
            <v>Kalyanpur</v>
          </cell>
          <cell r="K665" t="str">
            <v>Old</v>
          </cell>
          <cell r="L665">
            <v>45696</v>
          </cell>
          <cell r="M665">
            <v>2617.6499999999996</v>
          </cell>
          <cell r="N665">
            <v>114222.37</v>
          </cell>
          <cell r="O665">
            <v>1963.2374999999997</v>
          </cell>
          <cell r="P665">
            <v>2486.7674999999995</v>
          </cell>
          <cell r="Q665">
            <v>2060.0534935903001</v>
          </cell>
          <cell r="R665">
            <v>3426.6710999999996</v>
          </cell>
          <cell r="S665">
            <v>939.9036000000001</v>
          </cell>
          <cell r="T665">
            <v>261.76499999999999</v>
          </cell>
          <cell r="U665">
            <v>177.86672660874146</v>
          </cell>
          <cell r="V665">
            <v>6070</v>
          </cell>
          <cell r="W665">
            <v>2284.4474</v>
          </cell>
          <cell r="X665">
            <v>0</v>
          </cell>
          <cell r="Y665">
            <v>0</v>
          </cell>
        </row>
        <row r="666">
          <cell r="D666">
            <v>10530006</v>
          </cell>
          <cell r="E666" t="str">
            <v>GOMUKH BARGAMA</v>
          </cell>
          <cell r="F666">
            <v>0</v>
          </cell>
          <cell r="G666" t="str">
            <v>MPG</v>
          </cell>
          <cell r="H666" t="str">
            <v>Direct</v>
          </cell>
          <cell r="I666">
            <v>1053</v>
          </cell>
          <cell r="J666" t="str">
            <v>Kalyanpur</v>
          </cell>
          <cell r="K666" t="str">
            <v>Old</v>
          </cell>
          <cell r="L666">
            <v>45696</v>
          </cell>
          <cell r="M666">
            <v>5302.5400000000009</v>
          </cell>
          <cell r="N666">
            <v>241417.30000000002</v>
          </cell>
          <cell r="O666">
            <v>3976.9050000000007</v>
          </cell>
          <cell r="P666">
            <v>5037.4130000000005</v>
          </cell>
          <cell r="Q666">
            <v>5197.5983868705389</v>
          </cell>
          <cell r="R666">
            <v>7242.5190000000002</v>
          </cell>
          <cell r="S666">
            <v>2205.1059999999998</v>
          </cell>
          <cell r="T666">
            <v>530.25400000000013</v>
          </cell>
          <cell r="U666">
            <v>0</v>
          </cell>
          <cell r="V666">
            <v>13682</v>
          </cell>
          <cell r="W666">
            <v>4828.3460000000005</v>
          </cell>
          <cell r="X666">
            <v>0</v>
          </cell>
          <cell r="Y666">
            <v>0</v>
          </cell>
        </row>
        <row r="667">
          <cell r="D667">
            <v>10530007</v>
          </cell>
          <cell r="E667" t="str">
            <v>Gomukh Gograha Tola</v>
          </cell>
          <cell r="F667">
            <v>0</v>
          </cell>
          <cell r="G667" t="str">
            <v>MPG</v>
          </cell>
          <cell r="H667" t="str">
            <v>Direct</v>
          </cell>
          <cell r="I667">
            <v>1053</v>
          </cell>
          <cell r="J667" t="str">
            <v>Kalyanpur</v>
          </cell>
          <cell r="K667" t="str">
            <v>Old</v>
          </cell>
          <cell r="L667">
            <v>45696</v>
          </cell>
          <cell r="M667">
            <v>3350.05</v>
          </cell>
          <cell r="N667">
            <v>141515.78</v>
          </cell>
          <cell r="O667">
            <v>2512.5375000000004</v>
          </cell>
          <cell r="P667">
            <v>3182.5475000000001</v>
          </cell>
          <cell r="Q667">
            <v>1039.0121860520001</v>
          </cell>
          <cell r="R667">
            <v>4245.4733999999999</v>
          </cell>
          <cell r="S667">
            <v>1062.9258999999997</v>
          </cell>
          <cell r="T667">
            <v>335.00500000000005</v>
          </cell>
          <cell r="U667">
            <v>0</v>
          </cell>
          <cell r="V667">
            <v>6399</v>
          </cell>
          <cell r="W667">
            <v>2830.3155999999999</v>
          </cell>
          <cell r="X667">
            <v>0</v>
          </cell>
          <cell r="Y667">
            <v>0</v>
          </cell>
        </row>
        <row r="668">
          <cell r="D668">
            <v>10530008</v>
          </cell>
          <cell r="E668" t="str">
            <v>Gomukh Patsara</v>
          </cell>
          <cell r="F668">
            <v>0</v>
          </cell>
          <cell r="G668" t="str">
            <v>MPG</v>
          </cell>
          <cell r="H668" t="str">
            <v>Direct</v>
          </cell>
          <cell r="I668">
            <v>1053</v>
          </cell>
          <cell r="J668" t="str">
            <v>Kalyanpur</v>
          </cell>
          <cell r="K668" t="str">
            <v>Old</v>
          </cell>
          <cell r="L668">
            <v>45696</v>
          </cell>
          <cell r="M668">
            <v>1689.2999999999997</v>
          </cell>
          <cell r="N668">
            <v>79873.62999999999</v>
          </cell>
          <cell r="O668">
            <v>1266.9749999999999</v>
          </cell>
          <cell r="P668">
            <v>1604.8349999999996</v>
          </cell>
          <cell r="Q668">
            <v>1048.6104689860599</v>
          </cell>
          <cell r="R668">
            <v>2396.2088999999996</v>
          </cell>
          <cell r="S668">
            <v>791.37390000000005</v>
          </cell>
          <cell r="T668">
            <v>168.92999999999998</v>
          </cell>
          <cell r="U668">
            <v>1052.1693645288883</v>
          </cell>
          <cell r="V668">
            <v>2699</v>
          </cell>
          <cell r="W668">
            <v>1861</v>
          </cell>
          <cell r="X668">
            <v>0</v>
          </cell>
          <cell r="Y668">
            <v>0</v>
          </cell>
        </row>
        <row r="669">
          <cell r="D669">
            <v>10530009</v>
          </cell>
          <cell r="E669" t="str">
            <v>Gomukh Singhiya</v>
          </cell>
          <cell r="F669">
            <v>0</v>
          </cell>
          <cell r="G669" t="str">
            <v>vlc</v>
          </cell>
          <cell r="H669" t="str">
            <v>Indirect</v>
          </cell>
          <cell r="I669">
            <v>1053</v>
          </cell>
          <cell r="J669" t="str">
            <v>Kalyanpur</v>
          </cell>
          <cell r="K669" t="str">
            <v>Old</v>
          </cell>
          <cell r="L669">
            <v>45696</v>
          </cell>
          <cell r="M669">
            <v>25243.65</v>
          </cell>
          <cell r="N669">
            <v>1023637.8400000001</v>
          </cell>
          <cell r="O669">
            <v>18932.737500000003</v>
          </cell>
          <cell r="P669">
            <v>23981.467499999999</v>
          </cell>
          <cell r="Q669">
            <v>0</v>
          </cell>
          <cell r="R669">
            <v>30709.135200000001</v>
          </cell>
          <cell r="S669">
            <v>6727.6677000000018</v>
          </cell>
          <cell r="T669">
            <v>2524.3650000000002</v>
          </cell>
          <cell r="U669">
            <v>0</v>
          </cell>
          <cell r="V669">
            <v>40390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>
            <v>10530010</v>
          </cell>
          <cell r="E670" t="str">
            <v xml:space="preserve">Gomukh BALHA </v>
          </cell>
          <cell r="F670">
            <v>0</v>
          </cell>
          <cell r="G670" t="str">
            <v>vlc</v>
          </cell>
          <cell r="H670" t="str">
            <v>Indirect</v>
          </cell>
          <cell r="I670">
            <v>1053</v>
          </cell>
          <cell r="J670" t="str">
            <v>Kalyanpur</v>
          </cell>
          <cell r="K670" t="str">
            <v>Old</v>
          </cell>
          <cell r="L670">
            <v>45696</v>
          </cell>
          <cell r="M670">
            <v>4987.1499999999996</v>
          </cell>
          <cell r="N670">
            <v>194646.22999999998</v>
          </cell>
          <cell r="O670">
            <v>3740.3624999999997</v>
          </cell>
          <cell r="P670">
            <v>4737.7924999999996</v>
          </cell>
          <cell r="Q670">
            <v>0</v>
          </cell>
          <cell r="R670">
            <v>5839.3868999999995</v>
          </cell>
          <cell r="S670">
            <v>1101.5944</v>
          </cell>
          <cell r="T670">
            <v>498.71499999999997</v>
          </cell>
          <cell r="U670">
            <v>0</v>
          </cell>
          <cell r="V670">
            <v>7979</v>
          </cell>
          <cell r="W670">
            <v>0</v>
          </cell>
          <cell r="X670">
            <v>0</v>
          </cell>
          <cell r="Y670">
            <v>0</v>
          </cell>
        </row>
        <row r="671">
          <cell r="D671">
            <v>10530013</v>
          </cell>
          <cell r="E671" t="str">
            <v>Gomukh Kalyanpur 2</v>
          </cell>
          <cell r="F671">
            <v>0</v>
          </cell>
          <cell r="G671" t="str">
            <v>vlc</v>
          </cell>
          <cell r="H671" t="str">
            <v>Indirect</v>
          </cell>
          <cell r="I671">
            <v>1053</v>
          </cell>
          <cell r="J671" t="str">
            <v>Kalyanpur</v>
          </cell>
          <cell r="K671" t="str">
            <v>Old</v>
          </cell>
          <cell r="L671">
            <v>45697</v>
          </cell>
          <cell r="M671">
            <v>574.15</v>
          </cell>
          <cell r="N671">
            <v>22167.489999999994</v>
          </cell>
          <cell r="O671">
            <v>430.61249999999995</v>
          </cell>
          <cell r="P671">
            <v>545.4425</v>
          </cell>
          <cell r="Q671">
            <v>0</v>
          </cell>
          <cell r="R671">
            <v>665.02469999999983</v>
          </cell>
          <cell r="S671">
            <v>119.58219999999983</v>
          </cell>
          <cell r="T671">
            <v>57.414999999999999</v>
          </cell>
          <cell r="U671">
            <v>918.34745517022748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>
            <v>10530014</v>
          </cell>
          <cell r="E672" t="str">
            <v>Gomukh Namapur 2</v>
          </cell>
          <cell r="F672">
            <v>0</v>
          </cell>
          <cell r="G672" t="str">
            <v>vlc</v>
          </cell>
          <cell r="H672" t="str">
            <v>Indirect</v>
          </cell>
          <cell r="I672">
            <v>1053</v>
          </cell>
          <cell r="J672" t="str">
            <v>Kalyanpur</v>
          </cell>
          <cell r="K672" t="str">
            <v>Old</v>
          </cell>
          <cell r="L672">
            <v>45696</v>
          </cell>
          <cell r="M672">
            <v>8044.4500000000007</v>
          </cell>
          <cell r="N672">
            <v>315893.38</v>
          </cell>
          <cell r="O672">
            <v>6033.3375000000005</v>
          </cell>
          <cell r="P672">
            <v>7642.2275</v>
          </cell>
          <cell r="Q672">
            <v>0</v>
          </cell>
          <cell r="R672">
            <v>9476.8014000000003</v>
          </cell>
          <cell r="S672">
            <v>1834.5739000000003</v>
          </cell>
          <cell r="T672">
            <v>804.44500000000016</v>
          </cell>
          <cell r="U672">
            <v>0</v>
          </cell>
          <cell r="V672">
            <v>12871</v>
          </cell>
          <cell r="W672">
            <v>0</v>
          </cell>
          <cell r="X672">
            <v>0</v>
          </cell>
          <cell r="Y672">
            <v>0</v>
          </cell>
        </row>
        <row r="673">
          <cell r="D673">
            <v>10530015</v>
          </cell>
          <cell r="E673" t="str">
            <v>Gomukh Madhopur</v>
          </cell>
          <cell r="F673">
            <v>0</v>
          </cell>
          <cell r="G673" t="str">
            <v>vlc</v>
          </cell>
          <cell r="H673" t="str">
            <v>Indirect</v>
          </cell>
          <cell r="I673">
            <v>1053</v>
          </cell>
          <cell r="J673" t="str">
            <v>Kalyanpur</v>
          </cell>
          <cell r="K673" t="str">
            <v>Old</v>
          </cell>
          <cell r="L673">
            <v>45696</v>
          </cell>
          <cell r="M673">
            <v>3557.5</v>
          </cell>
          <cell r="N673">
            <v>163234.96</v>
          </cell>
          <cell r="O673">
            <v>2668.125</v>
          </cell>
          <cell r="P673">
            <v>3379.625</v>
          </cell>
          <cell r="Q673">
            <v>0</v>
          </cell>
          <cell r="R673">
            <v>4897.0487999999996</v>
          </cell>
          <cell r="S673">
            <v>1517.4237999999996</v>
          </cell>
          <cell r="T673">
            <v>355.75</v>
          </cell>
          <cell r="U673">
            <v>0</v>
          </cell>
          <cell r="V673">
            <v>5692</v>
          </cell>
          <cell r="W673">
            <v>0</v>
          </cell>
          <cell r="X673">
            <v>0</v>
          </cell>
          <cell r="Y673">
            <v>0</v>
          </cell>
        </row>
        <row r="674">
          <cell r="D674">
            <v>10530016</v>
          </cell>
          <cell r="E674" t="str">
            <v>Gomukh Kalyanpur East</v>
          </cell>
          <cell r="F674">
            <v>0</v>
          </cell>
          <cell r="G674" t="str">
            <v>vlc</v>
          </cell>
          <cell r="H674" t="str">
            <v>Indirect</v>
          </cell>
          <cell r="I674">
            <v>1053</v>
          </cell>
          <cell r="J674" t="str">
            <v>Kalyanpur</v>
          </cell>
          <cell r="K674" t="str">
            <v>Old</v>
          </cell>
          <cell r="L674">
            <v>45697</v>
          </cell>
          <cell r="M674">
            <v>5091.1499999999996</v>
          </cell>
          <cell r="N674">
            <v>191732.28999999998</v>
          </cell>
          <cell r="O674">
            <v>3818.3624999999997</v>
          </cell>
          <cell r="P674">
            <v>4836.5924999999997</v>
          </cell>
          <cell r="Q674">
            <v>0</v>
          </cell>
          <cell r="R674">
            <v>5751.9686999999994</v>
          </cell>
          <cell r="S674">
            <v>915.3761999999997</v>
          </cell>
          <cell r="T674">
            <v>509.11500000000001</v>
          </cell>
          <cell r="U674">
            <v>0</v>
          </cell>
          <cell r="V674">
            <v>8146</v>
          </cell>
          <cell r="W674">
            <v>0</v>
          </cell>
          <cell r="X674">
            <v>0</v>
          </cell>
          <cell r="Y674">
            <v>0</v>
          </cell>
        </row>
        <row r="675">
          <cell r="D675">
            <v>10530017</v>
          </cell>
          <cell r="E675" t="str">
            <v>Gomukh Bazidpur</v>
          </cell>
          <cell r="F675">
            <v>0</v>
          </cell>
          <cell r="G675" t="str">
            <v>vlc</v>
          </cell>
          <cell r="H675" t="str">
            <v>Indirect</v>
          </cell>
          <cell r="I675">
            <v>1053</v>
          </cell>
          <cell r="J675" t="str">
            <v>Kalyanpur</v>
          </cell>
          <cell r="K675" t="str">
            <v>Old</v>
          </cell>
          <cell r="L675">
            <v>45699</v>
          </cell>
          <cell r="M675">
            <v>7471.1</v>
          </cell>
          <cell r="N675">
            <v>321367.43999999994</v>
          </cell>
          <cell r="O675">
            <v>5603.3250000000007</v>
          </cell>
          <cell r="P675">
            <v>7097.5450000000001</v>
          </cell>
          <cell r="Q675">
            <v>0</v>
          </cell>
          <cell r="R675">
            <v>9641.0231999999978</v>
          </cell>
          <cell r="S675">
            <v>2543.4781999999977</v>
          </cell>
          <cell r="T675">
            <v>747.11000000000013</v>
          </cell>
          <cell r="U675">
            <v>0</v>
          </cell>
          <cell r="V675">
            <v>11954</v>
          </cell>
          <cell r="W675">
            <v>0</v>
          </cell>
          <cell r="X675">
            <v>0</v>
          </cell>
          <cell r="Y675">
            <v>0</v>
          </cell>
        </row>
        <row r="676">
          <cell r="D676">
            <v>10530018</v>
          </cell>
          <cell r="E676" t="str">
            <v>Gomukh Belsandi</v>
          </cell>
          <cell r="F676">
            <v>0</v>
          </cell>
          <cell r="G676" t="str">
            <v>vlc</v>
          </cell>
          <cell r="H676" t="str">
            <v>Indirect</v>
          </cell>
          <cell r="I676">
            <v>1053</v>
          </cell>
          <cell r="J676" t="str">
            <v>Kalyanpur</v>
          </cell>
          <cell r="K676" t="str">
            <v>Old</v>
          </cell>
          <cell r="L676">
            <v>45700</v>
          </cell>
          <cell r="M676">
            <v>3265.7999999999997</v>
          </cell>
          <cell r="N676">
            <v>149829.69</v>
          </cell>
          <cell r="O676">
            <v>2449.35</v>
          </cell>
          <cell r="P676">
            <v>3102.5099999999998</v>
          </cell>
          <cell r="Q676">
            <v>0</v>
          </cell>
          <cell r="R676">
            <v>4494.8906999999999</v>
          </cell>
          <cell r="S676">
            <v>1392.3807000000002</v>
          </cell>
          <cell r="T676">
            <v>326.58</v>
          </cell>
          <cell r="U676">
            <v>112.69228562765309</v>
          </cell>
          <cell r="V676">
            <v>5113</v>
          </cell>
          <cell r="W676">
            <v>0</v>
          </cell>
          <cell r="X676">
            <v>0</v>
          </cell>
          <cell r="Y676">
            <v>0</v>
          </cell>
        </row>
        <row r="677">
          <cell r="D677">
            <v>10530019</v>
          </cell>
          <cell r="E677" t="str">
            <v>Gomukh Namapur Ward 8</v>
          </cell>
          <cell r="F677">
            <v>0</v>
          </cell>
          <cell r="G677" t="str">
            <v>vlc</v>
          </cell>
          <cell r="H677" t="str">
            <v>Indirect</v>
          </cell>
          <cell r="I677">
            <v>1053</v>
          </cell>
          <cell r="J677" t="str">
            <v>Kalyanpur</v>
          </cell>
          <cell r="K677" t="str">
            <v>Old</v>
          </cell>
          <cell r="L677">
            <v>45701</v>
          </cell>
          <cell r="M677">
            <v>1795.1000000000001</v>
          </cell>
          <cell r="N677">
            <v>71888.47</v>
          </cell>
          <cell r="O677">
            <v>1346.325</v>
          </cell>
          <cell r="P677">
            <v>1705.345</v>
          </cell>
          <cell r="Q677">
            <v>0</v>
          </cell>
          <cell r="R677">
            <v>2156.6540999999997</v>
          </cell>
          <cell r="S677">
            <v>451.30909999999972</v>
          </cell>
          <cell r="T677">
            <v>179.51000000000002</v>
          </cell>
          <cell r="U677">
            <v>1098.6852156318928</v>
          </cell>
          <cell r="V677">
            <v>1773</v>
          </cell>
          <cell r="W677">
            <v>0</v>
          </cell>
          <cell r="X677">
            <v>0</v>
          </cell>
          <cell r="Y677">
            <v>0</v>
          </cell>
        </row>
        <row r="678">
          <cell r="D678">
            <v>10530020</v>
          </cell>
          <cell r="E678" t="str">
            <v>Gomukh Bhagwanpur</v>
          </cell>
          <cell r="F678">
            <v>0</v>
          </cell>
          <cell r="G678" t="str">
            <v>vlc</v>
          </cell>
          <cell r="H678" t="str">
            <v>Indirect</v>
          </cell>
          <cell r="I678">
            <v>1053</v>
          </cell>
          <cell r="J678" t="str">
            <v>Kalyanpur</v>
          </cell>
          <cell r="K678" t="str">
            <v>Old</v>
          </cell>
          <cell r="L678">
            <v>45701</v>
          </cell>
          <cell r="M678">
            <v>1503.8999999999996</v>
          </cell>
          <cell r="N678">
            <v>63155.73</v>
          </cell>
          <cell r="O678">
            <v>1127.9249999999997</v>
          </cell>
          <cell r="P678">
            <v>1428.7049999999997</v>
          </cell>
          <cell r="Q678">
            <v>0</v>
          </cell>
          <cell r="R678">
            <v>1894.6719000000001</v>
          </cell>
          <cell r="S678">
            <v>465.96690000000035</v>
          </cell>
          <cell r="T678">
            <v>150.38999999999996</v>
          </cell>
          <cell r="U678">
            <v>1097.4292962065147</v>
          </cell>
          <cell r="V678">
            <v>1309</v>
          </cell>
          <cell r="W678">
            <v>0</v>
          </cell>
          <cell r="X678">
            <v>0</v>
          </cell>
          <cell r="Y678">
            <v>0</v>
          </cell>
        </row>
        <row r="679">
          <cell r="D679">
            <v>10530021</v>
          </cell>
          <cell r="E679" t="str">
            <v>Gomukh Gorai Ward 4</v>
          </cell>
          <cell r="F679">
            <v>0</v>
          </cell>
          <cell r="G679" t="str">
            <v>vlc</v>
          </cell>
          <cell r="H679" t="str">
            <v>Indirect</v>
          </cell>
          <cell r="I679">
            <v>1053</v>
          </cell>
          <cell r="J679" t="str">
            <v>Kalyanpur</v>
          </cell>
          <cell r="K679" t="str">
            <v>Old</v>
          </cell>
          <cell r="L679">
            <v>45702</v>
          </cell>
          <cell r="M679">
            <v>3845.05</v>
          </cell>
          <cell r="N679">
            <v>158343.97999999998</v>
          </cell>
          <cell r="O679">
            <v>2883.7875000000004</v>
          </cell>
          <cell r="P679">
            <v>3652.7975000000001</v>
          </cell>
          <cell r="Q679">
            <v>0</v>
          </cell>
          <cell r="R679">
            <v>4750.3193999999994</v>
          </cell>
          <cell r="S679">
            <v>1097.5218999999993</v>
          </cell>
          <cell r="T679">
            <v>384.50500000000005</v>
          </cell>
          <cell r="U679">
            <v>0</v>
          </cell>
          <cell r="V679">
            <v>6152</v>
          </cell>
          <cell r="W679">
            <v>0</v>
          </cell>
          <cell r="X679">
            <v>0</v>
          </cell>
          <cell r="Y679">
            <v>0</v>
          </cell>
        </row>
        <row r="680">
          <cell r="D680">
            <v>10530023</v>
          </cell>
          <cell r="E680" t="str">
            <v>GOMUKH Jitwariya</v>
          </cell>
          <cell r="F680">
            <v>0</v>
          </cell>
          <cell r="G680" t="str">
            <v>vlc</v>
          </cell>
          <cell r="H680" t="str">
            <v>Indirect</v>
          </cell>
          <cell r="I680">
            <v>1053</v>
          </cell>
          <cell r="J680" t="str">
            <v>Kalyanpur</v>
          </cell>
          <cell r="K680" t="str">
            <v>Old</v>
          </cell>
          <cell r="L680">
            <v>45707</v>
          </cell>
          <cell r="M680">
            <v>7543.5500000000011</v>
          </cell>
          <cell r="N680">
            <v>292562.14999999997</v>
          </cell>
          <cell r="O680">
            <v>5657.6625000000004</v>
          </cell>
          <cell r="P680">
            <v>7166.3725000000004</v>
          </cell>
          <cell r="Q680">
            <v>0</v>
          </cell>
          <cell r="R680">
            <v>8776.8644999999979</v>
          </cell>
          <cell r="S680">
            <v>1610.4919999999975</v>
          </cell>
          <cell r="T680">
            <v>754.35500000000013</v>
          </cell>
          <cell r="U680">
            <v>0</v>
          </cell>
          <cell r="V680">
            <v>12070</v>
          </cell>
          <cell r="W680">
            <v>0</v>
          </cell>
          <cell r="X680">
            <v>0</v>
          </cell>
          <cell r="Y680">
            <v>0</v>
          </cell>
        </row>
        <row r="681">
          <cell r="D681">
            <v>10530024</v>
          </cell>
          <cell r="E681" t="str">
            <v>Gomukh Kharsand</v>
          </cell>
          <cell r="F681">
            <v>0</v>
          </cell>
          <cell r="G681" t="str">
            <v>vlc</v>
          </cell>
          <cell r="H681" t="str">
            <v>Indirect</v>
          </cell>
          <cell r="I681">
            <v>1053</v>
          </cell>
          <cell r="J681" t="str">
            <v>Kalyanpur</v>
          </cell>
          <cell r="K681" t="str">
            <v>Old</v>
          </cell>
          <cell r="L681">
            <v>45707</v>
          </cell>
          <cell r="M681">
            <v>542.44999999999993</v>
          </cell>
          <cell r="N681">
            <v>21570.329999999998</v>
          </cell>
          <cell r="O681">
            <v>406.83749999999998</v>
          </cell>
          <cell r="P681">
            <v>515.32749999999987</v>
          </cell>
          <cell r="Q681">
            <v>0</v>
          </cell>
          <cell r="R681">
            <v>647.10989999999993</v>
          </cell>
          <cell r="S681">
            <v>131.78240000000005</v>
          </cell>
          <cell r="T681">
            <v>54.244999999999997</v>
          </cell>
          <cell r="U681">
            <v>868.26363274647065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D682">
            <v>10530025</v>
          </cell>
          <cell r="E682" t="str">
            <v>Belsandi</v>
          </cell>
          <cell r="F682">
            <v>0</v>
          </cell>
          <cell r="G682" t="str">
            <v>vlc</v>
          </cell>
          <cell r="H682" t="str">
            <v>Indirect</v>
          </cell>
          <cell r="I682">
            <v>1053</v>
          </cell>
          <cell r="J682" t="str">
            <v>Kalyanpur</v>
          </cell>
          <cell r="K682" t="str">
            <v>Old</v>
          </cell>
          <cell r="L682">
            <v>45711</v>
          </cell>
          <cell r="M682">
            <v>3623.3500000000004</v>
          </cell>
          <cell r="N682">
            <v>152865.61000000002</v>
          </cell>
          <cell r="O682">
            <v>2717.5125000000003</v>
          </cell>
          <cell r="P682">
            <v>3442.1825000000003</v>
          </cell>
          <cell r="Q682">
            <v>0</v>
          </cell>
          <cell r="R682">
            <v>4585.9683000000005</v>
          </cell>
          <cell r="S682">
            <v>1143.7858000000001</v>
          </cell>
          <cell r="T682">
            <v>362.33500000000004</v>
          </cell>
          <cell r="U682">
            <v>0</v>
          </cell>
          <cell r="V682">
            <v>5797</v>
          </cell>
          <cell r="W682">
            <v>0</v>
          </cell>
          <cell r="X682">
            <v>0</v>
          </cell>
          <cell r="Y682">
            <v>0</v>
          </cell>
        </row>
        <row r="683">
          <cell r="D683">
            <v>10530027</v>
          </cell>
          <cell r="E683" t="str">
            <v>Gomukh Kolwara</v>
          </cell>
          <cell r="F683">
            <v>0</v>
          </cell>
          <cell r="G683" t="str">
            <v>MPG</v>
          </cell>
          <cell r="H683" t="str">
            <v>Direct</v>
          </cell>
          <cell r="I683">
            <v>1053</v>
          </cell>
          <cell r="J683" t="str">
            <v>Kalyanpur</v>
          </cell>
          <cell r="K683" t="str">
            <v>Old</v>
          </cell>
          <cell r="L683">
            <v>45737</v>
          </cell>
          <cell r="M683">
            <v>511.65000000000003</v>
          </cell>
          <cell r="N683">
            <v>21197.050000000003</v>
          </cell>
          <cell r="O683">
            <v>383.73750000000001</v>
          </cell>
          <cell r="P683">
            <v>486.0675</v>
          </cell>
          <cell r="Q683">
            <v>41.035910268000009</v>
          </cell>
          <cell r="R683">
            <v>635.91150000000005</v>
          </cell>
          <cell r="S683">
            <v>149.84400000000005</v>
          </cell>
          <cell r="T683">
            <v>51.165000000000006</v>
          </cell>
          <cell r="U683">
            <v>859.36511433502324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>
            <v>10530029</v>
          </cell>
          <cell r="E684" t="str">
            <v>Gomukh Belsandi East</v>
          </cell>
          <cell r="F684">
            <v>0</v>
          </cell>
          <cell r="G684" t="str">
            <v>vlc</v>
          </cell>
          <cell r="H684" t="str">
            <v>Indirect</v>
          </cell>
          <cell r="I684">
            <v>1053</v>
          </cell>
          <cell r="J684" t="str">
            <v>Kalyanpur</v>
          </cell>
          <cell r="K684" t="str">
            <v>Old</v>
          </cell>
          <cell r="L684">
            <v>45717</v>
          </cell>
          <cell r="M684">
            <v>7447.4500000000007</v>
          </cell>
          <cell r="N684">
            <v>336542.71</v>
          </cell>
          <cell r="O684">
            <v>5585.5875000000005</v>
          </cell>
          <cell r="P684">
            <v>7075.0775000000003</v>
          </cell>
          <cell r="Q684">
            <v>0</v>
          </cell>
          <cell r="R684">
            <v>10096.281300000001</v>
          </cell>
          <cell r="S684">
            <v>3021.2038000000002</v>
          </cell>
          <cell r="T684">
            <v>744.74500000000012</v>
          </cell>
          <cell r="U684">
            <v>0</v>
          </cell>
          <cell r="V684">
            <v>11916</v>
          </cell>
          <cell r="W684">
            <v>0</v>
          </cell>
          <cell r="X684">
            <v>0</v>
          </cell>
          <cell r="Y684">
            <v>0</v>
          </cell>
        </row>
        <row r="685">
          <cell r="D685">
            <v>10530030</v>
          </cell>
          <cell r="E685" t="str">
            <v>Gomukh Belsandi West Tola</v>
          </cell>
          <cell r="F685">
            <v>0</v>
          </cell>
          <cell r="G685" t="str">
            <v>vlc</v>
          </cell>
          <cell r="H685" t="str">
            <v>Indirect</v>
          </cell>
          <cell r="I685">
            <v>1053</v>
          </cell>
          <cell r="J685" t="str">
            <v>Kalyanpur</v>
          </cell>
          <cell r="K685" t="str">
            <v>Old</v>
          </cell>
          <cell r="L685">
            <v>45716</v>
          </cell>
          <cell r="M685">
            <v>1185.7</v>
          </cell>
          <cell r="N685">
            <v>52349.7</v>
          </cell>
          <cell r="O685">
            <v>889.27500000000009</v>
          </cell>
          <cell r="P685">
            <v>1126.415</v>
          </cell>
          <cell r="Q685">
            <v>0</v>
          </cell>
          <cell r="R685">
            <v>1570.4909999999998</v>
          </cell>
          <cell r="S685">
            <v>444.07599999999979</v>
          </cell>
          <cell r="T685">
            <v>118.57000000000001</v>
          </cell>
          <cell r="U685">
            <v>1426.6014903227895</v>
          </cell>
          <cell r="V685">
            <v>471</v>
          </cell>
          <cell r="W685">
            <v>0</v>
          </cell>
          <cell r="X685">
            <v>0</v>
          </cell>
          <cell r="Y685">
            <v>0</v>
          </cell>
        </row>
        <row r="686">
          <cell r="D686">
            <v>10530031</v>
          </cell>
          <cell r="E686" t="str">
            <v>Gomukh Gopalpur</v>
          </cell>
          <cell r="F686">
            <v>0</v>
          </cell>
          <cell r="G686" t="str">
            <v>vlc</v>
          </cell>
          <cell r="H686" t="str">
            <v>Indirect</v>
          </cell>
          <cell r="I686">
            <v>1053</v>
          </cell>
          <cell r="J686" t="str">
            <v>Kalyanpur</v>
          </cell>
          <cell r="K686" t="str">
            <v>Old</v>
          </cell>
          <cell r="L686">
            <v>45720</v>
          </cell>
          <cell r="M686">
            <v>4762.95</v>
          </cell>
          <cell r="N686">
            <v>193598.91000000003</v>
          </cell>
          <cell r="O686">
            <v>3572.2124999999996</v>
          </cell>
          <cell r="P686">
            <v>4524.8024999999998</v>
          </cell>
          <cell r="Q686">
            <v>0</v>
          </cell>
          <cell r="R686">
            <v>5807.9673000000012</v>
          </cell>
          <cell r="S686">
            <v>1283.1648000000014</v>
          </cell>
          <cell r="T686">
            <v>476.29500000000002</v>
          </cell>
          <cell r="U686">
            <v>0</v>
          </cell>
          <cell r="V686">
            <v>7621</v>
          </cell>
          <cell r="W686">
            <v>0</v>
          </cell>
          <cell r="X686">
            <v>0</v>
          </cell>
          <cell r="Y686">
            <v>0</v>
          </cell>
        </row>
        <row r="687">
          <cell r="D687">
            <v>10530032</v>
          </cell>
          <cell r="E687" t="str">
            <v>Gomukh Bharav</v>
          </cell>
          <cell r="F687">
            <v>0</v>
          </cell>
          <cell r="G687" t="str">
            <v>MPG</v>
          </cell>
          <cell r="H687" t="str">
            <v>Direct</v>
          </cell>
          <cell r="I687">
            <v>1053</v>
          </cell>
          <cell r="J687" t="str">
            <v>Kalyanpur</v>
          </cell>
          <cell r="K687" t="str">
            <v>Old</v>
          </cell>
          <cell r="L687">
            <v>45739</v>
          </cell>
          <cell r="M687">
            <v>3243.9999999999995</v>
          </cell>
          <cell r="N687">
            <v>177981.91999999998</v>
          </cell>
          <cell r="O687">
            <v>2432.9999999999995</v>
          </cell>
          <cell r="P687">
            <v>3081.7999999999993</v>
          </cell>
          <cell r="Q687">
            <v>4014.1548674729997</v>
          </cell>
          <cell r="R687">
            <v>5339.4575999999997</v>
          </cell>
          <cell r="S687">
            <v>2257.6576000000005</v>
          </cell>
          <cell r="T687">
            <v>324.39999999999998</v>
          </cell>
          <cell r="U687">
            <v>7.5579161448564012</v>
          </cell>
          <cell r="V687">
            <v>9197</v>
          </cell>
          <cell r="W687">
            <v>3559.6383999999998</v>
          </cell>
          <cell r="X687">
            <v>0</v>
          </cell>
          <cell r="Y687">
            <v>0</v>
          </cell>
        </row>
        <row r="688">
          <cell r="D688">
            <v>10530033</v>
          </cell>
          <cell r="E688" t="str">
            <v>Gomukh Harpur</v>
          </cell>
          <cell r="F688">
            <v>0</v>
          </cell>
          <cell r="G688" t="str">
            <v>MPG</v>
          </cell>
          <cell r="H688" t="str">
            <v>Direct</v>
          </cell>
          <cell r="I688">
            <v>1053</v>
          </cell>
          <cell r="J688" t="str">
            <v>Kalyanpur</v>
          </cell>
          <cell r="K688" t="str">
            <v>Old</v>
          </cell>
          <cell r="L688">
            <v>45745</v>
          </cell>
          <cell r="M688">
            <v>3895.35</v>
          </cell>
          <cell r="N688">
            <v>161328.25</v>
          </cell>
          <cell r="O688">
            <v>2921.5124999999998</v>
          </cell>
          <cell r="P688">
            <v>3700.5824999999995</v>
          </cell>
          <cell r="Q688">
            <v>1635.7477314428002</v>
          </cell>
          <cell r="R688">
            <v>4839.8474999999999</v>
          </cell>
          <cell r="S688">
            <v>1139.2650000000003</v>
          </cell>
          <cell r="T688">
            <v>389.53500000000003</v>
          </cell>
          <cell r="U688">
            <v>0</v>
          </cell>
          <cell r="V688">
            <v>7868</v>
          </cell>
          <cell r="W688">
            <v>3226.5650000000001</v>
          </cell>
          <cell r="X688">
            <v>0</v>
          </cell>
          <cell r="Y688">
            <v>0</v>
          </cell>
        </row>
        <row r="689">
          <cell r="D689">
            <v>10530034</v>
          </cell>
          <cell r="E689" t="str">
            <v>Gomukh Fulhatta</v>
          </cell>
          <cell r="F689">
            <v>0</v>
          </cell>
          <cell r="G689" t="str">
            <v>MPG</v>
          </cell>
          <cell r="H689" t="str">
            <v>Direct</v>
          </cell>
          <cell r="I689">
            <v>1053</v>
          </cell>
          <cell r="J689" t="str">
            <v>Kalyanpur</v>
          </cell>
          <cell r="K689" t="str">
            <v>Old</v>
          </cell>
          <cell r="L689">
            <v>45745</v>
          </cell>
          <cell r="M689">
            <v>7356.15</v>
          </cell>
          <cell r="N689">
            <v>376462.75</v>
          </cell>
          <cell r="O689">
            <v>5517.1124999999993</v>
          </cell>
          <cell r="P689">
            <v>6988.3424999999997</v>
          </cell>
          <cell r="Q689">
            <v>3463.943328282422</v>
          </cell>
          <cell r="R689">
            <v>11293.8825</v>
          </cell>
          <cell r="S689">
            <v>4305.54</v>
          </cell>
          <cell r="T689">
            <v>735.61500000000001</v>
          </cell>
          <cell r="U689">
            <v>0</v>
          </cell>
          <cell r="V689">
            <v>15234</v>
          </cell>
          <cell r="W689">
            <v>7529.2550000000001</v>
          </cell>
          <cell r="X689">
            <v>0</v>
          </cell>
          <cell r="Y689">
            <v>0</v>
          </cell>
        </row>
        <row r="690">
          <cell r="D690">
            <v>10530035</v>
          </cell>
          <cell r="E690" t="str">
            <v>Gomukh Birauli Khurd</v>
          </cell>
          <cell r="F690">
            <v>0</v>
          </cell>
          <cell r="G690" t="str">
            <v>MPG</v>
          </cell>
          <cell r="H690" t="str">
            <v>Direct</v>
          </cell>
          <cell r="I690">
            <v>1053</v>
          </cell>
          <cell r="J690" t="str">
            <v>Kalyanpur</v>
          </cell>
          <cell r="K690" t="str">
            <v>Old</v>
          </cell>
          <cell r="L690">
            <v>45745</v>
          </cell>
          <cell r="M690">
            <v>4293.3999999999996</v>
          </cell>
          <cell r="N690">
            <v>184413.28000000003</v>
          </cell>
          <cell r="O690">
            <v>3220.0499999999997</v>
          </cell>
          <cell r="P690">
            <v>4078.7299999999996</v>
          </cell>
          <cell r="Q690">
            <v>3300.937868468</v>
          </cell>
          <cell r="R690">
            <v>5532.3984000000009</v>
          </cell>
          <cell r="S690">
            <v>1453.6684000000014</v>
          </cell>
          <cell r="T690">
            <v>429.34</v>
          </cell>
          <cell r="U690">
            <v>0</v>
          </cell>
          <cell r="V690">
            <v>10170</v>
          </cell>
          <cell r="W690">
            <v>3688.2656000000006</v>
          </cell>
          <cell r="X690">
            <v>0</v>
          </cell>
          <cell r="Y690">
            <v>0</v>
          </cell>
        </row>
        <row r="691">
          <cell r="D691">
            <v>10530037</v>
          </cell>
          <cell r="E691" t="str">
            <v>Gomukh Janardhanpur</v>
          </cell>
          <cell r="F691">
            <v>0</v>
          </cell>
          <cell r="G691" t="str">
            <v>vlc</v>
          </cell>
          <cell r="H691" t="str">
            <v>Indirect</v>
          </cell>
          <cell r="I691">
            <v>1053</v>
          </cell>
          <cell r="J691" t="str">
            <v>Kalyanpur</v>
          </cell>
          <cell r="K691" t="str">
            <v>Old</v>
          </cell>
          <cell r="L691">
            <v>45741</v>
          </cell>
          <cell r="M691">
            <v>1570.15</v>
          </cell>
          <cell r="N691">
            <v>61904.929999999993</v>
          </cell>
          <cell r="O691">
            <v>1177.6125000000002</v>
          </cell>
          <cell r="P691">
            <v>1491.6424999999999</v>
          </cell>
          <cell r="Q691">
            <v>0</v>
          </cell>
          <cell r="R691">
            <v>1857.1478999999997</v>
          </cell>
          <cell r="S691">
            <v>365.50539999999978</v>
          </cell>
          <cell r="T691">
            <v>157.01500000000001</v>
          </cell>
          <cell r="U691">
            <v>1034.7307858471017</v>
          </cell>
          <cell r="V691">
            <v>1478</v>
          </cell>
          <cell r="W691">
            <v>0</v>
          </cell>
          <cell r="X691">
            <v>0</v>
          </cell>
          <cell r="Y691">
            <v>0</v>
          </cell>
        </row>
        <row r="692">
          <cell r="D692">
            <v>10530038</v>
          </cell>
          <cell r="E692" t="str">
            <v>Gomukh Bedauliya</v>
          </cell>
          <cell r="F692">
            <v>0</v>
          </cell>
          <cell r="G692" t="str">
            <v>vlc</v>
          </cell>
          <cell r="H692" t="str">
            <v>Indirect</v>
          </cell>
          <cell r="I692">
            <v>1053</v>
          </cell>
          <cell r="J692" t="str">
            <v>Kalyanpur</v>
          </cell>
          <cell r="K692" t="str">
            <v>Old</v>
          </cell>
          <cell r="L692">
            <v>45745</v>
          </cell>
          <cell r="M692">
            <v>4159.2</v>
          </cell>
          <cell r="N692">
            <v>176847.58000000002</v>
          </cell>
          <cell r="O692">
            <v>3119.3999999999996</v>
          </cell>
          <cell r="P692">
            <v>3951.24</v>
          </cell>
          <cell r="Q692">
            <v>0</v>
          </cell>
          <cell r="R692">
            <v>5305.4274000000005</v>
          </cell>
          <cell r="S692">
            <v>1354.1874000000007</v>
          </cell>
          <cell r="T692">
            <v>415.92</v>
          </cell>
          <cell r="U692">
            <v>0</v>
          </cell>
          <cell r="V692">
            <v>6655</v>
          </cell>
          <cell r="W692">
            <v>0</v>
          </cell>
          <cell r="X692">
            <v>0</v>
          </cell>
          <cell r="Y692">
            <v>0</v>
          </cell>
        </row>
        <row r="693">
          <cell r="D693">
            <v>10530040</v>
          </cell>
          <cell r="E693" t="str">
            <v>Gomukh Khanua</v>
          </cell>
          <cell r="F693">
            <v>0</v>
          </cell>
          <cell r="G693" t="str">
            <v>MPG</v>
          </cell>
          <cell r="H693" t="str">
            <v>Direct</v>
          </cell>
          <cell r="I693">
            <v>1053</v>
          </cell>
          <cell r="J693" t="str">
            <v>Kalyanpur</v>
          </cell>
          <cell r="K693" t="str">
            <v>Old</v>
          </cell>
          <cell r="L693">
            <v>45745</v>
          </cell>
          <cell r="M693">
            <v>7047.8499999999995</v>
          </cell>
          <cell r="N693">
            <v>334984.71000000002</v>
          </cell>
          <cell r="O693">
            <v>5285.8874999999998</v>
          </cell>
          <cell r="P693">
            <v>6695.4574999999995</v>
          </cell>
          <cell r="Q693">
            <v>2459.2028619698604</v>
          </cell>
          <cell r="R693">
            <v>10049.541300000001</v>
          </cell>
          <cell r="S693">
            <v>3354.0838000000012</v>
          </cell>
          <cell r="T693">
            <v>704.78499999999997</v>
          </cell>
          <cell r="U693">
            <v>0</v>
          </cell>
          <cell r="V693">
            <v>13736</v>
          </cell>
          <cell r="W693">
            <v>6699.6942000000008</v>
          </cell>
          <cell r="X693">
            <v>0</v>
          </cell>
          <cell r="Y693">
            <v>0</v>
          </cell>
        </row>
        <row r="694">
          <cell r="D694">
            <v>10530041</v>
          </cell>
          <cell r="E694" t="str">
            <v>Gomukh Hiralalpur</v>
          </cell>
          <cell r="F694">
            <v>0</v>
          </cell>
          <cell r="G694" t="str">
            <v>vlc</v>
          </cell>
          <cell r="H694" t="str">
            <v>Indirect</v>
          </cell>
          <cell r="I694">
            <v>1053</v>
          </cell>
          <cell r="J694" t="str">
            <v>Kalyanpur</v>
          </cell>
          <cell r="K694" t="str">
            <v>Old</v>
          </cell>
          <cell r="L694">
            <v>45737</v>
          </cell>
          <cell r="M694">
            <v>5039.9500000000007</v>
          </cell>
          <cell r="N694">
            <v>213201.62000000002</v>
          </cell>
          <cell r="O694">
            <v>3779.9625000000005</v>
          </cell>
          <cell r="P694">
            <v>4787.9525000000003</v>
          </cell>
          <cell r="Q694">
            <v>0</v>
          </cell>
          <cell r="R694">
            <v>6396.0486000000001</v>
          </cell>
          <cell r="S694">
            <v>1608.0960999999998</v>
          </cell>
          <cell r="T694">
            <v>503.99500000000012</v>
          </cell>
          <cell r="U694">
            <v>0</v>
          </cell>
          <cell r="V694">
            <v>8064</v>
          </cell>
          <cell r="W694">
            <v>0</v>
          </cell>
          <cell r="X694">
            <v>0</v>
          </cell>
          <cell r="Y694">
            <v>0</v>
          </cell>
        </row>
        <row r="695">
          <cell r="D695">
            <v>10530044</v>
          </cell>
          <cell r="E695" t="str">
            <v>Gomukh Punas</v>
          </cell>
          <cell r="F695">
            <v>0</v>
          </cell>
          <cell r="G695" t="str">
            <v>MPG</v>
          </cell>
          <cell r="H695" t="str">
            <v>Direct</v>
          </cell>
          <cell r="I695">
            <v>1053</v>
          </cell>
          <cell r="J695" t="str">
            <v>Kalyanpur</v>
          </cell>
          <cell r="K695" t="str">
            <v>Old</v>
          </cell>
          <cell r="L695">
            <v>45745</v>
          </cell>
          <cell r="M695">
            <v>2739.2999999999997</v>
          </cell>
          <cell r="N695">
            <v>124159.43</v>
          </cell>
          <cell r="O695">
            <v>2054.4749999999999</v>
          </cell>
          <cell r="P695">
            <v>2602.3349999999996</v>
          </cell>
          <cell r="Q695">
            <v>1507.7935874467998</v>
          </cell>
          <cell r="R695">
            <v>3724.7828999999997</v>
          </cell>
          <cell r="S695">
            <v>1122.4479000000001</v>
          </cell>
          <cell r="T695">
            <v>273.93</v>
          </cell>
          <cell r="U695">
            <v>97.557137390694379</v>
          </cell>
          <cell r="V695">
            <v>5793</v>
          </cell>
          <cell r="W695">
            <v>2483.1886</v>
          </cell>
          <cell r="X695">
            <v>0</v>
          </cell>
          <cell r="Y695">
            <v>0</v>
          </cell>
        </row>
        <row r="696">
          <cell r="D696">
            <v>10530046</v>
          </cell>
          <cell r="E696" t="str">
            <v>Gomukh Loharkha</v>
          </cell>
          <cell r="F696">
            <v>0</v>
          </cell>
          <cell r="G696" t="str">
            <v>MPG</v>
          </cell>
          <cell r="H696" t="str">
            <v>Direct</v>
          </cell>
          <cell r="I696">
            <v>1053</v>
          </cell>
          <cell r="J696" t="str">
            <v>Kalyanpur</v>
          </cell>
          <cell r="K696" t="str">
            <v>Old</v>
          </cell>
          <cell r="L696">
            <v>45751</v>
          </cell>
          <cell r="M696">
            <v>2172.0499999999997</v>
          </cell>
          <cell r="N696">
            <v>98323.040000000008</v>
          </cell>
          <cell r="O696">
            <v>1629.0374999999999</v>
          </cell>
          <cell r="P696">
            <v>2063.4474999999998</v>
          </cell>
          <cell r="Q696">
            <v>1327.8876820970961</v>
          </cell>
          <cell r="R696">
            <v>2949.6912000000002</v>
          </cell>
          <cell r="S696">
            <v>886.24370000000044</v>
          </cell>
          <cell r="T696">
            <v>217.20499999999998</v>
          </cell>
          <cell r="U696">
            <v>567.79342193708726</v>
          </cell>
          <cell r="V696">
            <v>4235</v>
          </cell>
          <cell r="W696">
            <v>0</v>
          </cell>
          <cell r="X696">
            <v>0</v>
          </cell>
          <cell r="Y696">
            <v>0</v>
          </cell>
        </row>
        <row r="697">
          <cell r="D697">
            <v>10530047</v>
          </cell>
          <cell r="E697" t="str">
            <v>Gomukh Dighra</v>
          </cell>
          <cell r="F697">
            <v>0</v>
          </cell>
          <cell r="G697" t="str">
            <v>MPG</v>
          </cell>
          <cell r="H697" t="str">
            <v>Direct</v>
          </cell>
          <cell r="I697">
            <v>1053</v>
          </cell>
          <cell r="J697" t="str">
            <v>Kalyanpur</v>
          </cell>
          <cell r="K697" t="str">
            <v>Old</v>
          </cell>
          <cell r="L697">
            <v>45745</v>
          </cell>
          <cell r="M697">
            <v>1192.95</v>
          </cell>
          <cell r="N697">
            <v>45716.79</v>
          </cell>
          <cell r="O697">
            <v>894.71250000000009</v>
          </cell>
          <cell r="P697">
            <v>1133.3025</v>
          </cell>
          <cell r="Q697">
            <v>976.81137896360008</v>
          </cell>
          <cell r="R697">
            <v>1371.5037</v>
          </cell>
          <cell r="S697">
            <v>238.20119999999997</v>
          </cell>
          <cell r="T697">
            <v>119.29500000000002</v>
          </cell>
          <cell r="U697">
            <v>1231.4320986175096</v>
          </cell>
          <cell r="V697">
            <v>1654</v>
          </cell>
          <cell r="W697">
            <v>1654</v>
          </cell>
          <cell r="X697">
            <v>0</v>
          </cell>
          <cell r="Y697">
            <v>0</v>
          </cell>
        </row>
        <row r="698">
          <cell r="D698">
            <v>10530048</v>
          </cell>
          <cell r="E698" t="str">
            <v>Basuwari</v>
          </cell>
          <cell r="F698">
            <v>0</v>
          </cell>
          <cell r="G698" t="str">
            <v>MPG</v>
          </cell>
          <cell r="H698" t="str">
            <v>Direct</v>
          </cell>
          <cell r="I698">
            <v>1053</v>
          </cell>
          <cell r="J698" t="str">
            <v>Kalyanpur</v>
          </cell>
          <cell r="K698" t="str">
            <v>Old</v>
          </cell>
          <cell r="L698">
            <v>45755</v>
          </cell>
          <cell r="M698">
            <v>1182.7</v>
          </cell>
          <cell r="N698">
            <v>52193.41</v>
          </cell>
          <cell r="O698">
            <v>887.02500000000009</v>
          </cell>
          <cell r="P698">
            <v>1123.5650000000001</v>
          </cell>
          <cell r="Q698">
            <v>1161.6023386898921</v>
          </cell>
          <cell r="R698">
            <v>1565.8023000000001</v>
          </cell>
          <cell r="S698">
            <v>442.2373</v>
          </cell>
          <cell r="T698">
            <v>118.27000000000001</v>
          </cell>
          <cell r="U698">
            <v>1429.1004674521373</v>
          </cell>
          <cell r="V698">
            <v>1625</v>
          </cell>
          <cell r="W698">
            <v>1625</v>
          </cell>
          <cell r="X698">
            <v>0</v>
          </cell>
          <cell r="Y698">
            <v>0</v>
          </cell>
        </row>
        <row r="699">
          <cell r="D699">
            <v>10530049</v>
          </cell>
          <cell r="E699" t="str">
            <v>Belsandi 3</v>
          </cell>
          <cell r="F699">
            <v>0</v>
          </cell>
          <cell r="G699" t="str">
            <v>vlc</v>
          </cell>
          <cell r="H699" t="str">
            <v>Indirect</v>
          </cell>
          <cell r="I699">
            <v>1053</v>
          </cell>
          <cell r="J699" t="str">
            <v>Kalyanpur</v>
          </cell>
          <cell r="K699" t="str">
            <v>Old</v>
          </cell>
          <cell r="L699">
            <v>45745</v>
          </cell>
          <cell r="M699">
            <v>7753.8000000000011</v>
          </cell>
          <cell r="N699">
            <v>305734.83999999997</v>
          </cell>
          <cell r="O699">
            <v>5815.35</v>
          </cell>
          <cell r="P699">
            <v>7366.1100000000006</v>
          </cell>
          <cell r="Q699">
            <v>0</v>
          </cell>
          <cell r="R699">
            <v>9172.0451999999987</v>
          </cell>
          <cell r="S699">
            <v>1805.9351999999981</v>
          </cell>
          <cell r="T699">
            <v>775.38000000000011</v>
          </cell>
          <cell r="U699">
            <v>0</v>
          </cell>
          <cell r="V699">
            <v>12406</v>
          </cell>
          <cell r="W699">
            <v>0</v>
          </cell>
          <cell r="X699">
            <v>0</v>
          </cell>
          <cell r="Y699">
            <v>0</v>
          </cell>
        </row>
        <row r="700">
          <cell r="D700">
            <v>10530050</v>
          </cell>
          <cell r="E700" t="str">
            <v>Gomukh Bhagwanpur</v>
          </cell>
          <cell r="F700">
            <v>0</v>
          </cell>
          <cell r="G700" t="str">
            <v>vlc</v>
          </cell>
          <cell r="H700" t="str">
            <v>Indirect</v>
          </cell>
          <cell r="I700">
            <v>1053</v>
          </cell>
          <cell r="J700" t="str">
            <v>Kalyanpur</v>
          </cell>
          <cell r="K700" t="str">
            <v>Old</v>
          </cell>
          <cell r="L700">
            <v>45749</v>
          </cell>
          <cell r="M700">
            <v>2961.35</v>
          </cell>
          <cell r="N700">
            <v>139899.59999999998</v>
          </cell>
          <cell r="O700">
            <v>2221.0124999999998</v>
          </cell>
          <cell r="P700">
            <v>2813.2824999999998</v>
          </cell>
          <cell r="Q700">
            <v>0</v>
          </cell>
          <cell r="R700">
            <v>4196.9879999999994</v>
          </cell>
          <cell r="S700">
            <v>1383.7054999999996</v>
          </cell>
          <cell r="T700">
            <v>296.13499999999999</v>
          </cell>
          <cell r="U700">
            <v>54.08764755244755</v>
          </cell>
          <cell r="V700">
            <v>4684</v>
          </cell>
          <cell r="W700">
            <v>0</v>
          </cell>
          <cell r="X700">
            <v>0</v>
          </cell>
          <cell r="Y700">
            <v>0</v>
          </cell>
        </row>
        <row r="701">
          <cell r="D701">
            <v>10530053</v>
          </cell>
          <cell r="E701" t="str">
            <v>Gomukh Balaha East</v>
          </cell>
          <cell r="F701">
            <v>0</v>
          </cell>
          <cell r="G701" t="str">
            <v>vlc</v>
          </cell>
          <cell r="H701" t="str">
            <v>Indirect</v>
          </cell>
          <cell r="I701">
            <v>1053</v>
          </cell>
          <cell r="J701" t="str">
            <v>Kalyanpur</v>
          </cell>
          <cell r="K701" t="str">
            <v>Old</v>
          </cell>
          <cell r="L701">
            <v>45766</v>
          </cell>
          <cell r="M701">
            <v>7978.7</v>
          </cell>
          <cell r="N701">
            <v>314512.46000000002</v>
          </cell>
          <cell r="O701">
            <v>5984.0249999999996</v>
          </cell>
          <cell r="P701">
            <v>7579.7649999999994</v>
          </cell>
          <cell r="Q701">
            <v>0</v>
          </cell>
          <cell r="R701">
            <v>9435.3737999999994</v>
          </cell>
          <cell r="S701">
            <v>1855.6088</v>
          </cell>
          <cell r="T701">
            <v>797.87</v>
          </cell>
          <cell r="U701">
            <v>0</v>
          </cell>
          <cell r="V701">
            <v>12766</v>
          </cell>
          <cell r="W701">
            <v>0</v>
          </cell>
          <cell r="X701">
            <v>0</v>
          </cell>
          <cell r="Y701">
            <v>0</v>
          </cell>
        </row>
        <row r="702">
          <cell r="D702">
            <v>10530054</v>
          </cell>
          <cell r="E702" t="str">
            <v>Gomukh PARAN</v>
          </cell>
          <cell r="F702">
            <v>0</v>
          </cell>
          <cell r="G702" t="str">
            <v>vlc</v>
          </cell>
          <cell r="H702" t="str">
            <v>Indirect</v>
          </cell>
          <cell r="I702">
            <v>1053</v>
          </cell>
          <cell r="J702" t="str">
            <v>Kalyanpur</v>
          </cell>
          <cell r="K702" t="str">
            <v>Old</v>
          </cell>
          <cell r="L702">
            <v>45772</v>
          </cell>
          <cell r="M702">
            <v>5521.5</v>
          </cell>
          <cell r="N702">
            <v>229024.33999999997</v>
          </cell>
          <cell r="O702">
            <v>4141.125</v>
          </cell>
          <cell r="P702">
            <v>5245.4250000000002</v>
          </cell>
          <cell r="Q702">
            <v>0</v>
          </cell>
          <cell r="R702">
            <v>6870.7301999999991</v>
          </cell>
          <cell r="S702">
            <v>1625.3051999999989</v>
          </cell>
          <cell r="T702">
            <v>552.15</v>
          </cell>
          <cell r="U702">
            <v>72.755938524995841</v>
          </cell>
          <cell r="V702">
            <v>8762</v>
          </cell>
          <cell r="W702">
            <v>0</v>
          </cell>
          <cell r="X702">
            <v>0</v>
          </cell>
          <cell r="Y702">
            <v>0</v>
          </cell>
        </row>
        <row r="703">
          <cell r="D703">
            <v>10530055</v>
          </cell>
          <cell r="E703" t="str">
            <v>GOMUKH HARPUR W-13</v>
          </cell>
          <cell r="F703">
            <v>0</v>
          </cell>
          <cell r="G703" t="str">
            <v>MPG</v>
          </cell>
          <cell r="H703" t="str">
            <v>Direct</v>
          </cell>
          <cell r="I703">
            <v>1053</v>
          </cell>
          <cell r="J703" t="str">
            <v>Kalyanpur</v>
          </cell>
          <cell r="K703" t="str">
            <v>Old</v>
          </cell>
          <cell r="L703">
            <v>45778</v>
          </cell>
          <cell r="M703">
            <v>6936.6500000000005</v>
          </cell>
          <cell r="N703">
            <v>301400.45</v>
          </cell>
          <cell r="O703">
            <v>5202.4875000000002</v>
          </cell>
          <cell r="P703">
            <v>6589.8175000000001</v>
          </cell>
          <cell r="Q703">
            <v>4298.2954149320003</v>
          </cell>
          <cell r="R703">
            <v>9042.0134999999991</v>
          </cell>
          <cell r="S703">
            <v>2452.195999999999</v>
          </cell>
          <cell r="T703">
            <v>693.66500000000008</v>
          </cell>
          <cell r="U703">
            <v>0</v>
          </cell>
          <cell r="V703">
            <v>15397</v>
          </cell>
          <cell r="W703">
            <v>6028.009</v>
          </cell>
          <cell r="X703">
            <v>0</v>
          </cell>
          <cell r="Y703">
            <v>0</v>
          </cell>
        </row>
        <row r="704">
          <cell r="D704">
            <v>10530057</v>
          </cell>
          <cell r="E704" t="str">
            <v>GOMUKH MILKI</v>
          </cell>
          <cell r="F704">
            <v>0</v>
          </cell>
          <cell r="G704" t="str">
            <v>vlc</v>
          </cell>
          <cell r="H704" t="str">
            <v>Indirect</v>
          </cell>
          <cell r="I704">
            <v>1053</v>
          </cell>
          <cell r="J704" t="str">
            <v>Kalyanpur</v>
          </cell>
          <cell r="K704" t="str">
            <v>Old</v>
          </cell>
          <cell r="L704">
            <v>45775</v>
          </cell>
          <cell r="M704">
            <v>234.1</v>
          </cell>
          <cell r="N704">
            <v>9260.4700000000012</v>
          </cell>
          <cell r="O704">
            <v>175.57499999999999</v>
          </cell>
          <cell r="P704">
            <v>222.39499999999998</v>
          </cell>
          <cell r="Q704">
            <v>0</v>
          </cell>
          <cell r="R704">
            <v>277.8141</v>
          </cell>
          <cell r="S704">
            <v>55.419100000000014</v>
          </cell>
          <cell r="T704">
            <v>23.41</v>
          </cell>
          <cell r="U704">
            <v>374.23318207792886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>
            <v>10530058</v>
          </cell>
          <cell r="E705" t="str">
            <v>Gomukh Ratwara</v>
          </cell>
          <cell r="F705">
            <v>0</v>
          </cell>
          <cell r="G705" t="str">
            <v>MPG</v>
          </cell>
          <cell r="H705" t="str">
            <v>Direct</v>
          </cell>
          <cell r="I705">
            <v>1053</v>
          </cell>
          <cell r="J705" t="str">
            <v>Kalyanpur</v>
          </cell>
          <cell r="K705" t="str">
            <v>Old</v>
          </cell>
          <cell r="L705">
            <v>45779</v>
          </cell>
          <cell r="M705">
            <v>390.29999999999995</v>
          </cell>
          <cell r="N705">
            <v>17212.490000000002</v>
          </cell>
          <cell r="O705">
            <v>292.72499999999997</v>
          </cell>
          <cell r="P705">
            <v>370.78499999999991</v>
          </cell>
          <cell r="Q705">
            <v>315.21438391740003</v>
          </cell>
          <cell r="R705">
            <v>516.37470000000008</v>
          </cell>
          <cell r="S705">
            <v>145.58970000000016</v>
          </cell>
          <cell r="T705">
            <v>39.03</v>
          </cell>
          <cell r="U705">
            <v>939.68910940400428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>
            <v>10530059</v>
          </cell>
          <cell r="E706" t="str">
            <v>Gomukh Fulhara</v>
          </cell>
          <cell r="F706">
            <v>0</v>
          </cell>
          <cell r="G706" t="str">
            <v>vlc</v>
          </cell>
          <cell r="H706" t="str">
            <v>Indirect</v>
          </cell>
          <cell r="I706">
            <v>1053</v>
          </cell>
          <cell r="J706" t="str">
            <v>Kalyanpur</v>
          </cell>
          <cell r="K706" t="str">
            <v>Old</v>
          </cell>
          <cell r="L706">
            <v>45778</v>
          </cell>
          <cell r="M706">
            <v>5149.1499999999996</v>
          </cell>
          <cell r="N706">
            <v>275721.46999999997</v>
          </cell>
          <cell r="O706">
            <v>3861.8624999999997</v>
          </cell>
          <cell r="P706">
            <v>4891.6924999999992</v>
          </cell>
          <cell r="Q706">
            <v>0</v>
          </cell>
          <cell r="R706">
            <v>8271.6440999999995</v>
          </cell>
          <cell r="S706">
            <v>3379.9516000000003</v>
          </cell>
          <cell r="T706">
            <v>514.91499999999996</v>
          </cell>
          <cell r="U706">
            <v>0</v>
          </cell>
          <cell r="V706">
            <v>8239</v>
          </cell>
          <cell r="W706">
            <v>0</v>
          </cell>
          <cell r="X706">
            <v>0</v>
          </cell>
          <cell r="Y706">
            <v>0</v>
          </cell>
        </row>
        <row r="707">
          <cell r="D707">
            <v>10530060</v>
          </cell>
          <cell r="E707" t="str">
            <v>Gomukh Ranitola</v>
          </cell>
          <cell r="F707">
            <v>0</v>
          </cell>
          <cell r="G707" t="str">
            <v>vlc</v>
          </cell>
          <cell r="H707" t="str">
            <v>Indirect</v>
          </cell>
          <cell r="I707">
            <v>1053</v>
          </cell>
          <cell r="J707" t="str">
            <v>Kalyanpur</v>
          </cell>
          <cell r="K707" t="str">
            <v>Old</v>
          </cell>
          <cell r="L707">
            <v>45779</v>
          </cell>
          <cell r="M707">
            <v>2611.25</v>
          </cell>
          <cell r="N707">
            <v>121074.91000000002</v>
          </cell>
          <cell r="O707">
            <v>1958.4375</v>
          </cell>
          <cell r="P707">
            <v>2480.6875</v>
          </cell>
          <cell r="Q707">
            <v>0</v>
          </cell>
          <cell r="R707">
            <v>3632.2473000000005</v>
          </cell>
          <cell r="S707">
            <v>1151.5598000000005</v>
          </cell>
          <cell r="T707">
            <v>261.125</v>
          </cell>
          <cell r="U707">
            <v>175.50128509369017</v>
          </cell>
          <cell r="V707">
            <v>4002</v>
          </cell>
          <cell r="W707">
            <v>0</v>
          </cell>
          <cell r="X707">
            <v>0</v>
          </cell>
          <cell r="Y707">
            <v>0</v>
          </cell>
        </row>
        <row r="708">
          <cell r="D708">
            <v>10530062</v>
          </cell>
          <cell r="E708" t="str">
            <v>Gomukh Malinagar East</v>
          </cell>
          <cell r="F708">
            <v>0</v>
          </cell>
          <cell r="G708" t="str">
            <v>MPG</v>
          </cell>
          <cell r="H708" t="str">
            <v>Direct</v>
          </cell>
          <cell r="I708">
            <v>1053</v>
          </cell>
          <cell r="J708" t="str">
            <v>Kalyanpur</v>
          </cell>
          <cell r="K708" t="str">
            <v>Old</v>
          </cell>
          <cell r="L708">
            <v>45796</v>
          </cell>
          <cell r="M708">
            <v>3701.9500000000003</v>
          </cell>
          <cell r="N708">
            <v>155318.94</v>
          </cell>
          <cell r="O708">
            <v>2776.4625000000001</v>
          </cell>
          <cell r="P708">
            <v>3516.8525</v>
          </cell>
          <cell r="Q708">
            <v>1226.79949218357</v>
          </cell>
          <cell r="R708">
            <v>4659.5681999999997</v>
          </cell>
          <cell r="S708">
            <v>1142.7156999999997</v>
          </cell>
          <cell r="T708">
            <v>370.19500000000005</v>
          </cell>
          <cell r="U708">
            <v>0</v>
          </cell>
          <cell r="V708">
            <v>7150</v>
          </cell>
          <cell r="W708">
            <v>3106.3788</v>
          </cell>
          <cell r="X708">
            <v>0</v>
          </cell>
          <cell r="Y708">
            <v>0</v>
          </cell>
        </row>
        <row r="709">
          <cell r="D709">
            <v>10530063</v>
          </cell>
          <cell r="E709" t="str">
            <v>GOMUKH Singhiya Ward 11</v>
          </cell>
          <cell r="F709">
            <v>0</v>
          </cell>
          <cell r="G709" t="str">
            <v>vlc</v>
          </cell>
          <cell r="H709" t="str">
            <v>Indirect</v>
          </cell>
          <cell r="I709">
            <v>1053</v>
          </cell>
          <cell r="J709" t="str">
            <v>Kalyanpur</v>
          </cell>
          <cell r="K709" t="str">
            <v>Old</v>
          </cell>
          <cell r="L709">
            <v>45794</v>
          </cell>
          <cell r="M709">
            <v>5875.15</v>
          </cell>
          <cell r="N709">
            <v>246425.80000000002</v>
          </cell>
          <cell r="O709">
            <v>4406.3624999999993</v>
          </cell>
          <cell r="P709">
            <v>5581.392499999999</v>
          </cell>
          <cell r="Q709">
            <v>0</v>
          </cell>
          <cell r="R709">
            <v>7392.7740000000003</v>
          </cell>
          <cell r="S709">
            <v>1811.3815000000013</v>
          </cell>
          <cell r="T709">
            <v>587.51499999999999</v>
          </cell>
          <cell r="U709">
            <v>0</v>
          </cell>
          <cell r="V709">
            <v>9400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>
            <v>10530064</v>
          </cell>
          <cell r="E710" t="str">
            <v>GOMUKH MANIYARPUR</v>
          </cell>
          <cell r="F710">
            <v>0</v>
          </cell>
          <cell r="G710" t="str">
            <v>MPG</v>
          </cell>
          <cell r="H710" t="str">
            <v>Direct</v>
          </cell>
          <cell r="I710">
            <v>1053</v>
          </cell>
          <cell r="J710" t="str">
            <v>Kalyanpur</v>
          </cell>
          <cell r="K710" t="str">
            <v>Old</v>
          </cell>
          <cell r="L710">
            <v>45809</v>
          </cell>
          <cell r="M710">
            <v>4254.25</v>
          </cell>
          <cell r="N710">
            <v>172376.13999999998</v>
          </cell>
          <cell r="O710">
            <v>3190.6875</v>
          </cell>
          <cell r="P710">
            <v>4041.5374999999999</v>
          </cell>
          <cell r="Q710">
            <v>3510.9158802740803</v>
          </cell>
          <cell r="R710">
            <v>5171.2841999999991</v>
          </cell>
          <cell r="S710">
            <v>1129.7466999999992</v>
          </cell>
          <cell r="T710">
            <v>425.42500000000001</v>
          </cell>
          <cell r="U710">
            <v>0</v>
          </cell>
          <cell r="V710">
            <v>10318</v>
          </cell>
          <cell r="W710">
            <v>3447.5227999999997</v>
          </cell>
          <cell r="X710">
            <v>0</v>
          </cell>
          <cell r="Y710">
            <v>0</v>
          </cell>
        </row>
        <row r="711">
          <cell r="D711">
            <v>10530065</v>
          </cell>
          <cell r="E711" t="str">
            <v>GOMUKH DIGHRA W-6</v>
          </cell>
          <cell r="F711">
            <v>0</v>
          </cell>
          <cell r="G711" t="str">
            <v>MPG</v>
          </cell>
          <cell r="H711" t="str">
            <v>Direct</v>
          </cell>
          <cell r="I711">
            <v>1053</v>
          </cell>
          <cell r="J711" t="str">
            <v>Kalyanpur</v>
          </cell>
          <cell r="K711" t="str">
            <v>Old</v>
          </cell>
          <cell r="L711">
            <v>45816</v>
          </cell>
          <cell r="M711">
            <v>5472.8499999999995</v>
          </cell>
          <cell r="N711">
            <v>216930.74</v>
          </cell>
          <cell r="O711">
            <v>4104.6374999999998</v>
          </cell>
          <cell r="P711">
            <v>5199.2074999999995</v>
          </cell>
          <cell r="Q711">
            <v>1423.1749775888802</v>
          </cell>
          <cell r="R711">
            <v>6507.9221999999991</v>
          </cell>
          <cell r="S711">
            <v>1308.7146999999995</v>
          </cell>
          <cell r="T711">
            <v>547.28499999999997</v>
          </cell>
          <cell r="U711">
            <v>0</v>
          </cell>
          <cell r="V711">
            <v>10180</v>
          </cell>
          <cell r="W711">
            <v>4338.6148000000003</v>
          </cell>
          <cell r="X711">
            <v>0</v>
          </cell>
          <cell r="Y711">
            <v>0</v>
          </cell>
        </row>
        <row r="712">
          <cell r="D712">
            <v>10530067</v>
          </cell>
          <cell r="E712" t="str">
            <v>GOMUKH BANDRA W-6</v>
          </cell>
          <cell r="F712">
            <v>0</v>
          </cell>
          <cell r="G712" t="str">
            <v>MPG</v>
          </cell>
          <cell r="H712" t="str">
            <v>Direct</v>
          </cell>
          <cell r="I712">
            <v>1053</v>
          </cell>
          <cell r="J712" t="str">
            <v>Kalyanpur</v>
          </cell>
          <cell r="K712" t="str">
            <v>Old</v>
          </cell>
          <cell r="L712">
            <v>45828</v>
          </cell>
          <cell r="M712">
            <v>2091.1</v>
          </cell>
          <cell r="N712">
            <v>93791.41</v>
          </cell>
          <cell r="O712">
            <v>1568.3249999999998</v>
          </cell>
          <cell r="P712">
            <v>1986.5449999999998</v>
          </cell>
          <cell r="Q712">
            <v>1284.0036699346001</v>
          </cell>
          <cell r="R712">
            <v>2813.7422999999999</v>
          </cell>
          <cell r="S712">
            <v>827.19730000000004</v>
          </cell>
          <cell r="T712">
            <v>209.11</v>
          </cell>
          <cell r="U712">
            <v>635.7321181056152</v>
          </cell>
          <cell r="V712">
            <v>3994</v>
          </cell>
          <cell r="W712">
            <v>1875.8282000000002</v>
          </cell>
          <cell r="X712">
            <v>0</v>
          </cell>
          <cell r="Y712">
            <v>0</v>
          </cell>
        </row>
        <row r="713">
          <cell r="D713">
            <v>10530068</v>
          </cell>
          <cell r="E713" t="str">
            <v>BELSANDI RAJO</v>
          </cell>
          <cell r="F713">
            <v>0</v>
          </cell>
          <cell r="G713" t="str">
            <v>vlc</v>
          </cell>
          <cell r="H713" t="str">
            <v>Indirect</v>
          </cell>
          <cell r="I713">
            <v>1053</v>
          </cell>
          <cell r="J713" t="str">
            <v>Kalyanpur</v>
          </cell>
          <cell r="K713" t="str">
            <v>Old</v>
          </cell>
          <cell r="L713">
            <v>45814</v>
          </cell>
          <cell r="M713">
            <v>1690.8</v>
          </cell>
          <cell r="N713">
            <v>69440.06</v>
          </cell>
          <cell r="O713">
            <v>1268.0999999999999</v>
          </cell>
          <cell r="P713">
            <v>1606.26</v>
          </cell>
          <cell r="Q713">
            <v>0</v>
          </cell>
          <cell r="R713">
            <v>2083.2017999999998</v>
          </cell>
          <cell r="S713">
            <v>476.94179999999983</v>
          </cell>
          <cell r="T713">
            <v>169.08</v>
          </cell>
          <cell r="U713">
            <v>909.02934162069664</v>
          </cell>
          <cell r="V713">
            <v>1796</v>
          </cell>
          <cell r="W713">
            <v>0</v>
          </cell>
          <cell r="X713">
            <v>0</v>
          </cell>
          <cell r="Y713">
            <v>0</v>
          </cell>
        </row>
        <row r="714">
          <cell r="D714">
            <v>10530069</v>
          </cell>
          <cell r="E714" t="str">
            <v>BELSANDI W-9</v>
          </cell>
          <cell r="F714">
            <v>0</v>
          </cell>
          <cell r="G714" t="str">
            <v>vlc</v>
          </cell>
          <cell r="H714" t="str">
            <v>Indirect</v>
          </cell>
          <cell r="I714">
            <v>1053</v>
          </cell>
          <cell r="J714" t="str">
            <v>Kalyanpur</v>
          </cell>
          <cell r="K714" t="str">
            <v>Old</v>
          </cell>
          <cell r="L714">
            <v>45821</v>
          </cell>
          <cell r="M714">
            <v>3681.35</v>
          </cell>
          <cell r="N714">
            <v>146271.5</v>
          </cell>
          <cell r="O714">
            <v>2761.0124999999998</v>
          </cell>
          <cell r="P714">
            <v>3497.2824999999998</v>
          </cell>
          <cell r="Q714">
            <v>0</v>
          </cell>
          <cell r="R714">
            <v>4388.1449999999995</v>
          </cell>
          <cell r="S714">
            <v>890.86249999999973</v>
          </cell>
          <cell r="T714">
            <v>368.13499999999999</v>
          </cell>
          <cell r="U714">
            <v>0</v>
          </cell>
          <cell r="V714">
            <v>5890</v>
          </cell>
          <cell r="W714">
            <v>0</v>
          </cell>
          <cell r="X714">
            <v>0</v>
          </cell>
          <cell r="Y714">
            <v>0</v>
          </cell>
        </row>
        <row r="715">
          <cell r="D715">
            <v>10530070</v>
          </cell>
          <cell r="E715" t="str">
            <v>GOMUKH PARAN 2</v>
          </cell>
          <cell r="F715">
            <v>0</v>
          </cell>
          <cell r="G715" t="str">
            <v>MPG</v>
          </cell>
          <cell r="H715" t="str">
            <v>Direct</v>
          </cell>
          <cell r="I715">
            <v>1053</v>
          </cell>
          <cell r="J715" t="str">
            <v>Kalyanpur</v>
          </cell>
          <cell r="K715" t="str">
            <v>Old</v>
          </cell>
          <cell r="L715">
            <v>45838</v>
          </cell>
          <cell r="M715">
            <v>3147.7</v>
          </cell>
          <cell r="N715">
            <v>155320.85</v>
          </cell>
          <cell r="O715">
            <v>2360.7749999999996</v>
          </cell>
          <cell r="P715">
            <v>2990.3149999999996</v>
          </cell>
          <cell r="Q715">
            <v>2865.0804741073798</v>
          </cell>
          <cell r="R715">
            <v>4659.6255000000001</v>
          </cell>
          <cell r="S715">
            <v>1669.3105000000005</v>
          </cell>
          <cell r="T715">
            <v>314.77</v>
          </cell>
          <cell r="U715">
            <v>43.463623696465469</v>
          </cell>
          <cell r="V715">
            <v>7858</v>
          </cell>
          <cell r="W715">
            <v>3106.4170000000004</v>
          </cell>
          <cell r="X715">
            <v>0</v>
          </cell>
          <cell r="Y715">
            <v>0</v>
          </cell>
        </row>
        <row r="716">
          <cell r="D716">
            <v>10530071</v>
          </cell>
          <cell r="E716" t="str">
            <v>GOMUKH KHARAGPUR</v>
          </cell>
          <cell r="F716">
            <v>0</v>
          </cell>
          <cell r="G716" t="str">
            <v>MPG</v>
          </cell>
          <cell r="H716" t="str">
            <v>Direct</v>
          </cell>
          <cell r="I716">
            <v>1053</v>
          </cell>
          <cell r="J716" t="str">
            <v>Kalyanpur</v>
          </cell>
          <cell r="K716" t="str">
            <v>Old</v>
          </cell>
          <cell r="L716">
            <v>45836</v>
          </cell>
          <cell r="M716">
            <v>2814.05</v>
          </cell>
          <cell r="N716">
            <v>156866.71000000002</v>
          </cell>
          <cell r="O716">
            <v>2110.5375000000004</v>
          </cell>
          <cell r="P716">
            <v>2673.3474999999999</v>
          </cell>
          <cell r="Q716">
            <v>2498.2797652455101</v>
          </cell>
          <cell r="R716">
            <v>4706.0013000000008</v>
          </cell>
          <cell r="S716">
            <v>2032.653800000001</v>
          </cell>
          <cell r="T716">
            <v>281.40500000000003</v>
          </cell>
          <cell r="U716">
            <v>196.46610509521619</v>
          </cell>
          <cell r="V716">
            <v>6804</v>
          </cell>
          <cell r="W716">
            <v>3137.3342000000007</v>
          </cell>
          <cell r="X716">
            <v>0</v>
          </cell>
          <cell r="Y716">
            <v>0</v>
          </cell>
        </row>
        <row r="717">
          <cell r="D717">
            <v>10530072</v>
          </cell>
          <cell r="E717" t="str">
            <v>KAMARGAMA</v>
          </cell>
          <cell r="F717">
            <v>0</v>
          </cell>
          <cell r="G717" t="str">
            <v>vlc</v>
          </cell>
          <cell r="H717" t="str">
            <v>Indirect</v>
          </cell>
          <cell r="I717">
            <v>1053</v>
          </cell>
          <cell r="J717" t="str">
            <v>Kalyanpur</v>
          </cell>
          <cell r="K717" t="str">
            <v>Old</v>
          </cell>
          <cell r="L717">
            <v>45830</v>
          </cell>
          <cell r="M717">
            <v>692.2</v>
          </cell>
          <cell r="N717">
            <v>36622.18</v>
          </cell>
          <cell r="O717">
            <v>519.15000000000009</v>
          </cell>
          <cell r="P717">
            <v>657.59</v>
          </cell>
          <cell r="Q717">
            <v>0</v>
          </cell>
          <cell r="R717">
            <v>1098.6653999999999</v>
          </cell>
          <cell r="S717">
            <v>441.07539999999983</v>
          </cell>
          <cell r="T717">
            <v>69.220000000000013</v>
          </cell>
          <cell r="U717">
            <v>1107.0283724723258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>
            <v>10530074</v>
          </cell>
          <cell r="E718" t="str">
            <v>GOMUKH BALAHA W-9</v>
          </cell>
          <cell r="F718">
            <v>0</v>
          </cell>
          <cell r="G718" t="str">
            <v>MPG</v>
          </cell>
          <cell r="H718" t="str">
            <v>Direct</v>
          </cell>
          <cell r="I718">
            <v>1053</v>
          </cell>
          <cell r="J718" t="str">
            <v>Kalyanpur</v>
          </cell>
          <cell r="K718" t="str">
            <v>Old</v>
          </cell>
          <cell r="L718">
            <v>45849</v>
          </cell>
          <cell r="M718">
            <v>1863.7</v>
          </cell>
          <cell r="N718">
            <v>93158.36</v>
          </cell>
          <cell r="O718">
            <v>1397.7750000000001</v>
          </cell>
          <cell r="P718">
            <v>1770.5149999999999</v>
          </cell>
          <cell r="Q718">
            <v>1618.5186640403203</v>
          </cell>
          <cell r="R718">
            <v>2794.7507999999998</v>
          </cell>
          <cell r="S718">
            <v>1024.2357999999999</v>
          </cell>
          <cell r="T718">
            <v>186.37</v>
          </cell>
          <cell r="U718">
            <v>942.48837211946352</v>
          </cell>
          <cell r="V718">
            <v>3658</v>
          </cell>
          <cell r="W718">
            <v>1863.1672000000001</v>
          </cell>
          <cell r="X718">
            <v>0</v>
          </cell>
          <cell r="Y718">
            <v>0</v>
          </cell>
        </row>
        <row r="719">
          <cell r="D719">
            <v>10530075</v>
          </cell>
          <cell r="E719" t="str">
            <v>Gomukh NAMAPUR East</v>
          </cell>
          <cell r="F719">
            <v>0</v>
          </cell>
          <cell r="G719" t="str">
            <v>vlc</v>
          </cell>
          <cell r="H719" t="str">
            <v>Indirect</v>
          </cell>
          <cell r="I719">
            <v>1053</v>
          </cell>
          <cell r="J719" t="str">
            <v>Kalyanpur</v>
          </cell>
          <cell r="K719" t="str">
            <v>Old</v>
          </cell>
          <cell r="L719">
            <v>45830</v>
          </cell>
          <cell r="M719">
            <v>1273.4499999999998</v>
          </cell>
          <cell r="N719">
            <v>49440.789999999994</v>
          </cell>
          <cell r="O719">
            <v>955.08749999999986</v>
          </cell>
          <cell r="P719">
            <v>1209.7774999999997</v>
          </cell>
          <cell r="Q719">
            <v>0</v>
          </cell>
          <cell r="R719">
            <v>1483.2236999999998</v>
          </cell>
          <cell r="S719">
            <v>273.44620000000009</v>
          </cell>
          <cell r="T719">
            <v>127.34499999999998</v>
          </cell>
          <cell r="U719">
            <v>796.59503483129242</v>
          </cell>
          <cell r="V719">
            <v>1241</v>
          </cell>
          <cell r="W719">
            <v>0</v>
          </cell>
          <cell r="X719">
            <v>0</v>
          </cell>
          <cell r="Y719">
            <v>0</v>
          </cell>
        </row>
        <row r="720">
          <cell r="D720">
            <v>10530076</v>
          </cell>
          <cell r="E720" t="str">
            <v>GOMUKH Madanpur W-3</v>
          </cell>
          <cell r="F720">
            <v>0</v>
          </cell>
          <cell r="G720" t="str">
            <v>MPG</v>
          </cell>
          <cell r="H720" t="str">
            <v>Direct</v>
          </cell>
          <cell r="I720">
            <v>1053</v>
          </cell>
          <cell r="J720" t="str">
            <v>Kalyanpur</v>
          </cell>
          <cell r="K720" t="str">
            <v>Old</v>
          </cell>
          <cell r="L720">
            <v>45863</v>
          </cell>
          <cell r="M720">
            <v>7531.9</v>
          </cell>
          <cell r="N720">
            <v>352212.87</v>
          </cell>
          <cell r="O720">
            <v>5648.9249999999993</v>
          </cell>
          <cell r="P720">
            <v>7155.3049999999994</v>
          </cell>
          <cell r="Q720">
            <v>4464.0162401634007</v>
          </cell>
          <cell r="R720">
            <v>10566.3861</v>
          </cell>
          <cell r="S720">
            <v>3411.0811000000003</v>
          </cell>
          <cell r="T720">
            <v>753.19</v>
          </cell>
          <cell r="U720">
            <v>0</v>
          </cell>
          <cell r="V720">
            <v>16515</v>
          </cell>
          <cell r="W720">
            <v>7044.2574000000004</v>
          </cell>
          <cell r="X720">
            <v>0</v>
          </cell>
          <cell r="Y720">
            <v>0</v>
          </cell>
        </row>
        <row r="721">
          <cell r="D721">
            <v>10530079</v>
          </cell>
          <cell r="E721" t="str">
            <v>Jitwariya W-11</v>
          </cell>
          <cell r="F721">
            <v>0</v>
          </cell>
          <cell r="G721" t="str">
            <v>vlc</v>
          </cell>
          <cell r="H721" t="str">
            <v>Indirect</v>
          </cell>
          <cell r="I721">
            <v>1053</v>
          </cell>
          <cell r="J721" t="str">
            <v>Kalyanpur</v>
          </cell>
          <cell r="K721" t="str">
            <v>New</v>
          </cell>
          <cell r="L721">
            <v>45892</v>
          </cell>
          <cell r="M721">
            <v>1348.05</v>
          </cell>
          <cell r="N721">
            <v>51872.93</v>
          </cell>
          <cell r="O721">
            <v>1011.0374999999999</v>
          </cell>
          <cell r="P721">
            <v>1280.6474999999998</v>
          </cell>
          <cell r="Q721">
            <v>0</v>
          </cell>
          <cell r="R721">
            <v>1556.1878999999999</v>
          </cell>
          <cell r="S721">
            <v>275.54040000000009</v>
          </cell>
          <cell r="T721">
            <v>134.80500000000001</v>
          </cell>
          <cell r="U721">
            <v>0</v>
          </cell>
          <cell r="V721">
            <v>2157</v>
          </cell>
          <cell r="W721">
            <v>0</v>
          </cell>
          <cell r="X721">
            <v>0</v>
          </cell>
          <cell r="Y721">
            <v>0</v>
          </cell>
        </row>
        <row r="722">
          <cell r="D722">
            <v>10530081</v>
          </cell>
          <cell r="E722" t="str">
            <v>GOMUKH DADHIYA-2</v>
          </cell>
          <cell r="F722">
            <v>0</v>
          </cell>
          <cell r="G722" t="str">
            <v>MPG</v>
          </cell>
          <cell r="H722" t="str">
            <v>Direct</v>
          </cell>
          <cell r="I722">
            <v>1053</v>
          </cell>
          <cell r="J722" t="str">
            <v>Kalyanpur</v>
          </cell>
          <cell r="K722" t="str">
            <v>New</v>
          </cell>
          <cell r="L722">
            <v>45894</v>
          </cell>
          <cell r="M722">
            <v>3065.2</v>
          </cell>
          <cell r="N722">
            <v>143744.60999999999</v>
          </cell>
          <cell r="O722">
            <v>2298.8999999999996</v>
          </cell>
          <cell r="P722">
            <v>2911.9399999999996</v>
          </cell>
          <cell r="Q722">
            <v>2628.5622565658405</v>
          </cell>
          <cell r="R722">
            <v>4312.3382999999994</v>
          </cell>
          <cell r="S722">
            <v>1400.3982999999998</v>
          </cell>
          <cell r="T722">
            <v>306.52</v>
          </cell>
          <cell r="U722">
            <v>0</v>
          </cell>
          <cell r="V722">
            <v>7533</v>
          </cell>
          <cell r="W722">
            <v>0</v>
          </cell>
          <cell r="X722">
            <v>0</v>
          </cell>
          <cell r="Y722">
            <v>0</v>
          </cell>
        </row>
        <row r="723">
          <cell r="D723">
            <v>10530082</v>
          </cell>
          <cell r="E723" t="str">
            <v>GOMUKH PREMNAGAR</v>
          </cell>
          <cell r="F723">
            <v>0</v>
          </cell>
          <cell r="G723" t="str">
            <v>MPG</v>
          </cell>
          <cell r="H723" t="str">
            <v>Direct</v>
          </cell>
          <cell r="I723">
            <v>1053</v>
          </cell>
          <cell r="J723" t="str">
            <v>Kalyanpur</v>
          </cell>
          <cell r="K723" t="str">
            <v>New</v>
          </cell>
          <cell r="L723">
            <v>45894</v>
          </cell>
          <cell r="M723">
            <v>2730.1000000000004</v>
          </cell>
          <cell r="N723">
            <v>111404.98</v>
          </cell>
          <cell r="O723">
            <v>2047.5750000000003</v>
          </cell>
          <cell r="P723">
            <v>2593.5950000000003</v>
          </cell>
          <cell r="Q723">
            <v>1617.3580116559999</v>
          </cell>
          <cell r="R723">
            <v>3342.1493999999998</v>
          </cell>
          <cell r="S723">
            <v>748.55439999999953</v>
          </cell>
          <cell r="T723">
            <v>273.01000000000005</v>
          </cell>
          <cell r="U723">
            <v>0</v>
          </cell>
          <cell r="V723">
            <v>5986</v>
          </cell>
          <cell r="W723">
            <v>0</v>
          </cell>
          <cell r="X723">
            <v>0</v>
          </cell>
          <cell r="Y723">
            <v>0</v>
          </cell>
        </row>
        <row r="724">
          <cell r="D724">
            <v>10540003</v>
          </cell>
          <cell r="E724" t="str">
            <v>GOMUKH ANANDPUR PARAS 2</v>
          </cell>
          <cell r="F724">
            <v>0</v>
          </cell>
          <cell r="G724" t="str">
            <v>MPG</v>
          </cell>
          <cell r="H724" t="str">
            <v>Direct</v>
          </cell>
          <cell r="I724">
            <v>1054</v>
          </cell>
          <cell r="J724" t="str">
            <v xml:space="preserve">Alauli </v>
          </cell>
          <cell r="K724" t="str">
            <v>Old</v>
          </cell>
          <cell r="L724">
            <v>45793</v>
          </cell>
          <cell r="M724">
            <v>11401.3</v>
          </cell>
          <cell r="N724">
            <v>476984.25</v>
          </cell>
          <cell r="O724">
            <v>8550.9749999999985</v>
          </cell>
          <cell r="P724">
            <v>10831.234999999999</v>
          </cell>
          <cell r="Q724">
            <v>0</v>
          </cell>
          <cell r="R724">
            <v>14309.5275</v>
          </cell>
          <cell r="S724">
            <v>3478.2925000000014</v>
          </cell>
          <cell r="T724">
            <v>1140.1299999999999</v>
          </cell>
          <cell r="U724">
            <v>0</v>
          </cell>
          <cell r="V724">
            <v>18242</v>
          </cell>
          <cell r="W724">
            <v>9539.6849999999995</v>
          </cell>
          <cell r="X724">
            <v>0</v>
          </cell>
          <cell r="Y724">
            <v>0</v>
          </cell>
        </row>
        <row r="725">
          <cell r="D725">
            <v>10540005</v>
          </cell>
          <cell r="E725" t="str">
            <v>GOMUKH GADBANNI</v>
          </cell>
          <cell r="F725">
            <v>0</v>
          </cell>
          <cell r="G725" t="str">
            <v>MPG</v>
          </cell>
          <cell r="H725" t="str">
            <v>Direct</v>
          </cell>
          <cell r="I725">
            <v>1054</v>
          </cell>
          <cell r="J725" t="str">
            <v xml:space="preserve">Alauli </v>
          </cell>
          <cell r="K725" t="str">
            <v>Old</v>
          </cell>
          <cell r="L725">
            <v>45803</v>
          </cell>
          <cell r="M725">
            <v>3589.3</v>
          </cell>
          <cell r="N725">
            <v>158398.66000000003</v>
          </cell>
          <cell r="O725">
            <v>2691.9750000000004</v>
          </cell>
          <cell r="P725">
            <v>3409.835</v>
          </cell>
          <cell r="Q725">
            <v>20.44162609728</v>
          </cell>
          <cell r="R725">
            <v>4751.9598000000005</v>
          </cell>
          <cell r="S725">
            <v>1342.1248000000005</v>
          </cell>
          <cell r="T725">
            <v>358.93000000000006</v>
          </cell>
          <cell r="U725">
            <v>0</v>
          </cell>
          <cell r="V725">
            <v>5763</v>
          </cell>
          <cell r="W725">
            <v>3167.9732000000008</v>
          </cell>
          <cell r="X725">
            <v>0</v>
          </cell>
          <cell r="Y725">
            <v>0</v>
          </cell>
        </row>
        <row r="726">
          <cell r="D726">
            <v>10540007</v>
          </cell>
          <cell r="E726" t="str">
            <v>GOMUKH GORIYAMI</v>
          </cell>
          <cell r="F726">
            <v>0</v>
          </cell>
          <cell r="G726" t="str">
            <v>MPG</v>
          </cell>
          <cell r="H726" t="str">
            <v>Direct</v>
          </cell>
          <cell r="I726">
            <v>1054</v>
          </cell>
          <cell r="J726" t="str">
            <v xml:space="preserve">Alauli </v>
          </cell>
          <cell r="K726" t="str">
            <v>Old</v>
          </cell>
          <cell r="L726">
            <v>45809</v>
          </cell>
          <cell r="M726">
            <v>1314.6999999999998</v>
          </cell>
          <cell r="N726">
            <v>56246.789999999994</v>
          </cell>
          <cell r="O726">
            <v>986.02499999999986</v>
          </cell>
          <cell r="P726">
            <v>1248.9649999999997</v>
          </cell>
          <cell r="Q726">
            <v>414.75298126000001</v>
          </cell>
          <cell r="R726">
            <v>1687.4036999999998</v>
          </cell>
          <cell r="S726">
            <v>438.43870000000015</v>
          </cell>
          <cell r="T726">
            <v>131.47</v>
          </cell>
          <cell r="U726">
            <v>1274.9300132324406</v>
          </cell>
          <cell r="V726">
            <v>1243</v>
          </cell>
          <cell r="W726">
            <v>1243</v>
          </cell>
          <cell r="X726">
            <v>0</v>
          </cell>
          <cell r="Y726">
            <v>0</v>
          </cell>
        </row>
        <row r="727">
          <cell r="D727">
            <v>10540008</v>
          </cell>
          <cell r="E727" t="str">
            <v>GOMUKH PARRI</v>
          </cell>
          <cell r="F727">
            <v>0</v>
          </cell>
          <cell r="G727" t="str">
            <v>MPG</v>
          </cell>
          <cell r="H727" t="str">
            <v>Direct</v>
          </cell>
          <cell r="I727">
            <v>1054</v>
          </cell>
          <cell r="J727" t="str">
            <v xml:space="preserve">Alauli </v>
          </cell>
          <cell r="K727" t="str">
            <v>Old</v>
          </cell>
          <cell r="L727">
            <v>45849</v>
          </cell>
          <cell r="M727">
            <v>756.5</v>
          </cell>
          <cell r="N727">
            <v>36943.9</v>
          </cell>
          <cell r="O727">
            <v>567.375</v>
          </cell>
          <cell r="P727">
            <v>718.67499999999995</v>
          </cell>
          <cell r="Q727">
            <v>0</v>
          </cell>
          <cell r="R727">
            <v>1108.317</v>
          </cell>
          <cell r="S727">
            <v>389.64200000000005</v>
          </cell>
          <cell r="T727">
            <v>75.650000000000006</v>
          </cell>
          <cell r="U727">
            <v>1210.314241384448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D728">
            <v>10540009</v>
          </cell>
          <cell r="E728" t="str">
            <v>GOMUKH BHIKHARI GHAT</v>
          </cell>
          <cell r="F728">
            <v>0</v>
          </cell>
          <cell r="G728" t="str">
            <v>MPG</v>
          </cell>
          <cell r="H728" t="str">
            <v>Direct</v>
          </cell>
          <cell r="I728">
            <v>1054</v>
          </cell>
          <cell r="J728" t="str">
            <v xml:space="preserve">Alauli </v>
          </cell>
          <cell r="K728" t="str">
            <v>Old</v>
          </cell>
          <cell r="L728">
            <v>45836</v>
          </cell>
          <cell r="M728">
            <v>11266.2</v>
          </cell>
          <cell r="N728">
            <v>512793.50000000006</v>
          </cell>
          <cell r="O728">
            <v>8449.6500000000015</v>
          </cell>
          <cell r="P728">
            <v>10702.89</v>
          </cell>
          <cell r="Q728">
            <v>4304.4914882588801</v>
          </cell>
          <cell r="R728">
            <v>15383.805</v>
          </cell>
          <cell r="S728">
            <v>4680.9150000000009</v>
          </cell>
          <cell r="T728">
            <v>1126.6200000000001</v>
          </cell>
          <cell r="U728">
            <v>0</v>
          </cell>
          <cell r="V728">
            <v>22330</v>
          </cell>
          <cell r="W728">
            <v>10255.870000000001</v>
          </cell>
          <cell r="X728">
            <v>0</v>
          </cell>
          <cell r="Y728">
            <v>0</v>
          </cell>
        </row>
        <row r="729">
          <cell r="D729">
            <v>10540010</v>
          </cell>
          <cell r="E729" t="str">
            <v>Vikash Kumar</v>
          </cell>
          <cell r="F729">
            <v>0</v>
          </cell>
          <cell r="G729" t="str">
            <v>vlc</v>
          </cell>
          <cell r="H729" t="str">
            <v>Indirect</v>
          </cell>
          <cell r="I729">
            <v>1054</v>
          </cell>
          <cell r="J729" t="str">
            <v xml:space="preserve">Alauli </v>
          </cell>
          <cell r="K729" t="str">
            <v>Old</v>
          </cell>
          <cell r="L729">
            <v>45832</v>
          </cell>
          <cell r="M729">
            <v>9609.5</v>
          </cell>
          <cell r="N729">
            <v>375787.10999999993</v>
          </cell>
          <cell r="O729">
            <v>7207.125</v>
          </cell>
          <cell r="P729">
            <v>9129.0249999999996</v>
          </cell>
          <cell r="Q729">
            <v>0</v>
          </cell>
          <cell r="R729">
            <v>11273.613299999997</v>
          </cell>
          <cell r="S729">
            <v>2144.5882999999976</v>
          </cell>
          <cell r="T729">
            <v>960.95</v>
          </cell>
          <cell r="U729">
            <v>0</v>
          </cell>
          <cell r="V729">
            <v>15375</v>
          </cell>
          <cell r="W729">
            <v>0</v>
          </cell>
          <cell r="X729">
            <v>0</v>
          </cell>
          <cell r="Y729">
            <v>0</v>
          </cell>
        </row>
        <row r="730">
          <cell r="D730">
            <v>10540012</v>
          </cell>
          <cell r="E730" t="str">
            <v>Rajkishore Yadav</v>
          </cell>
          <cell r="F730">
            <v>0</v>
          </cell>
          <cell r="G730" t="str">
            <v>vlc</v>
          </cell>
          <cell r="H730" t="str">
            <v>Indirect</v>
          </cell>
          <cell r="I730">
            <v>1054</v>
          </cell>
          <cell r="J730" t="str">
            <v xml:space="preserve">Alauli </v>
          </cell>
          <cell r="K730" t="str">
            <v>Old</v>
          </cell>
          <cell r="L730">
            <v>45829</v>
          </cell>
          <cell r="M730">
            <v>725.69999999999993</v>
          </cell>
          <cell r="N730">
            <v>26170.83</v>
          </cell>
          <cell r="O730">
            <v>544.27499999999998</v>
          </cell>
          <cell r="P730">
            <v>689.41499999999985</v>
          </cell>
          <cell r="Q730">
            <v>0</v>
          </cell>
          <cell r="R730">
            <v>785.12490000000003</v>
          </cell>
          <cell r="S730">
            <v>95.709900000000175</v>
          </cell>
          <cell r="T730">
            <v>72.569999999999993</v>
          </cell>
          <cell r="U730">
            <v>1160.9125461121569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D731">
            <v>10540014</v>
          </cell>
          <cell r="E731" t="str">
            <v>BHADAS VLC</v>
          </cell>
          <cell r="F731">
            <v>0</v>
          </cell>
          <cell r="G731" t="str">
            <v>vlc</v>
          </cell>
          <cell r="H731" t="str">
            <v>Indirect</v>
          </cell>
          <cell r="I731">
            <v>1054</v>
          </cell>
          <cell r="J731" t="str">
            <v xml:space="preserve">Alauli </v>
          </cell>
          <cell r="K731" t="str">
            <v>Old</v>
          </cell>
          <cell r="L731">
            <v>45849</v>
          </cell>
          <cell r="M731">
            <v>400.3</v>
          </cell>
          <cell r="N731">
            <v>14327.360000000002</v>
          </cell>
          <cell r="O731">
            <v>300.22500000000002</v>
          </cell>
          <cell r="P731">
            <v>380.28499999999997</v>
          </cell>
          <cell r="Q731">
            <v>0</v>
          </cell>
          <cell r="R731">
            <v>429.82080000000008</v>
          </cell>
          <cell r="S731">
            <v>49.535800000000108</v>
          </cell>
          <cell r="T731">
            <v>40.03</v>
          </cell>
          <cell r="U731">
            <v>640.19318109173446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D732">
            <v>10540016</v>
          </cell>
          <cell r="E732" t="str">
            <v>GOMUKH BENHER</v>
          </cell>
          <cell r="F732">
            <v>0</v>
          </cell>
          <cell r="G732" t="str">
            <v>MPG</v>
          </cell>
          <cell r="H732" t="str">
            <v>Direct</v>
          </cell>
          <cell r="I732">
            <v>1054</v>
          </cell>
          <cell r="J732" t="str">
            <v xml:space="preserve">Alauli </v>
          </cell>
          <cell r="K732" t="str">
            <v>Old</v>
          </cell>
          <cell r="L732">
            <v>45869</v>
          </cell>
          <cell r="M732">
            <v>2139.8000000000002</v>
          </cell>
          <cell r="N732">
            <v>99249.12</v>
          </cell>
          <cell r="O732">
            <v>1604.8500000000001</v>
          </cell>
          <cell r="P732">
            <v>2032.8100000000002</v>
          </cell>
          <cell r="Q732">
            <v>237.39024778607998</v>
          </cell>
          <cell r="R732">
            <v>2977.4735999999998</v>
          </cell>
          <cell r="S732">
            <v>944.66359999999963</v>
          </cell>
          <cell r="T732">
            <v>213.98000000000002</v>
          </cell>
          <cell r="U732">
            <v>612.84901764240055</v>
          </cell>
          <cell r="V732">
            <v>3048</v>
          </cell>
          <cell r="W732">
            <v>1984.9823999999999</v>
          </cell>
          <cell r="X732">
            <v>0</v>
          </cell>
          <cell r="Y732">
            <v>0</v>
          </cell>
        </row>
        <row r="733">
          <cell r="D733">
            <v>10540017</v>
          </cell>
          <cell r="E733" t="str">
            <v>GOMUKH LADORA</v>
          </cell>
          <cell r="F733">
            <v>0</v>
          </cell>
          <cell r="G733" t="str">
            <v>MPG</v>
          </cell>
          <cell r="H733" t="str">
            <v>Direct</v>
          </cell>
          <cell r="I733">
            <v>1054</v>
          </cell>
          <cell r="J733" t="str">
            <v xml:space="preserve">Alauli </v>
          </cell>
          <cell r="K733" t="str">
            <v>Old</v>
          </cell>
          <cell r="L733">
            <v>45869</v>
          </cell>
          <cell r="M733">
            <v>3289.1</v>
          </cell>
          <cell r="N733">
            <v>133467.63</v>
          </cell>
          <cell r="O733">
            <v>2466.8249999999998</v>
          </cell>
          <cell r="P733">
            <v>3124.645</v>
          </cell>
          <cell r="Q733">
            <v>0</v>
          </cell>
          <cell r="R733">
            <v>4004.0288999999998</v>
          </cell>
          <cell r="S733">
            <v>879.38389999999981</v>
          </cell>
          <cell r="T733">
            <v>328.91</v>
          </cell>
          <cell r="U733">
            <v>18.432983025830222</v>
          </cell>
          <cell r="V733">
            <v>5244</v>
          </cell>
          <cell r="W733">
            <v>2669.3526000000002</v>
          </cell>
          <cell r="X733">
            <v>0</v>
          </cell>
          <cell r="Y733">
            <v>0</v>
          </cell>
        </row>
        <row r="734">
          <cell r="D734">
            <v>10540018</v>
          </cell>
          <cell r="E734" t="str">
            <v>GOMUKH SAHSI</v>
          </cell>
          <cell r="F734">
            <v>0</v>
          </cell>
          <cell r="G734" t="str">
            <v>MPG</v>
          </cell>
          <cell r="H734" t="str">
            <v>Direct</v>
          </cell>
          <cell r="I734">
            <v>1054</v>
          </cell>
          <cell r="J734" t="str">
            <v xml:space="preserve">Alauli </v>
          </cell>
          <cell r="K734" t="str">
            <v>Old</v>
          </cell>
          <cell r="L734">
            <v>45869</v>
          </cell>
          <cell r="M734">
            <v>822.19999999999982</v>
          </cell>
          <cell r="N734">
            <v>40147.24</v>
          </cell>
          <cell r="O734">
            <v>616.64999999999986</v>
          </cell>
          <cell r="P734">
            <v>781.0899999999998</v>
          </cell>
          <cell r="Q734">
            <v>0</v>
          </cell>
          <cell r="R734">
            <v>1204.4171999999999</v>
          </cell>
          <cell r="S734">
            <v>423.32720000000006</v>
          </cell>
          <cell r="T734">
            <v>82.219999999999985</v>
          </cell>
          <cell r="U734">
            <v>1316.0026525043913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</row>
        <row r="735">
          <cell r="D735">
            <v>10540020</v>
          </cell>
          <cell r="E735" t="str">
            <v>GOMUKH BUDWA</v>
          </cell>
          <cell r="F735">
            <v>0</v>
          </cell>
          <cell r="G735" t="str">
            <v>MPG</v>
          </cell>
          <cell r="H735" t="str">
            <v>Direct</v>
          </cell>
          <cell r="I735">
            <v>1054</v>
          </cell>
          <cell r="J735" t="str">
            <v xml:space="preserve">Alauli </v>
          </cell>
          <cell r="K735" t="str">
            <v>Old</v>
          </cell>
          <cell r="L735">
            <v>45869</v>
          </cell>
          <cell r="M735">
            <v>984.09999999999991</v>
          </cell>
          <cell r="N735">
            <v>41558.78</v>
          </cell>
          <cell r="O735">
            <v>738.07499999999993</v>
          </cell>
          <cell r="P735">
            <v>934.89499999999987</v>
          </cell>
          <cell r="Q735">
            <v>0</v>
          </cell>
          <cell r="R735">
            <v>1246.7633999999998</v>
          </cell>
          <cell r="S735">
            <v>311.86839999999995</v>
          </cell>
          <cell r="T735">
            <v>98.41</v>
          </cell>
          <cell r="U735">
            <v>1534.0805843416551</v>
          </cell>
          <cell r="V735">
            <v>40</v>
          </cell>
          <cell r="W735">
            <v>40</v>
          </cell>
          <cell r="X735">
            <v>0</v>
          </cell>
          <cell r="Y735">
            <v>0</v>
          </cell>
        </row>
        <row r="736">
          <cell r="D736">
            <v>10540021</v>
          </cell>
          <cell r="E736" t="str">
            <v>GOMUKH GANGIYA</v>
          </cell>
          <cell r="F736">
            <v>0</v>
          </cell>
          <cell r="G736" t="str">
            <v>MPG</v>
          </cell>
          <cell r="H736" t="str">
            <v>Direct</v>
          </cell>
          <cell r="I736">
            <v>1054</v>
          </cell>
          <cell r="J736" t="str">
            <v xml:space="preserve">Alauli </v>
          </cell>
          <cell r="K736" t="str">
            <v>Old</v>
          </cell>
          <cell r="L736">
            <v>45869</v>
          </cell>
          <cell r="M736">
            <v>1738</v>
          </cell>
          <cell r="N736">
            <v>65873.239999999991</v>
          </cell>
          <cell r="O736">
            <v>1303.5</v>
          </cell>
          <cell r="P736">
            <v>1651.1</v>
          </cell>
          <cell r="Q736">
            <v>0</v>
          </cell>
          <cell r="R736">
            <v>1976.1971999999996</v>
          </cell>
          <cell r="S736">
            <v>325.0971999999997</v>
          </cell>
          <cell r="T736">
            <v>173.8</v>
          </cell>
          <cell r="U736">
            <v>811.48202208654197</v>
          </cell>
          <cell r="V736">
            <v>1969</v>
          </cell>
          <cell r="W736">
            <v>1861</v>
          </cell>
          <cell r="X736">
            <v>0</v>
          </cell>
          <cell r="Y736">
            <v>0</v>
          </cell>
        </row>
        <row r="737">
          <cell r="D737">
            <v>10540024</v>
          </cell>
          <cell r="E737" t="str">
            <v>BARUN YADAV</v>
          </cell>
          <cell r="F737">
            <v>0</v>
          </cell>
          <cell r="G737" t="str">
            <v>vlc</v>
          </cell>
          <cell r="H737" t="str">
            <v>Indirect</v>
          </cell>
          <cell r="I737">
            <v>1054</v>
          </cell>
          <cell r="J737" t="str">
            <v xml:space="preserve">Alauli </v>
          </cell>
          <cell r="K737" t="str">
            <v>Old</v>
          </cell>
          <cell r="L737">
            <v>45869</v>
          </cell>
          <cell r="M737">
            <v>6140.4000000000005</v>
          </cell>
          <cell r="N737">
            <v>244935.33</v>
          </cell>
          <cell r="O737">
            <v>4605.3</v>
          </cell>
          <cell r="P737">
            <v>5833.38</v>
          </cell>
          <cell r="Q737">
            <v>0</v>
          </cell>
          <cell r="R737">
            <v>7348.0598999999993</v>
          </cell>
          <cell r="S737">
            <v>1514.6798999999992</v>
          </cell>
          <cell r="T737">
            <v>614.04000000000008</v>
          </cell>
          <cell r="U737">
            <v>0</v>
          </cell>
          <cell r="V737">
            <v>9825</v>
          </cell>
          <cell r="W737">
            <v>0</v>
          </cell>
          <cell r="X737">
            <v>0</v>
          </cell>
          <cell r="Y737">
            <v>0</v>
          </cell>
        </row>
        <row r="738">
          <cell r="D738">
            <v>10540025</v>
          </cell>
          <cell r="E738" t="str">
            <v>Saharbanni Vlc</v>
          </cell>
          <cell r="F738">
            <v>0</v>
          </cell>
          <cell r="G738" t="str">
            <v>vlc</v>
          </cell>
          <cell r="H738" t="str">
            <v>Indirect</v>
          </cell>
          <cell r="I738">
            <v>1054</v>
          </cell>
          <cell r="J738" t="str">
            <v xml:space="preserve">Alauli </v>
          </cell>
          <cell r="K738" t="str">
            <v>New</v>
          </cell>
          <cell r="L738">
            <v>45883</v>
          </cell>
          <cell r="M738">
            <v>913.7</v>
          </cell>
          <cell r="N738">
            <v>39166.449999999997</v>
          </cell>
          <cell r="O738">
            <v>685.27500000000009</v>
          </cell>
          <cell r="P738">
            <v>868.01499999999999</v>
          </cell>
          <cell r="Q738">
            <v>0</v>
          </cell>
          <cell r="R738">
            <v>1174.9934999999998</v>
          </cell>
          <cell r="S738">
            <v>306.97849999999983</v>
          </cell>
          <cell r="T738">
            <v>91.37</v>
          </cell>
          <cell r="U738">
            <v>0</v>
          </cell>
          <cell r="V738">
            <v>1462</v>
          </cell>
          <cell r="W738">
            <v>0</v>
          </cell>
          <cell r="X738">
            <v>0</v>
          </cell>
          <cell r="Y738">
            <v>0</v>
          </cell>
        </row>
        <row r="739">
          <cell r="D739">
            <v>10560001</v>
          </cell>
          <cell r="E739" t="str">
            <v>Gomukh Chautham(Mithun Kumar VLC)</v>
          </cell>
          <cell r="F739">
            <v>0</v>
          </cell>
          <cell r="G739" t="str">
            <v>vlc</v>
          </cell>
          <cell r="H739" t="str">
            <v>Indirect</v>
          </cell>
          <cell r="I739">
            <v>1056</v>
          </cell>
          <cell r="J739" t="str">
            <v>Chautham</v>
          </cell>
          <cell r="K739" t="str">
            <v>Old</v>
          </cell>
          <cell r="L739">
            <v>45828</v>
          </cell>
          <cell r="M739">
            <v>18349.2</v>
          </cell>
          <cell r="N739">
            <v>705045.34000000008</v>
          </cell>
          <cell r="O739">
            <v>13761.900000000001</v>
          </cell>
          <cell r="P739">
            <v>17431.740000000002</v>
          </cell>
          <cell r="Q739">
            <v>0</v>
          </cell>
          <cell r="R739">
            <v>21151.360200000003</v>
          </cell>
          <cell r="S739">
            <v>3719.6202000000012</v>
          </cell>
          <cell r="T739">
            <v>1834.92</v>
          </cell>
          <cell r="U739">
            <v>0</v>
          </cell>
          <cell r="V739">
            <v>29359</v>
          </cell>
          <cell r="W739">
            <v>0</v>
          </cell>
          <cell r="X739">
            <v>0</v>
          </cell>
          <cell r="Y739">
            <v>0</v>
          </cell>
        </row>
        <row r="740">
          <cell r="D740">
            <v>10560002</v>
          </cell>
          <cell r="E740" t="str">
            <v>Gomukh Pansalwa</v>
          </cell>
          <cell r="F740">
            <v>0</v>
          </cell>
          <cell r="G740" t="str">
            <v>vlc</v>
          </cell>
          <cell r="H740" t="str">
            <v>Indirect</v>
          </cell>
          <cell r="I740">
            <v>1056</v>
          </cell>
          <cell r="J740" t="str">
            <v>Chautham</v>
          </cell>
          <cell r="K740" t="str">
            <v>Old</v>
          </cell>
          <cell r="L740">
            <v>45869</v>
          </cell>
          <cell r="M740">
            <v>1572.1</v>
          </cell>
          <cell r="N740">
            <v>56601.380000000005</v>
          </cell>
          <cell r="O740">
            <v>1179.0749999999998</v>
          </cell>
          <cell r="P740">
            <v>1493.4949999999999</v>
          </cell>
          <cell r="Q740">
            <v>0</v>
          </cell>
          <cell r="R740">
            <v>1698.0414000000001</v>
          </cell>
          <cell r="S740">
            <v>204.54640000000018</v>
          </cell>
          <cell r="T740">
            <v>157.21</v>
          </cell>
          <cell r="U740">
            <v>865.70935147365958</v>
          </cell>
          <cell r="V740">
            <v>1650</v>
          </cell>
          <cell r="W740">
            <v>1650</v>
          </cell>
          <cell r="X740">
            <v>0</v>
          </cell>
          <cell r="Y740">
            <v>0</v>
          </cell>
        </row>
        <row r="741">
          <cell r="D741">
            <v>10560003</v>
          </cell>
          <cell r="E741" t="str">
            <v>Gomukh Kanauli</v>
          </cell>
          <cell r="F741">
            <v>0</v>
          </cell>
          <cell r="G741" t="str">
            <v>vlc</v>
          </cell>
          <cell r="H741" t="str">
            <v>Indirect</v>
          </cell>
          <cell r="I741">
            <v>1056</v>
          </cell>
          <cell r="J741" t="str">
            <v>Chautham</v>
          </cell>
          <cell r="K741" t="str">
            <v>Old</v>
          </cell>
          <cell r="L741">
            <v>45869</v>
          </cell>
          <cell r="M741">
            <v>120.1</v>
          </cell>
          <cell r="N741">
            <v>4636.99</v>
          </cell>
          <cell r="O741">
            <v>90.074999999999989</v>
          </cell>
          <cell r="P741">
            <v>114.09499999999998</v>
          </cell>
          <cell r="Q741">
            <v>0</v>
          </cell>
          <cell r="R741">
            <v>139.10969999999998</v>
          </cell>
          <cell r="S741">
            <v>25.014699999999991</v>
          </cell>
          <cell r="T741">
            <v>12.01</v>
          </cell>
          <cell r="U741">
            <v>192.62539099418166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</row>
        <row r="742">
          <cell r="D742">
            <v>10560004</v>
          </cell>
          <cell r="E742" t="str">
            <v>Gomukh Nawada</v>
          </cell>
          <cell r="F742">
            <v>0</v>
          </cell>
          <cell r="G742" t="str">
            <v>MPG</v>
          </cell>
          <cell r="H742" t="str">
            <v>Direct</v>
          </cell>
          <cell r="I742">
            <v>1056</v>
          </cell>
          <cell r="J742" t="str">
            <v>Chautham</v>
          </cell>
          <cell r="K742" t="str">
            <v>New</v>
          </cell>
          <cell r="L742">
            <v>45894</v>
          </cell>
          <cell r="M742">
            <v>1256.1000000000001</v>
          </cell>
          <cell r="N742">
            <v>51209.840000000004</v>
          </cell>
          <cell r="O742">
            <v>942.07500000000005</v>
          </cell>
          <cell r="P742">
            <v>1193.2950000000001</v>
          </cell>
          <cell r="Q742">
            <v>0</v>
          </cell>
          <cell r="R742">
            <v>1536.2952</v>
          </cell>
          <cell r="S742">
            <v>343.00019999999995</v>
          </cell>
          <cell r="T742">
            <v>125.61000000000001</v>
          </cell>
          <cell r="U742">
            <v>0</v>
          </cell>
          <cell r="V742">
            <v>2010</v>
          </cell>
          <cell r="W742">
            <v>0</v>
          </cell>
          <cell r="X742">
            <v>0</v>
          </cell>
          <cell r="Y742">
            <v>0</v>
          </cell>
        </row>
        <row r="743">
          <cell r="D743">
            <v>10560005</v>
          </cell>
          <cell r="E743" t="str">
            <v>Gomukh Yadav Tol Kanauli</v>
          </cell>
          <cell r="F743">
            <v>0</v>
          </cell>
          <cell r="G743" t="str">
            <v>MPG</v>
          </cell>
          <cell r="H743" t="str">
            <v>Direct</v>
          </cell>
          <cell r="I743">
            <v>1056</v>
          </cell>
          <cell r="J743" t="str">
            <v>Chautham</v>
          </cell>
          <cell r="K743" t="str">
            <v>New</v>
          </cell>
          <cell r="L743">
            <v>45893</v>
          </cell>
          <cell r="M743">
            <v>3443</v>
          </cell>
          <cell r="N743">
            <v>151456.24</v>
          </cell>
          <cell r="O743">
            <v>2582.25</v>
          </cell>
          <cell r="P743">
            <v>3270.85</v>
          </cell>
          <cell r="Q743">
            <v>0</v>
          </cell>
          <cell r="R743">
            <v>4543.6871999999994</v>
          </cell>
          <cell r="S743">
            <v>1272.8371999999995</v>
          </cell>
          <cell r="T743">
            <v>344.3</v>
          </cell>
          <cell r="U743">
            <v>0</v>
          </cell>
          <cell r="V743">
            <v>5509</v>
          </cell>
          <cell r="W743">
            <v>0</v>
          </cell>
          <cell r="X743">
            <v>0</v>
          </cell>
          <cell r="Y743">
            <v>0</v>
          </cell>
        </row>
        <row r="744">
          <cell r="D744">
            <v>10560007</v>
          </cell>
          <cell r="E744" t="str">
            <v>Gomukh Hardia</v>
          </cell>
          <cell r="F744">
            <v>0</v>
          </cell>
          <cell r="G744" t="str">
            <v>MPG</v>
          </cell>
          <cell r="H744" t="str">
            <v>Direct</v>
          </cell>
          <cell r="I744">
            <v>1056</v>
          </cell>
          <cell r="J744" t="str">
            <v>Chautham</v>
          </cell>
          <cell r="K744" t="str">
            <v>New</v>
          </cell>
          <cell r="L744">
            <v>45894</v>
          </cell>
          <cell r="M744">
            <v>469</v>
          </cell>
          <cell r="N744">
            <v>21071.469999999998</v>
          </cell>
          <cell r="O744">
            <v>351.75</v>
          </cell>
          <cell r="P744">
            <v>445.54999999999995</v>
          </cell>
          <cell r="Q744">
            <v>0</v>
          </cell>
          <cell r="R744">
            <v>632.14409999999987</v>
          </cell>
          <cell r="S744">
            <v>186.59409999999991</v>
          </cell>
          <cell r="T744">
            <v>46.900000000000006</v>
          </cell>
          <cell r="U744">
            <v>0</v>
          </cell>
          <cell r="V744">
            <v>750</v>
          </cell>
          <cell r="W744">
            <v>0</v>
          </cell>
          <cell r="X744">
            <v>0</v>
          </cell>
          <cell r="Y744">
            <v>0</v>
          </cell>
        </row>
        <row r="745">
          <cell r="D745">
            <v>10020080</v>
          </cell>
          <cell r="E745" t="str">
            <v>ADARSH PULPAR</v>
          </cell>
          <cell r="F745">
            <v>0</v>
          </cell>
          <cell r="G745" t="str">
            <v>MPG</v>
          </cell>
          <cell r="H745" t="str">
            <v>Direct</v>
          </cell>
          <cell r="I745">
            <v>1002</v>
          </cell>
          <cell r="J745" t="str">
            <v>Laldiyara</v>
          </cell>
          <cell r="K745" t="str">
            <v>New</v>
          </cell>
          <cell r="L745">
            <v>45900</v>
          </cell>
          <cell r="M745">
            <v>305.70000000000005</v>
          </cell>
          <cell r="N745">
            <v>12142.050000000001</v>
          </cell>
          <cell r="O745">
            <v>229.27500000000003</v>
          </cell>
          <cell r="P745">
            <v>290.41500000000002</v>
          </cell>
          <cell r="Q745">
            <v>0</v>
          </cell>
          <cell r="R745">
            <v>364.26150000000001</v>
          </cell>
          <cell r="S745">
            <v>73.846499999999992</v>
          </cell>
          <cell r="T745">
            <v>30.570000000000007</v>
          </cell>
          <cell r="U745">
            <v>0</v>
          </cell>
          <cell r="V745">
            <v>489</v>
          </cell>
          <cell r="W745">
            <v>0</v>
          </cell>
          <cell r="X745">
            <v>0</v>
          </cell>
          <cell r="Y745">
            <v>0</v>
          </cell>
        </row>
        <row r="746">
          <cell r="D746">
            <v>10030074</v>
          </cell>
          <cell r="E746" t="str">
            <v>Jangle Jhakra</v>
          </cell>
          <cell r="F746">
            <v>0</v>
          </cell>
          <cell r="G746" t="str">
            <v>MPG</v>
          </cell>
          <cell r="H746" t="str">
            <v>Direct</v>
          </cell>
          <cell r="I746">
            <v>1003</v>
          </cell>
          <cell r="J746" t="str">
            <v>Asarganj</v>
          </cell>
          <cell r="K746" t="str">
            <v>Old</v>
          </cell>
          <cell r="L746">
            <v>45869</v>
          </cell>
          <cell r="M746">
            <v>177.39999999999998</v>
          </cell>
          <cell r="N746">
            <v>6830.5999999999995</v>
          </cell>
          <cell r="O746">
            <v>133.04999999999998</v>
          </cell>
          <cell r="P746">
            <v>168.52999999999997</v>
          </cell>
          <cell r="Q746">
            <v>0</v>
          </cell>
          <cell r="R746">
            <v>204.91799999999998</v>
          </cell>
          <cell r="S746">
            <v>36.388000000000005</v>
          </cell>
          <cell r="T746">
            <v>17.739999999999998</v>
          </cell>
          <cell r="U746">
            <v>284.33455510060912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D747">
            <v>10030076</v>
          </cell>
          <cell r="E747" t="str">
            <v>PRATAPUR</v>
          </cell>
          <cell r="F747">
            <v>0</v>
          </cell>
          <cell r="G747" t="str">
            <v>MPG</v>
          </cell>
          <cell r="H747" t="str">
            <v>Direct</v>
          </cell>
          <cell r="I747">
            <v>1003</v>
          </cell>
          <cell r="J747" t="str">
            <v>Asarganj</v>
          </cell>
          <cell r="K747" t="str">
            <v>New</v>
          </cell>
          <cell r="L747">
            <v>45900</v>
          </cell>
          <cell r="M747">
            <v>2.75</v>
          </cell>
          <cell r="N747">
            <v>98.45</v>
          </cell>
          <cell r="O747">
            <v>2.0625</v>
          </cell>
          <cell r="P747">
            <v>2.6124999999999998</v>
          </cell>
          <cell r="Q747">
            <v>0</v>
          </cell>
          <cell r="R747">
            <v>2.9535</v>
          </cell>
          <cell r="S747">
            <v>0.34100000000000019</v>
          </cell>
          <cell r="T747">
            <v>0.27500000000000002</v>
          </cell>
          <cell r="U747">
            <v>0</v>
          </cell>
          <cell r="V747">
            <v>4</v>
          </cell>
          <cell r="W747">
            <v>0</v>
          </cell>
          <cell r="X747">
            <v>0</v>
          </cell>
          <cell r="Y747">
            <v>0</v>
          </cell>
        </row>
        <row r="748">
          <cell r="D748">
            <v>10060116</v>
          </cell>
          <cell r="E748" t="str">
            <v>LOSDHANI</v>
          </cell>
          <cell r="F748">
            <v>0</v>
          </cell>
          <cell r="G748" t="str">
            <v>MPG</v>
          </cell>
          <cell r="H748" t="str">
            <v>Direct</v>
          </cell>
          <cell r="I748">
            <v>1006</v>
          </cell>
          <cell r="J748" t="str">
            <v>Sonvarsha</v>
          </cell>
          <cell r="K748" t="str">
            <v>New</v>
          </cell>
          <cell r="L748">
            <v>45899</v>
          </cell>
          <cell r="M748">
            <v>414</v>
          </cell>
          <cell r="N748">
            <v>15791.009999999998</v>
          </cell>
          <cell r="O748">
            <v>310.5</v>
          </cell>
          <cell r="P748">
            <v>393.29999999999995</v>
          </cell>
          <cell r="Q748">
            <v>310.83530403999998</v>
          </cell>
          <cell r="R748">
            <v>473.73029999999994</v>
          </cell>
          <cell r="S748">
            <v>80.430299999999988</v>
          </cell>
          <cell r="T748">
            <v>41.400000000000006</v>
          </cell>
          <cell r="U748">
            <v>0</v>
          </cell>
          <cell r="V748">
            <v>973</v>
          </cell>
          <cell r="W748">
            <v>0</v>
          </cell>
          <cell r="X748">
            <v>0</v>
          </cell>
          <cell r="Y748">
            <v>0</v>
          </cell>
        </row>
        <row r="749">
          <cell r="D749">
            <v>10080108</v>
          </cell>
          <cell r="E749" t="str">
            <v>Malhipur Bisanpur</v>
          </cell>
          <cell r="F749">
            <v>0</v>
          </cell>
          <cell r="G749" t="str">
            <v>MPG</v>
          </cell>
          <cell r="H749" t="str">
            <v>Direct</v>
          </cell>
          <cell r="I749">
            <v>1008</v>
          </cell>
          <cell r="J749" t="str">
            <v>Teghra</v>
          </cell>
          <cell r="K749" t="str">
            <v>New</v>
          </cell>
          <cell r="L749">
            <v>45900</v>
          </cell>
          <cell r="M749">
            <v>332.55000000000007</v>
          </cell>
          <cell r="N749">
            <v>10998.460000000001</v>
          </cell>
          <cell r="O749">
            <v>249.41250000000005</v>
          </cell>
          <cell r="P749">
            <v>315.92250000000007</v>
          </cell>
          <cell r="Q749">
            <v>0</v>
          </cell>
          <cell r="R749">
            <v>329.9538</v>
          </cell>
          <cell r="S749">
            <v>14.031299999999931</v>
          </cell>
          <cell r="T749">
            <v>33.25500000000001</v>
          </cell>
          <cell r="U749">
            <v>0</v>
          </cell>
          <cell r="V749">
            <v>532</v>
          </cell>
          <cell r="W749">
            <v>0</v>
          </cell>
          <cell r="X749">
            <v>0</v>
          </cell>
          <cell r="Y749">
            <v>0</v>
          </cell>
        </row>
        <row r="750">
          <cell r="D750">
            <v>10080110</v>
          </cell>
          <cell r="E750" t="str">
            <v>Rudauli</v>
          </cell>
          <cell r="F750">
            <v>0</v>
          </cell>
          <cell r="G750" t="str">
            <v>vlc</v>
          </cell>
          <cell r="H750" t="str">
            <v>Indirect</v>
          </cell>
          <cell r="I750">
            <v>1008</v>
          </cell>
          <cell r="J750" t="str">
            <v>Teghra</v>
          </cell>
          <cell r="K750" t="str">
            <v>New</v>
          </cell>
          <cell r="L750">
            <v>45901</v>
          </cell>
          <cell r="M750">
            <v>637.75</v>
          </cell>
          <cell r="N750">
            <v>24049.38</v>
          </cell>
          <cell r="O750">
            <v>478.3125</v>
          </cell>
          <cell r="P750">
            <v>605.86249999999995</v>
          </cell>
          <cell r="Q750">
            <v>0</v>
          </cell>
          <cell r="R750">
            <v>721.48140000000001</v>
          </cell>
          <cell r="S750">
            <v>115.61890000000005</v>
          </cell>
          <cell r="T750">
            <v>63.775000000000006</v>
          </cell>
          <cell r="U750">
            <v>0</v>
          </cell>
          <cell r="V750">
            <v>1020</v>
          </cell>
          <cell r="W750">
            <v>0</v>
          </cell>
          <cell r="X750">
            <v>0</v>
          </cell>
          <cell r="Y750">
            <v>0</v>
          </cell>
        </row>
        <row r="751">
          <cell r="D751">
            <v>10130088</v>
          </cell>
          <cell r="E751" t="str">
            <v>Gomukh Patepur</v>
          </cell>
          <cell r="F751">
            <v>0</v>
          </cell>
          <cell r="G751" t="str">
            <v>vlc</v>
          </cell>
          <cell r="H751" t="str">
            <v>Indirect</v>
          </cell>
          <cell r="I751">
            <v>1013</v>
          </cell>
          <cell r="J751" t="str">
            <v>Musrigharari</v>
          </cell>
          <cell r="K751" t="str">
            <v>Old</v>
          </cell>
          <cell r="L751">
            <v>45690</v>
          </cell>
          <cell r="M751">
            <v>319.5</v>
          </cell>
          <cell r="N751">
            <v>13180.75</v>
          </cell>
          <cell r="O751">
            <v>239.625</v>
          </cell>
          <cell r="P751">
            <v>303.52499999999998</v>
          </cell>
          <cell r="Q751">
            <v>0</v>
          </cell>
          <cell r="R751">
            <v>395.42250000000001</v>
          </cell>
          <cell r="S751">
            <v>91.897500000000036</v>
          </cell>
          <cell r="T751">
            <v>31.950000000000003</v>
          </cell>
          <cell r="U751">
            <v>313.9452503912363</v>
          </cell>
          <cell r="V751">
            <v>197</v>
          </cell>
          <cell r="W751">
            <v>0</v>
          </cell>
          <cell r="X751">
            <v>0</v>
          </cell>
          <cell r="Y751">
            <v>0</v>
          </cell>
        </row>
        <row r="752">
          <cell r="D752">
            <v>10140011</v>
          </cell>
          <cell r="E752" t="str">
            <v>DULLAHPUR2</v>
          </cell>
          <cell r="F752">
            <v>0</v>
          </cell>
          <cell r="G752" t="str">
            <v>MPG</v>
          </cell>
          <cell r="H752" t="str">
            <v>Direct</v>
          </cell>
          <cell r="I752">
            <v>1014</v>
          </cell>
          <cell r="J752" t="str">
            <v>Dumraon</v>
          </cell>
          <cell r="K752" t="str">
            <v>Old</v>
          </cell>
          <cell r="L752">
            <v>44697</v>
          </cell>
          <cell r="M752">
            <v>720.8</v>
          </cell>
          <cell r="N752">
            <v>21937.590000000004</v>
          </cell>
          <cell r="O752">
            <v>540.59999999999991</v>
          </cell>
          <cell r="P752">
            <v>684.75999999999988</v>
          </cell>
          <cell r="Q752">
            <v>267.45000000000005</v>
          </cell>
          <cell r="R752">
            <v>658.12770000000012</v>
          </cell>
          <cell r="S752">
            <v>-26.632299999999759</v>
          </cell>
          <cell r="T752">
            <v>72.08</v>
          </cell>
          <cell r="U752">
            <v>1279.0400363442714</v>
          </cell>
          <cell r="V752">
            <v>142</v>
          </cell>
          <cell r="W752">
            <v>0</v>
          </cell>
          <cell r="X752">
            <v>142</v>
          </cell>
          <cell r="Y752">
            <v>0</v>
          </cell>
        </row>
        <row r="753">
          <cell r="D753">
            <v>10140186</v>
          </cell>
          <cell r="E753" t="str">
            <v>Gomukh Akalupur Dera</v>
          </cell>
          <cell r="F753">
            <v>0</v>
          </cell>
          <cell r="G753" t="str">
            <v>MPG</v>
          </cell>
          <cell r="H753" t="str">
            <v>Direct</v>
          </cell>
          <cell r="I753">
            <v>1014</v>
          </cell>
          <cell r="J753" t="str">
            <v>Dumraon</v>
          </cell>
          <cell r="K753" t="str">
            <v>New</v>
          </cell>
          <cell r="L753">
            <v>45899</v>
          </cell>
          <cell r="M753">
            <v>374.70000000000005</v>
          </cell>
          <cell r="N753">
            <v>22366.36</v>
          </cell>
          <cell r="O753">
            <v>281.02500000000003</v>
          </cell>
          <cell r="P753">
            <v>355.96500000000003</v>
          </cell>
          <cell r="Q753">
            <v>0</v>
          </cell>
          <cell r="R753">
            <v>670.99080000000004</v>
          </cell>
          <cell r="S753">
            <v>315.0258</v>
          </cell>
          <cell r="T753">
            <v>37.470000000000006</v>
          </cell>
          <cell r="U753">
            <v>0</v>
          </cell>
          <cell r="V753">
            <v>600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>
            <v>10480029</v>
          </cell>
          <cell r="E754" t="str">
            <v>Gomukh Tulsipur Jamunia VLC</v>
          </cell>
          <cell r="F754">
            <v>0</v>
          </cell>
          <cell r="G754" t="str">
            <v>vlc</v>
          </cell>
          <cell r="H754" t="str">
            <v>Indirect</v>
          </cell>
          <cell r="I754">
            <v>1036</v>
          </cell>
          <cell r="J754" t="str">
            <v>MAHADAT PUR 2</v>
          </cell>
          <cell r="K754" t="str">
            <v>Old</v>
          </cell>
          <cell r="L754">
            <v>45761</v>
          </cell>
          <cell r="M754">
            <v>2178.8999999999996</v>
          </cell>
          <cell r="N754">
            <v>79604.600000000006</v>
          </cell>
          <cell r="O754">
            <v>1634.1749999999997</v>
          </cell>
          <cell r="P754">
            <v>2069.9549999999995</v>
          </cell>
          <cell r="Q754">
            <v>0</v>
          </cell>
          <cell r="R754">
            <v>2388.1379999999999</v>
          </cell>
          <cell r="S754">
            <v>318.18300000000045</v>
          </cell>
          <cell r="T754">
            <v>217.89</v>
          </cell>
          <cell r="U754">
            <v>488.45251684191976</v>
          </cell>
          <cell r="V754">
            <v>2998</v>
          </cell>
          <cell r="W754">
            <v>0</v>
          </cell>
          <cell r="X754">
            <v>0</v>
          </cell>
          <cell r="Y754">
            <v>0</v>
          </cell>
        </row>
        <row r="755">
          <cell r="D755">
            <v>10530078</v>
          </cell>
          <cell r="E755" t="str">
            <v>GOMUKH Kalaunjar</v>
          </cell>
          <cell r="F755">
            <v>0</v>
          </cell>
          <cell r="G755" t="str">
            <v>MPG</v>
          </cell>
          <cell r="H755" t="str">
            <v>Direct</v>
          </cell>
          <cell r="I755">
            <v>1053</v>
          </cell>
          <cell r="J755" t="str">
            <v>Kalyanpur</v>
          </cell>
          <cell r="K755" t="str">
            <v>New</v>
          </cell>
          <cell r="L755">
            <v>45898</v>
          </cell>
          <cell r="M755">
            <v>2511.6</v>
          </cell>
          <cell r="N755">
            <v>115000.84999999999</v>
          </cell>
          <cell r="O755">
            <v>1883.6999999999998</v>
          </cell>
          <cell r="P755">
            <v>2386.02</v>
          </cell>
          <cell r="Q755">
            <v>3036.8137822480003</v>
          </cell>
          <cell r="R755">
            <v>3450.0254999999997</v>
          </cell>
          <cell r="S755">
            <v>1064.0054999999998</v>
          </cell>
          <cell r="T755">
            <v>251.16</v>
          </cell>
          <cell r="U755">
            <v>0</v>
          </cell>
          <cell r="V755">
            <v>7055</v>
          </cell>
          <cell r="W755">
            <v>0</v>
          </cell>
          <cell r="X755">
            <v>0</v>
          </cell>
          <cell r="Y755">
            <v>0</v>
          </cell>
        </row>
        <row r="756">
          <cell r="D756">
            <v>10530080</v>
          </cell>
          <cell r="E756" t="str">
            <v>Pastara Lakshman</v>
          </cell>
          <cell r="F756">
            <v>0</v>
          </cell>
          <cell r="G756" t="str">
            <v>vlc</v>
          </cell>
          <cell r="H756" t="str">
            <v>Indirect</v>
          </cell>
          <cell r="I756">
            <v>1053</v>
          </cell>
          <cell r="J756" t="str">
            <v>Kalyanpur</v>
          </cell>
          <cell r="K756" t="str">
            <v>New</v>
          </cell>
          <cell r="L756">
            <v>45899</v>
          </cell>
          <cell r="M756">
            <v>619</v>
          </cell>
          <cell r="N756">
            <v>26235.25</v>
          </cell>
          <cell r="O756">
            <v>464.25</v>
          </cell>
          <cell r="P756">
            <v>588.04999999999995</v>
          </cell>
          <cell r="Q756">
            <v>0</v>
          </cell>
          <cell r="R756">
            <v>787.0575</v>
          </cell>
          <cell r="S756">
            <v>199.00750000000005</v>
          </cell>
          <cell r="T756">
            <v>61.900000000000006</v>
          </cell>
          <cell r="U756">
            <v>0</v>
          </cell>
          <cell r="V756">
            <v>990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>
            <v>10540019</v>
          </cell>
          <cell r="E757" t="str">
            <v>Gomukh Chikni</v>
          </cell>
          <cell r="F757">
            <v>0</v>
          </cell>
          <cell r="G757" t="str">
            <v>MPG</v>
          </cell>
          <cell r="H757" t="str">
            <v>Direct</v>
          </cell>
          <cell r="I757">
            <v>1054</v>
          </cell>
          <cell r="J757" t="str">
            <v xml:space="preserve">Alauli </v>
          </cell>
          <cell r="K757" t="str">
            <v>Old</v>
          </cell>
          <cell r="L757">
            <v>45869</v>
          </cell>
          <cell r="M757">
            <v>1041.6000000000001</v>
          </cell>
          <cell r="N757">
            <v>45773.74</v>
          </cell>
          <cell r="O757">
            <v>781.2</v>
          </cell>
          <cell r="P757">
            <v>989.5200000000001</v>
          </cell>
          <cell r="Q757">
            <v>0</v>
          </cell>
          <cell r="R757">
            <v>1373.2121999999999</v>
          </cell>
          <cell r="S757">
            <v>383.69219999999984</v>
          </cell>
          <cell r="T757">
            <v>104.16000000000003</v>
          </cell>
          <cell r="U757">
            <v>923.11713455591303</v>
          </cell>
          <cell r="V757">
            <v>743</v>
          </cell>
          <cell r="W757">
            <v>743</v>
          </cell>
          <cell r="X757">
            <v>0</v>
          </cell>
          <cell r="Y757">
            <v>0</v>
          </cell>
        </row>
        <row r="758">
          <cell r="D758">
            <v>10560008</v>
          </cell>
          <cell r="E758" t="str">
            <v>Gomukh Bramha</v>
          </cell>
          <cell r="F758">
            <v>0</v>
          </cell>
          <cell r="G758" t="str">
            <v>MPG</v>
          </cell>
          <cell r="H758" t="str">
            <v>Direct</v>
          </cell>
          <cell r="I758">
            <v>1056</v>
          </cell>
          <cell r="J758" t="str">
            <v>Chautham</v>
          </cell>
          <cell r="K758" t="str">
            <v>New</v>
          </cell>
          <cell r="L758">
            <v>45902</v>
          </cell>
          <cell r="M758">
            <v>877.4</v>
          </cell>
          <cell r="N758">
            <v>38617.040000000001</v>
          </cell>
          <cell r="O758">
            <v>658.05</v>
          </cell>
          <cell r="P758">
            <v>833.53</v>
          </cell>
          <cell r="Q758">
            <v>0</v>
          </cell>
          <cell r="R758">
            <v>1158.5111999999999</v>
          </cell>
          <cell r="S758">
            <v>324.98119999999994</v>
          </cell>
          <cell r="T758">
            <v>87.740000000000009</v>
          </cell>
          <cell r="U758">
            <v>0</v>
          </cell>
          <cell r="V758">
            <v>1404</v>
          </cell>
          <cell r="W758">
            <v>0</v>
          </cell>
          <cell r="X758">
            <v>0</v>
          </cell>
          <cell r="Y758">
            <v>0</v>
          </cell>
        </row>
        <row r="759">
          <cell r="D759">
            <v>10060117</v>
          </cell>
          <cell r="E759" t="str">
            <v>GOMUKH MAHGAMA</v>
          </cell>
          <cell r="F759">
            <v>0</v>
          </cell>
          <cell r="G759" t="str">
            <v>vlc</v>
          </cell>
          <cell r="H759" t="str">
            <v>Indirect</v>
          </cell>
          <cell r="I759">
            <v>1006</v>
          </cell>
          <cell r="J759" t="str">
            <v>Sonvarsha</v>
          </cell>
          <cell r="K759" t="str">
            <v>New</v>
          </cell>
          <cell r="L759">
            <v>45906</v>
          </cell>
          <cell r="M759">
            <v>1511</v>
          </cell>
          <cell r="N759">
            <v>71268.329999999987</v>
          </cell>
          <cell r="O759">
            <v>1133.25</v>
          </cell>
          <cell r="P759">
            <v>1435.45</v>
          </cell>
          <cell r="Q759">
            <v>0</v>
          </cell>
          <cell r="R759">
            <v>2138.0498999999995</v>
          </cell>
          <cell r="S759">
            <v>702.59989999999948</v>
          </cell>
          <cell r="T759">
            <v>151.1</v>
          </cell>
          <cell r="U759">
            <v>0</v>
          </cell>
          <cell r="V759">
            <v>2418</v>
          </cell>
          <cell r="W759">
            <v>0</v>
          </cell>
          <cell r="X759">
            <v>0</v>
          </cell>
          <cell r="Y759">
            <v>0</v>
          </cell>
        </row>
        <row r="760">
          <cell r="D760">
            <v>10060118</v>
          </cell>
          <cell r="E760" t="str">
            <v>GOMUKH BAGALWA</v>
          </cell>
          <cell r="F760">
            <v>0</v>
          </cell>
          <cell r="G760" t="str">
            <v>vlc</v>
          </cell>
          <cell r="H760" t="str">
            <v>Indirect</v>
          </cell>
          <cell r="I760">
            <v>1006</v>
          </cell>
          <cell r="J760" t="str">
            <v>Sonvarsha</v>
          </cell>
          <cell r="K760" t="str">
            <v>New</v>
          </cell>
          <cell r="L760">
            <v>45906</v>
          </cell>
          <cell r="M760">
            <v>5020.0000000000009</v>
          </cell>
          <cell r="N760">
            <v>240496.34</v>
          </cell>
          <cell r="O760">
            <v>3765.0000000000009</v>
          </cell>
          <cell r="P760">
            <v>4769.0000000000009</v>
          </cell>
          <cell r="Q760">
            <v>0</v>
          </cell>
          <cell r="R760">
            <v>7214.8901999999998</v>
          </cell>
          <cell r="S760">
            <v>2445.8901999999989</v>
          </cell>
          <cell r="T760">
            <v>502.00000000000011</v>
          </cell>
          <cell r="U760">
            <v>0</v>
          </cell>
          <cell r="V760">
            <v>8032</v>
          </cell>
          <cell r="W760">
            <v>0</v>
          </cell>
          <cell r="X760">
            <v>0</v>
          </cell>
          <cell r="Y760">
            <v>0</v>
          </cell>
        </row>
        <row r="761">
          <cell r="D761">
            <v>10110147</v>
          </cell>
          <cell r="E761" t="str">
            <v>GOMUKH BARIYARPUR</v>
          </cell>
          <cell r="F761">
            <v>0</v>
          </cell>
          <cell r="G761" t="str">
            <v>MPG</v>
          </cell>
          <cell r="H761" t="str">
            <v>Direct</v>
          </cell>
          <cell r="I761">
            <v>1055</v>
          </cell>
          <cell r="J761" t="str">
            <v>Matihani</v>
          </cell>
          <cell r="K761" t="str">
            <v>New</v>
          </cell>
          <cell r="L761">
            <v>45910</v>
          </cell>
          <cell r="M761">
            <v>125.2</v>
          </cell>
          <cell r="N761">
            <v>4903.33</v>
          </cell>
          <cell r="O761">
            <v>93.9</v>
          </cell>
          <cell r="P761">
            <v>118.94</v>
          </cell>
          <cell r="Q761">
            <v>0</v>
          </cell>
          <cell r="R761">
            <v>147.09989999999999</v>
          </cell>
          <cell r="S761">
            <v>28.159899999999993</v>
          </cell>
          <cell r="T761">
            <v>12.520000000000001</v>
          </cell>
          <cell r="U761">
            <v>0</v>
          </cell>
          <cell r="V761">
            <v>200</v>
          </cell>
          <cell r="W761">
            <v>0</v>
          </cell>
          <cell r="X761">
            <v>0</v>
          </cell>
          <cell r="Y761">
            <v>0</v>
          </cell>
        </row>
        <row r="762">
          <cell r="D762">
            <v>10540028</v>
          </cell>
          <cell r="E762" t="str">
            <v>MEGHAUNA VLC</v>
          </cell>
          <cell r="F762">
            <v>0</v>
          </cell>
          <cell r="G762" t="str">
            <v>vlc</v>
          </cell>
          <cell r="H762" t="str">
            <v>Indirect</v>
          </cell>
          <cell r="I762">
            <v>1054</v>
          </cell>
          <cell r="J762" t="str">
            <v xml:space="preserve">Alauli </v>
          </cell>
          <cell r="K762" t="str">
            <v>New</v>
          </cell>
          <cell r="L762">
            <v>45905</v>
          </cell>
          <cell r="M762">
            <v>1912.7000000000003</v>
          </cell>
          <cell r="N762">
            <v>81538.31</v>
          </cell>
          <cell r="O762">
            <v>1434.5250000000001</v>
          </cell>
          <cell r="P762">
            <v>1817.0650000000003</v>
          </cell>
          <cell r="Q762">
            <v>0</v>
          </cell>
          <cell r="R762">
            <v>2446.1493</v>
          </cell>
          <cell r="S762">
            <v>629.08429999999976</v>
          </cell>
          <cell r="T762">
            <v>191.27000000000004</v>
          </cell>
          <cell r="U762">
            <v>0</v>
          </cell>
          <cell r="V762">
            <v>3060</v>
          </cell>
          <cell r="W762">
            <v>0</v>
          </cell>
          <cell r="X762">
            <v>0</v>
          </cell>
          <cell r="Y762">
            <v>0</v>
          </cell>
        </row>
        <row r="763">
          <cell r="D763">
            <v>10540029</v>
          </cell>
          <cell r="E763" t="str">
            <v>HATHWAN VLC</v>
          </cell>
          <cell r="F763">
            <v>0</v>
          </cell>
          <cell r="G763" t="str">
            <v>vlc</v>
          </cell>
          <cell r="H763" t="str">
            <v>Indirect</v>
          </cell>
          <cell r="I763">
            <v>1054</v>
          </cell>
          <cell r="J763" t="str">
            <v xml:space="preserve">Alauli </v>
          </cell>
          <cell r="K763" t="str">
            <v>New</v>
          </cell>
          <cell r="L763">
            <v>45905</v>
          </cell>
          <cell r="M763">
            <v>730.59999999999991</v>
          </cell>
          <cell r="N763">
            <v>32120.68</v>
          </cell>
          <cell r="O763">
            <v>547.94999999999993</v>
          </cell>
          <cell r="P763">
            <v>694.06999999999994</v>
          </cell>
          <cell r="Q763">
            <v>0</v>
          </cell>
          <cell r="R763">
            <v>963.62040000000002</v>
          </cell>
          <cell r="S763">
            <v>269.55040000000008</v>
          </cell>
          <cell r="T763">
            <v>73.059999999999988</v>
          </cell>
          <cell r="U763">
            <v>0</v>
          </cell>
          <cell r="V763">
            <v>1169</v>
          </cell>
          <cell r="W763">
            <v>0</v>
          </cell>
          <cell r="X763">
            <v>0</v>
          </cell>
          <cell r="Y763">
            <v>0</v>
          </cell>
        </row>
        <row r="764">
          <cell r="D764">
            <v>10550001</v>
          </cell>
          <cell r="E764" t="str">
            <v>Balahpur-Anil Yadav</v>
          </cell>
          <cell r="F764">
            <v>0</v>
          </cell>
          <cell r="G764" t="str">
            <v>vlc</v>
          </cell>
          <cell r="H764" t="str">
            <v>Indirect</v>
          </cell>
          <cell r="I764">
            <v>1055</v>
          </cell>
          <cell r="J764" t="str">
            <v>Matihani</v>
          </cell>
          <cell r="K764" t="str">
            <v>Old</v>
          </cell>
          <cell r="L764">
            <v>45863</v>
          </cell>
          <cell r="M764">
            <v>29616.1</v>
          </cell>
          <cell r="N764">
            <v>1154573.97</v>
          </cell>
          <cell r="O764">
            <v>22212.074999999997</v>
          </cell>
          <cell r="P764">
            <v>28135.294999999998</v>
          </cell>
          <cell r="Q764">
            <v>0</v>
          </cell>
          <cell r="R764">
            <v>34637.219099999995</v>
          </cell>
          <cell r="S764">
            <v>6501.9240999999965</v>
          </cell>
          <cell r="T764">
            <v>2961.61</v>
          </cell>
          <cell r="U764">
            <v>0</v>
          </cell>
          <cell r="V764">
            <v>47386</v>
          </cell>
          <cell r="W764">
            <v>0</v>
          </cell>
          <cell r="X764">
            <v>0</v>
          </cell>
          <cell r="Y764">
            <v>0</v>
          </cell>
        </row>
        <row r="765">
          <cell r="D765">
            <v>10020081</v>
          </cell>
          <cell r="E765" t="str">
            <v>G WOLIPUR</v>
          </cell>
          <cell r="F765">
            <v>0</v>
          </cell>
          <cell r="G765" t="str">
            <v>vlc</v>
          </cell>
          <cell r="H765" t="str">
            <v>Indirect</v>
          </cell>
          <cell r="I765">
            <v>1002</v>
          </cell>
          <cell r="J765" t="str">
            <v>Laldiyara</v>
          </cell>
          <cell r="K765" t="str">
            <v>New</v>
          </cell>
          <cell r="L765">
            <v>45915</v>
          </cell>
          <cell r="M765">
            <v>3804.4000000000005</v>
          </cell>
          <cell r="N765">
            <v>146556.02000000002</v>
          </cell>
          <cell r="O765">
            <v>2853.3</v>
          </cell>
          <cell r="P765">
            <v>3614.1800000000003</v>
          </cell>
          <cell r="Q765">
            <v>0</v>
          </cell>
          <cell r="R765">
            <v>4396.6806000000006</v>
          </cell>
          <cell r="S765">
            <v>782.5006000000003</v>
          </cell>
          <cell r="T765">
            <v>380.44000000000005</v>
          </cell>
          <cell r="U765">
            <v>0</v>
          </cell>
          <cell r="V765">
            <v>6087</v>
          </cell>
          <cell r="W765">
            <v>0</v>
          </cell>
          <cell r="X765">
            <v>0</v>
          </cell>
          <cell r="Y765">
            <v>0</v>
          </cell>
        </row>
        <row r="766">
          <cell r="D766">
            <v>10020082</v>
          </cell>
          <cell r="E766" t="str">
            <v>REHUA 3</v>
          </cell>
          <cell r="F766">
            <v>0</v>
          </cell>
          <cell r="G766" t="str">
            <v>vlc</v>
          </cell>
          <cell r="H766" t="str">
            <v>Indirect</v>
          </cell>
          <cell r="I766">
            <v>1002</v>
          </cell>
          <cell r="J766" t="str">
            <v>Laldiyara</v>
          </cell>
          <cell r="K766" t="str">
            <v>New</v>
          </cell>
          <cell r="L766">
            <v>45915</v>
          </cell>
          <cell r="M766">
            <v>3678.3</v>
          </cell>
          <cell r="N766">
            <v>162456.29</v>
          </cell>
          <cell r="O766">
            <v>2758.7250000000004</v>
          </cell>
          <cell r="P766">
            <v>3494.3850000000002</v>
          </cell>
          <cell r="Q766">
            <v>0</v>
          </cell>
          <cell r="R766">
            <v>4873.6886999999997</v>
          </cell>
          <cell r="S766">
            <v>1379.3036999999995</v>
          </cell>
          <cell r="T766">
            <v>367.83000000000004</v>
          </cell>
          <cell r="U766">
            <v>0</v>
          </cell>
          <cell r="V766">
            <v>5885</v>
          </cell>
          <cell r="W766">
            <v>0</v>
          </cell>
          <cell r="X766">
            <v>0</v>
          </cell>
          <cell r="Y766">
            <v>0</v>
          </cell>
        </row>
        <row r="767">
          <cell r="D767">
            <v>10030077</v>
          </cell>
          <cell r="E767" t="str">
            <v>KARHARIA V</v>
          </cell>
          <cell r="F767">
            <v>0</v>
          </cell>
          <cell r="G767" t="str">
            <v>vlc</v>
          </cell>
          <cell r="H767" t="str">
            <v>Indirect</v>
          </cell>
          <cell r="I767">
            <v>1003</v>
          </cell>
          <cell r="J767" t="str">
            <v>Asarganj</v>
          </cell>
          <cell r="K767" t="str">
            <v>New</v>
          </cell>
          <cell r="L767">
            <v>45916</v>
          </cell>
          <cell r="M767">
            <v>454.19999999999993</v>
          </cell>
          <cell r="N767">
            <v>16097</v>
          </cell>
          <cell r="O767">
            <v>340.65</v>
          </cell>
          <cell r="P767">
            <v>431.4899999999999</v>
          </cell>
          <cell r="Q767">
            <v>0</v>
          </cell>
          <cell r="R767">
            <v>482.90999999999997</v>
          </cell>
          <cell r="S767">
            <v>51.420000000000073</v>
          </cell>
          <cell r="T767">
            <v>45.419999999999995</v>
          </cell>
          <cell r="U767">
            <v>0</v>
          </cell>
          <cell r="V767">
            <v>727</v>
          </cell>
          <cell r="W767">
            <v>0</v>
          </cell>
          <cell r="X767">
            <v>0</v>
          </cell>
          <cell r="Y767">
            <v>0</v>
          </cell>
        </row>
        <row r="768">
          <cell r="D768">
            <v>10090018</v>
          </cell>
          <cell r="E768" t="str">
            <v>Gomukh ID Lalpur</v>
          </cell>
          <cell r="F768">
            <v>0</v>
          </cell>
          <cell r="G768" t="str">
            <v>vlc</v>
          </cell>
          <cell r="H768" t="str">
            <v>Indirect</v>
          </cell>
          <cell r="I768">
            <v>1009</v>
          </cell>
          <cell r="J768" t="str">
            <v>Halsi</v>
          </cell>
          <cell r="K768" t="str">
            <v>Old</v>
          </cell>
          <cell r="L768">
            <v>44361</v>
          </cell>
          <cell r="M768">
            <v>448.09999999999997</v>
          </cell>
          <cell r="N768">
            <v>18126.179999999997</v>
          </cell>
          <cell r="O768">
            <v>336.07499999999999</v>
          </cell>
          <cell r="P768">
            <v>425.69499999999994</v>
          </cell>
          <cell r="Q768">
            <v>0</v>
          </cell>
          <cell r="R768">
            <v>543.78539999999987</v>
          </cell>
          <cell r="S768">
            <v>118.09039999999993</v>
          </cell>
          <cell r="T768">
            <v>44.81</v>
          </cell>
          <cell r="U768">
            <v>717.10339141583768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>
            <v>10530088</v>
          </cell>
          <cell r="E769" t="str">
            <v>DIH LAHI</v>
          </cell>
          <cell r="F769">
            <v>0</v>
          </cell>
          <cell r="G769" t="str">
            <v>vlc</v>
          </cell>
          <cell r="H769" t="str">
            <v>Indirect</v>
          </cell>
          <cell r="I769">
            <v>1053</v>
          </cell>
          <cell r="J769" t="str">
            <v>Kalyanpur</v>
          </cell>
          <cell r="K769" t="str">
            <v>New</v>
          </cell>
          <cell r="L769">
            <v>45917</v>
          </cell>
          <cell r="M769">
            <v>243.5</v>
          </cell>
          <cell r="N769">
            <v>14945.64</v>
          </cell>
          <cell r="O769">
            <v>182.625</v>
          </cell>
          <cell r="P769">
            <v>231.32499999999999</v>
          </cell>
          <cell r="Q769">
            <v>0</v>
          </cell>
          <cell r="R769">
            <v>448.36919999999998</v>
          </cell>
          <cell r="S769">
            <v>217.04419999999999</v>
          </cell>
          <cell r="T769">
            <v>24.35</v>
          </cell>
          <cell r="U769">
            <v>0</v>
          </cell>
          <cell r="V769">
            <v>390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>
            <v>10530090</v>
          </cell>
          <cell r="E770" t="str">
            <v>BHATGAMA W-5</v>
          </cell>
          <cell r="F770">
            <v>0</v>
          </cell>
          <cell r="G770" t="str">
            <v>vlc</v>
          </cell>
          <cell r="H770" t="str">
            <v>Indirect</v>
          </cell>
          <cell r="I770">
            <v>1012</v>
          </cell>
          <cell r="J770" t="str">
            <v>DalsinghSarai</v>
          </cell>
          <cell r="K770" t="str">
            <v>New</v>
          </cell>
          <cell r="L770">
            <v>45912</v>
          </cell>
          <cell r="M770">
            <v>907</v>
          </cell>
          <cell r="N770">
            <v>36306.03</v>
          </cell>
          <cell r="O770">
            <v>680.25</v>
          </cell>
          <cell r="P770">
            <v>861.65</v>
          </cell>
          <cell r="Q770">
            <v>0</v>
          </cell>
          <cell r="R770">
            <v>1089.1808999999998</v>
          </cell>
          <cell r="S770">
            <v>227.53089999999986</v>
          </cell>
          <cell r="T770">
            <v>90.7</v>
          </cell>
          <cell r="U770">
            <v>0</v>
          </cell>
          <cell r="V770">
            <v>1451</v>
          </cell>
          <cell r="W770">
            <v>0</v>
          </cell>
          <cell r="X770">
            <v>0</v>
          </cell>
          <cell r="Y770">
            <v>0</v>
          </cell>
        </row>
        <row r="771">
          <cell r="D771">
            <v>10570001</v>
          </cell>
          <cell r="E771" t="str">
            <v>Karian</v>
          </cell>
          <cell r="F771">
            <v>0</v>
          </cell>
          <cell r="G771" t="str">
            <v>MPG</v>
          </cell>
          <cell r="H771" t="str">
            <v>Direct</v>
          </cell>
          <cell r="I771">
            <v>1057</v>
          </cell>
          <cell r="J771" t="str">
            <v>Warisnagar</v>
          </cell>
          <cell r="K771" t="str">
            <v>New</v>
          </cell>
          <cell r="L771">
            <v>45915</v>
          </cell>
          <cell r="M771">
            <v>302.39999999999998</v>
          </cell>
          <cell r="N771">
            <v>13043.609999999999</v>
          </cell>
          <cell r="O771">
            <v>226.79999999999998</v>
          </cell>
          <cell r="P771">
            <v>287.27999999999997</v>
          </cell>
          <cell r="Q771">
            <v>0</v>
          </cell>
          <cell r="R771">
            <v>391.30829999999997</v>
          </cell>
          <cell r="S771">
            <v>104.0283</v>
          </cell>
          <cell r="T771">
            <v>30.24</v>
          </cell>
          <cell r="U771">
            <v>0</v>
          </cell>
          <cell r="V771">
            <v>484</v>
          </cell>
          <cell r="W771">
            <v>0</v>
          </cell>
          <cell r="X771">
            <v>0</v>
          </cell>
          <cell r="Y771">
            <v>0</v>
          </cell>
        </row>
        <row r="772">
          <cell r="D772">
            <v>10570002</v>
          </cell>
          <cell r="E772" t="str">
            <v>Sadipur</v>
          </cell>
          <cell r="F772">
            <v>0</v>
          </cell>
          <cell r="G772" t="str">
            <v>MPG</v>
          </cell>
          <cell r="H772" t="str">
            <v>Direct</v>
          </cell>
          <cell r="I772">
            <v>1057</v>
          </cell>
          <cell r="J772" t="str">
            <v>Warisnagar</v>
          </cell>
          <cell r="K772" t="str">
            <v>New</v>
          </cell>
          <cell r="L772">
            <v>45915</v>
          </cell>
          <cell r="M772">
            <v>327.3</v>
          </cell>
          <cell r="N772">
            <v>11904.67</v>
          </cell>
          <cell r="O772">
            <v>245.47500000000002</v>
          </cell>
          <cell r="P772">
            <v>310.935</v>
          </cell>
          <cell r="Q772">
            <v>0</v>
          </cell>
          <cell r="R772">
            <v>357.14009999999996</v>
          </cell>
          <cell r="S772">
            <v>46.205099999999959</v>
          </cell>
          <cell r="T772">
            <v>32.730000000000004</v>
          </cell>
          <cell r="U772">
            <v>0</v>
          </cell>
          <cell r="V772">
            <v>524</v>
          </cell>
          <cell r="W772">
            <v>0</v>
          </cell>
          <cell r="X772">
            <v>0</v>
          </cell>
          <cell r="Y772">
            <v>0</v>
          </cell>
        </row>
        <row r="773">
          <cell r="D773">
            <v>10570003</v>
          </cell>
          <cell r="E773" t="str">
            <v>Teghara</v>
          </cell>
          <cell r="F773">
            <v>0</v>
          </cell>
          <cell r="G773" t="str">
            <v>MPG</v>
          </cell>
          <cell r="H773" t="str">
            <v>Direct</v>
          </cell>
          <cell r="I773">
            <v>1057</v>
          </cell>
          <cell r="J773" t="str">
            <v>Warisnagar</v>
          </cell>
          <cell r="K773" t="str">
            <v>New</v>
          </cell>
          <cell r="L773">
            <v>45915</v>
          </cell>
          <cell r="M773">
            <v>993.30000000000007</v>
          </cell>
          <cell r="N773">
            <v>40509.21</v>
          </cell>
          <cell r="O773">
            <v>744.97500000000002</v>
          </cell>
          <cell r="P773">
            <v>943.63499999999999</v>
          </cell>
          <cell r="Q773">
            <v>0</v>
          </cell>
          <cell r="R773">
            <v>1215.2763</v>
          </cell>
          <cell r="S773">
            <v>271.6413</v>
          </cell>
          <cell r="T773">
            <v>99.330000000000013</v>
          </cell>
          <cell r="U773">
            <v>0</v>
          </cell>
          <cell r="V773">
            <v>1589</v>
          </cell>
          <cell r="W773">
            <v>0</v>
          </cell>
          <cell r="X773">
            <v>0</v>
          </cell>
          <cell r="Y773">
            <v>0</v>
          </cell>
        </row>
        <row r="774">
          <cell r="D774">
            <v>10570004</v>
          </cell>
          <cell r="E774" t="str">
            <v>Ranjitpur</v>
          </cell>
          <cell r="F774">
            <v>0</v>
          </cell>
          <cell r="G774" t="str">
            <v>vlc</v>
          </cell>
          <cell r="H774" t="str">
            <v>Indirect</v>
          </cell>
          <cell r="I774">
            <v>1057</v>
          </cell>
          <cell r="J774" t="str">
            <v>Warisnagar</v>
          </cell>
          <cell r="K774" t="str">
            <v>New</v>
          </cell>
          <cell r="L774">
            <v>45915</v>
          </cell>
          <cell r="M774">
            <v>3617.7</v>
          </cell>
          <cell r="N774">
            <v>137954.40000000002</v>
          </cell>
          <cell r="O774">
            <v>2713.2749999999996</v>
          </cell>
          <cell r="P774">
            <v>3436.8149999999996</v>
          </cell>
          <cell r="Q774">
            <v>0</v>
          </cell>
          <cell r="R774">
            <v>4138.6320000000005</v>
          </cell>
          <cell r="S774">
            <v>701.81700000000092</v>
          </cell>
          <cell r="T774">
            <v>361.77</v>
          </cell>
          <cell r="U774">
            <v>0</v>
          </cell>
          <cell r="V774">
            <v>5788</v>
          </cell>
          <cell r="W774">
            <v>0</v>
          </cell>
          <cell r="X774">
            <v>0</v>
          </cell>
          <cell r="Y774">
            <v>0</v>
          </cell>
        </row>
        <row r="775">
          <cell r="D775">
            <v>10570005</v>
          </cell>
          <cell r="E775" t="str">
            <v>Khanpur</v>
          </cell>
          <cell r="F775">
            <v>0</v>
          </cell>
          <cell r="G775" t="str">
            <v>vlc</v>
          </cell>
          <cell r="H775" t="str">
            <v>Indirect</v>
          </cell>
          <cell r="I775">
            <v>1057</v>
          </cell>
          <cell r="J775" t="str">
            <v>Warisnagar</v>
          </cell>
          <cell r="K775" t="str">
            <v>New</v>
          </cell>
          <cell r="L775">
            <v>45915</v>
          </cell>
          <cell r="M775">
            <v>1175</v>
          </cell>
          <cell r="N775">
            <v>55520.930000000008</v>
          </cell>
          <cell r="O775">
            <v>881.25</v>
          </cell>
          <cell r="P775">
            <v>1116.25</v>
          </cell>
          <cell r="Q775">
            <v>0</v>
          </cell>
          <cell r="R775">
            <v>1665.6279000000002</v>
          </cell>
          <cell r="S775">
            <v>549.37790000000018</v>
          </cell>
          <cell r="T775">
            <v>117.5</v>
          </cell>
          <cell r="U775">
            <v>0</v>
          </cell>
          <cell r="V775">
            <v>1880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>
            <v>10570008</v>
          </cell>
          <cell r="E776" t="str">
            <v>Chakoti</v>
          </cell>
          <cell r="F776">
            <v>0</v>
          </cell>
          <cell r="G776" t="str">
            <v>MPG</v>
          </cell>
          <cell r="H776" t="str">
            <v>Direct</v>
          </cell>
          <cell r="I776">
            <v>1057</v>
          </cell>
          <cell r="J776" t="str">
            <v>Warisnagar</v>
          </cell>
          <cell r="K776" t="str">
            <v>New</v>
          </cell>
          <cell r="L776">
            <v>45915</v>
          </cell>
          <cell r="M776">
            <v>3511.2999999999993</v>
          </cell>
          <cell r="N776">
            <v>142820.85</v>
          </cell>
          <cell r="O776">
            <v>2633.4749999999995</v>
          </cell>
          <cell r="P776">
            <v>3335.7349999999992</v>
          </cell>
          <cell r="Q776">
            <v>0</v>
          </cell>
          <cell r="R776">
            <v>4284.6255000000001</v>
          </cell>
          <cell r="S776">
            <v>948.89050000000088</v>
          </cell>
          <cell r="T776">
            <v>351.12999999999994</v>
          </cell>
          <cell r="U776">
            <v>0</v>
          </cell>
          <cell r="V776">
            <v>5618</v>
          </cell>
          <cell r="W776">
            <v>0</v>
          </cell>
          <cell r="X776">
            <v>0</v>
          </cell>
          <cell r="Y776">
            <v>0</v>
          </cell>
        </row>
        <row r="777">
          <cell r="D777">
            <v>10570009</v>
          </cell>
          <cell r="E777" t="str">
            <v>Nathudawar</v>
          </cell>
          <cell r="F777">
            <v>0</v>
          </cell>
          <cell r="G777" t="str">
            <v>MPG</v>
          </cell>
          <cell r="H777" t="str">
            <v>Direct</v>
          </cell>
          <cell r="I777">
            <v>1057</v>
          </cell>
          <cell r="J777" t="str">
            <v>Warisnagar</v>
          </cell>
          <cell r="K777" t="str">
            <v>New</v>
          </cell>
          <cell r="L777">
            <v>45915</v>
          </cell>
          <cell r="M777">
            <v>4472.8999999999996</v>
          </cell>
          <cell r="N777">
            <v>186246.69</v>
          </cell>
          <cell r="O777">
            <v>3354.6749999999997</v>
          </cell>
          <cell r="P777">
            <v>4249.2549999999992</v>
          </cell>
          <cell r="Q777">
            <v>0</v>
          </cell>
          <cell r="R777">
            <v>5587.4007000000001</v>
          </cell>
          <cell r="S777">
            <v>1338.1457000000009</v>
          </cell>
          <cell r="T777">
            <v>447.28999999999996</v>
          </cell>
          <cell r="U777">
            <v>0</v>
          </cell>
          <cell r="V777">
            <v>7157</v>
          </cell>
          <cell r="W777">
            <v>0</v>
          </cell>
          <cell r="X777">
            <v>0</v>
          </cell>
          <cell r="Y777">
            <v>0</v>
          </cell>
        </row>
        <row r="778">
          <cell r="D778">
            <v>10570010</v>
          </cell>
          <cell r="E778" t="str">
            <v>Purnahi</v>
          </cell>
          <cell r="F778">
            <v>0</v>
          </cell>
          <cell r="G778" t="str">
            <v>vlc</v>
          </cell>
          <cell r="H778" t="str">
            <v>Indirect</v>
          </cell>
          <cell r="I778">
            <v>1057</v>
          </cell>
          <cell r="J778" t="str">
            <v>Warisnagar</v>
          </cell>
          <cell r="K778" t="str">
            <v>New</v>
          </cell>
          <cell r="L778">
            <v>45915</v>
          </cell>
          <cell r="M778">
            <v>3744.7999999999993</v>
          </cell>
          <cell r="N778">
            <v>136365.77000000002</v>
          </cell>
          <cell r="O778">
            <v>2808.5999999999995</v>
          </cell>
          <cell r="P778">
            <v>3557.559999999999</v>
          </cell>
          <cell r="Q778">
            <v>0</v>
          </cell>
          <cell r="R778">
            <v>4090.9731000000006</v>
          </cell>
          <cell r="S778">
            <v>533.41310000000158</v>
          </cell>
          <cell r="T778">
            <v>374.47999999999996</v>
          </cell>
          <cell r="U778">
            <v>0</v>
          </cell>
          <cell r="V778">
            <v>5992</v>
          </cell>
          <cell r="W778">
            <v>0</v>
          </cell>
          <cell r="X778">
            <v>0</v>
          </cell>
          <cell r="Y778">
            <v>0</v>
          </cell>
        </row>
        <row r="779">
          <cell r="D779">
            <v>10570011</v>
          </cell>
          <cell r="E779" t="str">
            <v>Balahi</v>
          </cell>
          <cell r="F779">
            <v>0</v>
          </cell>
          <cell r="G779" t="str">
            <v>vlc</v>
          </cell>
          <cell r="H779" t="str">
            <v>Indirect</v>
          </cell>
          <cell r="I779">
            <v>1057</v>
          </cell>
          <cell r="J779" t="str">
            <v>Warisnagar</v>
          </cell>
          <cell r="K779" t="str">
            <v>New</v>
          </cell>
          <cell r="L779">
            <v>45915</v>
          </cell>
          <cell r="M779">
            <v>862.80000000000007</v>
          </cell>
          <cell r="N779">
            <v>32123.77</v>
          </cell>
          <cell r="O779">
            <v>647.1</v>
          </cell>
          <cell r="P779">
            <v>819.66000000000008</v>
          </cell>
          <cell r="Q779">
            <v>0</v>
          </cell>
          <cell r="R779">
            <v>963.71309999999994</v>
          </cell>
          <cell r="S779">
            <v>144.05309999999986</v>
          </cell>
          <cell r="T779">
            <v>86.280000000000015</v>
          </cell>
          <cell r="U779">
            <v>0</v>
          </cell>
          <cell r="V779">
            <v>1380</v>
          </cell>
          <cell r="W779">
            <v>0</v>
          </cell>
          <cell r="X779">
            <v>0</v>
          </cell>
          <cell r="Y779">
            <v>0</v>
          </cell>
        </row>
        <row r="780">
          <cell r="D780">
            <v>10010135</v>
          </cell>
          <cell r="E780" t="str">
            <v>Gomukh Morkahi</v>
          </cell>
          <cell r="F780">
            <v>0</v>
          </cell>
          <cell r="G780" t="str">
            <v>MPG</v>
          </cell>
          <cell r="H780" t="str">
            <v>Direct</v>
          </cell>
          <cell r="I780">
            <v>1001</v>
          </cell>
          <cell r="J780" t="str">
            <v>Majhaul</v>
          </cell>
          <cell r="K780" t="str">
            <v>New</v>
          </cell>
          <cell r="L780">
            <v>45922</v>
          </cell>
          <cell r="M780">
            <v>606.6</v>
          </cell>
          <cell r="N780">
            <v>25828.17</v>
          </cell>
          <cell r="O780">
            <v>454.95000000000005</v>
          </cell>
          <cell r="P780">
            <v>576.27</v>
          </cell>
          <cell r="Q780">
            <v>434.11</v>
          </cell>
          <cell r="R780">
            <v>774.84509999999989</v>
          </cell>
          <cell r="S780">
            <v>198.57509999999991</v>
          </cell>
          <cell r="T780">
            <v>60.660000000000004</v>
          </cell>
          <cell r="U780">
            <v>0</v>
          </cell>
          <cell r="V780">
            <v>1405</v>
          </cell>
          <cell r="W780">
            <v>0</v>
          </cell>
          <cell r="X780">
            <v>0</v>
          </cell>
          <cell r="Y780">
            <v>0</v>
          </cell>
        </row>
        <row r="781">
          <cell r="D781">
            <v>10060120</v>
          </cell>
          <cell r="E781" t="str">
            <v>GOMUKH LARYATAL</v>
          </cell>
          <cell r="F781">
            <v>0</v>
          </cell>
          <cell r="G781" t="str">
            <v>vlc</v>
          </cell>
          <cell r="H781" t="str">
            <v>Indirect</v>
          </cell>
          <cell r="I781">
            <v>1006</v>
          </cell>
          <cell r="J781" t="str">
            <v>Sonvarsha</v>
          </cell>
          <cell r="K781" t="str">
            <v>New</v>
          </cell>
          <cell r="L781">
            <v>45925</v>
          </cell>
          <cell r="M781">
            <v>920.59999999999991</v>
          </cell>
          <cell r="N781">
            <v>40397.269999999997</v>
          </cell>
          <cell r="O781">
            <v>690.44999999999993</v>
          </cell>
          <cell r="P781">
            <v>874.56999999999982</v>
          </cell>
          <cell r="Q781">
            <v>0</v>
          </cell>
          <cell r="R781">
            <v>1211.9180999999999</v>
          </cell>
          <cell r="S781">
            <v>337.34810000000004</v>
          </cell>
          <cell r="T781">
            <v>92.06</v>
          </cell>
          <cell r="U781">
            <v>0</v>
          </cell>
          <cell r="V781">
            <v>1473</v>
          </cell>
          <cell r="W781">
            <v>0</v>
          </cell>
          <cell r="X781">
            <v>0</v>
          </cell>
          <cell r="Y781">
            <v>0</v>
          </cell>
        </row>
        <row r="782">
          <cell r="D782">
            <v>10100056</v>
          </cell>
          <cell r="E782" t="str">
            <v>Gomukh Kaithi</v>
          </cell>
          <cell r="F782">
            <v>0</v>
          </cell>
          <cell r="G782" t="str">
            <v>MPG</v>
          </cell>
          <cell r="H782" t="str">
            <v>Direct</v>
          </cell>
          <cell r="I782">
            <v>1056</v>
          </cell>
          <cell r="J782" t="str">
            <v>Chautham</v>
          </cell>
          <cell r="K782" t="str">
            <v>Old</v>
          </cell>
          <cell r="L782">
            <v>45661</v>
          </cell>
          <cell r="M782">
            <v>1291.0999999999999</v>
          </cell>
          <cell r="N782">
            <v>50136.590000000004</v>
          </cell>
          <cell r="O782">
            <v>968.32499999999993</v>
          </cell>
          <cell r="P782">
            <v>1226.5449999999998</v>
          </cell>
          <cell r="Q782">
            <v>33.819366240000008</v>
          </cell>
          <cell r="R782">
            <v>1504.0977</v>
          </cell>
          <cell r="S782">
            <v>277.55270000000019</v>
          </cell>
          <cell r="T782">
            <v>129.10999999999999</v>
          </cell>
          <cell r="U782">
            <v>681.71767256145336</v>
          </cell>
          <cell r="V782">
            <v>1418</v>
          </cell>
          <cell r="W782">
            <v>1418</v>
          </cell>
          <cell r="X782">
            <v>0</v>
          </cell>
          <cell r="Y782">
            <v>0</v>
          </cell>
        </row>
        <row r="783">
          <cell r="D783">
            <v>10110167</v>
          </cell>
          <cell r="E783" t="str">
            <v xml:space="preserve">Gomukh Raghunathpur 2 </v>
          </cell>
          <cell r="F783">
            <v>0</v>
          </cell>
          <cell r="G783" t="str">
            <v>MPG</v>
          </cell>
          <cell r="H783" t="str">
            <v>Direct</v>
          </cell>
          <cell r="I783">
            <v>1011</v>
          </cell>
          <cell r="J783" t="str">
            <v>Sahibpur Kamal</v>
          </cell>
          <cell r="K783" t="str">
            <v>New</v>
          </cell>
          <cell r="L783">
            <v>45919</v>
          </cell>
          <cell r="M783">
            <v>522.44999999999993</v>
          </cell>
          <cell r="N783">
            <v>26408.79</v>
          </cell>
          <cell r="O783">
            <v>391.83749999999998</v>
          </cell>
          <cell r="P783">
            <v>496.32749999999993</v>
          </cell>
          <cell r="Q783">
            <v>0</v>
          </cell>
          <cell r="R783">
            <v>792.26369999999997</v>
          </cell>
          <cell r="S783">
            <v>295.93620000000004</v>
          </cell>
          <cell r="T783">
            <v>52.244999999999997</v>
          </cell>
          <cell r="U783">
            <v>0</v>
          </cell>
          <cell r="V783">
            <v>836</v>
          </cell>
          <cell r="W783">
            <v>0</v>
          </cell>
          <cell r="X783">
            <v>0</v>
          </cell>
          <cell r="Y783">
            <v>0</v>
          </cell>
        </row>
        <row r="784">
          <cell r="D784">
            <v>10330001</v>
          </cell>
          <cell r="E784" t="str">
            <v>KISHANPUR</v>
          </cell>
          <cell r="F784">
            <v>0</v>
          </cell>
          <cell r="G784" t="str">
            <v>RMC</v>
          </cell>
          <cell r="H784" t="str">
            <v>Indirect</v>
          </cell>
          <cell r="I784">
            <v>1006</v>
          </cell>
          <cell r="J784" t="str">
            <v>Sonvarsha</v>
          </cell>
          <cell r="K784" t="str">
            <v>Old</v>
          </cell>
          <cell r="L784">
            <v>42979</v>
          </cell>
          <cell r="M784">
            <v>4105</v>
          </cell>
          <cell r="N784">
            <v>153645.71000000002</v>
          </cell>
          <cell r="O784">
            <v>3078.75</v>
          </cell>
          <cell r="P784">
            <v>3899.75</v>
          </cell>
          <cell r="Q784">
            <v>0</v>
          </cell>
          <cell r="R784">
            <v>4609.3713000000007</v>
          </cell>
          <cell r="S784">
            <v>709.6213000000007</v>
          </cell>
          <cell r="T784">
            <v>410.5</v>
          </cell>
          <cell r="U784">
            <v>460.16193945409435</v>
          </cell>
          <cell r="V784">
            <v>6108</v>
          </cell>
          <cell r="W784">
            <v>0</v>
          </cell>
          <cell r="X784">
            <v>3072.9142000000006</v>
          </cell>
          <cell r="Y784">
            <v>0</v>
          </cell>
        </row>
        <row r="785">
          <cell r="D785">
            <v>10530085</v>
          </cell>
          <cell r="E785" t="str">
            <v>GOMUKH SUSTA</v>
          </cell>
          <cell r="F785">
            <v>0</v>
          </cell>
          <cell r="G785" t="str">
            <v>MPG</v>
          </cell>
          <cell r="H785" t="str">
            <v>Direct</v>
          </cell>
          <cell r="I785">
            <v>1053</v>
          </cell>
          <cell r="J785" t="str">
            <v>Kalyanpur</v>
          </cell>
          <cell r="K785" t="str">
            <v>New</v>
          </cell>
          <cell r="L785">
            <v>45924</v>
          </cell>
          <cell r="M785">
            <v>1970.45</v>
          </cell>
          <cell r="N785">
            <v>94744.320000000007</v>
          </cell>
          <cell r="O785">
            <v>1477.8375000000001</v>
          </cell>
          <cell r="P785">
            <v>1871.9275</v>
          </cell>
          <cell r="Q785">
            <v>398.68432248800002</v>
          </cell>
          <cell r="R785">
            <v>2842.3296</v>
          </cell>
          <cell r="S785">
            <v>970.40210000000002</v>
          </cell>
          <cell r="T785">
            <v>197.04500000000002</v>
          </cell>
          <cell r="U785">
            <v>0</v>
          </cell>
          <cell r="V785">
            <v>3551</v>
          </cell>
          <cell r="W785">
            <v>0</v>
          </cell>
          <cell r="X785">
            <v>0</v>
          </cell>
          <cell r="Y785">
            <v>0</v>
          </cell>
        </row>
        <row r="786">
          <cell r="D786">
            <v>10540036</v>
          </cell>
          <cell r="E786" t="str">
            <v>GOMUKH ID ALAULI</v>
          </cell>
          <cell r="F786">
            <v>0</v>
          </cell>
          <cell r="G786" t="str">
            <v>vlc</v>
          </cell>
          <cell r="H786" t="str">
            <v>Indirect</v>
          </cell>
          <cell r="I786">
            <v>1054</v>
          </cell>
          <cell r="J786" t="str">
            <v xml:space="preserve">Alauli </v>
          </cell>
          <cell r="K786" t="str">
            <v>New</v>
          </cell>
          <cell r="L786">
            <v>45919</v>
          </cell>
          <cell r="M786">
            <v>80.7</v>
          </cell>
          <cell r="N786">
            <v>3408.77</v>
          </cell>
          <cell r="O786">
            <v>60.525000000000006</v>
          </cell>
          <cell r="P786">
            <v>76.664999999999992</v>
          </cell>
          <cell r="Q786">
            <v>0</v>
          </cell>
          <cell r="R786">
            <v>102.26309999999999</v>
          </cell>
          <cell r="S786">
            <v>25.598100000000002</v>
          </cell>
          <cell r="T786">
            <v>8.07</v>
          </cell>
          <cell r="U786">
            <v>0</v>
          </cell>
          <cell r="V786">
            <v>129</v>
          </cell>
          <cell r="W786">
            <v>0</v>
          </cell>
          <cell r="X786">
            <v>0</v>
          </cell>
          <cell r="Y786">
            <v>0</v>
          </cell>
        </row>
        <row r="787">
          <cell r="D787">
            <v>10570012</v>
          </cell>
          <cell r="E787" t="str">
            <v>RAGHUNATHPUR</v>
          </cell>
          <cell r="F787">
            <v>0</v>
          </cell>
          <cell r="G787" t="str">
            <v>vlc</v>
          </cell>
          <cell r="H787" t="str">
            <v>Indirect</v>
          </cell>
          <cell r="I787">
            <v>1057</v>
          </cell>
          <cell r="J787" t="str">
            <v>Warisnagar</v>
          </cell>
          <cell r="K787" t="str">
            <v>New</v>
          </cell>
          <cell r="L787">
            <v>45919</v>
          </cell>
          <cell r="M787">
            <v>648.29999999999995</v>
          </cell>
          <cell r="N787">
            <v>28888.440000000002</v>
          </cell>
          <cell r="O787">
            <v>486.22499999999997</v>
          </cell>
          <cell r="P787">
            <v>615.88499999999988</v>
          </cell>
          <cell r="Q787">
            <v>0</v>
          </cell>
          <cell r="R787">
            <v>866.65320000000008</v>
          </cell>
          <cell r="S787">
            <v>250.76820000000021</v>
          </cell>
          <cell r="T787">
            <v>64.83</v>
          </cell>
          <cell r="U787">
            <v>0</v>
          </cell>
          <cell r="V787">
            <v>1037</v>
          </cell>
          <cell r="W787">
            <v>0</v>
          </cell>
          <cell r="X787">
            <v>0</v>
          </cell>
          <cell r="Y787">
            <v>0</v>
          </cell>
        </row>
        <row r="788">
          <cell r="D788">
            <v>10570007</v>
          </cell>
          <cell r="E788" t="str">
            <v>Basantpur</v>
          </cell>
          <cell r="F788">
            <v>0</v>
          </cell>
          <cell r="G788" t="str">
            <v>MPG</v>
          </cell>
          <cell r="H788" t="str">
            <v>Direct</v>
          </cell>
          <cell r="I788">
            <v>1057</v>
          </cell>
          <cell r="J788" t="str">
            <v>Warisnagar</v>
          </cell>
          <cell r="K788" t="str">
            <v>New</v>
          </cell>
          <cell r="L788">
            <v>45926</v>
          </cell>
          <cell r="M788">
            <v>1327.3999999999999</v>
          </cell>
          <cell r="N788">
            <v>65134.229999999996</v>
          </cell>
          <cell r="O788">
            <v>995.55</v>
          </cell>
          <cell r="P788">
            <v>1261.0299999999997</v>
          </cell>
          <cell r="Q788">
            <v>0</v>
          </cell>
          <cell r="R788">
            <v>1954.0268999999998</v>
          </cell>
          <cell r="S788">
            <v>692.9969000000001</v>
          </cell>
          <cell r="T788">
            <v>132.73999999999998</v>
          </cell>
          <cell r="U788">
            <v>0</v>
          </cell>
          <cell r="V788">
            <v>2124</v>
          </cell>
          <cell r="W788">
            <v>0</v>
          </cell>
          <cell r="X788">
            <v>0</v>
          </cell>
          <cell r="Y788">
            <v>0</v>
          </cell>
        </row>
        <row r="789">
          <cell r="D789">
            <v>10010049</v>
          </cell>
          <cell r="E789" t="str">
            <v>Birpur-2 - Pankaj</v>
          </cell>
          <cell r="F789">
            <v>0</v>
          </cell>
          <cell r="G789" t="str">
            <v>vlc</v>
          </cell>
          <cell r="H789" t="str">
            <v>Indirect</v>
          </cell>
          <cell r="I789">
            <v>1001</v>
          </cell>
          <cell r="J789" t="str">
            <v>Majhaul</v>
          </cell>
          <cell r="K789" t="str">
            <v>Old</v>
          </cell>
          <cell r="L789">
            <v>45098</v>
          </cell>
          <cell r="M789">
            <v>4311.5</v>
          </cell>
          <cell r="N789">
            <v>155448.63</v>
          </cell>
          <cell r="O789">
            <v>3233.625</v>
          </cell>
          <cell r="P789">
            <v>4095.9249999999997</v>
          </cell>
          <cell r="Q789">
            <v>0</v>
          </cell>
          <cell r="R789">
            <v>4663.4588999999996</v>
          </cell>
          <cell r="S789">
            <v>567.5338999999999</v>
          </cell>
          <cell r="T789">
            <v>431.15000000000003</v>
          </cell>
          <cell r="U789">
            <v>405.68730256410259</v>
          </cell>
          <cell r="V789">
            <v>6493</v>
          </cell>
          <cell r="W789">
            <v>0</v>
          </cell>
          <cell r="X789">
            <v>0</v>
          </cell>
          <cell r="Y789">
            <v>0</v>
          </cell>
        </row>
        <row r="790">
          <cell r="D790">
            <v>10020018</v>
          </cell>
          <cell r="E790" t="str">
            <v>WAKIL YADAV VLC</v>
          </cell>
          <cell r="F790">
            <v>0</v>
          </cell>
          <cell r="G790" t="str">
            <v>vlc</v>
          </cell>
          <cell r="H790" t="str">
            <v>Indirect</v>
          </cell>
          <cell r="I790">
            <v>1002</v>
          </cell>
          <cell r="J790" t="str">
            <v>Laldiyara</v>
          </cell>
          <cell r="K790" t="str">
            <v>Old</v>
          </cell>
          <cell r="L790">
            <v>44652</v>
          </cell>
          <cell r="M790">
            <v>227.5</v>
          </cell>
          <cell r="N790">
            <v>10901.75</v>
          </cell>
          <cell r="O790">
            <v>170.625</v>
          </cell>
          <cell r="P790">
            <v>216.125</v>
          </cell>
          <cell r="Q790">
            <v>0</v>
          </cell>
          <cell r="R790">
            <v>327.05250000000001</v>
          </cell>
          <cell r="S790">
            <v>110.92750000000001</v>
          </cell>
          <cell r="T790">
            <v>22.75</v>
          </cell>
          <cell r="U790">
            <v>363.64597368497175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</row>
        <row r="791">
          <cell r="D791">
            <v>10060013</v>
          </cell>
          <cell r="E791" t="str">
            <v>Gomukh ID Khawa</v>
          </cell>
          <cell r="F791">
            <v>0</v>
          </cell>
          <cell r="G791" t="str">
            <v>vlc</v>
          </cell>
          <cell r="H791" t="str">
            <v>Indirect</v>
          </cell>
          <cell r="I791">
            <v>1006</v>
          </cell>
          <cell r="J791" t="str">
            <v>Sonvarsha</v>
          </cell>
          <cell r="K791" t="str">
            <v>Old</v>
          </cell>
          <cell r="L791">
            <v>44200</v>
          </cell>
          <cell r="M791">
            <v>569.9</v>
          </cell>
          <cell r="N791">
            <v>24807.51</v>
          </cell>
          <cell r="O791">
            <v>427.42499999999995</v>
          </cell>
          <cell r="P791">
            <v>541.40499999999997</v>
          </cell>
          <cell r="Q791">
            <v>0</v>
          </cell>
          <cell r="R791">
            <v>744.22529999999995</v>
          </cell>
          <cell r="S791">
            <v>202.82029999999997</v>
          </cell>
          <cell r="T791">
            <v>56.99</v>
          </cell>
          <cell r="U791">
            <v>726.29120908377558</v>
          </cell>
          <cell r="V791">
            <v>186</v>
          </cell>
          <cell r="W791">
            <v>0</v>
          </cell>
          <cell r="X791">
            <v>0</v>
          </cell>
          <cell r="Y791">
            <v>0</v>
          </cell>
        </row>
        <row r="792">
          <cell r="D792">
            <v>10060119</v>
          </cell>
          <cell r="E792" t="str">
            <v>PURBI CHASMASKAN</v>
          </cell>
          <cell r="F792">
            <v>0</v>
          </cell>
          <cell r="G792" t="str">
            <v>vlc</v>
          </cell>
          <cell r="H792" t="str">
            <v>Indirect</v>
          </cell>
          <cell r="I792">
            <v>1006</v>
          </cell>
          <cell r="J792" t="str">
            <v>Sonvarsha</v>
          </cell>
          <cell r="K792" t="str">
            <v>New</v>
          </cell>
          <cell r="L792">
            <v>45936</v>
          </cell>
          <cell r="M792">
            <v>2377</v>
          </cell>
          <cell r="N792">
            <v>83167.509999999995</v>
          </cell>
          <cell r="O792">
            <v>1782.75</v>
          </cell>
          <cell r="P792">
            <v>2258.15</v>
          </cell>
          <cell r="Q792">
            <v>0</v>
          </cell>
          <cell r="R792">
            <v>2495.0252999999998</v>
          </cell>
          <cell r="S792">
            <v>236.8752999999997</v>
          </cell>
          <cell r="T792">
            <v>237.70000000000002</v>
          </cell>
          <cell r="U792">
            <v>0</v>
          </cell>
          <cell r="V792">
            <v>3803</v>
          </cell>
          <cell r="W792">
            <v>0</v>
          </cell>
          <cell r="X792">
            <v>0</v>
          </cell>
          <cell r="Y792">
            <v>0</v>
          </cell>
        </row>
        <row r="793">
          <cell r="D793">
            <v>10060122</v>
          </cell>
          <cell r="E793" t="str">
            <v>GOMUKH BHITAKITA</v>
          </cell>
          <cell r="F793">
            <v>0</v>
          </cell>
          <cell r="G793" t="str">
            <v>vlc</v>
          </cell>
          <cell r="H793" t="str">
            <v>Indirect</v>
          </cell>
          <cell r="I793">
            <v>1006</v>
          </cell>
          <cell r="J793" t="str">
            <v>Sonvarsha</v>
          </cell>
          <cell r="K793" t="str">
            <v>New</v>
          </cell>
          <cell r="L793">
            <v>45933</v>
          </cell>
          <cell r="M793">
            <v>157.69999999999999</v>
          </cell>
          <cell r="N793">
            <v>7224.2199999999993</v>
          </cell>
          <cell r="O793">
            <v>118.27499999999999</v>
          </cell>
          <cell r="P793">
            <v>149.81499999999997</v>
          </cell>
          <cell r="Q793">
            <v>0</v>
          </cell>
          <cell r="R793">
            <v>216.72659999999996</v>
          </cell>
          <cell r="S793">
            <v>66.911599999999993</v>
          </cell>
          <cell r="T793">
            <v>15.77</v>
          </cell>
          <cell r="U793">
            <v>0</v>
          </cell>
          <cell r="V793">
            <v>252</v>
          </cell>
          <cell r="W793">
            <v>0</v>
          </cell>
          <cell r="X793">
            <v>0</v>
          </cell>
          <cell r="Y793">
            <v>0</v>
          </cell>
        </row>
        <row r="794">
          <cell r="D794">
            <v>10070015</v>
          </cell>
          <cell r="E794" t="str">
            <v>Gomukh Gamghatta</v>
          </cell>
          <cell r="F794">
            <v>0</v>
          </cell>
          <cell r="G794" t="str">
            <v>MPG</v>
          </cell>
          <cell r="H794" t="str">
            <v>Direct</v>
          </cell>
          <cell r="I794">
            <v>1007</v>
          </cell>
          <cell r="J794" t="str">
            <v>Araria</v>
          </cell>
          <cell r="K794" t="str">
            <v>Old</v>
          </cell>
          <cell r="L794">
            <v>45102</v>
          </cell>
          <cell r="M794">
            <v>13.7</v>
          </cell>
          <cell r="N794">
            <v>546.22</v>
          </cell>
          <cell r="O794">
            <v>10.274999999999999</v>
          </cell>
          <cell r="P794">
            <v>13.014999999999999</v>
          </cell>
          <cell r="Q794">
            <v>0</v>
          </cell>
          <cell r="R794">
            <v>16.386600000000001</v>
          </cell>
          <cell r="S794">
            <v>3.3716000000000026</v>
          </cell>
          <cell r="T794">
            <v>1.37</v>
          </cell>
          <cell r="U794">
            <v>22.256621897810305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</row>
        <row r="795">
          <cell r="D795">
            <v>10110032</v>
          </cell>
          <cell r="E795" t="str">
            <v>Gomukh Kumar Chakki</v>
          </cell>
          <cell r="F795">
            <v>0</v>
          </cell>
          <cell r="G795" t="str">
            <v>MPG</v>
          </cell>
          <cell r="H795" t="str">
            <v>Direct</v>
          </cell>
          <cell r="I795">
            <v>1011</v>
          </cell>
          <cell r="J795" t="str">
            <v>Sahibpur Kamal</v>
          </cell>
          <cell r="K795" t="str">
            <v>Old</v>
          </cell>
          <cell r="L795">
            <v>45012</v>
          </cell>
          <cell r="M795">
            <v>14.05</v>
          </cell>
          <cell r="N795">
            <v>560.16999999999996</v>
          </cell>
          <cell r="O795">
            <v>10.537500000000001</v>
          </cell>
          <cell r="P795">
            <v>13.3475</v>
          </cell>
          <cell r="Q795">
            <v>0</v>
          </cell>
          <cell r="R795">
            <v>16.805099999999999</v>
          </cell>
          <cell r="S795">
            <v>3.4575999999999993</v>
          </cell>
          <cell r="T795">
            <v>1.4050000000000002</v>
          </cell>
          <cell r="U795">
            <v>22.973112455516002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</row>
        <row r="796">
          <cell r="D796">
            <v>10110048</v>
          </cell>
          <cell r="E796" t="str">
            <v xml:space="preserve">Gomukh Rampur                                                                                       </v>
          </cell>
          <cell r="F796">
            <v>0</v>
          </cell>
          <cell r="G796" t="str">
            <v>MPG</v>
          </cell>
          <cell r="H796" t="str">
            <v>Direct</v>
          </cell>
          <cell r="I796">
            <v>1055</v>
          </cell>
          <cell r="J796" t="str">
            <v>Matihani</v>
          </cell>
          <cell r="K796" t="str">
            <v>Old</v>
          </cell>
          <cell r="L796">
            <v>45212</v>
          </cell>
          <cell r="M796">
            <v>18.7</v>
          </cell>
          <cell r="N796">
            <v>481.34</v>
          </cell>
          <cell r="O796">
            <v>14.024999999999999</v>
          </cell>
          <cell r="P796">
            <v>17.764999999999997</v>
          </cell>
          <cell r="Q796">
            <v>0</v>
          </cell>
          <cell r="R796">
            <v>14.440199999999999</v>
          </cell>
          <cell r="S796">
            <v>-3.324799999999998</v>
          </cell>
          <cell r="T796">
            <v>1.87</v>
          </cell>
          <cell r="U796">
            <v>29.734697326203161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</row>
        <row r="797">
          <cell r="D797">
            <v>10120085</v>
          </cell>
          <cell r="E797" t="str">
            <v>Rosera-Rajesh</v>
          </cell>
          <cell r="F797">
            <v>0</v>
          </cell>
          <cell r="G797" t="str">
            <v>vlc</v>
          </cell>
          <cell r="H797" t="str">
            <v>Indirect</v>
          </cell>
          <cell r="I797">
            <v>1013</v>
          </cell>
          <cell r="J797" t="str">
            <v>Musrigharari</v>
          </cell>
          <cell r="K797" t="str">
            <v>Old</v>
          </cell>
          <cell r="L797">
            <v>45529</v>
          </cell>
          <cell r="M797">
            <v>114.3</v>
          </cell>
          <cell r="N797">
            <v>4273.09</v>
          </cell>
          <cell r="O797">
            <v>85.724999999999994</v>
          </cell>
          <cell r="P797">
            <v>108.58499999999999</v>
          </cell>
          <cell r="Q797">
            <v>0</v>
          </cell>
          <cell r="R797">
            <v>128.1927</v>
          </cell>
          <cell r="S797">
            <v>19.607700000000008</v>
          </cell>
          <cell r="T797">
            <v>11.43</v>
          </cell>
          <cell r="U797">
            <v>182.95844539877294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</row>
        <row r="798">
          <cell r="D798">
            <v>10120114</v>
          </cell>
          <cell r="E798" t="str">
            <v>GOMUKH PATHAKTOL</v>
          </cell>
          <cell r="F798">
            <v>0</v>
          </cell>
          <cell r="G798" t="str">
            <v>MPG</v>
          </cell>
          <cell r="H798" t="str">
            <v>Direct</v>
          </cell>
          <cell r="I798">
            <v>1012</v>
          </cell>
          <cell r="J798" t="str">
            <v>DalsinghSarai</v>
          </cell>
          <cell r="K798" t="str">
            <v>New</v>
          </cell>
          <cell r="L798">
            <v>45939</v>
          </cell>
          <cell r="M798">
            <v>473.09</v>
          </cell>
          <cell r="N798">
            <v>17157.780000000002</v>
          </cell>
          <cell r="O798">
            <v>354.8175</v>
          </cell>
          <cell r="P798">
            <v>449.43549999999993</v>
          </cell>
          <cell r="Q798">
            <v>0</v>
          </cell>
          <cell r="R798">
            <v>514.73340000000007</v>
          </cell>
          <cell r="S798">
            <v>65.297900000000141</v>
          </cell>
          <cell r="T798">
            <v>47.308999999999997</v>
          </cell>
          <cell r="U798">
            <v>0</v>
          </cell>
          <cell r="V798">
            <v>757</v>
          </cell>
          <cell r="W798">
            <v>0</v>
          </cell>
          <cell r="X798">
            <v>0</v>
          </cell>
          <cell r="Y798">
            <v>0</v>
          </cell>
        </row>
        <row r="799">
          <cell r="D799">
            <v>10550002</v>
          </cell>
          <cell r="E799" t="str">
            <v>Bagdobh</v>
          </cell>
          <cell r="F799">
            <v>0</v>
          </cell>
          <cell r="G799" t="str">
            <v>vlc</v>
          </cell>
          <cell r="H799" t="str">
            <v>Indirect</v>
          </cell>
          <cell r="I799">
            <v>1055</v>
          </cell>
          <cell r="J799" t="str">
            <v>Matihani</v>
          </cell>
          <cell r="K799" t="str">
            <v>New</v>
          </cell>
          <cell r="L799">
            <v>45937</v>
          </cell>
          <cell r="M799">
            <v>387.3</v>
          </cell>
          <cell r="N799">
            <v>14111.970000000001</v>
          </cell>
          <cell r="O799">
            <v>290.47500000000002</v>
          </cell>
          <cell r="P799">
            <v>367.935</v>
          </cell>
          <cell r="Q799">
            <v>0</v>
          </cell>
          <cell r="R799">
            <v>423.35910000000001</v>
          </cell>
          <cell r="S799">
            <v>55.42410000000001</v>
          </cell>
          <cell r="T799">
            <v>38.730000000000004</v>
          </cell>
          <cell r="U799">
            <v>0</v>
          </cell>
          <cell r="V799">
            <v>620</v>
          </cell>
          <cell r="W799">
            <v>0</v>
          </cell>
          <cell r="X799">
            <v>0</v>
          </cell>
          <cell r="Y799">
            <v>0</v>
          </cell>
        </row>
        <row r="800">
          <cell r="D800">
            <v>10570013</v>
          </cell>
          <cell r="E800" t="str">
            <v xml:space="preserve">Baghopur </v>
          </cell>
          <cell r="F800">
            <v>0</v>
          </cell>
          <cell r="G800" t="str">
            <v>vlc</v>
          </cell>
          <cell r="H800" t="str">
            <v>Indirect</v>
          </cell>
          <cell r="I800">
            <v>1057</v>
          </cell>
          <cell r="J800" t="str">
            <v>Warisnagar</v>
          </cell>
          <cell r="K800" t="str">
            <v>New</v>
          </cell>
          <cell r="L800">
            <v>45934</v>
          </cell>
          <cell r="M800">
            <v>1149.8</v>
          </cell>
          <cell r="N800">
            <v>49943.18</v>
          </cell>
          <cell r="O800">
            <v>862.34999999999991</v>
          </cell>
          <cell r="P800">
            <v>1092.31</v>
          </cell>
          <cell r="Q800">
            <v>0</v>
          </cell>
          <cell r="R800">
            <v>1498.2954</v>
          </cell>
          <cell r="S800">
            <v>405.98540000000003</v>
          </cell>
          <cell r="T800">
            <v>114.98</v>
          </cell>
          <cell r="U800">
            <v>0</v>
          </cell>
          <cell r="V800">
            <v>1840</v>
          </cell>
          <cell r="W800">
            <v>0</v>
          </cell>
          <cell r="X800">
            <v>0</v>
          </cell>
          <cell r="Y800">
            <v>0</v>
          </cell>
        </row>
        <row r="801">
          <cell r="D801">
            <v>10570014</v>
          </cell>
          <cell r="E801" t="str">
            <v>Baghopur 2</v>
          </cell>
          <cell r="F801">
            <v>0</v>
          </cell>
          <cell r="G801" t="str">
            <v>vlc</v>
          </cell>
          <cell r="H801" t="str">
            <v>Indirect</v>
          </cell>
          <cell r="I801">
            <v>1057</v>
          </cell>
          <cell r="J801" t="str">
            <v>Warisnagar</v>
          </cell>
          <cell r="K801" t="str">
            <v>New</v>
          </cell>
          <cell r="L801">
            <v>45935</v>
          </cell>
          <cell r="M801">
            <v>682</v>
          </cell>
          <cell r="N801">
            <v>28836.36</v>
          </cell>
          <cell r="O801">
            <v>511.5</v>
          </cell>
          <cell r="P801">
            <v>647.9</v>
          </cell>
          <cell r="Q801">
            <v>0</v>
          </cell>
          <cell r="R801">
            <v>865.09079999999994</v>
          </cell>
          <cell r="S801">
            <v>217.19079999999997</v>
          </cell>
          <cell r="T801">
            <v>68.2</v>
          </cell>
          <cell r="U801">
            <v>0</v>
          </cell>
          <cell r="V801">
            <v>1091</v>
          </cell>
          <cell r="W801">
            <v>0</v>
          </cell>
          <cell r="X801">
            <v>0</v>
          </cell>
          <cell r="Y801">
            <v>0</v>
          </cell>
        </row>
        <row r="802">
          <cell r="D802">
            <v>10570015</v>
          </cell>
          <cell r="E802" t="str">
            <v>Sadipur Bathnaha</v>
          </cell>
          <cell r="F802">
            <v>0</v>
          </cell>
          <cell r="G802" t="str">
            <v>vlc</v>
          </cell>
          <cell r="H802" t="str">
            <v>Indirect</v>
          </cell>
          <cell r="I802">
            <v>1057</v>
          </cell>
          <cell r="J802" t="str">
            <v>Warisnagar</v>
          </cell>
          <cell r="K802" t="str">
            <v>New</v>
          </cell>
          <cell r="L802">
            <v>45936</v>
          </cell>
          <cell r="M802">
            <v>3040.3999999999996</v>
          </cell>
          <cell r="N802">
            <v>144978.42000000001</v>
          </cell>
          <cell r="O802">
            <v>2280.2999999999997</v>
          </cell>
          <cell r="P802">
            <v>2888.3799999999997</v>
          </cell>
          <cell r="Q802">
            <v>0</v>
          </cell>
          <cell r="R802">
            <v>4349.3526000000002</v>
          </cell>
          <cell r="S802">
            <v>1460.9726000000005</v>
          </cell>
          <cell r="T802">
            <v>304.03999999999996</v>
          </cell>
          <cell r="U802">
            <v>0</v>
          </cell>
          <cell r="V802">
            <v>4865</v>
          </cell>
          <cell r="W802">
            <v>0</v>
          </cell>
          <cell r="X802">
            <v>0</v>
          </cell>
          <cell r="Y802">
            <v>0</v>
          </cell>
        </row>
        <row r="803">
          <cell r="D803">
            <v>10010137</v>
          </cell>
          <cell r="E803" t="str">
            <v>Gomukh Shobhaipura 02</v>
          </cell>
          <cell r="F803">
            <v>0</v>
          </cell>
          <cell r="G803" t="str">
            <v>MPG</v>
          </cell>
          <cell r="H803" t="str">
            <v>Indirect</v>
          </cell>
          <cell r="I803">
            <v>1001</v>
          </cell>
          <cell r="J803" t="str">
            <v>Majhaul</v>
          </cell>
          <cell r="K803" t="str">
            <v>New</v>
          </cell>
          <cell r="L803">
            <v>45945</v>
          </cell>
          <cell r="M803">
            <v>473.5</v>
          </cell>
          <cell r="N803">
            <v>19019.25</v>
          </cell>
          <cell r="O803">
            <v>355.125</v>
          </cell>
          <cell r="P803">
            <v>449.82499999999999</v>
          </cell>
          <cell r="Q803">
            <v>262.18</v>
          </cell>
          <cell r="R803">
            <v>570.57749999999999</v>
          </cell>
          <cell r="S803">
            <v>120.7525</v>
          </cell>
          <cell r="T803">
            <v>47.35</v>
          </cell>
          <cell r="U803">
            <v>0</v>
          </cell>
          <cell r="V803">
            <v>1020</v>
          </cell>
          <cell r="W803">
            <v>0</v>
          </cell>
          <cell r="X803">
            <v>0</v>
          </cell>
          <cell r="Y803">
            <v>0</v>
          </cell>
        </row>
        <row r="804">
          <cell r="D804">
            <v>10060121</v>
          </cell>
          <cell r="E804" t="str">
            <v>CHANDANPURA</v>
          </cell>
          <cell r="F804">
            <v>0</v>
          </cell>
          <cell r="G804" t="str">
            <v>MPG</v>
          </cell>
          <cell r="H804" t="str">
            <v>Direct</v>
          </cell>
          <cell r="I804">
            <v>1006</v>
          </cell>
          <cell r="J804" t="str">
            <v>Sonvarsha</v>
          </cell>
          <cell r="K804" t="str">
            <v>New</v>
          </cell>
          <cell r="L804">
            <v>45946</v>
          </cell>
          <cell r="M804">
            <v>271.5</v>
          </cell>
          <cell r="N804">
            <v>11066.46</v>
          </cell>
          <cell r="O804">
            <v>203.625</v>
          </cell>
          <cell r="P804">
            <v>257.92500000000001</v>
          </cell>
          <cell r="Q804">
            <v>0</v>
          </cell>
          <cell r="R804">
            <v>331.99379999999996</v>
          </cell>
          <cell r="S804">
            <v>74.068799999999953</v>
          </cell>
          <cell r="T804">
            <v>27.150000000000002</v>
          </cell>
          <cell r="U804">
            <v>0</v>
          </cell>
          <cell r="V804">
            <v>434</v>
          </cell>
          <cell r="W804">
            <v>0</v>
          </cell>
          <cell r="X804">
            <v>0</v>
          </cell>
          <cell r="Y804">
            <v>0</v>
          </cell>
        </row>
        <row r="805">
          <cell r="D805">
            <v>10080111</v>
          </cell>
          <cell r="E805" t="str">
            <v>Nayatol</v>
          </cell>
          <cell r="F805">
            <v>0</v>
          </cell>
          <cell r="G805" t="str">
            <v>vlc</v>
          </cell>
          <cell r="H805" t="str">
            <v>Indirect</v>
          </cell>
          <cell r="I805">
            <v>1008</v>
          </cell>
          <cell r="J805" t="str">
            <v>Teghra</v>
          </cell>
          <cell r="K805" t="str">
            <v>New</v>
          </cell>
          <cell r="L805">
            <v>45940</v>
          </cell>
          <cell r="M805">
            <v>141</v>
          </cell>
          <cell r="N805">
            <v>5204.3500000000004</v>
          </cell>
          <cell r="O805">
            <v>105.75</v>
          </cell>
          <cell r="P805">
            <v>133.94999999999999</v>
          </cell>
          <cell r="Q805">
            <v>0</v>
          </cell>
          <cell r="R805">
            <v>156.13050000000001</v>
          </cell>
          <cell r="S805">
            <v>22.180500000000023</v>
          </cell>
          <cell r="T805">
            <v>14.100000000000001</v>
          </cell>
          <cell r="U805">
            <v>0</v>
          </cell>
          <cell r="V805">
            <v>226</v>
          </cell>
          <cell r="W805">
            <v>0</v>
          </cell>
          <cell r="X805">
            <v>0</v>
          </cell>
          <cell r="Y805">
            <v>0</v>
          </cell>
        </row>
        <row r="806">
          <cell r="D806">
            <v>10080112</v>
          </cell>
          <cell r="E806" t="str">
            <v>Samsa</v>
          </cell>
          <cell r="F806">
            <v>0</v>
          </cell>
          <cell r="G806" t="str">
            <v>vlc</v>
          </cell>
          <cell r="H806" t="str">
            <v>Indirect</v>
          </cell>
          <cell r="I806">
            <v>1008</v>
          </cell>
          <cell r="J806" t="str">
            <v>Teghra</v>
          </cell>
          <cell r="K806" t="str">
            <v>New</v>
          </cell>
          <cell r="L806">
            <v>45940</v>
          </cell>
          <cell r="M806">
            <v>1357.6</v>
          </cell>
          <cell r="N806">
            <v>52699.490000000005</v>
          </cell>
          <cell r="O806">
            <v>1018.1999999999999</v>
          </cell>
          <cell r="P806">
            <v>1289.7199999999998</v>
          </cell>
          <cell r="Q806">
            <v>0</v>
          </cell>
          <cell r="R806">
            <v>1580.9847000000002</v>
          </cell>
          <cell r="S806">
            <v>291.2647000000004</v>
          </cell>
          <cell r="T806">
            <v>135.76</v>
          </cell>
          <cell r="U806">
            <v>0</v>
          </cell>
          <cell r="V806">
            <v>2172</v>
          </cell>
          <cell r="W806">
            <v>0</v>
          </cell>
          <cell r="X806">
            <v>0</v>
          </cell>
          <cell r="Y806">
            <v>0</v>
          </cell>
        </row>
        <row r="807">
          <cell r="D807">
            <v>10080113</v>
          </cell>
          <cell r="E807" t="str">
            <v>Dahiya</v>
          </cell>
          <cell r="F807">
            <v>0</v>
          </cell>
          <cell r="G807" t="str">
            <v>vlc</v>
          </cell>
          <cell r="H807" t="str">
            <v>Indirect</v>
          </cell>
          <cell r="I807">
            <v>1008</v>
          </cell>
          <cell r="J807" t="str">
            <v>Teghra</v>
          </cell>
          <cell r="K807" t="str">
            <v>New</v>
          </cell>
          <cell r="L807">
            <v>45940</v>
          </cell>
          <cell r="M807">
            <v>321.54999999999995</v>
          </cell>
          <cell r="N807">
            <v>11981.68</v>
          </cell>
          <cell r="O807">
            <v>241.16249999999997</v>
          </cell>
          <cell r="P807">
            <v>305.47249999999997</v>
          </cell>
          <cell r="Q807">
            <v>0</v>
          </cell>
          <cell r="R807">
            <v>359.4504</v>
          </cell>
          <cell r="S807">
            <v>53.977900000000034</v>
          </cell>
          <cell r="T807">
            <v>32.154999999999994</v>
          </cell>
          <cell r="U807">
            <v>0</v>
          </cell>
          <cell r="V807">
            <v>514</v>
          </cell>
          <cell r="W807">
            <v>0</v>
          </cell>
          <cell r="X807">
            <v>0</v>
          </cell>
          <cell r="Y807">
            <v>0</v>
          </cell>
        </row>
        <row r="808">
          <cell r="D808">
            <v>10090039</v>
          </cell>
          <cell r="E808" t="str">
            <v>SHARMA</v>
          </cell>
          <cell r="F808">
            <v>0</v>
          </cell>
          <cell r="G808" t="str">
            <v>MPG</v>
          </cell>
          <cell r="H808" t="str">
            <v>Direct</v>
          </cell>
          <cell r="I808">
            <v>1009</v>
          </cell>
          <cell r="J808" t="str">
            <v>Halsi</v>
          </cell>
          <cell r="K808" t="str">
            <v>Old</v>
          </cell>
          <cell r="L808">
            <v>45110</v>
          </cell>
          <cell r="M808">
            <v>20.2</v>
          </cell>
          <cell r="N808">
            <v>1051.6099999999999</v>
          </cell>
          <cell r="O808">
            <v>15.149999999999999</v>
          </cell>
          <cell r="P808">
            <v>19.189999999999998</v>
          </cell>
          <cell r="Q808">
            <v>0</v>
          </cell>
          <cell r="R808">
            <v>31.548299999999998</v>
          </cell>
          <cell r="S808">
            <v>12.3583</v>
          </cell>
          <cell r="T808">
            <v>2.02</v>
          </cell>
          <cell r="U808">
            <v>32.806413861386091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</row>
        <row r="809">
          <cell r="D809">
            <v>10120097</v>
          </cell>
          <cell r="E809" t="str">
            <v>Gomukh SUBHANIPUR EAST</v>
          </cell>
          <cell r="F809">
            <v>0</v>
          </cell>
          <cell r="G809" t="str">
            <v>vlc</v>
          </cell>
          <cell r="H809" t="str">
            <v>Indirect</v>
          </cell>
          <cell r="I809">
            <v>1012</v>
          </cell>
          <cell r="J809" t="str">
            <v>DalsinghSarai</v>
          </cell>
          <cell r="K809" t="str">
            <v>Old</v>
          </cell>
          <cell r="L809">
            <v>45707</v>
          </cell>
          <cell r="M809">
            <v>138.49</v>
          </cell>
          <cell r="N809">
            <v>4346.45</v>
          </cell>
          <cell r="O809">
            <v>103.86750000000001</v>
          </cell>
          <cell r="P809">
            <v>131.56550000000001</v>
          </cell>
          <cell r="Q809">
            <v>0</v>
          </cell>
          <cell r="R809">
            <v>130.39349999999999</v>
          </cell>
          <cell r="S809">
            <v>-1.1720000000000255</v>
          </cell>
          <cell r="T809">
            <v>13.849000000000002</v>
          </cell>
          <cell r="U809">
            <v>221.94864238852051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</row>
        <row r="810">
          <cell r="D810">
            <v>10120115</v>
          </cell>
          <cell r="E810" t="str">
            <v>Gomukh Musapur West</v>
          </cell>
          <cell r="F810">
            <v>0</v>
          </cell>
          <cell r="G810" t="str">
            <v>vlc</v>
          </cell>
          <cell r="H810" t="str">
            <v>Indirect</v>
          </cell>
          <cell r="I810">
            <v>1012</v>
          </cell>
          <cell r="J810" t="str">
            <v>DalsinghSarai</v>
          </cell>
          <cell r="K810" t="str">
            <v>New</v>
          </cell>
          <cell r="L810">
            <v>45943</v>
          </cell>
          <cell r="M810">
            <v>4690.3899999999994</v>
          </cell>
          <cell r="N810">
            <v>177565.26</v>
          </cell>
          <cell r="O810">
            <v>3517.7924999999996</v>
          </cell>
          <cell r="P810">
            <v>4455.8704999999991</v>
          </cell>
          <cell r="Q810">
            <v>0</v>
          </cell>
          <cell r="R810">
            <v>5326.9578000000001</v>
          </cell>
          <cell r="S810">
            <v>871.08730000000105</v>
          </cell>
          <cell r="T810">
            <v>469.03899999999999</v>
          </cell>
          <cell r="U810">
            <v>0</v>
          </cell>
          <cell r="V810">
            <v>7505</v>
          </cell>
          <cell r="W810">
            <v>0</v>
          </cell>
          <cell r="X810">
            <v>0</v>
          </cell>
          <cell r="Y810">
            <v>0</v>
          </cell>
        </row>
        <row r="811">
          <cell r="D811">
            <v>10130108</v>
          </cell>
          <cell r="E811" t="str">
            <v>GOMUKH MURTUZAPUR EAST</v>
          </cell>
          <cell r="F811">
            <v>0</v>
          </cell>
          <cell r="G811" t="str">
            <v>MPG</v>
          </cell>
          <cell r="H811" t="str">
            <v>Indirect</v>
          </cell>
          <cell r="I811">
            <v>1013</v>
          </cell>
          <cell r="J811" t="str">
            <v>Musrigharari</v>
          </cell>
          <cell r="K811" t="str">
            <v>New</v>
          </cell>
          <cell r="L811">
            <v>45944</v>
          </cell>
          <cell r="M811">
            <v>41.8</v>
          </cell>
          <cell r="N811">
            <v>1704.98</v>
          </cell>
          <cell r="O811">
            <v>31.349999999999998</v>
          </cell>
          <cell r="P811">
            <v>39.709999999999994</v>
          </cell>
          <cell r="Q811">
            <v>0</v>
          </cell>
          <cell r="R811">
            <v>51.1494</v>
          </cell>
          <cell r="S811">
            <v>11.439400000000006</v>
          </cell>
          <cell r="T811">
            <v>4.18</v>
          </cell>
          <cell r="U811">
            <v>0</v>
          </cell>
          <cell r="V811">
            <v>67</v>
          </cell>
          <cell r="W811">
            <v>0</v>
          </cell>
          <cell r="X811">
            <v>0</v>
          </cell>
          <cell r="Y811">
            <v>0</v>
          </cell>
        </row>
        <row r="812">
          <cell r="D812">
            <v>10130109</v>
          </cell>
          <cell r="E812" t="str">
            <v>Repura Kundan</v>
          </cell>
          <cell r="F812">
            <v>0</v>
          </cell>
          <cell r="G812" t="str">
            <v>vlc</v>
          </cell>
          <cell r="H812" t="str">
            <v>Indirect</v>
          </cell>
          <cell r="I812">
            <v>1013</v>
          </cell>
          <cell r="J812" t="str">
            <v>Musrigharari</v>
          </cell>
          <cell r="K812" t="str">
            <v>New</v>
          </cell>
          <cell r="L812">
            <v>45943</v>
          </cell>
          <cell r="M812">
            <v>106.1</v>
          </cell>
          <cell r="N812">
            <v>3861.6400000000003</v>
          </cell>
          <cell r="O812">
            <v>79.574999999999989</v>
          </cell>
          <cell r="P812">
            <v>100.79499999999999</v>
          </cell>
          <cell r="Q812">
            <v>0</v>
          </cell>
          <cell r="R812">
            <v>115.84920000000001</v>
          </cell>
          <cell r="S812">
            <v>15.054200000000023</v>
          </cell>
          <cell r="T812">
            <v>10.61</v>
          </cell>
          <cell r="U812">
            <v>0</v>
          </cell>
          <cell r="V812">
            <v>170</v>
          </cell>
          <cell r="W812">
            <v>0</v>
          </cell>
          <cell r="X812">
            <v>0</v>
          </cell>
          <cell r="Y812">
            <v>0</v>
          </cell>
        </row>
        <row r="813">
          <cell r="D813">
            <v>10130110</v>
          </cell>
          <cell r="E813" t="str">
            <v>Gomukh Baaghi</v>
          </cell>
          <cell r="F813">
            <v>0</v>
          </cell>
          <cell r="G813" t="str">
            <v>vlc</v>
          </cell>
          <cell r="H813" t="str">
            <v>Indirect</v>
          </cell>
          <cell r="I813">
            <v>1013</v>
          </cell>
          <cell r="J813" t="str">
            <v>Musrigharari</v>
          </cell>
          <cell r="K813" t="str">
            <v>New</v>
          </cell>
          <cell r="L813">
            <v>45940</v>
          </cell>
          <cell r="M813">
            <v>2577</v>
          </cell>
          <cell r="N813">
            <v>89502.96</v>
          </cell>
          <cell r="O813">
            <v>1932.75</v>
          </cell>
          <cell r="P813">
            <v>2448.15</v>
          </cell>
          <cell r="Q813">
            <v>0</v>
          </cell>
          <cell r="R813">
            <v>2685.0888</v>
          </cell>
          <cell r="S813">
            <v>236.9387999999999</v>
          </cell>
          <cell r="T813">
            <v>257.7</v>
          </cell>
          <cell r="U813">
            <v>0</v>
          </cell>
          <cell r="V813">
            <v>4123</v>
          </cell>
          <cell r="W813">
            <v>0</v>
          </cell>
          <cell r="X813">
            <v>0</v>
          </cell>
          <cell r="Y813">
            <v>0</v>
          </cell>
        </row>
        <row r="814">
          <cell r="D814">
            <v>10130111</v>
          </cell>
          <cell r="E814" t="str">
            <v>Gomukh Gangapur East</v>
          </cell>
          <cell r="F814">
            <v>0</v>
          </cell>
          <cell r="G814" t="str">
            <v>vlc</v>
          </cell>
          <cell r="H814" t="str">
            <v>Indirect</v>
          </cell>
          <cell r="I814">
            <v>1013</v>
          </cell>
          <cell r="J814" t="str">
            <v>Musrigharari</v>
          </cell>
          <cell r="K814" t="str">
            <v>New</v>
          </cell>
          <cell r="L814">
            <v>45942</v>
          </cell>
          <cell r="M814">
            <v>1222.3</v>
          </cell>
          <cell r="N814">
            <v>41231.089999999997</v>
          </cell>
          <cell r="O814">
            <v>916.72499999999991</v>
          </cell>
          <cell r="P814">
            <v>1161.1849999999999</v>
          </cell>
          <cell r="Q814">
            <v>0</v>
          </cell>
          <cell r="R814">
            <v>1236.9326999999998</v>
          </cell>
          <cell r="S814">
            <v>75.747699999999895</v>
          </cell>
          <cell r="T814">
            <v>122.23</v>
          </cell>
          <cell r="U814">
            <v>0</v>
          </cell>
          <cell r="V814">
            <v>1956</v>
          </cell>
          <cell r="W814">
            <v>0</v>
          </cell>
          <cell r="X814">
            <v>0</v>
          </cell>
          <cell r="Y814">
            <v>0</v>
          </cell>
        </row>
        <row r="815">
          <cell r="D815">
            <v>10140187</v>
          </cell>
          <cell r="E815" t="str">
            <v>Gomukh Bakulaha Pati</v>
          </cell>
          <cell r="F815">
            <v>0</v>
          </cell>
          <cell r="G815" t="str">
            <v>MPG</v>
          </cell>
          <cell r="H815" t="str">
            <v>Direct</v>
          </cell>
          <cell r="I815">
            <v>1014</v>
          </cell>
          <cell r="J815" t="str">
            <v>Dumraon</v>
          </cell>
          <cell r="K815" t="str">
            <v>New</v>
          </cell>
          <cell r="L815">
            <v>45944</v>
          </cell>
          <cell r="M815">
            <v>123.9</v>
          </cell>
          <cell r="N815">
            <v>5184.25</v>
          </cell>
          <cell r="O815">
            <v>92.925000000000011</v>
          </cell>
          <cell r="P815">
            <v>117.705</v>
          </cell>
          <cell r="Q815">
            <v>0</v>
          </cell>
          <cell r="R815">
            <v>155.5275</v>
          </cell>
          <cell r="S815">
            <v>37.822500000000005</v>
          </cell>
          <cell r="T815">
            <v>12.39</v>
          </cell>
          <cell r="U815">
            <v>0</v>
          </cell>
          <cell r="V815">
            <v>198</v>
          </cell>
          <cell r="W815">
            <v>0</v>
          </cell>
          <cell r="X815">
            <v>0</v>
          </cell>
          <cell r="Y815">
            <v>0</v>
          </cell>
        </row>
        <row r="816">
          <cell r="D816">
            <v>10530092</v>
          </cell>
          <cell r="E816" t="str">
            <v>GOMUKH SHIVNAGAR</v>
          </cell>
          <cell r="F816">
            <v>0</v>
          </cell>
          <cell r="G816" t="str">
            <v>MPG</v>
          </cell>
          <cell r="H816" t="str">
            <v>Direct</v>
          </cell>
          <cell r="I816">
            <v>1053</v>
          </cell>
          <cell r="J816" t="str">
            <v>Kalyanpur</v>
          </cell>
          <cell r="K816" t="str">
            <v>New</v>
          </cell>
          <cell r="L816">
            <v>45944</v>
          </cell>
          <cell r="M816">
            <v>515.45000000000005</v>
          </cell>
          <cell r="N816">
            <v>22033.22</v>
          </cell>
          <cell r="O816">
            <v>386.58750000000003</v>
          </cell>
          <cell r="P816">
            <v>489.67750000000001</v>
          </cell>
          <cell r="Q816">
            <v>158.5491073904</v>
          </cell>
          <cell r="R816">
            <v>660.99660000000006</v>
          </cell>
          <cell r="S816">
            <v>171.31910000000005</v>
          </cell>
          <cell r="T816">
            <v>51.545000000000009</v>
          </cell>
          <cell r="U816">
            <v>0</v>
          </cell>
          <cell r="V816">
            <v>983</v>
          </cell>
          <cell r="W816">
            <v>0</v>
          </cell>
          <cell r="X816">
            <v>0</v>
          </cell>
          <cell r="Y816">
            <v>0</v>
          </cell>
        </row>
        <row r="817">
          <cell r="D817">
            <v>10530093</v>
          </cell>
          <cell r="E817" t="str">
            <v>GOMUKH BAKHITIYARPUR</v>
          </cell>
          <cell r="F817">
            <v>0</v>
          </cell>
          <cell r="G817" t="str">
            <v>MPG</v>
          </cell>
          <cell r="H817" t="str">
            <v>Direct</v>
          </cell>
          <cell r="I817">
            <v>1053</v>
          </cell>
          <cell r="J817" t="str">
            <v>Kalyanpur</v>
          </cell>
          <cell r="K817" t="str">
            <v>New</v>
          </cell>
          <cell r="L817">
            <v>45941</v>
          </cell>
          <cell r="M817">
            <v>1696.8500000000004</v>
          </cell>
          <cell r="N817">
            <v>71003.31</v>
          </cell>
          <cell r="O817">
            <v>1272.6375000000003</v>
          </cell>
          <cell r="P817">
            <v>1612.0075000000002</v>
          </cell>
          <cell r="Q817">
            <v>877.07102317999988</v>
          </cell>
          <cell r="R817">
            <v>2130.0992999999999</v>
          </cell>
          <cell r="S817">
            <v>518.09179999999969</v>
          </cell>
          <cell r="T817">
            <v>169.68500000000006</v>
          </cell>
          <cell r="U817">
            <v>0</v>
          </cell>
          <cell r="V817">
            <v>3592</v>
          </cell>
          <cell r="W817">
            <v>0</v>
          </cell>
          <cell r="X817">
            <v>0</v>
          </cell>
          <cell r="Y817">
            <v>0</v>
          </cell>
        </row>
        <row r="818">
          <cell r="D818">
            <v>10540031</v>
          </cell>
          <cell r="E818" t="str">
            <v>Gomukh Alauli 2</v>
          </cell>
          <cell r="F818">
            <v>0</v>
          </cell>
          <cell r="G818" t="str">
            <v>MPG</v>
          </cell>
          <cell r="H818" t="str">
            <v>Direct</v>
          </cell>
          <cell r="I818">
            <v>1054</v>
          </cell>
          <cell r="J818" t="str">
            <v xml:space="preserve">Alauli </v>
          </cell>
          <cell r="K818" t="str">
            <v>New</v>
          </cell>
          <cell r="L818">
            <v>45940</v>
          </cell>
          <cell r="M818">
            <v>593.59999999999991</v>
          </cell>
          <cell r="N818">
            <v>23483.39</v>
          </cell>
          <cell r="O818">
            <v>445.19999999999993</v>
          </cell>
          <cell r="P818">
            <v>563.91999999999985</v>
          </cell>
          <cell r="Q818">
            <v>0</v>
          </cell>
          <cell r="R818">
            <v>704.50169999999991</v>
          </cell>
          <cell r="S818">
            <v>140.58170000000007</v>
          </cell>
          <cell r="T818">
            <v>59.359999999999992</v>
          </cell>
          <cell r="U818">
            <v>0</v>
          </cell>
          <cell r="V818">
            <v>950</v>
          </cell>
          <cell r="W818">
            <v>0</v>
          </cell>
          <cell r="X818">
            <v>0</v>
          </cell>
          <cell r="Y818">
            <v>0</v>
          </cell>
        </row>
        <row r="819">
          <cell r="D819">
            <v>10540032</v>
          </cell>
          <cell r="E819" t="str">
            <v>GOMUKH JWALAPUR</v>
          </cell>
          <cell r="F819">
            <v>0</v>
          </cell>
          <cell r="G819" t="str">
            <v>MPG</v>
          </cell>
          <cell r="H819" t="str">
            <v>Direct</v>
          </cell>
          <cell r="I819">
            <v>1054</v>
          </cell>
          <cell r="J819" t="str">
            <v xml:space="preserve">Alauli </v>
          </cell>
          <cell r="K819" t="str">
            <v>New</v>
          </cell>
          <cell r="L819">
            <v>45945</v>
          </cell>
          <cell r="M819">
            <v>208.3</v>
          </cell>
          <cell r="N819">
            <v>8323.4700000000012</v>
          </cell>
          <cell r="O819">
            <v>156.22500000000002</v>
          </cell>
          <cell r="P819">
            <v>197.88499999999999</v>
          </cell>
          <cell r="Q819">
            <v>0</v>
          </cell>
          <cell r="R819">
            <v>249.70410000000004</v>
          </cell>
          <cell r="S819">
            <v>51.819100000000049</v>
          </cell>
          <cell r="T819">
            <v>20.830000000000002</v>
          </cell>
          <cell r="U819">
            <v>0</v>
          </cell>
          <cell r="V819">
            <v>333</v>
          </cell>
          <cell r="W819">
            <v>0</v>
          </cell>
          <cell r="X819">
            <v>0</v>
          </cell>
          <cell r="Y819">
            <v>0</v>
          </cell>
        </row>
        <row r="820">
          <cell r="D820">
            <v>10570016</v>
          </cell>
          <cell r="E820" t="str">
            <v>PARORIYA</v>
          </cell>
          <cell r="F820">
            <v>0</v>
          </cell>
          <cell r="G820" t="str">
            <v>vlc</v>
          </cell>
          <cell r="H820" t="str">
            <v>Indirect</v>
          </cell>
          <cell r="I820">
            <v>1057</v>
          </cell>
          <cell r="J820" t="str">
            <v>Warisnagar</v>
          </cell>
          <cell r="K820" t="str">
            <v>New</v>
          </cell>
          <cell r="L820">
            <v>45940</v>
          </cell>
          <cell r="M820">
            <v>3095.5</v>
          </cell>
          <cell r="N820">
            <v>116923.66999999998</v>
          </cell>
          <cell r="O820">
            <v>2321.625</v>
          </cell>
          <cell r="P820">
            <v>2940.7249999999999</v>
          </cell>
          <cell r="Q820">
            <v>0</v>
          </cell>
          <cell r="R820">
            <v>3507.7100999999993</v>
          </cell>
          <cell r="S820">
            <v>566.98509999999942</v>
          </cell>
          <cell r="T820">
            <v>309.55</v>
          </cell>
          <cell r="U820">
            <v>0</v>
          </cell>
          <cell r="V820">
            <v>4953</v>
          </cell>
          <cell r="W820">
            <v>0</v>
          </cell>
          <cell r="X820">
            <v>0</v>
          </cell>
          <cell r="Y820">
            <v>0</v>
          </cell>
        </row>
        <row r="821">
          <cell r="D821">
            <v>10580001</v>
          </cell>
          <cell r="E821" t="str">
            <v>Mahuli</v>
          </cell>
          <cell r="F821">
            <v>0</v>
          </cell>
          <cell r="G821" t="str">
            <v>MPG</v>
          </cell>
          <cell r="H821" t="str">
            <v>Indirect</v>
          </cell>
          <cell r="I821">
            <v>1001</v>
          </cell>
          <cell r="J821" t="str">
            <v>Majhaul</v>
          </cell>
          <cell r="K821" t="str">
            <v>New</v>
          </cell>
          <cell r="L821">
            <v>45946</v>
          </cell>
          <cell r="M821">
            <v>600.5</v>
          </cell>
          <cell r="N821">
            <v>26157.46</v>
          </cell>
          <cell r="O821">
            <v>450.375</v>
          </cell>
          <cell r="P821">
            <v>570.47500000000002</v>
          </cell>
          <cell r="Q821">
            <v>995.04289760000006</v>
          </cell>
          <cell r="R821">
            <v>784.72379999999998</v>
          </cell>
          <cell r="S821">
            <v>214.24879999999996</v>
          </cell>
          <cell r="T821">
            <v>60.050000000000004</v>
          </cell>
          <cell r="U821">
            <v>0</v>
          </cell>
          <cell r="V821">
            <v>1956</v>
          </cell>
          <cell r="W821">
            <v>0</v>
          </cell>
          <cell r="X821">
            <v>0</v>
          </cell>
          <cell r="Y821">
            <v>0</v>
          </cell>
        </row>
        <row r="822">
          <cell r="D822">
            <v>10080005</v>
          </cell>
          <cell r="E822" t="str">
            <v>Briyarpur</v>
          </cell>
          <cell r="F822">
            <v>0</v>
          </cell>
          <cell r="G822" t="str">
            <v>vlc</v>
          </cell>
          <cell r="H822" t="str">
            <v>Indirect</v>
          </cell>
          <cell r="I822">
            <v>1008</v>
          </cell>
          <cell r="J822" t="str">
            <v>Teghra</v>
          </cell>
          <cell r="K822" t="str">
            <v>Old</v>
          </cell>
          <cell r="L822">
            <v>43150</v>
          </cell>
          <cell r="M822">
            <v>14</v>
          </cell>
          <cell r="N822">
            <v>532.28</v>
          </cell>
          <cell r="O822">
            <v>10.5</v>
          </cell>
          <cell r="P822">
            <v>13.299999999999999</v>
          </cell>
          <cell r="Q822">
            <v>0</v>
          </cell>
          <cell r="R822">
            <v>15.968399999999999</v>
          </cell>
          <cell r="S822">
            <v>2.6684000000000001</v>
          </cell>
          <cell r="T822">
            <v>1.4000000000000001</v>
          </cell>
          <cell r="U822">
            <v>22.634399999999914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</row>
        <row r="823">
          <cell r="D823">
            <v>10090059</v>
          </cell>
          <cell r="E823" t="str">
            <v>CHOTAHA</v>
          </cell>
          <cell r="F823">
            <v>0</v>
          </cell>
          <cell r="G823" t="str">
            <v>MPG</v>
          </cell>
          <cell r="H823" t="str">
            <v>Direct</v>
          </cell>
          <cell r="I823">
            <v>1009</v>
          </cell>
          <cell r="J823" t="str">
            <v>Halsi</v>
          </cell>
          <cell r="K823" t="str">
            <v>Old</v>
          </cell>
          <cell r="L823">
            <v>45686</v>
          </cell>
          <cell r="M823">
            <v>179.49999999999997</v>
          </cell>
          <cell r="N823">
            <v>7243.76</v>
          </cell>
          <cell r="O823">
            <v>134.62499999999997</v>
          </cell>
          <cell r="P823">
            <v>170.52499999999998</v>
          </cell>
          <cell r="Q823">
            <v>0</v>
          </cell>
          <cell r="R823">
            <v>217.31280000000001</v>
          </cell>
          <cell r="S823">
            <v>46.787800000000033</v>
          </cell>
          <cell r="T823">
            <v>17.95</v>
          </cell>
          <cell r="U823">
            <v>287.51982642246617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D824">
            <v>10100044</v>
          </cell>
          <cell r="E824" t="str">
            <v>Gomukh Buddhnagar</v>
          </cell>
          <cell r="F824">
            <v>0</v>
          </cell>
          <cell r="G824" t="str">
            <v>MPG</v>
          </cell>
          <cell r="H824" t="str">
            <v>Direct</v>
          </cell>
          <cell r="I824">
            <v>1007</v>
          </cell>
          <cell r="J824" t="str">
            <v>Araria</v>
          </cell>
          <cell r="K824" t="str">
            <v>Old</v>
          </cell>
          <cell r="L824">
            <v>45471</v>
          </cell>
          <cell r="M824">
            <v>105.8</v>
          </cell>
          <cell r="N824">
            <v>3287.21</v>
          </cell>
          <cell r="O824">
            <v>79.349999999999994</v>
          </cell>
          <cell r="P824">
            <v>100.50999999999999</v>
          </cell>
          <cell r="Q824">
            <v>0</v>
          </cell>
          <cell r="R824">
            <v>98.616299999999995</v>
          </cell>
          <cell r="S824">
            <v>-1.8936999999999955</v>
          </cell>
          <cell r="T824">
            <v>10.58</v>
          </cell>
          <cell r="U824">
            <v>169.23632930056715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D825">
            <v>10140171</v>
          </cell>
          <cell r="E825" t="str">
            <v xml:space="preserve">Gomukh Mukhiyadera </v>
          </cell>
          <cell r="F825">
            <v>0</v>
          </cell>
          <cell r="G825" t="str">
            <v>MPG</v>
          </cell>
          <cell r="H825" t="str">
            <v>Direct</v>
          </cell>
          <cell r="I825">
            <v>1014</v>
          </cell>
          <cell r="J825" t="str">
            <v>Dumraon</v>
          </cell>
          <cell r="K825" t="str">
            <v>Old</v>
          </cell>
          <cell r="L825">
            <v>45777</v>
          </cell>
          <cell r="M825">
            <v>371.8</v>
          </cell>
          <cell r="N825">
            <v>14495.7</v>
          </cell>
          <cell r="O825">
            <v>278.85000000000002</v>
          </cell>
          <cell r="P825">
            <v>353.21</v>
          </cell>
          <cell r="Q825">
            <v>255.28</v>
          </cell>
          <cell r="R825">
            <v>434.87099999999998</v>
          </cell>
          <cell r="S825">
            <v>81.661000000000001</v>
          </cell>
          <cell r="T825">
            <v>37.18</v>
          </cell>
          <cell r="U825">
            <v>802.39143961431614</v>
          </cell>
          <cell r="V825">
            <v>48</v>
          </cell>
          <cell r="W825">
            <v>48</v>
          </cell>
          <cell r="X825">
            <v>0</v>
          </cell>
          <cell r="Y825">
            <v>0</v>
          </cell>
        </row>
        <row r="826">
          <cell r="D826">
            <v>10530091</v>
          </cell>
          <cell r="E826" t="str">
            <v>GOMUKH TOKE</v>
          </cell>
          <cell r="F826">
            <v>0</v>
          </cell>
          <cell r="G826" t="str">
            <v>MPG</v>
          </cell>
          <cell r="H826" t="str">
            <v>Direct</v>
          </cell>
          <cell r="I826">
            <v>1053</v>
          </cell>
          <cell r="J826" t="str">
            <v>Kalyanpur</v>
          </cell>
          <cell r="K826" t="str">
            <v>New</v>
          </cell>
          <cell r="L826">
            <v>45948</v>
          </cell>
          <cell r="M826">
            <v>645.25</v>
          </cell>
          <cell r="N826">
            <v>33493</v>
          </cell>
          <cell r="O826">
            <v>483.9375</v>
          </cell>
          <cell r="P826">
            <v>612.98749999999995</v>
          </cell>
          <cell r="Q826">
            <v>2380.9099999999994</v>
          </cell>
          <cell r="R826">
            <v>1004.79</v>
          </cell>
          <cell r="S826">
            <v>391.80250000000001</v>
          </cell>
          <cell r="T826">
            <v>64.525000000000006</v>
          </cell>
          <cell r="U826">
            <v>0</v>
          </cell>
          <cell r="V826">
            <v>3413</v>
          </cell>
          <cell r="W826">
            <v>0</v>
          </cell>
          <cell r="X826">
            <v>0</v>
          </cell>
          <cell r="Y826">
            <v>0</v>
          </cell>
        </row>
        <row r="827">
          <cell r="D827">
            <v>10010101</v>
          </cell>
          <cell r="E827" t="str">
            <v>Birpur-Amarjeet Yadav</v>
          </cell>
          <cell r="F827">
            <v>0</v>
          </cell>
          <cell r="G827" t="str">
            <v>vlc</v>
          </cell>
          <cell r="H827" t="str">
            <v>Indirect</v>
          </cell>
          <cell r="I827">
            <v>1001</v>
          </cell>
          <cell r="J827" t="str">
            <v>Majhaul</v>
          </cell>
          <cell r="K827" t="str">
            <v>Old</v>
          </cell>
          <cell r="L827">
            <v>45745</v>
          </cell>
          <cell r="M827">
            <v>190.8</v>
          </cell>
          <cell r="N827">
            <v>7948.68</v>
          </cell>
          <cell r="O827">
            <v>143.10000000000002</v>
          </cell>
          <cell r="P827">
            <v>181.26</v>
          </cell>
          <cell r="Q827">
            <v>0</v>
          </cell>
          <cell r="R827">
            <v>238.46039999999999</v>
          </cell>
          <cell r="S827">
            <v>57.200400000000002</v>
          </cell>
          <cell r="T827">
            <v>19.080000000000002</v>
          </cell>
          <cell r="U827">
            <v>305.26287798742129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</row>
        <row r="828">
          <cell r="D828">
            <v>10080012</v>
          </cell>
          <cell r="E828" t="str">
            <v>Gomukh ID Akashpur-2</v>
          </cell>
          <cell r="F828">
            <v>0</v>
          </cell>
          <cell r="G828" t="str">
            <v>vlc</v>
          </cell>
          <cell r="H828" t="str">
            <v>Indirect</v>
          </cell>
          <cell r="I828">
            <v>1008</v>
          </cell>
          <cell r="J828" t="str">
            <v>Teghra</v>
          </cell>
          <cell r="K828" t="str">
            <v>Old</v>
          </cell>
          <cell r="L828">
            <v>44257</v>
          </cell>
          <cell r="M828">
            <v>185.29999999999998</v>
          </cell>
          <cell r="N828">
            <v>7462.3</v>
          </cell>
          <cell r="O828">
            <v>138.97499999999999</v>
          </cell>
          <cell r="P828">
            <v>176.03499999999997</v>
          </cell>
          <cell r="Q828">
            <v>0</v>
          </cell>
          <cell r="R828">
            <v>223.869</v>
          </cell>
          <cell r="S828">
            <v>47.834000000000032</v>
          </cell>
          <cell r="T828">
            <v>18.529999999999998</v>
          </cell>
          <cell r="U828">
            <v>296.55432379924463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</row>
        <row r="829">
          <cell r="D829">
            <v>10120042</v>
          </cell>
          <cell r="E829" t="str">
            <v xml:space="preserve">Gomukh Musapur Purvi Tola                                                                           </v>
          </cell>
          <cell r="F829">
            <v>0</v>
          </cell>
          <cell r="G829" t="str">
            <v>MPG</v>
          </cell>
          <cell r="H829" t="str">
            <v>Direct</v>
          </cell>
          <cell r="I829">
            <v>1012</v>
          </cell>
          <cell r="J829" t="str">
            <v>DalsinghSarai</v>
          </cell>
          <cell r="K829" t="str">
            <v>Old</v>
          </cell>
          <cell r="L829">
            <v>45080</v>
          </cell>
          <cell r="M829">
            <v>5</v>
          </cell>
          <cell r="N829">
            <v>176.9</v>
          </cell>
          <cell r="O829">
            <v>3.75</v>
          </cell>
          <cell r="P829">
            <v>4.75</v>
          </cell>
          <cell r="Q829">
            <v>0</v>
          </cell>
          <cell r="R829">
            <v>5.3070000000000004</v>
          </cell>
          <cell r="S829">
            <v>0.55700000000000038</v>
          </cell>
          <cell r="T829">
            <v>0.5</v>
          </cell>
          <cell r="U829">
            <v>7.7820000000000391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</row>
        <row r="830">
          <cell r="D830">
            <v>826</v>
          </cell>
          <cell r="E830" t="str">
            <v>TOTAL</v>
          </cell>
          <cell r="F830"/>
          <cell r="G830"/>
          <cell r="H830"/>
          <cell r="I830"/>
          <cell r="J830"/>
          <cell r="K830"/>
          <cell r="L830"/>
          <cell r="M830">
            <v>2027424.2300000009</v>
          </cell>
          <cell r="N830">
            <v>82259805.51000002</v>
          </cell>
          <cell r="O830">
            <v>1520568.1724999987</v>
          </cell>
          <cell r="P830">
            <v>1926053.0184999988</v>
          </cell>
          <cell r="Q830">
            <v>451904.67239213112</v>
          </cell>
          <cell r="R830">
            <v>2467794.1652999977</v>
          </cell>
          <cell r="S830">
            <v>541741.1468000008</v>
          </cell>
          <cell r="T830">
            <v>202742.42299999984</v>
          </cell>
          <cell r="U830">
            <v>490089.50978885608</v>
          </cell>
          <cell r="V830">
            <v>3205695</v>
          </cell>
          <cell r="W830">
            <v>555553.83306305343</v>
          </cell>
          <cell r="X830">
            <v>85220.086801196288</v>
          </cell>
          <cell r="Y830">
            <v>10245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DF"/>
      <sheetName val="Shayak Income "/>
      <sheetName val="Sheet1"/>
      <sheetName val="Sheet2"/>
      <sheetName val="MPG Payment "/>
      <sheetName val="Monthly Deduction"/>
      <sheetName val="Hold DP Pending"/>
    </sheetNames>
    <sheetDataSet>
      <sheetData sheetId="0"/>
      <sheetData sheetId="1">
        <row r="15">
          <cell r="D15">
            <v>10010076</v>
          </cell>
          <cell r="E15" t="str">
            <v>Gomukh Bhith-02</v>
          </cell>
          <cell r="F15">
            <v>0</v>
          </cell>
          <cell r="G15" t="str">
            <v>MPG</v>
          </cell>
          <cell r="H15" t="str">
            <v>Direct</v>
          </cell>
          <cell r="I15">
            <v>1001</v>
          </cell>
          <cell r="J15" t="str">
            <v>Majhaul</v>
          </cell>
          <cell r="K15" t="str">
            <v>Old</v>
          </cell>
          <cell r="L15">
            <v>45471</v>
          </cell>
          <cell r="M15">
            <v>2167.5000000000005</v>
          </cell>
          <cell r="N15">
            <v>95000.590000000011</v>
          </cell>
          <cell r="O15">
            <v>1625.6250000000005</v>
          </cell>
          <cell r="P15">
            <v>2059.1250000000005</v>
          </cell>
          <cell r="Q15">
            <v>0</v>
          </cell>
          <cell r="R15">
            <v>2850.0177000000003</v>
          </cell>
          <cell r="S15">
            <v>790.89269999999988</v>
          </cell>
          <cell r="T15">
            <v>216.75000000000006</v>
          </cell>
          <cell r="U15">
            <v>872.34618665944822</v>
          </cell>
          <cell r="V15">
            <v>2596</v>
          </cell>
          <cell r="W15">
            <v>1900.0118000000002</v>
          </cell>
          <cell r="X15">
            <v>0</v>
          </cell>
          <cell r="Y15">
            <v>696</v>
          </cell>
        </row>
        <row r="16">
          <cell r="D16">
            <v>10010082</v>
          </cell>
          <cell r="E16" t="str">
            <v>Gomukh Sharmatola Sahuri</v>
          </cell>
          <cell r="F16">
            <v>0</v>
          </cell>
          <cell r="G16" t="str">
            <v>MPG</v>
          </cell>
          <cell r="H16" t="str">
            <v>Direct</v>
          </cell>
          <cell r="I16">
            <v>1001</v>
          </cell>
          <cell r="J16" t="str">
            <v>Majhaul</v>
          </cell>
          <cell r="K16" t="str">
            <v>Old</v>
          </cell>
          <cell r="L16">
            <v>45568</v>
          </cell>
          <cell r="M16">
            <v>4643.3999999999996</v>
          </cell>
          <cell r="N16">
            <v>174443.96000000002</v>
          </cell>
          <cell r="O16">
            <v>3482.5499999999997</v>
          </cell>
          <cell r="P16">
            <v>4411.2299999999996</v>
          </cell>
          <cell r="Q16">
            <v>0</v>
          </cell>
          <cell r="R16">
            <v>5233.3188</v>
          </cell>
          <cell r="S16">
            <v>822.08880000000045</v>
          </cell>
          <cell r="T16">
            <v>464.34</v>
          </cell>
          <cell r="U16">
            <v>0</v>
          </cell>
          <cell r="V16">
            <v>7429</v>
          </cell>
          <cell r="W16">
            <v>3488.8792000000003</v>
          </cell>
          <cell r="X16">
            <v>0</v>
          </cell>
          <cell r="Y16">
            <v>0</v>
          </cell>
        </row>
        <row r="17">
          <cell r="D17">
            <v>10010084</v>
          </cell>
          <cell r="E17" t="str">
            <v>Sangat- Sanjeev Kumar</v>
          </cell>
          <cell r="F17">
            <v>0</v>
          </cell>
          <cell r="G17" t="str">
            <v>vlc</v>
          </cell>
          <cell r="H17" t="str">
            <v>Indirect</v>
          </cell>
          <cell r="I17">
            <v>1001</v>
          </cell>
          <cell r="J17" t="str">
            <v>Majhaul</v>
          </cell>
          <cell r="K17" t="str">
            <v>Old</v>
          </cell>
          <cell r="L17">
            <v>45567</v>
          </cell>
          <cell r="M17">
            <v>1229</v>
          </cell>
          <cell r="N17">
            <v>43785.51</v>
          </cell>
          <cell r="O17">
            <v>921.75</v>
          </cell>
          <cell r="P17">
            <v>1167.55</v>
          </cell>
          <cell r="Q17">
            <v>0</v>
          </cell>
          <cell r="R17">
            <v>1313.5653</v>
          </cell>
          <cell r="S17">
            <v>146.01530000000002</v>
          </cell>
          <cell r="T17">
            <v>122.9</v>
          </cell>
          <cell r="U17">
            <v>1252.1011072016281</v>
          </cell>
          <cell r="V17">
            <v>714</v>
          </cell>
          <cell r="W17">
            <v>0</v>
          </cell>
          <cell r="X17">
            <v>0</v>
          </cell>
          <cell r="Y17">
            <v>0</v>
          </cell>
        </row>
        <row r="18">
          <cell r="D18">
            <v>10010086</v>
          </cell>
          <cell r="E18" t="str">
            <v>Gomukh Garhi Bisanpur</v>
          </cell>
          <cell r="F18">
            <v>0</v>
          </cell>
          <cell r="G18" t="str">
            <v>MPG</v>
          </cell>
          <cell r="H18" t="str">
            <v>Direct</v>
          </cell>
          <cell r="I18">
            <v>1058</v>
          </cell>
          <cell r="J18" t="str">
            <v>Hasanpur</v>
          </cell>
          <cell r="K18" t="str">
            <v>Old</v>
          </cell>
          <cell r="L18">
            <v>45631</v>
          </cell>
          <cell r="M18">
            <v>538.69999999999993</v>
          </cell>
          <cell r="N18">
            <v>23364.26</v>
          </cell>
          <cell r="O18">
            <v>404.02499999999998</v>
          </cell>
          <cell r="P18">
            <v>511.76499999999993</v>
          </cell>
          <cell r="Q18">
            <v>415.00569381046301</v>
          </cell>
          <cell r="R18">
            <v>700.92779999999993</v>
          </cell>
          <cell r="S18">
            <v>189.1628</v>
          </cell>
          <cell r="T18">
            <v>53.87</v>
          </cell>
          <cell r="U18">
            <v>1277.2661181450835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D19">
            <v>10010087</v>
          </cell>
          <cell r="E19" t="str">
            <v>Bagaraha-Gopal Yadav</v>
          </cell>
          <cell r="F19">
            <v>0</v>
          </cell>
          <cell r="G19" t="str">
            <v>vlc</v>
          </cell>
          <cell r="H19" t="str">
            <v>Indirect</v>
          </cell>
          <cell r="I19">
            <v>1058</v>
          </cell>
          <cell r="J19" t="str">
            <v>Hasanpur</v>
          </cell>
          <cell r="K19" t="str">
            <v>Old</v>
          </cell>
          <cell r="L19">
            <v>45597</v>
          </cell>
          <cell r="M19">
            <v>307.7</v>
          </cell>
          <cell r="N19">
            <v>9900.39</v>
          </cell>
          <cell r="O19">
            <v>230.77499999999998</v>
          </cell>
          <cell r="P19">
            <v>292.315</v>
          </cell>
          <cell r="Q19">
            <v>0</v>
          </cell>
          <cell r="R19">
            <v>297.01169999999996</v>
          </cell>
          <cell r="S19">
            <v>4.6966999999999643</v>
          </cell>
          <cell r="T19">
            <v>30.77</v>
          </cell>
          <cell r="U19">
            <v>492.069407197391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10010089</v>
          </cell>
          <cell r="E20" t="str">
            <v>Gomukh Barkurwa</v>
          </cell>
          <cell r="F20">
            <v>0</v>
          </cell>
          <cell r="G20" t="str">
            <v>MPG</v>
          </cell>
          <cell r="H20" t="str">
            <v>Direct</v>
          </cell>
          <cell r="I20">
            <v>1058</v>
          </cell>
          <cell r="J20" t="str">
            <v>Hasanpur</v>
          </cell>
          <cell r="K20" t="str">
            <v>Old</v>
          </cell>
          <cell r="L20">
            <v>45627</v>
          </cell>
          <cell r="M20">
            <v>1591.9</v>
          </cell>
          <cell r="N20">
            <v>62011.26</v>
          </cell>
          <cell r="O20">
            <v>1193.9250000000002</v>
          </cell>
          <cell r="P20">
            <v>1512.3050000000001</v>
          </cell>
          <cell r="Q20">
            <v>1223.0547632016003</v>
          </cell>
          <cell r="R20">
            <v>1860.3378</v>
          </cell>
          <cell r="S20">
            <v>348.03279999999995</v>
          </cell>
          <cell r="T20">
            <v>159.19000000000003</v>
          </cell>
          <cell r="U20">
            <v>1093.014663934232</v>
          </cell>
          <cell r="V20">
            <v>2677</v>
          </cell>
          <cell r="W20">
            <v>1861</v>
          </cell>
          <cell r="X20">
            <v>0</v>
          </cell>
          <cell r="Y20">
            <v>0</v>
          </cell>
        </row>
        <row r="21">
          <cell r="D21">
            <v>10010092</v>
          </cell>
          <cell r="E21" t="str">
            <v>Kamla- Amarjeet</v>
          </cell>
          <cell r="F21">
            <v>0</v>
          </cell>
          <cell r="G21" t="str">
            <v>vlc</v>
          </cell>
          <cell r="H21" t="str">
            <v>Indirect</v>
          </cell>
          <cell r="I21">
            <v>1001</v>
          </cell>
          <cell r="J21" t="str">
            <v>Majhaul</v>
          </cell>
          <cell r="K21" t="str">
            <v>Old</v>
          </cell>
          <cell r="L21">
            <v>45689</v>
          </cell>
          <cell r="M21">
            <v>3102.8999999999992</v>
          </cell>
          <cell r="N21">
            <v>90841.680000000022</v>
          </cell>
          <cell r="O21">
            <v>2327.1749999999993</v>
          </cell>
          <cell r="P21">
            <v>2947.7549999999992</v>
          </cell>
          <cell r="Q21">
            <v>0</v>
          </cell>
          <cell r="R21">
            <v>2725.2504000000004</v>
          </cell>
          <cell r="S21">
            <v>-222.50459999999885</v>
          </cell>
          <cell r="T21">
            <v>310.28999999999996</v>
          </cell>
          <cell r="U21">
            <v>658.27544726580641</v>
          </cell>
          <cell r="V21">
            <v>4306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10010095</v>
          </cell>
          <cell r="E22" t="str">
            <v>Gomukh Goha-02</v>
          </cell>
          <cell r="F22">
            <v>0</v>
          </cell>
          <cell r="G22" t="str">
            <v>MPG</v>
          </cell>
          <cell r="H22" t="str">
            <v>Direct</v>
          </cell>
          <cell r="I22">
            <v>1058</v>
          </cell>
          <cell r="J22" t="str">
            <v>Hasanpur</v>
          </cell>
          <cell r="K22" t="str">
            <v>Old</v>
          </cell>
          <cell r="L22">
            <v>45700</v>
          </cell>
          <cell r="M22">
            <v>1762.5</v>
          </cell>
          <cell r="N22">
            <v>70489.42</v>
          </cell>
          <cell r="O22">
            <v>1321.875</v>
          </cell>
          <cell r="P22">
            <v>1674.375</v>
          </cell>
          <cell r="Q22">
            <v>500.71693320000003</v>
          </cell>
          <cell r="R22">
            <v>2114.6826000000001</v>
          </cell>
          <cell r="S22">
            <v>440.30760000000009</v>
          </cell>
          <cell r="T22">
            <v>176.25</v>
          </cell>
          <cell r="U22">
            <v>988.27034969588226</v>
          </cell>
          <cell r="V22">
            <v>2332</v>
          </cell>
          <cell r="W22">
            <v>861</v>
          </cell>
          <cell r="X22">
            <v>0</v>
          </cell>
          <cell r="Y22">
            <v>0</v>
          </cell>
        </row>
        <row r="23">
          <cell r="D23">
            <v>10010097</v>
          </cell>
          <cell r="E23" t="str">
            <v>Gomukh Cheria Bariarpur</v>
          </cell>
          <cell r="F23">
            <v>0</v>
          </cell>
          <cell r="G23" t="str">
            <v>MPG</v>
          </cell>
          <cell r="H23" t="str">
            <v>Direct</v>
          </cell>
          <cell r="I23">
            <v>1001</v>
          </cell>
          <cell r="J23" t="str">
            <v>Majhaul</v>
          </cell>
          <cell r="K23" t="str">
            <v>Old</v>
          </cell>
          <cell r="L23">
            <v>45708</v>
          </cell>
          <cell r="M23">
            <v>5121.8</v>
          </cell>
          <cell r="N23">
            <v>192999.51</v>
          </cell>
          <cell r="O23">
            <v>3841.3500000000004</v>
          </cell>
          <cell r="P23">
            <v>4865.71</v>
          </cell>
          <cell r="Q23">
            <v>417.95749713960004</v>
          </cell>
          <cell r="R23">
            <v>5789.9853000000003</v>
          </cell>
          <cell r="S23">
            <v>924.27530000000024</v>
          </cell>
          <cell r="T23">
            <v>512.18000000000006</v>
          </cell>
          <cell r="U23">
            <v>0</v>
          </cell>
          <cell r="V23">
            <v>8613</v>
          </cell>
          <cell r="W23">
            <v>3859.9902000000002</v>
          </cell>
          <cell r="X23">
            <v>0</v>
          </cell>
          <cell r="Y23">
            <v>0</v>
          </cell>
        </row>
        <row r="24">
          <cell r="D24">
            <v>10010098</v>
          </cell>
          <cell r="E24" t="str">
            <v>Gomukh Rahul Nagar</v>
          </cell>
          <cell r="F24">
            <v>0</v>
          </cell>
          <cell r="G24" t="str">
            <v>MPG</v>
          </cell>
          <cell r="H24" t="str">
            <v>Direct</v>
          </cell>
          <cell r="I24">
            <v>1058</v>
          </cell>
          <cell r="J24" t="str">
            <v>Hasanpur</v>
          </cell>
          <cell r="K24" t="str">
            <v>Old</v>
          </cell>
          <cell r="L24">
            <v>45700</v>
          </cell>
          <cell r="M24">
            <v>1574.9</v>
          </cell>
          <cell r="N24">
            <v>64213.57</v>
          </cell>
          <cell r="O24">
            <v>1181.1750000000002</v>
          </cell>
          <cell r="P24">
            <v>1496.155</v>
          </cell>
          <cell r="Q24">
            <v>1490.4571156563402</v>
          </cell>
          <cell r="R24">
            <v>1926.4070999999999</v>
          </cell>
          <cell r="S24">
            <v>430.25209999999993</v>
          </cell>
          <cell r="T24">
            <v>157.49</v>
          </cell>
          <cell r="U24">
            <v>1165.6453589089183</v>
          </cell>
          <cell r="V24">
            <v>2845</v>
          </cell>
          <cell r="W24">
            <v>1861</v>
          </cell>
          <cell r="X24">
            <v>0</v>
          </cell>
          <cell r="Y24">
            <v>0</v>
          </cell>
        </row>
        <row r="25">
          <cell r="D25">
            <v>10010099</v>
          </cell>
          <cell r="E25" t="str">
            <v>Gomukh Bagraha-01</v>
          </cell>
          <cell r="F25">
            <v>0</v>
          </cell>
          <cell r="G25" t="str">
            <v>MPG</v>
          </cell>
          <cell r="H25" t="str">
            <v>Direct</v>
          </cell>
          <cell r="I25">
            <v>1058</v>
          </cell>
          <cell r="J25" t="str">
            <v>Hasanpur</v>
          </cell>
          <cell r="K25" t="str">
            <v>Old</v>
          </cell>
          <cell r="L25">
            <v>45736</v>
          </cell>
          <cell r="M25">
            <v>567.20000000000005</v>
          </cell>
          <cell r="N25">
            <v>23205.689999999995</v>
          </cell>
          <cell r="O25">
            <v>425.40000000000003</v>
          </cell>
          <cell r="P25">
            <v>538.84</v>
          </cell>
          <cell r="Q25">
            <v>0</v>
          </cell>
          <cell r="R25">
            <v>696.17069999999978</v>
          </cell>
          <cell r="S25">
            <v>157.33069999999975</v>
          </cell>
          <cell r="T25">
            <v>56.720000000000006</v>
          </cell>
          <cell r="U25">
            <v>907.15838158542738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10010103</v>
          </cell>
          <cell r="E26" t="str">
            <v>Gomukh Shobhaipura</v>
          </cell>
          <cell r="F26">
            <v>0</v>
          </cell>
          <cell r="G26" t="str">
            <v>MPG</v>
          </cell>
          <cell r="H26" t="str">
            <v>Direct</v>
          </cell>
          <cell r="I26">
            <v>1058</v>
          </cell>
          <cell r="J26" t="str">
            <v>Hasanpur</v>
          </cell>
          <cell r="K26" t="str">
            <v>Old</v>
          </cell>
          <cell r="L26">
            <v>45737</v>
          </cell>
          <cell r="M26">
            <v>445.09999999999997</v>
          </cell>
          <cell r="N26">
            <v>16423.97</v>
          </cell>
          <cell r="O26">
            <v>333.82499999999999</v>
          </cell>
          <cell r="P26">
            <v>422.84499999999997</v>
          </cell>
          <cell r="Q26">
            <v>35.284597920000003</v>
          </cell>
          <cell r="R26">
            <v>492.71910000000003</v>
          </cell>
          <cell r="S26">
            <v>69.874100000000055</v>
          </cell>
          <cell r="T26">
            <v>44.51</v>
          </cell>
          <cell r="U26">
            <v>747.90857979929342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10010108</v>
          </cell>
          <cell r="E27" t="str">
            <v>Gomukh Pirauna</v>
          </cell>
          <cell r="F27">
            <v>0</v>
          </cell>
          <cell r="G27" t="str">
            <v>MPG</v>
          </cell>
          <cell r="H27" t="str">
            <v>Direct</v>
          </cell>
          <cell r="I27">
            <v>1001</v>
          </cell>
          <cell r="J27" t="str">
            <v>Majhaul</v>
          </cell>
          <cell r="K27" t="str">
            <v>Old</v>
          </cell>
          <cell r="L27">
            <v>45777</v>
          </cell>
          <cell r="M27">
            <v>686.2</v>
          </cell>
          <cell r="N27">
            <v>24826.98</v>
          </cell>
          <cell r="O27">
            <v>514.65000000000009</v>
          </cell>
          <cell r="P27">
            <v>651.89</v>
          </cell>
          <cell r="Q27">
            <v>248.43020580315002</v>
          </cell>
          <cell r="R27">
            <v>744.80939999999998</v>
          </cell>
          <cell r="S27">
            <v>92.919399999999996</v>
          </cell>
          <cell r="T27">
            <v>68.62</v>
          </cell>
          <cell r="U27">
            <v>1346.283737690268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>
            <v>10010109</v>
          </cell>
          <cell r="E28" t="str">
            <v>Parra- Nagendra Kumar</v>
          </cell>
          <cell r="F28">
            <v>0</v>
          </cell>
          <cell r="G28" t="str">
            <v>vlc</v>
          </cell>
          <cell r="H28" t="str">
            <v>Indirect</v>
          </cell>
          <cell r="I28">
            <v>1001</v>
          </cell>
          <cell r="J28" t="str">
            <v>Majhaul</v>
          </cell>
          <cell r="K28" t="str">
            <v>Old</v>
          </cell>
          <cell r="L28">
            <v>45777</v>
          </cell>
          <cell r="M28">
            <v>1135</v>
          </cell>
          <cell r="N28">
            <v>38759.319999999992</v>
          </cell>
          <cell r="O28">
            <v>851.25</v>
          </cell>
          <cell r="P28">
            <v>1078.25</v>
          </cell>
          <cell r="Q28">
            <v>0</v>
          </cell>
          <cell r="R28">
            <v>1162.7795999999996</v>
          </cell>
          <cell r="S28">
            <v>84.529599999999618</v>
          </cell>
          <cell r="T28">
            <v>113.5</v>
          </cell>
          <cell r="U28">
            <v>1272.4982716881559</v>
          </cell>
          <cell r="V28">
            <v>544</v>
          </cell>
          <cell r="W28">
            <v>0</v>
          </cell>
          <cell r="X28">
            <v>0</v>
          </cell>
          <cell r="Y28">
            <v>0</v>
          </cell>
        </row>
        <row r="29">
          <cell r="D29">
            <v>10010113</v>
          </cell>
          <cell r="E29" t="str">
            <v>Gomukh Basahi</v>
          </cell>
          <cell r="F29">
            <v>0</v>
          </cell>
          <cell r="G29" t="str">
            <v>MPG</v>
          </cell>
          <cell r="H29" t="str">
            <v>Direct</v>
          </cell>
          <cell r="I29">
            <v>1001</v>
          </cell>
          <cell r="J29" t="str">
            <v>Majhaul</v>
          </cell>
          <cell r="K29" t="str">
            <v>Old</v>
          </cell>
          <cell r="L29">
            <v>45810</v>
          </cell>
          <cell r="M29">
            <v>2384.6999999999998</v>
          </cell>
          <cell r="N29">
            <v>98408.15</v>
          </cell>
          <cell r="O29">
            <v>1788.5249999999999</v>
          </cell>
          <cell r="P29">
            <v>2265.4649999999997</v>
          </cell>
          <cell r="Q29">
            <v>689.61885509100011</v>
          </cell>
          <cell r="R29">
            <v>2952.2444999999998</v>
          </cell>
          <cell r="S29">
            <v>686.7795000000001</v>
          </cell>
          <cell r="T29">
            <v>238.47</v>
          </cell>
          <cell r="U29">
            <v>511.6182627579376</v>
          </cell>
          <cell r="V29">
            <v>3994</v>
          </cell>
          <cell r="W29">
            <v>1968.163</v>
          </cell>
          <cell r="X29">
            <v>0</v>
          </cell>
          <cell r="Y29">
            <v>0</v>
          </cell>
        </row>
        <row r="30">
          <cell r="D30">
            <v>10010116</v>
          </cell>
          <cell r="E30" t="str">
            <v>Mohanpur- Mukesh Kumar</v>
          </cell>
          <cell r="F30">
            <v>0</v>
          </cell>
          <cell r="G30" t="str">
            <v>vlc</v>
          </cell>
          <cell r="H30" t="str">
            <v>Indirect</v>
          </cell>
          <cell r="I30">
            <v>1001</v>
          </cell>
          <cell r="J30" t="str">
            <v>Majhaul</v>
          </cell>
          <cell r="K30" t="str">
            <v>Old</v>
          </cell>
          <cell r="L30">
            <v>45840</v>
          </cell>
          <cell r="M30">
            <v>3886.5</v>
          </cell>
          <cell r="N30">
            <v>147867.35</v>
          </cell>
          <cell r="O30">
            <v>2914.875</v>
          </cell>
          <cell r="P30">
            <v>3692.1749999999997</v>
          </cell>
          <cell r="Q30">
            <v>0</v>
          </cell>
          <cell r="R30">
            <v>4436.0204999999996</v>
          </cell>
          <cell r="S30">
            <v>743.8454999999999</v>
          </cell>
          <cell r="T30">
            <v>388.65000000000003</v>
          </cell>
          <cell r="U30">
            <v>305.84137603779959</v>
          </cell>
          <cell r="V30">
            <v>5913</v>
          </cell>
          <cell r="W30">
            <v>0</v>
          </cell>
          <cell r="X30">
            <v>0</v>
          </cell>
          <cell r="Y30">
            <v>0</v>
          </cell>
        </row>
        <row r="31">
          <cell r="D31">
            <v>10010121</v>
          </cell>
          <cell r="E31" t="str">
            <v>Gomukh Sawantpur</v>
          </cell>
          <cell r="F31">
            <v>0</v>
          </cell>
          <cell r="G31" t="str">
            <v>MPG</v>
          </cell>
          <cell r="H31" t="str">
            <v>Direct</v>
          </cell>
          <cell r="I31">
            <v>1001</v>
          </cell>
          <cell r="J31" t="str">
            <v>Majhaul</v>
          </cell>
          <cell r="K31" t="str">
            <v>Old</v>
          </cell>
          <cell r="L31">
            <v>45842</v>
          </cell>
          <cell r="M31">
            <v>4204.2000000000007</v>
          </cell>
          <cell r="N31">
            <v>162587.57</v>
          </cell>
          <cell r="O31">
            <v>3153.1500000000005</v>
          </cell>
          <cell r="P31">
            <v>3993.9900000000007</v>
          </cell>
          <cell r="Q31">
            <v>977.5770620418001</v>
          </cell>
          <cell r="R31">
            <v>4877.6270999999997</v>
          </cell>
          <cell r="S31">
            <v>883.63709999999901</v>
          </cell>
          <cell r="T31">
            <v>420.42000000000007</v>
          </cell>
          <cell r="U31">
            <v>180.54756648879405</v>
          </cell>
          <cell r="V31">
            <v>7524</v>
          </cell>
          <cell r="W31">
            <v>3251.7514000000001</v>
          </cell>
          <cell r="X31">
            <v>0</v>
          </cell>
          <cell r="Y31">
            <v>0</v>
          </cell>
        </row>
        <row r="32">
          <cell r="D32">
            <v>10010125</v>
          </cell>
          <cell r="E32" t="str">
            <v>Maida- Ram Kumar</v>
          </cell>
          <cell r="F32">
            <v>0</v>
          </cell>
          <cell r="G32" t="str">
            <v>vlc</v>
          </cell>
          <cell r="H32" t="str">
            <v>Indirect</v>
          </cell>
          <cell r="I32">
            <v>1001</v>
          </cell>
          <cell r="J32" t="str">
            <v>Majhaul</v>
          </cell>
          <cell r="K32" t="str">
            <v>Old</v>
          </cell>
          <cell r="L32">
            <v>45869</v>
          </cell>
          <cell r="M32">
            <v>1779.6999999999998</v>
          </cell>
          <cell r="N32">
            <v>76237.489999999991</v>
          </cell>
          <cell r="O32">
            <v>1334.7749999999999</v>
          </cell>
          <cell r="P32">
            <v>1690.7149999999997</v>
          </cell>
          <cell r="Q32">
            <v>0</v>
          </cell>
          <cell r="R32">
            <v>2287.1246999999998</v>
          </cell>
          <cell r="S32">
            <v>596.40970000000016</v>
          </cell>
          <cell r="T32">
            <v>177.97</v>
          </cell>
          <cell r="U32">
            <v>688.75074715996629</v>
          </cell>
          <cell r="V32">
            <v>2159</v>
          </cell>
          <cell r="W32">
            <v>0</v>
          </cell>
          <cell r="X32">
            <v>0</v>
          </cell>
          <cell r="Y32">
            <v>0</v>
          </cell>
        </row>
        <row r="33">
          <cell r="D33">
            <v>10010128</v>
          </cell>
          <cell r="E33" t="str">
            <v>Gomukh Aure Bikrampur</v>
          </cell>
          <cell r="F33">
            <v>0</v>
          </cell>
          <cell r="G33" t="str">
            <v>MPG</v>
          </cell>
          <cell r="H33" t="str">
            <v>Direct</v>
          </cell>
          <cell r="I33">
            <v>1001</v>
          </cell>
          <cell r="J33" t="str">
            <v>Majhaul</v>
          </cell>
          <cell r="K33" t="str">
            <v>Old</v>
          </cell>
          <cell r="L33">
            <v>45869</v>
          </cell>
          <cell r="M33">
            <v>5352.2999999999993</v>
          </cell>
          <cell r="N33">
            <v>219885.97</v>
          </cell>
          <cell r="O33">
            <v>4014.2249999999995</v>
          </cell>
          <cell r="P33">
            <v>5084.6849999999995</v>
          </cell>
          <cell r="Q33">
            <v>321.81421694400001</v>
          </cell>
          <cell r="R33">
            <v>6596.5790999999999</v>
          </cell>
          <cell r="S33">
            <v>1511.8941000000004</v>
          </cell>
          <cell r="T33">
            <v>535.2299999999999</v>
          </cell>
          <cell r="U33">
            <v>0</v>
          </cell>
          <cell r="V33">
            <v>8885</v>
          </cell>
          <cell r="W33">
            <v>4397.7194</v>
          </cell>
          <cell r="X33">
            <v>0</v>
          </cell>
          <cell r="Y33">
            <v>0</v>
          </cell>
        </row>
        <row r="34">
          <cell r="D34">
            <v>10010129</v>
          </cell>
          <cell r="E34" t="str">
            <v>Manjhaul- Gulshan Kumar</v>
          </cell>
          <cell r="F34">
            <v>0</v>
          </cell>
          <cell r="G34" t="str">
            <v>vlc</v>
          </cell>
          <cell r="H34" t="str">
            <v>Indirect</v>
          </cell>
          <cell r="I34">
            <v>1001</v>
          </cell>
          <cell r="J34" t="str">
            <v>Majhaul</v>
          </cell>
          <cell r="K34" t="str">
            <v>Old</v>
          </cell>
          <cell r="L34">
            <v>45869</v>
          </cell>
          <cell r="M34">
            <v>3641.6</v>
          </cell>
          <cell r="N34">
            <v>139009.85</v>
          </cell>
          <cell r="O34">
            <v>2731.2</v>
          </cell>
          <cell r="P34">
            <v>3459.5199999999995</v>
          </cell>
          <cell r="Q34">
            <v>0</v>
          </cell>
          <cell r="R34">
            <v>4170.2955000000002</v>
          </cell>
          <cell r="S34">
            <v>710.77550000000065</v>
          </cell>
          <cell r="T34">
            <v>364.16</v>
          </cell>
          <cell r="U34">
            <v>0</v>
          </cell>
          <cell r="V34">
            <v>5827</v>
          </cell>
          <cell r="W34">
            <v>0</v>
          </cell>
          <cell r="X34">
            <v>0</v>
          </cell>
          <cell r="Y34">
            <v>0</v>
          </cell>
        </row>
        <row r="35">
          <cell r="D35">
            <v>10010130</v>
          </cell>
          <cell r="E35" t="str">
            <v>Khaira Manjhaul</v>
          </cell>
          <cell r="F35">
            <v>0</v>
          </cell>
          <cell r="G35" t="str">
            <v>vlc</v>
          </cell>
          <cell r="H35" t="str">
            <v>Indirect</v>
          </cell>
          <cell r="I35">
            <v>1001</v>
          </cell>
          <cell r="J35" t="str">
            <v>Majhaul</v>
          </cell>
          <cell r="K35" t="str">
            <v>Old</v>
          </cell>
          <cell r="L35">
            <v>45870</v>
          </cell>
          <cell r="M35">
            <v>3046.7999999999997</v>
          </cell>
          <cell r="N35">
            <v>113714.89</v>
          </cell>
          <cell r="O35">
            <v>2285.1</v>
          </cell>
          <cell r="P35">
            <v>2894.4599999999996</v>
          </cell>
          <cell r="Q35">
            <v>0</v>
          </cell>
          <cell r="R35">
            <v>3411.4467</v>
          </cell>
          <cell r="S35">
            <v>516.98670000000038</v>
          </cell>
          <cell r="T35">
            <v>304.68</v>
          </cell>
          <cell r="U35">
            <v>146.55811811219712</v>
          </cell>
          <cell r="V35">
            <v>4728</v>
          </cell>
          <cell r="W35">
            <v>0</v>
          </cell>
          <cell r="X35">
            <v>0</v>
          </cell>
          <cell r="Y35">
            <v>0</v>
          </cell>
        </row>
        <row r="36">
          <cell r="D36">
            <v>10010131</v>
          </cell>
          <cell r="E36" t="str">
            <v>Mehda Shahpur</v>
          </cell>
          <cell r="F36">
            <v>0</v>
          </cell>
          <cell r="G36" t="str">
            <v>vlc</v>
          </cell>
          <cell r="H36" t="str">
            <v>Indirect</v>
          </cell>
          <cell r="I36">
            <v>1001</v>
          </cell>
          <cell r="J36" t="str">
            <v>Majhaul</v>
          </cell>
          <cell r="K36" t="str">
            <v>Old</v>
          </cell>
          <cell r="L36">
            <v>45870</v>
          </cell>
          <cell r="M36">
            <v>2097.1</v>
          </cell>
          <cell r="N36">
            <v>82007.08</v>
          </cell>
          <cell r="O36">
            <v>1572.8249999999998</v>
          </cell>
          <cell r="P36">
            <v>1992.2449999999999</v>
          </cell>
          <cell r="Q36">
            <v>0</v>
          </cell>
          <cell r="R36">
            <v>2460.2123999999999</v>
          </cell>
          <cell r="S36">
            <v>467.9674</v>
          </cell>
          <cell r="T36">
            <v>209.71</v>
          </cell>
          <cell r="U36">
            <v>775.24199362183435</v>
          </cell>
          <cell r="V36">
            <v>2580</v>
          </cell>
          <cell r="W36">
            <v>0</v>
          </cell>
          <cell r="X36">
            <v>0</v>
          </cell>
          <cell r="Y36">
            <v>0</v>
          </cell>
        </row>
        <row r="37">
          <cell r="D37">
            <v>10020002</v>
          </cell>
          <cell r="E37" t="str">
            <v>PIPARIYA DIH -2</v>
          </cell>
          <cell r="F37">
            <v>0</v>
          </cell>
          <cell r="G37" t="str">
            <v>MPG</v>
          </cell>
          <cell r="H37" t="str">
            <v>Direct</v>
          </cell>
          <cell r="I37">
            <v>1002</v>
          </cell>
          <cell r="J37" t="str">
            <v>Laldiyara</v>
          </cell>
          <cell r="K37" t="str">
            <v>Old</v>
          </cell>
          <cell r="L37">
            <v>42979</v>
          </cell>
          <cell r="M37">
            <v>10147.1</v>
          </cell>
          <cell r="N37">
            <v>457201.74</v>
          </cell>
          <cell r="O37">
            <v>7610.3250000000007</v>
          </cell>
          <cell r="P37">
            <v>9639.7450000000008</v>
          </cell>
          <cell r="Q37">
            <v>4294.1742607994001</v>
          </cell>
          <cell r="R37">
            <v>13716.0522</v>
          </cell>
          <cell r="S37">
            <v>4076.3071999999993</v>
          </cell>
          <cell r="T37">
            <v>1014.71</v>
          </cell>
          <cell r="U37">
            <v>0</v>
          </cell>
          <cell r="V37">
            <v>20530</v>
          </cell>
          <cell r="W37">
            <v>0</v>
          </cell>
          <cell r="X37">
            <v>0</v>
          </cell>
          <cell r="Y37">
            <v>0</v>
          </cell>
        </row>
        <row r="38">
          <cell r="D38">
            <v>10020004</v>
          </cell>
          <cell r="E38" t="str">
            <v>LAL DIYARA -1</v>
          </cell>
          <cell r="F38">
            <v>0</v>
          </cell>
          <cell r="G38" t="str">
            <v>MPG</v>
          </cell>
          <cell r="H38" t="str">
            <v>Direct</v>
          </cell>
          <cell r="I38">
            <v>1002</v>
          </cell>
          <cell r="J38" t="str">
            <v>Laldiyara</v>
          </cell>
          <cell r="K38" t="str">
            <v>Old</v>
          </cell>
          <cell r="L38">
            <v>42979</v>
          </cell>
          <cell r="M38">
            <v>2214.1</v>
          </cell>
          <cell r="N38">
            <v>84302.87</v>
          </cell>
          <cell r="O38">
            <v>1660.5749999999998</v>
          </cell>
          <cell r="P38">
            <v>2103.395</v>
          </cell>
          <cell r="Q38">
            <v>0</v>
          </cell>
          <cell r="R38">
            <v>2529.0861</v>
          </cell>
          <cell r="S38">
            <v>425.69110000000001</v>
          </cell>
          <cell r="T38">
            <v>221.41</v>
          </cell>
          <cell r="U38">
            <v>594.36700928080961</v>
          </cell>
          <cell r="V38">
            <v>2948</v>
          </cell>
          <cell r="W38">
            <v>0</v>
          </cell>
          <cell r="X38">
            <v>0</v>
          </cell>
          <cell r="Y38">
            <v>0</v>
          </cell>
        </row>
        <row r="39">
          <cell r="D39">
            <v>10020006</v>
          </cell>
          <cell r="E39" t="str">
            <v>GANGA KINARE KHUTHA</v>
          </cell>
          <cell r="F39">
            <v>0</v>
          </cell>
          <cell r="G39" t="str">
            <v>vlc</v>
          </cell>
          <cell r="H39" t="str">
            <v>Indirect</v>
          </cell>
          <cell r="I39">
            <v>1002</v>
          </cell>
          <cell r="J39" t="str">
            <v>Laldiyara</v>
          </cell>
          <cell r="K39" t="str">
            <v>Old</v>
          </cell>
          <cell r="L39">
            <v>42979</v>
          </cell>
          <cell r="M39">
            <v>693</v>
          </cell>
          <cell r="N39">
            <v>26809.129999999997</v>
          </cell>
          <cell r="O39">
            <v>519.75</v>
          </cell>
          <cell r="P39">
            <v>658.35</v>
          </cell>
          <cell r="Q39">
            <v>0</v>
          </cell>
          <cell r="R39">
            <v>804.27389999999991</v>
          </cell>
          <cell r="S39">
            <v>145.92389999999989</v>
          </cell>
          <cell r="T39">
            <v>69.3</v>
          </cell>
          <cell r="U39">
            <v>1108.7888808413945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D40">
            <v>10020007</v>
          </cell>
          <cell r="E40" t="str">
            <v>Gomukh ID Khutaha Ganga</v>
          </cell>
          <cell r="F40">
            <v>0</v>
          </cell>
          <cell r="G40" t="str">
            <v>vlc</v>
          </cell>
          <cell r="H40" t="str">
            <v>Indirect</v>
          </cell>
          <cell r="I40">
            <v>1002</v>
          </cell>
          <cell r="J40" t="str">
            <v>Laldiyara</v>
          </cell>
          <cell r="K40" t="str">
            <v>Old</v>
          </cell>
          <cell r="L40">
            <v>42979</v>
          </cell>
          <cell r="M40">
            <v>1224.3999999999999</v>
          </cell>
          <cell r="N40">
            <v>49799.18</v>
          </cell>
          <cell r="O40">
            <v>918.3</v>
          </cell>
          <cell r="P40">
            <v>1163.1799999999998</v>
          </cell>
          <cell r="Q40">
            <v>0</v>
          </cell>
          <cell r="R40">
            <v>1493.9754</v>
          </cell>
          <cell r="S40">
            <v>330.7954000000002</v>
          </cell>
          <cell r="T40">
            <v>122.44</v>
          </cell>
          <cell r="U40">
            <v>373.72203255838974</v>
          </cell>
          <cell r="V40">
            <v>1585</v>
          </cell>
          <cell r="W40">
            <v>0</v>
          </cell>
          <cell r="X40">
            <v>0</v>
          </cell>
          <cell r="Y40">
            <v>0</v>
          </cell>
        </row>
        <row r="41">
          <cell r="D41">
            <v>10020008</v>
          </cell>
          <cell r="E41" t="str">
            <v>Gomukh ID Khutaha Dhih</v>
          </cell>
          <cell r="F41">
            <v>0</v>
          </cell>
          <cell r="G41" t="str">
            <v>vlc</v>
          </cell>
          <cell r="H41" t="str">
            <v>Indirect</v>
          </cell>
          <cell r="I41">
            <v>1002</v>
          </cell>
          <cell r="J41" t="str">
            <v>Laldiyara</v>
          </cell>
          <cell r="K41" t="str">
            <v>Old</v>
          </cell>
          <cell r="L41">
            <v>44161</v>
          </cell>
          <cell r="M41">
            <v>5965.8</v>
          </cell>
          <cell r="N41">
            <v>245352.18</v>
          </cell>
          <cell r="O41">
            <v>4474.3500000000004</v>
          </cell>
          <cell r="P41">
            <v>5667.51</v>
          </cell>
          <cell r="Q41">
            <v>0</v>
          </cell>
          <cell r="R41">
            <v>7360.5653999999995</v>
          </cell>
          <cell r="S41">
            <v>1693.0553999999993</v>
          </cell>
          <cell r="T41">
            <v>596.58000000000004</v>
          </cell>
          <cell r="U41">
            <v>411.25811033825636</v>
          </cell>
          <cell r="V41">
            <v>9134</v>
          </cell>
          <cell r="W41">
            <v>0</v>
          </cell>
          <cell r="X41">
            <v>0</v>
          </cell>
          <cell r="Y41">
            <v>0</v>
          </cell>
        </row>
        <row r="42">
          <cell r="D42">
            <v>10020012</v>
          </cell>
          <cell r="E42" t="str">
            <v>KANHAIYA YADAV</v>
          </cell>
          <cell r="F42">
            <v>0</v>
          </cell>
          <cell r="G42" t="str">
            <v>vlc</v>
          </cell>
          <cell r="H42" t="str">
            <v>Indirect</v>
          </cell>
          <cell r="I42">
            <v>1002</v>
          </cell>
          <cell r="J42" t="str">
            <v>Laldiyara</v>
          </cell>
          <cell r="K42" t="str">
            <v>Old</v>
          </cell>
          <cell r="L42">
            <v>44435</v>
          </cell>
          <cell r="M42">
            <v>551.70000000000005</v>
          </cell>
          <cell r="N42">
            <v>23492.620000000003</v>
          </cell>
          <cell r="O42">
            <v>413.77500000000003</v>
          </cell>
          <cell r="P42">
            <v>524.11500000000001</v>
          </cell>
          <cell r="Q42">
            <v>0</v>
          </cell>
          <cell r="R42">
            <v>704.7786000000001</v>
          </cell>
          <cell r="S42">
            <v>180.66360000000009</v>
          </cell>
          <cell r="T42">
            <v>55.170000000000009</v>
          </cell>
          <cell r="U42">
            <v>722.77251853936286</v>
          </cell>
          <cell r="V42">
            <v>160</v>
          </cell>
          <cell r="W42">
            <v>0</v>
          </cell>
          <cell r="X42">
            <v>0</v>
          </cell>
          <cell r="Y42">
            <v>0</v>
          </cell>
        </row>
        <row r="43">
          <cell r="D43">
            <v>10020015</v>
          </cell>
          <cell r="E43" t="str">
            <v xml:space="preserve">GOMUKH  LALDIYARA TIRASHI                                                                           </v>
          </cell>
          <cell r="F43">
            <v>0</v>
          </cell>
          <cell r="G43" t="str">
            <v>vlc</v>
          </cell>
          <cell r="H43" t="str">
            <v>Indirect</v>
          </cell>
          <cell r="I43">
            <v>1002</v>
          </cell>
          <cell r="J43" t="str">
            <v>Laldiyara</v>
          </cell>
          <cell r="K43" t="str">
            <v>Old</v>
          </cell>
          <cell r="L43">
            <v>44652</v>
          </cell>
          <cell r="M43">
            <v>88821.1</v>
          </cell>
          <cell r="N43">
            <v>3319284.19</v>
          </cell>
          <cell r="O43">
            <v>66615.825000000012</v>
          </cell>
          <cell r="P43">
            <v>84380.044999999998</v>
          </cell>
          <cell r="Q43">
            <v>0</v>
          </cell>
          <cell r="R43">
            <v>99578.525699999998</v>
          </cell>
          <cell r="S43">
            <v>15198.4807</v>
          </cell>
          <cell r="T43">
            <v>8882.11</v>
          </cell>
          <cell r="U43">
            <v>0</v>
          </cell>
          <cell r="V43">
            <v>142114</v>
          </cell>
          <cell r="W43">
            <v>0</v>
          </cell>
          <cell r="X43">
            <v>0</v>
          </cell>
          <cell r="Y43">
            <v>0</v>
          </cell>
        </row>
        <row r="44">
          <cell r="D44">
            <v>10020016</v>
          </cell>
          <cell r="E44" t="str">
            <v>GOMUKH  LALDIYARA PURBI</v>
          </cell>
          <cell r="F44">
            <v>0</v>
          </cell>
          <cell r="G44" t="str">
            <v>vlc</v>
          </cell>
          <cell r="H44" t="str">
            <v>Indirect</v>
          </cell>
          <cell r="I44">
            <v>1002</v>
          </cell>
          <cell r="J44" t="str">
            <v>Laldiyara</v>
          </cell>
          <cell r="K44" t="str">
            <v>Old</v>
          </cell>
          <cell r="L44">
            <v>44652</v>
          </cell>
          <cell r="M44">
            <v>90837.299999999988</v>
          </cell>
          <cell r="N44">
            <v>3387978.51</v>
          </cell>
          <cell r="O44">
            <v>68127.974999999991</v>
          </cell>
          <cell r="P44">
            <v>86295.434999999983</v>
          </cell>
          <cell r="Q44">
            <v>0</v>
          </cell>
          <cell r="R44">
            <v>101639.3553</v>
          </cell>
          <cell r="S44">
            <v>15343.920300000013</v>
          </cell>
          <cell r="T44">
            <v>9083.73</v>
          </cell>
          <cell r="U44">
            <v>0</v>
          </cell>
          <cell r="V44">
            <v>145340</v>
          </cell>
          <cell r="W44">
            <v>0</v>
          </cell>
          <cell r="X44">
            <v>0</v>
          </cell>
          <cell r="Y44">
            <v>0</v>
          </cell>
        </row>
        <row r="45">
          <cell r="D45">
            <v>10020017</v>
          </cell>
          <cell r="E45" t="str">
            <v>GOMUKH RAMCHANDARPUR II</v>
          </cell>
          <cell r="F45">
            <v>0</v>
          </cell>
          <cell r="G45" t="str">
            <v>MPG</v>
          </cell>
          <cell r="H45" t="str">
            <v>Direct</v>
          </cell>
          <cell r="I45">
            <v>1002</v>
          </cell>
          <cell r="J45" t="str">
            <v>Laldiyara</v>
          </cell>
          <cell r="K45" t="str">
            <v>Old</v>
          </cell>
          <cell r="L45">
            <v>44652</v>
          </cell>
          <cell r="M45">
            <v>17672.899999999998</v>
          </cell>
          <cell r="N45">
            <v>751160.67</v>
          </cell>
          <cell r="O45">
            <v>13254.674999999999</v>
          </cell>
          <cell r="P45">
            <v>16789.254999999997</v>
          </cell>
          <cell r="Q45">
            <v>6029.332574760002</v>
          </cell>
          <cell r="R45">
            <v>22534.820100000001</v>
          </cell>
          <cell r="S45">
            <v>5745.5651000000034</v>
          </cell>
          <cell r="T45">
            <v>1767.29</v>
          </cell>
          <cell r="U45">
            <v>0</v>
          </cell>
          <cell r="V45">
            <v>34306</v>
          </cell>
          <cell r="W45">
            <v>0</v>
          </cell>
          <cell r="X45">
            <v>0</v>
          </cell>
          <cell r="Y45">
            <v>2700</v>
          </cell>
        </row>
        <row r="46">
          <cell r="D46">
            <v>10020021</v>
          </cell>
          <cell r="E46" t="str">
            <v>MOHANPUR</v>
          </cell>
          <cell r="F46">
            <v>0</v>
          </cell>
          <cell r="G46" t="str">
            <v>MPG</v>
          </cell>
          <cell r="H46" t="str">
            <v>Direct</v>
          </cell>
          <cell r="I46">
            <v>1002</v>
          </cell>
          <cell r="J46" t="str">
            <v>Laldiyara</v>
          </cell>
          <cell r="K46" t="str">
            <v>Old</v>
          </cell>
          <cell r="L46">
            <v>44694</v>
          </cell>
          <cell r="M46">
            <v>13977.799999999997</v>
          </cell>
          <cell r="N46">
            <v>624342.38</v>
          </cell>
          <cell r="O46">
            <v>10483.349999999999</v>
          </cell>
          <cell r="P46">
            <v>13278.909999999996</v>
          </cell>
          <cell r="Q46">
            <v>4506.7279910400011</v>
          </cell>
          <cell r="R46">
            <v>18730.271399999998</v>
          </cell>
          <cell r="S46">
            <v>5451.3614000000016</v>
          </cell>
          <cell r="T46">
            <v>1397.7799999999997</v>
          </cell>
          <cell r="U46">
            <v>389.94376103755741</v>
          </cell>
          <cell r="V46">
            <v>26481</v>
          </cell>
          <cell r="W46">
            <v>0</v>
          </cell>
          <cell r="X46">
            <v>0</v>
          </cell>
          <cell r="Y46">
            <v>0</v>
          </cell>
        </row>
        <row r="47">
          <cell r="D47">
            <v>10020023</v>
          </cell>
          <cell r="E47" t="str">
            <v>Juwas</v>
          </cell>
          <cell r="F47">
            <v>0</v>
          </cell>
          <cell r="G47" t="str">
            <v>MPG</v>
          </cell>
          <cell r="H47" t="str">
            <v>Direct</v>
          </cell>
          <cell r="I47">
            <v>1002</v>
          </cell>
          <cell r="J47" t="str">
            <v>Laldiyara</v>
          </cell>
          <cell r="K47" t="str">
            <v>Old</v>
          </cell>
          <cell r="L47">
            <v>44779</v>
          </cell>
          <cell r="M47">
            <v>3795.3000000000006</v>
          </cell>
          <cell r="N47">
            <v>143119.15999999997</v>
          </cell>
          <cell r="O47">
            <v>2846.4750000000004</v>
          </cell>
          <cell r="P47">
            <v>3605.5350000000003</v>
          </cell>
          <cell r="Q47">
            <v>1428.0451959526004</v>
          </cell>
          <cell r="R47">
            <v>4293.5747999999994</v>
          </cell>
          <cell r="S47">
            <v>688.0397999999991</v>
          </cell>
          <cell r="T47">
            <v>379.53000000000009</v>
          </cell>
          <cell r="U47">
            <v>0</v>
          </cell>
          <cell r="V47">
            <v>7501</v>
          </cell>
          <cell r="W47">
            <v>0</v>
          </cell>
          <cell r="X47">
            <v>0</v>
          </cell>
          <cell r="Y47">
            <v>0</v>
          </cell>
        </row>
        <row r="48">
          <cell r="D48">
            <v>10020024</v>
          </cell>
          <cell r="E48" t="str">
            <v>Morwariya</v>
          </cell>
          <cell r="F48">
            <v>0</v>
          </cell>
          <cell r="G48" t="str">
            <v>MPG</v>
          </cell>
          <cell r="H48" t="str">
            <v>Direct</v>
          </cell>
          <cell r="I48">
            <v>1002</v>
          </cell>
          <cell r="J48" t="str">
            <v>Laldiyara</v>
          </cell>
          <cell r="K48" t="str">
            <v>Old</v>
          </cell>
          <cell r="L48">
            <v>44801</v>
          </cell>
          <cell r="M48">
            <v>14879.5</v>
          </cell>
          <cell r="N48">
            <v>614070.90999999992</v>
          </cell>
          <cell r="O48">
            <v>11159.625</v>
          </cell>
          <cell r="P48">
            <v>14135.525</v>
          </cell>
          <cell r="Q48">
            <v>0</v>
          </cell>
          <cell r="R48">
            <v>18422.127299999996</v>
          </cell>
          <cell r="S48">
            <v>4286.6022999999968</v>
          </cell>
          <cell r="T48">
            <v>1487.95</v>
          </cell>
          <cell r="U48">
            <v>0</v>
          </cell>
          <cell r="V48">
            <v>23807</v>
          </cell>
          <cell r="W48">
            <v>0</v>
          </cell>
          <cell r="X48">
            <v>0</v>
          </cell>
          <cell r="Y48">
            <v>0</v>
          </cell>
        </row>
        <row r="49">
          <cell r="D49">
            <v>10020025</v>
          </cell>
          <cell r="E49" t="str">
            <v>Dumri 2</v>
          </cell>
          <cell r="F49">
            <v>0</v>
          </cell>
          <cell r="G49" t="str">
            <v>MPG</v>
          </cell>
          <cell r="H49" t="str">
            <v>Direct</v>
          </cell>
          <cell r="I49">
            <v>1002</v>
          </cell>
          <cell r="J49" t="str">
            <v>Laldiyara</v>
          </cell>
          <cell r="K49" t="str">
            <v>Old</v>
          </cell>
          <cell r="L49">
            <v>44866</v>
          </cell>
          <cell r="M49">
            <v>4744.4000000000005</v>
          </cell>
          <cell r="N49">
            <v>182292.75</v>
          </cell>
          <cell r="O49">
            <v>3558.3</v>
          </cell>
          <cell r="P49">
            <v>4507.18</v>
          </cell>
          <cell r="Q49">
            <v>1333.5428661192</v>
          </cell>
          <cell r="R49">
            <v>5468.7824999999993</v>
          </cell>
          <cell r="S49">
            <v>961.60249999999905</v>
          </cell>
          <cell r="T49">
            <v>474.44000000000005</v>
          </cell>
          <cell r="U49">
            <v>0</v>
          </cell>
          <cell r="V49">
            <v>8925</v>
          </cell>
          <cell r="W49">
            <v>0</v>
          </cell>
          <cell r="X49">
            <v>0</v>
          </cell>
          <cell r="Y49">
            <v>0</v>
          </cell>
        </row>
        <row r="50">
          <cell r="D50">
            <v>10020026</v>
          </cell>
          <cell r="E50" t="str">
            <v>Gomukh Jhakhaur</v>
          </cell>
          <cell r="F50">
            <v>0</v>
          </cell>
          <cell r="G50" t="str">
            <v>MPG</v>
          </cell>
          <cell r="H50" t="str">
            <v>Direct</v>
          </cell>
          <cell r="I50">
            <v>1002</v>
          </cell>
          <cell r="J50" t="str">
            <v>Laldiyara</v>
          </cell>
          <cell r="K50" t="str">
            <v>Old</v>
          </cell>
          <cell r="L50">
            <v>44866</v>
          </cell>
          <cell r="M50">
            <v>3125.6</v>
          </cell>
          <cell r="N50">
            <v>126253.9</v>
          </cell>
          <cell r="O50">
            <v>2344.1999999999998</v>
          </cell>
          <cell r="P50">
            <v>2969.3199999999997</v>
          </cell>
          <cell r="Q50">
            <v>314.64731697300004</v>
          </cell>
          <cell r="R50">
            <v>3787.6169999999997</v>
          </cell>
          <cell r="S50">
            <v>818.29700000000003</v>
          </cell>
          <cell r="T50">
            <v>312.56</v>
          </cell>
          <cell r="U50">
            <v>72.47949519136408</v>
          </cell>
          <cell r="V50">
            <v>5243</v>
          </cell>
          <cell r="W50">
            <v>0</v>
          </cell>
          <cell r="X50">
            <v>0</v>
          </cell>
          <cell r="Y50">
            <v>0</v>
          </cell>
        </row>
        <row r="51">
          <cell r="D51">
            <v>10020029</v>
          </cell>
          <cell r="E51" t="str">
            <v>Gomukh Virupur</v>
          </cell>
          <cell r="F51">
            <v>0</v>
          </cell>
          <cell r="G51" t="str">
            <v>MPG</v>
          </cell>
          <cell r="H51" t="str">
            <v>Direct</v>
          </cell>
          <cell r="I51">
            <v>1002</v>
          </cell>
          <cell r="J51" t="str">
            <v>Laldiyara</v>
          </cell>
          <cell r="K51" t="str">
            <v>Old</v>
          </cell>
          <cell r="L51">
            <v>44899</v>
          </cell>
          <cell r="M51">
            <v>1265.8</v>
          </cell>
          <cell r="N51">
            <v>50281.549999999996</v>
          </cell>
          <cell r="O51">
            <v>949.34999999999991</v>
          </cell>
          <cell r="P51">
            <v>1202.51</v>
          </cell>
          <cell r="Q51">
            <v>326.01881980799999</v>
          </cell>
          <cell r="R51">
            <v>1508.4464999999998</v>
          </cell>
          <cell r="S51">
            <v>305.9364999999998</v>
          </cell>
          <cell r="T51">
            <v>126.58</v>
          </cell>
          <cell r="U51">
            <v>1376.9817764032318</v>
          </cell>
          <cell r="V51">
            <v>974</v>
          </cell>
          <cell r="W51">
            <v>0</v>
          </cell>
          <cell r="X51">
            <v>0</v>
          </cell>
          <cell r="Y51">
            <v>0</v>
          </cell>
        </row>
        <row r="52">
          <cell r="D52">
            <v>10020032</v>
          </cell>
          <cell r="E52" t="str">
            <v xml:space="preserve">Gomukh Diyarapipariya                                                                               </v>
          </cell>
          <cell r="F52">
            <v>0</v>
          </cell>
          <cell r="G52" t="str">
            <v>MPG</v>
          </cell>
          <cell r="H52" t="str">
            <v>Direct</v>
          </cell>
          <cell r="I52">
            <v>1002</v>
          </cell>
          <cell r="J52" t="str">
            <v>Laldiyara</v>
          </cell>
          <cell r="K52" t="str">
            <v>Old</v>
          </cell>
          <cell r="L52">
            <v>44911</v>
          </cell>
          <cell r="M52">
            <v>4671.8999999999987</v>
          </cell>
          <cell r="N52">
            <v>198873.75</v>
          </cell>
          <cell r="O52">
            <v>3503.9249999999993</v>
          </cell>
          <cell r="P52">
            <v>4438.3049999999985</v>
          </cell>
          <cell r="Q52">
            <v>2176.296170108586</v>
          </cell>
          <cell r="R52">
            <v>5966.2124999999996</v>
          </cell>
          <cell r="S52">
            <v>1527.9075000000012</v>
          </cell>
          <cell r="T52">
            <v>467.18999999999988</v>
          </cell>
          <cell r="U52">
            <v>0</v>
          </cell>
          <cell r="V52">
            <v>9651</v>
          </cell>
          <cell r="W52">
            <v>0</v>
          </cell>
          <cell r="X52">
            <v>0</v>
          </cell>
          <cell r="Y52">
            <v>0</v>
          </cell>
        </row>
        <row r="53">
          <cell r="D53">
            <v>10020034</v>
          </cell>
          <cell r="E53" t="str">
            <v>TAJPUR</v>
          </cell>
          <cell r="F53">
            <v>0</v>
          </cell>
          <cell r="G53" t="str">
            <v>MPG</v>
          </cell>
          <cell r="H53" t="str">
            <v>Direct</v>
          </cell>
          <cell r="I53">
            <v>1002</v>
          </cell>
          <cell r="J53" t="str">
            <v>Laldiyara</v>
          </cell>
          <cell r="K53" t="str">
            <v>Old</v>
          </cell>
          <cell r="L53">
            <v>44944</v>
          </cell>
          <cell r="M53">
            <v>4262.1000000000004</v>
          </cell>
          <cell r="N53">
            <v>178207.94</v>
          </cell>
          <cell r="O53">
            <v>3196.5750000000003</v>
          </cell>
          <cell r="P53">
            <v>4048.9950000000003</v>
          </cell>
          <cell r="Q53">
            <v>1900.3924585800003</v>
          </cell>
          <cell r="R53">
            <v>5346.2381999999998</v>
          </cell>
          <cell r="S53">
            <v>1297.2431999999994</v>
          </cell>
          <cell r="T53">
            <v>426.21000000000004</v>
          </cell>
          <cell r="U53">
            <v>0</v>
          </cell>
          <cell r="V53">
            <v>8720</v>
          </cell>
          <cell r="W53">
            <v>0</v>
          </cell>
          <cell r="X53">
            <v>0</v>
          </cell>
          <cell r="Y53">
            <v>0</v>
          </cell>
        </row>
        <row r="54">
          <cell r="D54">
            <v>10020035</v>
          </cell>
          <cell r="E54" t="str">
            <v>PATHUA</v>
          </cell>
          <cell r="F54">
            <v>0</v>
          </cell>
          <cell r="G54" t="str">
            <v>MPG</v>
          </cell>
          <cell r="H54" t="str">
            <v>Direct</v>
          </cell>
          <cell r="I54">
            <v>1002</v>
          </cell>
          <cell r="J54" t="str">
            <v>Laldiyara</v>
          </cell>
          <cell r="K54" t="str">
            <v>Old</v>
          </cell>
          <cell r="L54">
            <v>44950</v>
          </cell>
          <cell r="M54">
            <v>3159.3</v>
          </cell>
          <cell r="N54">
            <v>137487.07999999999</v>
          </cell>
          <cell r="O54">
            <v>2369.4750000000004</v>
          </cell>
          <cell r="P54">
            <v>3001.335</v>
          </cell>
          <cell r="Q54">
            <v>4089.9207100950002</v>
          </cell>
          <cell r="R54">
            <v>4124.6123999999991</v>
          </cell>
          <cell r="S54">
            <v>1123.277399999999</v>
          </cell>
          <cell r="T54">
            <v>315.93000000000006</v>
          </cell>
          <cell r="U54">
            <v>833.66029407219401</v>
          </cell>
          <cell r="V54">
            <v>8311</v>
          </cell>
          <cell r="W54">
            <v>0</v>
          </cell>
          <cell r="X54">
            <v>0</v>
          </cell>
          <cell r="Y54">
            <v>0</v>
          </cell>
        </row>
        <row r="55">
          <cell r="D55">
            <v>10020038</v>
          </cell>
          <cell r="E55" t="str">
            <v>LODIYA</v>
          </cell>
          <cell r="F55">
            <v>0</v>
          </cell>
          <cell r="G55" t="str">
            <v>MPG</v>
          </cell>
          <cell r="H55" t="str">
            <v>Direct</v>
          </cell>
          <cell r="I55">
            <v>1002</v>
          </cell>
          <cell r="J55" t="str">
            <v>Laldiyara</v>
          </cell>
          <cell r="K55" t="str">
            <v>Old</v>
          </cell>
          <cell r="L55">
            <v>44967</v>
          </cell>
          <cell r="M55">
            <v>1198.8</v>
          </cell>
          <cell r="N55">
            <v>49609.939999999995</v>
          </cell>
          <cell r="O55">
            <v>899.09999999999991</v>
          </cell>
          <cell r="P55">
            <v>1138.8599999999999</v>
          </cell>
          <cell r="Q55">
            <v>699.36419628504007</v>
          </cell>
          <cell r="R55">
            <v>1488.2981999999997</v>
          </cell>
          <cell r="S55">
            <v>349.43819999999982</v>
          </cell>
          <cell r="T55">
            <v>119.88</v>
          </cell>
          <cell r="U55">
            <v>1495.7963700833175</v>
          </cell>
          <cell r="V55">
            <v>1122</v>
          </cell>
          <cell r="W55">
            <v>861</v>
          </cell>
          <cell r="X55">
            <v>0</v>
          </cell>
          <cell r="Y55">
            <v>0</v>
          </cell>
        </row>
        <row r="56">
          <cell r="D56">
            <v>10020041</v>
          </cell>
          <cell r="E56" t="str">
            <v>ADARSH LAXMIPUR-3</v>
          </cell>
          <cell r="F56">
            <v>0</v>
          </cell>
          <cell r="G56" t="str">
            <v>MPG</v>
          </cell>
          <cell r="H56" t="str">
            <v>Direct</v>
          </cell>
          <cell r="I56">
            <v>1002</v>
          </cell>
          <cell r="J56" t="str">
            <v>Laldiyara</v>
          </cell>
          <cell r="K56" t="str">
            <v>Old</v>
          </cell>
          <cell r="L56">
            <v>44986</v>
          </cell>
          <cell r="M56">
            <v>979.99999999999989</v>
          </cell>
          <cell r="N56">
            <v>42637.97</v>
          </cell>
          <cell r="O56">
            <v>734.99999999999989</v>
          </cell>
          <cell r="P56">
            <v>930.99999999999989</v>
          </cell>
          <cell r="Q56">
            <v>95.871775032000016</v>
          </cell>
          <cell r="R56">
            <v>1279.1391000000001</v>
          </cell>
          <cell r="S56">
            <v>348.13910000000021</v>
          </cell>
          <cell r="T56">
            <v>98</v>
          </cell>
          <cell r="U56">
            <v>1663.974673927155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>
            <v>10020042</v>
          </cell>
          <cell r="E57" t="str">
            <v>BHANPUR</v>
          </cell>
          <cell r="F57">
            <v>0</v>
          </cell>
          <cell r="G57" t="str">
            <v>MPG</v>
          </cell>
          <cell r="H57" t="str">
            <v>Direct</v>
          </cell>
          <cell r="I57">
            <v>1002</v>
          </cell>
          <cell r="J57" t="str">
            <v>Laldiyara</v>
          </cell>
          <cell r="K57" t="str">
            <v>Old</v>
          </cell>
          <cell r="L57">
            <v>45009</v>
          </cell>
          <cell r="M57">
            <v>1806.6</v>
          </cell>
          <cell r="N57">
            <v>67644.59</v>
          </cell>
          <cell r="O57">
            <v>1354.9499999999998</v>
          </cell>
          <cell r="P57">
            <v>1716.2699999999998</v>
          </cell>
          <cell r="Q57">
            <v>0</v>
          </cell>
          <cell r="R57">
            <v>2029.3376999999998</v>
          </cell>
          <cell r="S57">
            <v>313.06770000000006</v>
          </cell>
          <cell r="T57">
            <v>180.66</v>
          </cell>
          <cell r="U57">
            <v>893.1980012741036</v>
          </cell>
          <cell r="V57">
            <v>1997</v>
          </cell>
          <cell r="W57">
            <v>861</v>
          </cell>
          <cell r="X57">
            <v>0</v>
          </cell>
          <cell r="Y57">
            <v>0</v>
          </cell>
        </row>
        <row r="58">
          <cell r="D58">
            <v>10020043</v>
          </cell>
          <cell r="E58" t="str">
            <v>Karari Pipariya 2</v>
          </cell>
          <cell r="F58">
            <v>0</v>
          </cell>
          <cell r="G58" t="str">
            <v>MPG</v>
          </cell>
          <cell r="H58" t="str">
            <v>Direct</v>
          </cell>
          <cell r="I58">
            <v>1002</v>
          </cell>
          <cell r="J58" t="str">
            <v>Laldiyara</v>
          </cell>
          <cell r="K58" t="str">
            <v>Old</v>
          </cell>
          <cell r="L58">
            <v>45012</v>
          </cell>
          <cell r="M58">
            <v>3698</v>
          </cell>
          <cell r="N58">
            <v>161892.57999999999</v>
          </cell>
          <cell r="O58">
            <v>2773.5</v>
          </cell>
          <cell r="P58">
            <v>3513.1</v>
          </cell>
          <cell r="Q58">
            <v>1590.8924715602402</v>
          </cell>
          <cell r="R58">
            <v>4856.777399999999</v>
          </cell>
          <cell r="S58">
            <v>1343.6773999999991</v>
          </cell>
          <cell r="T58">
            <v>369.8</v>
          </cell>
          <cell r="U58">
            <v>421.82623533168032</v>
          </cell>
          <cell r="V58">
            <v>7086</v>
          </cell>
          <cell r="W58">
            <v>0</v>
          </cell>
          <cell r="X58">
            <v>0</v>
          </cell>
          <cell r="Y58">
            <v>0</v>
          </cell>
        </row>
        <row r="59">
          <cell r="D59">
            <v>10020044</v>
          </cell>
          <cell r="E59" t="str">
            <v xml:space="preserve">DIYARA PIPARIYA-THANA                                                                               </v>
          </cell>
          <cell r="F59">
            <v>0</v>
          </cell>
          <cell r="G59" t="str">
            <v>MPG</v>
          </cell>
          <cell r="H59" t="str">
            <v>Direct</v>
          </cell>
          <cell r="I59">
            <v>1002</v>
          </cell>
          <cell r="J59" t="str">
            <v>Laldiyara</v>
          </cell>
          <cell r="K59" t="str">
            <v>Old</v>
          </cell>
          <cell r="L59">
            <v>45064</v>
          </cell>
          <cell r="M59">
            <v>4993.8</v>
          </cell>
          <cell r="N59">
            <v>217808.89</v>
          </cell>
          <cell r="O59">
            <v>3745.3500000000004</v>
          </cell>
          <cell r="P59">
            <v>4744.1099999999997</v>
          </cell>
          <cell r="Q59">
            <v>1382.5874418560402</v>
          </cell>
          <cell r="R59">
            <v>6534.2667000000001</v>
          </cell>
          <cell r="S59">
            <v>1790.1567000000005</v>
          </cell>
          <cell r="T59">
            <v>499.38000000000005</v>
          </cell>
          <cell r="U59">
            <v>0</v>
          </cell>
          <cell r="V59">
            <v>9373</v>
          </cell>
          <cell r="W59">
            <v>0</v>
          </cell>
          <cell r="X59">
            <v>0</v>
          </cell>
          <cell r="Y59">
            <v>0</v>
          </cell>
        </row>
        <row r="60">
          <cell r="D60">
            <v>10020047</v>
          </cell>
          <cell r="E60" t="str">
            <v>SRI RAM SINGH(VLC)</v>
          </cell>
          <cell r="F60">
            <v>0</v>
          </cell>
          <cell r="G60" t="str">
            <v>vlc</v>
          </cell>
          <cell r="H60" t="str">
            <v>Indirect</v>
          </cell>
          <cell r="I60">
            <v>1002</v>
          </cell>
          <cell r="J60" t="str">
            <v>Laldiyara</v>
          </cell>
          <cell r="K60" t="str">
            <v>Old</v>
          </cell>
          <cell r="L60">
            <v>45156</v>
          </cell>
          <cell r="M60">
            <v>11757.5</v>
          </cell>
          <cell r="N60">
            <v>467742.14</v>
          </cell>
          <cell r="O60">
            <v>8818.125</v>
          </cell>
          <cell r="P60">
            <v>11169.625</v>
          </cell>
          <cell r="Q60">
            <v>0</v>
          </cell>
          <cell r="R60">
            <v>14032.2642</v>
          </cell>
          <cell r="S60">
            <v>2862.6391999999996</v>
          </cell>
          <cell r="T60">
            <v>1175.75</v>
          </cell>
          <cell r="U60">
            <v>0</v>
          </cell>
          <cell r="V60">
            <v>18812</v>
          </cell>
          <cell r="W60">
            <v>0</v>
          </cell>
          <cell r="X60">
            <v>0</v>
          </cell>
          <cell r="Y60">
            <v>0</v>
          </cell>
        </row>
        <row r="61">
          <cell r="D61">
            <v>10020050</v>
          </cell>
          <cell r="E61" t="str">
            <v>GADHTOLA</v>
          </cell>
          <cell r="F61">
            <v>0</v>
          </cell>
          <cell r="G61" t="str">
            <v>MPG</v>
          </cell>
          <cell r="H61" t="str">
            <v>Direct</v>
          </cell>
          <cell r="I61">
            <v>1002</v>
          </cell>
          <cell r="J61" t="str">
            <v>Laldiyara</v>
          </cell>
          <cell r="K61" t="str">
            <v>Old</v>
          </cell>
          <cell r="L61">
            <v>45168</v>
          </cell>
          <cell r="M61">
            <v>3171.9</v>
          </cell>
          <cell r="N61">
            <v>121004.47</v>
          </cell>
          <cell r="O61">
            <v>2378.9250000000002</v>
          </cell>
          <cell r="P61">
            <v>3013.3049999999998</v>
          </cell>
          <cell r="Q61">
            <v>521.00298300600014</v>
          </cell>
          <cell r="R61">
            <v>3630.1340999999998</v>
          </cell>
          <cell r="S61">
            <v>616.82909999999993</v>
          </cell>
          <cell r="T61">
            <v>317.19000000000005</v>
          </cell>
          <cell r="U61">
            <v>194.50424591825475</v>
          </cell>
          <cell r="V61">
            <v>5402</v>
          </cell>
          <cell r="W61">
            <v>0</v>
          </cell>
          <cell r="X61">
            <v>2028.4183463462759</v>
          </cell>
          <cell r="Y61">
            <v>0</v>
          </cell>
        </row>
        <row r="62">
          <cell r="D62">
            <v>10020051</v>
          </cell>
          <cell r="E62" t="str">
            <v>Golapaar - Ramnandan</v>
          </cell>
          <cell r="F62">
            <v>0</v>
          </cell>
          <cell r="G62" t="str">
            <v>vlc</v>
          </cell>
          <cell r="H62" t="str">
            <v>Indirect</v>
          </cell>
          <cell r="I62">
            <v>1002</v>
          </cell>
          <cell r="J62" t="str">
            <v>Laldiyara</v>
          </cell>
          <cell r="K62" t="str">
            <v>Old</v>
          </cell>
          <cell r="L62">
            <v>44544</v>
          </cell>
          <cell r="M62">
            <v>3683.8</v>
          </cell>
          <cell r="N62">
            <v>137849.29999999999</v>
          </cell>
          <cell r="O62">
            <v>2762.8500000000004</v>
          </cell>
          <cell r="P62">
            <v>3499.61</v>
          </cell>
          <cell r="Q62">
            <v>0</v>
          </cell>
          <cell r="R62">
            <v>4135.4789999999994</v>
          </cell>
          <cell r="S62">
            <v>635.86899999999923</v>
          </cell>
          <cell r="T62">
            <v>368.38000000000005</v>
          </cell>
          <cell r="U62">
            <v>0</v>
          </cell>
          <cell r="V62">
            <v>5894</v>
          </cell>
          <cell r="W62">
            <v>0</v>
          </cell>
          <cell r="X62">
            <v>0</v>
          </cell>
          <cell r="Y62">
            <v>0</v>
          </cell>
        </row>
        <row r="63">
          <cell r="D63">
            <v>10020054</v>
          </cell>
          <cell r="E63" t="str">
            <v>Diyara-Pipariya-Utri - Chandan</v>
          </cell>
          <cell r="F63">
            <v>0</v>
          </cell>
          <cell r="G63" t="str">
            <v>vlc</v>
          </cell>
          <cell r="H63" t="str">
            <v>Indirect</v>
          </cell>
          <cell r="I63">
            <v>1002</v>
          </cell>
          <cell r="J63" t="str">
            <v>Laldiyara</v>
          </cell>
          <cell r="K63" t="str">
            <v>Old</v>
          </cell>
          <cell r="L63">
            <v>44710</v>
          </cell>
          <cell r="M63">
            <v>4439.3</v>
          </cell>
          <cell r="N63">
            <v>176958.66999999998</v>
          </cell>
          <cell r="O63">
            <v>3329.4750000000004</v>
          </cell>
          <cell r="P63">
            <v>4217.335</v>
          </cell>
          <cell r="Q63">
            <v>0</v>
          </cell>
          <cell r="R63">
            <v>5308.7600999999995</v>
          </cell>
          <cell r="S63">
            <v>1091.4250999999995</v>
          </cell>
          <cell r="T63">
            <v>443.93000000000006</v>
          </cell>
          <cell r="U63">
            <v>447.45710336399259</v>
          </cell>
          <cell r="V63">
            <v>6655</v>
          </cell>
          <cell r="W63">
            <v>0</v>
          </cell>
          <cell r="X63">
            <v>0</v>
          </cell>
          <cell r="Y63">
            <v>0</v>
          </cell>
        </row>
        <row r="64">
          <cell r="D64">
            <v>10020057</v>
          </cell>
          <cell r="E64" t="str">
            <v>KANHARPUR-2</v>
          </cell>
          <cell r="F64">
            <v>0</v>
          </cell>
          <cell r="G64" t="str">
            <v>MPG</v>
          </cell>
          <cell r="H64" t="str">
            <v>Direct</v>
          </cell>
          <cell r="I64">
            <v>1002</v>
          </cell>
          <cell r="J64" t="str">
            <v>Laldiyara</v>
          </cell>
          <cell r="K64" t="str">
            <v>Old</v>
          </cell>
          <cell r="L64">
            <v>45248</v>
          </cell>
          <cell r="M64">
            <v>9678.5999999999985</v>
          </cell>
          <cell r="N64">
            <v>434187.35</v>
          </cell>
          <cell r="O64">
            <v>7258.9499999999989</v>
          </cell>
          <cell r="P64">
            <v>9194.6699999999983</v>
          </cell>
          <cell r="Q64">
            <v>7061.0807246877994</v>
          </cell>
          <cell r="R64">
            <v>13025.620499999999</v>
          </cell>
          <cell r="S64">
            <v>3830.9505000000008</v>
          </cell>
          <cell r="T64">
            <v>967.8599999999999</v>
          </cell>
          <cell r="U64">
            <v>0</v>
          </cell>
          <cell r="V64">
            <v>22547</v>
          </cell>
          <cell r="W64">
            <v>0</v>
          </cell>
          <cell r="X64">
            <v>0</v>
          </cell>
          <cell r="Y64">
            <v>0</v>
          </cell>
        </row>
        <row r="65">
          <cell r="D65">
            <v>10020058</v>
          </cell>
          <cell r="E65" t="str">
            <v>BASAUNA</v>
          </cell>
          <cell r="F65">
            <v>0</v>
          </cell>
          <cell r="G65" t="str">
            <v>MPG</v>
          </cell>
          <cell r="H65" t="str">
            <v>Direct</v>
          </cell>
          <cell r="I65">
            <v>1002</v>
          </cell>
          <cell r="J65" t="str">
            <v>Laldiyara</v>
          </cell>
          <cell r="K65" t="str">
            <v>Old</v>
          </cell>
          <cell r="L65">
            <v>45283</v>
          </cell>
          <cell r="M65">
            <v>5680.7999999999993</v>
          </cell>
          <cell r="N65">
            <v>226316.41</v>
          </cell>
          <cell r="O65">
            <v>4260.5999999999995</v>
          </cell>
          <cell r="P65">
            <v>5396.7599999999993</v>
          </cell>
          <cell r="Q65">
            <v>1109.2307840064</v>
          </cell>
          <cell r="R65">
            <v>6789.4922999999999</v>
          </cell>
          <cell r="S65">
            <v>1392.7323000000006</v>
          </cell>
          <cell r="T65">
            <v>568.07999999999993</v>
          </cell>
          <cell r="U65">
            <v>0</v>
          </cell>
          <cell r="V65">
            <v>10199</v>
          </cell>
          <cell r="W65">
            <v>0</v>
          </cell>
          <cell r="X65">
            <v>4526.3281999999999</v>
          </cell>
          <cell r="Y65">
            <v>0</v>
          </cell>
        </row>
        <row r="66">
          <cell r="D66">
            <v>10020059</v>
          </cell>
          <cell r="E66" t="str">
            <v>GANGA-SARAI</v>
          </cell>
          <cell r="F66">
            <v>0</v>
          </cell>
          <cell r="G66" t="str">
            <v>MPG</v>
          </cell>
          <cell r="H66" t="str">
            <v>Direct</v>
          </cell>
          <cell r="I66">
            <v>1002</v>
          </cell>
          <cell r="J66" t="str">
            <v>Laldiyara</v>
          </cell>
          <cell r="K66" t="str">
            <v>Old</v>
          </cell>
          <cell r="L66">
            <v>45268</v>
          </cell>
          <cell r="M66">
            <v>3808.1</v>
          </cell>
          <cell r="N66">
            <v>155749.13999999998</v>
          </cell>
          <cell r="O66">
            <v>2856.0749999999998</v>
          </cell>
          <cell r="P66">
            <v>3617.6949999999997</v>
          </cell>
          <cell r="Q66">
            <v>1942.9365119634003</v>
          </cell>
          <cell r="R66">
            <v>4672.4741999999997</v>
          </cell>
          <cell r="S66">
            <v>1054.7791999999999</v>
          </cell>
          <cell r="T66">
            <v>380.81</v>
          </cell>
          <cell r="U66">
            <v>262.13575248485392</v>
          </cell>
          <cell r="V66">
            <v>7774</v>
          </cell>
          <cell r="W66">
            <v>3114.9827999999998</v>
          </cell>
          <cell r="X66">
            <v>0</v>
          </cell>
          <cell r="Y66">
            <v>0</v>
          </cell>
        </row>
        <row r="67">
          <cell r="D67">
            <v>10020062</v>
          </cell>
          <cell r="E67" t="str">
            <v xml:space="preserve">GOVIND-BIGHA                                                                                        </v>
          </cell>
          <cell r="F67">
            <v>0</v>
          </cell>
          <cell r="G67" t="str">
            <v>MPG</v>
          </cell>
          <cell r="H67" t="str">
            <v>Direct</v>
          </cell>
          <cell r="I67">
            <v>1002</v>
          </cell>
          <cell r="J67" t="str">
            <v>Laldiyara</v>
          </cell>
          <cell r="K67" t="str">
            <v>Old</v>
          </cell>
          <cell r="L67">
            <v>45205</v>
          </cell>
          <cell r="M67">
            <v>1259.5</v>
          </cell>
          <cell r="N67">
            <v>49505.39</v>
          </cell>
          <cell r="O67">
            <v>944.625</v>
          </cell>
          <cell r="P67">
            <v>1196.5249999999999</v>
          </cell>
          <cell r="Q67">
            <v>545.76028409759999</v>
          </cell>
          <cell r="R67">
            <v>1485.1616999999999</v>
          </cell>
          <cell r="S67">
            <v>288.63670000000002</v>
          </cell>
          <cell r="T67">
            <v>125.95</v>
          </cell>
          <cell r="U67">
            <v>1368.1859624634048</v>
          </cell>
          <cell r="V67">
            <v>1193</v>
          </cell>
          <cell r="W67">
            <v>861</v>
          </cell>
          <cell r="X67">
            <v>0</v>
          </cell>
          <cell r="Y67">
            <v>0</v>
          </cell>
        </row>
        <row r="68">
          <cell r="D68">
            <v>10020063</v>
          </cell>
          <cell r="E68" t="str">
            <v>MALPUR                                                                                              </v>
          </cell>
          <cell r="F68">
            <v>0</v>
          </cell>
          <cell r="G68" t="str">
            <v>MPG</v>
          </cell>
          <cell r="H68" t="str">
            <v>Direct</v>
          </cell>
          <cell r="I68">
            <v>1002</v>
          </cell>
          <cell r="J68" t="str">
            <v>Laldiyara</v>
          </cell>
          <cell r="K68" t="str">
            <v>Old</v>
          </cell>
          <cell r="L68">
            <v>45198</v>
          </cell>
          <cell r="M68">
            <v>3329.7</v>
          </cell>
          <cell r="N68">
            <v>151016.20999999996</v>
          </cell>
          <cell r="O68">
            <v>2497.2749999999996</v>
          </cell>
          <cell r="P68">
            <v>3163.2149999999997</v>
          </cell>
          <cell r="Q68">
            <v>845.86963705200014</v>
          </cell>
          <cell r="R68">
            <v>4530.4862999999987</v>
          </cell>
          <cell r="S68">
            <v>1367.271299999999</v>
          </cell>
          <cell r="T68">
            <v>332.97</v>
          </cell>
          <cell r="U68">
            <v>285.80894654459911</v>
          </cell>
          <cell r="V68">
            <v>5888</v>
          </cell>
          <cell r="W68">
            <v>0</v>
          </cell>
          <cell r="X68">
            <v>0</v>
          </cell>
          <cell r="Y68">
            <v>0</v>
          </cell>
        </row>
        <row r="69">
          <cell r="D69">
            <v>10020064</v>
          </cell>
          <cell r="E69" t="str">
            <v>Gomukh Hasanpur</v>
          </cell>
          <cell r="F69">
            <v>0</v>
          </cell>
          <cell r="G69" t="str">
            <v>vlc</v>
          </cell>
          <cell r="H69" t="str">
            <v>Indirect</v>
          </cell>
          <cell r="I69">
            <v>1002</v>
          </cell>
          <cell r="J69" t="str">
            <v>Laldiyara</v>
          </cell>
          <cell r="K69" t="str">
            <v>Old</v>
          </cell>
          <cell r="L69">
            <v>44958</v>
          </cell>
          <cell r="M69">
            <v>2358.7999999999993</v>
          </cell>
          <cell r="N69">
            <v>96501.280000000013</v>
          </cell>
          <cell r="O69">
            <v>1769.0999999999995</v>
          </cell>
          <cell r="P69">
            <v>2240.8599999999992</v>
          </cell>
          <cell r="Q69">
            <v>0</v>
          </cell>
          <cell r="R69">
            <v>2895.0384000000004</v>
          </cell>
          <cell r="S69">
            <v>654.17840000000115</v>
          </cell>
          <cell r="T69">
            <v>235.87999999999994</v>
          </cell>
          <cell r="U69">
            <v>1193.2444155213866</v>
          </cell>
          <cell r="V69">
            <v>2581</v>
          </cell>
          <cell r="W69">
            <v>0</v>
          </cell>
          <cell r="X69">
            <v>0</v>
          </cell>
          <cell r="Y69">
            <v>0</v>
          </cell>
        </row>
        <row r="70">
          <cell r="D70">
            <v>10020067</v>
          </cell>
          <cell r="E70" t="str">
            <v>ADARSH LAXMIPUR-2</v>
          </cell>
          <cell r="F70">
            <v>0</v>
          </cell>
          <cell r="G70" t="str">
            <v>vlc</v>
          </cell>
          <cell r="H70" t="str">
            <v>Indirect</v>
          </cell>
          <cell r="I70">
            <v>1002</v>
          </cell>
          <cell r="J70" t="str">
            <v>Laldiyara</v>
          </cell>
          <cell r="K70" t="str">
            <v>Old</v>
          </cell>
          <cell r="L70">
            <v>45423</v>
          </cell>
          <cell r="M70">
            <v>2023.3000000000002</v>
          </cell>
          <cell r="N70">
            <v>79579.759999999995</v>
          </cell>
          <cell r="O70">
            <v>1517.4750000000001</v>
          </cell>
          <cell r="P70">
            <v>1922.135</v>
          </cell>
          <cell r="Q70">
            <v>0</v>
          </cell>
          <cell r="R70">
            <v>2387.3927999999996</v>
          </cell>
          <cell r="S70">
            <v>465.25779999999963</v>
          </cell>
          <cell r="T70">
            <v>202.33000000000004</v>
          </cell>
          <cell r="U70">
            <v>127.31964742497223</v>
          </cell>
          <cell r="V70">
            <v>3110</v>
          </cell>
          <cell r="W70">
            <v>0</v>
          </cell>
          <cell r="X70">
            <v>0</v>
          </cell>
          <cell r="Y70">
            <v>0</v>
          </cell>
        </row>
        <row r="71">
          <cell r="D71">
            <v>10020068</v>
          </cell>
          <cell r="E71" t="str">
            <v>SABIKPUR</v>
          </cell>
          <cell r="F71">
            <v>0</v>
          </cell>
          <cell r="G71" t="str">
            <v>MPG</v>
          </cell>
          <cell r="H71" t="str">
            <v>Direct</v>
          </cell>
          <cell r="I71">
            <v>1002</v>
          </cell>
          <cell r="J71" t="str">
            <v>Laldiyara</v>
          </cell>
          <cell r="K71" t="str">
            <v>Old</v>
          </cell>
          <cell r="L71">
            <v>45491</v>
          </cell>
          <cell r="M71">
            <v>2807.4</v>
          </cell>
          <cell r="N71">
            <v>118392.95</v>
          </cell>
          <cell r="O71">
            <v>2105.5500000000002</v>
          </cell>
          <cell r="P71">
            <v>2667.0299999999997</v>
          </cell>
          <cell r="Q71">
            <v>0</v>
          </cell>
          <cell r="R71">
            <v>3551.7884999999997</v>
          </cell>
          <cell r="S71">
            <v>884.75849999999991</v>
          </cell>
          <cell r="T71">
            <v>280.74</v>
          </cell>
          <cell r="U71">
            <v>191.20399499264403</v>
          </cell>
          <cell r="V71">
            <v>4301</v>
          </cell>
          <cell r="W71">
            <v>2367.8589999999999</v>
          </cell>
          <cell r="X71">
            <v>0</v>
          </cell>
          <cell r="Y71">
            <v>0</v>
          </cell>
        </row>
        <row r="72">
          <cell r="D72">
            <v>10020069</v>
          </cell>
          <cell r="E72" t="str">
            <v>CHETAN-TOLA-KHUTHA</v>
          </cell>
          <cell r="F72">
            <v>0</v>
          </cell>
          <cell r="G72" t="str">
            <v>MPG</v>
          </cell>
          <cell r="H72" t="str">
            <v>Direct</v>
          </cell>
          <cell r="I72">
            <v>1002</v>
          </cell>
          <cell r="J72" t="str">
            <v>Laldiyara</v>
          </cell>
          <cell r="K72" t="str">
            <v>Old</v>
          </cell>
          <cell r="L72">
            <v>45567</v>
          </cell>
          <cell r="M72">
            <v>832.90000000000009</v>
          </cell>
          <cell r="N72">
            <v>31812.089999999997</v>
          </cell>
          <cell r="O72">
            <v>624.67500000000007</v>
          </cell>
          <cell r="P72">
            <v>791.255</v>
          </cell>
          <cell r="Q72">
            <v>27.208644996400004</v>
          </cell>
          <cell r="R72">
            <v>954.3626999999999</v>
          </cell>
          <cell r="S72">
            <v>163.10769999999991</v>
          </cell>
          <cell r="T72">
            <v>83.29000000000002</v>
          </cell>
          <cell r="U72">
            <v>1359.8474821655691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D73">
            <v>10020070</v>
          </cell>
          <cell r="E73" t="str">
            <v>LAXMIPUR</v>
          </cell>
          <cell r="F73">
            <v>0</v>
          </cell>
          <cell r="G73" t="str">
            <v>MPG</v>
          </cell>
          <cell r="H73" t="str">
            <v>Direct</v>
          </cell>
          <cell r="I73">
            <v>1002</v>
          </cell>
          <cell r="J73" t="str">
            <v>Laldiyara</v>
          </cell>
          <cell r="K73" t="str">
            <v>Old</v>
          </cell>
          <cell r="L73">
            <v>45618</v>
          </cell>
          <cell r="M73">
            <v>4047.2</v>
          </cell>
          <cell r="N73">
            <v>164594.99</v>
          </cell>
          <cell r="O73">
            <v>3035.3999999999996</v>
          </cell>
          <cell r="P73">
            <v>3844.8399999999997</v>
          </cell>
          <cell r="Q73">
            <v>65.473689600000014</v>
          </cell>
          <cell r="R73">
            <v>4937.8496999999998</v>
          </cell>
          <cell r="S73">
            <v>1093.0097000000001</v>
          </cell>
          <cell r="T73">
            <v>404.72</v>
          </cell>
          <cell r="U73">
            <v>0</v>
          </cell>
          <cell r="V73">
            <v>6541</v>
          </cell>
          <cell r="W73">
            <v>3291.8997999999997</v>
          </cell>
          <cell r="X73">
            <v>0</v>
          </cell>
          <cell r="Y73">
            <v>0</v>
          </cell>
        </row>
        <row r="74">
          <cell r="D74">
            <v>10020073</v>
          </cell>
          <cell r="E74" t="str">
            <v>REHUA RK</v>
          </cell>
          <cell r="F74">
            <v>0</v>
          </cell>
          <cell r="G74" t="str">
            <v>vlc</v>
          </cell>
          <cell r="H74" t="str">
            <v>Indirect</v>
          </cell>
          <cell r="I74">
            <v>1002</v>
          </cell>
          <cell r="J74" t="str">
            <v>Laldiyara</v>
          </cell>
          <cell r="K74" t="str">
            <v>Old</v>
          </cell>
          <cell r="L74">
            <v>45638</v>
          </cell>
          <cell r="M74">
            <v>3171.8999999999996</v>
          </cell>
          <cell r="N74">
            <v>135589.87</v>
          </cell>
          <cell r="O74">
            <v>2378.9249999999997</v>
          </cell>
          <cell r="P74">
            <v>3013.3049999999994</v>
          </cell>
          <cell r="Q74">
            <v>0</v>
          </cell>
          <cell r="R74">
            <v>4067.6960999999997</v>
          </cell>
          <cell r="S74">
            <v>1054.3911000000003</v>
          </cell>
          <cell r="T74">
            <v>317.19</v>
          </cell>
          <cell r="U74">
            <v>112.53907819421076</v>
          </cell>
          <cell r="V74">
            <v>4963</v>
          </cell>
          <cell r="W74">
            <v>0</v>
          </cell>
          <cell r="X74">
            <v>0</v>
          </cell>
          <cell r="Y74">
            <v>0</v>
          </cell>
        </row>
        <row r="75">
          <cell r="D75">
            <v>10020075</v>
          </cell>
          <cell r="E75" t="str">
            <v>RAMNAGAR</v>
          </cell>
          <cell r="F75">
            <v>0</v>
          </cell>
          <cell r="G75" t="str">
            <v>MPG</v>
          </cell>
          <cell r="H75" t="str">
            <v>Direct</v>
          </cell>
          <cell r="I75">
            <v>1002</v>
          </cell>
          <cell r="J75" t="str">
            <v>Laldiyara</v>
          </cell>
          <cell r="K75" t="str">
            <v>Old</v>
          </cell>
          <cell r="L75">
            <v>45869</v>
          </cell>
          <cell r="M75">
            <v>1470.1999999999998</v>
          </cell>
          <cell r="N75">
            <v>61472.890000000007</v>
          </cell>
          <cell r="O75">
            <v>1102.6499999999999</v>
          </cell>
          <cell r="P75">
            <v>1396.6899999999998</v>
          </cell>
          <cell r="Q75">
            <v>0</v>
          </cell>
          <cell r="R75">
            <v>1844.1867000000002</v>
          </cell>
          <cell r="S75">
            <v>447.49670000000037</v>
          </cell>
          <cell r="T75">
            <v>147.01999999999998</v>
          </cell>
          <cell r="U75">
            <v>1271.3894248580557</v>
          </cell>
          <cell r="V75">
            <v>1081</v>
          </cell>
          <cell r="W75">
            <v>1081</v>
          </cell>
          <cell r="X75">
            <v>0</v>
          </cell>
          <cell r="Y75">
            <v>0</v>
          </cell>
        </row>
        <row r="76">
          <cell r="D76">
            <v>10020076</v>
          </cell>
          <cell r="E76" t="str">
            <v>PACHAM</v>
          </cell>
          <cell r="F76">
            <v>0</v>
          </cell>
          <cell r="G76" t="str">
            <v>MPG</v>
          </cell>
          <cell r="H76" t="str">
            <v>Direct</v>
          </cell>
          <cell r="I76">
            <v>1002</v>
          </cell>
          <cell r="J76" t="str">
            <v>Laldiyara</v>
          </cell>
          <cell r="K76" t="str">
            <v>Old</v>
          </cell>
          <cell r="L76">
            <v>45869</v>
          </cell>
          <cell r="M76">
            <v>273</v>
          </cell>
          <cell r="N76">
            <v>12521.25</v>
          </cell>
          <cell r="O76">
            <v>204.75</v>
          </cell>
          <cell r="P76">
            <v>259.34999999999997</v>
          </cell>
          <cell r="Q76">
            <v>0</v>
          </cell>
          <cell r="R76">
            <v>375.63749999999999</v>
          </cell>
          <cell r="S76">
            <v>116.28750000000002</v>
          </cell>
          <cell r="T76">
            <v>27.3</v>
          </cell>
          <cell r="U76">
            <v>436.93382332194983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D77">
            <v>10020077</v>
          </cell>
          <cell r="E77" t="str">
            <v>BANSIPUR</v>
          </cell>
          <cell r="F77">
            <v>0</v>
          </cell>
          <cell r="G77" t="str">
            <v>MPG</v>
          </cell>
          <cell r="H77" t="str">
            <v>Direct</v>
          </cell>
          <cell r="I77">
            <v>1002</v>
          </cell>
          <cell r="J77" t="str">
            <v>Laldiyara</v>
          </cell>
          <cell r="K77" t="str">
            <v>Old</v>
          </cell>
          <cell r="L77">
            <v>45869</v>
          </cell>
          <cell r="M77">
            <v>405.7</v>
          </cell>
          <cell r="N77">
            <v>18184.679999999997</v>
          </cell>
          <cell r="O77">
            <v>304.27499999999998</v>
          </cell>
          <cell r="P77">
            <v>385.41499999999996</v>
          </cell>
          <cell r="Q77">
            <v>0</v>
          </cell>
          <cell r="R77">
            <v>545.54039999999986</v>
          </cell>
          <cell r="S77">
            <v>160.1253999999999</v>
          </cell>
          <cell r="T77">
            <v>40.57</v>
          </cell>
          <cell r="U77">
            <v>648.7037071803461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D78">
            <v>10020078</v>
          </cell>
          <cell r="E78" t="str">
            <v>GODIH</v>
          </cell>
          <cell r="F78">
            <v>0</v>
          </cell>
          <cell r="G78" t="str">
            <v>MPG</v>
          </cell>
          <cell r="H78" t="str">
            <v>Direct</v>
          </cell>
          <cell r="I78">
            <v>1002</v>
          </cell>
          <cell r="J78" t="str">
            <v>Laldiyara</v>
          </cell>
          <cell r="K78" t="str">
            <v>Old</v>
          </cell>
          <cell r="L78">
            <v>45869</v>
          </cell>
          <cell r="M78">
            <v>1546.3</v>
          </cell>
          <cell r="N78">
            <v>62019.130000000005</v>
          </cell>
          <cell r="O78">
            <v>1159.7249999999999</v>
          </cell>
          <cell r="P78">
            <v>1468.9849999999999</v>
          </cell>
          <cell r="Q78">
            <v>0</v>
          </cell>
          <cell r="R78">
            <v>1860.5739000000001</v>
          </cell>
          <cell r="S78">
            <v>391.58890000000019</v>
          </cell>
          <cell r="T78">
            <v>154.63</v>
          </cell>
          <cell r="U78">
            <v>1170.1426315371673</v>
          </cell>
          <cell r="V78">
            <v>1304</v>
          </cell>
          <cell r="W78">
            <v>1304</v>
          </cell>
          <cell r="X78">
            <v>0</v>
          </cell>
          <cell r="Y78">
            <v>0</v>
          </cell>
        </row>
        <row r="79">
          <cell r="D79">
            <v>10020079</v>
          </cell>
          <cell r="E79" t="str">
            <v>SINGARPUR</v>
          </cell>
          <cell r="F79">
            <v>0</v>
          </cell>
          <cell r="G79" t="str">
            <v>MPG</v>
          </cell>
          <cell r="H79" t="str">
            <v>Direct</v>
          </cell>
          <cell r="I79">
            <v>1002</v>
          </cell>
          <cell r="J79" t="str">
            <v>Laldiyara</v>
          </cell>
          <cell r="K79" t="str">
            <v>Old</v>
          </cell>
          <cell r="L79">
            <v>45869</v>
          </cell>
          <cell r="M79">
            <v>1015.2</v>
          </cell>
          <cell r="N79">
            <v>60090.18</v>
          </cell>
          <cell r="O79">
            <v>761.40000000000009</v>
          </cell>
          <cell r="P79">
            <v>964.44</v>
          </cell>
          <cell r="Q79">
            <v>0</v>
          </cell>
          <cell r="R79">
            <v>1802.7054000000001</v>
          </cell>
          <cell r="S79">
            <v>838.2654</v>
          </cell>
          <cell r="T79">
            <v>101.52000000000001</v>
          </cell>
          <cell r="U79">
            <v>1624.4496050916277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D80">
            <v>10030002</v>
          </cell>
          <cell r="E80" t="str">
            <v>MOHANPUR</v>
          </cell>
          <cell r="F80">
            <v>0</v>
          </cell>
          <cell r="G80" t="str">
            <v>vlc</v>
          </cell>
          <cell r="H80" t="str">
            <v>Indirect</v>
          </cell>
          <cell r="I80">
            <v>1003</v>
          </cell>
          <cell r="J80" t="str">
            <v>Asarganj</v>
          </cell>
          <cell r="K80" t="str">
            <v>Old</v>
          </cell>
          <cell r="L80">
            <v>42979</v>
          </cell>
          <cell r="M80">
            <v>2129.5500000000002</v>
          </cell>
          <cell r="N80">
            <v>81107.62000000001</v>
          </cell>
          <cell r="O80">
            <v>1597.1625000000001</v>
          </cell>
          <cell r="P80">
            <v>2023.0725</v>
          </cell>
          <cell r="Q80">
            <v>0</v>
          </cell>
          <cell r="R80">
            <v>2433.2286000000004</v>
          </cell>
          <cell r="S80">
            <v>410.15610000000038</v>
          </cell>
          <cell r="T80">
            <v>212.95500000000004</v>
          </cell>
          <cell r="U80">
            <v>659.28356594693889</v>
          </cell>
          <cell r="V80">
            <v>2748</v>
          </cell>
          <cell r="W80">
            <v>0</v>
          </cell>
          <cell r="X80">
            <v>0</v>
          </cell>
          <cell r="Y80">
            <v>0</v>
          </cell>
        </row>
        <row r="81">
          <cell r="D81">
            <v>10030003</v>
          </cell>
          <cell r="E81" t="str">
            <v>CHATMADIH</v>
          </cell>
          <cell r="F81">
            <v>0</v>
          </cell>
          <cell r="G81" t="str">
            <v>MPG</v>
          </cell>
          <cell r="H81" t="str">
            <v>Direct</v>
          </cell>
          <cell r="I81">
            <v>1003</v>
          </cell>
          <cell r="J81" t="str">
            <v>Asarganj</v>
          </cell>
          <cell r="K81" t="str">
            <v>Old</v>
          </cell>
          <cell r="L81">
            <v>42979</v>
          </cell>
          <cell r="M81">
            <v>7482.1</v>
          </cell>
          <cell r="N81">
            <v>313533.13</v>
          </cell>
          <cell r="O81">
            <v>5611.5750000000007</v>
          </cell>
          <cell r="P81">
            <v>7107.9949999999999</v>
          </cell>
          <cell r="Q81">
            <v>5303.7583768907998</v>
          </cell>
          <cell r="R81">
            <v>9405.9938999999995</v>
          </cell>
          <cell r="S81">
            <v>2297.9988999999996</v>
          </cell>
          <cell r="T81">
            <v>748.21</v>
          </cell>
          <cell r="U81">
            <v>0</v>
          </cell>
          <cell r="V81">
            <v>17275</v>
          </cell>
          <cell r="W81">
            <v>0</v>
          </cell>
          <cell r="X81">
            <v>0</v>
          </cell>
          <cell r="Y81">
            <v>0</v>
          </cell>
        </row>
        <row r="82">
          <cell r="D82">
            <v>10030007</v>
          </cell>
          <cell r="E82" t="str">
            <v>SIYADIH</v>
          </cell>
          <cell r="F82">
            <v>0</v>
          </cell>
          <cell r="G82" t="str">
            <v>vlc</v>
          </cell>
          <cell r="H82" t="str">
            <v>Indirect</v>
          </cell>
          <cell r="I82">
            <v>1003</v>
          </cell>
          <cell r="J82" t="str">
            <v>Asarganj</v>
          </cell>
          <cell r="K82" t="str">
            <v>Old</v>
          </cell>
          <cell r="L82">
            <v>42979</v>
          </cell>
          <cell r="M82">
            <v>2809.5</v>
          </cell>
          <cell r="N82">
            <v>84764.87000000001</v>
          </cell>
          <cell r="O82">
            <v>2107.125</v>
          </cell>
          <cell r="P82">
            <v>2669.0250000000001</v>
          </cell>
          <cell r="Q82">
            <v>0</v>
          </cell>
          <cell r="R82">
            <v>2542.9461000000001</v>
          </cell>
          <cell r="S82">
            <v>-126.07889999999998</v>
          </cell>
          <cell r="T82">
            <v>280.95</v>
          </cell>
          <cell r="U82">
            <v>114.33411185064332</v>
          </cell>
          <cell r="V82">
            <v>4381</v>
          </cell>
          <cell r="W82">
            <v>0</v>
          </cell>
          <cell r="X82">
            <v>0</v>
          </cell>
          <cell r="Y82">
            <v>0</v>
          </cell>
        </row>
        <row r="83">
          <cell r="D83">
            <v>10030008</v>
          </cell>
          <cell r="E83" t="str">
            <v>HARPUR M</v>
          </cell>
          <cell r="F83">
            <v>0</v>
          </cell>
          <cell r="G83" t="str">
            <v>RMC</v>
          </cell>
          <cell r="H83" t="str">
            <v>Direct</v>
          </cell>
          <cell r="I83">
            <v>1003</v>
          </cell>
          <cell r="J83" t="str">
            <v>Asarganj</v>
          </cell>
          <cell r="K83" t="str">
            <v>Old</v>
          </cell>
          <cell r="L83">
            <v>42979</v>
          </cell>
          <cell r="M83">
            <v>1984</v>
          </cell>
          <cell r="N83">
            <v>66766.259999999995</v>
          </cell>
          <cell r="O83">
            <v>1488</v>
          </cell>
          <cell r="P83">
            <v>1884.8</v>
          </cell>
          <cell r="Q83">
            <v>42.769267200000002</v>
          </cell>
          <cell r="R83">
            <v>2002.9877999999999</v>
          </cell>
          <cell r="S83">
            <v>118.18779999999992</v>
          </cell>
          <cell r="T83">
            <v>198.4</v>
          </cell>
          <cell r="U83">
            <v>0</v>
          </cell>
          <cell r="V83">
            <v>3217</v>
          </cell>
          <cell r="W83">
            <v>0</v>
          </cell>
          <cell r="X83">
            <v>0</v>
          </cell>
          <cell r="Y83">
            <v>0</v>
          </cell>
        </row>
        <row r="84">
          <cell r="D84">
            <v>10030009</v>
          </cell>
          <cell r="E84" t="str">
            <v>Gomukh ID Laldiyara</v>
          </cell>
          <cell r="F84">
            <v>0</v>
          </cell>
          <cell r="G84" t="str">
            <v>vlc</v>
          </cell>
          <cell r="H84" t="str">
            <v>Indirect</v>
          </cell>
          <cell r="I84">
            <v>1003</v>
          </cell>
          <cell r="J84" t="str">
            <v>Asarganj</v>
          </cell>
          <cell r="K84" t="str">
            <v>Old</v>
          </cell>
          <cell r="L84">
            <v>43315</v>
          </cell>
          <cell r="M84">
            <v>24653</v>
          </cell>
          <cell r="N84">
            <v>916972.19000000006</v>
          </cell>
          <cell r="O84">
            <v>18489.75</v>
          </cell>
          <cell r="P84">
            <v>23420.35</v>
          </cell>
          <cell r="Q84">
            <v>0</v>
          </cell>
          <cell r="R84">
            <v>27509.165700000001</v>
          </cell>
          <cell r="S84">
            <v>4088.8157000000028</v>
          </cell>
          <cell r="T84">
            <v>2465.3000000000002</v>
          </cell>
          <cell r="U84">
            <v>0</v>
          </cell>
          <cell r="V84">
            <v>39445</v>
          </cell>
          <cell r="W84">
            <v>0</v>
          </cell>
          <cell r="X84">
            <v>0</v>
          </cell>
          <cell r="Y84">
            <v>0</v>
          </cell>
        </row>
        <row r="85">
          <cell r="D85">
            <v>10030010</v>
          </cell>
          <cell r="E85" t="str">
            <v>KATHNI</v>
          </cell>
          <cell r="F85">
            <v>0</v>
          </cell>
          <cell r="G85" t="str">
            <v>MPG</v>
          </cell>
          <cell r="H85" t="str">
            <v>Direct</v>
          </cell>
          <cell r="I85">
            <v>1003</v>
          </cell>
          <cell r="J85" t="str">
            <v>Asarganj</v>
          </cell>
          <cell r="K85" t="str">
            <v>Old</v>
          </cell>
          <cell r="L85">
            <v>43315</v>
          </cell>
          <cell r="M85">
            <v>1435.8000000000002</v>
          </cell>
          <cell r="N85">
            <v>51299.119999999995</v>
          </cell>
          <cell r="O85">
            <v>1076.8500000000001</v>
          </cell>
          <cell r="P85">
            <v>1364.0100000000002</v>
          </cell>
          <cell r="Q85">
            <v>0</v>
          </cell>
          <cell r="R85">
            <v>1538.9735999999998</v>
          </cell>
          <cell r="S85">
            <v>174.96359999999959</v>
          </cell>
          <cell r="T85">
            <v>143.58000000000001</v>
          </cell>
          <cell r="U85">
            <v>1113.6719901521963</v>
          </cell>
          <cell r="V85">
            <v>1184</v>
          </cell>
          <cell r="W85">
            <v>861</v>
          </cell>
          <cell r="X85">
            <v>0</v>
          </cell>
          <cell r="Y85">
            <v>0</v>
          </cell>
        </row>
        <row r="86">
          <cell r="D86">
            <v>10030011</v>
          </cell>
          <cell r="E86" t="str">
            <v>DEVDHA GOMUKH MPG</v>
          </cell>
          <cell r="F86">
            <v>0</v>
          </cell>
          <cell r="G86" t="str">
            <v>MPG</v>
          </cell>
          <cell r="H86" t="str">
            <v>Direct</v>
          </cell>
          <cell r="I86">
            <v>1003</v>
          </cell>
          <cell r="J86" t="str">
            <v>Asarganj</v>
          </cell>
          <cell r="K86" t="str">
            <v>Old</v>
          </cell>
          <cell r="L86">
            <v>43343</v>
          </cell>
          <cell r="M86">
            <v>4354.55</v>
          </cell>
          <cell r="N86">
            <v>167652.81</v>
          </cell>
          <cell r="O86">
            <v>3265.9125000000004</v>
          </cell>
          <cell r="P86">
            <v>4136.8225000000002</v>
          </cell>
          <cell r="Q86">
            <v>1071.1401285420002</v>
          </cell>
          <cell r="R86">
            <v>5029.5842999999995</v>
          </cell>
          <cell r="S86">
            <v>892.76179999999931</v>
          </cell>
          <cell r="T86">
            <v>435.45500000000004</v>
          </cell>
          <cell r="U86">
            <v>0</v>
          </cell>
          <cell r="V86">
            <v>8038</v>
          </cell>
          <cell r="W86">
            <v>0</v>
          </cell>
          <cell r="X86">
            <v>0</v>
          </cell>
          <cell r="Y86">
            <v>0</v>
          </cell>
        </row>
        <row r="87">
          <cell r="D87">
            <v>10030012</v>
          </cell>
          <cell r="E87" t="str">
            <v>KASBA(MANGOAN)</v>
          </cell>
          <cell r="F87">
            <v>0</v>
          </cell>
          <cell r="G87" t="str">
            <v>vlc</v>
          </cell>
          <cell r="H87" t="str">
            <v>Indirect</v>
          </cell>
          <cell r="I87">
            <v>1003</v>
          </cell>
          <cell r="J87" t="str">
            <v>Asarganj</v>
          </cell>
          <cell r="K87" t="str">
            <v>Old</v>
          </cell>
          <cell r="L87">
            <v>44652</v>
          </cell>
          <cell r="M87">
            <v>1410.8000000000002</v>
          </cell>
          <cell r="N87">
            <v>49818.75</v>
          </cell>
          <cell r="O87">
            <v>1058.1000000000001</v>
          </cell>
          <cell r="P87">
            <v>1340.2600000000002</v>
          </cell>
          <cell r="Q87">
            <v>0</v>
          </cell>
          <cell r="R87">
            <v>1494.5625</v>
          </cell>
          <cell r="S87">
            <v>154.30249999999978</v>
          </cell>
          <cell r="T87">
            <v>141.08000000000001</v>
          </cell>
          <cell r="U87">
            <v>1127.6573962784373</v>
          </cell>
          <cell r="V87">
            <v>1130</v>
          </cell>
          <cell r="W87">
            <v>0</v>
          </cell>
          <cell r="X87">
            <v>0</v>
          </cell>
          <cell r="Y87">
            <v>0</v>
          </cell>
        </row>
        <row r="88">
          <cell r="D88">
            <v>10030013</v>
          </cell>
          <cell r="E88" t="str">
            <v>LOHRA</v>
          </cell>
          <cell r="F88">
            <v>0</v>
          </cell>
          <cell r="G88" t="str">
            <v>MPG</v>
          </cell>
          <cell r="H88" t="str">
            <v>Direct</v>
          </cell>
          <cell r="I88">
            <v>1003</v>
          </cell>
          <cell r="J88" t="str">
            <v>Asarganj</v>
          </cell>
          <cell r="K88" t="str">
            <v>Old</v>
          </cell>
          <cell r="L88">
            <v>44927</v>
          </cell>
          <cell r="M88">
            <v>1819.4499999999998</v>
          </cell>
          <cell r="N88">
            <v>88476.610000000015</v>
          </cell>
          <cell r="O88">
            <v>1364.5874999999999</v>
          </cell>
          <cell r="P88">
            <v>1728.4774999999997</v>
          </cell>
          <cell r="Q88">
            <v>2975.4578269160002</v>
          </cell>
          <cell r="R88">
            <v>2654.2983000000004</v>
          </cell>
          <cell r="S88">
            <v>925.82080000000065</v>
          </cell>
          <cell r="T88">
            <v>181.94499999999999</v>
          </cell>
          <cell r="U88">
            <v>1150.2176175095483</v>
          </cell>
          <cell r="V88">
            <v>4736</v>
          </cell>
          <cell r="W88">
            <v>0</v>
          </cell>
          <cell r="X88">
            <v>1769.5322000000003</v>
          </cell>
          <cell r="Y88">
            <v>0</v>
          </cell>
        </row>
        <row r="89">
          <cell r="D89">
            <v>10030015</v>
          </cell>
          <cell r="E89" t="str">
            <v>KAMATPUR</v>
          </cell>
          <cell r="F89">
            <v>0</v>
          </cell>
          <cell r="G89" t="str">
            <v>MPG</v>
          </cell>
          <cell r="H89" t="str">
            <v>Direct</v>
          </cell>
          <cell r="I89">
            <v>1003</v>
          </cell>
          <cell r="J89" t="str">
            <v>Asarganj</v>
          </cell>
          <cell r="K89" t="str">
            <v>Old</v>
          </cell>
          <cell r="L89">
            <v>44981</v>
          </cell>
          <cell r="M89">
            <v>2088.2999999999997</v>
          </cell>
          <cell r="N89">
            <v>75118.840000000011</v>
          </cell>
          <cell r="O89">
            <v>1566.2249999999999</v>
          </cell>
          <cell r="P89">
            <v>1983.8849999999995</v>
          </cell>
          <cell r="Q89">
            <v>1640.6835825996002</v>
          </cell>
          <cell r="R89">
            <v>2253.5652000000005</v>
          </cell>
          <cell r="S89">
            <v>269.68020000000092</v>
          </cell>
          <cell r="T89">
            <v>208.82999999999998</v>
          </cell>
          <cell r="U89">
            <v>797.81858203664115</v>
          </cell>
          <cell r="V89">
            <v>4184</v>
          </cell>
          <cell r="W89">
            <v>1861</v>
          </cell>
          <cell r="X89">
            <v>0</v>
          </cell>
          <cell r="Y89">
            <v>0</v>
          </cell>
        </row>
        <row r="90">
          <cell r="D90">
            <v>10030016</v>
          </cell>
          <cell r="E90" t="str">
            <v>GIRDHARA</v>
          </cell>
          <cell r="F90">
            <v>0</v>
          </cell>
          <cell r="G90" t="str">
            <v>MPG</v>
          </cell>
          <cell r="H90" t="str">
            <v>Direct</v>
          </cell>
          <cell r="I90">
            <v>1003</v>
          </cell>
          <cell r="J90" t="str">
            <v>Asarganj</v>
          </cell>
          <cell r="K90" t="str">
            <v>Old</v>
          </cell>
          <cell r="L90">
            <v>44982</v>
          </cell>
          <cell r="M90">
            <v>3749.9000000000005</v>
          </cell>
          <cell r="N90">
            <v>147169.57999999999</v>
          </cell>
          <cell r="O90">
            <v>2812.4250000000002</v>
          </cell>
          <cell r="P90">
            <v>3562.4050000000002</v>
          </cell>
          <cell r="Q90">
            <v>1218.2269241538004</v>
          </cell>
          <cell r="R90">
            <v>4415.0873999999994</v>
          </cell>
          <cell r="S90">
            <v>852.68239999999923</v>
          </cell>
          <cell r="T90">
            <v>374.99000000000007</v>
          </cell>
          <cell r="U90">
            <v>13.818539802270195</v>
          </cell>
          <cell r="V90">
            <v>7204</v>
          </cell>
          <cell r="W90">
            <v>2943.3915999999999</v>
          </cell>
          <cell r="X90">
            <v>0</v>
          </cell>
          <cell r="Y90">
            <v>0</v>
          </cell>
        </row>
        <row r="91">
          <cell r="D91">
            <v>10030017</v>
          </cell>
          <cell r="E91" t="str">
            <v>RATNI</v>
          </cell>
          <cell r="F91">
            <v>0</v>
          </cell>
          <cell r="G91" t="str">
            <v>MPG</v>
          </cell>
          <cell r="H91" t="str">
            <v>Direct</v>
          </cell>
          <cell r="I91">
            <v>1003</v>
          </cell>
          <cell r="J91" t="str">
            <v>Asarganj</v>
          </cell>
          <cell r="K91" t="str">
            <v>Old</v>
          </cell>
          <cell r="L91">
            <v>44995</v>
          </cell>
          <cell r="M91">
            <v>4286.1499999999996</v>
          </cell>
          <cell r="N91">
            <v>212574.52</v>
          </cell>
          <cell r="O91">
            <v>3214.6124999999997</v>
          </cell>
          <cell r="P91">
            <v>4071.8424999999993</v>
          </cell>
          <cell r="Q91">
            <v>3726.5228977142701</v>
          </cell>
          <cell r="R91">
            <v>6377.2355999999991</v>
          </cell>
          <cell r="S91">
            <v>2305.3930999999998</v>
          </cell>
          <cell r="T91">
            <v>428.61500000000001</v>
          </cell>
          <cell r="U91">
            <v>0</v>
          </cell>
          <cell r="V91">
            <v>10584</v>
          </cell>
          <cell r="W91">
            <v>0</v>
          </cell>
          <cell r="X91">
            <v>0</v>
          </cell>
          <cell r="Y91">
            <v>0</v>
          </cell>
        </row>
        <row r="92">
          <cell r="D92">
            <v>10030018</v>
          </cell>
          <cell r="E92" t="str">
            <v>DHAPARI</v>
          </cell>
          <cell r="F92">
            <v>0</v>
          </cell>
          <cell r="G92" t="str">
            <v>MPG</v>
          </cell>
          <cell r="H92" t="str">
            <v>Direct</v>
          </cell>
          <cell r="I92">
            <v>1003</v>
          </cell>
          <cell r="J92" t="str">
            <v>Asarganj</v>
          </cell>
          <cell r="K92" t="str">
            <v>Old</v>
          </cell>
          <cell r="L92">
            <v>44995</v>
          </cell>
          <cell r="M92">
            <v>3487.7</v>
          </cell>
          <cell r="N92">
            <v>141933.82</v>
          </cell>
          <cell r="O92">
            <v>2615.7749999999996</v>
          </cell>
          <cell r="P92">
            <v>3313.3149999999996</v>
          </cell>
          <cell r="Q92">
            <v>4530.004301125201</v>
          </cell>
          <cell r="R92">
            <v>4258.0146000000004</v>
          </cell>
          <cell r="S92">
            <v>944.69960000000083</v>
          </cell>
          <cell r="T92">
            <v>348.77</v>
          </cell>
          <cell r="U92">
            <v>0</v>
          </cell>
          <cell r="V92">
            <v>10110</v>
          </cell>
          <cell r="W92">
            <v>0</v>
          </cell>
          <cell r="X92">
            <v>0</v>
          </cell>
          <cell r="Y92">
            <v>0</v>
          </cell>
        </row>
        <row r="93">
          <cell r="D93">
            <v>10030019</v>
          </cell>
          <cell r="E93" t="str">
            <v>KHARUI</v>
          </cell>
          <cell r="F93">
            <v>0</v>
          </cell>
          <cell r="G93" t="str">
            <v>MPG</v>
          </cell>
          <cell r="H93" t="str">
            <v>Direct</v>
          </cell>
          <cell r="I93">
            <v>1003</v>
          </cell>
          <cell r="J93" t="str">
            <v>Asarganj</v>
          </cell>
          <cell r="K93" t="str">
            <v>Old</v>
          </cell>
          <cell r="L93">
            <v>44995</v>
          </cell>
          <cell r="M93">
            <v>2575.3000000000002</v>
          </cell>
          <cell r="N93">
            <v>112462.81</v>
          </cell>
          <cell r="O93">
            <v>1931.4750000000001</v>
          </cell>
          <cell r="P93">
            <v>2446.5349999999999</v>
          </cell>
          <cell r="Q93">
            <v>5542.2052106702904</v>
          </cell>
          <cell r="R93">
            <v>3373.8842999999997</v>
          </cell>
          <cell r="S93">
            <v>927.34929999999986</v>
          </cell>
          <cell r="T93">
            <v>257.53000000000003</v>
          </cell>
          <cell r="U93">
            <v>511.9586314678736</v>
          </cell>
          <cell r="V93">
            <v>9151</v>
          </cell>
          <cell r="W93">
            <v>0</v>
          </cell>
          <cell r="X93">
            <v>0</v>
          </cell>
          <cell r="Y93">
            <v>0</v>
          </cell>
        </row>
        <row r="94">
          <cell r="D94">
            <v>10030021</v>
          </cell>
          <cell r="E94" t="str">
            <v>KHAIRA</v>
          </cell>
          <cell r="F94">
            <v>0</v>
          </cell>
          <cell r="G94" t="str">
            <v>MPG</v>
          </cell>
          <cell r="H94" t="str">
            <v>Direct</v>
          </cell>
          <cell r="I94">
            <v>1003</v>
          </cell>
          <cell r="J94" t="str">
            <v>Asarganj</v>
          </cell>
          <cell r="K94" t="str">
            <v>Old</v>
          </cell>
          <cell r="L94">
            <v>44995</v>
          </cell>
          <cell r="M94">
            <v>3196.2499999999995</v>
          </cell>
          <cell r="N94">
            <v>129084.31</v>
          </cell>
          <cell r="O94">
            <v>2397.1874999999995</v>
          </cell>
          <cell r="P94">
            <v>3036.4374999999995</v>
          </cell>
          <cell r="Q94">
            <v>4483.7315012160007</v>
          </cell>
          <cell r="R94">
            <v>3872.5292999999997</v>
          </cell>
          <cell r="S94">
            <v>836.09180000000015</v>
          </cell>
          <cell r="T94">
            <v>319.625</v>
          </cell>
          <cell r="U94">
            <v>296.41027488241707</v>
          </cell>
          <cell r="V94">
            <v>9301</v>
          </cell>
          <cell r="W94">
            <v>0</v>
          </cell>
          <cell r="X94">
            <v>0</v>
          </cell>
          <cell r="Y94">
            <v>0</v>
          </cell>
        </row>
        <row r="95">
          <cell r="D95">
            <v>10030022</v>
          </cell>
          <cell r="E95" t="str">
            <v>SISUA</v>
          </cell>
          <cell r="F95">
            <v>0</v>
          </cell>
          <cell r="G95" t="str">
            <v>MPG</v>
          </cell>
          <cell r="H95" t="str">
            <v>Direct</v>
          </cell>
          <cell r="I95">
            <v>1003</v>
          </cell>
          <cell r="J95" t="str">
            <v>Asarganj</v>
          </cell>
          <cell r="K95" t="str">
            <v>Old</v>
          </cell>
          <cell r="L95">
            <v>44995</v>
          </cell>
          <cell r="M95">
            <v>6348</v>
          </cell>
          <cell r="N95">
            <v>248337.89000000004</v>
          </cell>
          <cell r="O95">
            <v>4761</v>
          </cell>
          <cell r="P95">
            <v>6030.5999999999995</v>
          </cell>
          <cell r="Q95">
            <v>2922.7617830788076</v>
          </cell>
          <cell r="R95">
            <v>7450.1367000000009</v>
          </cell>
          <cell r="S95">
            <v>1419.5367000000015</v>
          </cell>
          <cell r="T95">
            <v>634.80000000000007</v>
          </cell>
          <cell r="U95">
            <v>0.53083363363360359</v>
          </cell>
          <cell r="V95">
            <v>13079</v>
          </cell>
          <cell r="W95">
            <v>0</v>
          </cell>
          <cell r="X95">
            <v>0</v>
          </cell>
          <cell r="Y95">
            <v>0</v>
          </cell>
        </row>
        <row r="96">
          <cell r="D96">
            <v>10030023</v>
          </cell>
          <cell r="E96" t="str">
            <v>BISAI</v>
          </cell>
          <cell r="F96">
            <v>0</v>
          </cell>
          <cell r="G96" t="str">
            <v>MPG</v>
          </cell>
          <cell r="H96" t="str">
            <v>Direct</v>
          </cell>
          <cell r="I96">
            <v>1003</v>
          </cell>
          <cell r="J96" t="str">
            <v>Asarganj</v>
          </cell>
          <cell r="K96" t="str">
            <v>Old</v>
          </cell>
          <cell r="L96">
            <v>44995</v>
          </cell>
          <cell r="M96">
            <v>1215.9000000000001</v>
          </cell>
          <cell r="N96">
            <v>49230.790000000008</v>
          </cell>
          <cell r="O96">
            <v>911.92500000000007</v>
          </cell>
          <cell r="P96">
            <v>1155.105</v>
          </cell>
          <cell r="Q96">
            <v>1942.1142803280002</v>
          </cell>
          <cell r="R96">
            <v>1476.9237000000003</v>
          </cell>
          <cell r="S96">
            <v>321.81870000000026</v>
          </cell>
          <cell r="T96">
            <v>121.59000000000002</v>
          </cell>
          <cell r="U96">
            <v>1444.9063190009404</v>
          </cell>
          <cell r="V96">
            <v>2443</v>
          </cell>
          <cell r="W96">
            <v>1861</v>
          </cell>
          <cell r="X96">
            <v>0</v>
          </cell>
          <cell r="Y96">
            <v>0</v>
          </cell>
        </row>
        <row r="97">
          <cell r="D97">
            <v>10030025</v>
          </cell>
          <cell r="E97" t="str">
            <v>SAJUA-1</v>
          </cell>
          <cell r="F97">
            <v>0</v>
          </cell>
          <cell r="G97" t="str">
            <v>MPG</v>
          </cell>
          <cell r="H97" t="str">
            <v>Direct</v>
          </cell>
          <cell r="I97">
            <v>1003</v>
          </cell>
          <cell r="J97" t="str">
            <v>Asarganj</v>
          </cell>
          <cell r="K97" t="str">
            <v>Old</v>
          </cell>
          <cell r="L97">
            <v>45015</v>
          </cell>
          <cell r="M97">
            <v>2482.15</v>
          </cell>
          <cell r="N97">
            <v>94186.979999999981</v>
          </cell>
          <cell r="O97">
            <v>1861.6125000000002</v>
          </cell>
          <cell r="P97">
            <v>2358.0425</v>
          </cell>
          <cell r="Q97">
            <v>1599.1393255002001</v>
          </cell>
          <cell r="R97">
            <v>2825.6093999999994</v>
          </cell>
          <cell r="S97">
            <v>467.56689999999935</v>
          </cell>
          <cell r="T97">
            <v>248.21500000000003</v>
          </cell>
          <cell r="U97">
            <v>394.23729995270008</v>
          </cell>
          <cell r="V97">
            <v>5176</v>
          </cell>
          <cell r="W97">
            <v>0</v>
          </cell>
          <cell r="X97">
            <v>0</v>
          </cell>
          <cell r="Y97">
            <v>0</v>
          </cell>
        </row>
        <row r="98">
          <cell r="D98">
            <v>10030026</v>
          </cell>
          <cell r="E98" t="str">
            <v>SAJUA-2</v>
          </cell>
          <cell r="F98">
            <v>0</v>
          </cell>
          <cell r="G98" t="str">
            <v>MPG</v>
          </cell>
          <cell r="H98" t="str">
            <v>Direct</v>
          </cell>
          <cell r="I98">
            <v>1003</v>
          </cell>
          <cell r="J98" t="str">
            <v>Asarganj</v>
          </cell>
          <cell r="K98" t="str">
            <v>Old</v>
          </cell>
          <cell r="L98">
            <v>45015</v>
          </cell>
          <cell r="M98">
            <v>3872.7999999999997</v>
          </cell>
          <cell r="N98">
            <v>144032.5</v>
          </cell>
          <cell r="O98">
            <v>2904.6</v>
          </cell>
          <cell r="P98">
            <v>3679.1599999999994</v>
          </cell>
          <cell r="Q98">
            <v>0</v>
          </cell>
          <cell r="R98">
            <v>4320.9749999999995</v>
          </cell>
          <cell r="S98">
            <v>641.81500000000005</v>
          </cell>
          <cell r="T98">
            <v>387.28</v>
          </cell>
          <cell r="U98">
            <v>35.703501140436636</v>
          </cell>
          <cell r="V98">
            <v>6161</v>
          </cell>
          <cell r="W98">
            <v>0</v>
          </cell>
          <cell r="X98">
            <v>0</v>
          </cell>
          <cell r="Y98">
            <v>0</v>
          </cell>
        </row>
        <row r="99">
          <cell r="D99">
            <v>10030027</v>
          </cell>
          <cell r="E99" t="str">
            <v>CHORGAUN</v>
          </cell>
          <cell r="F99">
            <v>0</v>
          </cell>
          <cell r="G99" t="str">
            <v>MPG</v>
          </cell>
          <cell r="H99" t="str">
            <v>Direct</v>
          </cell>
          <cell r="I99">
            <v>1003</v>
          </cell>
          <cell r="J99" t="str">
            <v>Asarganj</v>
          </cell>
          <cell r="K99" t="str">
            <v>Old</v>
          </cell>
          <cell r="L99">
            <v>45015</v>
          </cell>
          <cell r="M99">
            <v>3306.2000000000007</v>
          </cell>
          <cell r="N99">
            <v>124064.72</v>
          </cell>
          <cell r="O99">
            <v>2479.6500000000005</v>
          </cell>
          <cell r="P99">
            <v>3140.8900000000003</v>
          </cell>
          <cell r="Q99">
            <v>3565.7205323400003</v>
          </cell>
          <cell r="R99">
            <v>3721.9416000000001</v>
          </cell>
          <cell r="S99">
            <v>581.05159999999978</v>
          </cell>
          <cell r="T99">
            <v>330.62000000000012</v>
          </cell>
          <cell r="U99">
            <v>91.859086365598799</v>
          </cell>
          <cell r="V99">
            <v>8764</v>
          </cell>
          <cell r="W99">
            <v>0</v>
          </cell>
          <cell r="X99">
            <v>0</v>
          </cell>
          <cell r="Y99">
            <v>0</v>
          </cell>
        </row>
        <row r="100">
          <cell r="D100">
            <v>10030028</v>
          </cell>
          <cell r="E100" t="str">
            <v>PADARATHPUR</v>
          </cell>
          <cell r="F100">
            <v>0</v>
          </cell>
          <cell r="G100" t="str">
            <v>MPG</v>
          </cell>
          <cell r="H100" t="str">
            <v>Direct</v>
          </cell>
          <cell r="I100">
            <v>1003</v>
          </cell>
          <cell r="J100" t="str">
            <v>Asarganj</v>
          </cell>
          <cell r="K100" t="str">
            <v>Old</v>
          </cell>
          <cell r="L100">
            <v>45015</v>
          </cell>
          <cell r="M100">
            <v>4151.2</v>
          </cell>
          <cell r="N100">
            <v>160740.25999999998</v>
          </cell>
          <cell r="O100">
            <v>3113.3999999999996</v>
          </cell>
          <cell r="P100">
            <v>3943.6399999999994</v>
          </cell>
          <cell r="Q100">
            <v>3197.8294685828805</v>
          </cell>
          <cell r="R100">
            <v>4822.2077999999992</v>
          </cell>
          <cell r="S100">
            <v>878.56779999999981</v>
          </cell>
          <cell r="T100">
            <v>415.12</v>
          </cell>
          <cell r="U100">
            <v>0</v>
          </cell>
          <cell r="V100">
            <v>9840</v>
          </cell>
          <cell r="W100">
            <v>0</v>
          </cell>
          <cell r="X100">
            <v>0</v>
          </cell>
          <cell r="Y100">
            <v>0</v>
          </cell>
        </row>
        <row r="101">
          <cell r="D101">
            <v>10030031</v>
          </cell>
          <cell r="E101" t="str">
            <v>BADARKHA</v>
          </cell>
          <cell r="F101">
            <v>0</v>
          </cell>
          <cell r="G101" t="str">
            <v>MPG</v>
          </cell>
          <cell r="H101" t="str">
            <v>Direct</v>
          </cell>
          <cell r="I101">
            <v>1003</v>
          </cell>
          <cell r="J101" t="str">
            <v>Asarganj</v>
          </cell>
          <cell r="K101" t="str">
            <v>Old</v>
          </cell>
          <cell r="L101">
            <v>45016</v>
          </cell>
          <cell r="M101">
            <v>3196.55</v>
          </cell>
          <cell r="N101">
            <v>116037.67</v>
          </cell>
          <cell r="O101">
            <v>2397.4125000000004</v>
          </cell>
          <cell r="P101">
            <v>3036.7224999999999</v>
          </cell>
          <cell r="Q101">
            <v>0</v>
          </cell>
          <cell r="R101">
            <v>3481.1300999999999</v>
          </cell>
          <cell r="S101">
            <v>444.4076</v>
          </cell>
          <cell r="T101">
            <v>319.65500000000003</v>
          </cell>
          <cell r="U101">
            <v>13.549393017456357</v>
          </cell>
          <cell r="V101">
            <v>5101</v>
          </cell>
          <cell r="W101">
            <v>0</v>
          </cell>
          <cell r="X101">
            <v>2320.7534000000001</v>
          </cell>
          <cell r="Y101">
            <v>0</v>
          </cell>
        </row>
        <row r="102">
          <cell r="D102">
            <v>10030032</v>
          </cell>
          <cell r="E102" t="str">
            <v xml:space="preserve">MAHDMADPUR                                                                                          </v>
          </cell>
          <cell r="F102">
            <v>0</v>
          </cell>
          <cell r="G102" t="str">
            <v>MPG</v>
          </cell>
          <cell r="H102" t="str">
            <v>Direct</v>
          </cell>
          <cell r="I102">
            <v>1003</v>
          </cell>
          <cell r="J102" t="str">
            <v>Asarganj</v>
          </cell>
          <cell r="K102" t="str">
            <v>Old</v>
          </cell>
          <cell r="L102">
            <v>45017</v>
          </cell>
          <cell r="M102">
            <v>4500.25</v>
          </cell>
          <cell r="N102">
            <v>169125.96000000002</v>
          </cell>
          <cell r="O102">
            <v>3375.1875</v>
          </cell>
          <cell r="P102">
            <v>4275.2375000000002</v>
          </cell>
          <cell r="Q102">
            <v>980.82501778800008</v>
          </cell>
          <cell r="R102">
            <v>5073.7788</v>
          </cell>
          <cell r="S102">
            <v>798.54129999999986</v>
          </cell>
          <cell r="T102">
            <v>450.02500000000003</v>
          </cell>
          <cell r="U102">
            <v>175.54827169811333</v>
          </cell>
          <cell r="V102">
            <v>8006</v>
          </cell>
          <cell r="W102">
            <v>0</v>
          </cell>
          <cell r="X102">
            <v>0</v>
          </cell>
          <cell r="Y102">
            <v>0</v>
          </cell>
        </row>
        <row r="103">
          <cell r="D103">
            <v>10030034</v>
          </cell>
          <cell r="E103" t="str">
            <v xml:space="preserve">MUSKIPUR                                                                                            </v>
          </cell>
          <cell r="F103">
            <v>0</v>
          </cell>
          <cell r="G103" t="str">
            <v>MPG</v>
          </cell>
          <cell r="H103" t="str">
            <v>Direct</v>
          </cell>
          <cell r="I103">
            <v>1003</v>
          </cell>
          <cell r="J103" t="str">
            <v>Asarganj</v>
          </cell>
          <cell r="K103" t="str">
            <v>Old</v>
          </cell>
          <cell r="L103">
            <v>45082</v>
          </cell>
          <cell r="M103">
            <v>5697.0999999999995</v>
          </cell>
          <cell r="N103">
            <v>227270.22000000003</v>
          </cell>
          <cell r="O103">
            <v>4272.8249999999998</v>
          </cell>
          <cell r="P103">
            <v>5412.244999999999</v>
          </cell>
          <cell r="Q103">
            <v>0</v>
          </cell>
          <cell r="R103">
            <v>6818.106600000001</v>
          </cell>
          <cell r="S103">
            <v>1405.861600000002</v>
          </cell>
          <cell r="T103">
            <v>569.70999999999992</v>
          </cell>
          <cell r="U103">
            <v>0</v>
          </cell>
          <cell r="V103">
            <v>9115</v>
          </cell>
          <cell r="W103">
            <v>0</v>
          </cell>
          <cell r="X103">
            <v>0</v>
          </cell>
          <cell r="Y103">
            <v>0</v>
          </cell>
        </row>
        <row r="104">
          <cell r="D104">
            <v>10030035</v>
          </cell>
          <cell r="E104" t="str">
            <v xml:space="preserve">NAYAGAUN                                                                                            </v>
          </cell>
          <cell r="F104">
            <v>0</v>
          </cell>
          <cell r="G104" t="str">
            <v>MPG</v>
          </cell>
          <cell r="H104" t="str">
            <v>Direct</v>
          </cell>
          <cell r="I104">
            <v>1003</v>
          </cell>
          <cell r="J104" t="str">
            <v>Asarganj</v>
          </cell>
          <cell r="K104" t="str">
            <v>Old</v>
          </cell>
          <cell r="L104">
            <v>45084</v>
          </cell>
          <cell r="M104">
            <v>1481</v>
          </cell>
          <cell r="N104">
            <v>61946.12999999999</v>
          </cell>
          <cell r="O104">
            <v>1110.75</v>
          </cell>
          <cell r="P104">
            <v>1406.95</v>
          </cell>
          <cell r="Q104">
            <v>410.85291591536003</v>
          </cell>
          <cell r="R104">
            <v>1858.3838999999996</v>
          </cell>
          <cell r="S104">
            <v>451.43389999999954</v>
          </cell>
          <cell r="T104">
            <v>148.1</v>
          </cell>
          <cell r="U104">
            <v>1269.6280733994481</v>
          </cell>
          <cell r="V104">
            <v>1511</v>
          </cell>
          <cell r="W104">
            <v>1511</v>
          </cell>
          <cell r="X104">
            <v>0</v>
          </cell>
          <cell r="Y104">
            <v>0</v>
          </cell>
        </row>
        <row r="105">
          <cell r="D105">
            <v>10030037</v>
          </cell>
          <cell r="E105" t="str">
            <v xml:space="preserve">LAUNA                                                                                               </v>
          </cell>
          <cell r="F105">
            <v>0</v>
          </cell>
          <cell r="G105" t="str">
            <v>MPG</v>
          </cell>
          <cell r="H105" t="str">
            <v>Direct</v>
          </cell>
          <cell r="I105">
            <v>1003</v>
          </cell>
          <cell r="J105" t="str">
            <v>Asarganj</v>
          </cell>
          <cell r="K105" t="str">
            <v>Old</v>
          </cell>
          <cell r="L105">
            <v>45091</v>
          </cell>
          <cell r="M105">
            <v>4048.7000000000003</v>
          </cell>
          <cell r="N105">
            <v>147874.55000000002</v>
          </cell>
          <cell r="O105">
            <v>3036.5250000000001</v>
          </cell>
          <cell r="P105">
            <v>3846.2649999999999</v>
          </cell>
          <cell r="Q105">
            <v>2907.2131356806804</v>
          </cell>
          <cell r="R105">
            <v>4436.2365</v>
          </cell>
          <cell r="S105">
            <v>589.97150000000011</v>
          </cell>
          <cell r="T105">
            <v>404.87000000000006</v>
          </cell>
          <cell r="U105">
            <v>119.73317101884065</v>
          </cell>
          <cell r="V105">
            <v>9265</v>
          </cell>
          <cell r="W105">
            <v>0</v>
          </cell>
          <cell r="X105">
            <v>356.50357817919576</v>
          </cell>
          <cell r="Y105">
            <v>0</v>
          </cell>
        </row>
        <row r="106">
          <cell r="D106">
            <v>10030038</v>
          </cell>
          <cell r="E106" t="str">
            <v>DULHAR</v>
          </cell>
          <cell r="F106">
            <v>0</v>
          </cell>
          <cell r="G106" t="str">
            <v>MPG</v>
          </cell>
          <cell r="H106" t="str">
            <v>Direct</v>
          </cell>
          <cell r="I106">
            <v>1003</v>
          </cell>
          <cell r="J106" t="str">
            <v>Asarganj</v>
          </cell>
          <cell r="K106" t="str">
            <v>Old</v>
          </cell>
          <cell r="L106">
            <v>45121</v>
          </cell>
          <cell r="M106">
            <v>1883.6</v>
          </cell>
          <cell r="N106">
            <v>77698.02</v>
          </cell>
          <cell r="O106">
            <v>1412.6999999999998</v>
          </cell>
          <cell r="P106">
            <v>1789.4199999999998</v>
          </cell>
          <cell r="Q106">
            <v>0</v>
          </cell>
          <cell r="R106">
            <v>2330.9405999999999</v>
          </cell>
          <cell r="S106">
            <v>541.52060000000006</v>
          </cell>
          <cell r="T106">
            <v>188.36</v>
          </cell>
          <cell r="U106">
            <v>921.29774903245107</v>
          </cell>
          <cell r="V106">
            <v>2092</v>
          </cell>
          <cell r="W106">
            <v>1861</v>
          </cell>
          <cell r="X106">
            <v>0</v>
          </cell>
          <cell r="Y106">
            <v>0</v>
          </cell>
        </row>
        <row r="107">
          <cell r="D107">
            <v>10030040</v>
          </cell>
          <cell r="E107" t="str">
            <v>Ghorpithiya - Vikas</v>
          </cell>
          <cell r="F107">
            <v>0</v>
          </cell>
          <cell r="G107" t="str">
            <v>vlc</v>
          </cell>
          <cell r="H107" t="str">
            <v>Indirect</v>
          </cell>
          <cell r="I107">
            <v>1003</v>
          </cell>
          <cell r="J107" t="str">
            <v>Asarganj</v>
          </cell>
          <cell r="K107" t="str">
            <v>Old</v>
          </cell>
          <cell r="L107">
            <v>45212</v>
          </cell>
          <cell r="M107">
            <v>2716</v>
          </cell>
          <cell r="N107">
            <v>109865.27</v>
          </cell>
          <cell r="O107">
            <v>2037</v>
          </cell>
          <cell r="P107">
            <v>2580.1999999999998</v>
          </cell>
          <cell r="Q107">
            <v>0</v>
          </cell>
          <cell r="R107">
            <v>3295.9580999999998</v>
          </cell>
          <cell r="S107">
            <v>715.75810000000001</v>
          </cell>
          <cell r="T107">
            <v>271.60000000000002</v>
          </cell>
          <cell r="U107">
            <v>586.24157525879923</v>
          </cell>
          <cell r="V107">
            <v>3759</v>
          </cell>
          <cell r="W107">
            <v>0</v>
          </cell>
          <cell r="X107">
            <v>0</v>
          </cell>
          <cell r="Y107">
            <v>0</v>
          </cell>
        </row>
        <row r="108">
          <cell r="D108">
            <v>10030041</v>
          </cell>
          <cell r="E108" t="str">
            <v>Akbarnagar - Rakhi</v>
          </cell>
          <cell r="F108">
            <v>0</v>
          </cell>
          <cell r="G108" t="str">
            <v>vlc</v>
          </cell>
          <cell r="H108" t="str">
            <v>Indirect</v>
          </cell>
          <cell r="I108">
            <v>1003</v>
          </cell>
          <cell r="J108" t="str">
            <v>Asarganj</v>
          </cell>
          <cell r="K108" t="str">
            <v>Old</v>
          </cell>
          <cell r="L108">
            <v>45212</v>
          </cell>
          <cell r="M108">
            <v>4764.7499999999991</v>
          </cell>
          <cell r="N108">
            <v>180216.72</v>
          </cell>
          <cell r="O108">
            <v>3573.5624999999991</v>
          </cell>
          <cell r="P108">
            <v>4526.5124999999989</v>
          </cell>
          <cell r="Q108">
            <v>0</v>
          </cell>
          <cell r="R108">
            <v>5406.5015999999996</v>
          </cell>
          <cell r="S108">
            <v>879.98910000000069</v>
          </cell>
          <cell r="T108">
            <v>476.47499999999991</v>
          </cell>
          <cell r="U108">
            <v>0</v>
          </cell>
          <cell r="V108">
            <v>7624</v>
          </cell>
          <cell r="W108">
            <v>0</v>
          </cell>
          <cell r="X108">
            <v>0</v>
          </cell>
          <cell r="Y108">
            <v>0</v>
          </cell>
        </row>
        <row r="109">
          <cell r="D109">
            <v>10030042</v>
          </cell>
          <cell r="E109" t="str">
            <v>Maheshi - Chamcham</v>
          </cell>
          <cell r="F109">
            <v>0</v>
          </cell>
          <cell r="G109" t="str">
            <v>vlc</v>
          </cell>
          <cell r="H109" t="str">
            <v>Indirect</v>
          </cell>
          <cell r="I109">
            <v>1003</v>
          </cell>
          <cell r="J109" t="str">
            <v>Asarganj</v>
          </cell>
          <cell r="K109" t="str">
            <v>Old</v>
          </cell>
          <cell r="L109">
            <v>45212</v>
          </cell>
          <cell r="M109">
            <v>2800</v>
          </cell>
          <cell r="N109">
            <v>103700</v>
          </cell>
          <cell r="O109">
            <v>2100</v>
          </cell>
          <cell r="P109">
            <v>2660</v>
          </cell>
          <cell r="Q109">
            <v>0</v>
          </cell>
          <cell r="R109">
            <v>3111</v>
          </cell>
          <cell r="S109">
            <v>451</v>
          </cell>
          <cell r="T109">
            <v>280</v>
          </cell>
          <cell r="U109">
            <v>293.95266666666674</v>
          </cell>
          <cell r="V109">
            <v>4186</v>
          </cell>
          <cell r="W109">
            <v>0</v>
          </cell>
          <cell r="X109">
            <v>0</v>
          </cell>
          <cell r="Y109">
            <v>0</v>
          </cell>
        </row>
        <row r="110">
          <cell r="D110">
            <v>10030043</v>
          </cell>
          <cell r="E110" t="str">
            <v>Ghorpithiya - Dheeraj</v>
          </cell>
          <cell r="F110">
            <v>0</v>
          </cell>
          <cell r="G110" t="str">
            <v>vlc</v>
          </cell>
          <cell r="H110" t="str">
            <v>Indirect</v>
          </cell>
          <cell r="I110">
            <v>1003</v>
          </cell>
          <cell r="J110" t="str">
            <v>Asarganj</v>
          </cell>
          <cell r="K110" t="str">
            <v>Old</v>
          </cell>
          <cell r="L110">
            <v>45212</v>
          </cell>
          <cell r="M110">
            <v>23341</v>
          </cell>
          <cell r="N110">
            <v>864247.81</v>
          </cell>
          <cell r="O110">
            <v>17505.75</v>
          </cell>
          <cell r="P110">
            <v>22173.95</v>
          </cell>
          <cell r="Q110">
            <v>0</v>
          </cell>
          <cell r="R110">
            <v>25927.434300000001</v>
          </cell>
          <cell r="S110">
            <v>3753.4843000000001</v>
          </cell>
          <cell r="T110">
            <v>2334.1</v>
          </cell>
          <cell r="U110">
            <v>0</v>
          </cell>
          <cell r="V110">
            <v>37346</v>
          </cell>
          <cell r="W110">
            <v>0</v>
          </cell>
          <cell r="X110">
            <v>0</v>
          </cell>
          <cell r="Y110">
            <v>0</v>
          </cell>
        </row>
        <row r="111">
          <cell r="D111">
            <v>10030044</v>
          </cell>
          <cell r="E111" t="str">
            <v>Asarganj Chhotki Tola - Akash</v>
          </cell>
          <cell r="F111">
            <v>0</v>
          </cell>
          <cell r="G111" t="str">
            <v>vlc</v>
          </cell>
          <cell r="H111" t="str">
            <v>Indirect</v>
          </cell>
          <cell r="I111">
            <v>1003</v>
          </cell>
          <cell r="J111" t="str">
            <v>Asarganj</v>
          </cell>
          <cell r="K111" t="str">
            <v>Old</v>
          </cell>
          <cell r="L111">
            <v>45212</v>
          </cell>
          <cell r="M111">
            <v>23841</v>
          </cell>
          <cell r="N111">
            <v>883056.49000000011</v>
          </cell>
          <cell r="O111">
            <v>17880.75</v>
          </cell>
          <cell r="P111">
            <v>22648.95</v>
          </cell>
          <cell r="Q111">
            <v>0</v>
          </cell>
          <cell r="R111">
            <v>26491.694700000004</v>
          </cell>
          <cell r="S111">
            <v>3842.7447000000029</v>
          </cell>
          <cell r="T111">
            <v>2384.1</v>
          </cell>
          <cell r="U111">
            <v>0</v>
          </cell>
          <cell r="V111">
            <v>38146</v>
          </cell>
          <cell r="W111">
            <v>0</v>
          </cell>
          <cell r="X111">
            <v>0</v>
          </cell>
          <cell r="Y111">
            <v>0</v>
          </cell>
        </row>
        <row r="112">
          <cell r="D112">
            <v>10030045</v>
          </cell>
          <cell r="E112" t="str">
            <v>Manikpur - Golu</v>
          </cell>
          <cell r="F112">
            <v>0</v>
          </cell>
          <cell r="G112" t="str">
            <v>vlc</v>
          </cell>
          <cell r="H112" t="str">
            <v>Indirect</v>
          </cell>
          <cell r="I112">
            <v>1003</v>
          </cell>
          <cell r="J112" t="str">
            <v>Asarganj</v>
          </cell>
          <cell r="K112" t="str">
            <v>Old</v>
          </cell>
          <cell r="L112">
            <v>45212</v>
          </cell>
          <cell r="M112">
            <v>2900</v>
          </cell>
          <cell r="N112">
            <v>107883</v>
          </cell>
          <cell r="O112">
            <v>2175</v>
          </cell>
          <cell r="P112">
            <v>2755</v>
          </cell>
          <cell r="Q112">
            <v>0</v>
          </cell>
          <cell r="R112">
            <v>3236.49</v>
          </cell>
          <cell r="S112">
            <v>481.48999999999978</v>
          </cell>
          <cell r="T112">
            <v>290</v>
          </cell>
          <cell r="U112">
            <v>220.70800000000003</v>
          </cell>
          <cell r="V112">
            <v>4419</v>
          </cell>
          <cell r="W112">
            <v>0</v>
          </cell>
          <cell r="X112">
            <v>0</v>
          </cell>
          <cell r="Y112">
            <v>0</v>
          </cell>
        </row>
        <row r="113">
          <cell r="D113">
            <v>10030046</v>
          </cell>
          <cell r="E113" t="str">
            <v>Rangaon - Jayram</v>
          </cell>
          <cell r="F113">
            <v>0</v>
          </cell>
          <cell r="G113" t="str">
            <v>vlc</v>
          </cell>
          <cell r="H113" t="str">
            <v>Indirect</v>
          </cell>
          <cell r="I113">
            <v>1003</v>
          </cell>
          <cell r="J113" t="str">
            <v>Asarganj</v>
          </cell>
          <cell r="K113" t="str">
            <v>Old</v>
          </cell>
          <cell r="L113">
            <v>45212</v>
          </cell>
          <cell r="M113">
            <v>2900</v>
          </cell>
          <cell r="N113">
            <v>107765</v>
          </cell>
          <cell r="O113">
            <v>2175</v>
          </cell>
          <cell r="P113">
            <v>2755</v>
          </cell>
          <cell r="Q113">
            <v>0</v>
          </cell>
          <cell r="R113">
            <v>3232.95</v>
          </cell>
          <cell r="S113">
            <v>477.94999999999982</v>
          </cell>
          <cell r="T113">
            <v>290</v>
          </cell>
          <cell r="U113">
            <v>219.97200000000004</v>
          </cell>
          <cell r="V113">
            <v>4420</v>
          </cell>
          <cell r="W113">
            <v>0</v>
          </cell>
          <cell r="X113">
            <v>0</v>
          </cell>
          <cell r="Y113">
            <v>0</v>
          </cell>
        </row>
        <row r="114">
          <cell r="D114">
            <v>10030047</v>
          </cell>
          <cell r="E114" t="str">
            <v>Karso - Aparajita</v>
          </cell>
          <cell r="F114">
            <v>0</v>
          </cell>
          <cell r="G114" t="str">
            <v>vlc</v>
          </cell>
          <cell r="H114" t="str">
            <v>Indirect</v>
          </cell>
          <cell r="I114">
            <v>1003</v>
          </cell>
          <cell r="J114" t="str">
            <v>Asarganj</v>
          </cell>
          <cell r="K114" t="str">
            <v>Old</v>
          </cell>
          <cell r="L114">
            <v>45212</v>
          </cell>
          <cell r="M114">
            <v>2700</v>
          </cell>
          <cell r="N114">
            <v>100201</v>
          </cell>
          <cell r="O114">
            <v>2025</v>
          </cell>
          <cell r="P114">
            <v>2565</v>
          </cell>
          <cell r="Q114">
            <v>0</v>
          </cell>
          <cell r="R114">
            <v>3006.0299999999997</v>
          </cell>
          <cell r="S114">
            <v>441.02999999999975</v>
          </cell>
          <cell r="T114">
            <v>270</v>
          </cell>
          <cell r="U114">
            <v>368.55599999999998</v>
          </cell>
          <cell r="V114">
            <v>3951</v>
          </cell>
          <cell r="W114">
            <v>0</v>
          </cell>
          <cell r="X114">
            <v>0</v>
          </cell>
          <cell r="Y114">
            <v>0</v>
          </cell>
        </row>
        <row r="115">
          <cell r="D115">
            <v>10030048</v>
          </cell>
          <cell r="E115" t="str">
            <v>Unchagaon - Niraj</v>
          </cell>
          <cell r="F115">
            <v>0</v>
          </cell>
          <cell r="G115" t="str">
            <v>vlc</v>
          </cell>
          <cell r="H115" t="str">
            <v>Indirect</v>
          </cell>
          <cell r="I115">
            <v>1003</v>
          </cell>
          <cell r="J115" t="str">
            <v>Asarganj</v>
          </cell>
          <cell r="K115" t="str">
            <v>Old</v>
          </cell>
          <cell r="L115">
            <v>45212</v>
          </cell>
          <cell r="M115">
            <v>2700</v>
          </cell>
          <cell r="N115">
            <v>100135</v>
          </cell>
          <cell r="O115">
            <v>2025</v>
          </cell>
          <cell r="P115">
            <v>2565</v>
          </cell>
          <cell r="Q115">
            <v>0</v>
          </cell>
          <cell r="R115">
            <v>3004.0499999999997</v>
          </cell>
          <cell r="S115">
            <v>439.04999999999973</v>
          </cell>
          <cell r="T115">
            <v>270</v>
          </cell>
          <cell r="U115">
            <v>368.34</v>
          </cell>
          <cell r="V115">
            <v>3952</v>
          </cell>
          <cell r="W115">
            <v>0</v>
          </cell>
          <cell r="X115">
            <v>0</v>
          </cell>
          <cell r="Y115">
            <v>0</v>
          </cell>
        </row>
        <row r="116">
          <cell r="D116">
            <v>10030049</v>
          </cell>
          <cell r="E116" t="str">
            <v>SRIRAMPUR</v>
          </cell>
          <cell r="F116">
            <v>0</v>
          </cell>
          <cell r="G116" t="str">
            <v>MPG</v>
          </cell>
          <cell r="H116" t="str">
            <v>Direct</v>
          </cell>
          <cell r="I116">
            <v>1003</v>
          </cell>
          <cell r="J116" t="str">
            <v>Asarganj</v>
          </cell>
          <cell r="K116" t="str">
            <v>Old</v>
          </cell>
          <cell r="L116">
            <v>45236</v>
          </cell>
          <cell r="M116">
            <v>2519.5</v>
          </cell>
          <cell r="N116">
            <v>83160.340000000011</v>
          </cell>
          <cell r="O116">
            <v>1889.625</v>
          </cell>
          <cell r="P116">
            <v>2393.5250000000001</v>
          </cell>
          <cell r="Q116">
            <v>0</v>
          </cell>
          <cell r="R116">
            <v>2494.8102000000003</v>
          </cell>
          <cell r="S116">
            <v>101.28520000000026</v>
          </cell>
          <cell r="T116">
            <v>251.95000000000002</v>
          </cell>
          <cell r="U116">
            <v>405.56355079979386</v>
          </cell>
          <cell r="V116">
            <v>3626</v>
          </cell>
          <cell r="W116">
            <v>1861</v>
          </cell>
          <cell r="X116">
            <v>0</v>
          </cell>
          <cell r="Y116">
            <v>0</v>
          </cell>
        </row>
        <row r="117">
          <cell r="D117">
            <v>10030050</v>
          </cell>
          <cell r="E117" t="str">
            <v>PAIN</v>
          </cell>
          <cell r="F117">
            <v>0</v>
          </cell>
          <cell r="G117" t="str">
            <v>MPG</v>
          </cell>
          <cell r="H117" t="str">
            <v>Direct</v>
          </cell>
          <cell r="I117">
            <v>1003</v>
          </cell>
          <cell r="J117" t="str">
            <v>Asarganj</v>
          </cell>
          <cell r="K117" t="str">
            <v>Old</v>
          </cell>
          <cell r="L117">
            <v>45236</v>
          </cell>
          <cell r="M117">
            <v>3950.3</v>
          </cell>
          <cell r="N117">
            <v>139580.63</v>
          </cell>
          <cell r="O117">
            <v>2962.7250000000004</v>
          </cell>
          <cell r="P117">
            <v>3752.7849999999999</v>
          </cell>
          <cell r="Q117">
            <v>1695.0667585698002</v>
          </cell>
          <cell r="R117">
            <v>4187.4188999999997</v>
          </cell>
          <cell r="S117">
            <v>434.63389999999981</v>
          </cell>
          <cell r="T117">
            <v>395.03000000000003</v>
          </cell>
          <cell r="U117">
            <v>77.065736372133259</v>
          </cell>
          <cell r="V117">
            <v>7938</v>
          </cell>
          <cell r="W117">
            <v>2791.6125999999999</v>
          </cell>
          <cell r="X117">
            <v>0</v>
          </cell>
          <cell r="Y117">
            <v>0</v>
          </cell>
        </row>
        <row r="118">
          <cell r="D118">
            <v>10030051</v>
          </cell>
          <cell r="E118" t="str">
            <v>MOTICHAK</v>
          </cell>
          <cell r="F118">
            <v>0</v>
          </cell>
          <cell r="G118" t="str">
            <v>MPG</v>
          </cell>
          <cell r="H118" t="str">
            <v>Direct</v>
          </cell>
          <cell r="I118">
            <v>1003</v>
          </cell>
          <cell r="J118" t="str">
            <v>Asarganj</v>
          </cell>
          <cell r="K118" t="str">
            <v>Old</v>
          </cell>
          <cell r="L118">
            <v>45236</v>
          </cell>
          <cell r="M118">
            <v>6513.6499999999987</v>
          </cell>
          <cell r="N118">
            <v>235423.97999999998</v>
          </cell>
          <cell r="O118">
            <v>4885.2374999999993</v>
          </cell>
          <cell r="P118">
            <v>6187.9674999999988</v>
          </cell>
          <cell r="Q118">
            <v>8210.3989858308014</v>
          </cell>
          <cell r="R118">
            <v>7062.719399999999</v>
          </cell>
          <cell r="S118">
            <v>874.75190000000021</v>
          </cell>
          <cell r="T118">
            <v>651.3649999999999</v>
          </cell>
          <cell r="U118">
            <v>0</v>
          </cell>
          <cell r="V118">
            <v>18632</v>
          </cell>
          <cell r="W118">
            <v>0</v>
          </cell>
          <cell r="X118">
            <v>0</v>
          </cell>
          <cell r="Y118">
            <v>0</v>
          </cell>
        </row>
        <row r="119">
          <cell r="D119">
            <v>10030053</v>
          </cell>
          <cell r="E119" t="str">
            <v>MIRATTHI</v>
          </cell>
          <cell r="F119">
            <v>0</v>
          </cell>
          <cell r="G119" t="str">
            <v>MPG</v>
          </cell>
          <cell r="H119" t="str">
            <v>Direct</v>
          </cell>
          <cell r="I119">
            <v>1003</v>
          </cell>
          <cell r="J119" t="str">
            <v>Asarganj</v>
          </cell>
          <cell r="K119" t="str">
            <v>Old</v>
          </cell>
          <cell r="L119">
            <v>45236</v>
          </cell>
          <cell r="M119">
            <v>1292.45</v>
          </cell>
          <cell r="N119">
            <v>50721.5</v>
          </cell>
          <cell r="O119">
            <v>969.33750000000009</v>
          </cell>
          <cell r="P119">
            <v>1227.8274999999999</v>
          </cell>
          <cell r="Q119">
            <v>161.89588602000001</v>
          </cell>
          <cell r="R119">
            <v>1521.645</v>
          </cell>
          <cell r="S119">
            <v>293.81750000000011</v>
          </cell>
          <cell r="T119">
            <v>129.245</v>
          </cell>
          <cell r="U119">
            <v>1328.7447653037111</v>
          </cell>
          <cell r="V119">
            <v>901</v>
          </cell>
          <cell r="W119">
            <v>901</v>
          </cell>
          <cell r="X119">
            <v>0</v>
          </cell>
          <cell r="Y119">
            <v>0</v>
          </cell>
        </row>
        <row r="120">
          <cell r="D120">
            <v>10030055</v>
          </cell>
          <cell r="E120" t="str">
            <v>DAULATPUR</v>
          </cell>
          <cell r="F120">
            <v>0</v>
          </cell>
          <cell r="G120" t="str">
            <v>MPG</v>
          </cell>
          <cell r="H120" t="str">
            <v>Direct</v>
          </cell>
          <cell r="I120">
            <v>1003</v>
          </cell>
          <cell r="J120" t="str">
            <v>Asarganj</v>
          </cell>
          <cell r="K120" t="str">
            <v>Old</v>
          </cell>
          <cell r="L120">
            <v>45236</v>
          </cell>
          <cell r="M120">
            <v>1452.55</v>
          </cell>
          <cell r="N120">
            <v>58173.39</v>
          </cell>
          <cell r="O120">
            <v>1089.4124999999999</v>
          </cell>
          <cell r="P120">
            <v>1379.9224999999999</v>
          </cell>
          <cell r="Q120">
            <v>489.09652744804998</v>
          </cell>
          <cell r="R120">
            <v>1745.2016999999998</v>
          </cell>
          <cell r="S120">
            <v>365.27919999999995</v>
          </cell>
          <cell r="T120">
            <v>145.255</v>
          </cell>
          <cell r="U120">
            <v>1241.5757652937496</v>
          </cell>
          <cell r="V120">
            <v>1572</v>
          </cell>
          <cell r="W120">
            <v>861</v>
          </cell>
          <cell r="X120">
            <v>0</v>
          </cell>
          <cell r="Y120">
            <v>0</v>
          </cell>
        </row>
        <row r="121">
          <cell r="D121">
            <v>10030056</v>
          </cell>
          <cell r="E121" t="str">
            <v>MOHADDIPUR</v>
          </cell>
          <cell r="F121">
            <v>0</v>
          </cell>
          <cell r="G121" t="str">
            <v>MPG</v>
          </cell>
          <cell r="H121" t="str">
            <v>Direct</v>
          </cell>
          <cell r="I121">
            <v>1003</v>
          </cell>
          <cell r="J121" t="str">
            <v>Asarganj</v>
          </cell>
          <cell r="K121" t="str">
            <v>Old</v>
          </cell>
          <cell r="L121">
            <v>45219</v>
          </cell>
          <cell r="M121">
            <v>850.1</v>
          </cell>
          <cell r="N121">
            <v>31389.08</v>
          </cell>
          <cell r="O121">
            <v>637.57500000000005</v>
          </cell>
          <cell r="P121">
            <v>807.59500000000003</v>
          </cell>
          <cell r="Q121">
            <v>0</v>
          </cell>
          <cell r="R121">
            <v>941.67240000000004</v>
          </cell>
          <cell r="S121">
            <v>134.07740000000001</v>
          </cell>
          <cell r="T121">
            <v>85.01</v>
          </cell>
          <cell r="U121">
            <v>1360.6336297660725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D122">
            <v>10030059</v>
          </cell>
          <cell r="E122" t="str">
            <v>JHAJHA</v>
          </cell>
          <cell r="F122">
            <v>0</v>
          </cell>
          <cell r="G122" t="str">
            <v>MPG</v>
          </cell>
          <cell r="H122" t="str">
            <v>Direct</v>
          </cell>
          <cell r="I122">
            <v>1003</v>
          </cell>
          <cell r="J122" t="str">
            <v>Asarganj</v>
          </cell>
          <cell r="K122" t="str">
            <v>Old</v>
          </cell>
          <cell r="L122">
            <v>45323</v>
          </cell>
          <cell r="M122">
            <v>2450.25</v>
          </cell>
          <cell r="N122">
            <v>102641.12000000001</v>
          </cell>
          <cell r="O122">
            <v>1837.6875</v>
          </cell>
          <cell r="P122">
            <v>2327.7374999999997</v>
          </cell>
          <cell r="Q122">
            <v>666.57156275160003</v>
          </cell>
          <cell r="R122">
            <v>3079.2336</v>
          </cell>
          <cell r="S122">
            <v>751.4961000000003</v>
          </cell>
          <cell r="T122">
            <v>245.02500000000001</v>
          </cell>
          <cell r="U122">
            <v>459.94112050898013</v>
          </cell>
          <cell r="V122">
            <v>4127</v>
          </cell>
          <cell r="W122">
            <v>2052.8224</v>
          </cell>
          <cell r="X122">
            <v>0</v>
          </cell>
          <cell r="Y122">
            <v>0</v>
          </cell>
        </row>
        <row r="123">
          <cell r="D123">
            <v>10030060</v>
          </cell>
          <cell r="E123" t="str">
            <v>KAMARDUH</v>
          </cell>
          <cell r="F123">
            <v>0</v>
          </cell>
          <cell r="G123" t="str">
            <v>MPG</v>
          </cell>
          <cell r="H123" t="str">
            <v>Direct</v>
          </cell>
          <cell r="I123">
            <v>1003</v>
          </cell>
          <cell r="J123" t="str">
            <v>Asarganj</v>
          </cell>
          <cell r="K123" t="str">
            <v>Old</v>
          </cell>
          <cell r="L123">
            <v>45323</v>
          </cell>
          <cell r="M123">
            <v>3437.25</v>
          </cell>
          <cell r="N123">
            <v>140948.56</v>
          </cell>
          <cell r="O123">
            <v>2577.9375</v>
          </cell>
          <cell r="P123">
            <v>3265.3874999999998</v>
          </cell>
          <cell r="Q123">
            <v>1195.0900097520002</v>
          </cell>
          <cell r="R123">
            <v>4228.4567999999999</v>
          </cell>
          <cell r="S123">
            <v>963.06930000000011</v>
          </cell>
          <cell r="T123">
            <v>343.72500000000002</v>
          </cell>
          <cell r="U123">
            <v>0</v>
          </cell>
          <cell r="V123">
            <v>6695</v>
          </cell>
          <cell r="W123">
            <v>2818.9712</v>
          </cell>
          <cell r="X123">
            <v>0</v>
          </cell>
          <cell r="Y123">
            <v>0</v>
          </cell>
        </row>
        <row r="124">
          <cell r="D124">
            <v>10030061</v>
          </cell>
          <cell r="E124" t="str">
            <v>BARSABAD</v>
          </cell>
          <cell r="F124">
            <v>0</v>
          </cell>
          <cell r="G124" t="str">
            <v>MPG</v>
          </cell>
          <cell r="H124" t="str">
            <v>Direct</v>
          </cell>
          <cell r="I124">
            <v>1003</v>
          </cell>
          <cell r="J124" t="str">
            <v>Asarganj</v>
          </cell>
          <cell r="K124" t="str">
            <v>Old</v>
          </cell>
          <cell r="L124">
            <v>45323</v>
          </cell>
          <cell r="M124">
            <v>2940.85</v>
          </cell>
          <cell r="N124">
            <v>97363.22</v>
          </cell>
          <cell r="O124">
            <v>2205.6374999999998</v>
          </cell>
          <cell r="P124">
            <v>2793.8074999999999</v>
          </cell>
          <cell r="Q124">
            <v>1737.6425078958</v>
          </cell>
          <cell r="R124">
            <v>2920.8966</v>
          </cell>
          <cell r="S124">
            <v>127.08910000000014</v>
          </cell>
          <cell r="T124">
            <v>294.08499999999998</v>
          </cell>
          <cell r="U124">
            <v>49.806520669526847</v>
          </cell>
          <cell r="V124">
            <v>6393</v>
          </cell>
          <cell r="W124">
            <v>1947.2644</v>
          </cell>
          <cell r="X124">
            <v>0</v>
          </cell>
          <cell r="Y124">
            <v>0</v>
          </cell>
        </row>
        <row r="125">
          <cell r="D125">
            <v>10030063</v>
          </cell>
          <cell r="E125" t="str">
            <v>GONAI</v>
          </cell>
          <cell r="F125">
            <v>0</v>
          </cell>
          <cell r="G125" t="str">
            <v>MPG</v>
          </cell>
          <cell r="H125" t="str">
            <v>Direct</v>
          </cell>
          <cell r="I125">
            <v>1003</v>
          </cell>
          <cell r="J125" t="str">
            <v>Asarganj</v>
          </cell>
          <cell r="K125" t="str">
            <v>Old</v>
          </cell>
          <cell r="L125">
            <v>45541</v>
          </cell>
          <cell r="M125">
            <v>3095.9</v>
          </cell>
          <cell r="N125">
            <v>121532.70999999999</v>
          </cell>
          <cell r="O125">
            <v>2321.9250000000002</v>
          </cell>
          <cell r="P125">
            <v>2941.105</v>
          </cell>
          <cell r="Q125">
            <v>557.15634410100006</v>
          </cell>
          <cell r="R125">
            <v>3645.9812999999995</v>
          </cell>
          <cell r="S125">
            <v>704.87629999999945</v>
          </cell>
          <cell r="T125">
            <v>309.59000000000003</v>
          </cell>
          <cell r="U125">
            <v>271.3399011360533</v>
          </cell>
          <cell r="V125">
            <v>5239</v>
          </cell>
          <cell r="W125">
            <v>2430.6541999999999</v>
          </cell>
          <cell r="X125">
            <v>0</v>
          </cell>
          <cell r="Y125">
            <v>0</v>
          </cell>
        </row>
        <row r="126">
          <cell r="D126">
            <v>10030064</v>
          </cell>
          <cell r="E126" t="str">
            <v>SHIKARITOLA</v>
          </cell>
          <cell r="F126">
            <v>0</v>
          </cell>
          <cell r="G126" t="str">
            <v>MPG</v>
          </cell>
          <cell r="H126" t="str">
            <v>Direct</v>
          </cell>
          <cell r="I126">
            <v>1003</v>
          </cell>
          <cell r="J126" t="str">
            <v>Asarganj</v>
          </cell>
          <cell r="K126" t="str">
            <v>Old</v>
          </cell>
          <cell r="L126">
            <v>45505</v>
          </cell>
          <cell r="M126">
            <v>3948.2</v>
          </cell>
          <cell r="N126">
            <v>154587.29999999999</v>
          </cell>
          <cell r="O126">
            <v>2961.1499999999996</v>
          </cell>
          <cell r="P126">
            <v>3750.7899999999995</v>
          </cell>
          <cell r="Q126">
            <v>0</v>
          </cell>
          <cell r="R126">
            <v>4637.6189999999997</v>
          </cell>
          <cell r="S126">
            <v>886.82900000000018</v>
          </cell>
          <cell r="T126">
            <v>394.82</v>
          </cell>
          <cell r="U126">
            <v>0</v>
          </cell>
          <cell r="V126">
            <v>6317</v>
          </cell>
          <cell r="W126">
            <v>3091.7459999999996</v>
          </cell>
          <cell r="X126">
            <v>0</v>
          </cell>
          <cell r="Y126">
            <v>0</v>
          </cell>
        </row>
        <row r="127">
          <cell r="D127">
            <v>10030065</v>
          </cell>
          <cell r="E127" t="str">
            <v>BAIKUNTHPUR</v>
          </cell>
          <cell r="F127">
            <v>0</v>
          </cell>
          <cell r="G127" t="str">
            <v>MPG</v>
          </cell>
          <cell r="H127" t="str">
            <v>Direct</v>
          </cell>
          <cell r="I127">
            <v>1003</v>
          </cell>
          <cell r="J127" t="str">
            <v>Asarganj</v>
          </cell>
          <cell r="K127" t="str">
            <v>Old</v>
          </cell>
          <cell r="L127">
            <v>45631</v>
          </cell>
          <cell r="M127">
            <v>614.70000000000005</v>
          </cell>
          <cell r="N127">
            <v>21918.799999999999</v>
          </cell>
          <cell r="O127">
            <v>461.02500000000003</v>
          </cell>
          <cell r="P127">
            <v>583.96500000000003</v>
          </cell>
          <cell r="Q127">
            <v>415.79862621659998</v>
          </cell>
          <cell r="R127">
            <v>657.56399999999996</v>
          </cell>
          <cell r="S127">
            <v>73.598999999999933</v>
          </cell>
          <cell r="T127">
            <v>61.470000000000006</v>
          </cell>
          <cell r="U127">
            <v>1399.2706199936633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D128">
            <v>10030066</v>
          </cell>
          <cell r="E128" t="str">
            <v>KAITHA</v>
          </cell>
          <cell r="F128">
            <v>0</v>
          </cell>
          <cell r="G128" t="str">
            <v>MPG</v>
          </cell>
          <cell r="H128" t="str">
            <v>Direct</v>
          </cell>
          <cell r="I128">
            <v>1003</v>
          </cell>
          <cell r="J128" t="str">
            <v>Asarganj</v>
          </cell>
          <cell r="K128" t="str">
            <v>Old</v>
          </cell>
          <cell r="L128">
            <v>45631</v>
          </cell>
          <cell r="M128">
            <v>6831.45</v>
          </cell>
          <cell r="N128">
            <v>255174.79000000004</v>
          </cell>
          <cell r="O128">
            <v>5123.5874999999996</v>
          </cell>
          <cell r="P128">
            <v>6489.8774999999996</v>
          </cell>
          <cell r="Q128">
            <v>2921.2161358957842</v>
          </cell>
          <cell r="R128">
            <v>7655.2437000000009</v>
          </cell>
          <cell r="S128">
            <v>1165.3662000000013</v>
          </cell>
          <cell r="T128">
            <v>683.14499999999998</v>
          </cell>
          <cell r="U128">
            <v>0</v>
          </cell>
          <cell r="V128">
            <v>13852</v>
          </cell>
          <cell r="W128">
            <v>5103.4958000000006</v>
          </cell>
          <cell r="X128">
            <v>0</v>
          </cell>
          <cell r="Y128">
            <v>0</v>
          </cell>
        </row>
        <row r="129">
          <cell r="D129">
            <v>10030069</v>
          </cell>
          <cell r="E129" t="str">
            <v>RAGHUNATHPUR</v>
          </cell>
          <cell r="F129">
            <v>0</v>
          </cell>
          <cell r="G129" t="str">
            <v>vlc</v>
          </cell>
          <cell r="H129" t="str">
            <v>Indirect</v>
          </cell>
          <cell r="I129">
            <v>1003</v>
          </cell>
          <cell r="J129" t="str">
            <v>Asarganj</v>
          </cell>
          <cell r="K129" t="str">
            <v>Old</v>
          </cell>
          <cell r="L129">
            <v>45680</v>
          </cell>
          <cell r="M129">
            <v>1933.0499999999997</v>
          </cell>
          <cell r="N129">
            <v>67063.16</v>
          </cell>
          <cell r="O129">
            <v>1449.7874999999999</v>
          </cell>
          <cell r="P129">
            <v>1836.3974999999996</v>
          </cell>
          <cell r="Q129">
            <v>0</v>
          </cell>
          <cell r="R129">
            <v>2011.8948</v>
          </cell>
          <cell r="S129">
            <v>175.49730000000045</v>
          </cell>
          <cell r="T129">
            <v>193.30499999999998</v>
          </cell>
          <cell r="U129">
            <v>733.7361662182152</v>
          </cell>
          <cell r="V129">
            <v>2359</v>
          </cell>
          <cell r="W129">
            <v>1861</v>
          </cell>
          <cell r="X129">
            <v>0</v>
          </cell>
          <cell r="Y129">
            <v>0</v>
          </cell>
        </row>
        <row r="130">
          <cell r="D130">
            <v>10030070</v>
          </cell>
          <cell r="E130" t="str">
            <v>BANGAMA</v>
          </cell>
          <cell r="F130">
            <v>0</v>
          </cell>
          <cell r="G130" t="str">
            <v>MPG</v>
          </cell>
          <cell r="H130" t="str">
            <v>Direct</v>
          </cell>
          <cell r="I130">
            <v>1003</v>
          </cell>
          <cell r="J130" t="str">
            <v>Asarganj</v>
          </cell>
          <cell r="K130" t="str">
            <v>Old</v>
          </cell>
          <cell r="L130">
            <v>45738</v>
          </cell>
          <cell r="M130">
            <v>2760.2000000000007</v>
          </cell>
          <cell r="N130">
            <v>110003.51000000001</v>
          </cell>
          <cell r="O130">
            <v>2070.1500000000005</v>
          </cell>
          <cell r="P130">
            <v>2622.1900000000005</v>
          </cell>
          <cell r="Q130">
            <v>2395.6933128700002</v>
          </cell>
          <cell r="R130">
            <v>3300.1053000000002</v>
          </cell>
          <cell r="S130">
            <v>677.91529999999966</v>
          </cell>
          <cell r="T130">
            <v>276.0200000000001</v>
          </cell>
          <cell r="U130">
            <v>233.35042794978852</v>
          </cell>
          <cell r="V130">
            <v>6579</v>
          </cell>
          <cell r="W130">
            <v>2200.0702000000001</v>
          </cell>
          <cell r="X130">
            <v>0</v>
          </cell>
          <cell r="Y130">
            <v>0</v>
          </cell>
        </row>
        <row r="131">
          <cell r="D131">
            <v>10030071</v>
          </cell>
          <cell r="E131" t="str">
            <v>KORIYA</v>
          </cell>
          <cell r="F131">
            <v>0</v>
          </cell>
          <cell r="G131" t="str">
            <v>MPG</v>
          </cell>
          <cell r="H131" t="str">
            <v>Direct</v>
          </cell>
          <cell r="I131">
            <v>1003</v>
          </cell>
          <cell r="J131" t="str">
            <v>Asarganj</v>
          </cell>
          <cell r="K131" t="str">
            <v>Old</v>
          </cell>
          <cell r="L131">
            <v>45737</v>
          </cell>
          <cell r="M131">
            <v>525.65000000000009</v>
          </cell>
          <cell r="N131">
            <v>22762.71</v>
          </cell>
          <cell r="O131">
            <v>394.23750000000007</v>
          </cell>
          <cell r="P131">
            <v>499.36750000000006</v>
          </cell>
          <cell r="Q131">
            <v>0</v>
          </cell>
          <cell r="R131">
            <v>682.8812999999999</v>
          </cell>
          <cell r="S131">
            <v>183.51379999999983</v>
          </cell>
          <cell r="T131">
            <v>52.565000000000012</v>
          </cell>
          <cell r="U131">
            <v>841.05564532047447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>
            <v>10030072</v>
          </cell>
          <cell r="E132" t="str">
            <v>HARLACHAK</v>
          </cell>
          <cell r="F132">
            <v>0</v>
          </cell>
          <cell r="G132" t="str">
            <v>MPG</v>
          </cell>
          <cell r="H132" t="str">
            <v>Direct</v>
          </cell>
          <cell r="I132">
            <v>1003</v>
          </cell>
          <cell r="J132" t="str">
            <v>Asarganj</v>
          </cell>
          <cell r="K132" t="str">
            <v>Old</v>
          </cell>
          <cell r="L132">
            <v>45847</v>
          </cell>
          <cell r="M132">
            <v>4255.8500000000004</v>
          </cell>
          <cell r="N132">
            <v>161496.65</v>
          </cell>
          <cell r="O132">
            <v>3191.8875000000003</v>
          </cell>
          <cell r="P132">
            <v>4043.0575000000003</v>
          </cell>
          <cell r="Q132">
            <v>1654.0020006840002</v>
          </cell>
          <cell r="R132">
            <v>4844.8994999999995</v>
          </cell>
          <cell r="S132">
            <v>801.84199999999919</v>
          </cell>
          <cell r="T132">
            <v>425.58500000000004</v>
          </cell>
          <cell r="U132">
            <v>0</v>
          </cell>
          <cell r="V132">
            <v>8463</v>
          </cell>
          <cell r="W132">
            <v>3229.933</v>
          </cell>
          <cell r="X132">
            <v>0</v>
          </cell>
          <cell r="Y132">
            <v>0</v>
          </cell>
        </row>
        <row r="133">
          <cell r="D133">
            <v>10030075</v>
          </cell>
          <cell r="E133" t="str">
            <v>KATAHRA</v>
          </cell>
          <cell r="F133">
            <v>0</v>
          </cell>
          <cell r="G133" t="str">
            <v>MPG</v>
          </cell>
          <cell r="H133" t="str">
            <v>Direct</v>
          </cell>
          <cell r="I133">
            <v>1003</v>
          </cell>
          <cell r="J133" t="str">
            <v>Asarganj</v>
          </cell>
          <cell r="K133" t="str">
            <v>Old</v>
          </cell>
          <cell r="L133">
            <v>45869</v>
          </cell>
          <cell r="M133">
            <v>1187.6500000000001</v>
          </cell>
          <cell r="N133">
            <v>46027.270000000004</v>
          </cell>
          <cell r="O133">
            <v>890.73750000000007</v>
          </cell>
          <cell r="P133">
            <v>1128.2674999999999</v>
          </cell>
          <cell r="Q133">
            <v>0</v>
          </cell>
          <cell r="R133">
            <v>1380.8181</v>
          </cell>
          <cell r="S133">
            <v>252.55060000000003</v>
          </cell>
          <cell r="T133">
            <v>118.76500000000001</v>
          </cell>
          <cell r="U133">
            <v>1417.3637715376112</v>
          </cell>
          <cell r="V133">
            <v>483</v>
          </cell>
          <cell r="W133">
            <v>483</v>
          </cell>
          <cell r="X133">
            <v>0</v>
          </cell>
          <cell r="Y133">
            <v>0</v>
          </cell>
        </row>
        <row r="134">
          <cell r="D134">
            <v>10060002</v>
          </cell>
          <cell r="E134" t="str">
            <v>MANO</v>
          </cell>
          <cell r="F134">
            <v>0</v>
          </cell>
          <cell r="G134" t="str">
            <v>vlc</v>
          </cell>
          <cell r="H134" t="str">
            <v>Indirect</v>
          </cell>
          <cell r="I134">
            <v>1006</v>
          </cell>
          <cell r="J134" t="str">
            <v>Sonvarsha</v>
          </cell>
          <cell r="K134" t="str">
            <v>Old</v>
          </cell>
          <cell r="L134">
            <v>42979</v>
          </cell>
          <cell r="M134">
            <v>3891.8</v>
          </cell>
          <cell r="N134">
            <v>154884.91</v>
          </cell>
          <cell r="O134">
            <v>2918.8500000000004</v>
          </cell>
          <cell r="P134">
            <v>3697.21</v>
          </cell>
          <cell r="Q134">
            <v>0</v>
          </cell>
          <cell r="R134">
            <v>4646.5473000000002</v>
          </cell>
          <cell r="S134">
            <v>949.33730000000014</v>
          </cell>
          <cell r="T134">
            <v>389.18000000000006</v>
          </cell>
          <cell r="U134">
            <v>559.99463255594378</v>
          </cell>
          <cell r="V134">
            <v>5667</v>
          </cell>
          <cell r="W134">
            <v>0</v>
          </cell>
          <cell r="X134">
            <v>0</v>
          </cell>
          <cell r="Y134">
            <v>0</v>
          </cell>
        </row>
        <row r="135">
          <cell r="D135">
            <v>10060003</v>
          </cell>
          <cell r="E135" t="str">
            <v>PURANI SALEMPUR</v>
          </cell>
          <cell r="F135">
            <v>0</v>
          </cell>
          <cell r="G135" t="str">
            <v>vlc</v>
          </cell>
          <cell r="H135" t="str">
            <v>Indirect</v>
          </cell>
          <cell r="I135">
            <v>1006</v>
          </cell>
          <cell r="J135" t="str">
            <v>Sonvarsha</v>
          </cell>
          <cell r="K135" t="str">
            <v>Old</v>
          </cell>
          <cell r="L135">
            <v>42979</v>
          </cell>
          <cell r="M135">
            <v>5342.9</v>
          </cell>
          <cell r="N135">
            <v>204639.09999999998</v>
          </cell>
          <cell r="O135">
            <v>4007.1749999999997</v>
          </cell>
          <cell r="P135">
            <v>5075.7549999999992</v>
          </cell>
          <cell r="Q135">
            <v>0</v>
          </cell>
          <cell r="R135">
            <v>6139.1729999999989</v>
          </cell>
          <cell r="S135">
            <v>1063.4179999999997</v>
          </cell>
          <cell r="T135">
            <v>534.29</v>
          </cell>
          <cell r="U135">
            <v>0</v>
          </cell>
          <cell r="V135">
            <v>8549</v>
          </cell>
          <cell r="W135">
            <v>0</v>
          </cell>
          <cell r="X135">
            <v>0</v>
          </cell>
          <cell r="Y135">
            <v>0</v>
          </cell>
        </row>
        <row r="136">
          <cell r="D136">
            <v>10060004</v>
          </cell>
          <cell r="E136" t="str">
            <v>DHANDHHA</v>
          </cell>
          <cell r="F136">
            <v>0</v>
          </cell>
          <cell r="G136" t="str">
            <v>vlc</v>
          </cell>
          <cell r="H136" t="str">
            <v>Indirect</v>
          </cell>
          <cell r="I136">
            <v>1006</v>
          </cell>
          <cell r="J136" t="str">
            <v>Sonvarsha</v>
          </cell>
          <cell r="K136" t="str">
            <v>Old</v>
          </cell>
          <cell r="L136">
            <v>42979</v>
          </cell>
          <cell r="M136">
            <v>10323.199999999999</v>
          </cell>
          <cell r="N136">
            <v>406393.05999999994</v>
          </cell>
          <cell r="O136">
            <v>7742.4</v>
          </cell>
          <cell r="P136">
            <v>9807.0399999999991</v>
          </cell>
          <cell r="Q136">
            <v>0</v>
          </cell>
          <cell r="R136">
            <v>12191.791799999997</v>
          </cell>
          <cell r="S136">
            <v>2384.7517999999982</v>
          </cell>
          <cell r="T136">
            <v>1032.32</v>
          </cell>
          <cell r="U136">
            <v>0</v>
          </cell>
          <cell r="V136">
            <v>16517</v>
          </cell>
          <cell r="W136">
            <v>0</v>
          </cell>
          <cell r="X136">
            <v>0</v>
          </cell>
          <cell r="Y136">
            <v>0</v>
          </cell>
        </row>
        <row r="137">
          <cell r="D137">
            <v>10060005</v>
          </cell>
          <cell r="E137" t="str">
            <v>CHALISH</v>
          </cell>
          <cell r="F137">
            <v>0</v>
          </cell>
          <cell r="G137" t="str">
            <v>vlc</v>
          </cell>
          <cell r="H137" t="str">
            <v>Indirect</v>
          </cell>
          <cell r="I137">
            <v>1006</v>
          </cell>
          <cell r="J137" t="str">
            <v>Sonvarsha</v>
          </cell>
          <cell r="K137" t="str">
            <v>Old</v>
          </cell>
          <cell r="L137">
            <v>42979</v>
          </cell>
          <cell r="M137">
            <v>4145.6000000000004</v>
          </cell>
          <cell r="N137">
            <v>163995.04999999999</v>
          </cell>
          <cell r="O137">
            <v>3109.2000000000003</v>
          </cell>
          <cell r="P137">
            <v>3938.32</v>
          </cell>
          <cell r="Q137">
            <v>0</v>
          </cell>
          <cell r="R137">
            <v>4919.8514999999998</v>
          </cell>
          <cell r="S137">
            <v>981.5314999999996</v>
          </cell>
          <cell r="T137">
            <v>414.56000000000006</v>
          </cell>
          <cell r="U137">
            <v>0</v>
          </cell>
          <cell r="V137">
            <v>6633</v>
          </cell>
          <cell r="W137">
            <v>0</v>
          </cell>
          <cell r="X137">
            <v>0</v>
          </cell>
          <cell r="Y137">
            <v>0</v>
          </cell>
        </row>
        <row r="138">
          <cell r="D138">
            <v>10060007</v>
          </cell>
          <cell r="E138" t="str">
            <v>MAA BHAGWATI</v>
          </cell>
          <cell r="F138">
            <v>0</v>
          </cell>
          <cell r="G138" t="str">
            <v>vlc</v>
          </cell>
          <cell r="H138" t="str">
            <v>Indirect</v>
          </cell>
          <cell r="I138">
            <v>1006</v>
          </cell>
          <cell r="J138" t="str">
            <v>Sonvarsha</v>
          </cell>
          <cell r="K138" t="str">
            <v>Old</v>
          </cell>
          <cell r="L138">
            <v>42979</v>
          </cell>
          <cell r="M138">
            <v>4726.5</v>
          </cell>
          <cell r="N138">
            <v>171792.21</v>
          </cell>
          <cell r="O138">
            <v>3544.875</v>
          </cell>
          <cell r="P138">
            <v>4490.1750000000002</v>
          </cell>
          <cell r="Q138">
            <v>0</v>
          </cell>
          <cell r="R138">
            <v>5153.7662999999993</v>
          </cell>
          <cell r="S138">
            <v>663.59129999999914</v>
          </cell>
          <cell r="T138">
            <v>472.65000000000003</v>
          </cell>
          <cell r="U138">
            <v>0</v>
          </cell>
          <cell r="V138">
            <v>7562</v>
          </cell>
          <cell r="W138">
            <v>0</v>
          </cell>
          <cell r="X138">
            <v>0</v>
          </cell>
          <cell r="Y138">
            <v>0</v>
          </cell>
        </row>
        <row r="139">
          <cell r="D139">
            <v>10060008</v>
          </cell>
          <cell r="E139" t="str">
            <v>MAIDINICHOKI</v>
          </cell>
          <cell r="F139">
            <v>0</v>
          </cell>
          <cell r="G139" t="str">
            <v>vlc</v>
          </cell>
          <cell r="H139" t="str">
            <v>Indirect</v>
          </cell>
          <cell r="I139">
            <v>1006</v>
          </cell>
          <cell r="J139" t="str">
            <v>Sonvarsha</v>
          </cell>
          <cell r="K139" t="str">
            <v>Old</v>
          </cell>
          <cell r="L139">
            <v>42979</v>
          </cell>
          <cell r="M139">
            <v>2831.9</v>
          </cell>
          <cell r="N139">
            <v>102589.76999999999</v>
          </cell>
          <cell r="O139">
            <v>2123.9250000000002</v>
          </cell>
          <cell r="P139">
            <v>2690.3049999999998</v>
          </cell>
          <cell r="Q139">
            <v>0</v>
          </cell>
          <cell r="R139">
            <v>3077.6930999999995</v>
          </cell>
          <cell r="S139">
            <v>387.38809999999967</v>
          </cell>
          <cell r="T139">
            <v>283.19</v>
          </cell>
          <cell r="U139">
            <v>143.41308709840325</v>
          </cell>
          <cell r="V139">
            <v>4388</v>
          </cell>
          <cell r="W139">
            <v>0</v>
          </cell>
          <cell r="X139">
            <v>0</v>
          </cell>
          <cell r="Y139">
            <v>0</v>
          </cell>
        </row>
        <row r="140">
          <cell r="D140">
            <v>10060009</v>
          </cell>
          <cell r="E140" t="str">
            <v>GOMUKH JAJWARA</v>
          </cell>
          <cell r="F140">
            <v>0</v>
          </cell>
          <cell r="G140" t="str">
            <v>vlc</v>
          </cell>
          <cell r="H140" t="str">
            <v>Indirect</v>
          </cell>
          <cell r="I140">
            <v>1006</v>
          </cell>
          <cell r="J140" t="str">
            <v>Sonvarsha</v>
          </cell>
          <cell r="K140" t="str">
            <v>Old</v>
          </cell>
          <cell r="L140">
            <v>43799</v>
          </cell>
          <cell r="M140">
            <v>7703.8</v>
          </cell>
          <cell r="N140">
            <v>309674.87</v>
          </cell>
          <cell r="O140">
            <v>5777.85</v>
          </cell>
          <cell r="P140">
            <v>7318.61</v>
          </cell>
          <cell r="Q140">
            <v>0</v>
          </cell>
          <cell r="R140">
            <v>9290.2461000000003</v>
          </cell>
          <cell r="S140">
            <v>1971.6361000000006</v>
          </cell>
          <cell r="T140">
            <v>770.38000000000011</v>
          </cell>
          <cell r="U140">
            <v>0</v>
          </cell>
          <cell r="V140">
            <v>12326</v>
          </cell>
          <cell r="W140">
            <v>0</v>
          </cell>
          <cell r="X140">
            <v>0</v>
          </cell>
          <cell r="Y140">
            <v>0</v>
          </cell>
        </row>
        <row r="141">
          <cell r="D141">
            <v>10060010</v>
          </cell>
          <cell r="E141" t="str">
            <v>Gomukh ID Sonvarsha</v>
          </cell>
          <cell r="F141">
            <v>0</v>
          </cell>
          <cell r="G141" t="str">
            <v>vlc</v>
          </cell>
          <cell r="H141" t="str">
            <v>Indirect</v>
          </cell>
          <cell r="I141">
            <v>1006</v>
          </cell>
          <cell r="J141" t="str">
            <v>Sonvarsha</v>
          </cell>
          <cell r="K141" t="str">
            <v>Old</v>
          </cell>
          <cell r="L141">
            <v>43975</v>
          </cell>
          <cell r="M141">
            <v>8692.1</v>
          </cell>
          <cell r="N141">
            <v>344643.83999999997</v>
          </cell>
          <cell r="O141">
            <v>6519.0750000000007</v>
          </cell>
          <cell r="P141">
            <v>8257.4950000000008</v>
          </cell>
          <cell r="Q141">
            <v>0</v>
          </cell>
          <cell r="R141">
            <v>10339.315199999999</v>
          </cell>
          <cell r="S141">
            <v>2081.8201999999983</v>
          </cell>
          <cell r="T141">
            <v>869.21</v>
          </cell>
          <cell r="U141">
            <v>0</v>
          </cell>
          <cell r="V141">
            <v>13907</v>
          </cell>
          <cell r="W141">
            <v>0</v>
          </cell>
          <cell r="X141">
            <v>0</v>
          </cell>
          <cell r="Y141">
            <v>0</v>
          </cell>
        </row>
        <row r="142">
          <cell r="D142">
            <v>10060011</v>
          </cell>
          <cell r="E142" t="str">
            <v>BALHAPUR</v>
          </cell>
          <cell r="F142">
            <v>0</v>
          </cell>
          <cell r="G142" t="str">
            <v>MPG</v>
          </cell>
          <cell r="H142" t="str">
            <v>Direct</v>
          </cell>
          <cell r="I142">
            <v>1059</v>
          </cell>
          <cell r="J142" t="str">
            <v>Gopalpur Bmc</v>
          </cell>
          <cell r="K142" t="str">
            <v>Old</v>
          </cell>
          <cell r="L142">
            <v>44161</v>
          </cell>
          <cell r="M142">
            <v>1938.9</v>
          </cell>
          <cell r="N142">
            <v>91890.89</v>
          </cell>
          <cell r="O142">
            <v>1454.1750000000002</v>
          </cell>
          <cell r="P142">
            <v>1841.9549999999999</v>
          </cell>
          <cell r="Q142">
            <v>1895.7238358833001</v>
          </cell>
          <cell r="R142">
            <v>2756.7266999999997</v>
          </cell>
          <cell r="S142">
            <v>914.77169999999978</v>
          </cell>
          <cell r="T142">
            <v>193.89000000000001</v>
          </cell>
          <cell r="U142">
            <v>1006.9696973280766</v>
          </cell>
          <cell r="V142">
            <v>3991</v>
          </cell>
          <cell r="W142">
            <v>1861</v>
          </cell>
          <cell r="X142">
            <v>0</v>
          </cell>
          <cell r="Y142">
            <v>777</v>
          </cell>
        </row>
        <row r="143">
          <cell r="D143">
            <v>10060014</v>
          </cell>
          <cell r="E143" t="str">
            <v>Gomukh ID Husaina</v>
          </cell>
          <cell r="F143">
            <v>0</v>
          </cell>
          <cell r="G143" t="str">
            <v>vlc</v>
          </cell>
          <cell r="H143" t="str">
            <v>Indirect</v>
          </cell>
          <cell r="I143">
            <v>1006</v>
          </cell>
          <cell r="J143" t="str">
            <v>Sonvarsha</v>
          </cell>
          <cell r="K143" t="str">
            <v>Old</v>
          </cell>
          <cell r="L143">
            <v>44256</v>
          </cell>
          <cell r="M143">
            <v>2286.5</v>
          </cell>
          <cell r="N143">
            <v>85490.04</v>
          </cell>
          <cell r="O143">
            <v>1714.875</v>
          </cell>
          <cell r="P143">
            <v>2172.1749999999997</v>
          </cell>
          <cell r="Q143">
            <v>0</v>
          </cell>
          <cell r="R143">
            <v>2564.7011999999995</v>
          </cell>
          <cell r="S143">
            <v>392.52619999999979</v>
          </cell>
          <cell r="T143">
            <v>228.65</v>
          </cell>
          <cell r="U143">
            <v>107.87502264150933</v>
          </cell>
          <cell r="V143">
            <v>3551</v>
          </cell>
          <cell r="W143">
            <v>0</v>
          </cell>
          <cell r="X143">
            <v>0</v>
          </cell>
          <cell r="Y143">
            <v>0</v>
          </cell>
        </row>
        <row r="144">
          <cell r="D144">
            <v>10060015</v>
          </cell>
          <cell r="E144" t="str">
            <v>Gomukh ID Prarotol</v>
          </cell>
          <cell r="F144">
            <v>0</v>
          </cell>
          <cell r="G144" t="str">
            <v>vlc</v>
          </cell>
          <cell r="H144" t="str">
            <v>Indirect</v>
          </cell>
          <cell r="I144">
            <v>1006</v>
          </cell>
          <cell r="J144" t="str">
            <v>Sonvarsha</v>
          </cell>
          <cell r="K144" t="str">
            <v>Old</v>
          </cell>
          <cell r="L144">
            <v>44260</v>
          </cell>
          <cell r="M144">
            <v>61.8</v>
          </cell>
          <cell r="N144">
            <v>2535.9299999999998</v>
          </cell>
          <cell r="O144">
            <v>46.349999999999994</v>
          </cell>
          <cell r="P144">
            <v>58.709999999999994</v>
          </cell>
          <cell r="Q144">
            <v>0</v>
          </cell>
          <cell r="R144">
            <v>76.077899999999985</v>
          </cell>
          <cell r="S144">
            <v>17.367899999999992</v>
          </cell>
          <cell r="T144">
            <v>6.18</v>
          </cell>
          <cell r="U144">
            <v>98.397166666666635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>
            <v>10060020</v>
          </cell>
          <cell r="E145" t="str">
            <v>MAA SARDE</v>
          </cell>
          <cell r="F145">
            <v>0</v>
          </cell>
          <cell r="G145" t="str">
            <v>vlc</v>
          </cell>
          <cell r="H145" t="str">
            <v>Indirect</v>
          </cell>
          <cell r="I145">
            <v>1006</v>
          </cell>
          <cell r="J145" t="str">
            <v>Sonvarsha</v>
          </cell>
          <cell r="K145" t="str">
            <v>Old</v>
          </cell>
          <cell r="L145">
            <v>44652</v>
          </cell>
          <cell r="M145">
            <v>5971.6</v>
          </cell>
          <cell r="N145">
            <v>222345.80000000002</v>
          </cell>
          <cell r="O145">
            <v>4478.7000000000007</v>
          </cell>
          <cell r="P145">
            <v>5673.02</v>
          </cell>
          <cell r="Q145">
            <v>0</v>
          </cell>
          <cell r="R145">
            <v>6670.3740000000007</v>
          </cell>
          <cell r="S145">
            <v>997.35400000000027</v>
          </cell>
          <cell r="T145">
            <v>597.16000000000008</v>
          </cell>
          <cell r="U145">
            <v>42.031627886710332</v>
          </cell>
          <cell r="V145">
            <v>9513</v>
          </cell>
          <cell r="W145">
            <v>0</v>
          </cell>
          <cell r="X145">
            <v>0</v>
          </cell>
          <cell r="Y145">
            <v>0</v>
          </cell>
        </row>
        <row r="146">
          <cell r="D146">
            <v>10060021</v>
          </cell>
          <cell r="E146" t="str">
            <v>PURANI DIH</v>
          </cell>
          <cell r="F146">
            <v>0</v>
          </cell>
          <cell r="G146" t="str">
            <v>vlc</v>
          </cell>
          <cell r="H146" t="str">
            <v>Indirect</v>
          </cell>
          <cell r="I146">
            <v>1006</v>
          </cell>
          <cell r="J146" t="str">
            <v>Sonvarsha</v>
          </cell>
          <cell r="K146" t="str">
            <v>Old</v>
          </cell>
          <cell r="L146">
            <v>44652</v>
          </cell>
          <cell r="M146">
            <v>5756.5999999999995</v>
          </cell>
          <cell r="N146">
            <v>249964.83999999997</v>
          </cell>
          <cell r="O146">
            <v>4317.45</v>
          </cell>
          <cell r="P146">
            <v>5468.7699999999995</v>
          </cell>
          <cell r="Q146">
            <v>0</v>
          </cell>
          <cell r="R146">
            <v>7498.9451999999983</v>
          </cell>
          <cell r="S146">
            <v>2030.1751999999988</v>
          </cell>
          <cell r="T146">
            <v>575.66</v>
          </cell>
          <cell r="U146">
            <v>155.39355048547606</v>
          </cell>
          <cell r="V146">
            <v>9055</v>
          </cell>
          <cell r="W146">
            <v>0</v>
          </cell>
          <cell r="X146">
            <v>0</v>
          </cell>
          <cell r="Y146">
            <v>0</v>
          </cell>
        </row>
        <row r="147">
          <cell r="D147">
            <v>10060022</v>
          </cell>
          <cell r="E147" t="str">
            <v>Farda Ravi Tola</v>
          </cell>
          <cell r="F147">
            <v>0</v>
          </cell>
          <cell r="G147" t="str">
            <v>MPG</v>
          </cell>
          <cell r="H147" t="str">
            <v>Direct</v>
          </cell>
          <cell r="I147">
            <v>1006</v>
          </cell>
          <cell r="J147" t="str">
            <v>Sonvarsha</v>
          </cell>
          <cell r="K147" t="str">
            <v>Old</v>
          </cell>
          <cell r="L147">
            <v>44697</v>
          </cell>
          <cell r="M147">
            <v>6035.3000000000011</v>
          </cell>
          <cell r="N147">
            <v>224261.49999999997</v>
          </cell>
          <cell r="O147">
            <v>4526.4750000000004</v>
          </cell>
          <cell r="P147">
            <v>5733.5350000000008</v>
          </cell>
          <cell r="Q147">
            <v>6861.1661276400018</v>
          </cell>
          <cell r="R147">
            <v>6727.8449999999984</v>
          </cell>
          <cell r="S147">
            <v>994.30999999999767</v>
          </cell>
          <cell r="T147">
            <v>603.53000000000009</v>
          </cell>
          <cell r="U147">
            <v>450.82349087153182</v>
          </cell>
          <cell r="V147">
            <v>16067</v>
          </cell>
          <cell r="W147">
            <v>0</v>
          </cell>
          <cell r="X147">
            <v>0</v>
          </cell>
          <cell r="Y147">
            <v>0</v>
          </cell>
        </row>
        <row r="148">
          <cell r="D148">
            <v>10060023</v>
          </cell>
          <cell r="E148" t="str">
            <v>Gomukh Puranidih 2</v>
          </cell>
          <cell r="F148">
            <v>0</v>
          </cell>
          <cell r="G148" t="str">
            <v>vlc</v>
          </cell>
          <cell r="H148" t="str">
            <v>Indirect</v>
          </cell>
          <cell r="I148">
            <v>1006</v>
          </cell>
          <cell r="J148" t="str">
            <v>Sonvarsha</v>
          </cell>
          <cell r="K148" t="str">
            <v>Old</v>
          </cell>
          <cell r="L148">
            <v>44717</v>
          </cell>
          <cell r="M148">
            <v>525.5</v>
          </cell>
          <cell r="N148">
            <v>23506.79</v>
          </cell>
          <cell r="O148">
            <v>394.125</v>
          </cell>
          <cell r="P148">
            <v>499.22499999999997</v>
          </cell>
          <cell r="Q148">
            <v>0</v>
          </cell>
          <cell r="R148">
            <v>705.20370000000003</v>
          </cell>
          <cell r="S148">
            <v>205.97870000000006</v>
          </cell>
          <cell r="T148">
            <v>52.550000000000004</v>
          </cell>
          <cell r="U148">
            <v>840.61268898644539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D149">
            <v>10060026</v>
          </cell>
          <cell r="E149" t="str">
            <v>Gomukh Arma</v>
          </cell>
          <cell r="F149">
            <v>0</v>
          </cell>
          <cell r="G149" t="str">
            <v>MPG</v>
          </cell>
          <cell r="H149" t="str">
            <v>Direct</v>
          </cell>
          <cell r="I149">
            <v>1006</v>
          </cell>
          <cell r="J149" t="str">
            <v>Sonvarsha</v>
          </cell>
          <cell r="K149" t="str">
            <v>Old</v>
          </cell>
          <cell r="L149">
            <v>44866</v>
          </cell>
          <cell r="M149">
            <v>1886.4</v>
          </cell>
          <cell r="N149">
            <v>88026.37</v>
          </cell>
          <cell r="O149">
            <v>1414.8000000000002</v>
          </cell>
          <cell r="P149">
            <v>1792.08</v>
          </cell>
          <cell r="Q149">
            <v>405.73415502978008</v>
          </cell>
          <cell r="R149">
            <v>2640.7910999999999</v>
          </cell>
          <cell r="S149">
            <v>848.71109999999999</v>
          </cell>
          <cell r="T149">
            <v>188.64000000000001</v>
          </cell>
          <cell r="U149">
            <v>1017.0932059509178</v>
          </cell>
          <cell r="V149">
            <v>2407</v>
          </cell>
          <cell r="W149">
            <v>0</v>
          </cell>
          <cell r="X149">
            <v>1760.5273999999999</v>
          </cell>
          <cell r="Y149">
            <v>0</v>
          </cell>
        </row>
        <row r="150">
          <cell r="D150">
            <v>10060027</v>
          </cell>
          <cell r="E150" t="str">
            <v>Singhchak</v>
          </cell>
          <cell r="F150">
            <v>0</v>
          </cell>
          <cell r="G150" t="str">
            <v>MPG</v>
          </cell>
          <cell r="H150" t="str">
            <v>Direct</v>
          </cell>
          <cell r="I150">
            <v>1059</v>
          </cell>
          <cell r="J150" t="str">
            <v>Gopalpur Bmc</v>
          </cell>
          <cell r="K150" t="str">
            <v>Old</v>
          </cell>
          <cell r="L150">
            <v>44866</v>
          </cell>
          <cell r="M150">
            <v>5491.2999999999993</v>
          </cell>
          <cell r="N150">
            <v>239719.69999999998</v>
          </cell>
          <cell r="O150">
            <v>4118.4749999999995</v>
          </cell>
          <cell r="P150">
            <v>5216.7349999999988</v>
          </cell>
          <cell r="Q150">
            <v>3699.4289588784004</v>
          </cell>
          <cell r="R150">
            <v>7191.5909999999994</v>
          </cell>
          <cell r="S150">
            <v>1974.8560000000007</v>
          </cell>
          <cell r="T150">
            <v>549.13</v>
          </cell>
          <cell r="U150">
            <v>0</v>
          </cell>
          <cell r="V150">
            <v>12486</v>
          </cell>
          <cell r="W150">
            <v>0</v>
          </cell>
          <cell r="X150">
            <v>0</v>
          </cell>
          <cell r="Y150">
            <v>0</v>
          </cell>
        </row>
        <row r="151">
          <cell r="D151">
            <v>10060028</v>
          </cell>
          <cell r="E151" t="str">
            <v>MAHA-LAXMI</v>
          </cell>
          <cell r="F151">
            <v>0</v>
          </cell>
          <cell r="G151" t="str">
            <v>vlc</v>
          </cell>
          <cell r="H151" t="str">
            <v>Indirect</v>
          </cell>
          <cell r="I151">
            <v>1006</v>
          </cell>
          <cell r="J151" t="str">
            <v>Sonvarsha</v>
          </cell>
          <cell r="K151" t="str">
            <v>Old</v>
          </cell>
          <cell r="L151">
            <v>44950</v>
          </cell>
          <cell r="M151">
            <v>3257.1999999999994</v>
          </cell>
          <cell r="N151">
            <v>121897.16</v>
          </cell>
          <cell r="O151">
            <v>2442.8999999999996</v>
          </cell>
          <cell r="P151">
            <v>3094.3399999999992</v>
          </cell>
          <cell r="Q151">
            <v>0</v>
          </cell>
          <cell r="R151">
            <v>3656.9148</v>
          </cell>
          <cell r="S151">
            <v>562.57480000000078</v>
          </cell>
          <cell r="T151">
            <v>325.71999999999997</v>
          </cell>
          <cell r="U151">
            <v>135.8917986516131</v>
          </cell>
          <cell r="V151">
            <v>5076</v>
          </cell>
          <cell r="W151">
            <v>0</v>
          </cell>
          <cell r="X151">
            <v>0</v>
          </cell>
          <cell r="Y151">
            <v>0</v>
          </cell>
        </row>
        <row r="152">
          <cell r="D152">
            <v>10060029</v>
          </cell>
          <cell r="E152" t="str">
            <v>PAWAI</v>
          </cell>
          <cell r="F152">
            <v>0</v>
          </cell>
          <cell r="G152" t="str">
            <v>MPG</v>
          </cell>
          <cell r="H152" t="str">
            <v>Direct</v>
          </cell>
          <cell r="I152">
            <v>1006</v>
          </cell>
          <cell r="J152" t="str">
            <v>Sonvarsha</v>
          </cell>
          <cell r="K152" t="str">
            <v>Old</v>
          </cell>
          <cell r="L152">
            <v>44958</v>
          </cell>
          <cell r="M152">
            <v>5016.1000000000004</v>
          </cell>
          <cell r="N152">
            <v>231047.62</v>
          </cell>
          <cell r="O152">
            <v>3762.0750000000003</v>
          </cell>
          <cell r="P152">
            <v>4765.2950000000001</v>
          </cell>
          <cell r="Q152">
            <v>3663.18867554397</v>
          </cell>
          <cell r="R152">
            <v>6931.4285999999993</v>
          </cell>
          <cell r="S152">
            <v>2166.1335999999992</v>
          </cell>
          <cell r="T152">
            <v>501.61000000000007</v>
          </cell>
          <cell r="U152">
            <v>0</v>
          </cell>
          <cell r="V152">
            <v>11689</v>
          </cell>
          <cell r="W152">
            <v>0</v>
          </cell>
          <cell r="X152">
            <v>0</v>
          </cell>
          <cell r="Y152">
            <v>0</v>
          </cell>
        </row>
        <row r="153">
          <cell r="D153">
            <v>10060031</v>
          </cell>
          <cell r="E153" t="str">
            <v xml:space="preserve">LAKHOCHAK                                                                                           </v>
          </cell>
          <cell r="F153">
            <v>0</v>
          </cell>
          <cell r="G153" t="str">
            <v>MPG</v>
          </cell>
          <cell r="H153" t="str">
            <v>Direct</v>
          </cell>
          <cell r="I153">
            <v>1006</v>
          </cell>
          <cell r="J153" t="str">
            <v>Sonvarsha</v>
          </cell>
          <cell r="K153" t="str">
            <v>Old</v>
          </cell>
          <cell r="L153">
            <v>45049</v>
          </cell>
          <cell r="M153">
            <v>1544.7</v>
          </cell>
          <cell r="N153">
            <v>64931.22</v>
          </cell>
          <cell r="O153">
            <v>1158.5250000000001</v>
          </cell>
          <cell r="P153">
            <v>1467.4649999999999</v>
          </cell>
          <cell r="Q153">
            <v>0</v>
          </cell>
          <cell r="R153">
            <v>1947.9366</v>
          </cell>
          <cell r="S153">
            <v>480.47160000000008</v>
          </cell>
          <cell r="T153">
            <v>154.47000000000003</v>
          </cell>
          <cell r="U153">
            <v>1223.586153859409</v>
          </cell>
          <cell r="V153">
            <v>1248</v>
          </cell>
          <cell r="W153">
            <v>1248</v>
          </cell>
          <cell r="X153">
            <v>0</v>
          </cell>
          <cell r="Y153">
            <v>0</v>
          </cell>
        </row>
        <row r="154">
          <cell r="D154">
            <v>10060032</v>
          </cell>
          <cell r="E154" t="str">
            <v xml:space="preserve">BATTA RAMPUR                                                                                        </v>
          </cell>
          <cell r="F154">
            <v>0</v>
          </cell>
          <cell r="G154" t="str">
            <v>MPG</v>
          </cell>
          <cell r="H154" t="str">
            <v>Direct</v>
          </cell>
          <cell r="I154">
            <v>1059</v>
          </cell>
          <cell r="J154" t="str">
            <v>Gopalpur Bmc</v>
          </cell>
          <cell r="K154" t="str">
            <v>Old</v>
          </cell>
          <cell r="L154">
            <v>45049</v>
          </cell>
          <cell r="M154">
            <v>10983.7</v>
          </cell>
          <cell r="N154">
            <v>532690.38</v>
          </cell>
          <cell r="O154">
            <v>8237.7750000000015</v>
          </cell>
          <cell r="P154">
            <v>10434.514999999999</v>
          </cell>
          <cell r="Q154">
            <v>6634.7679892537899</v>
          </cell>
          <cell r="R154">
            <v>15980.7114</v>
          </cell>
          <cell r="S154">
            <v>5546.1964000000007</v>
          </cell>
          <cell r="T154">
            <v>1098.3700000000001</v>
          </cell>
          <cell r="U154">
            <v>0</v>
          </cell>
          <cell r="V154">
            <v>24209</v>
          </cell>
          <cell r="W154">
            <v>0</v>
          </cell>
          <cell r="X154">
            <v>0</v>
          </cell>
          <cell r="Y154">
            <v>0</v>
          </cell>
        </row>
        <row r="155">
          <cell r="D155">
            <v>10060033</v>
          </cell>
          <cell r="E155" t="str">
            <v>DARISHIR</v>
          </cell>
          <cell r="F155">
            <v>0</v>
          </cell>
          <cell r="G155" t="str">
            <v>MPG</v>
          </cell>
          <cell r="H155" t="str">
            <v>Direct</v>
          </cell>
          <cell r="I155">
            <v>1059</v>
          </cell>
          <cell r="J155" t="str">
            <v>Gopalpur Bmc</v>
          </cell>
          <cell r="K155" t="str">
            <v>Old</v>
          </cell>
          <cell r="L155">
            <v>45120</v>
          </cell>
          <cell r="M155">
            <v>392.1</v>
          </cell>
          <cell r="N155">
            <v>14891.5</v>
          </cell>
          <cell r="O155">
            <v>294.07500000000005</v>
          </cell>
          <cell r="P155">
            <v>372.495</v>
          </cell>
          <cell r="Q155">
            <v>8.9340166080000021</v>
          </cell>
          <cell r="R155">
            <v>446.745</v>
          </cell>
          <cell r="S155">
            <v>74.25</v>
          </cell>
          <cell r="T155">
            <v>39.210000000000008</v>
          </cell>
          <cell r="U155">
            <v>636.62709629709389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D156">
            <v>10060037</v>
          </cell>
          <cell r="E156" t="str">
            <v>NIRAJ KUMAR</v>
          </cell>
          <cell r="F156">
            <v>0</v>
          </cell>
          <cell r="G156" t="str">
            <v>vlc</v>
          </cell>
          <cell r="H156" t="str">
            <v>Indirect</v>
          </cell>
          <cell r="I156">
            <v>1006</v>
          </cell>
          <cell r="J156" t="str">
            <v>Sonvarsha</v>
          </cell>
          <cell r="K156" t="str">
            <v>Old</v>
          </cell>
          <cell r="L156">
            <v>45155</v>
          </cell>
          <cell r="M156">
            <v>2062.3000000000002</v>
          </cell>
          <cell r="N156">
            <v>103687.45999999999</v>
          </cell>
          <cell r="O156">
            <v>1546.7250000000001</v>
          </cell>
          <cell r="P156">
            <v>1959.1850000000002</v>
          </cell>
          <cell r="Q156">
            <v>0</v>
          </cell>
          <cell r="R156">
            <v>3110.6237999999998</v>
          </cell>
          <cell r="S156">
            <v>1151.4387999999997</v>
          </cell>
          <cell r="T156">
            <v>206.23000000000002</v>
          </cell>
          <cell r="U156">
            <v>0</v>
          </cell>
          <cell r="V156">
            <v>3300</v>
          </cell>
          <cell r="W156">
            <v>0</v>
          </cell>
          <cell r="X156">
            <v>0</v>
          </cell>
          <cell r="Y156">
            <v>0</v>
          </cell>
        </row>
        <row r="157">
          <cell r="D157">
            <v>10060041</v>
          </cell>
          <cell r="E157" t="str">
            <v>RANDHIR KUMAR(VLC)</v>
          </cell>
          <cell r="F157">
            <v>0</v>
          </cell>
          <cell r="G157" t="str">
            <v>vlc</v>
          </cell>
          <cell r="H157" t="str">
            <v>Indirect</v>
          </cell>
          <cell r="I157">
            <v>1006</v>
          </cell>
          <cell r="J157" t="str">
            <v>Sonvarsha</v>
          </cell>
          <cell r="K157" t="str">
            <v>Old</v>
          </cell>
          <cell r="L157">
            <v>45156</v>
          </cell>
          <cell r="M157">
            <v>643</v>
          </cell>
          <cell r="N157">
            <v>23734.21</v>
          </cell>
          <cell r="O157">
            <v>482.25</v>
          </cell>
          <cell r="P157">
            <v>610.85</v>
          </cell>
          <cell r="Q157">
            <v>0</v>
          </cell>
          <cell r="R157">
            <v>712.02629999999999</v>
          </cell>
          <cell r="S157">
            <v>101.17629999999997</v>
          </cell>
          <cell r="T157">
            <v>64.3</v>
          </cell>
          <cell r="U157">
            <v>1028.5734523619403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D158">
            <v>10060044</v>
          </cell>
          <cell r="E158" t="str">
            <v>Abgil Rampur - Rohit</v>
          </cell>
          <cell r="F158">
            <v>0</v>
          </cell>
          <cell r="G158" t="str">
            <v>vlc</v>
          </cell>
          <cell r="H158" t="str">
            <v>Indirect</v>
          </cell>
          <cell r="I158">
            <v>1006</v>
          </cell>
          <cell r="J158" t="str">
            <v>Sonvarsha</v>
          </cell>
          <cell r="K158" t="str">
            <v>Old</v>
          </cell>
          <cell r="L158">
            <v>44958</v>
          </cell>
          <cell r="M158">
            <v>365</v>
          </cell>
          <cell r="N158">
            <v>13773.11</v>
          </cell>
          <cell r="O158">
            <v>273.75</v>
          </cell>
          <cell r="P158">
            <v>346.75</v>
          </cell>
          <cell r="Q158">
            <v>0</v>
          </cell>
          <cell r="R158">
            <v>413.19330000000002</v>
          </cell>
          <cell r="S158">
            <v>66.443300000000022</v>
          </cell>
          <cell r="T158">
            <v>36.5</v>
          </cell>
          <cell r="U158">
            <v>584.24170175099471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D159">
            <v>10060049</v>
          </cell>
          <cell r="E159" t="str">
            <v>MALIYA</v>
          </cell>
          <cell r="F159">
            <v>0</v>
          </cell>
          <cell r="G159" t="str">
            <v>MPG</v>
          </cell>
          <cell r="H159" t="str">
            <v>Direct</v>
          </cell>
          <cell r="I159">
            <v>1059</v>
          </cell>
          <cell r="J159" t="str">
            <v>Gopalpur Bmc</v>
          </cell>
          <cell r="K159" t="str">
            <v>Old</v>
          </cell>
          <cell r="L159">
            <v>45267</v>
          </cell>
          <cell r="M159">
            <v>2666.5</v>
          </cell>
          <cell r="N159">
            <v>113245.45000000001</v>
          </cell>
          <cell r="O159">
            <v>1999.875</v>
          </cell>
          <cell r="P159">
            <v>2533.1749999999997</v>
          </cell>
          <cell r="Q159">
            <v>1646.3815651118002</v>
          </cell>
          <cell r="R159">
            <v>3397.3635000000004</v>
          </cell>
          <cell r="S159">
            <v>864.18850000000066</v>
          </cell>
          <cell r="T159">
            <v>266.65000000000003</v>
          </cell>
          <cell r="U159">
            <v>281.5786298059981</v>
          </cell>
          <cell r="V159">
            <v>5631</v>
          </cell>
          <cell r="W159">
            <v>2264.9090000000001</v>
          </cell>
          <cell r="X159">
            <v>0</v>
          </cell>
          <cell r="Y159">
            <v>3000</v>
          </cell>
        </row>
        <row r="160">
          <cell r="D160">
            <v>10060050</v>
          </cell>
          <cell r="E160" t="str">
            <v>MAHULIYA</v>
          </cell>
          <cell r="F160">
            <v>0</v>
          </cell>
          <cell r="G160" t="str">
            <v>MPG</v>
          </cell>
          <cell r="H160" t="str">
            <v>Direct</v>
          </cell>
          <cell r="I160">
            <v>1059</v>
          </cell>
          <cell r="J160" t="str">
            <v>Gopalpur Bmc</v>
          </cell>
          <cell r="K160" t="str">
            <v>Old</v>
          </cell>
          <cell r="L160">
            <v>45267</v>
          </cell>
          <cell r="M160">
            <v>2004.5</v>
          </cell>
          <cell r="N160">
            <v>89334.720000000001</v>
          </cell>
          <cell r="O160">
            <v>1503.375</v>
          </cell>
          <cell r="P160">
            <v>1904.2749999999999</v>
          </cell>
          <cell r="Q160">
            <v>1358.4642255567101</v>
          </cell>
          <cell r="R160">
            <v>2680.0416</v>
          </cell>
          <cell r="S160">
            <v>775.76660000000015</v>
          </cell>
          <cell r="T160">
            <v>200.45000000000002</v>
          </cell>
          <cell r="U160">
            <v>885.24322354518085</v>
          </cell>
          <cell r="V160">
            <v>3680</v>
          </cell>
          <cell r="W160">
            <v>1861</v>
          </cell>
          <cell r="X160">
            <v>0</v>
          </cell>
          <cell r="Y160">
            <v>0</v>
          </cell>
        </row>
        <row r="161">
          <cell r="D161">
            <v>10060052</v>
          </cell>
          <cell r="E161" t="str">
            <v>ABGIL</v>
          </cell>
          <cell r="F161">
            <v>0</v>
          </cell>
          <cell r="G161" t="str">
            <v>vlc</v>
          </cell>
          <cell r="H161" t="str">
            <v>Indirect</v>
          </cell>
          <cell r="I161">
            <v>1006</v>
          </cell>
          <cell r="J161" t="str">
            <v>Sonvarsha</v>
          </cell>
          <cell r="K161" t="str">
            <v>Old</v>
          </cell>
          <cell r="L161">
            <v>45254</v>
          </cell>
          <cell r="M161">
            <v>1707.8999999999999</v>
          </cell>
          <cell r="N161">
            <v>58691.880000000005</v>
          </cell>
          <cell r="O161">
            <v>1280.925</v>
          </cell>
          <cell r="P161">
            <v>1622.5049999999999</v>
          </cell>
          <cell r="Q161">
            <v>0</v>
          </cell>
          <cell r="R161">
            <v>1760.7564</v>
          </cell>
          <cell r="S161">
            <v>138.2514000000001</v>
          </cell>
          <cell r="T161">
            <v>170.79</v>
          </cell>
          <cell r="U161">
            <v>858.40877192498988</v>
          </cell>
          <cell r="V161">
            <v>1874</v>
          </cell>
          <cell r="W161">
            <v>0</v>
          </cell>
          <cell r="X161">
            <v>0</v>
          </cell>
          <cell r="Y161">
            <v>0</v>
          </cell>
        </row>
        <row r="162">
          <cell r="D162">
            <v>10060058</v>
          </cell>
          <cell r="E162" t="str">
            <v xml:space="preserve">ABGIL HUSSAINA-2                                                                                    </v>
          </cell>
          <cell r="F162">
            <v>0</v>
          </cell>
          <cell r="G162" t="str">
            <v>MPG</v>
          </cell>
          <cell r="H162" t="str">
            <v>Direct</v>
          </cell>
          <cell r="I162">
            <v>1006</v>
          </cell>
          <cell r="J162" t="str">
            <v>Sonvarsha</v>
          </cell>
          <cell r="K162" t="str">
            <v>Old</v>
          </cell>
          <cell r="L162">
            <v>45198</v>
          </cell>
          <cell r="M162">
            <v>3297.3</v>
          </cell>
          <cell r="N162">
            <v>126223.75000000001</v>
          </cell>
          <cell r="O162">
            <v>2472.9750000000004</v>
          </cell>
          <cell r="P162">
            <v>3132.4349999999999</v>
          </cell>
          <cell r="Q162">
            <v>1032.3268382196002</v>
          </cell>
          <cell r="R162">
            <v>3786.7125000000001</v>
          </cell>
          <cell r="S162">
            <v>654.27750000000015</v>
          </cell>
          <cell r="T162">
            <v>329.73</v>
          </cell>
          <cell r="U162">
            <v>0</v>
          </cell>
          <cell r="V162">
            <v>6308</v>
          </cell>
          <cell r="W162">
            <v>2524.4750000000004</v>
          </cell>
          <cell r="X162">
            <v>0</v>
          </cell>
          <cell r="Y162">
            <v>0</v>
          </cell>
        </row>
        <row r="163">
          <cell r="D163">
            <v>10060062</v>
          </cell>
          <cell r="E163" t="str">
            <v>AKHA-KURHA</v>
          </cell>
          <cell r="F163">
            <v>0</v>
          </cell>
          <cell r="G163" t="str">
            <v>vlc</v>
          </cell>
          <cell r="H163" t="str">
            <v>Indirect</v>
          </cell>
          <cell r="I163">
            <v>1006</v>
          </cell>
          <cell r="J163" t="str">
            <v>Sonvarsha</v>
          </cell>
          <cell r="K163" t="str">
            <v>Old</v>
          </cell>
          <cell r="L163">
            <v>45323</v>
          </cell>
          <cell r="M163">
            <v>1318.3000000000002</v>
          </cell>
          <cell r="N163">
            <v>53839.609999999993</v>
          </cell>
          <cell r="O163">
            <v>988.72500000000014</v>
          </cell>
          <cell r="P163">
            <v>1252.3850000000002</v>
          </cell>
          <cell r="Q163">
            <v>0</v>
          </cell>
          <cell r="R163">
            <v>1615.1882999999998</v>
          </cell>
          <cell r="S163">
            <v>362.80329999999958</v>
          </cell>
          <cell r="T163">
            <v>131.83000000000001</v>
          </cell>
          <cell r="U163">
            <v>1371.8747057778401</v>
          </cell>
          <cell r="V163">
            <v>737</v>
          </cell>
          <cell r="W163">
            <v>0</v>
          </cell>
          <cell r="X163">
            <v>0</v>
          </cell>
          <cell r="Y163">
            <v>0</v>
          </cell>
        </row>
        <row r="164">
          <cell r="D164">
            <v>10060069</v>
          </cell>
          <cell r="E164" t="str">
            <v>BHANDAR</v>
          </cell>
          <cell r="F164">
            <v>0</v>
          </cell>
          <cell r="G164" t="str">
            <v>MPG</v>
          </cell>
          <cell r="H164" t="str">
            <v>Direct</v>
          </cell>
          <cell r="I164">
            <v>1059</v>
          </cell>
          <cell r="J164" t="str">
            <v>Gopalpur Bmc</v>
          </cell>
          <cell r="K164" t="str">
            <v>Old</v>
          </cell>
          <cell r="L164">
            <v>45550</v>
          </cell>
          <cell r="M164">
            <v>1079.2</v>
          </cell>
          <cell r="N164">
            <v>48227.369999999995</v>
          </cell>
          <cell r="O164">
            <v>809.40000000000009</v>
          </cell>
          <cell r="P164">
            <v>1025.24</v>
          </cell>
          <cell r="Q164">
            <v>0</v>
          </cell>
          <cell r="R164">
            <v>1446.8210999999999</v>
          </cell>
          <cell r="S164">
            <v>421.58109999999988</v>
          </cell>
          <cell r="T164">
            <v>107.92000000000002</v>
          </cell>
          <cell r="U164">
            <v>1717.9927155645782</v>
          </cell>
          <cell r="V164">
            <v>9</v>
          </cell>
          <cell r="W164">
            <v>9</v>
          </cell>
          <cell r="X164">
            <v>0</v>
          </cell>
          <cell r="Y164">
            <v>0</v>
          </cell>
        </row>
        <row r="165">
          <cell r="D165">
            <v>10060074</v>
          </cell>
          <cell r="E165" t="str">
            <v>BASMATIYA</v>
          </cell>
          <cell r="F165">
            <v>0</v>
          </cell>
          <cell r="G165" t="str">
            <v>MPG</v>
          </cell>
          <cell r="H165" t="str">
            <v>Direct</v>
          </cell>
          <cell r="I165">
            <v>1059</v>
          </cell>
          <cell r="J165" t="str">
            <v>Gopalpur Bmc</v>
          </cell>
          <cell r="K165" t="str">
            <v>Old</v>
          </cell>
          <cell r="L165">
            <v>45631</v>
          </cell>
          <cell r="M165">
            <v>1771.3000000000002</v>
          </cell>
          <cell r="N165">
            <v>71905.87</v>
          </cell>
          <cell r="O165">
            <v>1328.4750000000001</v>
          </cell>
          <cell r="P165">
            <v>1682.7350000000001</v>
          </cell>
          <cell r="Q165">
            <v>1038.89774438524</v>
          </cell>
          <cell r="R165">
            <v>2157.1760999999997</v>
          </cell>
          <cell r="S165">
            <v>474.44109999999955</v>
          </cell>
          <cell r="T165">
            <v>177.13000000000002</v>
          </cell>
          <cell r="U165">
            <v>996.53099242337873</v>
          </cell>
          <cell r="V165">
            <v>2876</v>
          </cell>
          <cell r="W165">
            <v>1861</v>
          </cell>
          <cell r="X165">
            <v>0</v>
          </cell>
          <cell r="Y165">
            <v>0</v>
          </cell>
        </row>
        <row r="166">
          <cell r="D166">
            <v>10060077</v>
          </cell>
          <cell r="E166" t="str">
            <v>TILATHI</v>
          </cell>
          <cell r="F166">
            <v>0</v>
          </cell>
          <cell r="G166" t="str">
            <v>MPG</v>
          </cell>
          <cell r="H166" t="str">
            <v>Direct</v>
          </cell>
          <cell r="I166">
            <v>1006</v>
          </cell>
          <cell r="J166" t="str">
            <v>Sonvarsha</v>
          </cell>
          <cell r="K166" t="str">
            <v>Old</v>
          </cell>
          <cell r="L166">
            <v>45653</v>
          </cell>
          <cell r="M166">
            <v>5675.5999999999995</v>
          </cell>
          <cell r="N166">
            <v>234975.34000000003</v>
          </cell>
          <cell r="O166">
            <v>4256.7</v>
          </cell>
          <cell r="P166">
            <v>5391.8199999999988</v>
          </cell>
          <cell r="Q166">
            <v>3158.3894680740004</v>
          </cell>
          <cell r="R166">
            <v>7049.2602000000006</v>
          </cell>
          <cell r="S166">
            <v>1657.4402000000018</v>
          </cell>
          <cell r="T166">
            <v>567.55999999999995</v>
          </cell>
          <cell r="U166">
            <v>0</v>
          </cell>
          <cell r="V166">
            <v>12239</v>
          </cell>
          <cell r="W166">
            <v>0</v>
          </cell>
          <cell r="X166">
            <v>0</v>
          </cell>
          <cell r="Y166">
            <v>0</v>
          </cell>
        </row>
        <row r="167">
          <cell r="D167">
            <v>10060083</v>
          </cell>
          <cell r="E167" t="str">
            <v>GOMUKH WESTOL</v>
          </cell>
          <cell r="F167">
            <v>0</v>
          </cell>
          <cell r="G167" t="str">
            <v>vlc</v>
          </cell>
          <cell r="H167" t="str">
            <v>Indirect</v>
          </cell>
          <cell r="I167">
            <v>1006</v>
          </cell>
          <cell r="J167" t="str">
            <v>Sonvarsha</v>
          </cell>
          <cell r="K167" t="str">
            <v>Old</v>
          </cell>
          <cell r="L167">
            <v>45650</v>
          </cell>
          <cell r="M167">
            <v>7235.1</v>
          </cell>
          <cell r="N167">
            <v>278776.33999999997</v>
          </cell>
          <cell r="O167">
            <v>5426.3250000000007</v>
          </cell>
          <cell r="P167">
            <v>6873.3450000000003</v>
          </cell>
          <cell r="Q167">
            <v>0</v>
          </cell>
          <cell r="R167">
            <v>8363.2901999999995</v>
          </cell>
          <cell r="S167">
            <v>1489.9451999999992</v>
          </cell>
          <cell r="T167">
            <v>723.5100000000001</v>
          </cell>
          <cell r="U167">
            <v>175.17685027203484</v>
          </cell>
          <cell r="V167">
            <v>11401</v>
          </cell>
          <cell r="W167">
            <v>0</v>
          </cell>
          <cell r="X167">
            <v>0</v>
          </cell>
          <cell r="Y167">
            <v>0</v>
          </cell>
        </row>
        <row r="168">
          <cell r="D168">
            <v>10060090</v>
          </cell>
          <cell r="E168" t="str">
            <v>SANGRAMPUR</v>
          </cell>
          <cell r="F168">
            <v>0</v>
          </cell>
          <cell r="G168" t="str">
            <v>MPG</v>
          </cell>
          <cell r="H168" t="str">
            <v>Direct</v>
          </cell>
          <cell r="I168">
            <v>1059</v>
          </cell>
          <cell r="J168" t="str">
            <v>Gopalpur Bmc</v>
          </cell>
          <cell r="K168" t="str">
            <v>Old</v>
          </cell>
          <cell r="L168">
            <v>45702</v>
          </cell>
          <cell r="M168">
            <v>2151.8999999999996</v>
          </cell>
          <cell r="N168">
            <v>97577.5</v>
          </cell>
          <cell r="O168">
            <v>1613.9249999999997</v>
          </cell>
          <cell r="P168">
            <v>2044.3049999999996</v>
          </cell>
          <cell r="Q168">
            <v>0</v>
          </cell>
          <cell r="R168">
            <v>2927.3249999999998</v>
          </cell>
          <cell r="S168">
            <v>883.02000000000021</v>
          </cell>
          <cell r="T168">
            <v>215.18999999999997</v>
          </cell>
          <cell r="U168">
            <v>765.56776899419549</v>
          </cell>
          <cell r="V168">
            <v>2677</v>
          </cell>
          <cell r="W168">
            <v>1951.55</v>
          </cell>
          <cell r="X168">
            <v>0</v>
          </cell>
          <cell r="Y168">
            <v>0</v>
          </cell>
        </row>
        <row r="169">
          <cell r="D169">
            <v>10060096</v>
          </cell>
          <cell r="E169" t="str">
            <v>GOMUKH CHASMASKAN</v>
          </cell>
          <cell r="F169">
            <v>0</v>
          </cell>
          <cell r="G169" t="str">
            <v>vlc</v>
          </cell>
          <cell r="H169" t="str">
            <v>Indirect</v>
          </cell>
          <cell r="I169">
            <v>1006</v>
          </cell>
          <cell r="J169" t="str">
            <v>Sonvarsha</v>
          </cell>
          <cell r="K169" t="str">
            <v>Old</v>
          </cell>
          <cell r="L169">
            <v>45704</v>
          </cell>
          <cell r="M169">
            <v>5904.2000000000007</v>
          </cell>
          <cell r="N169">
            <v>218554.43</v>
          </cell>
          <cell r="O169">
            <v>4428.1500000000005</v>
          </cell>
          <cell r="P169">
            <v>5608.9900000000007</v>
          </cell>
          <cell r="Q169">
            <v>0</v>
          </cell>
          <cell r="R169">
            <v>6556.6328999999996</v>
          </cell>
          <cell r="S169">
            <v>947.64289999999892</v>
          </cell>
          <cell r="T169">
            <v>590.42000000000007</v>
          </cell>
          <cell r="U169">
            <v>0</v>
          </cell>
          <cell r="V169">
            <v>9447</v>
          </cell>
          <cell r="W169">
            <v>0</v>
          </cell>
          <cell r="X169">
            <v>0</v>
          </cell>
          <cell r="Y169">
            <v>0</v>
          </cell>
        </row>
        <row r="170">
          <cell r="D170">
            <v>10060097</v>
          </cell>
          <cell r="E170" t="str">
            <v>GOMUKH KAJITOLA</v>
          </cell>
          <cell r="F170">
            <v>0</v>
          </cell>
          <cell r="G170" t="str">
            <v>vlc</v>
          </cell>
          <cell r="H170" t="str">
            <v>Indirect</v>
          </cell>
          <cell r="I170">
            <v>1006</v>
          </cell>
          <cell r="J170" t="str">
            <v>Sonvarsha</v>
          </cell>
          <cell r="K170" t="str">
            <v>Old</v>
          </cell>
          <cell r="L170">
            <v>45743</v>
          </cell>
          <cell r="M170">
            <v>2819.79</v>
          </cell>
          <cell r="N170">
            <v>109219.07</v>
          </cell>
          <cell r="O170">
            <v>2114.8424999999997</v>
          </cell>
          <cell r="P170">
            <v>2678.8004999999998</v>
          </cell>
          <cell r="Q170">
            <v>0</v>
          </cell>
          <cell r="R170">
            <v>3276.5720999999999</v>
          </cell>
          <cell r="S170">
            <v>597.77160000000003</v>
          </cell>
          <cell r="T170">
            <v>281.97899999999998</v>
          </cell>
          <cell r="U170">
            <v>95.860039748946633</v>
          </cell>
          <cell r="V170">
            <v>4416</v>
          </cell>
          <cell r="W170">
            <v>0</v>
          </cell>
          <cell r="X170">
            <v>0</v>
          </cell>
          <cell r="Y170">
            <v>0</v>
          </cell>
        </row>
        <row r="171">
          <cell r="D171">
            <v>10060098</v>
          </cell>
          <cell r="E171" t="str">
            <v>RAMDEV TOLA</v>
          </cell>
          <cell r="F171">
            <v>0</v>
          </cell>
          <cell r="G171" t="str">
            <v>MPG</v>
          </cell>
          <cell r="H171" t="str">
            <v>Direct</v>
          </cell>
          <cell r="I171">
            <v>1006</v>
          </cell>
          <cell r="J171" t="str">
            <v>Sonvarsha</v>
          </cell>
          <cell r="K171" t="str">
            <v>Old</v>
          </cell>
          <cell r="L171">
            <v>45795</v>
          </cell>
          <cell r="M171">
            <v>5601.5</v>
          </cell>
          <cell r="N171">
            <v>243146.44000000003</v>
          </cell>
          <cell r="O171">
            <v>4201.125</v>
          </cell>
          <cell r="P171">
            <v>5321.4250000000002</v>
          </cell>
          <cell r="Q171">
            <v>1324.5063777</v>
          </cell>
          <cell r="R171">
            <v>7294.3932000000004</v>
          </cell>
          <cell r="S171">
            <v>1972.9682000000003</v>
          </cell>
          <cell r="T171">
            <v>560.15</v>
          </cell>
          <cell r="U171">
            <v>178.197802053392</v>
          </cell>
          <cell r="V171">
            <v>10109</v>
          </cell>
          <cell r="W171">
            <v>4862.9288000000006</v>
          </cell>
          <cell r="X171">
            <v>0</v>
          </cell>
          <cell r="Y171">
            <v>0</v>
          </cell>
        </row>
        <row r="172">
          <cell r="D172">
            <v>10060104</v>
          </cell>
          <cell r="E172" t="str">
            <v>GOMUKH KATEHAR</v>
          </cell>
          <cell r="F172">
            <v>0</v>
          </cell>
          <cell r="G172" t="str">
            <v>vlc</v>
          </cell>
          <cell r="H172" t="str">
            <v>Indirect</v>
          </cell>
          <cell r="I172">
            <v>1006</v>
          </cell>
          <cell r="J172" t="str">
            <v>Sonvarsha</v>
          </cell>
          <cell r="K172" t="str">
            <v>Old</v>
          </cell>
          <cell r="L172">
            <v>45800</v>
          </cell>
          <cell r="M172">
            <v>3101</v>
          </cell>
          <cell r="N172">
            <v>119049.95</v>
          </cell>
          <cell r="O172">
            <v>2325.75</v>
          </cell>
          <cell r="P172">
            <v>2945.95</v>
          </cell>
          <cell r="Q172">
            <v>0</v>
          </cell>
          <cell r="R172">
            <v>3571.4984999999997</v>
          </cell>
          <cell r="S172">
            <v>625.54849999999988</v>
          </cell>
          <cell r="T172">
            <v>310.10000000000002</v>
          </cell>
          <cell r="U172">
            <v>403.17841002785519</v>
          </cell>
          <cell r="V172">
            <v>4558</v>
          </cell>
          <cell r="W172">
            <v>0</v>
          </cell>
          <cell r="X172">
            <v>0</v>
          </cell>
          <cell r="Y172">
            <v>0</v>
          </cell>
        </row>
        <row r="173">
          <cell r="D173">
            <v>10060107</v>
          </cell>
          <cell r="E173" t="str">
            <v>GOMUKH JAGMAGLA</v>
          </cell>
          <cell r="F173">
            <v>0</v>
          </cell>
          <cell r="G173" t="str">
            <v>vlc</v>
          </cell>
          <cell r="H173" t="str">
            <v>Indirect</v>
          </cell>
          <cell r="I173">
            <v>1006</v>
          </cell>
          <cell r="J173" t="str">
            <v>Sonvarsha</v>
          </cell>
          <cell r="K173" t="str">
            <v>Old</v>
          </cell>
          <cell r="L173">
            <v>45791</v>
          </cell>
          <cell r="M173">
            <v>2472.1</v>
          </cell>
          <cell r="N173">
            <v>98785.37000000001</v>
          </cell>
          <cell r="O173">
            <v>1854.0749999999998</v>
          </cell>
          <cell r="P173">
            <v>2348.4949999999999</v>
          </cell>
          <cell r="Q173">
            <v>0</v>
          </cell>
          <cell r="R173">
            <v>2963.5611000000004</v>
          </cell>
          <cell r="S173">
            <v>615.06610000000046</v>
          </cell>
          <cell r="T173">
            <v>247.21</v>
          </cell>
          <cell r="U173">
            <v>432.90887231091926</v>
          </cell>
          <cell r="V173">
            <v>3522</v>
          </cell>
          <cell r="W173">
            <v>0</v>
          </cell>
          <cell r="X173">
            <v>0</v>
          </cell>
          <cell r="Y173">
            <v>0</v>
          </cell>
        </row>
        <row r="174">
          <cell r="D174">
            <v>10060109</v>
          </cell>
          <cell r="E174" t="str">
            <v>PACHRUKHI</v>
          </cell>
          <cell r="F174">
            <v>0</v>
          </cell>
          <cell r="G174" t="str">
            <v>MPG</v>
          </cell>
          <cell r="H174" t="str">
            <v>Direct</v>
          </cell>
          <cell r="I174">
            <v>1006</v>
          </cell>
          <cell r="J174" t="str">
            <v>Sonvarsha</v>
          </cell>
          <cell r="K174" t="str">
            <v>Old</v>
          </cell>
          <cell r="L174">
            <v>45853</v>
          </cell>
          <cell r="M174">
            <v>48.599999999999994</v>
          </cell>
          <cell r="N174">
            <v>1815.93</v>
          </cell>
          <cell r="O174">
            <v>36.449999999999996</v>
          </cell>
          <cell r="P174">
            <v>46.169999999999995</v>
          </cell>
          <cell r="Q174">
            <v>18.678528</v>
          </cell>
          <cell r="R174">
            <v>54.477899999999998</v>
          </cell>
          <cell r="S174">
            <v>8.3079000000000036</v>
          </cell>
          <cell r="T174">
            <v>4.8599999999999994</v>
          </cell>
          <cell r="U174">
            <v>96.557553362664748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D175">
            <v>10060110</v>
          </cell>
          <cell r="E175" t="str">
            <v>ORABAGICHA</v>
          </cell>
          <cell r="F175">
            <v>0</v>
          </cell>
          <cell r="G175" t="str">
            <v>MPG</v>
          </cell>
          <cell r="H175" t="str">
            <v>Direct</v>
          </cell>
          <cell r="I175">
            <v>1006</v>
          </cell>
          <cell r="J175" t="str">
            <v>Sonvarsha</v>
          </cell>
          <cell r="K175" t="str">
            <v>Old</v>
          </cell>
          <cell r="L175">
            <v>45838</v>
          </cell>
          <cell r="M175">
            <v>41.4</v>
          </cell>
          <cell r="N175">
            <v>2654.05</v>
          </cell>
          <cell r="O175">
            <v>31.049999999999997</v>
          </cell>
          <cell r="P175">
            <v>39.33</v>
          </cell>
          <cell r="Q175">
            <v>128.711605517706</v>
          </cell>
          <cell r="R175">
            <v>79.621499999999997</v>
          </cell>
          <cell r="S175">
            <v>40.291499999999999</v>
          </cell>
          <cell r="T175">
            <v>4.1399999999999997</v>
          </cell>
          <cell r="U175">
            <v>195.27585939762184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D176">
            <v>10060111</v>
          </cell>
          <cell r="E176" t="str">
            <v>KHAJURIYA</v>
          </cell>
          <cell r="F176">
            <v>0</v>
          </cell>
          <cell r="G176" t="str">
            <v>MPG</v>
          </cell>
          <cell r="H176" t="str">
            <v>Direct</v>
          </cell>
          <cell r="I176">
            <v>1006</v>
          </cell>
          <cell r="J176" t="str">
            <v>Sonvarsha</v>
          </cell>
          <cell r="K176" t="str">
            <v>Old</v>
          </cell>
          <cell r="L176">
            <v>45838</v>
          </cell>
          <cell r="M176">
            <v>2728.7999999999997</v>
          </cell>
          <cell r="N176">
            <v>113462.15</v>
          </cell>
          <cell r="O176">
            <v>2046.6</v>
          </cell>
          <cell r="P176">
            <v>2592.3599999999997</v>
          </cell>
          <cell r="Q176">
            <v>0</v>
          </cell>
          <cell r="R176">
            <v>3403.8644999999997</v>
          </cell>
          <cell r="S176">
            <v>811.50450000000001</v>
          </cell>
          <cell r="T176">
            <v>272.88</v>
          </cell>
          <cell r="U176">
            <v>224.91928723085502</v>
          </cell>
          <cell r="V176">
            <v>4141</v>
          </cell>
          <cell r="W176">
            <v>2269.2429999999999</v>
          </cell>
          <cell r="X176">
            <v>0</v>
          </cell>
          <cell r="Y176">
            <v>0</v>
          </cell>
        </row>
        <row r="177">
          <cell r="D177">
            <v>10060113</v>
          </cell>
          <cell r="E177" t="str">
            <v>NAYA SALEMPUR</v>
          </cell>
          <cell r="F177">
            <v>0</v>
          </cell>
          <cell r="G177" t="str">
            <v>vlc</v>
          </cell>
          <cell r="H177" t="str">
            <v>Indirect</v>
          </cell>
          <cell r="I177">
            <v>1006</v>
          </cell>
          <cell r="J177" t="str">
            <v>Sonvarsha</v>
          </cell>
          <cell r="K177" t="str">
            <v>Old</v>
          </cell>
          <cell r="L177">
            <v>45838</v>
          </cell>
          <cell r="M177">
            <v>3055.2000000000003</v>
          </cell>
          <cell r="N177">
            <v>115920.78</v>
          </cell>
          <cell r="O177">
            <v>2291.4</v>
          </cell>
          <cell r="P177">
            <v>2902.44</v>
          </cell>
          <cell r="Q177">
            <v>0</v>
          </cell>
          <cell r="R177">
            <v>3477.6233999999999</v>
          </cell>
          <cell r="S177">
            <v>575.18339999999989</v>
          </cell>
          <cell r="T177">
            <v>305.52000000000004</v>
          </cell>
          <cell r="U177">
            <v>56.730190416657749</v>
          </cell>
          <cell r="V177">
            <v>4832</v>
          </cell>
          <cell r="W177">
            <v>0</v>
          </cell>
          <cell r="X177">
            <v>0</v>
          </cell>
          <cell r="Y177">
            <v>0</v>
          </cell>
        </row>
        <row r="178">
          <cell r="D178">
            <v>10060114</v>
          </cell>
          <cell r="E178" t="str">
            <v>MANO 2</v>
          </cell>
          <cell r="F178">
            <v>0</v>
          </cell>
          <cell r="G178" t="str">
            <v>MPG</v>
          </cell>
          <cell r="H178" t="str">
            <v>Direct</v>
          </cell>
          <cell r="I178">
            <v>1006</v>
          </cell>
          <cell r="J178" t="str">
            <v>Sonvarsha</v>
          </cell>
          <cell r="K178" t="str">
            <v>Old</v>
          </cell>
          <cell r="L178">
            <v>45856</v>
          </cell>
          <cell r="M178">
            <v>1604.4</v>
          </cell>
          <cell r="N178">
            <v>64408.34</v>
          </cell>
          <cell r="O178">
            <v>1203.3000000000002</v>
          </cell>
          <cell r="P178">
            <v>1524.18</v>
          </cell>
          <cell r="Q178">
            <v>0</v>
          </cell>
          <cell r="R178">
            <v>1932.2501999999997</v>
          </cell>
          <cell r="S178">
            <v>408.07019999999966</v>
          </cell>
          <cell r="T178">
            <v>160.44000000000003</v>
          </cell>
          <cell r="U178">
            <v>1118.5745511810956</v>
          </cell>
          <cell r="V178">
            <v>1448</v>
          </cell>
          <cell r="W178">
            <v>1448</v>
          </cell>
          <cell r="X178">
            <v>0</v>
          </cell>
          <cell r="Y178">
            <v>0</v>
          </cell>
        </row>
        <row r="179">
          <cell r="D179">
            <v>10060115</v>
          </cell>
          <cell r="E179" t="str">
            <v>Champanagar</v>
          </cell>
          <cell r="F179">
            <v>0</v>
          </cell>
          <cell r="G179" t="str">
            <v>MPG</v>
          </cell>
          <cell r="H179" t="str">
            <v>Direct</v>
          </cell>
          <cell r="I179">
            <v>1006</v>
          </cell>
          <cell r="J179" t="str">
            <v>Sonvarsha</v>
          </cell>
          <cell r="K179" t="str">
            <v>Old</v>
          </cell>
          <cell r="L179">
            <v>45869</v>
          </cell>
          <cell r="M179">
            <v>325.70000000000005</v>
          </cell>
          <cell r="N179">
            <v>18361.069999999996</v>
          </cell>
          <cell r="O179">
            <v>244.27500000000003</v>
          </cell>
          <cell r="P179">
            <v>309.41500000000002</v>
          </cell>
          <cell r="Q179">
            <v>0</v>
          </cell>
          <cell r="R179">
            <v>550.83209999999985</v>
          </cell>
          <cell r="S179">
            <v>241.41709999999983</v>
          </cell>
          <cell r="T179">
            <v>32.570000000000007</v>
          </cell>
          <cell r="U179">
            <v>520.88516391053508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D180">
            <v>10070002</v>
          </cell>
          <cell r="E180" t="str">
            <v>Gomukh ID Araria</v>
          </cell>
          <cell r="F180">
            <v>0</v>
          </cell>
          <cell r="G180" t="str">
            <v>vlc</v>
          </cell>
          <cell r="H180" t="str">
            <v>Indirect</v>
          </cell>
          <cell r="I180">
            <v>1007</v>
          </cell>
          <cell r="J180" t="str">
            <v>Araria</v>
          </cell>
          <cell r="K180" t="str">
            <v>Old</v>
          </cell>
          <cell r="L180">
            <v>43753</v>
          </cell>
          <cell r="M180">
            <v>17044.7</v>
          </cell>
          <cell r="N180">
            <v>628006.35</v>
          </cell>
          <cell r="O180">
            <v>12783.525000000001</v>
          </cell>
          <cell r="P180">
            <v>16192.465</v>
          </cell>
          <cell r="Q180">
            <v>0</v>
          </cell>
          <cell r="R180">
            <v>18840.190499999997</v>
          </cell>
          <cell r="S180">
            <v>2647.7254999999968</v>
          </cell>
          <cell r="T180">
            <v>1704.4700000000003</v>
          </cell>
          <cell r="U180">
            <v>0</v>
          </cell>
          <cell r="V180">
            <v>27272</v>
          </cell>
          <cell r="W180">
            <v>0</v>
          </cell>
          <cell r="X180">
            <v>0</v>
          </cell>
          <cell r="Y180">
            <v>0</v>
          </cell>
        </row>
        <row r="181">
          <cell r="D181">
            <v>10070003</v>
          </cell>
          <cell r="E181" t="str">
            <v>Gomukh ID Chaidha</v>
          </cell>
          <cell r="F181">
            <v>0</v>
          </cell>
          <cell r="G181" t="str">
            <v>vlc</v>
          </cell>
          <cell r="H181" t="str">
            <v>Indirect</v>
          </cell>
          <cell r="I181">
            <v>1007</v>
          </cell>
          <cell r="J181" t="str">
            <v>Araria</v>
          </cell>
          <cell r="K181" t="str">
            <v>Old</v>
          </cell>
          <cell r="L181">
            <v>44162</v>
          </cell>
          <cell r="M181">
            <v>4400.1000000000004</v>
          </cell>
          <cell r="N181">
            <v>152519.07</v>
          </cell>
          <cell r="O181">
            <v>3300.0750000000003</v>
          </cell>
          <cell r="P181">
            <v>4180.0950000000003</v>
          </cell>
          <cell r="Q181">
            <v>0</v>
          </cell>
          <cell r="R181">
            <v>4575.5721000000003</v>
          </cell>
          <cell r="S181">
            <v>395.47710000000006</v>
          </cell>
          <cell r="T181">
            <v>440.01000000000005</v>
          </cell>
          <cell r="U181">
            <v>78.154989448441228</v>
          </cell>
          <cell r="V181">
            <v>6962</v>
          </cell>
          <cell r="W181">
            <v>0</v>
          </cell>
          <cell r="X181">
            <v>0</v>
          </cell>
          <cell r="Y181">
            <v>0</v>
          </cell>
        </row>
        <row r="182">
          <cell r="D182">
            <v>10070004</v>
          </cell>
          <cell r="E182" t="str">
            <v>Gomukh ID Pakrail</v>
          </cell>
          <cell r="F182">
            <v>0</v>
          </cell>
          <cell r="G182" t="str">
            <v>vlc</v>
          </cell>
          <cell r="H182" t="str">
            <v>Indirect</v>
          </cell>
          <cell r="I182">
            <v>1056</v>
          </cell>
          <cell r="J182" t="str">
            <v>Chautham</v>
          </cell>
          <cell r="K182" t="str">
            <v>Old</v>
          </cell>
          <cell r="L182">
            <v>44257</v>
          </cell>
          <cell r="M182">
            <v>1151.2</v>
          </cell>
          <cell r="N182">
            <v>40267.040000000001</v>
          </cell>
          <cell r="O182">
            <v>863.40000000000009</v>
          </cell>
          <cell r="P182">
            <v>1093.6400000000001</v>
          </cell>
          <cell r="Q182">
            <v>0</v>
          </cell>
          <cell r="R182">
            <v>1208.0111999999999</v>
          </cell>
          <cell r="S182">
            <v>114.37119999999982</v>
          </cell>
          <cell r="T182">
            <v>115.12</v>
          </cell>
          <cell r="U182">
            <v>1301.8161067043829</v>
          </cell>
          <cell r="V182">
            <v>540</v>
          </cell>
          <cell r="W182">
            <v>540</v>
          </cell>
          <cell r="X182">
            <v>0</v>
          </cell>
          <cell r="Y182">
            <v>0</v>
          </cell>
        </row>
        <row r="183">
          <cell r="D183">
            <v>10070008</v>
          </cell>
          <cell r="E183" t="str">
            <v>Gomukh ID Pipra</v>
          </cell>
          <cell r="F183">
            <v>0</v>
          </cell>
          <cell r="G183" t="str">
            <v>vlc</v>
          </cell>
          <cell r="H183" t="str">
            <v>Indirect</v>
          </cell>
          <cell r="I183">
            <v>1056</v>
          </cell>
          <cell r="J183" t="str">
            <v>Chautham</v>
          </cell>
          <cell r="K183" t="str">
            <v>Old</v>
          </cell>
          <cell r="L183">
            <v>44816</v>
          </cell>
          <cell r="M183">
            <v>4256.0999999999995</v>
          </cell>
          <cell r="N183">
            <v>152983.29999999999</v>
          </cell>
          <cell r="O183">
            <v>3192.0749999999998</v>
          </cell>
          <cell r="P183">
            <v>4043.2949999999992</v>
          </cell>
          <cell r="Q183">
            <v>0</v>
          </cell>
          <cell r="R183">
            <v>4589.4989999999998</v>
          </cell>
          <cell r="S183">
            <v>546.20400000000063</v>
          </cell>
          <cell r="T183">
            <v>425.60999999999996</v>
          </cell>
          <cell r="U183">
            <v>236.66714031663417</v>
          </cell>
          <cell r="V183">
            <v>6573</v>
          </cell>
          <cell r="W183">
            <v>112.71746753876505</v>
          </cell>
          <cell r="X183">
            <v>0</v>
          </cell>
          <cell r="Y183">
            <v>0</v>
          </cell>
        </row>
        <row r="184">
          <cell r="D184">
            <v>10070013</v>
          </cell>
          <cell r="E184" t="str">
            <v xml:space="preserve">Gomukh Fatepur                                                                                      </v>
          </cell>
          <cell r="F184">
            <v>0</v>
          </cell>
          <cell r="G184" t="str">
            <v>MPG</v>
          </cell>
          <cell r="H184" t="str">
            <v>Direct</v>
          </cell>
          <cell r="I184">
            <v>1007</v>
          </cell>
          <cell r="J184" t="str">
            <v>Araria</v>
          </cell>
          <cell r="K184" t="str">
            <v>Old</v>
          </cell>
          <cell r="L184">
            <v>45083</v>
          </cell>
          <cell r="M184">
            <v>1101.8999999999999</v>
          </cell>
          <cell r="N184">
            <v>40547.320000000007</v>
          </cell>
          <cell r="O184">
            <v>826.42499999999995</v>
          </cell>
          <cell r="P184">
            <v>1046.8049999999998</v>
          </cell>
          <cell r="Q184">
            <v>682.30031544180008</v>
          </cell>
          <cell r="R184">
            <v>1216.4196000000002</v>
          </cell>
          <cell r="S184">
            <v>169.61460000000034</v>
          </cell>
          <cell r="T184">
            <v>110.19</v>
          </cell>
          <cell r="U184">
            <v>1394.9466425738819</v>
          </cell>
          <cell r="V184">
            <v>1050</v>
          </cell>
          <cell r="W184">
            <v>861</v>
          </cell>
          <cell r="X184">
            <v>0</v>
          </cell>
          <cell r="Y184">
            <v>189</v>
          </cell>
        </row>
        <row r="185">
          <cell r="D185">
            <v>10070016</v>
          </cell>
          <cell r="E185" t="str">
            <v>Gomukh Gauchhari</v>
          </cell>
          <cell r="F185">
            <v>0</v>
          </cell>
          <cell r="G185" t="str">
            <v>MPG</v>
          </cell>
          <cell r="H185" t="str">
            <v>Direct</v>
          </cell>
          <cell r="I185">
            <v>1007</v>
          </cell>
          <cell r="J185" t="str">
            <v>Araria</v>
          </cell>
          <cell r="K185" t="str">
            <v>Old</v>
          </cell>
          <cell r="L185">
            <v>45103</v>
          </cell>
          <cell r="M185">
            <v>798.30000000000007</v>
          </cell>
          <cell r="N185">
            <v>30573.17</v>
          </cell>
          <cell r="O185">
            <v>598.72500000000002</v>
          </cell>
          <cell r="P185">
            <v>758.38499999999999</v>
          </cell>
          <cell r="Q185">
            <v>784.68801325200013</v>
          </cell>
          <cell r="R185">
            <v>917.19509999999991</v>
          </cell>
          <cell r="S185">
            <v>158.81009999999992</v>
          </cell>
          <cell r="T185">
            <v>79.830000000000013</v>
          </cell>
          <cell r="U185">
            <v>1686.5885378354662</v>
          </cell>
          <cell r="V185">
            <v>375</v>
          </cell>
          <cell r="W185">
            <v>375</v>
          </cell>
          <cell r="X185">
            <v>0</v>
          </cell>
          <cell r="Y185">
            <v>0</v>
          </cell>
        </row>
        <row r="186">
          <cell r="D186">
            <v>10070018</v>
          </cell>
          <cell r="E186" t="str">
            <v>Gomukh Arariya Karjaniya</v>
          </cell>
          <cell r="F186">
            <v>0</v>
          </cell>
          <cell r="G186" t="str">
            <v>vlc</v>
          </cell>
          <cell r="H186" t="str">
            <v>Indirect</v>
          </cell>
          <cell r="I186">
            <v>1007</v>
          </cell>
          <cell r="J186" t="str">
            <v>Araria</v>
          </cell>
          <cell r="K186" t="str">
            <v>Old</v>
          </cell>
          <cell r="L186">
            <v>45212</v>
          </cell>
          <cell r="M186">
            <v>63058.6</v>
          </cell>
          <cell r="N186">
            <v>2308346.12</v>
          </cell>
          <cell r="O186">
            <v>47293.95</v>
          </cell>
          <cell r="P186">
            <v>59905.67</v>
          </cell>
          <cell r="Q186">
            <v>0</v>
          </cell>
          <cell r="R186">
            <v>69250.383600000001</v>
          </cell>
          <cell r="S186">
            <v>9344.7136000000028</v>
          </cell>
          <cell r="T186">
            <v>6305.8600000000006</v>
          </cell>
          <cell r="U186">
            <v>0</v>
          </cell>
          <cell r="V186">
            <v>100894</v>
          </cell>
          <cell r="W186">
            <v>0</v>
          </cell>
          <cell r="X186">
            <v>0</v>
          </cell>
          <cell r="Y186">
            <v>0</v>
          </cell>
        </row>
        <row r="187">
          <cell r="D187">
            <v>10070019</v>
          </cell>
          <cell r="E187" t="str">
            <v>Gomukh Aariya Dummer Kothi</v>
          </cell>
          <cell r="F187">
            <v>0</v>
          </cell>
          <cell r="G187" t="str">
            <v>vlc</v>
          </cell>
          <cell r="H187" t="str">
            <v>Indirect</v>
          </cell>
          <cell r="I187">
            <v>1007</v>
          </cell>
          <cell r="J187" t="str">
            <v>Araria</v>
          </cell>
          <cell r="K187" t="str">
            <v>Old</v>
          </cell>
          <cell r="L187">
            <v>45212</v>
          </cell>
          <cell r="M187">
            <v>4384.8</v>
          </cell>
          <cell r="N187">
            <v>160744.25</v>
          </cell>
          <cell r="O187">
            <v>3288.6000000000004</v>
          </cell>
          <cell r="P187">
            <v>4165.5600000000004</v>
          </cell>
          <cell r="Q187">
            <v>0</v>
          </cell>
          <cell r="R187">
            <v>4822.3274999999994</v>
          </cell>
          <cell r="S187">
            <v>656.76749999999902</v>
          </cell>
          <cell r="T187">
            <v>438.48</v>
          </cell>
          <cell r="U187">
            <v>0</v>
          </cell>
          <cell r="V187">
            <v>7016</v>
          </cell>
          <cell r="W187">
            <v>0</v>
          </cell>
          <cell r="X187">
            <v>0</v>
          </cell>
          <cell r="Y187">
            <v>0</v>
          </cell>
        </row>
        <row r="188">
          <cell r="D188">
            <v>10070020</v>
          </cell>
          <cell r="E188" t="str">
            <v>Gomukh Balha</v>
          </cell>
          <cell r="F188">
            <v>0</v>
          </cell>
          <cell r="G188" t="str">
            <v>vlc</v>
          </cell>
          <cell r="H188" t="str">
            <v>Indirect</v>
          </cell>
          <cell r="I188">
            <v>1007</v>
          </cell>
          <cell r="J188" t="str">
            <v>Araria</v>
          </cell>
          <cell r="K188" t="str">
            <v>Old</v>
          </cell>
          <cell r="L188">
            <v>45212</v>
          </cell>
          <cell r="M188">
            <v>34515.599999999999</v>
          </cell>
          <cell r="N188">
            <v>1256213.68</v>
          </cell>
          <cell r="O188">
            <v>25886.699999999997</v>
          </cell>
          <cell r="P188">
            <v>32789.82</v>
          </cell>
          <cell r="Q188">
            <v>0</v>
          </cell>
          <cell r="R188">
            <v>37686.410399999993</v>
          </cell>
          <cell r="S188">
            <v>4896.5903999999937</v>
          </cell>
          <cell r="T188">
            <v>3451.56</v>
          </cell>
          <cell r="U188">
            <v>0</v>
          </cell>
          <cell r="V188">
            <v>55225</v>
          </cell>
          <cell r="W188">
            <v>0</v>
          </cell>
          <cell r="X188">
            <v>0</v>
          </cell>
          <cell r="Y188">
            <v>0</v>
          </cell>
        </row>
        <row r="189">
          <cell r="D189">
            <v>10070024</v>
          </cell>
          <cell r="E189" t="str">
            <v>Haripur - Sanjay</v>
          </cell>
          <cell r="F189">
            <v>0</v>
          </cell>
          <cell r="G189" t="str">
            <v>vlc</v>
          </cell>
          <cell r="H189" t="str">
            <v>Indirect</v>
          </cell>
          <cell r="I189">
            <v>1007</v>
          </cell>
          <cell r="J189" t="str">
            <v>Araria</v>
          </cell>
          <cell r="K189" t="str">
            <v>Old</v>
          </cell>
          <cell r="L189">
            <v>45212</v>
          </cell>
          <cell r="M189">
            <v>4284.7</v>
          </cell>
          <cell r="N189">
            <v>152251.51</v>
          </cell>
          <cell r="O189">
            <v>3213.5249999999996</v>
          </cell>
          <cell r="P189">
            <v>4070.4649999999997</v>
          </cell>
          <cell r="Q189">
            <v>0</v>
          </cell>
          <cell r="R189">
            <v>4567.5452999999998</v>
          </cell>
          <cell r="S189">
            <v>497.08030000000008</v>
          </cell>
          <cell r="T189">
            <v>428.47</v>
          </cell>
          <cell r="U189">
            <v>0</v>
          </cell>
          <cell r="V189">
            <v>6856</v>
          </cell>
          <cell r="W189">
            <v>0</v>
          </cell>
          <cell r="X189">
            <v>0</v>
          </cell>
          <cell r="Y189">
            <v>0</v>
          </cell>
        </row>
        <row r="190">
          <cell r="D190">
            <v>10070026</v>
          </cell>
          <cell r="E190" t="str">
            <v>Araria - Ankesh</v>
          </cell>
          <cell r="F190">
            <v>0</v>
          </cell>
          <cell r="G190" t="str">
            <v>vlc</v>
          </cell>
          <cell r="H190" t="str">
            <v>Indirect</v>
          </cell>
          <cell r="I190">
            <v>1007</v>
          </cell>
          <cell r="J190" t="str">
            <v>Araria</v>
          </cell>
          <cell r="K190" t="str">
            <v>Old</v>
          </cell>
          <cell r="L190">
            <v>45212</v>
          </cell>
          <cell r="M190">
            <v>4433.9000000000005</v>
          </cell>
          <cell r="N190">
            <v>158995.06</v>
          </cell>
          <cell r="O190">
            <v>3325.4250000000002</v>
          </cell>
          <cell r="P190">
            <v>4212.2049999999999</v>
          </cell>
          <cell r="Q190">
            <v>0</v>
          </cell>
          <cell r="R190">
            <v>4769.8517999999995</v>
          </cell>
          <cell r="S190">
            <v>557.64679999999953</v>
          </cell>
          <cell r="T190">
            <v>443.3900000000001</v>
          </cell>
          <cell r="U190">
            <v>0</v>
          </cell>
          <cell r="V190">
            <v>7094</v>
          </cell>
          <cell r="W190">
            <v>0</v>
          </cell>
          <cell r="X190">
            <v>0</v>
          </cell>
          <cell r="Y190">
            <v>0</v>
          </cell>
        </row>
        <row r="191">
          <cell r="D191">
            <v>10070031</v>
          </cell>
          <cell r="E191" t="str">
            <v>Gomukh Bari Maliya(Indirect)</v>
          </cell>
          <cell r="F191">
            <v>0</v>
          </cell>
          <cell r="G191" t="str">
            <v>vlc</v>
          </cell>
          <cell r="H191" t="str">
            <v>Direct</v>
          </cell>
          <cell r="I191">
            <v>1007</v>
          </cell>
          <cell r="J191" t="str">
            <v>Araria</v>
          </cell>
          <cell r="K191" t="str">
            <v>Old</v>
          </cell>
          <cell r="L191">
            <v>45260</v>
          </cell>
          <cell r="M191">
            <v>2972.7</v>
          </cell>
          <cell r="N191">
            <v>108368.07</v>
          </cell>
          <cell r="O191">
            <v>2229.5249999999996</v>
          </cell>
          <cell r="P191">
            <v>2824.0649999999996</v>
          </cell>
          <cell r="Q191">
            <v>0</v>
          </cell>
          <cell r="R191">
            <v>3251.0421000000001</v>
          </cell>
          <cell r="S191">
            <v>426.97710000000052</v>
          </cell>
          <cell r="T191">
            <v>297.27</v>
          </cell>
          <cell r="U191">
            <v>0</v>
          </cell>
          <cell r="V191">
            <v>4756</v>
          </cell>
          <cell r="W191">
            <v>0</v>
          </cell>
          <cell r="X191">
            <v>0</v>
          </cell>
          <cell r="Y191">
            <v>0</v>
          </cell>
        </row>
        <row r="192">
          <cell r="D192">
            <v>10070033</v>
          </cell>
          <cell r="E192" t="str">
            <v>Gomukh Kabela                                                                                       </v>
          </cell>
          <cell r="F192">
            <v>0</v>
          </cell>
          <cell r="G192" t="str">
            <v>MPG</v>
          </cell>
          <cell r="H192" t="str">
            <v>Direct</v>
          </cell>
          <cell r="I192">
            <v>1010</v>
          </cell>
          <cell r="J192" t="str">
            <v>Parbatta</v>
          </cell>
          <cell r="K192" t="str">
            <v>Old</v>
          </cell>
          <cell r="L192">
            <v>45198</v>
          </cell>
          <cell r="M192">
            <v>2524.6999999999998</v>
          </cell>
          <cell r="N192">
            <v>128105.45</v>
          </cell>
          <cell r="O192">
            <v>1893.5249999999999</v>
          </cell>
          <cell r="P192">
            <v>2398.4649999999997</v>
          </cell>
          <cell r="Q192">
            <v>0</v>
          </cell>
          <cell r="R192">
            <v>3843.1634999999997</v>
          </cell>
          <cell r="S192">
            <v>1444.6985</v>
          </cell>
          <cell r="T192">
            <v>252.47</v>
          </cell>
          <cell r="U192">
            <v>491.91544362205525</v>
          </cell>
          <cell r="V192">
            <v>3548</v>
          </cell>
          <cell r="W192">
            <v>2562.1089999999999</v>
          </cell>
          <cell r="X192">
            <v>0</v>
          </cell>
          <cell r="Y192">
            <v>986</v>
          </cell>
        </row>
        <row r="193">
          <cell r="D193">
            <v>10070039</v>
          </cell>
          <cell r="E193" t="str">
            <v xml:space="preserve">Gomukh Malpa Uttari                                                                                 </v>
          </cell>
          <cell r="F193">
            <v>0</v>
          </cell>
          <cell r="G193" t="str">
            <v>vlc</v>
          </cell>
          <cell r="H193" t="str">
            <v>Indirect</v>
          </cell>
          <cell r="I193">
            <v>1056</v>
          </cell>
          <cell r="J193" t="str">
            <v>Chautham</v>
          </cell>
          <cell r="K193" t="str">
            <v>Old</v>
          </cell>
          <cell r="L193">
            <v>45205</v>
          </cell>
          <cell r="M193">
            <v>1187.44</v>
          </cell>
          <cell r="N193">
            <v>39765.500000000007</v>
          </cell>
          <cell r="O193">
            <v>890.58</v>
          </cell>
          <cell r="P193">
            <v>1128.068</v>
          </cell>
          <cell r="Q193">
            <v>0</v>
          </cell>
          <cell r="R193">
            <v>1192.9650000000001</v>
          </cell>
          <cell r="S193">
            <v>64.897000000000162</v>
          </cell>
          <cell r="T193">
            <v>118.74400000000001</v>
          </cell>
          <cell r="U193">
            <v>1205.1880042978171</v>
          </cell>
          <cell r="V193">
            <v>695</v>
          </cell>
          <cell r="W193">
            <v>0</v>
          </cell>
          <cell r="X193">
            <v>695</v>
          </cell>
          <cell r="Y193">
            <v>0</v>
          </cell>
        </row>
        <row r="194">
          <cell r="D194">
            <v>10070042</v>
          </cell>
          <cell r="E194" t="str">
            <v>Gomukh Sapha</v>
          </cell>
          <cell r="F194">
            <v>0</v>
          </cell>
          <cell r="G194" t="str">
            <v>MPG</v>
          </cell>
          <cell r="H194" t="str">
            <v>Direct</v>
          </cell>
          <cell r="I194">
            <v>1007</v>
          </cell>
          <cell r="J194" t="str">
            <v>Araria</v>
          </cell>
          <cell r="K194" t="str">
            <v>Old</v>
          </cell>
          <cell r="L194">
            <v>45323</v>
          </cell>
          <cell r="M194">
            <v>693.30000000000007</v>
          </cell>
          <cell r="N194">
            <v>29889.45</v>
          </cell>
          <cell r="O194">
            <v>519.97500000000002</v>
          </cell>
          <cell r="P194">
            <v>658.63499999999999</v>
          </cell>
          <cell r="Q194">
            <v>362.36204976876013</v>
          </cell>
          <cell r="R194">
            <v>896.68349999999998</v>
          </cell>
          <cell r="S194">
            <v>238.04849999999999</v>
          </cell>
          <cell r="T194">
            <v>69.330000000000013</v>
          </cell>
          <cell r="U194">
            <v>1471.6023122289744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D195">
            <v>10070043</v>
          </cell>
          <cell r="E195" t="str">
            <v>Araria</v>
          </cell>
          <cell r="F195">
            <v>0</v>
          </cell>
          <cell r="G195" t="str">
            <v>vlc</v>
          </cell>
          <cell r="H195" t="str">
            <v>Indirect</v>
          </cell>
          <cell r="I195">
            <v>1007</v>
          </cell>
          <cell r="J195" t="str">
            <v>Araria</v>
          </cell>
          <cell r="K195" t="str">
            <v>Old</v>
          </cell>
          <cell r="L195">
            <v>45636</v>
          </cell>
          <cell r="M195">
            <v>77751.5</v>
          </cell>
          <cell r="N195">
            <v>2860255.65</v>
          </cell>
          <cell r="O195">
            <v>58313.625</v>
          </cell>
          <cell r="P195">
            <v>73863.925000000003</v>
          </cell>
          <cell r="Q195">
            <v>0</v>
          </cell>
          <cell r="R195">
            <v>85807.669499999989</v>
          </cell>
          <cell r="S195">
            <v>11943.744499999986</v>
          </cell>
          <cell r="T195">
            <v>7775.1500000000005</v>
          </cell>
          <cell r="U195">
            <v>0</v>
          </cell>
          <cell r="V195">
            <v>124402</v>
          </cell>
          <cell r="W195">
            <v>0</v>
          </cell>
          <cell r="X195">
            <v>0</v>
          </cell>
          <cell r="Y195">
            <v>0</v>
          </cell>
        </row>
        <row r="196">
          <cell r="D196">
            <v>10070045</v>
          </cell>
          <cell r="E196" t="str">
            <v>Gomukh Gauchhari</v>
          </cell>
          <cell r="F196">
            <v>0</v>
          </cell>
          <cell r="G196" t="str">
            <v>MPG</v>
          </cell>
          <cell r="H196" t="str">
            <v>Direct</v>
          </cell>
          <cell r="I196">
            <v>1007</v>
          </cell>
          <cell r="J196" t="str">
            <v>Araria</v>
          </cell>
          <cell r="K196" t="str">
            <v>Old</v>
          </cell>
          <cell r="L196">
            <v>45646</v>
          </cell>
          <cell r="M196">
            <v>4356</v>
          </cell>
          <cell r="N196">
            <v>165606.19000000003</v>
          </cell>
          <cell r="O196">
            <v>3267</v>
          </cell>
          <cell r="P196">
            <v>4138.2</v>
          </cell>
          <cell r="Q196">
            <v>216.51087195540003</v>
          </cell>
          <cell r="R196">
            <v>4968.1857000000009</v>
          </cell>
          <cell r="S196">
            <v>829.98570000000109</v>
          </cell>
          <cell r="T196">
            <v>435.6</v>
          </cell>
          <cell r="U196">
            <v>0</v>
          </cell>
          <cell r="V196">
            <v>7186</v>
          </cell>
          <cell r="W196">
            <v>3312.1238000000008</v>
          </cell>
          <cell r="X196">
            <v>0</v>
          </cell>
          <cell r="Y196">
            <v>0</v>
          </cell>
        </row>
        <row r="197">
          <cell r="D197">
            <v>10070046</v>
          </cell>
          <cell r="E197" t="str">
            <v>Telouch</v>
          </cell>
          <cell r="F197">
            <v>0</v>
          </cell>
          <cell r="G197" t="str">
            <v>MPG</v>
          </cell>
          <cell r="H197" t="str">
            <v>Direct</v>
          </cell>
          <cell r="I197">
            <v>1056</v>
          </cell>
          <cell r="J197" t="str">
            <v>Chautham</v>
          </cell>
          <cell r="K197" t="str">
            <v>Old</v>
          </cell>
          <cell r="L197">
            <v>45647</v>
          </cell>
          <cell r="M197">
            <v>10444.44</v>
          </cell>
          <cell r="N197">
            <v>395053.41000000003</v>
          </cell>
          <cell r="O197">
            <v>7833.33</v>
          </cell>
          <cell r="P197">
            <v>9922.2180000000008</v>
          </cell>
          <cell r="Q197">
            <v>2336.7064485599999</v>
          </cell>
          <cell r="R197">
            <v>11851.6023</v>
          </cell>
          <cell r="S197">
            <v>1929.3842999999997</v>
          </cell>
          <cell r="T197">
            <v>1044.4440000000002</v>
          </cell>
          <cell r="U197">
            <v>0</v>
          </cell>
          <cell r="V197">
            <v>19048</v>
          </cell>
          <cell r="W197">
            <v>1767.3397237795871</v>
          </cell>
          <cell r="X197">
            <v>0</v>
          </cell>
          <cell r="Y197">
            <v>0</v>
          </cell>
        </row>
        <row r="198">
          <cell r="D198">
            <v>10070048</v>
          </cell>
          <cell r="E198" t="str">
            <v>Gomukh Jhangara B</v>
          </cell>
          <cell r="F198">
            <v>0</v>
          </cell>
          <cell r="G198" t="str">
            <v>MPG</v>
          </cell>
          <cell r="H198" t="str">
            <v>Direct</v>
          </cell>
          <cell r="I198">
            <v>1007</v>
          </cell>
          <cell r="J198" t="str">
            <v>Araria</v>
          </cell>
          <cell r="K198" t="str">
            <v>Old</v>
          </cell>
          <cell r="L198">
            <v>45681</v>
          </cell>
          <cell r="M198">
            <v>6179.7999999999993</v>
          </cell>
          <cell r="N198">
            <v>239082.57</v>
          </cell>
          <cell r="O198">
            <v>4634.8499999999995</v>
          </cell>
          <cell r="P198">
            <v>5870.8099999999986</v>
          </cell>
          <cell r="Q198">
            <v>0</v>
          </cell>
          <cell r="R198">
            <v>7172.4771000000001</v>
          </cell>
          <cell r="S198">
            <v>1301.6671000000015</v>
          </cell>
          <cell r="T198">
            <v>617.98</v>
          </cell>
          <cell r="U198">
            <v>0</v>
          </cell>
          <cell r="V198">
            <v>9888</v>
          </cell>
          <cell r="W198">
            <v>4781.6514000000006</v>
          </cell>
          <cell r="X198">
            <v>0</v>
          </cell>
          <cell r="Y198">
            <v>0</v>
          </cell>
        </row>
        <row r="199">
          <cell r="D199">
            <v>10070056</v>
          </cell>
          <cell r="E199" t="str">
            <v xml:space="preserve"> Gomukh Nauranga</v>
          </cell>
          <cell r="F199">
            <v>0</v>
          </cell>
          <cell r="G199" t="str">
            <v>vlc</v>
          </cell>
          <cell r="H199" t="str">
            <v>Indirect</v>
          </cell>
          <cell r="I199">
            <v>1056</v>
          </cell>
          <cell r="J199" t="str">
            <v>Chautham</v>
          </cell>
          <cell r="K199" t="str">
            <v>Old</v>
          </cell>
          <cell r="L199">
            <v>45709</v>
          </cell>
          <cell r="M199">
            <v>2311.56</v>
          </cell>
          <cell r="N199">
            <v>99240.35</v>
          </cell>
          <cell r="O199">
            <v>1733.67</v>
          </cell>
          <cell r="P199">
            <v>2195.982</v>
          </cell>
          <cell r="Q199">
            <v>0</v>
          </cell>
          <cell r="R199">
            <v>2977.2105000000001</v>
          </cell>
          <cell r="S199">
            <v>781.22850000000017</v>
          </cell>
          <cell r="T199">
            <v>231.15600000000001</v>
          </cell>
          <cell r="U199">
            <v>672.64550326807193</v>
          </cell>
          <cell r="V199">
            <v>3026</v>
          </cell>
          <cell r="W199">
            <v>0</v>
          </cell>
          <cell r="X199">
            <v>0</v>
          </cell>
          <cell r="Y199">
            <v>0</v>
          </cell>
        </row>
        <row r="200">
          <cell r="D200">
            <v>10070059</v>
          </cell>
          <cell r="E200" t="str">
            <v>Gomukh Pakrail Vijay Nagar VLC</v>
          </cell>
          <cell r="F200">
            <v>0</v>
          </cell>
          <cell r="G200" t="str">
            <v>vlc</v>
          </cell>
          <cell r="H200" t="str">
            <v>Indirect</v>
          </cell>
          <cell r="I200">
            <v>1056</v>
          </cell>
          <cell r="J200" t="str">
            <v>Chautham</v>
          </cell>
          <cell r="K200" t="str">
            <v>Old</v>
          </cell>
          <cell r="L200">
            <v>45726</v>
          </cell>
          <cell r="M200">
            <v>6871.2599999999993</v>
          </cell>
          <cell r="N200">
            <v>255107.94</v>
          </cell>
          <cell r="O200">
            <v>5153.4449999999997</v>
          </cell>
          <cell r="P200">
            <v>6527.6969999999992</v>
          </cell>
          <cell r="Q200">
            <v>0</v>
          </cell>
          <cell r="R200">
            <v>7653.2381999999998</v>
          </cell>
          <cell r="S200">
            <v>1125.5412000000006</v>
          </cell>
          <cell r="T200">
            <v>687.12599999999998</v>
          </cell>
          <cell r="U200">
            <v>0</v>
          </cell>
          <cell r="V200">
            <v>10994</v>
          </cell>
          <cell r="W200">
            <v>0</v>
          </cell>
          <cell r="X200">
            <v>0</v>
          </cell>
          <cell r="Y200">
            <v>0</v>
          </cell>
        </row>
        <row r="201">
          <cell r="D201">
            <v>10070061</v>
          </cell>
          <cell r="E201" t="str">
            <v>Gomukh Godhiyasi Nayagow VLC</v>
          </cell>
          <cell r="F201">
            <v>0</v>
          </cell>
          <cell r="G201" t="str">
            <v>vlc</v>
          </cell>
          <cell r="H201" t="str">
            <v>Indirect</v>
          </cell>
          <cell r="I201">
            <v>1007</v>
          </cell>
          <cell r="J201" t="str">
            <v>Araria</v>
          </cell>
          <cell r="K201" t="str">
            <v>Old</v>
          </cell>
          <cell r="L201">
            <v>45742</v>
          </cell>
          <cell r="M201">
            <v>870.3</v>
          </cell>
          <cell r="N201">
            <v>29754.440000000002</v>
          </cell>
          <cell r="O201">
            <v>652.72499999999991</v>
          </cell>
          <cell r="P201">
            <v>826.78499999999997</v>
          </cell>
          <cell r="Q201">
            <v>0</v>
          </cell>
          <cell r="R201">
            <v>892.63319999999999</v>
          </cell>
          <cell r="S201">
            <v>65.84820000000002</v>
          </cell>
          <cell r="T201">
            <v>87.03</v>
          </cell>
          <cell r="U201">
            <v>1392.3185989925319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</row>
        <row r="202">
          <cell r="D202">
            <v>10070063</v>
          </cell>
          <cell r="E202" t="str">
            <v>Gomukh Bandehra Purbi</v>
          </cell>
          <cell r="F202">
            <v>0</v>
          </cell>
          <cell r="G202" t="str">
            <v>MPG</v>
          </cell>
          <cell r="H202" t="str">
            <v>Direct</v>
          </cell>
          <cell r="I202">
            <v>1010</v>
          </cell>
          <cell r="J202" t="str">
            <v>Parbatta</v>
          </cell>
          <cell r="K202" t="str">
            <v>Old</v>
          </cell>
          <cell r="L202">
            <v>45770</v>
          </cell>
          <cell r="M202">
            <v>3500</v>
          </cell>
          <cell r="N202">
            <v>132688.32999999999</v>
          </cell>
          <cell r="O202">
            <v>2625</v>
          </cell>
          <cell r="P202">
            <v>3325</v>
          </cell>
          <cell r="Q202">
            <v>0</v>
          </cell>
          <cell r="R202">
            <v>3980.6498999999994</v>
          </cell>
          <cell r="S202">
            <v>655.64989999999943</v>
          </cell>
          <cell r="T202">
            <v>350</v>
          </cell>
          <cell r="U202">
            <v>24.930909658068327</v>
          </cell>
          <cell r="V202">
            <v>5575</v>
          </cell>
          <cell r="W202">
            <v>2653.7665999999999</v>
          </cell>
          <cell r="X202">
            <v>0</v>
          </cell>
          <cell r="Y202">
            <v>0</v>
          </cell>
        </row>
        <row r="203">
          <cell r="D203">
            <v>10070064</v>
          </cell>
          <cell r="E203" t="str">
            <v>Gomukh Tila Tol</v>
          </cell>
          <cell r="F203">
            <v>0</v>
          </cell>
          <cell r="G203" t="str">
            <v>MPG</v>
          </cell>
          <cell r="H203" t="str">
            <v>Direct</v>
          </cell>
          <cell r="I203">
            <v>1056</v>
          </cell>
          <cell r="J203" t="str">
            <v>Chautham</v>
          </cell>
          <cell r="K203" t="str">
            <v>Old</v>
          </cell>
          <cell r="L203">
            <v>45770</v>
          </cell>
          <cell r="M203">
            <v>6069.22</v>
          </cell>
          <cell r="N203">
            <v>225758.18</v>
          </cell>
          <cell r="O203">
            <v>4551.915</v>
          </cell>
          <cell r="P203">
            <v>5765.759</v>
          </cell>
          <cell r="Q203">
            <v>11557.393796520002</v>
          </cell>
          <cell r="R203">
            <v>6772.7453999999998</v>
          </cell>
          <cell r="S203">
            <v>1006.9863999999998</v>
          </cell>
          <cell r="T203">
            <v>606.92200000000003</v>
          </cell>
          <cell r="U203">
            <v>0</v>
          </cell>
          <cell r="V203">
            <v>21268</v>
          </cell>
          <cell r="W203">
            <v>4515.1635999999999</v>
          </cell>
          <cell r="X203">
            <v>0</v>
          </cell>
          <cell r="Y203">
            <v>0</v>
          </cell>
        </row>
        <row r="204">
          <cell r="D204">
            <v>10070065</v>
          </cell>
          <cell r="E204" t="str">
            <v>Gomukh Dina Chakla Vlc</v>
          </cell>
          <cell r="F204">
            <v>0</v>
          </cell>
          <cell r="G204" t="str">
            <v>vlc</v>
          </cell>
          <cell r="H204" t="str">
            <v>Indirect</v>
          </cell>
          <cell r="I204">
            <v>1007</v>
          </cell>
          <cell r="J204" t="str">
            <v>Araria</v>
          </cell>
          <cell r="K204" t="str">
            <v>Old</v>
          </cell>
          <cell r="L204">
            <v>45769</v>
          </cell>
          <cell r="M204">
            <v>1674.1000000000001</v>
          </cell>
          <cell r="N204">
            <v>59886.89</v>
          </cell>
          <cell r="O204">
            <v>1255.575</v>
          </cell>
          <cell r="P204">
            <v>1590.395</v>
          </cell>
          <cell r="Q204">
            <v>0</v>
          </cell>
          <cell r="R204">
            <v>1796.6066999999998</v>
          </cell>
          <cell r="S204">
            <v>206.21169999999984</v>
          </cell>
          <cell r="T204">
            <v>167.41000000000003</v>
          </cell>
          <cell r="U204">
            <v>943.97404916845176</v>
          </cell>
          <cell r="V204">
            <v>1735</v>
          </cell>
          <cell r="W204">
            <v>0</v>
          </cell>
          <cell r="X204">
            <v>0</v>
          </cell>
          <cell r="Y204">
            <v>0</v>
          </cell>
        </row>
        <row r="205">
          <cell r="D205">
            <v>10070074</v>
          </cell>
          <cell r="E205" t="str">
            <v>Gomukh Gogri VLC</v>
          </cell>
          <cell r="F205">
            <v>0</v>
          </cell>
          <cell r="G205" t="str">
            <v>vlc</v>
          </cell>
          <cell r="H205" t="str">
            <v>Indirect</v>
          </cell>
          <cell r="I205">
            <v>1007</v>
          </cell>
          <cell r="J205" t="str">
            <v>Araria</v>
          </cell>
          <cell r="K205" t="str">
            <v>Old</v>
          </cell>
          <cell r="L205">
            <v>45869</v>
          </cell>
          <cell r="M205">
            <v>1440.2</v>
          </cell>
          <cell r="N205">
            <v>47727.540000000008</v>
          </cell>
          <cell r="O205">
            <v>1080.1500000000001</v>
          </cell>
          <cell r="P205">
            <v>1368.19</v>
          </cell>
          <cell r="Q205">
            <v>0</v>
          </cell>
          <cell r="R205">
            <v>1431.8262000000002</v>
          </cell>
          <cell r="S205">
            <v>63.636200000000144</v>
          </cell>
          <cell r="T205">
            <v>144.02000000000001</v>
          </cell>
          <cell r="U205">
            <v>976.46701694333456</v>
          </cell>
          <cell r="V205">
            <v>1328</v>
          </cell>
          <cell r="W205">
            <v>0</v>
          </cell>
          <cell r="X205">
            <v>0</v>
          </cell>
          <cell r="Y205">
            <v>0</v>
          </cell>
        </row>
        <row r="206">
          <cell r="D206">
            <v>10070076</v>
          </cell>
          <cell r="E206" t="str">
            <v>Gomukh Sondiha Jay Prakash VLC</v>
          </cell>
          <cell r="F206">
            <v>0</v>
          </cell>
          <cell r="G206" t="str">
            <v>vlc</v>
          </cell>
          <cell r="H206" t="str">
            <v>Indirect</v>
          </cell>
          <cell r="I206">
            <v>1007</v>
          </cell>
          <cell r="J206" t="str">
            <v>Araria</v>
          </cell>
          <cell r="K206" t="str">
            <v>Old</v>
          </cell>
          <cell r="L206">
            <v>45881</v>
          </cell>
          <cell r="M206">
            <v>1486.1000000000001</v>
          </cell>
          <cell r="N206">
            <v>52612.36</v>
          </cell>
          <cell r="O206">
            <v>1114.575</v>
          </cell>
          <cell r="P206">
            <v>1411.7950000000001</v>
          </cell>
          <cell r="Q206">
            <v>0</v>
          </cell>
          <cell r="R206">
            <v>1578.3707999999999</v>
          </cell>
          <cell r="S206">
            <v>166.57579999999984</v>
          </cell>
          <cell r="T206">
            <v>148.61000000000001</v>
          </cell>
          <cell r="U206">
            <v>1073.6747840768853</v>
          </cell>
          <cell r="V206">
            <v>1304</v>
          </cell>
          <cell r="W206">
            <v>0</v>
          </cell>
          <cell r="X206">
            <v>0</v>
          </cell>
          <cell r="Y206">
            <v>0</v>
          </cell>
        </row>
        <row r="207">
          <cell r="D207">
            <v>10080001</v>
          </cell>
          <cell r="E207" t="str">
            <v>Chak Punervas</v>
          </cell>
          <cell r="F207">
            <v>0</v>
          </cell>
          <cell r="G207" t="str">
            <v>vlc</v>
          </cell>
          <cell r="H207" t="str">
            <v>Indirect</v>
          </cell>
          <cell r="I207">
            <v>1055</v>
          </cell>
          <cell r="J207" t="str">
            <v>Matihani</v>
          </cell>
          <cell r="K207" t="str">
            <v>Old</v>
          </cell>
          <cell r="L207">
            <v>42996</v>
          </cell>
          <cell r="M207">
            <v>3183.4</v>
          </cell>
          <cell r="N207">
            <v>118030.09999999998</v>
          </cell>
          <cell r="O207">
            <v>2387.5500000000002</v>
          </cell>
          <cell r="P207">
            <v>3024.23</v>
          </cell>
          <cell r="Q207">
            <v>0</v>
          </cell>
          <cell r="R207">
            <v>3540.9029999999993</v>
          </cell>
          <cell r="S207">
            <v>516.67299999999932</v>
          </cell>
          <cell r="T207">
            <v>318.34000000000003</v>
          </cell>
          <cell r="U207">
            <v>245.20378101610066</v>
          </cell>
          <cell r="V207">
            <v>4848</v>
          </cell>
          <cell r="W207">
            <v>0</v>
          </cell>
          <cell r="X207">
            <v>0</v>
          </cell>
          <cell r="Y207">
            <v>0</v>
          </cell>
        </row>
        <row r="208">
          <cell r="D208">
            <v>10080002</v>
          </cell>
          <cell r="E208" t="str">
            <v>Labherchak</v>
          </cell>
          <cell r="F208">
            <v>0</v>
          </cell>
          <cell r="G208" t="str">
            <v>vlc</v>
          </cell>
          <cell r="H208" t="str">
            <v>Indirect</v>
          </cell>
          <cell r="I208">
            <v>1008</v>
          </cell>
          <cell r="J208" t="str">
            <v>Teghra</v>
          </cell>
          <cell r="K208" t="str">
            <v>Old</v>
          </cell>
          <cell r="L208">
            <v>42997</v>
          </cell>
          <cell r="M208">
            <v>1272.95</v>
          </cell>
          <cell r="N208">
            <v>46794.55</v>
          </cell>
          <cell r="O208">
            <v>954.71250000000009</v>
          </cell>
          <cell r="P208">
            <v>1209.3025</v>
          </cell>
          <cell r="Q208">
            <v>0</v>
          </cell>
          <cell r="R208">
            <v>1403.8365000000001</v>
          </cell>
          <cell r="S208">
            <v>194.53400000000011</v>
          </cell>
          <cell r="T208">
            <v>127.29500000000002</v>
          </cell>
          <cell r="U208">
            <v>1263.9995884669668</v>
          </cell>
          <cell r="V208">
            <v>773</v>
          </cell>
          <cell r="W208">
            <v>0</v>
          </cell>
          <cell r="X208">
            <v>0</v>
          </cell>
          <cell r="Y208">
            <v>0</v>
          </cell>
        </row>
        <row r="209">
          <cell r="D209">
            <v>10080003</v>
          </cell>
          <cell r="E209" t="str">
            <v>Paspura</v>
          </cell>
          <cell r="F209">
            <v>0</v>
          </cell>
          <cell r="G209" t="str">
            <v>vlc</v>
          </cell>
          <cell r="H209" t="str">
            <v>Indirect</v>
          </cell>
          <cell r="I209">
            <v>1008</v>
          </cell>
          <cell r="J209" t="str">
            <v>Teghra</v>
          </cell>
          <cell r="K209" t="str">
            <v>Old</v>
          </cell>
          <cell r="L209">
            <v>42999</v>
          </cell>
          <cell r="M209">
            <v>1537.9999999999998</v>
          </cell>
          <cell r="N209">
            <v>53296.04</v>
          </cell>
          <cell r="O209">
            <v>1153.4999999999998</v>
          </cell>
          <cell r="P209">
            <v>1461.0999999999997</v>
          </cell>
          <cell r="Q209">
            <v>0</v>
          </cell>
          <cell r="R209">
            <v>1598.8812</v>
          </cell>
          <cell r="S209">
            <v>137.78120000000035</v>
          </cell>
          <cell r="T209">
            <v>153.79999999999998</v>
          </cell>
          <cell r="U209">
            <v>1006.9022619511757</v>
          </cell>
          <cell r="V209">
            <v>1454</v>
          </cell>
          <cell r="W209">
            <v>0</v>
          </cell>
          <cell r="X209">
            <v>0</v>
          </cell>
          <cell r="Y209">
            <v>0</v>
          </cell>
        </row>
        <row r="210">
          <cell r="D210">
            <v>10080004</v>
          </cell>
          <cell r="E210" t="str">
            <v>Gomukh Godhna</v>
          </cell>
          <cell r="F210">
            <v>0</v>
          </cell>
          <cell r="G210" t="str">
            <v>vlc</v>
          </cell>
          <cell r="H210" t="str">
            <v>Indirect</v>
          </cell>
          <cell r="I210">
            <v>1008</v>
          </cell>
          <cell r="J210" t="str">
            <v>Teghra</v>
          </cell>
          <cell r="K210" t="str">
            <v>Old</v>
          </cell>
          <cell r="L210">
            <v>43077</v>
          </cell>
          <cell r="M210">
            <v>490.75</v>
          </cell>
          <cell r="N210">
            <v>17892.52</v>
          </cell>
          <cell r="O210">
            <v>368.0625</v>
          </cell>
          <cell r="P210">
            <v>466.21249999999998</v>
          </cell>
          <cell r="Q210">
            <v>0</v>
          </cell>
          <cell r="R210">
            <v>536.77559999999994</v>
          </cell>
          <cell r="S210">
            <v>70.563099999999963</v>
          </cell>
          <cell r="T210">
            <v>49.075000000000003</v>
          </cell>
          <cell r="U210">
            <v>785.14334281694346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</row>
        <row r="211">
          <cell r="D211">
            <v>10080006</v>
          </cell>
          <cell r="E211" t="str">
            <v>Gomukh Sihma 2</v>
          </cell>
          <cell r="F211">
            <v>0</v>
          </cell>
          <cell r="G211" t="str">
            <v>vlc</v>
          </cell>
          <cell r="H211" t="str">
            <v>Indirect</v>
          </cell>
          <cell r="I211">
            <v>1008</v>
          </cell>
          <cell r="J211" t="str">
            <v>Teghra</v>
          </cell>
          <cell r="K211" t="str">
            <v>Old</v>
          </cell>
          <cell r="L211">
            <v>43407</v>
          </cell>
          <cell r="M211">
            <v>1238.3</v>
          </cell>
          <cell r="N211">
            <v>42316.109999999993</v>
          </cell>
          <cell r="O211">
            <v>928.72499999999991</v>
          </cell>
          <cell r="P211">
            <v>1176.385</v>
          </cell>
          <cell r="Q211">
            <v>0</v>
          </cell>
          <cell r="R211">
            <v>1269.4832999999996</v>
          </cell>
          <cell r="S211">
            <v>93.098299999999654</v>
          </cell>
          <cell r="T211">
            <v>123.83</v>
          </cell>
          <cell r="U211">
            <v>1189.2200289723366</v>
          </cell>
          <cell r="V211">
            <v>792</v>
          </cell>
          <cell r="W211">
            <v>0</v>
          </cell>
          <cell r="X211">
            <v>0</v>
          </cell>
          <cell r="Y211">
            <v>0</v>
          </cell>
        </row>
        <row r="212">
          <cell r="D212">
            <v>10080007</v>
          </cell>
          <cell r="E212" t="str">
            <v>Gomukh ID Marsaito</v>
          </cell>
          <cell r="F212">
            <v>0</v>
          </cell>
          <cell r="G212" t="str">
            <v>vlc</v>
          </cell>
          <cell r="H212" t="str">
            <v>Indirect</v>
          </cell>
          <cell r="I212">
            <v>1008</v>
          </cell>
          <cell r="J212" t="str">
            <v>Teghra</v>
          </cell>
          <cell r="K212" t="str">
            <v>Old</v>
          </cell>
          <cell r="L212">
            <v>43785</v>
          </cell>
          <cell r="M212">
            <v>2834.8500000000004</v>
          </cell>
          <cell r="N212">
            <v>102227.13999999998</v>
          </cell>
          <cell r="O212">
            <v>2126.1375000000003</v>
          </cell>
          <cell r="P212">
            <v>2693.1075000000001</v>
          </cell>
          <cell r="Q212">
            <v>0</v>
          </cell>
          <cell r="R212">
            <v>3066.8141999999993</v>
          </cell>
          <cell r="S212">
            <v>373.70669999999927</v>
          </cell>
          <cell r="T212">
            <v>283.48500000000007</v>
          </cell>
          <cell r="U212">
            <v>161.81568234514833</v>
          </cell>
          <cell r="V212">
            <v>4374</v>
          </cell>
          <cell r="W212">
            <v>0</v>
          </cell>
          <cell r="X212">
            <v>0</v>
          </cell>
          <cell r="Y212">
            <v>0</v>
          </cell>
        </row>
        <row r="213">
          <cell r="D213">
            <v>10080013</v>
          </cell>
          <cell r="E213" t="str">
            <v>Gomukh ID Akashpur</v>
          </cell>
          <cell r="F213">
            <v>0</v>
          </cell>
          <cell r="G213" t="str">
            <v>vlc</v>
          </cell>
          <cell r="H213" t="str">
            <v>Indirect</v>
          </cell>
          <cell r="I213">
            <v>1008</v>
          </cell>
          <cell r="J213" t="str">
            <v>Teghra</v>
          </cell>
          <cell r="K213" t="str">
            <v>Old</v>
          </cell>
          <cell r="L213">
            <v>44373</v>
          </cell>
          <cell r="M213">
            <v>2558.8000000000002</v>
          </cell>
          <cell r="N213">
            <v>97327.919999999984</v>
          </cell>
          <cell r="O213">
            <v>1919.1000000000001</v>
          </cell>
          <cell r="P213">
            <v>2430.86</v>
          </cell>
          <cell r="Q213">
            <v>0</v>
          </cell>
          <cell r="R213">
            <v>2919.8375999999994</v>
          </cell>
          <cell r="S213">
            <v>488.97759999999926</v>
          </cell>
          <cell r="T213">
            <v>255.88000000000002</v>
          </cell>
          <cell r="U213">
            <v>391.07889527918098</v>
          </cell>
          <cell r="V213">
            <v>3703</v>
          </cell>
          <cell r="W213">
            <v>0</v>
          </cell>
          <cell r="X213">
            <v>0</v>
          </cell>
          <cell r="Y213">
            <v>0</v>
          </cell>
        </row>
        <row r="214">
          <cell r="D214">
            <v>10080014</v>
          </cell>
          <cell r="E214" t="str">
            <v>Gomukh ID Rachiyahi</v>
          </cell>
          <cell r="F214">
            <v>0</v>
          </cell>
          <cell r="G214" t="str">
            <v>vlc</v>
          </cell>
          <cell r="H214" t="str">
            <v>Indirect</v>
          </cell>
          <cell r="I214">
            <v>1008</v>
          </cell>
          <cell r="J214" t="str">
            <v>Teghra</v>
          </cell>
          <cell r="K214" t="str">
            <v>Old</v>
          </cell>
          <cell r="L214">
            <v>44375</v>
          </cell>
          <cell r="M214">
            <v>325.10000000000002</v>
          </cell>
          <cell r="N214">
            <v>12519.949999999999</v>
          </cell>
          <cell r="O214">
            <v>243.82500000000002</v>
          </cell>
          <cell r="P214">
            <v>308.84500000000003</v>
          </cell>
          <cell r="Q214">
            <v>0</v>
          </cell>
          <cell r="R214">
            <v>375.59849999999994</v>
          </cell>
          <cell r="S214">
            <v>66.753499999999917</v>
          </cell>
          <cell r="T214">
            <v>32.510000000000005</v>
          </cell>
          <cell r="U214">
            <v>520.54569283034198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5">
          <cell r="D215">
            <v>10080015</v>
          </cell>
          <cell r="E215" t="str">
            <v>GomukhBariyahi Chanan</v>
          </cell>
          <cell r="F215">
            <v>0</v>
          </cell>
          <cell r="G215" t="str">
            <v>MPG</v>
          </cell>
          <cell r="H215" t="str">
            <v>Direct</v>
          </cell>
          <cell r="I215">
            <v>1008</v>
          </cell>
          <cell r="J215" t="str">
            <v>Teghra</v>
          </cell>
          <cell r="K215" t="str">
            <v>Old</v>
          </cell>
          <cell r="L215">
            <v>44693</v>
          </cell>
          <cell r="M215">
            <v>9806</v>
          </cell>
          <cell r="N215">
            <v>349356.5</v>
          </cell>
          <cell r="O215">
            <v>7354.5</v>
          </cell>
          <cell r="P215">
            <v>9315.6999999999989</v>
          </cell>
          <cell r="Q215">
            <v>390.99854257200008</v>
          </cell>
          <cell r="R215">
            <v>10480.695</v>
          </cell>
          <cell r="S215">
            <v>1164.9950000000008</v>
          </cell>
          <cell r="T215">
            <v>980.6</v>
          </cell>
          <cell r="U215">
            <v>0</v>
          </cell>
          <cell r="V215">
            <v>16081</v>
          </cell>
          <cell r="W215">
            <v>0</v>
          </cell>
          <cell r="X215">
            <v>0</v>
          </cell>
          <cell r="Y215">
            <v>0</v>
          </cell>
        </row>
        <row r="216">
          <cell r="D216">
            <v>10080016</v>
          </cell>
          <cell r="E216" t="str">
            <v>GomukhGehuni</v>
          </cell>
          <cell r="F216">
            <v>0</v>
          </cell>
          <cell r="G216" t="str">
            <v>MPG</v>
          </cell>
          <cell r="H216" t="str">
            <v>Direct</v>
          </cell>
          <cell r="I216">
            <v>1008</v>
          </cell>
          <cell r="J216" t="str">
            <v>Teghra</v>
          </cell>
          <cell r="K216" t="str">
            <v>Old</v>
          </cell>
          <cell r="L216">
            <v>44694</v>
          </cell>
          <cell r="M216">
            <v>459.75</v>
          </cell>
          <cell r="N216">
            <v>16867.980000000003</v>
          </cell>
          <cell r="O216">
            <v>344.8125</v>
          </cell>
          <cell r="P216">
            <v>436.76249999999999</v>
          </cell>
          <cell r="Q216">
            <v>247.93610193000006</v>
          </cell>
          <cell r="R216">
            <v>506.03940000000006</v>
          </cell>
          <cell r="S216">
            <v>69.276900000000069</v>
          </cell>
          <cell r="T216">
            <v>45.975000000000001</v>
          </cell>
          <cell r="U216">
            <v>983.22705707549039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D217">
            <v>10080022</v>
          </cell>
          <cell r="E217" t="str">
            <v>Gomukh Bakhatpur</v>
          </cell>
          <cell r="F217">
            <v>0</v>
          </cell>
          <cell r="G217" t="str">
            <v>MPG</v>
          </cell>
          <cell r="H217" t="str">
            <v>Direct</v>
          </cell>
          <cell r="I217">
            <v>1008</v>
          </cell>
          <cell r="J217" t="str">
            <v>Teghra</v>
          </cell>
          <cell r="K217" t="str">
            <v>Old</v>
          </cell>
          <cell r="L217">
            <v>44979</v>
          </cell>
          <cell r="M217">
            <v>1022.4499999999999</v>
          </cell>
          <cell r="N217">
            <v>42796.29</v>
          </cell>
          <cell r="O217">
            <v>766.83749999999998</v>
          </cell>
          <cell r="P217">
            <v>971.32749999999987</v>
          </cell>
          <cell r="Q217">
            <v>708.92634411720007</v>
          </cell>
          <cell r="R217">
            <v>1283.8887</v>
          </cell>
          <cell r="S217">
            <v>312.5612000000001</v>
          </cell>
          <cell r="T217">
            <v>102.245</v>
          </cell>
          <cell r="U217">
            <v>1656.0070874692435</v>
          </cell>
          <cell r="V217">
            <v>689</v>
          </cell>
          <cell r="W217">
            <v>689</v>
          </cell>
          <cell r="X217">
            <v>0</v>
          </cell>
          <cell r="Y217">
            <v>0</v>
          </cell>
        </row>
        <row r="218">
          <cell r="D218">
            <v>10080024</v>
          </cell>
          <cell r="E218" t="str">
            <v>Ananaya Dairy</v>
          </cell>
          <cell r="F218">
            <v>0</v>
          </cell>
          <cell r="G218" t="str">
            <v>vlc</v>
          </cell>
          <cell r="H218" t="str">
            <v>Indirect</v>
          </cell>
          <cell r="I218">
            <v>1008</v>
          </cell>
          <cell r="J218" t="str">
            <v>Teghra</v>
          </cell>
          <cell r="K218" t="str">
            <v>Old</v>
          </cell>
          <cell r="L218">
            <v>45001</v>
          </cell>
          <cell r="M218">
            <v>8125</v>
          </cell>
          <cell r="N218">
            <v>317414.74</v>
          </cell>
          <cell r="O218">
            <v>6093.75</v>
          </cell>
          <cell r="P218">
            <v>7718.75</v>
          </cell>
          <cell r="Q218">
            <v>0</v>
          </cell>
          <cell r="R218">
            <v>9522.4421999999995</v>
          </cell>
          <cell r="S218">
            <v>1803.6921999999995</v>
          </cell>
          <cell r="T218">
            <v>812.5</v>
          </cell>
          <cell r="U218">
            <v>0</v>
          </cell>
          <cell r="V218">
            <v>13000</v>
          </cell>
          <cell r="W218">
            <v>0</v>
          </cell>
          <cell r="X218">
            <v>0</v>
          </cell>
          <cell r="Y218">
            <v>0</v>
          </cell>
        </row>
        <row r="219">
          <cell r="D219">
            <v>10080025</v>
          </cell>
          <cell r="E219" t="str">
            <v>Gomukh Bishanpur</v>
          </cell>
          <cell r="F219">
            <v>0</v>
          </cell>
          <cell r="G219" t="str">
            <v>MPG</v>
          </cell>
          <cell r="H219" t="str">
            <v>Direct</v>
          </cell>
          <cell r="I219">
            <v>1008</v>
          </cell>
          <cell r="J219" t="str">
            <v>Teghra</v>
          </cell>
          <cell r="K219" t="str">
            <v>Old</v>
          </cell>
          <cell r="L219">
            <v>45003</v>
          </cell>
          <cell r="M219">
            <v>3445.45</v>
          </cell>
          <cell r="N219">
            <v>124605.31999999999</v>
          </cell>
          <cell r="O219">
            <v>2584.0874999999996</v>
          </cell>
          <cell r="P219">
            <v>3273.1774999999998</v>
          </cell>
          <cell r="Q219">
            <v>2471.2356469680008</v>
          </cell>
          <cell r="R219">
            <v>3738.1595999999995</v>
          </cell>
          <cell r="S219">
            <v>464.98209999999972</v>
          </cell>
          <cell r="T219">
            <v>344.54500000000002</v>
          </cell>
          <cell r="U219">
            <v>0</v>
          </cell>
          <cell r="V219">
            <v>7984</v>
          </cell>
          <cell r="W219">
            <v>2144.0928371181071</v>
          </cell>
          <cell r="X219">
            <v>0</v>
          </cell>
          <cell r="Y219">
            <v>0</v>
          </cell>
        </row>
        <row r="220">
          <cell r="D220">
            <v>10080032</v>
          </cell>
          <cell r="E220" t="str">
            <v>GOMUKH BEGAMSARAI</v>
          </cell>
          <cell r="F220">
            <v>0</v>
          </cell>
          <cell r="G220" t="str">
            <v>MPG</v>
          </cell>
          <cell r="H220" t="str">
            <v>Direct</v>
          </cell>
          <cell r="I220">
            <v>1008</v>
          </cell>
          <cell r="J220" t="str">
            <v>Teghra</v>
          </cell>
          <cell r="K220" t="str">
            <v>Old</v>
          </cell>
          <cell r="L220">
            <v>45148</v>
          </cell>
          <cell r="M220">
            <v>1455.85</v>
          </cell>
          <cell r="N220">
            <v>60346.299999999996</v>
          </cell>
          <cell r="O220">
            <v>1091.8874999999998</v>
          </cell>
          <cell r="P220">
            <v>1383.0574999999999</v>
          </cell>
          <cell r="Q220">
            <v>288.86521008577</v>
          </cell>
          <cell r="R220">
            <v>1810.3889999999999</v>
          </cell>
          <cell r="S220">
            <v>427.33150000000001</v>
          </cell>
          <cell r="T220">
            <v>145.58500000000001</v>
          </cell>
          <cell r="U220">
            <v>1281.3291501950534</v>
          </cell>
          <cell r="V220">
            <v>1337</v>
          </cell>
          <cell r="W220">
            <v>1337</v>
          </cell>
          <cell r="X220">
            <v>0</v>
          </cell>
          <cell r="Y220">
            <v>0</v>
          </cell>
        </row>
        <row r="221">
          <cell r="D221">
            <v>10080039</v>
          </cell>
          <cell r="E221" t="str">
            <v>Hasanpur - Abhijeet</v>
          </cell>
          <cell r="F221">
            <v>0</v>
          </cell>
          <cell r="G221" t="str">
            <v>vlc</v>
          </cell>
          <cell r="H221" t="str">
            <v>Indirect</v>
          </cell>
          <cell r="I221">
            <v>1008</v>
          </cell>
          <cell r="J221" t="str">
            <v>Teghra</v>
          </cell>
          <cell r="K221" t="str">
            <v>Old</v>
          </cell>
          <cell r="L221">
            <v>45115</v>
          </cell>
          <cell r="M221">
            <v>10439.1</v>
          </cell>
          <cell r="N221">
            <v>384671.98</v>
          </cell>
          <cell r="O221">
            <v>7829.3250000000007</v>
          </cell>
          <cell r="P221">
            <v>9917.1450000000004</v>
          </cell>
          <cell r="Q221">
            <v>0</v>
          </cell>
          <cell r="R221">
            <v>11540.159399999999</v>
          </cell>
          <cell r="S221">
            <v>1623.0143999999982</v>
          </cell>
          <cell r="T221">
            <v>1043.9100000000001</v>
          </cell>
          <cell r="U221">
            <v>886.55188236082904</v>
          </cell>
          <cell r="V221">
            <v>15816</v>
          </cell>
          <cell r="W221">
            <v>0</v>
          </cell>
          <cell r="X221">
            <v>0</v>
          </cell>
          <cell r="Y221">
            <v>0</v>
          </cell>
        </row>
        <row r="222">
          <cell r="D222">
            <v>10080040</v>
          </cell>
          <cell r="E222" t="str">
            <v>Adharpur - Manish</v>
          </cell>
          <cell r="F222">
            <v>0</v>
          </cell>
          <cell r="G222" t="str">
            <v>vlc</v>
          </cell>
          <cell r="H222" t="str">
            <v>Indirect</v>
          </cell>
          <cell r="I222">
            <v>1008</v>
          </cell>
          <cell r="J222" t="str">
            <v>Teghra</v>
          </cell>
          <cell r="K222" t="str">
            <v>Old</v>
          </cell>
          <cell r="L222">
            <v>44379</v>
          </cell>
          <cell r="M222">
            <v>3807</v>
          </cell>
          <cell r="N222">
            <v>146685.16</v>
          </cell>
          <cell r="O222">
            <v>2855.25</v>
          </cell>
          <cell r="P222">
            <v>3616.6499999999996</v>
          </cell>
          <cell r="Q222">
            <v>0</v>
          </cell>
          <cell r="R222">
            <v>4400.5547999999999</v>
          </cell>
          <cell r="S222">
            <v>783.90480000000025</v>
          </cell>
          <cell r="T222">
            <v>380.70000000000005</v>
          </cell>
          <cell r="U222">
            <v>50.222341146926532</v>
          </cell>
          <cell r="V222">
            <v>6041</v>
          </cell>
          <cell r="W222">
            <v>0</v>
          </cell>
          <cell r="X222">
            <v>0</v>
          </cell>
          <cell r="Y222">
            <v>0</v>
          </cell>
        </row>
        <row r="223">
          <cell r="D223">
            <v>10080041</v>
          </cell>
          <cell r="E223" t="str">
            <v>Rani - Surender</v>
          </cell>
          <cell r="F223">
            <v>0</v>
          </cell>
          <cell r="G223" t="str">
            <v>vlc</v>
          </cell>
          <cell r="H223" t="str">
            <v>Indirect</v>
          </cell>
          <cell r="I223">
            <v>1008</v>
          </cell>
          <cell r="J223" t="str">
            <v>Teghra</v>
          </cell>
          <cell r="K223" t="str">
            <v>Old</v>
          </cell>
          <cell r="L223">
            <v>45126</v>
          </cell>
          <cell r="M223">
            <v>448.29999999999995</v>
          </cell>
          <cell r="N223">
            <v>18516.73</v>
          </cell>
          <cell r="O223">
            <v>336.22499999999997</v>
          </cell>
          <cell r="P223">
            <v>425.88499999999993</v>
          </cell>
          <cell r="Q223">
            <v>0</v>
          </cell>
          <cell r="R223">
            <v>555.50189999999998</v>
          </cell>
          <cell r="S223">
            <v>129.61690000000004</v>
          </cell>
          <cell r="T223">
            <v>44.83</v>
          </cell>
          <cell r="U223">
            <v>716.82355504213865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D224">
            <v>10080043</v>
          </cell>
          <cell r="E224" t="str">
            <v>Gangaprasad - Prashant</v>
          </cell>
          <cell r="F224">
            <v>0</v>
          </cell>
          <cell r="G224" t="str">
            <v>vlc</v>
          </cell>
          <cell r="H224" t="str">
            <v>Indirect</v>
          </cell>
          <cell r="I224">
            <v>1008</v>
          </cell>
          <cell r="J224" t="str">
            <v>Teghra</v>
          </cell>
          <cell r="K224" t="str">
            <v>Old</v>
          </cell>
          <cell r="L224">
            <v>45111</v>
          </cell>
          <cell r="M224">
            <v>3637.4</v>
          </cell>
          <cell r="N224">
            <v>129231.06999999999</v>
          </cell>
          <cell r="O224">
            <v>2728.05</v>
          </cell>
          <cell r="P224">
            <v>3455.5299999999997</v>
          </cell>
          <cell r="Q224">
            <v>0</v>
          </cell>
          <cell r="R224">
            <v>3876.9320999999995</v>
          </cell>
          <cell r="S224">
            <v>421.40209999999979</v>
          </cell>
          <cell r="T224">
            <v>363.74</v>
          </cell>
          <cell r="U224">
            <v>527.4220393493116</v>
          </cell>
          <cell r="V224">
            <v>5292</v>
          </cell>
          <cell r="W224">
            <v>0</v>
          </cell>
          <cell r="X224">
            <v>0</v>
          </cell>
          <cell r="Y224">
            <v>0</v>
          </cell>
        </row>
        <row r="225">
          <cell r="D225">
            <v>10080048</v>
          </cell>
          <cell r="E225" t="str">
            <v>GOMUKH RANI 3</v>
          </cell>
          <cell r="F225">
            <v>0</v>
          </cell>
          <cell r="G225" t="str">
            <v>MPG</v>
          </cell>
          <cell r="H225" t="str">
            <v>Direct</v>
          </cell>
          <cell r="I225">
            <v>1008</v>
          </cell>
          <cell r="J225" t="str">
            <v>Teghra</v>
          </cell>
          <cell r="K225" t="str">
            <v>Old</v>
          </cell>
          <cell r="L225">
            <v>45264</v>
          </cell>
          <cell r="M225">
            <v>876.69999999999993</v>
          </cell>
          <cell r="N225">
            <v>40020.369999999995</v>
          </cell>
          <cell r="O225">
            <v>657.52499999999998</v>
          </cell>
          <cell r="P225">
            <v>832.8649999999999</v>
          </cell>
          <cell r="Q225">
            <v>311.72538771393005</v>
          </cell>
          <cell r="R225">
            <v>1200.6110999999999</v>
          </cell>
          <cell r="S225">
            <v>367.74609999999996</v>
          </cell>
          <cell r="T225">
            <v>87.67</v>
          </cell>
          <cell r="U225">
            <v>1714.885938302707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6">
          <cell r="D226">
            <v>10080052</v>
          </cell>
          <cell r="E226" t="str">
            <v>GOMUKH NONPUR</v>
          </cell>
          <cell r="F226">
            <v>0</v>
          </cell>
          <cell r="G226" t="str">
            <v>MPG</v>
          </cell>
          <cell r="H226" t="str">
            <v>Direct</v>
          </cell>
          <cell r="I226">
            <v>1008</v>
          </cell>
          <cell r="J226" t="str">
            <v>Teghra</v>
          </cell>
          <cell r="K226" t="str">
            <v>Old</v>
          </cell>
          <cell r="L226">
            <v>45268</v>
          </cell>
          <cell r="M226">
            <v>2987.95</v>
          </cell>
          <cell r="N226">
            <v>107378.79999999999</v>
          </cell>
          <cell r="O226">
            <v>2240.9624999999996</v>
          </cell>
          <cell r="P226">
            <v>2838.5524999999998</v>
          </cell>
          <cell r="Q226">
            <v>316.19231503200001</v>
          </cell>
          <cell r="R226">
            <v>3221.3639999999996</v>
          </cell>
          <cell r="S226">
            <v>382.8114999999998</v>
          </cell>
          <cell r="T226">
            <v>298.79500000000002</v>
          </cell>
          <cell r="U226">
            <v>196.26621084817347</v>
          </cell>
          <cell r="V226">
            <v>4901</v>
          </cell>
          <cell r="W226">
            <v>2147.576</v>
          </cell>
          <cell r="X226">
            <v>0</v>
          </cell>
          <cell r="Y226">
            <v>0</v>
          </cell>
        </row>
        <row r="227">
          <cell r="D227">
            <v>10080053</v>
          </cell>
          <cell r="E227" t="str">
            <v>GOMUKH FATEHA</v>
          </cell>
          <cell r="F227">
            <v>0</v>
          </cell>
          <cell r="G227" t="str">
            <v>MPG</v>
          </cell>
          <cell r="H227" t="str">
            <v>Direct</v>
          </cell>
          <cell r="I227">
            <v>1008</v>
          </cell>
          <cell r="J227" t="str">
            <v>Teghra</v>
          </cell>
          <cell r="K227" t="str">
            <v>Old</v>
          </cell>
          <cell r="L227">
            <v>45287</v>
          </cell>
          <cell r="M227">
            <v>2135.6999999999998</v>
          </cell>
          <cell r="N227">
            <v>73395.88</v>
          </cell>
          <cell r="O227">
            <v>1601.7749999999999</v>
          </cell>
          <cell r="P227">
            <v>2028.9149999999997</v>
          </cell>
          <cell r="Q227">
            <v>0</v>
          </cell>
          <cell r="R227">
            <v>2201.8764000000001</v>
          </cell>
          <cell r="S227">
            <v>172.96140000000037</v>
          </cell>
          <cell r="T227">
            <v>213.57</v>
          </cell>
          <cell r="U227">
            <v>591.43907021637551</v>
          </cell>
          <cell r="V227">
            <v>2826</v>
          </cell>
          <cell r="W227">
            <v>1861</v>
          </cell>
          <cell r="X227">
            <v>0</v>
          </cell>
          <cell r="Y227">
            <v>0</v>
          </cell>
        </row>
        <row r="228">
          <cell r="D228">
            <v>10080054</v>
          </cell>
          <cell r="E228" t="str">
            <v>Bablu Singh</v>
          </cell>
          <cell r="F228">
            <v>0</v>
          </cell>
          <cell r="G228" t="str">
            <v>vlc</v>
          </cell>
          <cell r="H228" t="str">
            <v>Indirect</v>
          </cell>
          <cell r="I228">
            <v>1008</v>
          </cell>
          <cell r="J228" t="str">
            <v>Teghra</v>
          </cell>
          <cell r="K228" t="str">
            <v>Old</v>
          </cell>
          <cell r="L228">
            <v>45257</v>
          </cell>
          <cell r="M228">
            <v>2392.15</v>
          </cell>
          <cell r="N228">
            <v>85812.87999999999</v>
          </cell>
          <cell r="O228">
            <v>1794.1125000000002</v>
          </cell>
          <cell r="P228">
            <v>2272.5425</v>
          </cell>
          <cell r="Q228">
            <v>0</v>
          </cell>
          <cell r="R228">
            <v>2574.3863999999994</v>
          </cell>
          <cell r="S228">
            <v>301.84389999999939</v>
          </cell>
          <cell r="T228">
            <v>239.21500000000003</v>
          </cell>
          <cell r="U228">
            <v>349.38743187710037</v>
          </cell>
          <cell r="V228">
            <v>3478</v>
          </cell>
          <cell r="W228">
            <v>0</v>
          </cell>
          <cell r="X228">
            <v>0</v>
          </cell>
          <cell r="Y228">
            <v>0</v>
          </cell>
        </row>
        <row r="229">
          <cell r="D229">
            <v>10080055</v>
          </cell>
          <cell r="E229" t="str">
            <v>Gomukh Rani                                                                                         </v>
          </cell>
          <cell r="F229">
            <v>0</v>
          </cell>
          <cell r="G229" t="str">
            <v>MPG</v>
          </cell>
          <cell r="H229" t="str">
            <v>Direct</v>
          </cell>
          <cell r="I229">
            <v>1008</v>
          </cell>
          <cell r="J229" t="str">
            <v>Teghra</v>
          </cell>
          <cell r="K229" t="str">
            <v>Old</v>
          </cell>
          <cell r="L229">
            <v>45205</v>
          </cell>
          <cell r="M229">
            <v>3036.4999999999995</v>
          </cell>
          <cell r="N229">
            <v>113110.81</v>
          </cell>
          <cell r="O229">
            <v>2277.3749999999995</v>
          </cell>
          <cell r="P229">
            <v>2884.6749999999993</v>
          </cell>
          <cell r="Q229">
            <v>0</v>
          </cell>
          <cell r="R229">
            <v>3393.3242999999998</v>
          </cell>
          <cell r="S229">
            <v>508.64930000000049</v>
          </cell>
          <cell r="T229">
            <v>303.64999999999998</v>
          </cell>
          <cell r="U229">
            <v>510.48465035567801</v>
          </cell>
          <cell r="V229">
            <v>4348</v>
          </cell>
          <cell r="W229">
            <v>2262.2161999999998</v>
          </cell>
          <cell r="X229">
            <v>0</v>
          </cell>
          <cell r="Y229">
            <v>0</v>
          </cell>
        </row>
        <row r="230">
          <cell r="D230">
            <v>10080061</v>
          </cell>
          <cell r="E230" t="str">
            <v>GOMUKH ROOPNAGAR</v>
          </cell>
          <cell r="F230">
            <v>0</v>
          </cell>
          <cell r="G230" t="str">
            <v>MPG</v>
          </cell>
          <cell r="H230" t="str">
            <v>Direct</v>
          </cell>
          <cell r="I230">
            <v>1008</v>
          </cell>
          <cell r="J230" t="str">
            <v>Teghra</v>
          </cell>
          <cell r="K230" t="str">
            <v>Old</v>
          </cell>
          <cell r="L230">
            <v>45394</v>
          </cell>
          <cell r="M230">
            <v>1074.1000000000001</v>
          </cell>
          <cell r="N230">
            <v>36587.24</v>
          </cell>
          <cell r="O230">
            <v>805.57500000000005</v>
          </cell>
          <cell r="P230">
            <v>1020.3950000000001</v>
          </cell>
          <cell r="Q230">
            <v>0</v>
          </cell>
          <cell r="R230">
            <v>1097.6171999999999</v>
          </cell>
          <cell r="S230">
            <v>77.222199999999816</v>
          </cell>
          <cell r="T230">
            <v>107.41000000000003</v>
          </cell>
          <cell r="U230">
            <v>1306.8203030403945</v>
          </cell>
          <cell r="V230">
            <v>412</v>
          </cell>
          <cell r="W230">
            <v>0</v>
          </cell>
          <cell r="X230">
            <v>0</v>
          </cell>
          <cell r="Y230">
            <v>0</v>
          </cell>
        </row>
        <row r="231">
          <cell r="D231">
            <v>10080062</v>
          </cell>
          <cell r="E231" t="str">
            <v>GOMUKH SIBUTOL 2</v>
          </cell>
          <cell r="F231">
            <v>0</v>
          </cell>
          <cell r="G231" t="str">
            <v>MPG</v>
          </cell>
          <cell r="H231" t="str">
            <v>Direct</v>
          </cell>
          <cell r="I231">
            <v>1008</v>
          </cell>
          <cell r="J231" t="str">
            <v>Teghra</v>
          </cell>
          <cell r="K231" t="str">
            <v>Old</v>
          </cell>
          <cell r="L231">
            <v>45323</v>
          </cell>
          <cell r="M231">
            <v>1035.25</v>
          </cell>
          <cell r="N231">
            <v>40694.9</v>
          </cell>
          <cell r="O231">
            <v>776.4375</v>
          </cell>
          <cell r="P231">
            <v>983.48749999999995</v>
          </cell>
          <cell r="Q231">
            <v>0</v>
          </cell>
          <cell r="R231">
            <v>1220.847</v>
          </cell>
          <cell r="S231">
            <v>237.35950000000003</v>
          </cell>
          <cell r="T231">
            <v>103.52500000000001</v>
          </cell>
          <cell r="U231">
            <v>1545.7939184890552</v>
          </cell>
          <cell r="V231">
            <v>111</v>
          </cell>
          <cell r="W231">
            <v>111</v>
          </cell>
          <cell r="X231">
            <v>0</v>
          </cell>
          <cell r="Y231">
            <v>0</v>
          </cell>
        </row>
        <row r="232">
          <cell r="D232">
            <v>10080065</v>
          </cell>
          <cell r="E232" t="str">
            <v>GOMUKH HADIPUR</v>
          </cell>
          <cell r="F232">
            <v>0</v>
          </cell>
          <cell r="G232" t="str">
            <v>MPG</v>
          </cell>
          <cell r="H232" t="str">
            <v>Direct</v>
          </cell>
          <cell r="I232">
            <v>1008</v>
          </cell>
          <cell r="J232" t="str">
            <v>Teghra</v>
          </cell>
          <cell r="K232" t="str">
            <v>Old</v>
          </cell>
          <cell r="L232">
            <v>45323</v>
          </cell>
          <cell r="M232">
            <v>264.95</v>
          </cell>
          <cell r="N232">
            <v>10106.239999999998</v>
          </cell>
          <cell r="O232">
            <v>198.71249999999998</v>
          </cell>
          <cell r="P232">
            <v>251.70249999999999</v>
          </cell>
          <cell r="Q232">
            <v>41.125972496300008</v>
          </cell>
          <cell r="R232">
            <v>303.1871999999999</v>
          </cell>
          <cell r="S232">
            <v>51.484699999999918</v>
          </cell>
          <cell r="T232">
            <v>26.495000000000001</v>
          </cell>
          <cell r="U232">
            <v>465.26265549963477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D233">
            <v>10080067</v>
          </cell>
          <cell r="E233" t="str">
            <v>Gomukh Harichak</v>
          </cell>
          <cell r="F233">
            <v>0</v>
          </cell>
          <cell r="G233" t="str">
            <v>MPG</v>
          </cell>
          <cell r="H233" t="str">
            <v>Direct</v>
          </cell>
          <cell r="I233">
            <v>1008</v>
          </cell>
          <cell r="J233" t="str">
            <v>Teghra</v>
          </cell>
          <cell r="K233" t="str">
            <v>Old</v>
          </cell>
          <cell r="L233">
            <v>45323</v>
          </cell>
          <cell r="M233">
            <v>470.9</v>
          </cell>
          <cell r="N233">
            <v>16935.539999999997</v>
          </cell>
          <cell r="O233">
            <v>353.17499999999995</v>
          </cell>
          <cell r="P233">
            <v>447.35499999999996</v>
          </cell>
          <cell r="Q233">
            <v>0</v>
          </cell>
          <cell r="R233">
            <v>508.06619999999992</v>
          </cell>
          <cell r="S233">
            <v>60.711199999999963</v>
          </cell>
          <cell r="T233">
            <v>47.09</v>
          </cell>
          <cell r="U233">
            <v>753.55020056462195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D234">
            <v>10080072</v>
          </cell>
          <cell r="E234" t="str">
            <v>GOMUKH CHIRANJIVIPUR</v>
          </cell>
          <cell r="F234">
            <v>0</v>
          </cell>
          <cell r="G234" t="str">
            <v>MPG</v>
          </cell>
          <cell r="H234" t="str">
            <v>Direct</v>
          </cell>
          <cell r="I234">
            <v>1008</v>
          </cell>
          <cell r="J234" t="str">
            <v>Teghra</v>
          </cell>
          <cell r="K234" t="str">
            <v>Old</v>
          </cell>
          <cell r="L234">
            <v>45480</v>
          </cell>
          <cell r="M234">
            <v>118.94999999999999</v>
          </cell>
          <cell r="N234">
            <v>3711.96</v>
          </cell>
          <cell r="O234">
            <v>89.212499999999991</v>
          </cell>
          <cell r="P234">
            <v>113.00249999999998</v>
          </cell>
          <cell r="Q234">
            <v>304.03790703000004</v>
          </cell>
          <cell r="R234">
            <v>111.3588</v>
          </cell>
          <cell r="S234">
            <v>-1.6436999999999813</v>
          </cell>
          <cell r="T234">
            <v>11.895</v>
          </cell>
          <cell r="U234">
            <v>494.45749447318622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D235">
            <v>10080076</v>
          </cell>
          <cell r="E235" t="str">
            <v>RAJ BHARDWAJ</v>
          </cell>
          <cell r="F235">
            <v>0</v>
          </cell>
          <cell r="G235" t="str">
            <v>vlc</v>
          </cell>
          <cell r="H235" t="str">
            <v>Indirect</v>
          </cell>
          <cell r="I235">
            <v>1008</v>
          </cell>
          <cell r="J235" t="str">
            <v>Teghra</v>
          </cell>
          <cell r="K235" t="str">
            <v>Old</v>
          </cell>
          <cell r="L235">
            <v>45599</v>
          </cell>
          <cell r="M235">
            <v>411</v>
          </cell>
          <cell r="N235">
            <v>15142.38</v>
          </cell>
          <cell r="O235">
            <v>308.25</v>
          </cell>
          <cell r="P235">
            <v>390.45</v>
          </cell>
          <cell r="Q235">
            <v>0</v>
          </cell>
          <cell r="R235">
            <v>454.27139999999997</v>
          </cell>
          <cell r="S235">
            <v>63.821399999999983</v>
          </cell>
          <cell r="T235">
            <v>41.1</v>
          </cell>
          <cell r="U235">
            <v>657.39103021064625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D236">
            <v>10080077</v>
          </cell>
          <cell r="E236" t="str">
            <v>Gomukh Amarpur</v>
          </cell>
          <cell r="F236">
            <v>0</v>
          </cell>
          <cell r="G236" t="str">
            <v>MPG</v>
          </cell>
          <cell r="H236" t="str">
            <v>Direct</v>
          </cell>
          <cell r="I236">
            <v>1008</v>
          </cell>
          <cell r="J236" t="str">
            <v>Teghra</v>
          </cell>
          <cell r="K236" t="str">
            <v>Old</v>
          </cell>
          <cell r="L236">
            <v>45614</v>
          </cell>
          <cell r="M236">
            <v>3384.55</v>
          </cell>
          <cell r="N236">
            <v>125400.19</v>
          </cell>
          <cell r="O236">
            <v>2538.4125000000004</v>
          </cell>
          <cell r="P236">
            <v>3215.3225000000002</v>
          </cell>
          <cell r="Q236">
            <v>225.18025696980004</v>
          </cell>
          <cell r="R236">
            <v>3762.0056999999997</v>
          </cell>
          <cell r="S236">
            <v>546.68319999999949</v>
          </cell>
          <cell r="T236">
            <v>338.45500000000004</v>
          </cell>
          <cell r="U236">
            <v>294.36149978666037</v>
          </cell>
          <cell r="V236">
            <v>5346</v>
          </cell>
          <cell r="W236">
            <v>2508.0038</v>
          </cell>
          <cell r="X236">
            <v>0</v>
          </cell>
          <cell r="Y236">
            <v>0</v>
          </cell>
        </row>
        <row r="237">
          <cell r="D237">
            <v>10080078</v>
          </cell>
          <cell r="E237" t="str">
            <v>Prashant Kumar</v>
          </cell>
          <cell r="F237">
            <v>0</v>
          </cell>
          <cell r="G237" t="str">
            <v>vlc</v>
          </cell>
          <cell r="H237" t="str">
            <v>Indirect</v>
          </cell>
          <cell r="I237">
            <v>1008</v>
          </cell>
          <cell r="J237" t="str">
            <v>Teghra</v>
          </cell>
          <cell r="K237" t="str">
            <v>Old</v>
          </cell>
          <cell r="L237">
            <v>45604</v>
          </cell>
          <cell r="M237">
            <v>3092</v>
          </cell>
          <cell r="N237">
            <v>113333.32</v>
          </cell>
          <cell r="O237">
            <v>2319</v>
          </cell>
          <cell r="P237">
            <v>2937.3999999999996</v>
          </cell>
          <cell r="Q237">
            <v>0</v>
          </cell>
          <cell r="R237">
            <v>3399.9996000000001</v>
          </cell>
          <cell r="S237">
            <v>462.59960000000046</v>
          </cell>
          <cell r="T237">
            <v>309.20000000000005</v>
          </cell>
          <cell r="U237">
            <v>0</v>
          </cell>
          <cell r="V237">
            <v>4947</v>
          </cell>
          <cell r="W237">
            <v>0</v>
          </cell>
          <cell r="X237">
            <v>0</v>
          </cell>
          <cell r="Y237">
            <v>0</v>
          </cell>
        </row>
        <row r="238">
          <cell r="D238">
            <v>10080079</v>
          </cell>
          <cell r="E238" t="str">
            <v>Gomukh Barauni 3</v>
          </cell>
          <cell r="F238">
            <v>0</v>
          </cell>
          <cell r="G238" t="str">
            <v>MPG</v>
          </cell>
          <cell r="H238" t="str">
            <v>Direct</v>
          </cell>
          <cell r="I238">
            <v>1008</v>
          </cell>
          <cell r="J238" t="str">
            <v>Teghra</v>
          </cell>
          <cell r="K238" t="str">
            <v>Old</v>
          </cell>
          <cell r="L238">
            <v>45631</v>
          </cell>
          <cell r="M238">
            <v>470.7</v>
          </cell>
          <cell r="N238">
            <v>17801.88</v>
          </cell>
          <cell r="O238">
            <v>353.02499999999998</v>
          </cell>
          <cell r="P238">
            <v>447.16499999999996</v>
          </cell>
          <cell r="Q238">
            <v>0</v>
          </cell>
          <cell r="R238">
            <v>534.05640000000005</v>
          </cell>
          <cell r="S238">
            <v>86.89140000000009</v>
          </cell>
          <cell r="T238">
            <v>47.07</v>
          </cell>
          <cell r="U238">
            <v>753.52847115529198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D239">
            <v>10080080</v>
          </cell>
          <cell r="E239" t="str">
            <v>CHANDAN YADAV</v>
          </cell>
          <cell r="F239">
            <v>0</v>
          </cell>
          <cell r="G239" t="str">
            <v>vlc</v>
          </cell>
          <cell r="H239" t="str">
            <v>Indirect</v>
          </cell>
          <cell r="I239">
            <v>1008</v>
          </cell>
          <cell r="J239" t="str">
            <v>Teghra</v>
          </cell>
          <cell r="K239" t="str">
            <v>Old</v>
          </cell>
          <cell r="L239">
            <v>45644</v>
          </cell>
          <cell r="M239">
            <v>1159.3500000000001</v>
          </cell>
          <cell r="N239">
            <v>41219.230000000003</v>
          </cell>
          <cell r="O239">
            <v>869.51250000000005</v>
          </cell>
          <cell r="P239">
            <v>1101.3825000000002</v>
          </cell>
          <cell r="Q239">
            <v>0</v>
          </cell>
          <cell r="R239">
            <v>1236.5769</v>
          </cell>
          <cell r="S239">
            <v>135.19439999999986</v>
          </cell>
          <cell r="T239">
            <v>115.93500000000002</v>
          </cell>
          <cell r="U239">
            <v>1294.1786250006585</v>
          </cell>
          <cell r="V239">
            <v>561</v>
          </cell>
          <cell r="W239">
            <v>0</v>
          </cell>
          <cell r="X239">
            <v>0</v>
          </cell>
          <cell r="Y239">
            <v>0</v>
          </cell>
        </row>
        <row r="240">
          <cell r="D240">
            <v>10080082</v>
          </cell>
          <cell r="E240" t="str">
            <v>DINESH YADAV</v>
          </cell>
          <cell r="F240">
            <v>0</v>
          </cell>
          <cell r="G240" t="str">
            <v>vlc</v>
          </cell>
          <cell r="H240" t="str">
            <v>Indirect</v>
          </cell>
          <cell r="I240">
            <v>1008</v>
          </cell>
          <cell r="J240" t="str">
            <v>Teghra</v>
          </cell>
          <cell r="K240" t="str">
            <v>Old</v>
          </cell>
          <cell r="L240">
            <v>45644</v>
          </cell>
          <cell r="M240">
            <v>1982.3999999999999</v>
          </cell>
          <cell r="N240">
            <v>73615.299999999988</v>
          </cell>
          <cell r="O240">
            <v>1486.8</v>
          </cell>
          <cell r="P240">
            <v>1883.2799999999997</v>
          </cell>
          <cell r="Q240">
            <v>0</v>
          </cell>
          <cell r="R240">
            <v>2208.4589999999994</v>
          </cell>
          <cell r="S240">
            <v>325.17899999999963</v>
          </cell>
          <cell r="T240">
            <v>198.24</v>
          </cell>
          <cell r="U240">
            <v>750.44339183265049</v>
          </cell>
          <cell r="V240">
            <v>2421</v>
          </cell>
          <cell r="W240">
            <v>0</v>
          </cell>
          <cell r="X240">
            <v>0</v>
          </cell>
          <cell r="Y240">
            <v>0</v>
          </cell>
        </row>
        <row r="241">
          <cell r="D241">
            <v>10080083</v>
          </cell>
          <cell r="E241" t="str">
            <v>ANITA DEVI</v>
          </cell>
          <cell r="F241">
            <v>0</v>
          </cell>
          <cell r="G241" t="str">
            <v>vlc</v>
          </cell>
          <cell r="H241" t="str">
            <v>Indirect</v>
          </cell>
          <cell r="I241">
            <v>1008</v>
          </cell>
          <cell r="J241" t="str">
            <v>Teghra</v>
          </cell>
          <cell r="K241" t="str">
            <v>Old</v>
          </cell>
          <cell r="L241">
            <v>45643</v>
          </cell>
          <cell r="M241">
            <v>294.95</v>
          </cell>
          <cell r="N241">
            <v>11342.199999999999</v>
          </cell>
          <cell r="O241">
            <v>221.21249999999998</v>
          </cell>
          <cell r="P241">
            <v>280.20249999999999</v>
          </cell>
          <cell r="Q241">
            <v>0</v>
          </cell>
          <cell r="R241">
            <v>340.26599999999996</v>
          </cell>
          <cell r="S241">
            <v>60.063499999999976</v>
          </cell>
          <cell r="T241">
            <v>29.495000000000001</v>
          </cell>
          <cell r="U241">
            <v>472.12454640444776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D242">
            <v>10080086</v>
          </cell>
          <cell r="E242" t="str">
            <v>GOMUKH FATEHA SALEMPUR</v>
          </cell>
          <cell r="F242">
            <v>0</v>
          </cell>
          <cell r="G242" t="str">
            <v>MPG</v>
          </cell>
          <cell r="H242" t="str">
            <v>Direct</v>
          </cell>
          <cell r="I242">
            <v>1008</v>
          </cell>
          <cell r="J242" t="str">
            <v>Teghra</v>
          </cell>
          <cell r="K242" t="str">
            <v>Old</v>
          </cell>
          <cell r="L242">
            <v>45716</v>
          </cell>
          <cell r="M242">
            <v>416.2</v>
          </cell>
          <cell r="N242">
            <v>14791.449999999999</v>
          </cell>
          <cell r="O242">
            <v>312.14999999999998</v>
          </cell>
          <cell r="P242">
            <v>395.39</v>
          </cell>
          <cell r="Q242">
            <v>552.4370874</v>
          </cell>
          <cell r="R242">
            <v>443.74349999999993</v>
          </cell>
          <cell r="S242">
            <v>48.35349999999994</v>
          </cell>
          <cell r="T242">
            <v>41.620000000000005</v>
          </cell>
          <cell r="U242">
            <v>1217.8896038051166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D243">
            <v>10080087</v>
          </cell>
          <cell r="E243" t="str">
            <v>GOMUKH GEHUNI 2</v>
          </cell>
          <cell r="F243">
            <v>0</v>
          </cell>
          <cell r="G243" t="str">
            <v>MPG</v>
          </cell>
          <cell r="H243" t="str">
            <v>Direct</v>
          </cell>
          <cell r="I243">
            <v>1008</v>
          </cell>
          <cell r="J243" t="str">
            <v>Teghra</v>
          </cell>
          <cell r="K243" t="str">
            <v>Old</v>
          </cell>
          <cell r="L243">
            <v>45745</v>
          </cell>
          <cell r="M243">
            <v>2093</v>
          </cell>
          <cell r="N243">
            <v>78177.72</v>
          </cell>
          <cell r="O243">
            <v>1569.75</v>
          </cell>
          <cell r="P243">
            <v>1988.35</v>
          </cell>
          <cell r="Q243">
            <v>1237.15506984696</v>
          </cell>
          <cell r="R243">
            <v>2345.3316</v>
          </cell>
          <cell r="S243">
            <v>356.98160000000007</v>
          </cell>
          <cell r="T243">
            <v>209.3</v>
          </cell>
          <cell r="U243">
            <v>674.91193352168568</v>
          </cell>
          <cell r="V243">
            <v>3911</v>
          </cell>
          <cell r="W243">
            <v>861</v>
          </cell>
          <cell r="X243">
            <v>0</v>
          </cell>
          <cell r="Y243">
            <v>0</v>
          </cell>
        </row>
        <row r="244">
          <cell r="D244">
            <v>10080088</v>
          </cell>
          <cell r="E244" t="str">
            <v>GOMUKH MALHIPUR</v>
          </cell>
          <cell r="F244">
            <v>0</v>
          </cell>
          <cell r="G244" t="str">
            <v>MPG</v>
          </cell>
          <cell r="H244" t="str">
            <v>Direct</v>
          </cell>
          <cell r="I244">
            <v>1008</v>
          </cell>
          <cell r="J244" t="str">
            <v>Teghra</v>
          </cell>
          <cell r="K244" t="str">
            <v>Old</v>
          </cell>
          <cell r="L244">
            <v>45745</v>
          </cell>
          <cell r="M244">
            <v>5643.5999999999995</v>
          </cell>
          <cell r="N244">
            <v>206121.23</v>
          </cell>
          <cell r="O244">
            <v>4232.7</v>
          </cell>
          <cell r="P244">
            <v>5361.4199999999992</v>
          </cell>
          <cell r="Q244">
            <v>373.48360940880002</v>
          </cell>
          <cell r="R244">
            <v>6183.6369000000004</v>
          </cell>
          <cell r="S244">
            <v>822.21690000000126</v>
          </cell>
          <cell r="T244">
            <v>564.36</v>
          </cell>
          <cell r="U244">
            <v>105.35987766780637</v>
          </cell>
          <cell r="V244">
            <v>9298</v>
          </cell>
          <cell r="W244">
            <v>4122.4246000000003</v>
          </cell>
          <cell r="X244">
            <v>0</v>
          </cell>
          <cell r="Y244">
            <v>0</v>
          </cell>
        </row>
        <row r="245">
          <cell r="D245">
            <v>10080090</v>
          </cell>
          <cell r="E245" t="str">
            <v>Rasalpur - Durgesh Kumar</v>
          </cell>
          <cell r="F245">
            <v>0</v>
          </cell>
          <cell r="G245" t="str">
            <v>vlc</v>
          </cell>
          <cell r="H245" t="str">
            <v>Indirect</v>
          </cell>
          <cell r="I245">
            <v>1008</v>
          </cell>
          <cell r="J245" t="str">
            <v>Teghra</v>
          </cell>
          <cell r="K245" t="str">
            <v>Old</v>
          </cell>
          <cell r="L245">
            <v>45802</v>
          </cell>
          <cell r="M245">
            <v>1279.5999999999997</v>
          </cell>
          <cell r="N245">
            <v>44830.78</v>
          </cell>
          <cell r="O245">
            <v>959.69999999999982</v>
          </cell>
          <cell r="P245">
            <v>1215.6199999999997</v>
          </cell>
          <cell r="Q245">
            <v>0</v>
          </cell>
          <cell r="R245">
            <v>1344.9233999999999</v>
          </cell>
          <cell r="S245">
            <v>129.30340000000024</v>
          </cell>
          <cell r="T245">
            <v>127.95999999999998</v>
          </cell>
          <cell r="U245">
            <v>1121.4377542889481</v>
          </cell>
          <cell r="V245">
            <v>926</v>
          </cell>
          <cell r="W245">
            <v>0</v>
          </cell>
          <cell r="X245">
            <v>0</v>
          </cell>
          <cell r="Y245">
            <v>0</v>
          </cell>
        </row>
        <row r="246">
          <cell r="D246">
            <v>10080093</v>
          </cell>
          <cell r="E246" t="str">
            <v>Barauni Bariyarpur</v>
          </cell>
          <cell r="F246">
            <v>0</v>
          </cell>
          <cell r="G246" t="str">
            <v>MPG</v>
          </cell>
          <cell r="H246" t="str">
            <v>Direct</v>
          </cell>
          <cell r="I246">
            <v>1008</v>
          </cell>
          <cell r="J246" t="str">
            <v>Teghra</v>
          </cell>
          <cell r="K246" t="str">
            <v>Old</v>
          </cell>
          <cell r="L246">
            <v>45809</v>
          </cell>
          <cell r="M246">
            <v>2916.1000000000004</v>
          </cell>
          <cell r="N246">
            <v>103662.08</v>
          </cell>
          <cell r="O246">
            <v>2187.0750000000003</v>
          </cell>
          <cell r="P246">
            <v>2770.2950000000001</v>
          </cell>
          <cell r="Q246">
            <v>0</v>
          </cell>
          <cell r="R246">
            <v>3109.8624</v>
          </cell>
          <cell r="S246">
            <v>339.56739999999991</v>
          </cell>
          <cell r="T246">
            <v>291.61000000000007</v>
          </cell>
          <cell r="U246">
            <v>84.127817353686922</v>
          </cell>
          <cell r="V246">
            <v>4582</v>
          </cell>
          <cell r="W246">
            <v>2073.2416000000003</v>
          </cell>
          <cell r="X246">
            <v>0</v>
          </cell>
          <cell r="Y246">
            <v>0</v>
          </cell>
        </row>
        <row r="247">
          <cell r="D247">
            <v>10080095</v>
          </cell>
          <cell r="E247" t="str">
            <v>Jaynagar</v>
          </cell>
          <cell r="F247">
            <v>0</v>
          </cell>
          <cell r="G247" t="str">
            <v>MPG</v>
          </cell>
          <cell r="H247" t="str">
            <v>Direct</v>
          </cell>
          <cell r="I247">
            <v>1008</v>
          </cell>
          <cell r="J247" t="str">
            <v>Teghra</v>
          </cell>
          <cell r="K247" t="str">
            <v>Old</v>
          </cell>
          <cell r="L247">
            <v>45838</v>
          </cell>
          <cell r="M247">
            <v>816.8</v>
          </cell>
          <cell r="N247">
            <v>29432.42</v>
          </cell>
          <cell r="O247">
            <v>612.59999999999991</v>
          </cell>
          <cell r="P247">
            <v>775.95999999999992</v>
          </cell>
          <cell r="Q247">
            <v>0</v>
          </cell>
          <cell r="R247">
            <v>882.97259999999994</v>
          </cell>
          <cell r="S247">
            <v>107.01260000000002</v>
          </cell>
          <cell r="T247">
            <v>81.680000000000007</v>
          </cell>
          <cell r="U247">
            <v>1306.4964823601863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D248">
            <v>10080097</v>
          </cell>
          <cell r="E248" t="str">
            <v>Fateha - Anil Yadav</v>
          </cell>
          <cell r="F248">
            <v>0</v>
          </cell>
          <cell r="G248" t="str">
            <v>vlc</v>
          </cell>
          <cell r="H248" t="str">
            <v>Indirect</v>
          </cell>
          <cell r="I248">
            <v>1008</v>
          </cell>
          <cell r="J248" t="str">
            <v>Teghra</v>
          </cell>
          <cell r="K248" t="str">
            <v>Old</v>
          </cell>
          <cell r="L248">
            <v>45786</v>
          </cell>
          <cell r="M248">
            <v>4309.7</v>
          </cell>
          <cell r="N248">
            <v>147336.29</v>
          </cell>
          <cell r="O248">
            <v>3232.2749999999996</v>
          </cell>
          <cell r="P248">
            <v>4094.2149999999997</v>
          </cell>
          <cell r="Q248">
            <v>0</v>
          </cell>
          <cell r="R248">
            <v>4420.0887000000002</v>
          </cell>
          <cell r="S248">
            <v>325.87370000000055</v>
          </cell>
          <cell r="T248">
            <v>430.97</v>
          </cell>
          <cell r="U248">
            <v>10.29804397049149</v>
          </cell>
          <cell r="V248">
            <v>6885</v>
          </cell>
          <cell r="W248">
            <v>0</v>
          </cell>
          <cell r="X248">
            <v>0</v>
          </cell>
          <cell r="Y248">
            <v>0</v>
          </cell>
        </row>
        <row r="249">
          <cell r="D249">
            <v>10080099</v>
          </cell>
          <cell r="E249" t="str">
            <v>Bihat - Chakballi</v>
          </cell>
          <cell r="F249">
            <v>0</v>
          </cell>
          <cell r="G249" t="str">
            <v>MPG</v>
          </cell>
          <cell r="H249" t="str">
            <v>Direct</v>
          </cell>
          <cell r="I249">
            <v>1008</v>
          </cell>
          <cell r="J249" t="str">
            <v>Teghra</v>
          </cell>
          <cell r="K249" t="str">
            <v>Old</v>
          </cell>
          <cell r="L249">
            <v>45810</v>
          </cell>
          <cell r="M249">
            <v>11853.65</v>
          </cell>
          <cell r="N249">
            <v>387835.77999999997</v>
          </cell>
          <cell r="O249">
            <v>8890.2374999999993</v>
          </cell>
          <cell r="P249">
            <v>11260.967499999999</v>
          </cell>
          <cell r="Q249">
            <v>0</v>
          </cell>
          <cell r="R249">
            <v>11635.073399999999</v>
          </cell>
          <cell r="S249">
            <v>374.10590000000047</v>
          </cell>
          <cell r="T249">
            <v>1185.365</v>
          </cell>
          <cell r="U249">
            <v>0</v>
          </cell>
          <cell r="V249">
            <v>18966</v>
          </cell>
          <cell r="W249">
            <v>7756.7155999999995</v>
          </cell>
          <cell r="X249">
            <v>0</v>
          </cell>
          <cell r="Y249">
            <v>0</v>
          </cell>
        </row>
        <row r="250">
          <cell r="D250">
            <v>10080100</v>
          </cell>
          <cell r="E250" t="str">
            <v>Sibutol- Naya Tola</v>
          </cell>
          <cell r="F250">
            <v>0</v>
          </cell>
          <cell r="G250" t="str">
            <v>MPG</v>
          </cell>
          <cell r="H250" t="str">
            <v>Direct</v>
          </cell>
          <cell r="I250">
            <v>1008</v>
          </cell>
          <cell r="J250" t="str">
            <v>Teghra</v>
          </cell>
          <cell r="K250" t="str">
            <v>Old</v>
          </cell>
          <cell r="L250">
            <v>45843</v>
          </cell>
          <cell r="M250">
            <v>257.89999999999998</v>
          </cell>
          <cell r="N250">
            <v>8693.4</v>
          </cell>
          <cell r="O250">
            <v>193.42499999999998</v>
          </cell>
          <cell r="P250">
            <v>245.00499999999997</v>
          </cell>
          <cell r="Q250">
            <v>0</v>
          </cell>
          <cell r="R250">
            <v>260.80199999999996</v>
          </cell>
          <cell r="S250">
            <v>15.796999999999997</v>
          </cell>
          <cell r="T250">
            <v>25.79</v>
          </cell>
          <cell r="U250">
            <v>412.73766988097032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D251">
            <v>10080107</v>
          </cell>
          <cell r="E251" t="str">
            <v>Rasalpur</v>
          </cell>
          <cell r="F251">
            <v>0</v>
          </cell>
          <cell r="G251" t="str">
            <v>vlc</v>
          </cell>
          <cell r="H251" t="str">
            <v>Indirect</v>
          </cell>
          <cell r="I251">
            <v>1008</v>
          </cell>
          <cell r="J251" t="str">
            <v>Teghra</v>
          </cell>
          <cell r="K251" t="str">
            <v>Old</v>
          </cell>
          <cell r="L251">
            <v>45870</v>
          </cell>
          <cell r="M251">
            <v>2728.4500000000003</v>
          </cell>
          <cell r="N251">
            <v>93563.939999999988</v>
          </cell>
          <cell r="O251">
            <v>2046.3375000000001</v>
          </cell>
          <cell r="P251">
            <v>2592.0275000000001</v>
          </cell>
          <cell r="Q251">
            <v>0</v>
          </cell>
          <cell r="R251">
            <v>2806.9181999999996</v>
          </cell>
          <cell r="S251">
            <v>214.89069999999947</v>
          </cell>
          <cell r="T251">
            <v>272.84500000000003</v>
          </cell>
          <cell r="U251">
            <v>403.64196241139541</v>
          </cell>
          <cell r="V251">
            <v>3962</v>
          </cell>
          <cell r="W251">
            <v>0</v>
          </cell>
          <cell r="X251">
            <v>0</v>
          </cell>
          <cell r="Y251">
            <v>0</v>
          </cell>
        </row>
        <row r="252">
          <cell r="D252">
            <v>10090001</v>
          </cell>
          <cell r="E252" t="str">
            <v>POHE</v>
          </cell>
          <cell r="F252">
            <v>0</v>
          </cell>
          <cell r="G252" t="str">
            <v>vlc</v>
          </cell>
          <cell r="H252" t="str">
            <v>Indirect</v>
          </cell>
          <cell r="I252">
            <v>1009</v>
          </cell>
          <cell r="J252" t="str">
            <v>Halsi</v>
          </cell>
          <cell r="K252" t="str">
            <v>Old</v>
          </cell>
          <cell r="L252">
            <v>42979</v>
          </cell>
          <cell r="M252">
            <v>1398.4</v>
          </cell>
          <cell r="N252">
            <v>58602.49</v>
          </cell>
          <cell r="O252">
            <v>1048.8000000000002</v>
          </cell>
          <cell r="P252">
            <v>1328.48</v>
          </cell>
          <cell r="Q252">
            <v>0</v>
          </cell>
          <cell r="R252">
            <v>1758.0746999999999</v>
          </cell>
          <cell r="S252">
            <v>429.59469999999988</v>
          </cell>
          <cell r="T252">
            <v>139.84</v>
          </cell>
          <cell r="U252">
            <v>1339.9408782434921</v>
          </cell>
          <cell r="V252">
            <v>897</v>
          </cell>
          <cell r="W252">
            <v>0</v>
          </cell>
          <cell r="X252">
            <v>0</v>
          </cell>
          <cell r="Y252">
            <v>0</v>
          </cell>
        </row>
        <row r="253">
          <cell r="D253">
            <v>10090002</v>
          </cell>
          <cell r="E253" t="str">
            <v>AURO</v>
          </cell>
          <cell r="F253">
            <v>0</v>
          </cell>
          <cell r="G253" t="str">
            <v>MPG</v>
          </cell>
          <cell r="H253" t="str">
            <v>Direct</v>
          </cell>
          <cell r="I253">
            <v>1009</v>
          </cell>
          <cell r="J253" t="str">
            <v>Halsi</v>
          </cell>
          <cell r="K253" t="str">
            <v>Old</v>
          </cell>
          <cell r="L253">
            <v>42979</v>
          </cell>
          <cell r="M253">
            <v>8014.2999999999993</v>
          </cell>
          <cell r="N253">
            <v>336526.34</v>
          </cell>
          <cell r="O253">
            <v>6010.7249999999995</v>
          </cell>
          <cell r="P253">
            <v>7613.5849999999991</v>
          </cell>
          <cell r="Q253">
            <v>2438.6272814772005</v>
          </cell>
          <cell r="R253">
            <v>10095.790200000001</v>
          </cell>
          <cell r="S253">
            <v>2482.2052000000022</v>
          </cell>
          <cell r="T253">
            <v>801.43</v>
          </cell>
          <cell r="U253">
            <v>0</v>
          </cell>
          <cell r="V253">
            <v>15262</v>
          </cell>
          <cell r="W253">
            <v>0</v>
          </cell>
          <cell r="X253">
            <v>0</v>
          </cell>
          <cell r="Y253">
            <v>0</v>
          </cell>
        </row>
        <row r="254">
          <cell r="D254">
            <v>10090003</v>
          </cell>
          <cell r="E254" t="str">
            <v>PARSHAMA</v>
          </cell>
          <cell r="F254">
            <v>0</v>
          </cell>
          <cell r="G254" t="str">
            <v>MPG</v>
          </cell>
          <cell r="H254" t="str">
            <v>Direct</v>
          </cell>
          <cell r="I254">
            <v>1009</v>
          </cell>
          <cell r="J254" t="str">
            <v>Halsi</v>
          </cell>
          <cell r="K254" t="str">
            <v>Old</v>
          </cell>
          <cell r="L254">
            <v>42979</v>
          </cell>
          <cell r="M254">
            <v>647.20000000000005</v>
          </cell>
          <cell r="N254">
            <v>23208.230000000003</v>
          </cell>
          <cell r="O254">
            <v>485.40000000000003</v>
          </cell>
          <cell r="P254">
            <v>614.84</v>
          </cell>
          <cell r="Q254">
            <v>108.16399044000002</v>
          </cell>
          <cell r="R254">
            <v>696.2469000000001</v>
          </cell>
          <cell r="S254">
            <v>81.406900000000064</v>
          </cell>
          <cell r="T254">
            <v>64.720000000000013</v>
          </cell>
          <cell r="U254">
            <v>1143.8113458891867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</row>
        <row r="255">
          <cell r="D255">
            <v>10090005</v>
          </cell>
          <cell r="E255" t="str">
            <v>PRATAPUR 2</v>
          </cell>
          <cell r="F255">
            <v>0</v>
          </cell>
          <cell r="G255" t="str">
            <v>vlc</v>
          </cell>
          <cell r="H255" t="str">
            <v>Indirect</v>
          </cell>
          <cell r="I255">
            <v>1009</v>
          </cell>
          <cell r="J255" t="str">
            <v>Halsi</v>
          </cell>
          <cell r="K255" t="str">
            <v>Old</v>
          </cell>
          <cell r="L255">
            <v>42979</v>
          </cell>
          <cell r="M255">
            <v>625.20000000000005</v>
          </cell>
          <cell r="N255">
            <v>27002.84</v>
          </cell>
          <cell r="O255">
            <v>468.90000000000003</v>
          </cell>
          <cell r="P255">
            <v>593.94000000000005</v>
          </cell>
          <cell r="Q255">
            <v>0</v>
          </cell>
          <cell r="R255">
            <v>810.08519999999999</v>
          </cell>
          <cell r="S255">
            <v>216.14519999999993</v>
          </cell>
          <cell r="T255">
            <v>62.52000000000001</v>
          </cell>
          <cell r="U255">
            <v>1000.223084583399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D256">
            <v>10090006</v>
          </cell>
          <cell r="E256" t="str">
            <v>BALLOPUR</v>
          </cell>
          <cell r="F256">
            <v>0</v>
          </cell>
          <cell r="G256" t="str">
            <v>MPG</v>
          </cell>
          <cell r="H256" t="str">
            <v>Direct</v>
          </cell>
          <cell r="I256">
            <v>1009</v>
          </cell>
          <cell r="J256" t="str">
            <v>Halsi</v>
          </cell>
          <cell r="K256" t="str">
            <v>Old</v>
          </cell>
          <cell r="L256">
            <v>42979</v>
          </cell>
          <cell r="M256">
            <v>4919.5</v>
          </cell>
          <cell r="N256">
            <v>191282</v>
          </cell>
          <cell r="O256">
            <v>3689.625</v>
          </cell>
          <cell r="P256">
            <v>4673.5249999999996</v>
          </cell>
          <cell r="Q256">
            <v>0</v>
          </cell>
          <cell r="R256">
            <v>5738.46</v>
          </cell>
          <cell r="S256">
            <v>1064.9350000000004</v>
          </cell>
          <cell r="T256">
            <v>491.95000000000005</v>
          </cell>
          <cell r="U256">
            <v>0</v>
          </cell>
          <cell r="V256">
            <v>7871</v>
          </cell>
          <cell r="W256">
            <v>0</v>
          </cell>
          <cell r="X256">
            <v>0</v>
          </cell>
          <cell r="Y256">
            <v>0</v>
          </cell>
        </row>
        <row r="257">
          <cell r="D257">
            <v>10090007</v>
          </cell>
          <cell r="E257" t="str">
            <v>KHAIRMA</v>
          </cell>
          <cell r="F257">
            <v>0</v>
          </cell>
          <cell r="G257" t="str">
            <v>MPG</v>
          </cell>
          <cell r="H257" t="str">
            <v>Direct</v>
          </cell>
          <cell r="I257">
            <v>1009</v>
          </cell>
          <cell r="J257" t="str">
            <v>Halsi</v>
          </cell>
          <cell r="K257" t="str">
            <v>Old</v>
          </cell>
          <cell r="L257">
            <v>42979</v>
          </cell>
          <cell r="M257">
            <v>1758</v>
          </cell>
          <cell r="N257">
            <v>61106.53</v>
          </cell>
          <cell r="O257">
            <v>1318.5</v>
          </cell>
          <cell r="P257">
            <v>1670.1</v>
          </cell>
          <cell r="Q257">
            <v>0</v>
          </cell>
          <cell r="R257">
            <v>1833.1958999999999</v>
          </cell>
          <cell r="S257">
            <v>163.09590000000003</v>
          </cell>
          <cell r="T257">
            <v>175.8</v>
          </cell>
          <cell r="U257">
            <v>865.76773850310497</v>
          </cell>
          <cell r="V257">
            <v>1947</v>
          </cell>
          <cell r="W257">
            <v>0</v>
          </cell>
          <cell r="X257">
            <v>0</v>
          </cell>
          <cell r="Y257">
            <v>0</v>
          </cell>
        </row>
        <row r="258">
          <cell r="D258">
            <v>10090008</v>
          </cell>
          <cell r="E258" t="str">
            <v>MAHASONI</v>
          </cell>
          <cell r="F258">
            <v>0</v>
          </cell>
          <cell r="G258" t="str">
            <v>MPG</v>
          </cell>
          <cell r="H258" t="str">
            <v>Direct</v>
          </cell>
          <cell r="I258">
            <v>1009</v>
          </cell>
          <cell r="J258" t="str">
            <v>Halsi</v>
          </cell>
          <cell r="K258" t="str">
            <v>Old</v>
          </cell>
          <cell r="L258">
            <v>42979</v>
          </cell>
          <cell r="M258">
            <v>3918.2000000000003</v>
          </cell>
          <cell r="N258">
            <v>149232.10999999999</v>
          </cell>
          <cell r="O258">
            <v>2938.65</v>
          </cell>
          <cell r="P258">
            <v>3722.29</v>
          </cell>
          <cell r="Q258">
            <v>1510.2482640300004</v>
          </cell>
          <cell r="R258">
            <v>4476.9632999999994</v>
          </cell>
          <cell r="S258">
            <v>754.67329999999947</v>
          </cell>
          <cell r="T258">
            <v>391.82000000000005</v>
          </cell>
          <cell r="U258">
            <v>0</v>
          </cell>
          <cell r="V258">
            <v>7779</v>
          </cell>
          <cell r="W258">
            <v>0</v>
          </cell>
          <cell r="X258">
            <v>0</v>
          </cell>
          <cell r="Y258">
            <v>0</v>
          </cell>
        </row>
        <row r="259">
          <cell r="D259">
            <v>10090009</v>
          </cell>
          <cell r="E259" t="str">
            <v>SONDHI</v>
          </cell>
          <cell r="F259">
            <v>0</v>
          </cell>
          <cell r="G259" t="str">
            <v>MPG</v>
          </cell>
          <cell r="H259" t="str">
            <v>Direct</v>
          </cell>
          <cell r="I259">
            <v>1009</v>
          </cell>
          <cell r="J259" t="str">
            <v>Halsi</v>
          </cell>
          <cell r="K259" t="str">
            <v>Old</v>
          </cell>
          <cell r="L259">
            <v>42979</v>
          </cell>
          <cell r="M259">
            <v>1703.5000000000002</v>
          </cell>
          <cell r="N259">
            <v>71272.509999999995</v>
          </cell>
          <cell r="O259">
            <v>1277.6250000000002</v>
          </cell>
          <cell r="P259">
            <v>1618.325</v>
          </cell>
          <cell r="Q259">
            <v>701.95776266320013</v>
          </cell>
          <cell r="R259">
            <v>2138.1752999999999</v>
          </cell>
          <cell r="S259">
            <v>519.85029999999983</v>
          </cell>
          <cell r="T259">
            <v>170.35000000000002</v>
          </cell>
          <cell r="U259">
            <v>1068.7213396569482</v>
          </cell>
          <cell r="V259">
            <v>2359</v>
          </cell>
          <cell r="W259">
            <v>0</v>
          </cell>
          <cell r="X259">
            <v>0</v>
          </cell>
          <cell r="Y259">
            <v>2359</v>
          </cell>
        </row>
        <row r="260">
          <cell r="D260">
            <v>10090011</v>
          </cell>
          <cell r="E260" t="str">
            <v>BELDARAYA</v>
          </cell>
          <cell r="F260">
            <v>0</v>
          </cell>
          <cell r="G260" t="str">
            <v>vlc</v>
          </cell>
          <cell r="H260" t="str">
            <v>Indirect</v>
          </cell>
          <cell r="I260">
            <v>1009</v>
          </cell>
          <cell r="J260" t="str">
            <v>Halsi</v>
          </cell>
          <cell r="K260" t="str">
            <v>Old</v>
          </cell>
          <cell r="L260">
            <v>42979</v>
          </cell>
          <cell r="M260">
            <v>3320</v>
          </cell>
          <cell r="N260">
            <v>121996.4</v>
          </cell>
          <cell r="O260">
            <v>2490</v>
          </cell>
          <cell r="P260">
            <v>3154</v>
          </cell>
          <cell r="Q260">
            <v>0</v>
          </cell>
          <cell r="R260">
            <v>3659.8919999999998</v>
          </cell>
          <cell r="S260">
            <v>505.89199999999983</v>
          </cell>
          <cell r="T260">
            <v>332</v>
          </cell>
          <cell r="U260">
            <v>110.69910256410259</v>
          </cell>
          <cell r="V260">
            <v>5201</v>
          </cell>
          <cell r="W260">
            <v>0</v>
          </cell>
          <cell r="X260">
            <v>0</v>
          </cell>
          <cell r="Y260">
            <v>0</v>
          </cell>
        </row>
        <row r="261">
          <cell r="D261">
            <v>10090012</v>
          </cell>
          <cell r="E261" t="str">
            <v>Gomukh ID Aure-2</v>
          </cell>
          <cell r="F261">
            <v>0</v>
          </cell>
          <cell r="G261" t="str">
            <v>vlc</v>
          </cell>
          <cell r="H261" t="str">
            <v>Indirect</v>
          </cell>
          <cell r="I261">
            <v>1009</v>
          </cell>
          <cell r="J261" t="str">
            <v>Halsi</v>
          </cell>
          <cell r="K261" t="str">
            <v>Old</v>
          </cell>
          <cell r="L261">
            <v>43071</v>
          </cell>
          <cell r="M261">
            <v>4350</v>
          </cell>
          <cell r="N261">
            <v>159814.79999999999</v>
          </cell>
          <cell r="O261">
            <v>3262.5</v>
          </cell>
          <cell r="P261">
            <v>4132.5</v>
          </cell>
          <cell r="Q261">
            <v>0</v>
          </cell>
          <cell r="R261">
            <v>4794.4439999999995</v>
          </cell>
          <cell r="S261">
            <v>661.94399999999951</v>
          </cell>
          <cell r="T261">
            <v>435</v>
          </cell>
          <cell r="U261">
            <v>0</v>
          </cell>
          <cell r="V261">
            <v>6960</v>
          </cell>
          <cell r="W261">
            <v>0</v>
          </cell>
          <cell r="X261">
            <v>0</v>
          </cell>
          <cell r="Y261">
            <v>0</v>
          </cell>
        </row>
        <row r="262">
          <cell r="D262">
            <v>10090014</v>
          </cell>
          <cell r="E262" t="str">
            <v>Gomukh Karma</v>
          </cell>
          <cell r="F262">
            <v>0</v>
          </cell>
          <cell r="G262" t="str">
            <v>vlc</v>
          </cell>
          <cell r="H262" t="str">
            <v>Indirect</v>
          </cell>
          <cell r="I262">
            <v>1009</v>
          </cell>
          <cell r="J262" t="str">
            <v>Halsi</v>
          </cell>
          <cell r="K262" t="str">
            <v>Old</v>
          </cell>
          <cell r="L262">
            <v>43786</v>
          </cell>
          <cell r="M262">
            <v>3140.75</v>
          </cell>
          <cell r="N262">
            <v>122397.43000000001</v>
          </cell>
          <cell r="O262">
            <v>2355.5625</v>
          </cell>
          <cell r="P262">
            <v>2983.7124999999996</v>
          </cell>
          <cell r="Q262">
            <v>0</v>
          </cell>
          <cell r="R262">
            <v>3671.9229</v>
          </cell>
          <cell r="S262">
            <v>688.21040000000039</v>
          </cell>
          <cell r="T262">
            <v>314.07500000000005</v>
          </cell>
          <cell r="U262">
            <v>52.497190382790322</v>
          </cell>
          <cell r="V262">
            <v>4973</v>
          </cell>
          <cell r="W262">
            <v>0</v>
          </cell>
          <cell r="X262">
            <v>0</v>
          </cell>
          <cell r="Y262">
            <v>0</v>
          </cell>
        </row>
        <row r="263">
          <cell r="D263">
            <v>10090015</v>
          </cell>
          <cell r="E263" t="str">
            <v>GOMUKH UKSI</v>
          </cell>
          <cell r="F263">
            <v>0</v>
          </cell>
          <cell r="G263" t="str">
            <v>vlc</v>
          </cell>
          <cell r="H263" t="str">
            <v>Indirect</v>
          </cell>
          <cell r="I263">
            <v>1009</v>
          </cell>
          <cell r="J263" t="str">
            <v>Halsi</v>
          </cell>
          <cell r="K263" t="str">
            <v>Old</v>
          </cell>
          <cell r="L263">
            <v>43789</v>
          </cell>
          <cell r="M263">
            <v>1825.8999999999999</v>
          </cell>
          <cell r="N263">
            <v>73736.679999999993</v>
          </cell>
          <cell r="O263">
            <v>1369.425</v>
          </cell>
          <cell r="P263">
            <v>1734.6049999999998</v>
          </cell>
          <cell r="Q263">
            <v>0</v>
          </cell>
          <cell r="R263">
            <v>2212.1003999999998</v>
          </cell>
          <cell r="S263">
            <v>477.49540000000002</v>
          </cell>
          <cell r="T263">
            <v>182.59</v>
          </cell>
          <cell r="U263">
            <v>948.86737632555219</v>
          </cell>
          <cell r="V263">
            <v>1973</v>
          </cell>
          <cell r="W263">
            <v>0</v>
          </cell>
          <cell r="X263">
            <v>1474.7335999999998</v>
          </cell>
          <cell r="Y263">
            <v>0</v>
          </cell>
        </row>
        <row r="264">
          <cell r="D264">
            <v>10090017</v>
          </cell>
          <cell r="E264" t="str">
            <v>Gomukh ID Halsi</v>
          </cell>
          <cell r="F264">
            <v>0</v>
          </cell>
          <cell r="G264" t="str">
            <v>vlc</v>
          </cell>
          <cell r="H264" t="str">
            <v>Indirect</v>
          </cell>
          <cell r="I264">
            <v>1009</v>
          </cell>
          <cell r="J264" t="str">
            <v>Halsi</v>
          </cell>
          <cell r="K264" t="str">
            <v>Old</v>
          </cell>
          <cell r="L264">
            <v>44321</v>
          </cell>
          <cell r="M264">
            <v>16538.899999999998</v>
          </cell>
          <cell r="N264">
            <v>568432.93999999994</v>
          </cell>
          <cell r="O264">
            <v>12404.174999999999</v>
          </cell>
          <cell r="P264">
            <v>15711.954999999996</v>
          </cell>
          <cell r="Q264">
            <v>0</v>
          </cell>
          <cell r="R264">
            <v>17052.988199999996</v>
          </cell>
          <cell r="S264">
            <v>1341.0331999999999</v>
          </cell>
          <cell r="T264">
            <v>1653.8899999999999</v>
          </cell>
          <cell r="U264">
            <v>0</v>
          </cell>
          <cell r="V264">
            <v>26462</v>
          </cell>
          <cell r="W264">
            <v>0</v>
          </cell>
          <cell r="X264">
            <v>0</v>
          </cell>
          <cell r="Y264">
            <v>0</v>
          </cell>
        </row>
        <row r="265">
          <cell r="D265">
            <v>10090021</v>
          </cell>
          <cell r="E265" t="str">
            <v>KHURIYARI</v>
          </cell>
          <cell r="F265">
            <v>0</v>
          </cell>
          <cell r="G265" t="str">
            <v>MPG</v>
          </cell>
          <cell r="H265" t="str">
            <v>Direct</v>
          </cell>
          <cell r="I265">
            <v>1009</v>
          </cell>
          <cell r="J265" t="str">
            <v>Halsi</v>
          </cell>
          <cell r="K265" t="str">
            <v>Old</v>
          </cell>
          <cell r="L265">
            <v>44676</v>
          </cell>
          <cell r="M265">
            <v>2989.8</v>
          </cell>
          <cell r="N265">
            <v>116360.43</v>
          </cell>
          <cell r="O265">
            <v>2242.3500000000004</v>
          </cell>
          <cell r="P265">
            <v>2840.31</v>
          </cell>
          <cell r="Q265">
            <v>686.87521024744001</v>
          </cell>
          <cell r="R265">
            <v>3490.8128999999994</v>
          </cell>
          <cell r="S265">
            <v>650.5028999999995</v>
          </cell>
          <cell r="T265">
            <v>298.98</v>
          </cell>
          <cell r="U265">
            <v>98.171500016696967</v>
          </cell>
          <cell r="V265">
            <v>5372</v>
          </cell>
          <cell r="W265">
            <v>0</v>
          </cell>
          <cell r="X265">
            <v>0</v>
          </cell>
          <cell r="Y265">
            <v>0</v>
          </cell>
        </row>
        <row r="266">
          <cell r="D266">
            <v>10090022</v>
          </cell>
          <cell r="E266" t="str">
            <v>BISANPUR</v>
          </cell>
          <cell r="F266">
            <v>0</v>
          </cell>
          <cell r="G266" t="str">
            <v>vlc</v>
          </cell>
          <cell r="H266" t="str">
            <v>Indirect</v>
          </cell>
          <cell r="I266">
            <v>1009</v>
          </cell>
          <cell r="J266" t="str">
            <v>Halsi</v>
          </cell>
          <cell r="K266" t="str">
            <v>Old</v>
          </cell>
          <cell r="L266">
            <v>44680</v>
          </cell>
          <cell r="M266">
            <v>2132.9</v>
          </cell>
          <cell r="N266">
            <v>82876.81</v>
          </cell>
          <cell r="O266">
            <v>1599.6750000000002</v>
          </cell>
          <cell r="P266">
            <v>2026.2549999999999</v>
          </cell>
          <cell r="Q266">
            <v>0</v>
          </cell>
          <cell r="R266">
            <v>2486.3042999999998</v>
          </cell>
          <cell r="S266">
            <v>460.0492999999999</v>
          </cell>
          <cell r="T266">
            <v>213.29000000000002</v>
          </cell>
          <cell r="U266">
            <v>674.81509584825994</v>
          </cell>
          <cell r="V266">
            <v>2738</v>
          </cell>
          <cell r="W266">
            <v>0</v>
          </cell>
          <cell r="X266">
            <v>1657.5362</v>
          </cell>
          <cell r="Y266">
            <v>0</v>
          </cell>
        </row>
        <row r="267">
          <cell r="D267">
            <v>10090024</v>
          </cell>
          <cell r="E267" t="str">
            <v>BEHRAMA</v>
          </cell>
          <cell r="F267">
            <v>0</v>
          </cell>
          <cell r="G267" t="str">
            <v>vlc</v>
          </cell>
          <cell r="H267" t="str">
            <v>Indirect</v>
          </cell>
          <cell r="I267">
            <v>1009</v>
          </cell>
          <cell r="J267" t="str">
            <v>Halsi</v>
          </cell>
          <cell r="K267" t="str">
            <v>Old</v>
          </cell>
          <cell r="L267">
            <v>44722</v>
          </cell>
          <cell r="M267">
            <v>1407.7999999999997</v>
          </cell>
          <cell r="N267">
            <v>49425.790000000008</v>
          </cell>
          <cell r="O267">
            <v>1055.8499999999999</v>
          </cell>
          <cell r="P267">
            <v>1337.4099999999996</v>
          </cell>
          <cell r="Q267">
            <v>0</v>
          </cell>
          <cell r="R267">
            <v>1482.7737000000002</v>
          </cell>
          <cell r="S267">
            <v>145.36370000000056</v>
          </cell>
          <cell r="T267">
            <v>140.77999999999997</v>
          </cell>
          <cell r="U267">
            <v>1124.966953296602</v>
          </cell>
          <cell r="V267">
            <v>1128</v>
          </cell>
          <cell r="W267">
            <v>0</v>
          </cell>
          <cell r="X267">
            <v>0</v>
          </cell>
          <cell r="Y267">
            <v>0</v>
          </cell>
        </row>
        <row r="268">
          <cell r="D268">
            <v>10090025</v>
          </cell>
          <cell r="E268" t="str">
            <v>Gomukh ID Mathurapur</v>
          </cell>
          <cell r="F268">
            <v>0</v>
          </cell>
          <cell r="G268" t="str">
            <v>vlc</v>
          </cell>
          <cell r="H268" t="str">
            <v>Indirect</v>
          </cell>
          <cell r="I268">
            <v>1009</v>
          </cell>
          <cell r="J268" t="str">
            <v>Halsi</v>
          </cell>
          <cell r="K268" t="str">
            <v>Old</v>
          </cell>
          <cell r="L268">
            <v>44835</v>
          </cell>
          <cell r="M268">
            <v>3474.2</v>
          </cell>
          <cell r="N268">
            <v>134958.19999999998</v>
          </cell>
          <cell r="O268">
            <v>2605.6499999999996</v>
          </cell>
          <cell r="P268">
            <v>3300.49</v>
          </cell>
          <cell r="Q268">
            <v>0</v>
          </cell>
          <cell r="R268">
            <v>4048.7459999999992</v>
          </cell>
          <cell r="S268">
            <v>748.2559999999994</v>
          </cell>
          <cell r="T268">
            <v>347.42</v>
          </cell>
          <cell r="U268">
            <v>0</v>
          </cell>
          <cell r="V268">
            <v>5559</v>
          </cell>
          <cell r="W268">
            <v>0</v>
          </cell>
          <cell r="X268">
            <v>0</v>
          </cell>
          <cell r="Y268">
            <v>0</v>
          </cell>
        </row>
        <row r="269">
          <cell r="D269">
            <v>10090027</v>
          </cell>
          <cell r="E269" t="str">
            <v>Gomukh ID Kurha Dih</v>
          </cell>
          <cell r="F269">
            <v>0</v>
          </cell>
          <cell r="G269" t="str">
            <v>vlc</v>
          </cell>
          <cell r="H269" t="str">
            <v>Indirect</v>
          </cell>
          <cell r="I269">
            <v>1009</v>
          </cell>
          <cell r="J269" t="str">
            <v>Halsi</v>
          </cell>
          <cell r="K269" t="str">
            <v>Old</v>
          </cell>
          <cell r="L269">
            <v>44866</v>
          </cell>
          <cell r="M269">
            <v>1336.3000000000002</v>
          </cell>
          <cell r="N269">
            <v>49760.89</v>
          </cell>
          <cell r="O269">
            <v>1002.2250000000001</v>
          </cell>
          <cell r="P269">
            <v>1269.4850000000001</v>
          </cell>
          <cell r="Q269">
            <v>0</v>
          </cell>
          <cell r="R269">
            <v>1492.8266999999998</v>
          </cell>
          <cell r="S269">
            <v>223.34169999999972</v>
          </cell>
          <cell r="T269">
            <v>133.63000000000002</v>
          </cell>
          <cell r="U269">
            <v>1240.6847463821061</v>
          </cell>
          <cell r="V269">
            <v>897</v>
          </cell>
          <cell r="W269">
            <v>0</v>
          </cell>
          <cell r="X269">
            <v>0</v>
          </cell>
          <cell r="Y269">
            <v>0</v>
          </cell>
        </row>
        <row r="270">
          <cell r="D270">
            <v>10090029</v>
          </cell>
          <cell r="E270" t="str">
            <v>RAMNAGAR</v>
          </cell>
          <cell r="F270">
            <v>0</v>
          </cell>
          <cell r="G270" t="str">
            <v>MPG</v>
          </cell>
          <cell r="H270" t="str">
            <v>Direct</v>
          </cell>
          <cell r="I270">
            <v>1009</v>
          </cell>
          <cell r="J270" t="str">
            <v>Halsi</v>
          </cell>
          <cell r="K270" t="str">
            <v>Old</v>
          </cell>
          <cell r="L270">
            <v>44967</v>
          </cell>
          <cell r="M270">
            <v>3004.4</v>
          </cell>
          <cell r="N270">
            <v>124646.68</v>
          </cell>
          <cell r="O270">
            <v>2253.3000000000002</v>
          </cell>
          <cell r="P270">
            <v>2854.18</v>
          </cell>
          <cell r="Q270">
            <v>1487.3681142539999</v>
          </cell>
          <cell r="R270">
            <v>3739.4003999999995</v>
          </cell>
          <cell r="S270">
            <v>885.2203999999997</v>
          </cell>
          <cell r="T270">
            <v>300.44</v>
          </cell>
          <cell r="U270">
            <v>33.279114615272519</v>
          </cell>
          <cell r="V270">
            <v>6261</v>
          </cell>
          <cell r="W270">
            <v>0</v>
          </cell>
          <cell r="X270">
            <v>2492.9335999999998</v>
          </cell>
          <cell r="Y270">
            <v>0</v>
          </cell>
        </row>
        <row r="271">
          <cell r="D271">
            <v>10090033</v>
          </cell>
          <cell r="E271" t="str">
            <v>SANDH MAAF 2</v>
          </cell>
          <cell r="F271">
            <v>0</v>
          </cell>
          <cell r="G271" t="str">
            <v>MPG</v>
          </cell>
          <cell r="H271" t="str">
            <v>Direct</v>
          </cell>
          <cell r="I271">
            <v>1009</v>
          </cell>
          <cell r="J271" t="str">
            <v>Halsi</v>
          </cell>
          <cell r="K271" t="str">
            <v>Old</v>
          </cell>
          <cell r="L271">
            <v>45009</v>
          </cell>
          <cell r="M271">
            <v>4683.8999999999996</v>
          </cell>
          <cell r="N271">
            <v>225152.17</v>
          </cell>
          <cell r="O271">
            <v>3512.9249999999997</v>
          </cell>
          <cell r="P271">
            <v>4449.704999999999</v>
          </cell>
          <cell r="Q271">
            <v>1490.1584582058701</v>
          </cell>
          <cell r="R271">
            <v>6754.5650999999998</v>
          </cell>
          <cell r="S271">
            <v>2304.8601000000008</v>
          </cell>
          <cell r="T271">
            <v>468.39</v>
          </cell>
          <cell r="U271">
            <v>0</v>
          </cell>
          <cell r="V271">
            <v>8984</v>
          </cell>
          <cell r="W271">
            <v>0</v>
          </cell>
          <cell r="X271">
            <v>0</v>
          </cell>
          <cell r="Y271">
            <v>2700</v>
          </cell>
        </row>
        <row r="272">
          <cell r="D272">
            <v>10090034</v>
          </cell>
          <cell r="E272" t="str">
            <v xml:space="preserve">BHATTA                                                                                              </v>
          </cell>
          <cell r="F272">
            <v>0</v>
          </cell>
          <cell r="G272" t="str">
            <v>MPG</v>
          </cell>
          <cell r="H272" t="str">
            <v>Direct</v>
          </cell>
          <cell r="I272">
            <v>1009</v>
          </cell>
          <cell r="J272" t="str">
            <v>Halsi</v>
          </cell>
          <cell r="K272" t="str">
            <v>Old</v>
          </cell>
          <cell r="L272">
            <v>45021</v>
          </cell>
          <cell r="M272">
            <v>3979.1</v>
          </cell>
          <cell r="N272">
            <v>161023.16000000003</v>
          </cell>
          <cell r="O272">
            <v>2984.3249999999998</v>
          </cell>
          <cell r="P272">
            <v>3780.1449999999995</v>
          </cell>
          <cell r="Q272">
            <v>674.83085249490011</v>
          </cell>
          <cell r="R272">
            <v>4830.6948000000011</v>
          </cell>
          <cell r="S272">
            <v>1050.5498000000016</v>
          </cell>
          <cell r="T272">
            <v>397.91</v>
          </cell>
          <cell r="U272">
            <v>125.46753706880811</v>
          </cell>
          <cell r="V272">
            <v>6916</v>
          </cell>
          <cell r="W272">
            <v>0</v>
          </cell>
          <cell r="X272">
            <v>0</v>
          </cell>
          <cell r="Y272">
            <v>0</v>
          </cell>
        </row>
        <row r="273">
          <cell r="D273">
            <v>10090036</v>
          </cell>
          <cell r="E273" t="str">
            <v xml:space="preserve">TAAL-SHAHARSHA                                                                                      </v>
          </cell>
          <cell r="F273">
            <v>0</v>
          </cell>
          <cell r="G273" t="str">
            <v>MPG</v>
          </cell>
          <cell r="H273" t="str">
            <v>Direct</v>
          </cell>
          <cell r="I273">
            <v>1009</v>
          </cell>
          <cell r="J273" t="str">
            <v>Halsi</v>
          </cell>
          <cell r="K273" t="str">
            <v>Old</v>
          </cell>
          <cell r="L273">
            <v>45052</v>
          </cell>
          <cell r="M273">
            <v>356</v>
          </cell>
          <cell r="N273">
            <v>13137.660000000002</v>
          </cell>
          <cell r="O273">
            <v>267</v>
          </cell>
          <cell r="P273">
            <v>338.2</v>
          </cell>
          <cell r="Q273">
            <v>0</v>
          </cell>
          <cell r="R273">
            <v>394.12980000000005</v>
          </cell>
          <cell r="S273">
            <v>55.929800000000057</v>
          </cell>
          <cell r="T273">
            <v>35.6</v>
          </cell>
          <cell r="U273">
            <v>569.90627004240491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D274">
            <v>10090037</v>
          </cell>
          <cell r="E274" t="str">
            <v>Dhira</v>
          </cell>
          <cell r="F274">
            <v>0</v>
          </cell>
          <cell r="G274" t="str">
            <v>MPG</v>
          </cell>
          <cell r="H274" t="str">
            <v>Direct</v>
          </cell>
          <cell r="I274">
            <v>1009</v>
          </cell>
          <cell r="J274" t="str">
            <v>Halsi</v>
          </cell>
          <cell r="K274" t="str">
            <v>Old</v>
          </cell>
          <cell r="L274">
            <v>45078</v>
          </cell>
          <cell r="M274">
            <v>1714.6</v>
          </cell>
          <cell r="N274">
            <v>77236.14</v>
          </cell>
          <cell r="O274">
            <v>1285.9499999999998</v>
          </cell>
          <cell r="P274">
            <v>1628.87</v>
          </cell>
          <cell r="Q274">
            <v>876.69665734770024</v>
          </cell>
          <cell r="R274">
            <v>2317.0841999999998</v>
          </cell>
          <cell r="S274">
            <v>688.21419999999989</v>
          </cell>
          <cell r="T274">
            <v>171.46</v>
          </cell>
          <cell r="U274">
            <v>1157.2494498948424</v>
          </cell>
          <cell r="V274">
            <v>2463</v>
          </cell>
          <cell r="W274">
            <v>1861</v>
          </cell>
          <cell r="X274">
            <v>0</v>
          </cell>
          <cell r="Y274">
            <v>602</v>
          </cell>
        </row>
        <row r="275">
          <cell r="D275">
            <v>10090040</v>
          </cell>
          <cell r="E275" t="str">
            <v>BARHARA</v>
          </cell>
          <cell r="F275">
            <v>0</v>
          </cell>
          <cell r="G275" t="str">
            <v>MPG</v>
          </cell>
          <cell r="H275" t="str">
            <v>Direct</v>
          </cell>
          <cell r="I275">
            <v>1009</v>
          </cell>
          <cell r="J275" t="str">
            <v>Halsi</v>
          </cell>
          <cell r="K275" t="str">
            <v>Old</v>
          </cell>
          <cell r="L275">
            <v>45110</v>
          </cell>
          <cell r="M275">
            <v>498.4</v>
          </cell>
          <cell r="N275">
            <v>17691.449999999997</v>
          </cell>
          <cell r="O275">
            <v>373.79999999999995</v>
          </cell>
          <cell r="P275">
            <v>473.47999999999996</v>
          </cell>
          <cell r="Q275">
            <v>0</v>
          </cell>
          <cell r="R275">
            <v>530.74349999999993</v>
          </cell>
          <cell r="S275">
            <v>57.263499999999965</v>
          </cell>
          <cell r="T275">
            <v>49.84</v>
          </cell>
          <cell r="U275">
            <v>779.19831459197371</v>
          </cell>
          <cell r="V275">
            <v>18</v>
          </cell>
          <cell r="W275">
            <v>18</v>
          </cell>
          <cell r="X275">
            <v>0</v>
          </cell>
          <cell r="Y275">
            <v>0</v>
          </cell>
        </row>
        <row r="276">
          <cell r="D276">
            <v>10090041</v>
          </cell>
          <cell r="E276" t="str">
            <v>AZADNAGAR(VLC)</v>
          </cell>
          <cell r="F276">
            <v>0</v>
          </cell>
          <cell r="G276" t="str">
            <v>vlc</v>
          </cell>
          <cell r="H276" t="str">
            <v>Indirect</v>
          </cell>
          <cell r="I276">
            <v>1009</v>
          </cell>
          <cell r="J276" t="str">
            <v>Halsi</v>
          </cell>
          <cell r="K276" t="str">
            <v>Old</v>
          </cell>
          <cell r="L276">
            <v>45152</v>
          </cell>
          <cell r="M276">
            <v>400.50000000000006</v>
          </cell>
          <cell r="N276">
            <v>12133.679999999998</v>
          </cell>
          <cell r="O276">
            <v>300.37500000000006</v>
          </cell>
          <cell r="P276">
            <v>380.47500000000002</v>
          </cell>
          <cell r="Q276">
            <v>0</v>
          </cell>
          <cell r="R276">
            <v>364.01039999999995</v>
          </cell>
          <cell r="S276">
            <v>-16.464600000000075</v>
          </cell>
          <cell r="T276">
            <v>40.050000000000011</v>
          </cell>
          <cell r="U276">
            <v>641.09096210755797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D277">
            <v>10090042</v>
          </cell>
          <cell r="E277" t="str">
            <v>REWAI</v>
          </cell>
          <cell r="F277">
            <v>0</v>
          </cell>
          <cell r="G277" t="str">
            <v>MPG</v>
          </cell>
          <cell r="H277" t="str">
            <v>Direct</v>
          </cell>
          <cell r="I277">
            <v>1009</v>
          </cell>
          <cell r="J277" t="str">
            <v>Halsi</v>
          </cell>
          <cell r="K277" t="str">
            <v>Old</v>
          </cell>
          <cell r="L277">
            <v>44652</v>
          </cell>
          <cell r="M277">
            <v>1786.5</v>
          </cell>
          <cell r="N277">
            <v>69499.509999999995</v>
          </cell>
          <cell r="O277">
            <v>1339.875</v>
          </cell>
          <cell r="P277">
            <v>1697.175</v>
          </cell>
          <cell r="Q277">
            <v>221.87326467240001</v>
          </cell>
          <cell r="R277">
            <v>2084.9852999999998</v>
          </cell>
          <cell r="S277">
            <v>387.81029999999987</v>
          </cell>
          <cell r="T277">
            <v>178.65</v>
          </cell>
          <cell r="U277">
            <v>945.74925702253427</v>
          </cell>
          <cell r="V277">
            <v>2135</v>
          </cell>
          <cell r="W277">
            <v>1861</v>
          </cell>
          <cell r="X277">
            <v>0</v>
          </cell>
          <cell r="Y277">
            <v>0</v>
          </cell>
        </row>
        <row r="278">
          <cell r="D278">
            <v>10090043</v>
          </cell>
          <cell r="E278" t="str">
            <v>BAKHIYA</v>
          </cell>
          <cell r="F278">
            <v>0</v>
          </cell>
          <cell r="G278" t="str">
            <v>MPG</v>
          </cell>
          <cell r="H278" t="str">
            <v>Direct</v>
          </cell>
          <cell r="I278">
            <v>1009</v>
          </cell>
          <cell r="J278" t="str">
            <v>Halsi</v>
          </cell>
          <cell r="K278" t="str">
            <v>Old</v>
          </cell>
          <cell r="L278">
            <v>45236</v>
          </cell>
          <cell r="M278">
            <v>586.77</v>
          </cell>
          <cell r="N278">
            <v>25625.79</v>
          </cell>
          <cell r="O278">
            <v>440.07749999999999</v>
          </cell>
          <cell r="P278">
            <v>557.43149999999991</v>
          </cell>
          <cell r="Q278">
            <v>97.539887040000011</v>
          </cell>
          <cell r="R278">
            <v>768.77369999999996</v>
          </cell>
          <cell r="S278">
            <v>211.34220000000005</v>
          </cell>
          <cell r="T278">
            <v>58.677</v>
          </cell>
          <cell r="U278">
            <v>1035.9456902046904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D279">
            <v>10090045</v>
          </cell>
          <cell r="E279" t="str">
            <v>MANJOS</v>
          </cell>
          <cell r="F279">
            <v>0</v>
          </cell>
          <cell r="G279" t="str">
            <v>MPG</v>
          </cell>
          <cell r="H279" t="str">
            <v>Direct</v>
          </cell>
          <cell r="I279">
            <v>1009</v>
          </cell>
          <cell r="J279" t="str">
            <v>Halsi</v>
          </cell>
          <cell r="K279" t="str">
            <v>Old</v>
          </cell>
          <cell r="L279">
            <v>45226</v>
          </cell>
          <cell r="M279">
            <v>1297.6999999999998</v>
          </cell>
          <cell r="N279">
            <v>52534.689999999995</v>
          </cell>
          <cell r="O279">
            <v>973.27499999999986</v>
          </cell>
          <cell r="P279">
            <v>1232.8149999999998</v>
          </cell>
          <cell r="Q279">
            <v>0</v>
          </cell>
          <cell r="R279">
            <v>1576.0406999999998</v>
          </cell>
          <cell r="S279">
            <v>343.22569999999996</v>
          </cell>
          <cell r="T279">
            <v>129.76999999999998</v>
          </cell>
          <cell r="U279">
            <v>1437.0200943398092</v>
          </cell>
          <cell r="V279">
            <v>639</v>
          </cell>
          <cell r="W279">
            <v>639</v>
          </cell>
          <cell r="X279">
            <v>0</v>
          </cell>
          <cell r="Y279">
            <v>0</v>
          </cell>
        </row>
        <row r="280">
          <cell r="D280">
            <v>10090046</v>
          </cell>
          <cell r="E280" t="str">
            <v>RATA</v>
          </cell>
          <cell r="F280">
            <v>0</v>
          </cell>
          <cell r="G280" t="str">
            <v>MPG</v>
          </cell>
          <cell r="H280" t="str">
            <v>Direct</v>
          </cell>
          <cell r="I280">
            <v>1009</v>
          </cell>
          <cell r="J280" t="str">
            <v>Halsi</v>
          </cell>
          <cell r="K280" t="str">
            <v>Old</v>
          </cell>
          <cell r="L280">
            <v>45226</v>
          </cell>
          <cell r="M280">
            <v>1692.1</v>
          </cell>
          <cell r="N280">
            <v>68309.040000000008</v>
          </cell>
          <cell r="O280">
            <v>1269.0749999999998</v>
          </cell>
          <cell r="P280">
            <v>1607.4949999999999</v>
          </cell>
          <cell r="Q280">
            <v>1.0731916800000001</v>
          </cell>
          <cell r="R280">
            <v>2049.2712000000001</v>
          </cell>
          <cell r="S280">
            <v>441.77620000000024</v>
          </cell>
          <cell r="T280">
            <v>169.21</v>
          </cell>
          <cell r="U280">
            <v>1051.1853331872221</v>
          </cell>
          <cell r="V280">
            <v>1657</v>
          </cell>
          <cell r="W280">
            <v>1657</v>
          </cell>
          <cell r="X280">
            <v>0</v>
          </cell>
          <cell r="Y280">
            <v>0</v>
          </cell>
        </row>
        <row r="281">
          <cell r="D281">
            <v>10090047</v>
          </cell>
          <cell r="E281" t="str">
            <v>BARUI</v>
          </cell>
          <cell r="F281">
            <v>0</v>
          </cell>
          <cell r="G281" t="str">
            <v>MPG</v>
          </cell>
          <cell r="H281" t="str">
            <v>Direct</v>
          </cell>
          <cell r="I281">
            <v>1009</v>
          </cell>
          <cell r="J281" t="str">
            <v>Halsi</v>
          </cell>
          <cell r="K281" t="str">
            <v>Old</v>
          </cell>
          <cell r="L281">
            <v>45219</v>
          </cell>
          <cell r="M281">
            <v>1533.8</v>
          </cell>
          <cell r="N281">
            <v>64962.3</v>
          </cell>
          <cell r="O281">
            <v>1150.3499999999999</v>
          </cell>
          <cell r="P281">
            <v>1457.11</v>
          </cell>
          <cell r="Q281">
            <v>797.32459012140009</v>
          </cell>
          <cell r="R281">
            <v>1948.8689999999999</v>
          </cell>
          <cell r="S281">
            <v>491.75900000000001</v>
          </cell>
          <cell r="T281">
            <v>153.38</v>
          </cell>
          <cell r="U281">
            <v>1242.7802455905189</v>
          </cell>
          <cell r="V281">
            <v>2009</v>
          </cell>
          <cell r="W281">
            <v>1861</v>
          </cell>
          <cell r="X281">
            <v>0</v>
          </cell>
          <cell r="Y281">
            <v>0</v>
          </cell>
        </row>
        <row r="282">
          <cell r="D282">
            <v>10090049</v>
          </cell>
          <cell r="E282" t="str">
            <v>LAHUARA                                                                                             </v>
          </cell>
          <cell r="F282">
            <v>0</v>
          </cell>
          <cell r="G282" t="str">
            <v>MPG</v>
          </cell>
          <cell r="H282" t="str">
            <v>Direct</v>
          </cell>
          <cell r="I282">
            <v>1009</v>
          </cell>
          <cell r="J282" t="str">
            <v>Halsi</v>
          </cell>
          <cell r="K282" t="str">
            <v>Old</v>
          </cell>
          <cell r="L282">
            <v>45198</v>
          </cell>
          <cell r="M282">
            <v>2892.7</v>
          </cell>
          <cell r="N282">
            <v>135337.57</v>
          </cell>
          <cell r="O282">
            <v>2169.5249999999996</v>
          </cell>
          <cell r="P282">
            <v>2748.0649999999996</v>
          </cell>
          <cell r="Q282">
            <v>1172.98581765976</v>
          </cell>
          <cell r="R282">
            <v>4060.1271000000002</v>
          </cell>
          <cell r="S282">
            <v>1312.0621000000006</v>
          </cell>
          <cell r="T282">
            <v>289.27</v>
          </cell>
          <cell r="U282">
            <v>273.80874882524051</v>
          </cell>
          <cell r="V282">
            <v>5527</v>
          </cell>
          <cell r="W282">
            <v>0</v>
          </cell>
          <cell r="X282">
            <v>0</v>
          </cell>
          <cell r="Y282">
            <v>0</v>
          </cell>
        </row>
        <row r="283">
          <cell r="D283">
            <v>10090052</v>
          </cell>
          <cell r="E283" t="str">
            <v>LACHHUAR</v>
          </cell>
          <cell r="F283">
            <v>0</v>
          </cell>
          <cell r="G283" t="str">
            <v>MPG</v>
          </cell>
          <cell r="H283" t="str">
            <v>Direct</v>
          </cell>
          <cell r="I283">
            <v>1009</v>
          </cell>
          <cell r="J283" t="str">
            <v>Halsi</v>
          </cell>
          <cell r="K283" t="str">
            <v>Old</v>
          </cell>
          <cell r="L283">
            <v>45323</v>
          </cell>
          <cell r="M283">
            <v>1848.4</v>
          </cell>
          <cell r="N283">
            <v>69263.45</v>
          </cell>
          <cell r="O283">
            <v>1386.3000000000002</v>
          </cell>
          <cell r="P283">
            <v>1755.98</v>
          </cell>
          <cell r="Q283">
            <v>392.92558706430003</v>
          </cell>
          <cell r="R283">
            <v>2077.9034999999999</v>
          </cell>
          <cell r="S283">
            <v>321.92349999999988</v>
          </cell>
          <cell r="T283">
            <v>184.84000000000003</v>
          </cell>
          <cell r="U283">
            <v>868.93932838262117</v>
          </cell>
          <cell r="V283">
            <v>2481</v>
          </cell>
          <cell r="W283">
            <v>1861</v>
          </cell>
          <cell r="X283">
            <v>0</v>
          </cell>
          <cell r="Y283">
            <v>0</v>
          </cell>
        </row>
        <row r="284">
          <cell r="D284">
            <v>10090055</v>
          </cell>
          <cell r="E284" t="str">
            <v>RAMDIH Ajit Kumar</v>
          </cell>
          <cell r="F284">
            <v>0</v>
          </cell>
          <cell r="G284" t="str">
            <v>vlc</v>
          </cell>
          <cell r="H284" t="str">
            <v>Indirect</v>
          </cell>
          <cell r="I284">
            <v>1009</v>
          </cell>
          <cell r="J284" t="str">
            <v>Halsi</v>
          </cell>
          <cell r="K284" t="str">
            <v>Old</v>
          </cell>
          <cell r="L284">
            <v>45590</v>
          </cell>
          <cell r="M284">
            <v>1434.1</v>
          </cell>
          <cell r="N284">
            <v>55486.12</v>
          </cell>
          <cell r="O284">
            <v>1075.5749999999998</v>
          </cell>
          <cell r="P284">
            <v>1362.3949999999998</v>
          </cell>
          <cell r="Q284">
            <v>0</v>
          </cell>
          <cell r="R284">
            <v>1664.5835999999999</v>
          </cell>
          <cell r="S284">
            <v>302.18860000000018</v>
          </cell>
          <cell r="T284">
            <v>143.41</v>
          </cell>
          <cell r="U284">
            <v>1226.3042645591595</v>
          </cell>
          <cell r="V284">
            <v>1068</v>
          </cell>
          <cell r="W284">
            <v>0</v>
          </cell>
          <cell r="X284">
            <v>0</v>
          </cell>
          <cell r="Y284">
            <v>0</v>
          </cell>
        </row>
        <row r="285">
          <cell r="D285">
            <v>10090056</v>
          </cell>
          <cell r="E285" t="str">
            <v>NARAYANPUR</v>
          </cell>
          <cell r="F285">
            <v>0</v>
          </cell>
          <cell r="G285" t="str">
            <v>MPG</v>
          </cell>
          <cell r="H285" t="str">
            <v>Direct</v>
          </cell>
          <cell r="I285">
            <v>1009</v>
          </cell>
          <cell r="J285" t="str">
            <v>Halsi</v>
          </cell>
          <cell r="K285" t="str">
            <v>Old</v>
          </cell>
          <cell r="L285">
            <v>45614</v>
          </cell>
          <cell r="M285">
            <v>2077.2000000000003</v>
          </cell>
          <cell r="N285">
            <v>81759.08</v>
          </cell>
          <cell r="O285">
            <v>1557.9</v>
          </cell>
          <cell r="P285">
            <v>1973.3400000000001</v>
          </cell>
          <cell r="Q285">
            <v>252.85079559846002</v>
          </cell>
          <cell r="R285">
            <v>2452.7723999999998</v>
          </cell>
          <cell r="S285">
            <v>479.43239999999969</v>
          </cell>
          <cell r="T285">
            <v>207.72000000000003</v>
          </cell>
          <cell r="U285">
            <v>743.52649378557055</v>
          </cell>
          <cell r="V285">
            <v>2833</v>
          </cell>
          <cell r="W285">
            <v>1861</v>
          </cell>
          <cell r="X285">
            <v>0</v>
          </cell>
          <cell r="Y285">
            <v>0</v>
          </cell>
        </row>
        <row r="286">
          <cell r="D286">
            <v>10090058</v>
          </cell>
          <cell r="E286" t="str">
            <v>NAWKADIH</v>
          </cell>
          <cell r="F286">
            <v>0</v>
          </cell>
          <cell r="G286" t="str">
            <v>MPG</v>
          </cell>
          <cell r="H286" t="str">
            <v>Direct</v>
          </cell>
          <cell r="I286">
            <v>1009</v>
          </cell>
          <cell r="J286" t="str">
            <v>Halsi</v>
          </cell>
          <cell r="K286" t="str">
            <v>Old</v>
          </cell>
          <cell r="L286">
            <v>45681</v>
          </cell>
          <cell r="M286">
            <v>2639.5</v>
          </cell>
          <cell r="N286">
            <v>115200.89</v>
          </cell>
          <cell r="O286">
            <v>1979.625</v>
          </cell>
          <cell r="P286">
            <v>2507.5250000000001</v>
          </cell>
          <cell r="Q286">
            <v>0</v>
          </cell>
          <cell r="R286">
            <v>3456.0266999999999</v>
          </cell>
          <cell r="S286">
            <v>948.5016999999998</v>
          </cell>
          <cell r="T286">
            <v>263.95</v>
          </cell>
          <cell r="U286">
            <v>315.25657637775419</v>
          </cell>
          <cell r="V286">
            <v>3908</v>
          </cell>
          <cell r="W286">
            <v>2304.0178000000001</v>
          </cell>
          <cell r="X286">
            <v>0</v>
          </cell>
          <cell r="Y286">
            <v>528</v>
          </cell>
        </row>
        <row r="287">
          <cell r="D287">
            <v>10090060</v>
          </cell>
          <cell r="E287" t="str">
            <v xml:space="preserve">KHARAGWADA </v>
          </cell>
          <cell r="F287">
            <v>0</v>
          </cell>
          <cell r="G287" t="str">
            <v>MPG</v>
          </cell>
          <cell r="H287" t="str">
            <v>Direct</v>
          </cell>
          <cell r="I287">
            <v>1009</v>
          </cell>
          <cell r="J287" t="str">
            <v>Halsi</v>
          </cell>
          <cell r="K287" t="str">
            <v>Old</v>
          </cell>
          <cell r="L287">
            <v>45707</v>
          </cell>
          <cell r="M287">
            <v>857.79999999999984</v>
          </cell>
          <cell r="N287">
            <v>33399.199999999997</v>
          </cell>
          <cell r="O287">
            <v>643.34999999999991</v>
          </cell>
          <cell r="P287">
            <v>814.90999999999985</v>
          </cell>
          <cell r="Q287">
            <v>0</v>
          </cell>
          <cell r="R287">
            <v>1001.9759999999999</v>
          </cell>
          <cell r="S287">
            <v>187.06600000000003</v>
          </cell>
          <cell r="T287">
            <v>85.779999999999987</v>
          </cell>
          <cell r="U287">
            <v>1372.5550852136453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</row>
        <row r="288">
          <cell r="D288">
            <v>10090061</v>
          </cell>
          <cell r="E288" t="str">
            <v>UFFAPUR</v>
          </cell>
          <cell r="F288">
            <v>0</v>
          </cell>
          <cell r="G288" t="str">
            <v>MPG</v>
          </cell>
          <cell r="H288" t="str">
            <v>Direct</v>
          </cell>
          <cell r="I288">
            <v>1009</v>
          </cell>
          <cell r="J288" t="str">
            <v>Halsi</v>
          </cell>
          <cell r="K288" t="str">
            <v>Old</v>
          </cell>
          <cell r="L288">
            <v>45722</v>
          </cell>
          <cell r="M288">
            <v>758.5</v>
          </cell>
          <cell r="N288">
            <v>31774.100000000002</v>
          </cell>
          <cell r="O288">
            <v>568.875</v>
          </cell>
          <cell r="P288">
            <v>720.57499999999993</v>
          </cell>
          <cell r="Q288">
            <v>0</v>
          </cell>
          <cell r="R288">
            <v>953.22300000000007</v>
          </cell>
          <cell r="S288">
            <v>232.64800000000014</v>
          </cell>
          <cell r="T288">
            <v>75.850000000000009</v>
          </cell>
          <cell r="U288">
            <v>1213.7649904171576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D289">
            <v>10090063</v>
          </cell>
          <cell r="E289" t="str">
            <v>BIHRAURA</v>
          </cell>
          <cell r="F289">
            <v>0</v>
          </cell>
          <cell r="G289" t="str">
            <v>MPG</v>
          </cell>
          <cell r="H289" t="str">
            <v>Direct</v>
          </cell>
          <cell r="I289">
            <v>1009</v>
          </cell>
          <cell r="J289" t="str">
            <v>Halsi</v>
          </cell>
          <cell r="K289" t="str">
            <v>Old</v>
          </cell>
          <cell r="L289">
            <v>45745</v>
          </cell>
          <cell r="M289">
            <v>564.5</v>
          </cell>
          <cell r="N289">
            <v>24931.079999999998</v>
          </cell>
          <cell r="O289">
            <v>423.375</v>
          </cell>
          <cell r="P289">
            <v>536.27499999999998</v>
          </cell>
          <cell r="Q289">
            <v>0</v>
          </cell>
          <cell r="R289">
            <v>747.93239999999992</v>
          </cell>
          <cell r="S289">
            <v>211.65739999999994</v>
          </cell>
          <cell r="T289">
            <v>56.45</v>
          </cell>
          <cell r="U289">
            <v>902.92520868176189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D290">
            <v>10090064</v>
          </cell>
          <cell r="E290" t="str">
            <v>SHIJHORI</v>
          </cell>
          <cell r="F290">
            <v>0</v>
          </cell>
          <cell r="G290" t="str">
            <v>MPG</v>
          </cell>
          <cell r="H290" t="str">
            <v>Direct</v>
          </cell>
          <cell r="I290">
            <v>1009</v>
          </cell>
          <cell r="J290" t="str">
            <v>Halsi</v>
          </cell>
          <cell r="K290" t="str">
            <v>Old</v>
          </cell>
          <cell r="L290">
            <v>45745</v>
          </cell>
          <cell r="M290">
            <v>1664.9</v>
          </cell>
          <cell r="N290">
            <v>65801.02</v>
          </cell>
          <cell r="O290">
            <v>1248.6750000000002</v>
          </cell>
          <cell r="P290">
            <v>1581.655</v>
          </cell>
          <cell r="Q290">
            <v>0</v>
          </cell>
          <cell r="R290">
            <v>1974.0306</v>
          </cell>
          <cell r="S290">
            <v>392.37560000000008</v>
          </cell>
          <cell r="T290">
            <v>166.49</v>
          </cell>
          <cell r="U290">
            <v>1053.8237202962091</v>
          </cell>
          <cell r="V290">
            <v>1610</v>
          </cell>
          <cell r="W290">
            <v>1610</v>
          </cell>
          <cell r="X290">
            <v>0</v>
          </cell>
          <cell r="Y290">
            <v>0</v>
          </cell>
        </row>
        <row r="291">
          <cell r="D291">
            <v>10090065</v>
          </cell>
          <cell r="E291" t="str">
            <v>RAM PRAVESH YADAV</v>
          </cell>
          <cell r="F291">
            <v>0</v>
          </cell>
          <cell r="G291" t="str">
            <v>MPG</v>
          </cell>
          <cell r="H291" t="str">
            <v>Direct</v>
          </cell>
          <cell r="I291">
            <v>1009</v>
          </cell>
          <cell r="J291" t="str">
            <v>Halsi</v>
          </cell>
          <cell r="K291" t="str">
            <v>Old</v>
          </cell>
          <cell r="L291">
            <v>45796</v>
          </cell>
          <cell r="M291">
            <v>2034.4999999999998</v>
          </cell>
          <cell r="N291">
            <v>77971.290000000008</v>
          </cell>
          <cell r="O291">
            <v>1525.8749999999998</v>
          </cell>
          <cell r="P291">
            <v>1932.7749999999996</v>
          </cell>
          <cell r="Q291">
            <v>0</v>
          </cell>
          <cell r="R291">
            <v>2339.1387</v>
          </cell>
          <cell r="S291">
            <v>406.36370000000034</v>
          </cell>
          <cell r="T291">
            <v>203.45</v>
          </cell>
          <cell r="U291">
            <v>739.8979332607189</v>
          </cell>
          <cell r="V291">
            <v>2515</v>
          </cell>
          <cell r="W291">
            <v>1861</v>
          </cell>
          <cell r="X291">
            <v>0</v>
          </cell>
          <cell r="Y291">
            <v>0</v>
          </cell>
        </row>
        <row r="292">
          <cell r="D292">
            <v>10090066</v>
          </cell>
          <cell r="E292" t="str">
            <v>KRAUTA</v>
          </cell>
          <cell r="F292">
            <v>0</v>
          </cell>
          <cell r="G292" t="str">
            <v>MPG</v>
          </cell>
          <cell r="H292" t="str">
            <v>Direct</v>
          </cell>
          <cell r="I292">
            <v>1009</v>
          </cell>
          <cell r="J292" t="str">
            <v>Halsi</v>
          </cell>
          <cell r="K292" t="str">
            <v>Old</v>
          </cell>
          <cell r="L292">
            <v>45872</v>
          </cell>
          <cell r="M292">
            <v>309.5</v>
          </cell>
          <cell r="N292">
            <v>13238.250000000002</v>
          </cell>
          <cell r="O292">
            <v>232.125</v>
          </cell>
          <cell r="P292">
            <v>294.02499999999998</v>
          </cell>
          <cell r="Q292">
            <v>0</v>
          </cell>
          <cell r="R292">
            <v>397.14750000000004</v>
          </cell>
          <cell r="S292">
            <v>103.12250000000006</v>
          </cell>
          <cell r="T292">
            <v>30.950000000000003</v>
          </cell>
          <cell r="U292">
            <v>495.57727319523747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</row>
        <row r="293">
          <cell r="D293">
            <v>10100001</v>
          </cell>
          <cell r="E293" t="str">
            <v>Vishan Pur</v>
          </cell>
          <cell r="F293">
            <v>0</v>
          </cell>
          <cell r="G293" t="str">
            <v>MPG</v>
          </cell>
          <cell r="H293" t="str">
            <v>Direct</v>
          </cell>
          <cell r="I293">
            <v>1010</v>
          </cell>
          <cell r="J293" t="str">
            <v>Parbatta</v>
          </cell>
          <cell r="K293" t="str">
            <v>Old</v>
          </cell>
          <cell r="L293">
            <v>43020</v>
          </cell>
          <cell r="M293">
            <v>3313.4</v>
          </cell>
          <cell r="N293">
            <v>127790.79000000001</v>
          </cell>
          <cell r="O293">
            <v>2485.0500000000002</v>
          </cell>
          <cell r="P293">
            <v>3147.73</v>
          </cell>
          <cell r="Q293">
            <v>975.3633374760002</v>
          </cell>
          <cell r="R293">
            <v>3833.7237</v>
          </cell>
          <cell r="S293">
            <v>685.99369999999999</v>
          </cell>
          <cell r="T293">
            <v>331.34000000000003</v>
          </cell>
          <cell r="U293">
            <v>4.4029942386831236</v>
          </cell>
          <cell r="V293">
            <v>6272</v>
          </cell>
          <cell r="W293">
            <v>2555.8158000000003</v>
          </cell>
          <cell r="X293">
            <v>0</v>
          </cell>
          <cell r="Y293">
            <v>0</v>
          </cell>
        </row>
        <row r="294">
          <cell r="D294">
            <v>10100003</v>
          </cell>
          <cell r="E294" t="str">
            <v>Gomukh Madhawpur</v>
          </cell>
          <cell r="F294">
            <v>0</v>
          </cell>
          <cell r="G294" t="str">
            <v>MPG</v>
          </cell>
          <cell r="H294" t="str">
            <v>Direct</v>
          </cell>
          <cell r="I294">
            <v>1010</v>
          </cell>
          <cell r="J294" t="str">
            <v>Parbatta</v>
          </cell>
          <cell r="K294" t="str">
            <v>Old</v>
          </cell>
          <cell r="L294">
            <v>44974</v>
          </cell>
          <cell r="M294">
            <v>7419.7999999999993</v>
          </cell>
          <cell r="N294">
            <v>285958.27</v>
          </cell>
          <cell r="O294">
            <v>5564.8499999999995</v>
          </cell>
          <cell r="P294">
            <v>7048.8099999999986</v>
          </cell>
          <cell r="Q294">
            <v>1232.3954164369998</v>
          </cell>
          <cell r="R294">
            <v>8578.7481000000007</v>
          </cell>
          <cell r="S294">
            <v>1529.9381000000021</v>
          </cell>
          <cell r="T294">
            <v>741.98</v>
          </cell>
          <cell r="U294">
            <v>0</v>
          </cell>
          <cell r="V294">
            <v>13104</v>
          </cell>
          <cell r="W294">
            <v>0</v>
          </cell>
          <cell r="X294">
            <v>0</v>
          </cell>
          <cell r="Y294">
            <v>0</v>
          </cell>
        </row>
        <row r="295">
          <cell r="D295">
            <v>10100009</v>
          </cell>
          <cell r="E295" t="str">
            <v>Gomukh Kanhaiyachak Pachhim</v>
          </cell>
          <cell r="F295">
            <v>0</v>
          </cell>
          <cell r="G295" t="str">
            <v>MPG</v>
          </cell>
          <cell r="H295" t="str">
            <v>Direct</v>
          </cell>
          <cell r="I295">
            <v>1010</v>
          </cell>
          <cell r="J295" t="str">
            <v>Parbatta</v>
          </cell>
          <cell r="K295" t="str">
            <v>Old</v>
          </cell>
          <cell r="L295">
            <v>45012</v>
          </cell>
          <cell r="M295">
            <v>5906.7999999999993</v>
          </cell>
          <cell r="N295">
            <v>244523.61000000004</v>
          </cell>
          <cell r="O295">
            <v>4430.0999999999995</v>
          </cell>
          <cell r="P295">
            <v>5611.4599999999991</v>
          </cell>
          <cell r="Q295">
            <v>0</v>
          </cell>
          <cell r="R295">
            <v>7335.7083000000011</v>
          </cell>
          <cell r="S295">
            <v>1724.248300000002</v>
          </cell>
          <cell r="T295">
            <v>590.67999999999995</v>
          </cell>
          <cell r="U295">
            <v>0</v>
          </cell>
          <cell r="V295">
            <v>9451</v>
          </cell>
          <cell r="W295">
            <v>0</v>
          </cell>
          <cell r="X295">
            <v>4890.4722000000011</v>
          </cell>
          <cell r="Y295">
            <v>0</v>
          </cell>
        </row>
        <row r="296">
          <cell r="D296">
            <v>10100014</v>
          </cell>
          <cell r="E296" t="str">
            <v>Gomukh Srirampur Thuthi</v>
          </cell>
          <cell r="F296">
            <v>0</v>
          </cell>
          <cell r="G296" t="str">
            <v>MPG</v>
          </cell>
          <cell r="H296" t="str">
            <v>Direct</v>
          </cell>
          <cell r="I296">
            <v>1010</v>
          </cell>
          <cell r="J296" t="str">
            <v>Parbatta</v>
          </cell>
          <cell r="K296" t="str">
            <v>Old</v>
          </cell>
          <cell r="L296">
            <v>45016</v>
          </cell>
          <cell r="M296">
            <v>1586.1999999999998</v>
          </cell>
          <cell r="N296">
            <v>66049.009999999995</v>
          </cell>
          <cell r="O296">
            <v>1189.6499999999999</v>
          </cell>
          <cell r="P296">
            <v>1506.8899999999996</v>
          </cell>
          <cell r="Q296">
            <v>0</v>
          </cell>
          <cell r="R296">
            <v>1981.4702999999997</v>
          </cell>
          <cell r="S296">
            <v>474.58030000000008</v>
          </cell>
          <cell r="T296">
            <v>158.62</v>
          </cell>
          <cell r="U296">
            <v>1167.5381667000752</v>
          </cell>
          <cell r="V296">
            <v>1370</v>
          </cell>
          <cell r="W296">
            <v>861</v>
          </cell>
          <cell r="X296">
            <v>0</v>
          </cell>
          <cell r="Y296">
            <v>0</v>
          </cell>
        </row>
        <row r="297">
          <cell r="D297">
            <v>10100021</v>
          </cell>
          <cell r="E297" t="str">
            <v xml:space="preserve">Gomukh Bandahera                                                                                    </v>
          </cell>
          <cell r="F297">
            <v>0</v>
          </cell>
          <cell r="G297" t="str">
            <v>MPG</v>
          </cell>
          <cell r="H297" t="str">
            <v>Direct</v>
          </cell>
          <cell r="I297">
            <v>1010</v>
          </cell>
          <cell r="J297" t="str">
            <v>Parbatta</v>
          </cell>
          <cell r="K297" t="str">
            <v>Old</v>
          </cell>
          <cell r="L297">
            <v>45017</v>
          </cell>
          <cell r="M297">
            <v>2872.2999999999997</v>
          </cell>
          <cell r="N297">
            <v>115924.91</v>
          </cell>
          <cell r="O297">
            <v>2154.2249999999999</v>
          </cell>
          <cell r="P297">
            <v>2728.6849999999995</v>
          </cell>
          <cell r="Q297">
            <v>87.095950920000007</v>
          </cell>
          <cell r="R297">
            <v>3477.7473</v>
          </cell>
          <cell r="S297">
            <v>749.0623000000005</v>
          </cell>
          <cell r="T297">
            <v>287.22999999999996</v>
          </cell>
          <cell r="U297">
            <v>312.5963406000082</v>
          </cell>
          <cell r="V297">
            <v>4370</v>
          </cell>
          <cell r="W297">
            <v>0</v>
          </cell>
          <cell r="X297">
            <v>2318.4982</v>
          </cell>
          <cell r="Y297">
            <v>2052</v>
          </cell>
        </row>
        <row r="298">
          <cell r="D298">
            <v>10100033</v>
          </cell>
          <cell r="E298" t="str">
            <v>Gomukh Basudevpur</v>
          </cell>
          <cell r="F298">
            <v>0</v>
          </cell>
          <cell r="G298" t="str">
            <v>vlc</v>
          </cell>
          <cell r="H298" t="str">
            <v>Indirect</v>
          </cell>
          <cell r="I298">
            <v>1007</v>
          </cell>
          <cell r="J298" t="str">
            <v>Araria</v>
          </cell>
          <cell r="K298" t="str">
            <v>Old</v>
          </cell>
          <cell r="L298">
            <v>45238</v>
          </cell>
          <cell r="M298">
            <v>613.29999999999995</v>
          </cell>
          <cell r="N298">
            <v>21166.230000000003</v>
          </cell>
          <cell r="O298">
            <v>459.97499999999997</v>
          </cell>
          <cell r="P298">
            <v>582.63499999999988</v>
          </cell>
          <cell r="Q298">
            <v>0</v>
          </cell>
          <cell r="R298">
            <v>634.98690000000011</v>
          </cell>
          <cell r="S298">
            <v>52.351900000000228</v>
          </cell>
          <cell r="T298">
            <v>61.33</v>
          </cell>
          <cell r="U298">
            <v>981.76181240456799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D299">
            <v>10100035</v>
          </cell>
          <cell r="E299" t="str">
            <v>Gomukh Fudkichak</v>
          </cell>
          <cell r="F299">
            <v>0</v>
          </cell>
          <cell r="G299" t="str">
            <v>MPG</v>
          </cell>
          <cell r="H299" t="str">
            <v>Direct</v>
          </cell>
          <cell r="I299">
            <v>1007</v>
          </cell>
          <cell r="J299" t="str">
            <v>Araria</v>
          </cell>
          <cell r="K299" t="str">
            <v>Old</v>
          </cell>
          <cell r="L299">
            <v>45238</v>
          </cell>
          <cell r="M299">
            <v>805.4</v>
          </cell>
          <cell r="N299">
            <v>34594.829999999994</v>
          </cell>
          <cell r="O299">
            <v>604.04999999999995</v>
          </cell>
          <cell r="P299">
            <v>765.13</v>
          </cell>
          <cell r="Q299">
            <v>0</v>
          </cell>
          <cell r="R299">
            <v>1037.8448999999998</v>
          </cell>
          <cell r="S299">
            <v>272.71489999999983</v>
          </cell>
          <cell r="T299">
            <v>80.540000000000006</v>
          </cell>
          <cell r="U299">
            <v>1288.3847199277279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>
            <v>10100037</v>
          </cell>
          <cell r="E300" t="str">
            <v>Gomukh Tehay</v>
          </cell>
          <cell r="F300">
            <v>0</v>
          </cell>
          <cell r="G300" t="str">
            <v>MPG</v>
          </cell>
          <cell r="H300" t="str">
            <v>Direct</v>
          </cell>
          <cell r="I300">
            <v>1007</v>
          </cell>
          <cell r="J300" t="str">
            <v>Araria</v>
          </cell>
          <cell r="K300" t="str">
            <v>Old</v>
          </cell>
          <cell r="L300">
            <v>45260</v>
          </cell>
          <cell r="M300">
            <v>725</v>
          </cell>
          <cell r="N300">
            <v>34380.76</v>
          </cell>
          <cell r="O300">
            <v>543.75</v>
          </cell>
          <cell r="P300">
            <v>688.75</v>
          </cell>
          <cell r="Q300">
            <v>2.8539832724500007</v>
          </cell>
          <cell r="R300">
            <v>1031.4228000000001</v>
          </cell>
          <cell r="S300">
            <v>342.67280000000005</v>
          </cell>
          <cell r="T300">
            <v>72.5</v>
          </cell>
          <cell r="U300">
            <v>1162.9729772317328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>
            <v>10100045</v>
          </cell>
          <cell r="E301" t="str">
            <v>Gomukh Krochaka Dudhela</v>
          </cell>
          <cell r="F301">
            <v>0</v>
          </cell>
          <cell r="G301" t="str">
            <v>MPG</v>
          </cell>
          <cell r="H301" t="str">
            <v>Direct</v>
          </cell>
          <cell r="I301">
            <v>1010</v>
          </cell>
          <cell r="J301" t="str">
            <v>Parbatta</v>
          </cell>
          <cell r="K301" t="str">
            <v>Old</v>
          </cell>
          <cell r="L301">
            <v>45471</v>
          </cell>
          <cell r="M301">
            <v>3179.2</v>
          </cell>
          <cell r="N301">
            <v>119130.78000000001</v>
          </cell>
          <cell r="O301">
            <v>2384.3999999999996</v>
          </cell>
          <cell r="P301">
            <v>3020.24</v>
          </cell>
          <cell r="Q301">
            <v>511.50971163600013</v>
          </cell>
          <cell r="R301">
            <v>3573.9234000000001</v>
          </cell>
          <cell r="S301">
            <v>553.68340000000035</v>
          </cell>
          <cell r="T301">
            <v>317.92</v>
          </cell>
          <cell r="U301">
            <v>326.85285987654322</v>
          </cell>
          <cell r="V301">
            <v>5271</v>
          </cell>
          <cell r="W301">
            <v>2382.6156000000005</v>
          </cell>
          <cell r="X301">
            <v>0</v>
          </cell>
          <cell r="Y301">
            <v>0</v>
          </cell>
        </row>
        <row r="302">
          <cell r="D302">
            <v>10100049</v>
          </cell>
          <cell r="E302" t="str">
            <v>Gomukh Govind Pur</v>
          </cell>
          <cell r="F302">
            <v>0</v>
          </cell>
          <cell r="G302" t="str">
            <v>MPG</v>
          </cell>
          <cell r="H302" t="str">
            <v>Direct</v>
          </cell>
          <cell r="I302">
            <v>1007</v>
          </cell>
          <cell r="J302" t="str">
            <v>Araria</v>
          </cell>
          <cell r="K302" t="str">
            <v>Old</v>
          </cell>
          <cell r="L302">
            <v>45562</v>
          </cell>
          <cell r="M302">
            <v>1803.8</v>
          </cell>
          <cell r="N302">
            <v>63699.020000000004</v>
          </cell>
          <cell r="O302">
            <v>1352.85</v>
          </cell>
          <cell r="P302">
            <v>1713.61</v>
          </cell>
          <cell r="Q302">
            <v>61.672152960000027</v>
          </cell>
          <cell r="R302">
            <v>1910.9706000000001</v>
          </cell>
          <cell r="S302">
            <v>197.3606000000002</v>
          </cell>
          <cell r="T302">
            <v>180.38</v>
          </cell>
          <cell r="U302">
            <v>876.05453392732431</v>
          </cell>
          <cell r="V302">
            <v>2072</v>
          </cell>
          <cell r="W302">
            <v>1861</v>
          </cell>
          <cell r="X302">
            <v>0</v>
          </cell>
          <cell r="Y302">
            <v>0</v>
          </cell>
        </row>
        <row r="303">
          <cell r="D303">
            <v>10100051</v>
          </cell>
          <cell r="E303" t="str">
            <v>Gomukh Sondiha</v>
          </cell>
          <cell r="F303">
            <v>0</v>
          </cell>
          <cell r="G303" t="str">
            <v>MPG</v>
          </cell>
          <cell r="H303" t="str">
            <v>Direct</v>
          </cell>
          <cell r="I303">
            <v>1007</v>
          </cell>
          <cell r="J303" t="str">
            <v>Araria</v>
          </cell>
          <cell r="K303" t="str">
            <v>Old</v>
          </cell>
          <cell r="L303">
            <v>45556</v>
          </cell>
          <cell r="M303">
            <v>4834.3999999999996</v>
          </cell>
          <cell r="N303">
            <v>185507.36</v>
          </cell>
          <cell r="O303">
            <v>3625.7999999999997</v>
          </cell>
          <cell r="P303">
            <v>4592.6799999999994</v>
          </cell>
          <cell r="Q303">
            <v>0</v>
          </cell>
          <cell r="R303">
            <v>5565.2207999999991</v>
          </cell>
          <cell r="S303">
            <v>972.54079999999976</v>
          </cell>
          <cell r="T303">
            <v>483.44</v>
          </cell>
          <cell r="U303">
            <v>0</v>
          </cell>
          <cell r="V303">
            <v>7735</v>
          </cell>
          <cell r="W303">
            <v>3710.1471999999999</v>
          </cell>
          <cell r="X303">
            <v>0</v>
          </cell>
          <cell r="Y303">
            <v>0</v>
          </cell>
        </row>
        <row r="304">
          <cell r="D304">
            <v>10100054</v>
          </cell>
          <cell r="E304" t="str">
            <v>Gomukh Thebhay B</v>
          </cell>
          <cell r="F304">
            <v>0</v>
          </cell>
          <cell r="G304" t="str">
            <v>MPG</v>
          </cell>
          <cell r="H304" t="str">
            <v>Direct</v>
          </cell>
          <cell r="I304">
            <v>1007</v>
          </cell>
          <cell r="J304" t="str">
            <v>Araria</v>
          </cell>
          <cell r="K304" t="str">
            <v>Old</v>
          </cell>
          <cell r="L304">
            <v>45657</v>
          </cell>
          <cell r="M304">
            <v>1391</v>
          </cell>
          <cell r="N304">
            <v>57635.929999999993</v>
          </cell>
          <cell r="O304">
            <v>1043.25</v>
          </cell>
          <cell r="P304">
            <v>1321.45</v>
          </cell>
          <cell r="Q304">
            <v>702.73983520620004</v>
          </cell>
          <cell r="R304">
            <v>1729.0778999999998</v>
          </cell>
          <cell r="S304">
            <v>407.62789999999973</v>
          </cell>
          <cell r="T304">
            <v>139.1</v>
          </cell>
          <cell r="U304">
            <v>1335.3862381931224</v>
          </cell>
          <cell r="V304">
            <v>1593</v>
          </cell>
          <cell r="W304">
            <v>1593</v>
          </cell>
          <cell r="X304">
            <v>0</v>
          </cell>
          <cell r="Y304">
            <v>0</v>
          </cell>
        </row>
        <row r="305">
          <cell r="D305">
            <v>10100060</v>
          </cell>
          <cell r="E305" t="str">
            <v>Gomukh Baisa</v>
          </cell>
          <cell r="F305">
            <v>0</v>
          </cell>
          <cell r="G305" t="str">
            <v>MPG</v>
          </cell>
          <cell r="H305" t="str">
            <v>Direct</v>
          </cell>
          <cell r="I305">
            <v>1007</v>
          </cell>
          <cell r="J305" t="str">
            <v>Araria</v>
          </cell>
          <cell r="K305" t="str">
            <v>Old</v>
          </cell>
          <cell r="L305">
            <v>45657</v>
          </cell>
          <cell r="M305">
            <v>1326.9</v>
          </cell>
          <cell r="N305">
            <v>46228.45</v>
          </cell>
          <cell r="O305">
            <v>995.17500000000007</v>
          </cell>
          <cell r="P305">
            <v>1260.5550000000001</v>
          </cell>
          <cell r="Q305">
            <v>36.50522952</v>
          </cell>
          <cell r="R305">
            <v>1386.8534999999999</v>
          </cell>
          <cell r="S305">
            <v>126.29849999999988</v>
          </cell>
          <cell r="T305">
            <v>132.69000000000003</v>
          </cell>
          <cell r="U305">
            <v>1165.3394168178306</v>
          </cell>
          <cell r="V305">
            <v>994</v>
          </cell>
          <cell r="W305">
            <v>994</v>
          </cell>
          <cell r="X305">
            <v>0</v>
          </cell>
          <cell r="Y305">
            <v>0</v>
          </cell>
        </row>
        <row r="306">
          <cell r="D306">
            <v>10110001</v>
          </cell>
          <cell r="E306" t="str">
            <v>Gomukh Mahendrapur</v>
          </cell>
          <cell r="F306">
            <v>0</v>
          </cell>
          <cell r="G306" t="str">
            <v>MPG</v>
          </cell>
          <cell r="H306" t="str">
            <v>Direct</v>
          </cell>
          <cell r="I306">
            <v>1055</v>
          </cell>
          <cell r="J306" t="str">
            <v>Matihani</v>
          </cell>
          <cell r="K306" t="str">
            <v>Old</v>
          </cell>
          <cell r="L306">
            <v>42979</v>
          </cell>
          <cell r="M306">
            <v>7543.1</v>
          </cell>
          <cell r="N306">
            <v>301310.95</v>
          </cell>
          <cell r="O306">
            <v>5657.3250000000007</v>
          </cell>
          <cell r="P306">
            <v>7165.9449999999997</v>
          </cell>
          <cell r="Q306">
            <v>7077.7688651999997</v>
          </cell>
          <cell r="R306">
            <v>9039.3284999999996</v>
          </cell>
          <cell r="S306">
            <v>1873.3834999999999</v>
          </cell>
          <cell r="T306">
            <v>754.31000000000006</v>
          </cell>
          <cell r="U306">
            <v>0</v>
          </cell>
          <cell r="V306">
            <v>19147</v>
          </cell>
          <cell r="W306">
            <v>0</v>
          </cell>
          <cell r="X306">
            <v>0</v>
          </cell>
          <cell r="Y306">
            <v>1700</v>
          </cell>
        </row>
        <row r="307">
          <cell r="D307">
            <v>10110002</v>
          </cell>
          <cell r="E307" t="str">
            <v>Gomukh Balahpur</v>
          </cell>
          <cell r="F307">
            <v>0</v>
          </cell>
          <cell r="G307" t="str">
            <v>MPG</v>
          </cell>
          <cell r="H307" t="str">
            <v>Direct</v>
          </cell>
          <cell r="I307">
            <v>1055</v>
          </cell>
          <cell r="J307" t="str">
            <v>Matihani</v>
          </cell>
          <cell r="K307" t="str">
            <v>Old</v>
          </cell>
          <cell r="L307">
            <v>42979</v>
          </cell>
          <cell r="M307">
            <v>1062.5999999999999</v>
          </cell>
          <cell r="N307">
            <v>38519.769999999997</v>
          </cell>
          <cell r="O307">
            <v>796.94999999999993</v>
          </cell>
          <cell r="P307">
            <v>1009.4699999999999</v>
          </cell>
          <cell r="Q307">
            <v>0</v>
          </cell>
          <cell r="R307">
            <v>1155.5930999999998</v>
          </cell>
          <cell r="S307">
            <v>146.12309999999991</v>
          </cell>
          <cell r="T307">
            <v>106.25999999999999</v>
          </cell>
          <cell r="U307">
            <v>1407.4165607238344</v>
          </cell>
          <cell r="V307">
            <v>293</v>
          </cell>
          <cell r="W307">
            <v>293</v>
          </cell>
          <cell r="X307">
            <v>0</v>
          </cell>
          <cell r="Y307">
            <v>0</v>
          </cell>
        </row>
        <row r="308">
          <cell r="D308">
            <v>10110004</v>
          </cell>
          <cell r="E308" t="str">
            <v>Gomukh Danauli</v>
          </cell>
          <cell r="F308">
            <v>0</v>
          </cell>
          <cell r="G308" t="str">
            <v>MPG</v>
          </cell>
          <cell r="H308" t="str">
            <v>Direct</v>
          </cell>
          <cell r="I308">
            <v>1011</v>
          </cell>
          <cell r="J308" t="str">
            <v>Sahibpur Kamal</v>
          </cell>
          <cell r="K308" t="str">
            <v>Old</v>
          </cell>
          <cell r="L308">
            <v>42979</v>
          </cell>
          <cell r="M308">
            <v>2484.3000000000002</v>
          </cell>
          <cell r="N308">
            <v>92684.189999999988</v>
          </cell>
          <cell r="O308">
            <v>1863.2250000000001</v>
          </cell>
          <cell r="P308">
            <v>2360.085</v>
          </cell>
          <cell r="Q308">
            <v>216.23552280000004</v>
          </cell>
          <cell r="R308">
            <v>2780.5256999999997</v>
          </cell>
          <cell r="S308">
            <v>420.44069999999965</v>
          </cell>
          <cell r="T308">
            <v>248.43000000000004</v>
          </cell>
          <cell r="U308">
            <v>394.29730019314701</v>
          </cell>
          <cell r="V308">
            <v>3797</v>
          </cell>
          <cell r="W308">
            <v>0</v>
          </cell>
          <cell r="X308">
            <v>0</v>
          </cell>
          <cell r="Y308">
            <v>0</v>
          </cell>
        </row>
        <row r="309">
          <cell r="D309">
            <v>10110005</v>
          </cell>
          <cell r="E309" t="str">
            <v>NAYAGAW</v>
          </cell>
          <cell r="F309">
            <v>0</v>
          </cell>
          <cell r="G309" t="str">
            <v>MPG</v>
          </cell>
          <cell r="H309" t="str">
            <v>Direct</v>
          </cell>
          <cell r="I309">
            <v>1055</v>
          </cell>
          <cell r="J309" t="str">
            <v>Matihani</v>
          </cell>
          <cell r="K309" t="str">
            <v>Old</v>
          </cell>
          <cell r="L309">
            <v>42979</v>
          </cell>
          <cell r="M309">
            <v>18936.100000000002</v>
          </cell>
          <cell r="N309">
            <v>780402.96</v>
          </cell>
          <cell r="O309">
            <v>14202.075000000001</v>
          </cell>
          <cell r="P309">
            <v>17989.295000000002</v>
          </cell>
          <cell r="Q309">
            <v>8736.6489884563907</v>
          </cell>
          <cell r="R309">
            <v>23412.088799999998</v>
          </cell>
          <cell r="S309">
            <v>5422.7937999999958</v>
          </cell>
          <cell r="T309">
            <v>1893.6100000000004</v>
          </cell>
          <cell r="U309">
            <v>0</v>
          </cell>
          <cell r="V309">
            <v>39034</v>
          </cell>
          <cell r="W309">
            <v>0</v>
          </cell>
          <cell r="X309">
            <v>0</v>
          </cell>
          <cell r="Y309">
            <v>0</v>
          </cell>
        </row>
        <row r="310">
          <cell r="D310">
            <v>10110007</v>
          </cell>
          <cell r="E310" t="str">
            <v>Dandari</v>
          </cell>
          <cell r="F310">
            <v>0</v>
          </cell>
          <cell r="G310" t="str">
            <v>MPG</v>
          </cell>
          <cell r="H310" t="str">
            <v>Direct</v>
          </cell>
          <cell r="I310">
            <v>1011</v>
          </cell>
          <cell r="J310" t="str">
            <v>Sahibpur Kamal</v>
          </cell>
          <cell r="K310" t="str">
            <v>Old</v>
          </cell>
          <cell r="L310">
            <v>42979</v>
          </cell>
          <cell r="M310">
            <v>4354.1999999999989</v>
          </cell>
          <cell r="N310">
            <v>157387.10999999999</v>
          </cell>
          <cell r="O310">
            <v>3265.6499999999992</v>
          </cell>
          <cell r="P310">
            <v>4136.4899999999989</v>
          </cell>
          <cell r="Q310">
            <v>397.15699240800006</v>
          </cell>
          <cell r="R310">
            <v>4721.6132999999991</v>
          </cell>
          <cell r="S310">
            <v>585.1233000000002</v>
          </cell>
          <cell r="T310">
            <v>435.4199999999999</v>
          </cell>
          <cell r="U310">
            <v>0</v>
          </cell>
          <cell r="V310">
            <v>7364</v>
          </cell>
          <cell r="W310">
            <v>0</v>
          </cell>
          <cell r="X310">
            <v>0</v>
          </cell>
          <cell r="Y310">
            <v>0</v>
          </cell>
        </row>
        <row r="311">
          <cell r="D311">
            <v>10110008</v>
          </cell>
          <cell r="E311" t="str">
            <v>Rahimpur Pachkhutti</v>
          </cell>
          <cell r="F311">
            <v>0</v>
          </cell>
          <cell r="G311" t="str">
            <v>MPG</v>
          </cell>
          <cell r="H311" t="str">
            <v>Direct</v>
          </cell>
          <cell r="I311">
            <v>1011</v>
          </cell>
          <cell r="J311" t="str">
            <v>Sahibpur Kamal</v>
          </cell>
          <cell r="K311" t="str">
            <v>Old</v>
          </cell>
          <cell r="L311">
            <v>42979</v>
          </cell>
          <cell r="M311">
            <v>33029.899999999994</v>
          </cell>
          <cell r="N311">
            <v>1272392.96</v>
          </cell>
          <cell r="O311">
            <v>24772.424999999996</v>
          </cell>
          <cell r="P311">
            <v>31378.404999999992</v>
          </cell>
          <cell r="Q311">
            <v>0</v>
          </cell>
          <cell r="R311">
            <v>38171.788799999995</v>
          </cell>
          <cell r="S311">
            <v>6793.3838000000032</v>
          </cell>
          <cell r="T311">
            <v>3302.99</v>
          </cell>
          <cell r="U311">
            <v>0</v>
          </cell>
          <cell r="V311">
            <v>52848</v>
          </cell>
          <cell r="W311">
            <v>0</v>
          </cell>
          <cell r="X311">
            <v>0</v>
          </cell>
          <cell r="Y311">
            <v>0</v>
          </cell>
        </row>
        <row r="312">
          <cell r="D312">
            <v>10110013</v>
          </cell>
          <cell r="E312" t="str">
            <v xml:space="preserve">Gomukh Mohanpur                                                                                     </v>
          </cell>
          <cell r="F312">
            <v>0</v>
          </cell>
          <cell r="G312" t="str">
            <v>MPG</v>
          </cell>
          <cell r="H312" t="str">
            <v>Direct</v>
          </cell>
          <cell r="I312">
            <v>1011</v>
          </cell>
          <cell r="J312" t="str">
            <v>Sahibpur Kamal</v>
          </cell>
          <cell r="K312" t="str">
            <v>Old</v>
          </cell>
          <cell r="L312">
            <v>44681</v>
          </cell>
          <cell r="M312">
            <v>4730.3</v>
          </cell>
          <cell r="N312">
            <v>174461.99999999997</v>
          </cell>
          <cell r="O312">
            <v>3547.7250000000004</v>
          </cell>
          <cell r="P312">
            <v>4493.7849999999999</v>
          </cell>
          <cell r="Q312">
            <v>292.58642556000001</v>
          </cell>
          <cell r="R312">
            <v>5233.8599999999988</v>
          </cell>
          <cell r="S312">
            <v>740.07499999999891</v>
          </cell>
          <cell r="T312">
            <v>473.03000000000003</v>
          </cell>
          <cell r="U312">
            <v>0</v>
          </cell>
          <cell r="V312">
            <v>7861</v>
          </cell>
          <cell r="W312">
            <v>0</v>
          </cell>
          <cell r="X312">
            <v>0</v>
          </cell>
          <cell r="Y312">
            <v>0</v>
          </cell>
        </row>
        <row r="313">
          <cell r="D313">
            <v>10110014</v>
          </cell>
          <cell r="E313" t="str">
            <v>Gomukh Raghunathpur</v>
          </cell>
          <cell r="F313">
            <v>0</v>
          </cell>
          <cell r="G313" t="str">
            <v>MPG</v>
          </cell>
          <cell r="H313" t="str">
            <v>Direct</v>
          </cell>
          <cell r="I313">
            <v>1011</v>
          </cell>
          <cell r="J313" t="str">
            <v>Sahibpur Kamal</v>
          </cell>
          <cell r="K313" t="str">
            <v>Old</v>
          </cell>
          <cell r="L313">
            <v>44681</v>
          </cell>
          <cell r="M313">
            <v>5002.2</v>
          </cell>
          <cell r="N313">
            <v>236421.44999999998</v>
          </cell>
          <cell r="O313">
            <v>3751.6499999999996</v>
          </cell>
          <cell r="P313">
            <v>4752.0899999999992</v>
          </cell>
          <cell r="Q313">
            <v>3862.4650035749005</v>
          </cell>
          <cell r="R313">
            <v>7092.6434999999992</v>
          </cell>
          <cell r="S313">
            <v>2340.5535</v>
          </cell>
          <cell r="T313">
            <v>500.22</v>
          </cell>
          <cell r="U313">
            <v>0</v>
          </cell>
          <cell r="V313">
            <v>11866</v>
          </cell>
          <cell r="W313">
            <v>0</v>
          </cell>
          <cell r="X313">
            <v>0</v>
          </cell>
          <cell r="Y313">
            <v>0</v>
          </cell>
        </row>
        <row r="314">
          <cell r="D314">
            <v>10110015</v>
          </cell>
          <cell r="E314" t="str">
            <v>Gomukh Chhitraur</v>
          </cell>
          <cell r="F314">
            <v>0</v>
          </cell>
          <cell r="G314" t="str">
            <v>MPG</v>
          </cell>
          <cell r="H314" t="str">
            <v>Direct</v>
          </cell>
          <cell r="I314">
            <v>1055</v>
          </cell>
          <cell r="J314" t="str">
            <v>Matihani</v>
          </cell>
          <cell r="K314" t="str">
            <v>Old</v>
          </cell>
          <cell r="L314">
            <v>44694</v>
          </cell>
          <cell r="M314">
            <v>4347</v>
          </cell>
          <cell r="N314">
            <v>178390.51</v>
          </cell>
          <cell r="O314">
            <v>3260.25</v>
          </cell>
          <cell r="P314">
            <v>4129.6499999999996</v>
          </cell>
          <cell r="Q314">
            <v>0</v>
          </cell>
          <cell r="R314">
            <v>5351.7152999999998</v>
          </cell>
          <cell r="S314">
            <v>1222.0653000000002</v>
          </cell>
          <cell r="T314">
            <v>434.70000000000005</v>
          </cell>
          <cell r="U314">
            <v>0</v>
          </cell>
          <cell r="V314">
            <v>6955</v>
          </cell>
          <cell r="W314">
            <v>0</v>
          </cell>
          <cell r="X314">
            <v>0</v>
          </cell>
          <cell r="Y314">
            <v>0</v>
          </cell>
        </row>
        <row r="315">
          <cell r="D315">
            <v>10110016</v>
          </cell>
          <cell r="E315" t="str">
            <v>Gomukh Khorampur Chakaur</v>
          </cell>
          <cell r="F315">
            <v>0</v>
          </cell>
          <cell r="G315" t="str">
            <v>MPG</v>
          </cell>
          <cell r="H315" t="str">
            <v>Direct</v>
          </cell>
          <cell r="I315">
            <v>1055</v>
          </cell>
          <cell r="J315" t="str">
            <v>Matihani</v>
          </cell>
          <cell r="K315" t="str">
            <v>Old</v>
          </cell>
          <cell r="L315">
            <v>44694</v>
          </cell>
          <cell r="M315">
            <v>2854.2</v>
          </cell>
          <cell r="N315">
            <v>115550.92</v>
          </cell>
          <cell r="O315">
            <v>2140.6499999999996</v>
          </cell>
          <cell r="P315">
            <v>2711.49</v>
          </cell>
          <cell r="Q315">
            <v>557.78567683400001</v>
          </cell>
          <cell r="R315">
            <v>3466.5275999999999</v>
          </cell>
          <cell r="S315">
            <v>755.03760000000011</v>
          </cell>
          <cell r="T315">
            <v>285.42</v>
          </cell>
          <cell r="U315">
            <v>263.09045025698833</v>
          </cell>
          <cell r="V315">
            <v>4861</v>
          </cell>
          <cell r="W315">
            <v>0</v>
          </cell>
          <cell r="X315">
            <v>0</v>
          </cell>
          <cell r="Y315">
            <v>0</v>
          </cell>
        </row>
        <row r="316">
          <cell r="D316">
            <v>10110021</v>
          </cell>
          <cell r="E316" t="str">
            <v>GOMUKH Mathar</v>
          </cell>
          <cell r="F316">
            <v>0</v>
          </cell>
          <cell r="G316" t="str">
            <v>MPG</v>
          </cell>
          <cell r="H316" t="str">
            <v>Direct</v>
          </cell>
          <cell r="I316">
            <v>1011</v>
          </cell>
          <cell r="J316" t="str">
            <v>Sahibpur Kamal</v>
          </cell>
          <cell r="K316" t="str">
            <v>Old</v>
          </cell>
          <cell r="L316">
            <v>44759</v>
          </cell>
          <cell r="M316">
            <v>491.20000000000005</v>
          </cell>
          <cell r="N316">
            <v>19451.949999999997</v>
          </cell>
          <cell r="O316">
            <v>368.40000000000003</v>
          </cell>
          <cell r="P316">
            <v>466.64000000000004</v>
          </cell>
          <cell r="Q316">
            <v>543.27902702676909</v>
          </cell>
          <cell r="R316">
            <v>583.55849999999987</v>
          </cell>
          <cell r="S316">
            <v>116.91849999999982</v>
          </cell>
          <cell r="T316">
            <v>49.120000000000005</v>
          </cell>
          <cell r="U316">
            <v>1329.5199688422272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D317">
            <v>10110042</v>
          </cell>
          <cell r="E317" t="str">
            <v>Gomukh Sonapur</v>
          </cell>
          <cell r="F317">
            <v>0</v>
          </cell>
          <cell r="G317" t="str">
            <v>vlc</v>
          </cell>
          <cell r="H317" t="str">
            <v>Indirect</v>
          </cell>
          <cell r="I317">
            <v>1055</v>
          </cell>
          <cell r="J317" t="str">
            <v>Matihani</v>
          </cell>
          <cell r="K317" t="str">
            <v>Old</v>
          </cell>
          <cell r="L317">
            <v>45226</v>
          </cell>
          <cell r="M317">
            <v>1992.6</v>
          </cell>
          <cell r="N317">
            <v>78809.31</v>
          </cell>
          <cell r="O317">
            <v>1494.4499999999998</v>
          </cell>
          <cell r="P317">
            <v>1892.9699999999998</v>
          </cell>
          <cell r="Q317">
            <v>0</v>
          </cell>
          <cell r="R317">
            <v>2364.2792999999997</v>
          </cell>
          <cell r="S317">
            <v>471.30929999999989</v>
          </cell>
          <cell r="T317">
            <v>199.26</v>
          </cell>
          <cell r="U317">
            <v>782.57360516866402</v>
          </cell>
          <cell r="V317">
            <v>2406</v>
          </cell>
          <cell r="W317">
            <v>0</v>
          </cell>
          <cell r="X317">
            <v>0</v>
          </cell>
          <cell r="Y317">
            <v>0</v>
          </cell>
        </row>
        <row r="318">
          <cell r="D318">
            <v>10110043</v>
          </cell>
          <cell r="E318" t="str">
            <v>Gomukh Barkhandi 2</v>
          </cell>
          <cell r="F318">
            <v>0</v>
          </cell>
          <cell r="G318" t="str">
            <v>MPG</v>
          </cell>
          <cell r="H318" t="str">
            <v>Indirect</v>
          </cell>
          <cell r="I318">
            <v>1011</v>
          </cell>
          <cell r="J318" t="str">
            <v>Sahibpur Kamal</v>
          </cell>
          <cell r="K318" t="str">
            <v>Old</v>
          </cell>
          <cell r="L318">
            <v>45226</v>
          </cell>
          <cell r="M318">
            <v>3125.7</v>
          </cell>
          <cell r="N318">
            <v>122294.47</v>
          </cell>
          <cell r="O318">
            <v>2344.2749999999996</v>
          </cell>
          <cell r="P318">
            <v>2969.4149999999995</v>
          </cell>
          <cell r="Q318">
            <v>0</v>
          </cell>
          <cell r="R318">
            <v>3668.8341</v>
          </cell>
          <cell r="S318">
            <v>699.41910000000053</v>
          </cell>
          <cell r="T318">
            <v>312.57</v>
          </cell>
          <cell r="U318">
            <v>253.57803911331007</v>
          </cell>
          <cell r="V318">
            <v>4748</v>
          </cell>
          <cell r="W318">
            <v>0</v>
          </cell>
          <cell r="X318">
            <v>1174.6998000000003</v>
          </cell>
          <cell r="Y318">
            <v>0</v>
          </cell>
        </row>
        <row r="319">
          <cell r="D319">
            <v>10110050</v>
          </cell>
          <cell r="E319" t="str">
            <v xml:space="preserve">Gomukh Fatehpur                                                                                     </v>
          </cell>
          <cell r="F319">
            <v>0</v>
          </cell>
          <cell r="G319" t="str">
            <v>MPG</v>
          </cell>
          <cell r="H319" t="str">
            <v>Direct</v>
          </cell>
          <cell r="I319">
            <v>1011</v>
          </cell>
          <cell r="J319" t="str">
            <v>Sahibpur Kamal</v>
          </cell>
          <cell r="K319" t="str">
            <v>Old</v>
          </cell>
          <cell r="L319">
            <v>45205</v>
          </cell>
          <cell r="M319">
            <v>2196.4</v>
          </cell>
          <cell r="N319">
            <v>94318.62999999999</v>
          </cell>
          <cell r="O319">
            <v>1647.3000000000002</v>
          </cell>
          <cell r="P319">
            <v>2086.58</v>
          </cell>
          <cell r="Q319">
            <v>0</v>
          </cell>
          <cell r="R319">
            <v>2829.5588999999995</v>
          </cell>
          <cell r="S319">
            <v>742.97889999999961</v>
          </cell>
          <cell r="T319">
            <v>219.64000000000001</v>
          </cell>
          <cell r="U319">
            <v>525.70699999999999</v>
          </cell>
          <cell r="V319">
            <v>2989</v>
          </cell>
          <cell r="W319">
            <v>0</v>
          </cell>
          <cell r="X319">
            <v>0</v>
          </cell>
          <cell r="Y319">
            <v>0</v>
          </cell>
        </row>
        <row r="320">
          <cell r="D320">
            <v>10110053</v>
          </cell>
          <cell r="E320" t="str">
            <v>GOMUKH KATAHRI</v>
          </cell>
          <cell r="F320">
            <v>0</v>
          </cell>
          <cell r="G320" t="str">
            <v>MPG</v>
          </cell>
          <cell r="H320" t="str">
            <v>Direct</v>
          </cell>
          <cell r="I320">
            <v>1011</v>
          </cell>
          <cell r="J320" t="str">
            <v>Sahibpur Kamal</v>
          </cell>
          <cell r="K320" t="str">
            <v>Old</v>
          </cell>
          <cell r="L320">
            <v>45323</v>
          </cell>
          <cell r="M320">
            <v>549.5</v>
          </cell>
          <cell r="N320">
            <v>27692.45</v>
          </cell>
          <cell r="O320">
            <v>412.125</v>
          </cell>
          <cell r="P320">
            <v>522.02499999999998</v>
          </cell>
          <cell r="Q320">
            <v>543.31373086940005</v>
          </cell>
          <cell r="R320">
            <v>830.77350000000001</v>
          </cell>
          <cell r="S320">
            <v>308.74850000000004</v>
          </cell>
          <cell r="T320">
            <v>54.95</v>
          </cell>
          <cell r="U320">
            <v>1422.113336224028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D321">
            <v>10110055</v>
          </cell>
          <cell r="E321" t="str">
            <v>GOMUKH Mathar Ward 10</v>
          </cell>
          <cell r="F321">
            <v>0</v>
          </cell>
          <cell r="G321" t="str">
            <v>MPG</v>
          </cell>
          <cell r="H321" t="str">
            <v>Direct</v>
          </cell>
          <cell r="I321">
            <v>1011</v>
          </cell>
          <cell r="J321" t="str">
            <v>Sahibpur Kamal</v>
          </cell>
          <cell r="K321" t="str">
            <v>Old</v>
          </cell>
          <cell r="L321">
            <v>45323</v>
          </cell>
          <cell r="M321">
            <v>3923</v>
          </cell>
          <cell r="N321">
            <v>167916.93000000002</v>
          </cell>
          <cell r="O321">
            <v>2942.25</v>
          </cell>
          <cell r="P321">
            <v>3726.85</v>
          </cell>
          <cell r="Q321">
            <v>275.9147226</v>
          </cell>
          <cell r="R321">
            <v>5037.5079000000005</v>
          </cell>
          <cell r="S321">
            <v>1310.6579000000006</v>
          </cell>
          <cell r="T321">
            <v>392.3</v>
          </cell>
          <cell r="U321">
            <v>0</v>
          </cell>
          <cell r="V321">
            <v>6553</v>
          </cell>
          <cell r="W321">
            <v>3358.3386000000005</v>
          </cell>
          <cell r="X321">
            <v>0</v>
          </cell>
          <cell r="Y321">
            <v>3000</v>
          </cell>
        </row>
        <row r="322">
          <cell r="D322">
            <v>10110057</v>
          </cell>
          <cell r="E322" t="str">
            <v>GOMUKH Tartor 2</v>
          </cell>
          <cell r="F322">
            <v>0</v>
          </cell>
          <cell r="G322" t="str">
            <v>MPG</v>
          </cell>
          <cell r="H322" t="str">
            <v>Direct</v>
          </cell>
          <cell r="I322">
            <v>1011</v>
          </cell>
          <cell r="J322" t="str">
            <v>Sahibpur Kamal</v>
          </cell>
          <cell r="K322" t="str">
            <v>Old</v>
          </cell>
          <cell r="L322">
            <v>45323</v>
          </cell>
          <cell r="M322">
            <v>1458.7</v>
          </cell>
          <cell r="N322">
            <v>64433.42</v>
          </cell>
          <cell r="O322">
            <v>1094.0250000000001</v>
          </cell>
          <cell r="P322">
            <v>1385.7649999999999</v>
          </cell>
          <cell r="Q322">
            <v>0</v>
          </cell>
          <cell r="R322">
            <v>1933.0025999999998</v>
          </cell>
          <cell r="S322">
            <v>547.23759999999993</v>
          </cell>
          <cell r="T322">
            <v>145.87</v>
          </cell>
          <cell r="U322">
            <v>1366.122960394317</v>
          </cell>
          <cell r="V322">
            <v>968</v>
          </cell>
          <cell r="W322">
            <v>968</v>
          </cell>
          <cell r="X322">
            <v>0</v>
          </cell>
          <cell r="Y322">
            <v>0</v>
          </cell>
        </row>
        <row r="323">
          <cell r="D323">
            <v>10110065</v>
          </cell>
          <cell r="E323" t="str">
            <v>Gomukh Chaidha</v>
          </cell>
          <cell r="F323">
            <v>0</v>
          </cell>
          <cell r="G323" t="str">
            <v>MPG</v>
          </cell>
          <cell r="H323" t="str">
            <v>Direct</v>
          </cell>
          <cell r="I323">
            <v>1011</v>
          </cell>
          <cell r="J323" t="str">
            <v>Sahibpur Kamal</v>
          </cell>
          <cell r="K323" t="str">
            <v>Old</v>
          </cell>
          <cell r="L323">
            <v>45323</v>
          </cell>
          <cell r="M323">
            <v>4178.2000000000007</v>
          </cell>
          <cell r="N323">
            <v>160909.22000000003</v>
          </cell>
          <cell r="O323">
            <v>3133.6500000000005</v>
          </cell>
          <cell r="P323">
            <v>3969.2900000000004</v>
          </cell>
          <cell r="Q323">
            <v>720.80059368960008</v>
          </cell>
          <cell r="R323">
            <v>4827.2766000000011</v>
          </cell>
          <cell r="S323">
            <v>857.98660000000064</v>
          </cell>
          <cell r="T323">
            <v>417.82000000000011</v>
          </cell>
          <cell r="U323">
            <v>0</v>
          </cell>
          <cell r="V323">
            <v>7406</v>
          </cell>
          <cell r="W323">
            <v>3218.1844000000006</v>
          </cell>
          <cell r="X323">
            <v>0</v>
          </cell>
          <cell r="Y323">
            <v>0</v>
          </cell>
        </row>
        <row r="324">
          <cell r="D324">
            <v>10110066</v>
          </cell>
          <cell r="E324" t="str">
            <v>Gomukh Bakiya</v>
          </cell>
          <cell r="F324">
            <v>0</v>
          </cell>
          <cell r="G324" t="str">
            <v>MPG</v>
          </cell>
          <cell r="H324" t="str">
            <v>Direct</v>
          </cell>
          <cell r="I324">
            <v>1011</v>
          </cell>
          <cell r="J324" t="str">
            <v>Sahibpur Kamal</v>
          </cell>
          <cell r="K324" t="str">
            <v>Old</v>
          </cell>
          <cell r="L324">
            <v>45323</v>
          </cell>
          <cell r="M324">
            <v>3933.2</v>
          </cell>
          <cell r="N324">
            <v>155698.75</v>
          </cell>
          <cell r="O324">
            <v>2949.8999999999996</v>
          </cell>
          <cell r="P324">
            <v>3736.5399999999995</v>
          </cell>
          <cell r="Q324">
            <v>1047.5948070720001</v>
          </cell>
          <cell r="R324">
            <v>4670.9624999999996</v>
          </cell>
          <cell r="S324">
            <v>934.42250000000013</v>
          </cell>
          <cell r="T324">
            <v>393.32</v>
          </cell>
          <cell r="U324">
            <v>0</v>
          </cell>
          <cell r="V324">
            <v>7341</v>
          </cell>
          <cell r="W324">
            <v>3113.9749999999999</v>
          </cell>
          <cell r="X324">
            <v>0</v>
          </cell>
          <cell r="Y324">
            <v>0</v>
          </cell>
        </row>
        <row r="325">
          <cell r="D325">
            <v>10110071</v>
          </cell>
          <cell r="E325" t="str">
            <v>Gomukh Sadpur</v>
          </cell>
          <cell r="F325">
            <v>0</v>
          </cell>
          <cell r="G325" t="str">
            <v>MPG</v>
          </cell>
          <cell r="H325" t="str">
            <v>Direct</v>
          </cell>
          <cell r="I325">
            <v>1011</v>
          </cell>
          <cell r="J325" t="str">
            <v>Sahibpur Kamal</v>
          </cell>
          <cell r="K325" t="str">
            <v>Old</v>
          </cell>
          <cell r="L325">
            <v>44986</v>
          </cell>
          <cell r="M325">
            <v>32.4</v>
          </cell>
          <cell r="N325">
            <v>1158.0500000000002</v>
          </cell>
          <cell r="O325">
            <v>24.299999999999997</v>
          </cell>
          <cell r="P325">
            <v>30.779999999999998</v>
          </cell>
          <cell r="Q325">
            <v>0</v>
          </cell>
          <cell r="R325">
            <v>34.741500000000002</v>
          </cell>
          <cell r="S325">
            <v>3.9615000000000045</v>
          </cell>
          <cell r="T325">
            <v>3.24</v>
          </cell>
          <cell r="U325">
            <v>52.119555555555621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6">
          <cell r="D326">
            <v>10110073</v>
          </cell>
          <cell r="E326" t="str">
            <v>GOMUKH Nista Tol</v>
          </cell>
          <cell r="F326">
            <v>0</v>
          </cell>
          <cell r="G326" t="str">
            <v>MPG</v>
          </cell>
          <cell r="H326" t="str">
            <v>Direct</v>
          </cell>
          <cell r="I326">
            <v>1011</v>
          </cell>
          <cell r="J326" t="str">
            <v>Sahibpur Kamal</v>
          </cell>
          <cell r="K326" t="str">
            <v>Old</v>
          </cell>
          <cell r="L326">
            <v>45323</v>
          </cell>
          <cell r="M326">
            <v>739.09999999999991</v>
          </cell>
          <cell r="N326">
            <v>33339.990000000005</v>
          </cell>
          <cell r="O326">
            <v>554.32499999999993</v>
          </cell>
          <cell r="P326">
            <v>702.14499999999987</v>
          </cell>
          <cell r="Q326">
            <v>0</v>
          </cell>
          <cell r="R326">
            <v>1000.1997000000001</v>
          </cell>
          <cell r="S326">
            <v>298.05470000000025</v>
          </cell>
          <cell r="T326">
            <v>73.91</v>
          </cell>
          <cell r="U326">
            <v>1182.555207805884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7">
          <cell r="D327">
            <v>10110076</v>
          </cell>
          <cell r="E327" t="str">
            <v>GOMUKH SRINAGAR</v>
          </cell>
          <cell r="F327">
            <v>0</v>
          </cell>
          <cell r="G327" t="str">
            <v>MPG</v>
          </cell>
          <cell r="H327" t="str">
            <v>Direct</v>
          </cell>
          <cell r="I327">
            <v>1011</v>
          </cell>
          <cell r="J327" t="str">
            <v>Sahibpur Kamal</v>
          </cell>
          <cell r="K327" t="str">
            <v>Old</v>
          </cell>
          <cell r="L327">
            <v>45429</v>
          </cell>
          <cell r="M327">
            <v>6367.6</v>
          </cell>
          <cell r="N327">
            <v>259938.09000000003</v>
          </cell>
          <cell r="O327">
            <v>4775.7000000000007</v>
          </cell>
          <cell r="P327">
            <v>6049.22</v>
          </cell>
          <cell r="Q327">
            <v>670.21942322444011</v>
          </cell>
          <cell r="R327">
            <v>7798.1427000000003</v>
          </cell>
          <cell r="S327">
            <v>1748.9227000000001</v>
          </cell>
          <cell r="T327">
            <v>636.7600000000001</v>
          </cell>
          <cell r="U327">
            <v>0</v>
          </cell>
          <cell r="V327">
            <v>10858</v>
          </cell>
          <cell r="W327">
            <v>0</v>
          </cell>
          <cell r="X327">
            <v>0</v>
          </cell>
          <cell r="Y327">
            <v>0</v>
          </cell>
        </row>
        <row r="328">
          <cell r="D328">
            <v>10110078</v>
          </cell>
          <cell r="E328" t="str">
            <v>GOMUKH THATHA</v>
          </cell>
          <cell r="F328">
            <v>0</v>
          </cell>
          <cell r="G328" t="str">
            <v>MPG</v>
          </cell>
          <cell r="H328" t="str">
            <v>Direct</v>
          </cell>
          <cell r="I328">
            <v>1011</v>
          </cell>
          <cell r="J328" t="str">
            <v>Sahibpur Kamal</v>
          </cell>
          <cell r="K328" t="str">
            <v>Old</v>
          </cell>
          <cell r="L328">
            <v>45429</v>
          </cell>
          <cell r="M328">
            <v>1869.7999999999997</v>
          </cell>
          <cell r="N328">
            <v>59948.130000000005</v>
          </cell>
          <cell r="O328">
            <v>1402.35</v>
          </cell>
          <cell r="P328">
            <v>1776.3099999999997</v>
          </cell>
          <cell r="Q328">
            <v>0</v>
          </cell>
          <cell r="R328">
            <v>1798.4439</v>
          </cell>
          <cell r="S328">
            <v>22.133900000000267</v>
          </cell>
          <cell r="T328">
            <v>186.98</v>
          </cell>
          <cell r="U328">
            <v>726.21304485960309</v>
          </cell>
          <cell r="V328">
            <v>2265</v>
          </cell>
          <cell r="W328">
            <v>861</v>
          </cell>
          <cell r="X328">
            <v>0</v>
          </cell>
          <cell r="Y328">
            <v>0</v>
          </cell>
        </row>
        <row r="329">
          <cell r="D329">
            <v>10110083</v>
          </cell>
          <cell r="E329" t="str">
            <v>GOMUKH SANHA NAYATOLA</v>
          </cell>
          <cell r="F329">
            <v>0</v>
          </cell>
          <cell r="G329" t="str">
            <v>MPG</v>
          </cell>
          <cell r="H329" t="str">
            <v>Direct</v>
          </cell>
          <cell r="I329">
            <v>1011</v>
          </cell>
          <cell r="J329" t="str">
            <v>Sahibpur Kamal</v>
          </cell>
          <cell r="K329" t="str">
            <v>Old</v>
          </cell>
          <cell r="L329">
            <v>45477</v>
          </cell>
          <cell r="M329">
            <v>1160.8</v>
          </cell>
          <cell r="N329">
            <v>43920.26</v>
          </cell>
          <cell r="O329">
            <v>870.59999999999991</v>
          </cell>
          <cell r="P329">
            <v>1102.76</v>
          </cell>
          <cell r="Q329">
            <v>0</v>
          </cell>
          <cell r="R329">
            <v>1317.6078</v>
          </cell>
          <cell r="S329">
            <v>214.84780000000001</v>
          </cell>
          <cell r="T329">
            <v>116.08</v>
          </cell>
          <cell r="U329">
            <v>1391.2164058111557</v>
          </cell>
          <cell r="V329">
            <v>466</v>
          </cell>
          <cell r="W329">
            <v>466</v>
          </cell>
          <cell r="X329">
            <v>0</v>
          </cell>
          <cell r="Y329">
            <v>0</v>
          </cell>
        </row>
        <row r="330">
          <cell r="D330">
            <v>10110086</v>
          </cell>
          <cell r="E330" t="str">
            <v>Gomukh Durgapur</v>
          </cell>
          <cell r="F330">
            <v>0</v>
          </cell>
          <cell r="G330" t="str">
            <v>MPG</v>
          </cell>
          <cell r="H330" t="str">
            <v>Direct</v>
          </cell>
          <cell r="I330">
            <v>1011</v>
          </cell>
          <cell r="J330" t="str">
            <v>Sahibpur Kamal</v>
          </cell>
          <cell r="K330" t="str">
            <v>Old</v>
          </cell>
          <cell r="L330">
            <v>45523</v>
          </cell>
          <cell r="M330">
            <v>2380.1999999999998</v>
          </cell>
          <cell r="N330">
            <v>96334.35</v>
          </cell>
          <cell r="O330">
            <v>1785.1499999999999</v>
          </cell>
          <cell r="P330">
            <v>2261.1899999999996</v>
          </cell>
          <cell r="Q330">
            <v>390.09444228000001</v>
          </cell>
          <cell r="R330">
            <v>2890.0304999999998</v>
          </cell>
          <cell r="S330">
            <v>628.84050000000025</v>
          </cell>
          <cell r="T330">
            <v>238.01999999999998</v>
          </cell>
          <cell r="U330">
            <v>566.67175493593072</v>
          </cell>
          <cell r="V330">
            <v>3632</v>
          </cell>
          <cell r="W330">
            <v>1426.6870000000001</v>
          </cell>
          <cell r="X330">
            <v>0</v>
          </cell>
          <cell r="Y330">
            <v>0</v>
          </cell>
        </row>
        <row r="331">
          <cell r="D331">
            <v>10110091</v>
          </cell>
          <cell r="E331" t="str">
            <v>Gomukh Singhpur Balahpur</v>
          </cell>
          <cell r="F331">
            <v>0</v>
          </cell>
          <cell r="G331" t="str">
            <v>vlc</v>
          </cell>
          <cell r="H331" t="str">
            <v>Indirect</v>
          </cell>
          <cell r="I331">
            <v>1055</v>
          </cell>
          <cell r="J331" t="str">
            <v>Matihani</v>
          </cell>
          <cell r="K331" t="str">
            <v>Old</v>
          </cell>
          <cell r="L331">
            <v>45596</v>
          </cell>
          <cell r="M331">
            <v>5001.8</v>
          </cell>
          <cell r="N331">
            <v>196394.89</v>
          </cell>
          <cell r="O331">
            <v>3751.3500000000004</v>
          </cell>
          <cell r="P331">
            <v>4751.71</v>
          </cell>
          <cell r="Q331">
            <v>0</v>
          </cell>
          <cell r="R331">
            <v>5891.8467000000001</v>
          </cell>
          <cell r="S331">
            <v>1140.1367</v>
          </cell>
          <cell r="T331">
            <v>500.18000000000006</v>
          </cell>
          <cell r="U331">
            <v>0</v>
          </cell>
          <cell r="V331">
            <v>8003</v>
          </cell>
          <cell r="W331">
            <v>0</v>
          </cell>
          <cell r="X331">
            <v>0</v>
          </cell>
          <cell r="Y331">
            <v>0</v>
          </cell>
        </row>
        <row r="332">
          <cell r="D332">
            <v>10110093</v>
          </cell>
          <cell r="E332" t="str">
            <v>Gomukh Koniya</v>
          </cell>
          <cell r="F332">
            <v>0</v>
          </cell>
          <cell r="G332" t="str">
            <v>MPG</v>
          </cell>
          <cell r="H332" t="str">
            <v>Direct</v>
          </cell>
          <cell r="I332">
            <v>1054</v>
          </cell>
          <cell r="J332" t="str">
            <v xml:space="preserve">Alauli </v>
          </cell>
          <cell r="K332" t="str">
            <v>Old</v>
          </cell>
          <cell r="L332">
            <v>45629</v>
          </cell>
          <cell r="M332">
            <v>1920.8000000000002</v>
          </cell>
          <cell r="N332">
            <v>67956.03</v>
          </cell>
          <cell r="O332">
            <v>1440.6000000000001</v>
          </cell>
          <cell r="P332">
            <v>1824.76</v>
          </cell>
          <cell r="Q332">
            <v>1941.2466875999999</v>
          </cell>
          <cell r="R332">
            <v>2038.6808999999998</v>
          </cell>
          <cell r="S332">
            <v>213.92089999999985</v>
          </cell>
          <cell r="T332">
            <v>192.08000000000004</v>
          </cell>
          <cell r="U332">
            <v>761.98702317713298</v>
          </cell>
          <cell r="V332">
            <v>4253</v>
          </cell>
          <cell r="W332">
            <v>1861</v>
          </cell>
          <cell r="X332">
            <v>0</v>
          </cell>
          <cell r="Y332">
            <v>0</v>
          </cell>
        </row>
        <row r="333">
          <cell r="D333">
            <v>10110094</v>
          </cell>
          <cell r="E333" t="str">
            <v>GOMUKH ROHUA</v>
          </cell>
          <cell r="F333">
            <v>0</v>
          </cell>
          <cell r="G333" t="str">
            <v>MPG</v>
          </cell>
          <cell r="H333" t="str">
            <v>Direct</v>
          </cell>
          <cell r="I333">
            <v>1011</v>
          </cell>
          <cell r="J333" t="str">
            <v>Sahibpur Kamal</v>
          </cell>
          <cell r="K333" t="str">
            <v>Old</v>
          </cell>
          <cell r="L333">
            <v>45631</v>
          </cell>
          <cell r="M333">
            <v>1910.3999999999999</v>
          </cell>
          <cell r="N333">
            <v>70471.67</v>
          </cell>
          <cell r="O333">
            <v>1432.8</v>
          </cell>
          <cell r="P333">
            <v>1814.8799999999999</v>
          </cell>
          <cell r="Q333">
            <v>1042.5627425862001</v>
          </cell>
          <cell r="R333">
            <v>2114.1500999999998</v>
          </cell>
          <cell r="S333">
            <v>299.27009999999996</v>
          </cell>
          <cell r="T333">
            <v>191.04</v>
          </cell>
          <cell r="U333">
            <v>804.28913091304764</v>
          </cell>
          <cell r="V333">
            <v>3295</v>
          </cell>
          <cell r="W333">
            <v>1861</v>
          </cell>
          <cell r="X333">
            <v>0</v>
          </cell>
          <cell r="Y333">
            <v>0</v>
          </cell>
        </row>
        <row r="334">
          <cell r="D334">
            <v>10110095</v>
          </cell>
          <cell r="E334" t="str">
            <v>GOMUKH LAXMIPUR</v>
          </cell>
          <cell r="F334">
            <v>0</v>
          </cell>
          <cell r="G334" t="str">
            <v>MPG</v>
          </cell>
          <cell r="H334" t="str">
            <v>Direct</v>
          </cell>
          <cell r="I334">
            <v>1011</v>
          </cell>
          <cell r="J334" t="str">
            <v>Sahibpur Kamal</v>
          </cell>
          <cell r="K334" t="str">
            <v>Old</v>
          </cell>
          <cell r="L334">
            <v>45629</v>
          </cell>
          <cell r="M334">
            <v>1873.8000000000002</v>
          </cell>
          <cell r="N334">
            <v>81293.66</v>
          </cell>
          <cell r="O334">
            <v>1405.3500000000001</v>
          </cell>
          <cell r="P334">
            <v>1780.1100000000001</v>
          </cell>
          <cell r="Q334">
            <v>763.85601309600008</v>
          </cell>
          <cell r="R334">
            <v>2438.8098</v>
          </cell>
          <cell r="S334">
            <v>658.69979999999987</v>
          </cell>
          <cell r="T334">
            <v>187.38000000000002</v>
          </cell>
          <cell r="U334">
            <v>979.0578567747491</v>
          </cell>
          <cell r="V334">
            <v>2783</v>
          </cell>
          <cell r="W334">
            <v>1861</v>
          </cell>
          <cell r="X334">
            <v>0</v>
          </cell>
          <cell r="Y334">
            <v>0</v>
          </cell>
        </row>
        <row r="335">
          <cell r="D335">
            <v>10110097</v>
          </cell>
          <cell r="E335" t="str">
            <v>GOMUKH BACHOTA</v>
          </cell>
          <cell r="F335">
            <v>0</v>
          </cell>
          <cell r="G335" t="str">
            <v>MPG</v>
          </cell>
          <cell r="H335" t="str">
            <v>Direct</v>
          </cell>
          <cell r="I335">
            <v>1054</v>
          </cell>
          <cell r="J335" t="str">
            <v xml:space="preserve">Alauli </v>
          </cell>
          <cell r="K335" t="str">
            <v>Old</v>
          </cell>
          <cell r="L335">
            <v>45652</v>
          </cell>
          <cell r="M335">
            <v>602.40000000000009</v>
          </cell>
          <cell r="N335">
            <v>25719.120000000003</v>
          </cell>
          <cell r="O335">
            <v>451.80000000000007</v>
          </cell>
          <cell r="P335">
            <v>572.28000000000009</v>
          </cell>
          <cell r="Q335">
            <v>145.21104444000002</v>
          </cell>
          <cell r="R335">
            <v>771.57360000000006</v>
          </cell>
          <cell r="S335">
            <v>199.29359999999997</v>
          </cell>
          <cell r="T335">
            <v>60.240000000000009</v>
          </cell>
          <cell r="U335">
            <v>1108.9186810668366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>
            <v>10110098</v>
          </cell>
          <cell r="E336" t="str">
            <v>GOMUKH CHATAR</v>
          </cell>
          <cell r="F336">
            <v>0</v>
          </cell>
          <cell r="G336" t="str">
            <v>MPG</v>
          </cell>
          <cell r="H336" t="str">
            <v>Direct</v>
          </cell>
          <cell r="I336">
            <v>1054</v>
          </cell>
          <cell r="J336" t="str">
            <v xml:space="preserve">Alauli </v>
          </cell>
          <cell r="K336" t="str">
            <v>Old</v>
          </cell>
          <cell r="L336">
            <v>45653</v>
          </cell>
          <cell r="M336">
            <v>634</v>
          </cell>
          <cell r="N336">
            <v>25907.89</v>
          </cell>
          <cell r="O336">
            <v>475.5</v>
          </cell>
          <cell r="P336">
            <v>602.29999999999995</v>
          </cell>
          <cell r="Q336">
            <v>0</v>
          </cell>
          <cell r="R336">
            <v>777.23669999999993</v>
          </cell>
          <cell r="S336">
            <v>174.93669999999997</v>
          </cell>
          <cell r="T336">
            <v>63.400000000000006</v>
          </cell>
          <cell r="U336">
            <v>1014.8897116748371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7">
          <cell r="D337">
            <v>10110100</v>
          </cell>
          <cell r="E337" t="str">
            <v>GOMUKH BATHNAMA</v>
          </cell>
          <cell r="F337">
            <v>0</v>
          </cell>
          <cell r="G337" t="str">
            <v>MPG</v>
          </cell>
          <cell r="H337" t="str">
            <v>Direct</v>
          </cell>
          <cell r="I337">
            <v>1054</v>
          </cell>
          <cell r="J337" t="str">
            <v xml:space="preserve">Alauli </v>
          </cell>
          <cell r="K337" t="str">
            <v>Old</v>
          </cell>
          <cell r="L337">
            <v>45653</v>
          </cell>
          <cell r="M337">
            <v>13594.5</v>
          </cell>
          <cell r="N337">
            <v>576419.75</v>
          </cell>
          <cell r="O337">
            <v>10195.875</v>
          </cell>
          <cell r="P337">
            <v>12914.775</v>
          </cell>
          <cell r="Q337">
            <v>909.88279387184014</v>
          </cell>
          <cell r="R337">
            <v>17292.592499999999</v>
          </cell>
          <cell r="S337">
            <v>4377.8174999999992</v>
          </cell>
          <cell r="T337">
            <v>1359.45</v>
          </cell>
          <cell r="U337">
            <v>0</v>
          </cell>
          <cell r="V337">
            <v>22661</v>
          </cell>
          <cell r="W337">
            <v>2780.8184864854411</v>
          </cell>
          <cell r="X337">
            <v>0</v>
          </cell>
          <cell r="Y337">
            <v>0</v>
          </cell>
        </row>
        <row r="338">
          <cell r="D338">
            <v>10110101</v>
          </cell>
          <cell r="E338" t="str">
            <v>GOMUKH TILAK NAGAR</v>
          </cell>
          <cell r="F338">
            <v>0</v>
          </cell>
          <cell r="G338" t="str">
            <v>MPG</v>
          </cell>
          <cell r="H338" t="str">
            <v>Direct</v>
          </cell>
          <cell r="I338">
            <v>1054</v>
          </cell>
          <cell r="J338" t="str">
            <v xml:space="preserve">Alauli </v>
          </cell>
          <cell r="K338" t="str">
            <v>Old</v>
          </cell>
          <cell r="L338">
            <v>45672</v>
          </cell>
          <cell r="M338">
            <v>1177.3</v>
          </cell>
          <cell r="N338">
            <v>49187.200000000004</v>
          </cell>
          <cell r="O338">
            <v>882.97499999999991</v>
          </cell>
          <cell r="P338">
            <v>1118.4349999999999</v>
          </cell>
          <cell r="Q338">
            <v>999.99482293247911</v>
          </cell>
          <cell r="R338">
            <v>1475.616</v>
          </cell>
          <cell r="S338">
            <v>357.18100000000004</v>
          </cell>
          <cell r="T338">
            <v>117.73</v>
          </cell>
          <cell r="U338">
            <v>1522.9877804860034</v>
          </cell>
          <cell r="V338">
            <v>1361</v>
          </cell>
          <cell r="W338">
            <v>1361</v>
          </cell>
          <cell r="X338">
            <v>0</v>
          </cell>
          <cell r="Y338">
            <v>0</v>
          </cell>
        </row>
        <row r="339">
          <cell r="D339">
            <v>10110105</v>
          </cell>
          <cell r="E339" t="str">
            <v>Gomukh Thatha Purvi</v>
          </cell>
          <cell r="F339">
            <v>0</v>
          </cell>
          <cell r="G339" t="str">
            <v>MPG</v>
          </cell>
          <cell r="H339" t="str">
            <v>Direct</v>
          </cell>
          <cell r="I339">
            <v>1011</v>
          </cell>
          <cell r="J339" t="str">
            <v>Sahibpur Kamal</v>
          </cell>
          <cell r="K339" t="str">
            <v>Old</v>
          </cell>
          <cell r="L339">
            <v>45700</v>
          </cell>
          <cell r="M339">
            <v>2168.9000000000005</v>
          </cell>
          <cell r="N339">
            <v>79967.229999999981</v>
          </cell>
          <cell r="O339">
            <v>1626.6750000000004</v>
          </cell>
          <cell r="P339">
            <v>2060.4550000000004</v>
          </cell>
          <cell r="Q339">
            <v>0</v>
          </cell>
          <cell r="R339">
            <v>2399.0168999999992</v>
          </cell>
          <cell r="S339">
            <v>338.56189999999879</v>
          </cell>
          <cell r="T339">
            <v>216.89000000000007</v>
          </cell>
          <cell r="U339">
            <v>603.9707354418008</v>
          </cell>
          <cell r="V339">
            <v>2866</v>
          </cell>
          <cell r="W339">
            <v>1861</v>
          </cell>
          <cell r="X339">
            <v>0</v>
          </cell>
          <cell r="Y339">
            <v>0</v>
          </cell>
        </row>
        <row r="340">
          <cell r="D340">
            <v>10110106</v>
          </cell>
          <cell r="E340" t="str">
            <v>Gomukh Rahimpur Dakshin</v>
          </cell>
          <cell r="F340">
            <v>0</v>
          </cell>
          <cell r="G340" t="str">
            <v>MPG</v>
          </cell>
          <cell r="H340" t="str">
            <v>Direct</v>
          </cell>
          <cell r="I340">
            <v>1011</v>
          </cell>
          <cell r="J340" t="str">
            <v>Sahibpur Kamal</v>
          </cell>
          <cell r="K340" t="str">
            <v>Old</v>
          </cell>
          <cell r="L340">
            <v>45692</v>
          </cell>
          <cell r="M340">
            <v>23044.799999999999</v>
          </cell>
          <cell r="N340">
            <v>919473.39</v>
          </cell>
          <cell r="O340">
            <v>17283.599999999999</v>
          </cell>
          <cell r="P340">
            <v>21892.559999999998</v>
          </cell>
          <cell r="Q340">
            <v>965.25030902499998</v>
          </cell>
          <cell r="R340">
            <v>27584.201699999998</v>
          </cell>
          <cell r="S340">
            <v>5691.6417000000001</v>
          </cell>
          <cell r="T340">
            <v>2304.48</v>
          </cell>
          <cell r="U340">
            <v>0</v>
          </cell>
          <cell r="V340">
            <v>37837</v>
          </cell>
          <cell r="W340">
            <v>0</v>
          </cell>
          <cell r="X340">
            <v>0</v>
          </cell>
          <cell r="Y340">
            <v>0</v>
          </cell>
        </row>
        <row r="341">
          <cell r="D341">
            <v>10110109</v>
          </cell>
          <cell r="E341" t="str">
            <v>GOMUKH MORKAHI</v>
          </cell>
          <cell r="F341">
            <v>0</v>
          </cell>
          <cell r="G341" t="str">
            <v>MPG</v>
          </cell>
          <cell r="H341" t="str">
            <v>Direct</v>
          </cell>
          <cell r="I341">
            <v>1054</v>
          </cell>
          <cell r="J341" t="str">
            <v xml:space="preserve">Alauli </v>
          </cell>
          <cell r="K341" t="str">
            <v>Old</v>
          </cell>
          <cell r="L341">
            <v>45702</v>
          </cell>
          <cell r="M341">
            <v>1354.6999999999998</v>
          </cell>
          <cell r="N341">
            <v>54615.819999999992</v>
          </cell>
          <cell r="O341">
            <v>1016.0249999999999</v>
          </cell>
          <cell r="P341">
            <v>1286.9649999999997</v>
          </cell>
          <cell r="Q341">
            <v>240.47631630000001</v>
          </cell>
          <cell r="R341">
            <v>1638.4745999999998</v>
          </cell>
          <cell r="S341">
            <v>351.50960000000009</v>
          </cell>
          <cell r="T341">
            <v>135.47</v>
          </cell>
          <cell r="U341">
            <v>1326.8099139308933</v>
          </cell>
          <cell r="V341">
            <v>1081</v>
          </cell>
          <cell r="W341">
            <v>1081</v>
          </cell>
          <cell r="X341">
            <v>0</v>
          </cell>
          <cell r="Y341">
            <v>0</v>
          </cell>
        </row>
        <row r="342">
          <cell r="D342">
            <v>10110110</v>
          </cell>
          <cell r="E342" t="str">
            <v>GOMUKH HANSPUR</v>
          </cell>
          <cell r="F342">
            <v>0</v>
          </cell>
          <cell r="G342" t="str">
            <v>MPG</v>
          </cell>
          <cell r="H342" t="str">
            <v>Direct</v>
          </cell>
          <cell r="I342">
            <v>1055</v>
          </cell>
          <cell r="J342" t="str">
            <v>Matihani</v>
          </cell>
          <cell r="K342" t="str">
            <v>Old</v>
          </cell>
          <cell r="L342">
            <v>45745</v>
          </cell>
          <cell r="M342">
            <v>862.69999999999993</v>
          </cell>
          <cell r="N342">
            <v>38730.479999999996</v>
          </cell>
          <cell r="O342">
            <v>647.02499999999998</v>
          </cell>
          <cell r="P342">
            <v>819.56499999999994</v>
          </cell>
          <cell r="Q342">
            <v>526.70722780580002</v>
          </cell>
          <cell r="R342">
            <v>1161.9143999999999</v>
          </cell>
          <cell r="S342">
            <v>342.34939999999995</v>
          </cell>
          <cell r="T342">
            <v>86.27</v>
          </cell>
          <cell r="U342">
            <v>1906.739741095618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D343">
            <v>10110111</v>
          </cell>
          <cell r="E343" t="str">
            <v>GOMUKH NAYAGAON 2</v>
          </cell>
          <cell r="F343">
            <v>0</v>
          </cell>
          <cell r="G343" t="str">
            <v>MPG</v>
          </cell>
          <cell r="H343" t="str">
            <v>Direct</v>
          </cell>
          <cell r="I343">
            <v>1055</v>
          </cell>
          <cell r="J343" t="str">
            <v>Matihani</v>
          </cell>
          <cell r="K343" t="str">
            <v>Old</v>
          </cell>
          <cell r="L343">
            <v>45716</v>
          </cell>
          <cell r="M343">
            <v>1075.0999999999999</v>
          </cell>
          <cell r="N343">
            <v>55096.81</v>
          </cell>
          <cell r="O343">
            <v>806.32499999999993</v>
          </cell>
          <cell r="P343">
            <v>1021.3449999999999</v>
          </cell>
          <cell r="Q343">
            <v>1138.0919757613601</v>
          </cell>
          <cell r="R343">
            <v>1652.9042999999999</v>
          </cell>
          <cell r="S343">
            <v>631.55930000000001</v>
          </cell>
          <cell r="T343">
            <v>107.50999999999999</v>
          </cell>
          <cell r="U343">
            <v>1971.2207600797385</v>
          </cell>
          <cell r="V343">
            <v>887</v>
          </cell>
          <cell r="W343">
            <v>887</v>
          </cell>
          <cell r="X343">
            <v>0</v>
          </cell>
          <cell r="Y343">
            <v>0</v>
          </cell>
        </row>
        <row r="344">
          <cell r="D344">
            <v>10110112</v>
          </cell>
          <cell r="E344" t="str">
            <v>GOMUKH ALOLI</v>
          </cell>
          <cell r="F344">
            <v>0</v>
          </cell>
          <cell r="G344" t="str">
            <v>MPG</v>
          </cell>
          <cell r="H344" t="str">
            <v>Direct</v>
          </cell>
          <cell r="I344">
            <v>1054</v>
          </cell>
          <cell r="J344" t="str">
            <v xml:space="preserve">Alauli </v>
          </cell>
          <cell r="K344" t="str">
            <v>Old</v>
          </cell>
          <cell r="L344">
            <v>45814</v>
          </cell>
          <cell r="M344">
            <v>4.5999999999999996</v>
          </cell>
          <cell r="N344">
            <v>162.15</v>
          </cell>
          <cell r="O344">
            <v>3.4499999999999997</v>
          </cell>
          <cell r="P344">
            <v>4.3699999999999992</v>
          </cell>
          <cell r="Q344">
            <v>0</v>
          </cell>
          <cell r="R344">
            <v>4.8644999999999996</v>
          </cell>
          <cell r="S344">
            <v>0.49450000000000038</v>
          </cell>
          <cell r="T344">
            <v>0.45999999999999996</v>
          </cell>
          <cell r="U344">
            <v>7.7570000000000334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D345">
            <v>10110114</v>
          </cell>
          <cell r="E345" t="str">
            <v>GOMUKH LABHGAON</v>
          </cell>
          <cell r="F345">
            <v>0</v>
          </cell>
          <cell r="G345" t="str">
            <v>MPG</v>
          </cell>
          <cell r="H345" t="str">
            <v>Direct</v>
          </cell>
          <cell r="I345">
            <v>1054</v>
          </cell>
          <cell r="J345" t="str">
            <v xml:space="preserve">Alauli </v>
          </cell>
          <cell r="K345" t="str">
            <v>Old</v>
          </cell>
          <cell r="L345">
            <v>45745</v>
          </cell>
          <cell r="M345">
            <v>2065.6999999999998</v>
          </cell>
          <cell r="N345">
            <v>73750.37999999999</v>
          </cell>
          <cell r="O345">
            <v>1549.2749999999999</v>
          </cell>
          <cell r="P345">
            <v>1962.4149999999997</v>
          </cell>
          <cell r="Q345">
            <v>0</v>
          </cell>
          <cell r="R345">
            <v>2212.5113999999994</v>
          </cell>
          <cell r="S345">
            <v>250.09639999999968</v>
          </cell>
          <cell r="T345">
            <v>206.57</v>
          </cell>
          <cell r="U345">
            <v>673.4397957642343</v>
          </cell>
          <cell r="V345">
            <v>2632</v>
          </cell>
          <cell r="W345">
            <v>1861</v>
          </cell>
          <cell r="X345">
            <v>0</v>
          </cell>
          <cell r="Y345">
            <v>0</v>
          </cell>
        </row>
        <row r="346">
          <cell r="D346">
            <v>10110116</v>
          </cell>
          <cell r="E346" t="str">
            <v>GOMUKH CHANDPURA</v>
          </cell>
          <cell r="F346">
            <v>0</v>
          </cell>
          <cell r="G346" t="str">
            <v>MPG</v>
          </cell>
          <cell r="H346" t="str">
            <v>Direct</v>
          </cell>
          <cell r="I346">
            <v>1054</v>
          </cell>
          <cell r="J346" t="str">
            <v xml:space="preserve">Alauli </v>
          </cell>
          <cell r="K346" t="str">
            <v>Old</v>
          </cell>
          <cell r="L346">
            <v>45745</v>
          </cell>
          <cell r="M346">
            <v>2451.7999999999997</v>
          </cell>
          <cell r="N346">
            <v>90112.03</v>
          </cell>
          <cell r="O346">
            <v>1838.85</v>
          </cell>
          <cell r="P346">
            <v>2329.2099999999996</v>
          </cell>
          <cell r="Q346">
            <v>0</v>
          </cell>
          <cell r="R346">
            <v>2703.3608999999997</v>
          </cell>
          <cell r="S346">
            <v>374.15090000000009</v>
          </cell>
          <cell r="T346">
            <v>245.17999999999998</v>
          </cell>
          <cell r="U346">
            <v>402.84092219585801</v>
          </cell>
          <cell r="V346">
            <v>3520</v>
          </cell>
          <cell r="W346">
            <v>1861</v>
          </cell>
          <cell r="X346">
            <v>0</v>
          </cell>
          <cell r="Y346">
            <v>0</v>
          </cell>
        </row>
        <row r="347">
          <cell r="D347">
            <v>10110118</v>
          </cell>
          <cell r="E347" t="str">
            <v>GOMUKH BADIL TOL</v>
          </cell>
          <cell r="F347">
            <v>0</v>
          </cell>
          <cell r="G347" t="str">
            <v>MPG</v>
          </cell>
          <cell r="H347" t="str">
            <v>Direct</v>
          </cell>
          <cell r="I347">
            <v>1054</v>
          </cell>
          <cell r="J347" t="str">
            <v xml:space="preserve">Alauli </v>
          </cell>
          <cell r="K347" t="str">
            <v>Old</v>
          </cell>
          <cell r="L347">
            <v>45745</v>
          </cell>
          <cell r="M347">
            <v>2724.9</v>
          </cell>
          <cell r="N347">
            <v>105874.6</v>
          </cell>
          <cell r="O347">
            <v>2043.6750000000002</v>
          </cell>
          <cell r="P347">
            <v>2588.6549999999997</v>
          </cell>
          <cell r="Q347">
            <v>2917.2858029083804</v>
          </cell>
          <cell r="R347">
            <v>3176.2380000000003</v>
          </cell>
          <cell r="S347">
            <v>587.58300000000054</v>
          </cell>
          <cell r="T347">
            <v>272.49</v>
          </cell>
          <cell r="U347">
            <v>262.51386622783161</v>
          </cell>
          <cell r="V347">
            <v>7015</v>
          </cell>
          <cell r="W347">
            <v>2117.4920000000002</v>
          </cell>
          <cell r="X347">
            <v>0</v>
          </cell>
          <cell r="Y347">
            <v>0</v>
          </cell>
        </row>
        <row r="348">
          <cell r="D348">
            <v>10110119</v>
          </cell>
          <cell r="E348" t="str">
            <v>GOMUKH TRIBHUVAN TOLA</v>
          </cell>
          <cell r="F348">
            <v>0</v>
          </cell>
          <cell r="G348" t="str">
            <v>MPG</v>
          </cell>
          <cell r="H348" t="str">
            <v>Direct</v>
          </cell>
          <cell r="I348">
            <v>1054</v>
          </cell>
          <cell r="J348" t="str">
            <v xml:space="preserve">Alauli </v>
          </cell>
          <cell r="K348" t="str">
            <v>Old</v>
          </cell>
          <cell r="L348">
            <v>45745</v>
          </cell>
          <cell r="M348">
            <v>1335.6</v>
          </cell>
          <cell r="N348">
            <v>49303.07</v>
          </cell>
          <cell r="O348">
            <v>1001.6999999999999</v>
          </cell>
          <cell r="P348">
            <v>1268.82</v>
          </cell>
          <cell r="Q348">
            <v>0</v>
          </cell>
          <cell r="R348">
            <v>1479.0920999999998</v>
          </cell>
          <cell r="S348">
            <v>210.27209999999991</v>
          </cell>
          <cell r="T348">
            <v>133.56</v>
          </cell>
          <cell r="U348">
            <v>1229.0324836694272</v>
          </cell>
          <cell r="V348">
            <v>908</v>
          </cell>
          <cell r="W348">
            <v>908</v>
          </cell>
          <cell r="X348">
            <v>0</v>
          </cell>
          <cell r="Y348">
            <v>0</v>
          </cell>
        </row>
        <row r="349">
          <cell r="D349">
            <v>10110120</v>
          </cell>
          <cell r="E349" t="str">
            <v>GOMUKH SANTOSHPUL</v>
          </cell>
          <cell r="F349">
            <v>0</v>
          </cell>
          <cell r="G349" t="str">
            <v>MPG</v>
          </cell>
          <cell r="H349" t="str">
            <v>Direct</v>
          </cell>
          <cell r="I349">
            <v>1054</v>
          </cell>
          <cell r="J349" t="str">
            <v xml:space="preserve">Alauli </v>
          </cell>
          <cell r="K349" t="str">
            <v>Old</v>
          </cell>
          <cell r="L349">
            <v>45819</v>
          </cell>
          <cell r="M349">
            <v>4501.4000000000005</v>
          </cell>
          <cell r="N349">
            <v>193947.40999999997</v>
          </cell>
          <cell r="O349">
            <v>3376.05</v>
          </cell>
          <cell r="P349">
            <v>4276.33</v>
          </cell>
          <cell r="Q349">
            <v>0</v>
          </cell>
          <cell r="R349">
            <v>5818.4222999999993</v>
          </cell>
          <cell r="S349">
            <v>1542.0922999999993</v>
          </cell>
          <cell r="T349">
            <v>450.1400000000001</v>
          </cell>
          <cell r="U349">
            <v>0</v>
          </cell>
          <cell r="V349">
            <v>7202</v>
          </cell>
          <cell r="W349">
            <v>3878.9481999999994</v>
          </cell>
          <cell r="X349">
            <v>0</v>
          </cell>
          <cell r="Y349">
            <v>0</v>
          </cell>
        </row>
        <row r="350">
          <cell r="D350">
            <v>10110121</v>
          </cell>
          <cell r="E350" t="str">
            <v>GOMUKH AHUNA</v>
          </cell>
          <cell r="F350">
            <v>0</v>
          </cell>
          <cell r="G350" t="str">
            <v>MPG</v>
          </cell>
          <cell r="H350" t="str">
            <v>Direct</v>
          </cell>
          <cell r="I350">
            <v>1054</v>
          </cell>
          <cell r="J350" t="str">
            <v xml:space="preserve">Alauli </v>
          </cell>
          <cell r="K350" t="str">
            <v>Old</v>
          </cell>
          <cell r="L350">
            <v>45745</v>
          </cell>
          <cell r="M350">
            <v>1688.8999999999999</v>
          </cell>
          <cell r="N350">
            <v>60683.700000000004</v>
          </cell>
          <cell r="O350">
            <v>1266.675</v>
          </cell>
          <cell r="P350">
            <v>1604.4549999999997</v>
          </cell>
          <cell r="Q350">
            <v>1226.732016312</v>
          </cell>
          <cell r="R350">
            <v>1820.511</v>
          </cell>
          <cell r="S350">
            <v>216.05600000000027</v>
          </cell>
          <cell r="T350">
            <v>168.89</v>
          </cell>
          <cell r="U350">
            <v>942.01604575085719</v>
          </cell>
          <cell r="V350">
            <v>2987</v>
          </cell>
          <cell r="W350">
            <v>861</v>
          </cell>
          <cell r="X350">
            <v>0</v>
          </cell>
          <cell r="Y350">
            <v>0</v>
          </cell>
        </row>
        <row r="351">
          <cell r="D351">
            <v>10110123</v>
          </cell>
          <cell r="E351" t="str">
            <v>GOMUKH SHADIPUR</v>
          </cell>
          <cell r="F351">
            <v>0</v>
          </cell>
          <cell r="G351" t="str">
            <v>MPG</v>
          </cell>
          <cell r="H351" t="str">
            <v>Direct</v>
          </cell>
          <cell r="I351">
            <v>1055</v>
          </cell>
          <cell r="J351" t="str">
            <v>Matihani</v>
          </cell>
          <cell r="K351" t="str">
            <v>Old</v>
          </cell>
          <cell r="L351">
            <v>45745</v>
          </cell>
          <cell r="M351">
            <v>4114.3</v>
          </cell>
          <cell r="N351">
            <v>165487.59</v>
          </cell>
          <cell r="O351">
            <v>3085.7250000000004</v>
          </cell>
          <cell r="P351">
            <v>3908.585</v>
          </cell>
          <cell r="Q351">
            <v>2254.8202224932802</v>
          </cell>
          <cell r="R351">
            <v>4964.6277</v>
          </cell>
          <cell r="S351">
            <v>1056.0427</v>
          </cell>
          <cell r="T351">
            <v>411.43000000000006</v>
          </cell>
          <cell r="U351">
            <v>0</v>
          </cell>
          <cell r="V351">
            <v>8838</v>
          </cell>
          <cell r="W351">
            <v>3309.7518</v>
          </cell>
          <cell r="X351">
            <v>0</v>
          </cell>
          <cell r="Y351">
            <v>0</v>
          </cell>
        </row>
        <row r="352">
          <cell r="D352">
            <v>10110124</v>
          </cell>
          <cell r="E352" t="str">
            <v>GOMUKH ASHRAPHA DIYARA</v>
          </cell>
          <cell r="F352">
            <v>0</v>
          </cell>
          <cell r="G352" t="str">
            <v>MPG</v>
          </cell>
          <cell r="H352" t="str">
            <v>Direct</v>
          </cell>
          <cell r="I352">
            <v>1055</v>
          </cell>
          <cell r="J352" t="str">
            <v>Matihani</v>
          </cell>
          <cell r="K352" t="str">
            <v>Old</v>
          </cell>
          <cell r="L352">
            <v>45745</v>
          </cell>
          <cell r="M352">
            <v>3030.4</v>
          </cell>
          <cell r="N352">
            <v>121653.04000000002</v>
          </cell>
          <cell r="O352">
            <v>2272.8000000000002</v>
          </cell>
          <cell r="P352">
            <v>2878.88</v>
          </cell>
          <cell r="Q352">
            <v>1460.9916356081101</v>
          </cell>
          <cell r="R352">
            <v>3649.5912000000008</v>
          </cell>
          <cell r="S352">
            <v>770.71120000000064</v>
          </cell>
          <cell r="T352">
            <v>303.04000000000002</v>
          </cell>
          <cell r="U352">
            <v>47.060908684531661</v>
          </cell>
          <cell r="V352">
            <v>6263</v>
          </cell>
          <cell r="W352">
            <v>2433.0608000000007</v>
          </cell>
          <cell r="X352">
            <v>0</v>
          </cell>
          <cell r="Y352">
            <v>0</v>
          </cell>
        </row>
        <row r="353">
          <cell r="D353">
            <v>10110128</v>
          </cell>
          <cell r="E353" t="str">
            <v>GOMUKH MANIAPPA</v>
          </cell>
          <cell r="F353">
            <v>0</v>
          </cell>
          <cell r="G353" t="str">
            <v>MPG</v>
          </cell>
          <cell r="H353" t="str">
            <v>Direct</v>
          </cell>
          <cell r="I353">
            <v>1055</v>
          </cell>
          <cell r="J353" t="str">
            <v>Matihani</v>
          </cell>
          <cell r="K353" t="str">
            <v>Old</v>
          </cell>
          <cell r="L353">
            <v>45745</v>
          </cell>
          <cell r="M353">
            <v>5691.3</v>
          </cell>
          <cell r="N353">
            <v>219137.89</v>
          </cell>
          <cell r="O353">
            <v>4268.4750000000004</v>
          </cell>
          <cell r="P353">
            <v>5406.7349999999997</v>
          </cell>
          <cell r="Q353">
            <v>654.6027055986001</v>
          </cell>
          <cell r="R353">
            <v>6574.1367</v>
          </cell>
          <cell r="S353">
            <v>1167.4017000000003</v>
          </cell>
          <cell r="T353">
            <v>569.13</v>
          </cell>
          <cell r="U353">
            <v>0</v>
          </cell>
          <cell r="V353">
            <v>9761</v>
          </cell>
          <cell r="W353">
            <v>4382.7578000000003</v>
          </cell>
          <cell r="X353">
            <v>0</v>
          </cell>
          <cell r="Y353">
            <v>0</v>
          </cell>
        </row>
        <row r="354">
          <cell r="D354">
            <v>10110129</v>
          </cell>
          <cell r="E354" t="str">
            <v>GOMUKH D SANJHAUTI</v>
          </cell>
          <cell r="F354">
            <v>0</v>
          </cell>
          <cell r="G354" t="str">
            <v>MPG</v>
          </cell>
          <cell r="H354" t="str">
            <v>Direct</v>
          </cell>
          <cell r="I354">
            <v>1054</v>
          </cell>
          <cell r="J354" t="str">
            <v xml:space="preserve">Alauli </v>
          </cell>
          <cell r="K354" t="str">
            <v>Old</v>
          </cell>
          <cell r="L354">
            <v>45831</v>
          </cell>
          <cell r="M354">
            <v>3166.8</v>
          </cell>
          <cell r="N354">
            <v>116087.92</v>
          </cell>
          <cell r="O354">
            <v>2375.1000000000004</v>
          </cell>
          <cell r="P354">
            <v>3008.46</v>
          </cell>
          <cell r="Q354">
            <v>0</v>
          </cell>
          <cell r="R354">
            <v>3482.6376</v>
          </cell>
          <cell r="S354">
            <v>474.17759999999998</v>
          </cell>
          <cell r="T354">
            <v>316.68000000000006</v>
          </cell>
          <cell r="U354">
            <v>136.13555191002527</v>
          </cell>
          <cell r="V354">
            <v>4931</v>
          </cell>
          <cell r="W354">
            <v>2321.7584000000002</v>
          </cell>
          <cell r="X354">
            <v>0</v>
          </cell>
          <cell r="Y354">
            <v>0</v>
          </cell>
        </row>
        <row r="355">
          <cell r="D355">
            <v>10110132</v>
          </cell>
          <cell r="E355" t="str">
            <v>GOMUKH DHUSMURI BISHANPUR</v>
          </cell>
          <cell r="F355">
            <v>0</v>
          </cell>
          <cell r="G355" t="str">
            <v>MPG</v>
          </cell>
          <cell r="H355" t="str">
            <v>Direct</v>
          </cell>
          <cell r="I355">
            <v>1054</v>
          </cell>
          <cell r="J355" t="str">
            <v xml:space="preserve">Alauli </v>
          </cell>
          <cell r="K355" t="str">
            <v>Old</v>
          </cell>
          <cell r="L355">
            <v>45772</v>
          </cell>
          <cell r="M355">
            <v>966</v>
          </cell>
          <cell r="N355">
            <v>38212.559999999998</v>
          </cell>
          <cell r="O355">
            <v>724.5</v>
          </cell>
          <cell r="P355">
            <v>917.69999999999993</v>
          </cell>
          <cell r="Q355">
            <v>0</v>
          </cell>
          <cell r="R355">
            <v>1146.3767999999998</v>
          </cell>
          <cell r="S355">
            <v>228.67679999999984</v>
          </cell>
          <cell r="T355">
            <v>96.600000000000009</v>
          </cell>
          <cell r="U355">
            <v>1545.4039332081559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D356">
            <v>10110133</v>
          </cell>
          <cell r="E356" t="str">
            <v>GOMUKH ANANDPUR PARAS</v>
          </cell>
          <cell r="F356">
            <v>0</v>
          </cell>
          <cell r="G356" t="str">
            <v>MPG</v>
          </cell>
          <cell r="H356" t="str">
            <v>Direct</v>
          </cell>
          <cell r="I356">
            <v>1054</v>
          </cell>
          <cell r="J356" t="str">
            <v xml:space="preserve">Alauli </v>
          </cell>
          <cell r="K356" t="str">
            <v>Old</v>
          </cell>
          <cell r="L356">
            <v>45786</v>
          </cell>
          <cell r="M356">
            <v>9661.2999999999993</v>
          </cell>
          <cell r="N356">
            <v>375657.41</v>
          </cell>
          <cell r="O356">
            <v>7245.9749999999995</v>
          </cell>
          <cell r="P356">
            <v>9178.2349999999988</v>
          </cell>
          <cell r="Q356">
            <v>0</v>
          </cell>
          <cell r="R356">
            <v>11269.722299999999</v>
          </cell>
          <cell r="S356">
            <v>2091.4873000000007</v>
          </cell>
          <cell r="T356">
            <v>966.13</v>
          </cell>
          <cell r="U356">
            <v>0</v>
          </cell>
          <cell r="V356">
            <v>15458</v>
          </cell>
          <cell r="W356">
            <v>0</v>
          </cell>
          <cell r="X356">
            <v>7513.1481999999996</v>
          </cell>
          <cell r="Y356">
            <v>0</v>
          </cell>
        </row>
        <row r="357">
          <cell r="D357">
            <v>10110134</v>
          </cell>
          <cell r="E357" t="str">
            <v>Gomukh Bishanpur</v>
          </cell>
          <cell r="F357">
            <v>0</v>
          </cell>
          <cell r="G357" t="str">
            <v>MPG</v>
          </cell>
          <cell r="H357" t="str">
            <v>Direct</v>
          </cell>
          <cell r="I357">
            <v>1054</v>
          </cell>
          <cell r="J357" t="str">
            <v xml:space="preserve">Alauli </v>
          </cell>
          <cell r="K357" t="str">
            <v>Old</v>
          </cell>
          <cell r="L357">
            <v>45770</v>
          </cell>
          <cell r="M357">
            <v>1199.6999999999998</v>
          </cell>
          <cell r="N357">
            <v>46604.930000000008</v>
          </cell>
          <cell r="O357">
            <v>899.77499999999986</v>
          </cell>
          <cell r="P357">
            <v>1139.7149999999997</v>
          </cell>
          <cell r="Q357">
            <v>0</v>
          </cell>
          <cell r="R357">
            <v>1398.1479000000002</v>
          </cell>
          <cell r="S357">
            <v>258.43290000000047</v>
          </cell>
          <cell r="T357">
            <v>119.96999999999998</v>
          </cell>
          <cell r="U357">
            <v>1399.4235213943143</v>
          </cell>
          <cell r="V357">
            <v>520</v>
          </cell>
          <cell r="W357">
            <v>520</v>
          </cell>
          <cell r="X357">
            <v>0</v>
          </cell>
          <cell r="Y357">
            <v>0</v>
          </cell>
        </row>
        <row r="358">
          <cell r="D358">
            <v>10110135</v>
          </cell>
          <cell r="E358" t="str">
            <v>GOMUKH BISHANPUR 2</v>
          </cell>
          <cell r="F358">
            <v>0</v>
          </cell>
          <cell r="G358" t="str">
            <v>MPG</v>
          </cell>
          <cell r="H358" t="str">
            <v>Direct</v>
          </cell>
          <cell r="I358">
            <v>1054</v>
          </cell>
          <cell r="J358" t="str">
            <v xml:space="preserve">Alauli </v>
          </cell>
          <cell r="K358" t="str">
            <v>Old</v>
          </cell>
          <cell r="L358">
            <v>45767</v>
          </cell>
          <cell r="M358">
            <v>2103.1999999999998</v>
          </cell>
          <cell r="N358">
            <v>85247.549999999988</v>
          </cell>
          <cell r="O358">
            <v>1577.3999999999999</v>
          </cell>
          <cell r="P358">
            <v>1998.0399999999997</v>
          </cell>
          <cell r="Q358">
            <v>240.04012103280004</v>
          </cell>
          <cell r="R358">
            <v>2557.4264999999996</v>
          </cell>
          <cell r="S358">
            <v>559.38649999999984</v>
          </cell>
          <cell r="T358">
            <v>210.32</v>
          </cell>
          <cell r="U358">
            <v>727.04154888841276</v>
          </cell>
          <cell r="V358">
            <v>2878</v>
          </cell>
          <cell r="W358">
            <v>1861</v>
          </cell>
          <cell r="X358">
            <v>0</v>
          </cell>
          <cell r="Y358">
            <v>0</v>
          </cell>
        </row>
        <row r="359">
          <cell r="D359">
            <v>10110140</v>
          </cell>
          <cell r="E359" t="str">
            <v>GOMUKH GHAMARIYA</v>
          </cell>
          <cell r="F359">
            <v>0</v>
          </cell>
          <cell r="G359" t="str">
            <v>MPG</v>
          </cell>
          <cell r="H359" t="str">
            <v>Direct</v>
          </cell>
          <cell r="I359">
            <v>1054</v>
          </cell>
          <cell r="J359" t="str">
            <v xml:space="preserve">Alauli </v>
          </cell>
          <cell r="K359" t="str">
            <v>Old</v>
          </cell>
          <cell r="L359">
            <v>45786</v>
          </cell>
          <cell r="M359">
            <v>1091.5999999999999</v>
          </cell>
          <cell r="N359">
            <v>46667.79</v>
          </cell>
          <cell r="O359">
            <v>818.69999999999993</v>
          </cell>
          <cell r="P359">
            <v>1037.0199999999998</v>
          </cell>
          <cell r="Q359">
            <v>743.53920258416997</v>
          </cell>
          <cell r="R359">
            <v>1400.0337</v>
          </cell>
          <cell r="S359">
            <v>363.0137000000002</v>
          </cell>
          <cell r="T359">
            <v>109.16</v>
          </cell>
          <cell r="U359">
            <v>1635.0459802920691</v>
          </cell>
          <cell r="V359">
            <v>855</v>
          </cell>
          <cell r="W359">
            <v>855</v>
          </cell>
          <cell r="X359">
            <v>0</v>
          </cell>
          <cell r="Y359">
            <v>0</v>
          </cell>
        </row>
        <row r="360">
          <cell r="D360">
            <v>10110141</v>
          </cell>
          <cell r="E360" t="str">
            <v>GOMUKH MEGHAUMA</v>
          </cell>
          <cell r="F360">
            <v>0</v>
          </cell>
          <cell r="G360" t="str">
            <v>MPG</v>
          </cell>
          <cell r="H360" t="str">
            <v>Direct</v>
          </cell>
          <cell r="I360">
            <v>1054</v>
          </cell>
          <cell r="J360" t="str">
            <v xml:space="preserve">Alauli </v>
          </cell>
          <cell r="K360" t="str">
            <v>Old</v>
          </cell>
          <cell r="L360">
            <v>45786</v>
          </cell>
          <cell r="M360">
            <v>4449.5000000000009</v>
          </cell>
          <cell r="N360">
            <v>180324.97</v>
          </cell>
          <cell r="O360">
            <v>3337.1250000000009</v>
          </cell>
          <cell r="P360">
            <v>4227.0250000000005</v>
          </cell>
          <cell r="Q360">
            <v>2430.3863760332106</v>
          </cell>
          <cell r="R360">
            <v>5409.7491</v>
          </cell>
          <cell r="S360">
            <v>1182.7240999999995</v>
          </cell>
          <cell r="T360">
            <v>444.9500000000001</v>
          </cell>
          <cell r="U360">
            <v>0</v>
          </cell>
          <cell r="V360">
            <v>9550</v>
          </cell>
          <cell r="W360">
            <v>3606.4994000000002</v>
          </cell>
          <cell r="X360">
            <v>0</v>
          </cell>
          <cell r="Y360">
            <v>0</v>
          </cell>
        </row>
        <row r="361">
          <cell r="D361">
            <v>10110143</v>
          </cell>
          <cell r="E361" t="str">
            <v>GOMUKH AURA</v>
          </cell>
          <cell r="F361">
            <v>0</v>
          </cell>
          <cell r="G361" t="str">
            <v>MPG</v>
          </cell>
          <cell r="H361" t="str">
            <v>Direct</v>
          </cell>
          <cell r="I361">
            <v>1054</v>
          </cell>
          <cell r="J361" t="str">
            <v xml:space="preserve">Alauli </v>
          </cell>
          <cell r="K361" t="str">
            <v>Old</v>
          </cell>
          <cell r="L361">
            <v>45786</v>
          </cell>
          <cell r="M361">
            <v>1000.0999999999999</v>
          </cell>
          <cell r="N361">
            <v>38970.51</v>
          </cell>
          <cell r="O361">
            <v>750.07499999999993</v>
          </cell>
          <cell r="P361">
            <v>950.09499999999991</v>
          </cell>
          <cell r="Q361">
            <v>0</v>
          </cell>
          <cell r="R361">
            <v>1169.1152999999999</v>
          </cell>
          <cell r="S361">
            <v>219.02030000000002</v>
          </cell>
          <cell r="T361">
            <v>100.00999999999999</v>
          </cell>
          <cell r="U361">
            <v>332.09851947696518</v>
          </cell>
          <cell r="V361">
            <v>1268</v>
          </cell>
          <cell r="W361">
            <v>1268</v>
          </cell>
          <cell r="X361">
            <v>0</v>
          </cell>
          <cell r="Y361">
            <v>0</v>
          </cell>
        </row>
        <row r="362">
          <cell r="D362">
            <v>10110144</v>
          </cell>
          <cell r="E362" t="str">
            <v>GOMUKH BEHORBA</v>
          </cell>
          <cell r="F362">
            <v>0</v>
          </cell>
          <cell r="G362" t="str">
            <v>MPG</v>
          </cell>
          <cell r="H362" t="str">
            <v>Direct</v>
          </cell>
          <cell r="I362">
            <v>1054</v>
          </cell>
          <cell r="J362" t="str">
            <v xml:space="preserve">Alauli </v>
          </cell>
          <cell r="K362" t="str">
            <v>Old</v>
          </cell>
          <cell r="L362">
            <v>45786</v>
          </cell>
          <cell r="M362">
            <v>4860.43</v>
          </cell>
          <cell r="N362">
            <v>179226.21</v>
          </cell>
          <cell r="O362">
            <v>3645.3225000000002</v>
          </cell>
          <cell r="P362">
            <v>4617.4085000000005</v>
          </cell>
          <cell r="Q362">
            <v>0</v>
          </cell>
          <cell r="R362">
            <v>5376.7862999999998</v>
          </cell>
          <cell r="S362">
            <v>759.3777999999993</v>
          </cell>
          <cell r="T362">
            <v>486.04300000000006</v>
          </cell>
          <cell r="U362">
            <v>0</v>
          </cell>
          <cell r="V362">
            <v>7777</v>
          </cell>
          <cell r="W362">
            <v>3584.5241999999998</v>
          </cell>
          <cell r="X362">
            <v>0</v>
          </cell>
          <cell r="Y362">
            <v>0</v>
          </cell>
        </row>
        <row r="363">
          <cell r="D363">
            <v>10110145</v>
          </cell>
          <cell r="E363" t="str">
            <v>GOMUKH SONAPUR BHARAT</v>
          </cell>
          <cell r="F363">
            <v>0</v>
          </cell>
          <cell r="G363" t="str">
            <v>MPG</v>
          </cell>
          <cell r="H363" t="str">
            <v>Direct</v>
          </cell>
          <cell r="I363">
            <v>1055</v>
          </cell>
          <cell r="J363" t="str">
            <v>Matihani</v>
          </cell>
          <cell r="K363" t="str">
            <v>Old</v>
          </cell>
          <cell r="L363">
            <v>45777</v>
          </cell>
          <cell r="M363">
            <v>149.39999999999998</v>
          </cell>
          <cell r="N363">
            <v>6213.25</v>
          </cell>
          <cell r="O363">
            <v>112.04999999999998</v>
          </cell>
          <cell r="P363">
            <v>141.92999999999998</v>
          </cell>
          <cell r="Q363">
            <v>0</v>
          </cell>
          <cell r="R363">
            <v>186.39749999999998</v>
          </cell>
          <cell r="S363">
            <v>44.467500000000001</v>
          </cell>
          <cell r="T363">
            <v>14.939999999999998</v>
          </cell>
          <cell r="U363">
            <v>239.52520754304442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</row>
        <row r="364">
          <cell r="D364">
            <v>10110146</v>
          </cell>
          <cell r="E364" t="str">
            <v>GOMUKH SAIDPUR SAMASTIPUR</v>
          </cell>
          <cell r="F364">
            <v>0</v>
          </cell>
          <cell r="G364" t="str">
            <v>MPG</v>
          </cell>
          <cell r="H364" t="str">
            <v>Direct</v>
          </cell>
          <cell r="I364">
            <v>1011</v>
          </cell>
          <cell r="J364" t="str">
            <v>Sahibpur Kamal</v>
          </cell>
          <cell r="K364" t="str">
            <v>Old</v>
          </cell>
          <cell r="L364">
            <v>45768</v>
          </cell>
          <cell r="M364">
            <v>12069.2</v>
          </cell>
          <cell r="N364">
            <v>464269.20999999996</v>
          </cell>
          <cell r="O364">
            <v>9051.9000000000015</v>
          </cell>
          <cell r="P364">
            <v>11465.74</v>
          </cell>
          <cell r="Q364">
            <v>0</v>
          </cell>
          <cell r="R364">
            <v>13928.076299999999</v>
          </cell>
          <cell r="S364">
            <v>2462.336299999999</v>
          </cell>
          <cell r="T364">
            <v>1206.92</v>
          </cell>
          <cell r="U364">
            <v>0</v>
          </cell>
          <cell r="V364">
            <v>19311</v>
          </cell>
          <cell r="W364">
            <v>0</v>
          </cell>
          <cell r="X364">
            <v>6400</v>
          </cell>
          <cell r="Y364">
            <v>0</v>
          </cell>
        </row>
        <row r="365">
          <cell r="D365">
            <v>10110148</v>
          </cell>
          <cell r="E365" t="str">
            <v>GOMUKH SAHARBANNI</v>
          </cell>
          <cell r="F365">
            <v>0</v>
          </cell>
          <cell r="G365" t="str">
            <v>MPG</v>
          </cell>
          <cell r="H365" t="str">
            <v>Direct</v>
          </cell>
          <cell r="I365">
            <v>1054</v>
          </cell>
          <cell r="J365" t="str">
            <v xml:space="preserve">Alauli </v>
          </cell>
          <cell r="K365" t="str">
            <v>Old</v>
          </cell>
          <cell r="L365">
            <v>45800</v>
          </cell>
          <cell r="M365">
            <v>413.8</v>
          </cell>
          <cell r="N365">
            <v>16447.32</v>
          </cell>
          <cell r="O365">
            <v>310.35000000000002</v>
          </cell>
          <cell r="P365">
            <v>393.11</v>
          </cell>
          <cell r="Q365">
            <v>0</v>
          </cell>
          <cell r="R365">
            <v>493.41959999999995</v>
          </cell>
          <cell r="S365">
            <v>100.30959999999993</v>
          </cell>
          <cell r="T365">
            <v>41.38</v>
          </cell>
          <cell r="U365">
            <v>662.48912670954905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D366">
            <v>10110149</v>
          </cell>
          <cell r="E366" t="str">
            <v>GOMUKH PHULTAURA</v>
          </cell>
          <cell r="F366">
            <v>0</v>
          </cell>
          <cell r="G366" t="str">
            <v>MPG</v>
          </cell>
          <cell r="H366" t="str">
            <v>Direct</v>
          </cell>
          <cell r="I366">
            <v>1054</v>
          </cell>
          <cell r="J366" t="str">
            <v xml:space="preserve">Alauli </v>
          </cell>
          <cell r="K366" t="str">
            <v>Old</v>
          </cell>
          <cell r="L366">
            <v>45805</v>
          </cell>
          <cell r="M366">
            <v>1856</v>
          </cell>
          <cell r="N366">
            <v>70829.069999999992</v>
          </cell>
          <cell r="O366">
            <v>1392</v>
          </cell>
          <cell r="P366">
            <v>1763.1999999999998</v>
          </cell>
          <cell r="Q366">
            <v>0</v>
          </cell>
          <cell r="R366">
            <v>2124.8720999999996</v>
          </cell>
          <cell r="S366">
            <v>361.67209999999977</v>
          </cell>
          <cell r="T366">
            <v>185.60000000000002</v>
          </cell>
          <cell r="U366">
            <v>873.34774587149013</v>
          </cell>
          <cell r="V366">
            <v>2096</v>
          </cell>
          <cell r="W366">
            <v>1861</v>
          </cell>
          <cell r="X366">
            <v>0</v>
          </cell>
          <cell r="Y366">
            <v>0</v>
          </cell>
        </row>
        <row r="367">
          <cell r="D367">
            <v>10110153</v>
          </cell>
          <cell r="E367" t="str">
            <v xml:space="preserve">Jangli Tol Vlc </v>
          </cell>
          <cell r="F367">
            <v>0</v>
          </cell>
          <cell r="G367" t="str">
            <v>vlc</v>
          </cell>
          <cell r="H367" t="str">
            <v>Indirect</v>
          </cell>
          <cell r="I367">
            <v>1011</v>
          </cell>
          <cell r="J367" t="str">
            <v>Sahibpur Kamal</v>
          </cell>
          <cell r="K367" t="str">
            <v>Old</v>
          </cell>
          <cell r="L367">
            <v>45821</v>
          </cell>
          <cell r="M367">
            <v>4484.8000000000011</v>
          </cell>
          <cell r="N367">
            <v>172467.91999999998</v>
          </cell>
          <cell r="O367">
            <v>3363.6000000000008</v>
          </cell>
          <cell r="P367">
            <v>4260.5600000000004</v>
          </cell>
          <cell r="Q367">
            <v>0</v>
          </cell>
          <cell r="R367">
            <v>5174.0375999999997</v>
          </cell>
          <cell r="S367">
            <v>913.47759999999926</v>
          </cell>
          <cell r="T367">
            <v>448.48000000000013</v>
          </cell>
          <cell r="U367">
            <v>168.74529460263494</v>
          </cell>
          <cell r="V367">
            <v>7007</v>
          </cell>
          <cell r="W367">
            <v>0</v>
          </cell>
          <cell r="X367">
            <v>0</v>
          </cell>
          <cell r="Y367">
            <v>0</v>
          </cell>
        </row>
        <row r="368">
          <cell r="D368">
            <v>10110155</v>
          </cell>
          <cell r="E368" t="str">
            <v xml:space="preserve">DILKHUSH KUMAR </v>
          </cell>
          <cell r="F368">
            <v>0</v>
          </cell>
          <cell r="G368" t="str">
            <v>vlc</v>
          </cell>
          <cell r="H368" t="str">
            <v>Indirect</v>
          </cell>
          <cell r="I368">
            <v>1055</v>
          </cell>
          <cell r="J368" t="str">
            <v>Matihani</v>
          </cell>
          <cell r="K368" t="str">
            <v>Old</v>
          </cell>
          <cell r="L368">
            <v>45828</v>
          </cell>
          <cell r="M368">
            <v>817.5</v>
          </cell>
          <cell r="N368">
            <v>30054.05</v>
          </cell>
          <cell r="O368">
            <v>613.125</v>
          </cell>
          <cell r="P368">
            <v>776.625</v>
          </cell>
          <cell r="Q368">
            <v>0</v>
          </cell>
          <cell r="R368">
            <v>901.62149999999997</v>
          </cell>
          <cell r="S368">
            <v>124.99649999999997</v>
          </cell>
          <cell r="T368">
            <v>81.75</v>
          </cell>
          <cell r="U368">
            <v>1308.4445548622884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D369">
            <v>10110158</v>
          </cell>
          <cell r="E369" t="str">
            <v>GOMUKH CHOWKI 2</v>
          </cell>
          <cell r="F369">
            <v>0</v>
          </cell>
          <cell r="G369" t="str">
            <v>MPG</v>
          </cell>
          <cell r="H369" t="str">
            <v>Direct</v>
          </cell>
          <cell r="I369">
            <v>1011</v>
          </cell>
          <cell r="J369" t="str">
            <v>Sahibpur Kamal</v>
          </cell>
          <cell r="K369" t="str">
            <v>Old</v>
          </cell>
          <cell r="L369">
            <v>45845</v>
          </cell>
          <cell r="M369">
            <v>19431.7</v>
          </cell>
          <cell r="N369">
            <v>758933.89000000013</v>
          </cell>
          <cell r="O369">
            <v>14573.775000000001</v>
          </cell>
          <cell r="P369">
            <v>18460.115000000002</v>
          </cell>
          <cell r="Q369">
            <v>0</v>
          </cell>
          <cell r="R369">
            <v>22768.016700000004</v>
          </cell>
          <cell r="S369">
            <v>4307.9017000000022</v>
          </cell>
          <cell r="T369">
            <v>1943.17</v>
          </cell>
          <cell r="U369">
            <v>0</v>
          </cell>
          <cell r="V369">
            <v>31091</v>
          </cell>
          <cell r="W369">
            <v>5731.0055824024748</v>
          </cell>
          <cell r="X369">
            <v>0</v>
          </cell>
          <cell r="Y369">
            <v>0</v>
          </cell>
        </row>
        <row r="370">
          <cell r="D370">
            <v>10110159</v>
          </cell>
          <cell r="E370" t="str">
            <v>GOMUKH MOHABA</v>
          </cell>
          <cell r="F370">
            <v>0</v>
          </cell>
          <cell r="G370" t="str">
            <v>MPG</v>
          </cell>
          <cell r="H370" t="str">
            <v>Direct</v>
          </cell>
          <cell r="I370">
            <v>1011</v>
          </cell>
          <cell r="J370" t="str">
            <v>Sahibpur Kamal</v>
          </cell>
          <cell r="K370" t="str">
            <v>Old</v>
          </cell>
          <cell r="L370">
            <v>45839</v>
          </cell>
          <cell r="M370">
            <v>6534.2000000000007</v>
          </cell>
          <cell r="N370">
            <v>244534.84999999998</v>
          </cell>
          <cell r="O370">
            <v>4900.6500000000005</v>
          </cell>
          <cell r="P370">
            <v>6207.4900000000007</v>
          </cell>
          <cell r="Q370">
            <v>571.85778038400019</v>
          </cell>
          <cell r="R370">
            <v>7336.0454999999993</v>
          </cell>
          <cell r="S370">
            <v>1128.5554999999986</v>
          </cell>
          <cell r="T370">
            <v>653.42000000000007</v>
          </cell>
          <cell r="U370">
            <v>0</v>
          </cell>
          <cell r="V370">
            <v>11027</v>
          </cell>
          <cell r="W370">
            <v>4890.6969999999992</v>
          </cell>
          <cell r="X370">
            <v>0</v>
          </cell>
          <cell r="Y370">
            <v>0</v>
          </cell>
        </row>
        <row r="371">
          <cell r="D371">
            <v>10110160</v>
          </cell>
          <cell r="E371" t="str">
            <v>SANHA VLC</v>
          </cell>
          <cell r="F371">
            <v>0</v>
          </cell>
          <cell r="G371" t="str">
            <v>vlc</v>
          </cell>
          <cell r="H371" t="str">
            <v>Indirect</v>
          </cell>
          <cell r="I371">
            <v>1011</v>
          </cell>
          <cell r="J371" t="str">
            <v>Sahibpur Kamal</v>
          </cell>
          <cell r="K371" t="str">
            <v>Old</v>
          </cell>
          <cell r="L371">
            <v>45850</v>
          </cell>
          <cell r="M371">
            <v>3626.9000000000005</v>
          </cell>
          <cell r="N371">
            <v>128413.55</v>
          </cell>
          <cell r="O371">
            <v>2720.1750000000002</v>
          </cell>
          <cell r="P371">
            <v>3445.5550000000003</v>
          </cell>
          <cell r="Q371">
            <v>0</v>
          </cell>
          <cell r="R371">
            <v>3852.4065000000001</v>
          </cell>
          <cell r="S371">
            <v>406.85149999999976</v>
          </cell>
          <cell r="T371">
            <v>362.69000000000005</v>
          </cell>
          <cell r="U371">
            <v>0</v>
          </cell>
          <cell r="V371">
            <v>5803</v>
          </cell>
          <cell r="W371">
            <v>0</v>
          </cell>
          <cell r="X371">
            <v>0</v>
          </cell>
          <cell r="Y371">
            <v>0</v>
          </cell>
        </row>
        <row r="372">
          <cell r="D372">
            <v>10110161</v>
          </cell>
          <cell r="E372" t="str">
            <v>MOHANPUR VLC</v>
          </cell>
          <cell r="F372">
            <v>0</v>
          </cell>
          <cell r="G372" t="str">
            <v>vlc</v>
          </cell>
          <cell r="H372" t="str">
            <v>Indirect</v>
          </cell>
          <cell r="I372">
            <v>1011</v>
          </cell>
          <cell r="J372" t="str">
            <v>Sahibpur Kamal</v>
          </cell>
          <cell r="K372" t="str">
            <v>Old</v>
          </cell>
          <cell r="L372">
            <v>45849</v>
          </cell>
          <cell r="M372">
            <v>3228</v>
          </cell>
          <cell r="N372">
            <v>112831.89000000001</v>
          </cell>
          <cell r="O372">
            <v>2421</v>
          </cell>
          <cell r="P372">
            <v>3066.6</v>
          </cell>
          <cell r="Q372">
            <v>0</v>
          </cell>
          <cell r="R372">
            <v>3384.9567000000002</v>
          </cell>
          <cell r="S372">
            <v>318.35670000000027</v>
          </cell>
          <cell r="T372">
            <v>322.8</v>
          </cell>
          <cell r="U372">
            <v>4.5251653979238595</v>
          </cell>
          <cell r="V372">
            <v>5160</v>
          </cell>
          <cell r="W372">
            <v>0</v>
          </cell>
          <cell r="X372">
            <v>0</v>
          </cell>
          <cell r="Y372">
            <v>0</v>
          </cell>
        </row>
        <row r="373">
          <cell r="D373">
            <v>10110166</v>
          </cell>
          <cell r="E373" t="str">
            <v>Hiratol VLC</v>
          </cell>
          <cell r="F373">
            <v>0</v>
          </cell>
          <cell r="G373" t="str">
            <v>vlc</v>
          </cell>
          <cell r="H373" t="str">
            <v>Indirect</v>
          </cell>
          <cell r="I373">
            <v>1011</v>
          </cell>
          <cell r="J373" t="str">
            <v>Sahibpur Kamal</v>
          </cell>
          <cell r="K373" t="str">
            <v>Old</v>
          </cell>
          <cell r="L373">
            <v>45863</v>
          </cell>
          <cell r="M373">
            <v>1381.8999999999999</v>
          </cell>
          <cell r="N373">
            <v>49496.47</v>
          </cell>
          <cell r="O373">
            <v>1036.425</v>
          </cell>
          <cell r="P373">
            <v>1312.8049999999998</v>
          </cell>
          <cell r="Q373">
            <v>0</v>
          </cell>
          <cell r="R373">
            <v>1484.8941</v>
          </cell>
          <cell r="S373">
            <v>172.08910000000014</v>
          </cell>
          <cell r="T373">
            <v>138.19</v>
          </cell>
          <cell r="U373">
            <v>1158.3774629482798</v>
          </cell>
          <cell r="V373">
            <v>1053</v>
          </cell>
          <cell r="W373">
            <v>0</v>
          </cell>
          <cell r="X373">
            <v>0</v>
          </cell>
          <cell r="Y373">
            <v>0</v>
          </cell>
        </row>
        <row r="374">
          <cell r="D374">
            <v>10120001</v>
          </cell>
          <cell r="E374" t="str">
            <v>GOMUKH SUBHANPUR</v>
          </cell>
          <cell r="F374">
            <v>0</v>
          </cell>
          <cell r="G374" t="str">
            <v>vlc</v>
          </cell>
          <cell r="H374" t="str">
            <v>Indirect</v>
          </cell>
          <cell r="I374">
            <v>1012</v>
          </cell>
          <cell r="J374" t="str">
            <v>DalsinghSarai</v>
          </cell>
          <cell r="K374" t="str">
            <v>Old</v>
          </cell>
          <cell r="L374">
            <v>43622</v>
          </cell>
          <cell r="M374">
            <v>415.8</v>
          </cell>
          <cell r="N374">
            <v>18896.36</v>
          </cell>
          <cell r="O374">
            <v>311.85000000000002</v>
          </cell>
          <cell r="P374">
            <v>395.01</v>
          </cell>
          <cell r="Q374">
            <v>0</v>
          </cell>
          <cell r="R374">
            <v>566.89080000000001</v>
          </cell>
          <cell r="S374">
            <v>171.88080000000002</v>
          </cell>
          <cell r="T374">
            <v>41.580000000000005</v>
          </cell>
          <cell r="U374">
            <v>665.75490533107222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D375">
            <v>10120002</v>
          </cell>
          <cell r="E375" t="str">
            <v>GOMUKH  BHAJANGAMA</v>
          </cell>
          <cell r="F375">
            <v>0</v>
          </cell>
          <cell r="G375" t="str">
            <v>vlc</v>
          </cell>
          <cell r="H375" t="str">
            <v>Indirect</v>
          </cell>
          <cell r="I375">
            <v>1012</v>
          </cell>
          <cell r="J375" t="str">
            <v>DalsinghSarai</v>
          </cell>
          <cell r="K375" t="str">
            <v>Old</v>
          </cell>
          <cell r="L375">
            <v>43622</v>
          </cell>
          <cell r="M375">
            <v>1842.82</v>
          </cell>
          <cell r="N375">
            <v>71240.31</v>
          </cell>
          <cell r="O375">
            <v>1382.115</v>
          </cell>
          <cell r="P375">
            <v>1750.6789999999999</v>
          </cell>
          <cell r="Q375">
            <v>0</v>
          </cell>
          <cell r="R375">
            <v>2137.2093</v>
          </cell>
          <cell r="S375">
            <v>386.53030000000012</v>
          </cell>
          <cell r="T375">
            <v>184.28200000000001</v>
          </cell>
          <cell r="U375">
            <v>894.73075645767528</v>
          </cell>
          <cell r="V375">
            <v>2054</v>
          </cell>
          <cell r="W375">
            <v>0</v>
          </cell>
          <cell r="X375">
            <v>0</v>
          </cell>
          <cell r="Y375">
            <v>0</v>
          </cell>
        </row>
        <row r="376">
          <cell r="D376">
            <v>10120004</v>
          </cell>
          <cell r="E376" t="str">
            <v>Gomukh Chora Tabhka</v>
          </cell>
          <cell r="F376">
            <v>0</v>
          </cell>
          <cell r="G376" t="str">
            <v>vlc</v>
          </cell>
          <cell r="H376" t="str">
            <v>Indirect</v>
          </cell>
          <cell r="I376">
            <v>1012</v>
          </cell>
          <cell r="J376" t="str">
            <v>DalsinghSarai</v>
          </cell>
          <cell r="K376" t="str">
            <v>Old</v>
          </cell>
          <cell r="L376">
            <v>43671</v>
          </cell>
          <cell r="M376">
            <v>93.9</v>
          </cell>
          <cell r="N376">
            <v>2586.21</v>
          </cell>
          <cell r="O376">
            <v>70.425000000000011</v>
          </cell>
          <cell r="P376">
            <v>89.204999999999998</v>
          </cell>
          <cell r="Q376">
            <v>0</v>
          </cell>
          <cell r="R376">
            <v>77.586299999999994</v>
          </cell>
          <cell r="S376">
            <v>-11.618700000000004</v>
          </cell>
          <cell r="T376">
            <v>9.39</v>
          </cell>
          <cell r="U376">
            <v>150.67985458089674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7">
          <cell r="D377">
            <v>10120005</v>
          </cell>
          <cell r="E377" t="str">
            <v>Gomukh Basadhiya Kurni</v>
          </cell>
          <cell r="F377">
            <v>0</v>
          </cell>
          <cell r="G377" t="str">
            <v>MPG</v>
          </cell>
          <cell r="H377" t="str">
            <v>Direct</v>
          </cell>
          <cell r="I377">
            <v>1012</v>
          </cell>
          <cell r="J377" t="str">
            <v>DalsinghSarai</v>
          </cell>
          <cell r="K377" t="str">
            <v>Old</v>
          </cell>
          <cell r="L377">
            <v>43678</v>
          </cell>
          <cell r="M377">
            <v>1547.53</v>
          </cell>
          <cell r="N377">
            <v>59843.759999999995</v>
          </cell>
          <cell r="O377">
            <v>1160.6475</v>
          </cell>
          <cell r="P377">
            <v>1470.1534999999999</v>
          </cell>
          <cell r="Q377">
            <v>0</v>
          </cell>
          <cell r="R377">
            <v>1795.3127999999997</v>
          </cell>
          <cell r="S377">
            <v>325.1592999999998</v>
          </cell>
          <cell r="T377">
            <v>154.75300000000001</v>
          </cell>
          <cell r="U377">
            <v>1123.0508350270852</v>
          </cell>
          <cell r="V377">
            <v>1353</v>
          </cell>
          <cell r="W377">
            <v>1353</v>
          </cell>
          <cell r="X377">
            <v>0</v>
          </cell>
          <cell r="Y377">
            <v>0</v>
          </cell>
        </row>
        <row r="378">
          <cell r="D378">
            <v>10120006</v>
          </cell>
          <cell r="E378" t="str">
            <v>KHAJURI</v>
          </cell>
          <cell r="F378">
            <v>0</v>
          </cell>
          <cell r="G378" t="str">
            <v>MPG</v>
          </cell>
          <cell r="H378" t="str">
            <v>Direct</v>
          </cell>
          <cell r="I378">
            <v>1012</v>
          </cell>
          <cell r="J378" t="str">
            <v>DalsinghSarai</v>
          </cell>
          <cell r="K378" t="str">
            <v>Old</v>
          </cell>
          <cell r="L378">
            <v>43731</v>
          </cell>
          <cell r="M378">
            <v>1638.4799999999998</v>
          </cell>
          <cell r="N378">
            <v>61126.899999999994</v>
          </cell>
          <cell r="O378">
            <v>1228.8599999999999</v>
          </cell>
          <cell r="P378">
            <v>1556.5559999999998</v>
          </cell>
          <cell r="Q378">
            <v>897.3258922980001</v>
          </cell>
          <cell r="R378">
            <v>1833.8069999999998</v>
          </cell>
          <cell r="S378">
            <v>277.25099999999998</v>
          </cell>
          <cell r="T378">
            <v>163.84799999999998</v>
          </cell>
          <cell r="U378">
            <v>1015.2971420861911</v>
          </cell>
          <cell r="V378">
            <v>2504</v>
          </cell>
          <cell r="W378">
            <v>0</v>
          </cell>
          <cell r="X378">
            <v>0</v>
          </cell>
          <cell r="Y378">
            <v>0</v>
          </cell>
        </row>
        <row r="379">
          <cell r="D379">
            <v>10120007</v>
          </cell>
          <cell r="E379" t="str">
            <v>ARMAULI-2</v>
          </cell>
          <cell r="F379">
            <v>0</v>
          </cell>
          <cell r="G379" t="str">
            <v>MPG</v>
          </cell>
          <cell r="H379" t="str">
            <v>Direct</v>
          </cell>
          <cell r="I379">
            <v>1012</v>
          </cell>
          <cell r="J379" t="str">
            <v>DalsinghSarai</v>
          </cell>
          <cell r="K379" t="str">
            <v>Old</v>
          </cell>
          <cell r="L379">
            <v>43731</v>
          </cell>
          <cell r="M379">
            <v>5803.3799999999992</v>
          </cell>
          <cell r="N379">
            <v>232481.50999999998</v>
          </cell>
          <cell r="O379">
            <v>4352.5349999999999</v>
          </cell>
          <cell r="P379">
            <v>5513.2109999999993</v>
          </cell>
          <cell r="Q379">
            <v>2829.7066073760002</v>
          </cell>
          <cell r="R379">
            <v>6974.4452999999994</v>
          </cell>
          <cell r="S379">
            <v>1461.2343000000001</v>
          </cell>
          <cell r="T379">
            <v>580.33799999999997</v>
          </cell>
          <cell r="U379">
            <v>0</v>
          </cell>
          <cell r="V379">
            <v>12115</v>
          </cell>
          <cell r="W379">
            <v>0</v>
          </cell>
          <cell r="X379">
            <v>0</v>
          </cell>
          <cell r="Y379">
            <v>0</v>
          </cell>
        </row>
        <row r="380">
          <cell r="D380">
            <v>10120008</v>
          </cell>
          <cell r="E380" t="str">
            <v>MUSAPUR - 2</v>
          </cell>
          <cell r="F380">
            <v>0</v>
          </cell>
          <cell r="G380" t="str">
            <v>vlc</v>
          </cell>
          <cell r="H380" t="str">
            <v>Indirect</v>
          </cell>
          <cell r="I380">
            <v>1012</v>
          </cell>
          <cell r="J380" t="str">
            <v>DalsinghSarai</v>
          </cell>
          <cell r="K380" t="str">
            <v>Old</v>
          </cell>
          <cell r="L380">
            <v>43756</v>
          </cell>
          <cell r="M380">
            <v>381.12</v>
          </cell>
          <cell r="N380">
            <v>13370.41</v>
          </cell>
          <cell r="O380">
            <v>285.84000000000003</v>
          </cell>
          <cell r="P380">
            <v>362.06399999999996</v>
          </cell>
          <cell r="Q380">
            <v>0</v>
          </cell>
          <cell r="R380">
            <v>401.1123</v>
          </cell>
          <cell r="S380">
            <v>39.04830000000004</v>
          </cell>
          <cell r="T380">
            <v>38.112000000000002</v>
          </cell>
          <cell r="U380">
            <v>609.56904360965245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D381">
            <v>10120010</v>
          </cell>
          <cell r="E381" t="str">
            <v>Janganath Pur</v>
          </cell>
          <cell r="F381">
            <v>0</v>
          </cell>
          <cell r="G381" t="str">
            <v>vlc</v>
          </cell>
          <cell r="H381" t="str">
            <v>Indirect</v>
          </cell>
          <cell r="I381">
            <v>1012</v>
          </cell>
          <cell r="J381" t="str">
            <v>DalsinghSarai</v>
          </cell>
          <cell r="K381" t="str">
            <v>Old</v>
          </cell>
          <cell r="L381">
            <v>43903</v>
          </cell>
          <cell r="M381">
            <v>8653.01</v>
          </cell>
          <cell r="N381">
            <v>371262.82</v>
          </cell>
          <cell r="O381">
            <v>6489.7574999999997</v>
          </cell>
          <cell r="P381">
            <v>8220.3595000000005</v>
          </cell>
          <cell r="Q381">
            <v>0</v>
          </cell>
          <cell r="R381">
            <v>11137.884599999999</v>
          </cell>
          <cell r="S381">
            <v>2917.5250999999989</v>
          </cell>
          <cell r="T381">
            <v>865.30100000000004</v>
          </cell>
          <cell r="U381">
            <v>0</v>
          </cell>
          <cell r="V381">
            <v>13845</v>
          </cell>
          <cell r="W381">
            <v>848.75699999999961</v>
          </cell>
          <cell r="X381">
            <v>0</v>
          </cell>
          <cell r="Y381">
            <v>0</v>
          </cell>
        </row>
        <row r="382">
          <cell r="D382">
            <v>10120011</v>
          </cell>
          <cell r="E382" t="str">
            <v>Nagargama</v>
          </cell>
          <cell r="F382">
            <v>0</v>
          </cell>
          <cell r="G382" t="str">
            <v>vlc</v>
          </cell>
          <cell r="H382" t="str">
            <v>Indirect</v>
          </cell>
          <cell r="I382">
            <v>1012</v>
          </cell>
          <cell r="J382" t="str">
            <v>DalsinghSarai</v>
          </cell>
          <cell r="K382" t="str">
            <v>Old</v>
          </cell>
          <cell r="L382">
            <v>43917</v>
          </cell>
          <cell r="M382">
            <v>1715.09</v>
          </cell>
          <cell r="N382">
            <v>67719.91</v>
          </cell>
          <cell r="O382">
            <v>1286.3174999999999</v>
          </cell>
          <cell r="P382">
            <v>1629.3354999999999</v>
          </cell>
          <cell r="Q382">
            <v>0</v>
          </cell>
          <cell r="R382">
            <v>2031.5973000000001</v>
          </cell>
          <cell r="S382">
            <v>402.26180000000022</v>
          </cell>
          <cell r="T382">
            <v>171.50900000000001</v>
          </cell>
          <cell r="U382">
            <v>957.78735324853369</v>
          </cell>
          <cell r="V382">
            <v>1786</v>
          </cell>
          <cell r="W382">
            <v>0</v>
          </cell>
          <cell r="X382">
            <v>0</v>
          </cell>
          <cell r="Y382">
            <v>0</v>
          </cell>
        </row>
        <row r="383">
          <cell r="D383">
            <v>10120012</v>
          </cell>
          <cell r="E383" t="str">
            <v>Sato Ghachchhi</v>
          </cell>
          <cell r="F383">
            <v>0</v>
          </cell>
          <cell r="G383" t="str">
            <v>MPG</v>
          </cell>
          <cell r="H383" t="str">
            <v>Direct</v>
          </cell>
          <cell r="I383">
            <v>1012</v>
          </cell>
          <cell r="J383" t="str">
            <v>DalsinghSarai</v>
          </cell>
          <cell r="K383" t="str">
            <v>Old</v>
          </cell>
          <cell r="L383">
            <v>43924</v>
          </cell>
          <cell r="M383">
            <v>3192.3199999999997</v>
          </cell>
          <cell r="N383">
            <v>143638.15</v>
          </cell>
          <cell r="O383">
            <v>2394.2399999999998</v>
          </cell>
          <cell r="P383">
            <v>3032.7039999999997</v>
          </cell>
          <cell r="Q383">
            <v>2685.8264685821</v>
          </cell>
          <cell r="R383">
            <v>4309.1444999999994</v>
          </cell>
          <cell r="S383">
            <v>1276.4404999999997</v>
          </cell>
          <cell r="T383">
            <v>319.23199999999997</v>
          </cell>
          <cell r="U383">
            <v>0</v>
          </cell>
          <cell r="V383">
            <v>7794</v>
          </cell>
          <cell r="W383">
            <v>0</v>
          </cell>
          <cell r="X383">
            <v>0</v>
          </cell>
          <cell r="Y383">
            <v>0</v>
          </cell>
        </row>
        <row r="384">
          <cell r="D384">
            <v>10120013</v>
          </cell>
          <cell r="E384" t="str">
            <v>Bhatgama</v>
          </cell>
          <cell r="F384">
            <v>0</v>
          </cell>
          <cell r="G384" t="str">
            <v>vlc</v>
          </cell>
          <cell r="H384" t="str">
            <v>Indirect</v>
          </cell>
          <cell r="I384">
            <v>1012</v>
          </cell>
          <cell r="J384" t="str">
            <v>DalsinghSarai</v>
          </cell>
          <cell r="K384" t="str">
            <v>Old</v>
          </cell>
          <cell r="L384">
            <v>43935</v>
          </cell>
          <cell r="M384">
            <v>1869.27</v>
          </cell>
          <cell r="N384">
            <v>59537.869999999995</v>
          </cell>
          <cell r="O384">
            <v>1401.9524999999999</v>
          </cell>
          <cell r="P384">
            <v>1775.8064999999999</v>
          </cell>
          <cell r="Q384">
            <v>0</v>
          </cell>
          <cell r="R384">
            <v>1786.1360999999997</v>
          </cell>
          <cell r="S384">
            <v>10.3295999999998</v>
          </cell>
          <cell r="T384">
            <v>186.92700000000002</v>
          </cell>
          <cell r="U384">
            <v>720.42543202524678</v>
          </cell>
          <cell r="V384">
            <v>2270</v>
          </cell>
          <cell r="W384">
            <v>0</v>
          </cell>
          <cell r="X384">
            <v>0</v>
          </cell>
          <cell r="Y384">
            <v>0</v>
          </cell>
        </row>
        <row r="385">
          <cell r="D385">
            <v>10120014</v>
          </cell>
          <cell r="E385" t="str">
            <v>Borna Rasalpur</v>
          </cell>
          <cell r="F385">
            <v>0</v>
          </cell>
          <cell r="G385" t="str">
            <v>MPG</v>
          </cell>
          <cell r="H385" t="str">
            <v>Direct</v>
          </cell>
          <cell r="I385">
            <v>1012</v>
          </cell>
          <cell r="J385" t="str">
            <v>DalsinghSarai</v>
          </cell>
          <cell r="K385" t="str">
            <v>Old</v>
          </cell>
          <cell r="L385">
            <v>43936</v>
          </cell>
          <cell r="M385">
            <v>4315.5399999999991</v>
          </cell>
          <cell r="N385">
            <v>177711.81999999995</v>
          </cell>
          <cell r="O385">
            <v>3236.6549999999993</v>
          </cell>
          <cell r="P385">
            <v>4099.762999999999</v>
          </cell>
          <cell r="Q385">
            <v>449.50528786800004</v>
          </cell>
          <cell r="R385">
            <v>5331.3545999999978</v>
          </cell>
          <cell r="S385">
            <v>1231.5915999999988</v>
          </cell>
          <cell r="T385">
            <v>431.55399999999992</v>
          </cell>
          <cell r="U385">
            <v>0</v>
          </cell>
          <cell r="V385">
            <v>7354</v>
          </cell>
          <cell r="W385">
            <v>0</v>
          </cell>
          <cell r="X385">
            <v>0</v>
          </cell>
          <cell r="Y385">
            <v>0</v>
          </cell>
        </row>
        <row r="386">
          <cell r="D386">
            <v>10120015</v>
          </cell>
          <cell r="E386" t="str">
            <v>Rasalpur</v>
          </cell>
          <cell r="F386">
            <v>0</v>
          </cell>
          <cell r="G386" t="str">
            <v>MPG</v>
          </cell>
          <cell r="H386" t="str">
            <v>Direct</v>
          </cell>
          <cell r="I386">
            <v>1012</v>
          </cell>
          <cell r="J386" t="str">
            <v>DalsinghSarai</v>
          </cell>
          <cell r="K386" t="str">
            <v>Old</v>
          </cell>
          <cell r="L386">
            <v>43942</v>
          </cell>
          <cell r="M386">
            <v>4734.5200000000004</v>
          </cell>
          <cell r="N386">
            <v>182513.5</v>
          </cell>
          <cell r="O386">
            <v>3550.8900000000003</v>
          </cell>
          <cell r="P386">
            <v>4497.7939999999999</v>
          </cell>
          <cell r="Q386">
            <v>0</v>
          </cell>
          <cell r="R386">
            <v>5475.4049999999997</v>
          </cell>
          <cell r="S386">
            <v>977.61099999999988</v>
          </cell>
          <cell r="T386">
            <v>473.45200000000006</v>
          </cell>
          <cell r="U386">
            <v>0</v>
          </cell>
          <cell r="V386">
            <v>7575</v>
          </cell>
          <cell r="W386">
            <v>0</v>
          </cell>
          <cell r="X386">
            <v>0</v>
          </cell>
          <cell r="Y386">
            <v>0</v>
          </cell>
        </row>
        <row r="387">
          <cell r="D387">
            <v>10120016</v>
          </cell>
          <cell r="E387" t="str">
            <v>Narahan</v>
          </cell>
          <cell r="F387">
            <v>0</v>
          </cell>
          <cell r="G387" t="str">
            <v>MPG</v>
          </cell>
          <cell r="H387" t="str">
            <v>Direct</v>
          </cell>
          <cell r="I387">
            <v>1012</v>
          </cell>
          <cell r="J387" t="str">
            <v>DalsinghSarai</v>
          </cell>
          <cell r="K387" t="str">
            <v>Old</v>
          </cell>
          <cell r="L387">
            <v>44120</v>
          </cell>
          <cell r="M387">
            <v>1324.5300000000002</v>
          </cell>
          <cell r="N387">
            <v>52023.91</v>
          </cell>
          <cell r="O387">
            <v>993.39750000000015</v>
          </cell>
          <cell r="P387">
            <v>1258.3035000000002</v>
          </cell>
          <cell r="Q387">
            <v>2281.7303305996402</v>
          </cell>
          <cell r="R387">
            <v>1560.7173</v>
          </cell>
          <cell r="S387">
            <v>302.41379999999981</v>
          </cell>
          <cell r="T387">
            <v>132.45300000000003</v>
          </cell>
          <cell r="U387">
            <v>1316.4183105627096</v>
          </cell>
          <cell r="V387">
            <v>3085</v>
          </cell>
          <cell r="W387">
            <v>861</v>
          </cell>
          <cell r="X387">
            <v>0</v>
          </cell>
          <cell r="Y387">
            <v>0</v>
          </cell>
        </row>
        <row r="388">
          <cell r="D388">
            <v>10120017</v>
          </cell>
          <cell r="E388" t="str">
            <v>Gomukh Dumduma</v>
          </cell>
          <cell r="F388">
            <v>0</v>
          </cell>
          <cell r="G388" t="str">
            <v>MPG</v>
          </cell>
          <cell r="H388" t="str">
            <v>Direct</v>
          </cell>
          <cell r="I388">
            <v>1012</v>
          </cell>
          <cell r="J388" t="str">
            <v>DalsinghSarai</v>
          </cell>
          <cell r="K388" t="str">
            <v>Old</v>
          </cell>
          <cell r="L388">
            <v>44135</v>
          </cell>
          <cell r="M388">
            <v>2151.2999999999993</v>
          </cell>
          <cell r="N388">
            <v>82855.83</v>
          </cell>
          <cell r="O388">
            <v>1613.4749999999995</v>
          </cell>
          <cell r="P388">
            <v>2043.7349999999992</v>
          </cell>
          <cell r="Q388">
            <v>0</v>
          </cell>
          <cell r="R388">
            <v>2485.6749</v>
          </cell>
          <cell r="S388">
            <v>441.93990000000076</v>
          </cell>
          <cell r="T388">
            <v>215.12999999999994</v>
          </cell>
          <cell r="U388">
            <v>659.5856668917138</v>
          </cell>
          <cell r="V388">
            <v>2782</v>
          </cell>
          <cell r="W388">
            <v>0</v>
          </cell>
          <cell r="X388">
            <v>0</v>
          </cell>
          <cell r="Y388">
            <v>0</v>
          </cell>
        </row>
        <row r="389">
          <cell r="D389">
            <v>10120018</v>
          </cell>
          <cell r="E389" t="str">
            <v>SUPOL</v>
          </cell>
          <cell r="F389">
            <v>0</v>
          </cell>
          <cell r="G389" t="str">
            <v>MPG</v>
          </cell>
          <cell r="H389" t="str">
            <v>Direct</v>
          </cell>
          <cell r="I389">
            <v>1012</v>
          </cell>
          <cell r="J389" t="str">
            <v>DalsinghSarai</v>
          </cell>
          <cell r="K389" t="str">
            <v>Old</v>
          </cell>
          <cell r="L389">
            <v>44162</v>
          </cell>
          <cell r="M389">
            <v>1358.48</v>
          </cell>
          <cell r="N389">
            <v>52672.98</v>
          </cell>
          <cell r="O389">
            <v>1018.86</v>
          </cell>
          <cell r="P389">
            <v>1290.556</v>
          </cell>
          <cell r="Q389">
            <v>139.06041870599998</v>
          </cell>
          <cell r="R389">
            <v>1580.1894</v>
          </cell>
          <cell r="S389">
            <v>289.63339999999994</v>
          </cell>
          <cell r="T389">
            <v>135.84800000000001</v>
          </cell>
          <cell r="U389">
            <v>1271.9492839425286</v>
          </cell>
          <cell r="V389">
            <v>1041</v>
          </cell>
          <cell r="W389">
            <v>0</v>
          </cell>
          <cell r="X389">
            <v>1041</v>
          </cell>
          <cell r="Y389">
            <v>0</v>
          </cell>
        </row>
        <row r="390">
          <cell r="D390">
            <v>10120019</v>
          </cell>
          <cell r="E390" t="str">
            <v>BHUSARAI</v>
          </cell>
          <cell r="F390">
            <v>0</v>
          </cell>
          <cell r="G390" t="str">
            <v>MPG</v>
          </cell>
          <cell r="H390" t="str">
            <v>Direct</v>
          </cell>
          <cell r="I390">
            <v>1012</v>
          </cell>
          <cell r="J390" t="str">
            <v>DalsinghSarai</v>
          </cell>
          <cell r="K390" t="str">
            <v>Old</v>
          </cell>
          <cell r="L390">
            <v>44165</v>
          </cell>
          <cell r="M390">
            <v>1170.98</v>
          </cell>
          <cell r="N390">
            <v>44538.740000000005</v>
          </cell>
          <cell r="O390">
            <v>878.23500000000001</v>
          </cell>
          <cell r="P390">
            <v>1112.431</v>
          </cell>
          <cell r="Q390">
            <v>557.34775402679998</v>
          </cell>
          <cell r="R390">
            <v>1336.1622000000002</v>
          </cell>
          <cell r="S390">
            <v>223.73120000000017</v>
          </cell>
          <cell r="T390">
            <v>117.09800000000001</v>
          </cell>
          <cell r="U390">
            <v>1390.8837100988997</v>
          </cell>
          <cell r="V390">
            <v>1040</v>
          </cell>
          <cell r="W390">
            <v>1040</v>
          </cell>
          <cell r="X390">
            <v>0</v>
          </cell>
          <cell r="Y390">
            <v>0</v>
          </cell>
        </row>
        <row r="391">
          <cell r="D391">
            <v>10120022</v>
          </cell>
          <cell r="E391" t="str">
            <v>Gomukha Jounapur</v>
          </cell>
          <cell r="F391">
            <v>0</v>
          </cell>
          <cell r="G391" t="str">
            <v>vlc</v>
          </cell>
          <cell r="H391" t="str">
            <v>Indirect</v>
          </cell>
          <cell r="I391">
            <v>1012</v>
          </cell>
          <cell r="J391" t="str">
            <v>DalsinghSarai</v>
          </cell>
          <cell r="K391" t="str">
            <v>Old</v>
          </cell>
          <cell r="L391">
            <v>44184</v>
          </cell>
          <cell r="M391">
            <v>1099.23</v>
          </cell>
          <cell r="N391">
            <v>45330.239999999998</v>
          </cell>
          <cell r="O391">
            <v>824.42250000000001</v>
          </cell>
          <cell r="P391">
            <v>1044.2684999999999</v>
          </cell>
          <cell r="Q391">
            <v>0</v>
          </cell>
          <cell r="R391">
            <v>1359.9071999999999</v>
          </cell>
          <cell r="S391">
            <v>315.63869999999997</v>
          </cell>
          <cell r="T391">
            <v>109.923</v>
          </cell>
          <cell r="U391">
            <v>1569.4091013682735</v>
          </cell>
          <cell r="V391">
            <v>189</v>
          </cell>
          <cell r="W391">
            <v>0</v>
          </cell>
          <cell r="X391">
            <v>0</v>
          </cell>
          <cell r="Y391">
            <v>189</v>
          </cell>
        </row>
        <row r="392">
          <cell r="D392">
            <v>10120023</v>
          </cell>
          <cell r="E392" t="str">
            <v>Patailliya</v>
          </cell>
          <cell r="F392">
            <v>0</v>
          </cell>
          <cell r="G392" t="str">
            <v>vlc</v>
          </cell>
          <cell r="H392" t="str">
            <v>Indirect</v>
          </cell>
          <cell r="I392">
            <v>1012</v>
          </cell>
          <cell r="J392" t="str">
            <v>DalsinghSarai</v>
          </cell>
          <cell r="K392" t="str">
            <v>Old</v>
          </cell>
          <cell r="L392">
            <v>44190</v>
          </cell>
          <cell r="M392">
            <v>1242.6199999999999</v>
          </cell>
          <cell r="N392">
            <v>46378.039999999994</v>
          </cell>
          <cell r="O392">
            <v>931.96499999999992</v>
          </cell>
          <cell r="P392">
            <v>1180.4889999999998</v>
          </cell>
          <cell r="Q392">
            <v>0</v>
          </cell>
          <cell r="R392">
            <v>1391.3411999999998</v>
          </cell>
          <cell r="S392">
            <v>210.85220000000004</v>
          </cell>
          <cell r="T392">
            <v>124.262</v>
          </cell>
          <cell r="U392">
            <v>1307.3263340064891</v>
          </cell>
          <cell r="V392">
            <v>681</v>
          </cell>
          <cell r="W392">
            <v>0</v>
          </cell>
          <cell r="X392">
            <v>0</v>
          </cell>
          <cell r="Y392">
            <v>0</v>
          </cell>
        </row>
        <row r="393">
          <cell r="D393">
            <v>10120024</v>
          </cell>
          <cell r="E393" t="str">
            <v>Badiya</v>
          </cell>
          <cell r="F393">
            <v>0</v>
          </cell>
          <cell r="G393" t="str">
            <v>vlc</v>
          </cell>
          <cell r="H393" t="str">
            <v>Indirect</v>
          </cell>
          <cell r="I393">
            <v>1012</v>
          </cell>
          <cell r="J393" t="str">
            <v>DalsinghSarai</v>
          </cell>
          <cell r="K393" t="str">
            <v>Old</v>
          </cell>
          <cell r="L393">
            <v>44190</v>
          </cell>
          <cell r="M393">
            <v>1363.5099999999998</v>
          </cell>
          <cell r="N393">
            <v>49530.48</v>
          </cell>
          <cell r="O393">
            <v>1022.6324999999998</v>
          </cell>
          <cell r="P393">
            <v>1295.3344999999997</v>
          </cell>
          <cell r="Q393">
            <v>0</v>
          </cell>
          <cell r="R393">
            <v>1485.9144000000001</v>
          </cell>
          <cell r="S393">
            <v>190.57990000000041</v>
          </cell>
          <cell r="T393">
            <v>136.35099999999997</v>
          </cell>
          <cell r="U393">
            <v>1188.7394966776765</v>
          </cell>
          <cell r="V393">
            <v>993</v>
          </cell>
          <cell r="W393">
            <v>0</v>
          </cell>
          <cell r="X393">
            <v>0</v>
          </cell>
          <cell r="Y393">
            <v>0</v>
          </cell>
        </row>
        <row r="394">
          <cell r="D394">
            <v>10120025</v>
          </cell>
          <cell r="E394" t="str">
            <v>Gomukh Tabhka</v>
          </cell>
          <cell r="F394">
            <v>0</v>
          </cell>
          <cell r="G394" t="str">
            <v>MPG</v>
          </cell>
          <cell r="H394" t="str">
            <v>Direct</v>
          </cell>
          <cell r="I394">
            <v>1012</v>
          </cell>
          <cell r="J394" t="str">
            <v>DalsinghSarai</v>
          </cell>
          <cell r="K394" t="str">
            <v>Old</v>
          </cell>
          <cell r="L394">
            <v>44453</v>
          </cell>
          <cell r="M394">
            <v>9526.7799999999988</v>
          </cell>
          <cell r="N394">
            <v>381502.71999999997</v>
          </cell>
          <cell r="O394">
            <v>7145.0849999999991</v>
          </cell>
          <cell r="P394">
            <v>9050.4409999999989</v>
          </cell>
          <cell r="Q394">
            <v>2606.6973505313999</v>
          </cell>
          <cell r="R394">
            <v>11445.0816</v>
          </cell>
          <cell r="S394">
            <v>2394.6406000000006</v>
          </cell>
          <cell r="T394">
            <v>952.67799999999988</v>
          </cell>
          <cell r="U394">
            <v>0</v>
          </cell>
          <cell r="V394">
            <v>17850</v>
          </cell>
          <cell r="W394">
            <v>0</v>
          </cell>
          <cell r="X394">
            <v>0</v>
          </cell>
          <cell r="Y394">
            <v>0</v>
          </cell>
        </row>
        <row r="395">
          <cell r="D395">
            <v>10120026</v>
          </cell>
          <cell r="E395" t="str">
            <v>Ghato</v>
          </cell>
          <cell r="F395">
            <v>0</v>
          </cell>
          <cell r="G395" t="str">
            <v>vlc</v>
          </cell>
          <cell r="H395" t="str">
            <v>Indirect</v>
          </cell>
          <cell r="I395">
            <v>1012</v>
          </cell>
          <cell r="J395" t="str">
            <v>DalsinghSarai</v>
          </cell>
          <cell r="K395" t="str">
            <v>Old</v>
          </cell>
          <cell r="L395">
            <v>44571</v>
          </cell>
          <cell r="M395">
            <v>143.41</v>
          </cell>
          <cell r="N395">
            <v>4627.1500000000005</v>
          </cell>
          <cell r="O395">
            <v>107.5575</v>
          </cell>
          <cell r="P395">
            <v>136.23949999999999</v>
          </cell>
          <cell r="Q395">
            <v>0</v>
          </cell>
          <cell r="R395">
            <v>138.81450000000001</v>
          </cell>
          <cell r="S395">
            <v>2.5750000000000171</v>
          </cell>
          <cell r="T395">
            <v>14.341000000000001</v>
          </cell>
          <cell r="U395">
            <v>229.25917555011006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</row>
        <row r="396">
          <cell r="D396">
            <v>10120029</v>
          </cell>
          <cell r="E396" t="str">
            <v xml:space="preserve">RAMNATHPUR                                                                                          </v>
          </cell>
          <cell r="F396">
            <v>0</v>
          </cell>
          <cell r="G396" t="str">
            <v>MPG</v>
          </cell>
          <cell r="H396" t="str">
            <v>Direct</v>
          </cell>
          <cell r="I396">
            <v>1012</v>
          </cell>
          <cell r="J396" t="str">
            <v>DalsinghSarai</v>
          </cell>
          <cell r="K396" t="str">
            <v>Old</v>
          </cell>
          <cell r="L396">
            <v>44729</v>
          </cell>
          <cell r="M396">
            <v>3577.4300000000003</v>
          </cell>
          <cell r="N396">
            <v>141039.62</v>
          </cell>
          <cell r="O396">
            <v>2683.0725000000002</v>
          </cell>
          <cell r="P396">
            <v>3398.5585000000001</v>
          </cell>
          <cell r="Q396">
            <v>1367.9724547504004</v>
          </cell>
          <cell r="R396">
            <v>4231.1885999999995</v>
          </cell>
          <cell r="S396">
            <v>832.6300999999994</v>
          </cell>
          <cell r="T396">
            <v>357.74300000000005</v>
          </cell>
          <cell r="U396">
            <v>99.488596892976446</v>
          </cell>
          <cell r="V396">
            <v>6992</v>
          </cell>
          <cell r="W396">
            <v>0</v>
          </cell>
          <cell r="X396">
            <v>2820.7923999999998</v>
          </cell>
          <cell r="Y396">
            <v>0</v>
          </cell>
        </row>
        <row r="397">
          <cell r="D397">
            <v>10120030</v>
          </cell>
          <cell r="E397" t="str">
            <v>KEWAS JAGIR</v>
          </cell>
          <cell r="F397">
            <v>0</v>
          </cell>
          <cell r="G397" t="str">
            <v>MPG</v>
          </cell>
          <cell r="H397" t="str">
            <v>Direct</v>
          </cell>
          <cell r="I397">
            <v>1012</v>
          </cell>
          <cell r="J397" t="str">
            <v>DalsinghSarai</v>
          </cell>
          <cell r="K397" t="str">
            <v>Old</v>
          </cell>
          <cell r="L397">
            <v>44776</v>
          </cell>
          <cell r="M397">
            <v>536.60000000000014</v>
          </cell>
          <cell r="N397">
            <v>23433.08</v>
          </cell>
          <cell r="O397">
            <v>402.4500000000001</v>
          </cell>
          <cell r="P397">
            <v>509.7700000000001</v>
          </cell>
          <cell r="Q397">
            <v>0</v>
          </cell>
          <cell r="R397">
            <v>702.99239999999998</v>
          </cell>
          <cell r="S397">
            <v>193.22239999999988</v>
          </cell>
          <cell r="T397">
            <v>53.660000000000018</v>
          </cell>
          <cell r="U397">
            <v>858.5269766149911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</row>
        <row r="398">
          <cell r="D398">
            <v>10120031</v>
          </cell>
          <cell r="E398" t="str">
            <v>DESUA</v>
          </cell>
          <cell r="F398">
            <v>0</v>
          </cell>
          <cell r="G398" t="str">
            <v>MPG</v>
          </cell>
          <cell r="H398" t="str">
            <v>Direct</v>
          </cell>
          <cell r="I398">
            <v>1012</v>
          </cell>
          <cell r="J398" t="str">
            <v>DalsinghSarai</v>
          </cell>
          <cell r="K398" t="str">
            <v>Old</v>
          </cell>
          <cell r="L398">
            <v>44835</v>
          </cell>
          <cell r="M398">
            <v>1588.8700000000001</v>
          </cell>
          <cell r="N398">
            <v>58239.860000000008</v>
          </cell>
          <cell r="O398">
            <v>1191.6525000000001</v>
          </cell>
          <cell r="P398">
            <v>1509.4265</v>
          </cell>
          <cell r="Q398">
            <v>136.97768620800002</v>
          </cell>
          <cell r="R398">
            <v>1747.1958000000002</v>
          </cell>
          <cell r="S398">
            <v>237.76930000000016</v>
          </cell>
          <cell r="T398">
            <v>158.88700000000003</v>
          </cell>
          <cell r="U398">
            <v>1033.2958613986041</v>
          </cell>
          <cell r="V398">
            <v>1646</v>
          </cell>
          <cell r="W398">
            <v>0</v>
          </cell>
          <cell r="X398">
            <v>1164.7972000000002</v>
          </cell>
          <cell r="Y398">
            <v>0</v>
          </cell>
        </row>
        <row r="399">
          <cell r="D399">
            <v>10120034</v>
          </cell>
          <cell r="E399" t="str">
            <v>Matior</v>
          </cell>
          <cell r="F399">
            <v>0</v>
          </cell>
          <cell r="G399" t="str">
            <v>MPG</v>
          </cell>
          <cell r="H399" t="str">
            <v>Direct</v>
          </cell>
          <cell r="I399">
            <v>1012</v>
          </cell>
          <cell r="J399" t="str">
            <v>DalsinghSarai</v>
          </cell>
          <cell r="K399" t="str">
            <v>Old</v>
          </cell>
          <cell r="L399">
            <v>44942</v>
          </cell>
          <cell r="M399">
            <v>425.82000000000005</v>
          </cell>
          <cell r="N399">
            <v>16144.66</v>
          </cell>
          <cell r="O399">
            <v>319.36500000000001</v>
          </cell>
          <cell r="P399">
            <v>404.52900000000005</v>
          </cell>
          <cell r="Q399">
            <v>0</v>
          </cell>
          <cell r="R399">
            <v>484.33979999999997</v>
          </cell>
          <cell r="S399">
            <v>79.810799999999915</v>
          </cell>
          <cell r="T399">
            <v>42.582000000000008</v>
          </cell>
          <cell r="U399">
            <v>680.96034362103501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D400">
            <v>10120035</v>
          </cell>
          <cell r="E400" t="str">
            <v>TELGAMA</v>
          </cell>
          <cell r="F400">
            <v>0</v>
          </cell>
          <cell r="G400" t="str">
            <v>vlc</v>
          </cell>
          <cell r="H400" t="str">
            <v>Indirect</v>
          </cell>
          <cell r="I400">
            <v>1012</v>
          </cell>
          <cell r="J400" t="str">
            <v>DalsinghSarai</v>
          </cell>
          <cell r="K400" t="str">
            <v>Old</v>
          </cell>
          <cell r="L400">
            <v>44943</v>
          </cell>
          <cell r="M400">
            <v>1923.8700000000001</v>
          </cell>
          <cell r="N400">
            <v>82353.13</v>
          </cell>
          <cell r="O400">
            <v>1442.9025000000001</v>
          </cell>
          <cell r="P400">
            <v>1827.6765</v>
          </cell>
          <cell r="Q400">
            <v>0</v>
          </cell>
          <cell r="R400">
            <v>2470.5938999999998</v>
          </cell>
          <cell r="S400">
            <v>642.91739999999982</v>
          </cell>
          <cell r="T400">
            <v>192.38700000000003</v>
          </cell>
          <cell r="U400">
            <v>924.77617802329883</v>
          </cell>
          <cell r="V400">
            <v>2153</v>
          </cell>
          <cell r="W400">
            <v>0</v>
          </cell>
          <cell r="X400">
            <v>0</v>
          </cell>
          <cell r="Y400">
            <v>0</v>
          </cell>
        </row>
        <row r="401">
          <cell r="D401">
            <v>10120043</v>
          </cell>
          <cell r="E401" t="str">
            <v>GOMUKH TATARPUR</v>
          </cell>
          <cell r="F401">
            <v>0</v>
          </cell>
          <cell r="G401" t="str">
            <v>MPG</v>
          </cell>
          <cell r="H401" t="str">
            <v>Direct</v>
          </cell>
          <cell r="I401">
            <v>1012</v>
          </cell>
          <cell r="J401" t="str">
            <v>DalsinghSarai</v>
          </cell>
          <cell r="K401" t="str">
            <v>Old</v>
          </cell>
          <cell r="L401">
            <v>45126</v>
          </cell>
          <cell r="M401">
            <v>807.43</v>
          </cell>
          <cell r="N401">
            <v>38530.57</v>
          </cell>
          <cell r="O401">
            <v>605.57249999999999</v>
          </cell>
          <cell r="P401">
            <v>767.05849999999987</v>
          </cell>
          <cell r="Q401">
            <v>0</v>
          </cell>
          <cell r="R401">
            <v>1155.9170999999999</v>
          </cell>
          <cell r="S401">
            <v>388.85860000000002</v>
          </cell>
          <cell r="T401">
            <v>80.742999999999995</v>
          </cell>
          <cell r="U401">
            <v>1291.6146831095034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</row>
        <row r="402">
          <cell r="D402">
            <v>10120046</v>
          </cell>
          <cell r="E402" t="str">
            <v>Gomukh Ghataho</v>
          </cell>
          <cell r="F402">
            <v>0</v>
          </cell>
          <cell r="G402" t="str">
            <v>MPG</v>
          </cell>
          <cell r="H402" t="str">
            <v>Direct</v>
          </cell>
          <cell r="I402">
            <v>1012</v>
          </cell>
          <cell r="J402" t="str">
            <v>DalsinghSarai</v>
          </cell>
          <cell r="K402" t="str">
            <v>Old</v>
          </cell>
          <cell r="L402">
            <v>45142</v>
          </cell>
          <cell r="M402">
            <v>8326.9599999999991</v>
          </cell>
          <cell r="N402">
            <v>311233.26</v>
          </cell>
          <cell r="O402">
            <v>6245.2199999999993</v>
          </cell>
          <cell r="P402">
            <v>7910.6119999999992</v>
          </cell>
          <cell r="Q402">
            <v>2664.3674061180004</v>
          </cell>
          <cell r="R402">
            <v>9336.9977999999992</v>
          </cell>
          <cell r="S402">
            <v>1426.3858</v>
          </cell>
          <cell r="T402">
            <v>832.69599999999991</v>
          </cell>
          <cell r="U402">
            <v>0</v>
          </cell>
          <cell r="V402">
            <v>15988</v>
          </cell>
          <cell r="W402">
            <v>0</v>
          </cell>
          <cell r="X402">
            <v>0</v>
          </cell>
          <cell r="Y402">
            <v>0</v>
          </cell>
        </row>
        <row r="403">
          <cell r="D403">
            <v>10120047</v>
          </cell>
          <cell r="E403" t="str">
            <v>Madhepur - Bishwanath</v>
          </cell>
          <cell r="F403">
            <v>0</v>
          </cell>
          <cell r="G403" t="str">
            <v>vlc</v>
          </cell>
          <cell r="H403" t="str">
            <v>Indirect</v>
          </cell>
          <cell r="I403">
            <v>1012</v>
          </cell>
          <cell r="J403" t="str">
            <v>DalsinghSarai</v>
          </cell>
          <cell r="K403" t="str">
            <v>Old</v>
          </cell>
          <cell r="L403">
            <v>44915</v>
          </cell>
          <cell r="M403">
            <v>35.15</v>
          </cell>
          <cell r="N403">
            <v>1317.6799999999998</v>
          </cell>
          <cell r="O403">
            <v>26.362499999999997</v>
          </cell>
          <cell r="P403">
            <v>33.392499999999998</v>
          </cell>
          <cell r="Q403">
            <v>0</v>
          </cell>
          <cell r="R403">
            <v>39.530399999999993</v>
          </cell>
          <cell r="S403">
            <v>6.1378999999999948</v>
          </cell>
          <cell r="T403">
            <v>3.5150000000000001</v>
          </cell>
          <cell r="U403">
            <v>55.771832124975617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</row>
        <row r="404">
          <cell r="D404">
            <v>10120049</v>
          </cell>
          <cell r="E404" t="str">
            <v>Kacha - Amarjeet</v>
          </cell>
          <cell r="F404">
            <v>0</v>
          </cell>
          <cell r="G404" t="str">
            <v>vlc</v>
          </cell>
          <cell r="H404" t="str">
            <v>Indirect</v>
          </cell>
          <cell r="I404">
            <v>1012</v>
          </cell>
          <cell r="J404" t="str">
            <v>DalsinghSarai</v>
          </cell>
          <cell r="K404" t="str">
            <v>Old</v>
          </cell>
          <cell r="L404">
            <v>45058</v>
          </cell>
          <cell r="M404">
            <v>2315.81</v>
          </cell>
          <cell r="N404">
            <v>105766.38</v>
          </cell>
          <cell r="O404">
            <v>1736.8575000000001</v>
          </cell>
          <cell r="P404">
            <v>2200.0194999999999</v>
          </cell>
          <cell r="Q404">
            <v>0</v>
          </cell>
          <cell r="R404">
            <v>3172.9913999999999</v>
          </cell>
          <cell r="S404">
            <v>972.97190000000001</v>
          </cell>
          <cell r="T404">
            <v>231.58100000000002</v>
          </cell>
          <cell r="U404">
            <v>625.63876113002038</v>
          </cell>
          <cell r="V404">
            <v>3080</v>
          </cell>
          <cell r="W404">
            <v>0</v>
          </cell>
          <cell r="X404">
            <v>0</v>
          </cell>
          <cell r="Y404">
            <v>0</v>
          </cell>
        </row>
        <row r="405">
          <cell r="D405">
            <v>10120050</v>
          </cell>
          <cell r="E405" t="str">
            <v>Simri - Suman</v>
          </cell>
          <cell r="F405">
            <v>0</v>
          </cell>
          <cell r="G405" t="str">
            <v>vlc</v>
          </cell>
          <cell r="H405" t="str">
            <v>Indirect</v>
          </cell>
          <cell r="I405">
            <v>1012</v>
          </cell>
          <cell r="J405" t="str">
            <v>DalsinghSarai</v>
          </cell>
          <cell r="K405" t="str">
            <v>Old</v>
          </cell>
          <cell r="L405">
            <v>44957</v>
          </cell>
          <cell r="M405">
            <v>2195.1</v>
          </cell>
          <cell r="N405">
            <v>103408.33000000002</v>
          </cell>
          <cell r="O405">
            <v>1646.3249999999998</v>
          </cell>
          <cell r="P405">
            <v>2085.3449999999998</v>
          </cell>
          <cell r="Q405">
            <v>0</v>
          </cell>
          <cell r="R405">
            <v>3102.2499000000003</v>
          </cell>
          <cell r="S405">
            <v>1016.9049000000005</v>
          </cell>
          <cell r="T405">
            <v>219.51</v>
          </cell>
          <cell r="U405">
            <v>258.00959032258061</v>
          </cell>
          <cell r="V405">
            <v>3254</v>
          </cell>
          <cell r="W405">
            <v>0</v>
          </cell>
          <cell r="X405">
            <v>0</v>
          </cell>
          <cell r="Y405">
            <v>0</v>
          </cell>
        </row>
        <row r="406">
          <cell r="D406">
            <v>10120051</v>
          </cell>
          <cell r="E406" t="str">
            <v>Narenpur</v>
          </cell>
          <cell r="F406">
            <v>0</v>
          </cell>
          <cell r="G406" t="str">
            <v>MPG</v>
          </cell>
          <cell r="H406" t="str">
            <v>Direct</v>
          </cell>
          <cell r="I406">
            <v>1012</v>
          </cell>
          <cell r="J406" t="str">
            <v>DalsinghSarai</v>
          </cell>
          <cell r="K406" t="str">
            <v>Old</v>
          </cell>
          <cell r="L406">
            <v>45226</v>
          </cell>
          <cell r="M406">
            <v>1656.28</v>
          </cell>
          <cell r="N406">
            <v>71305.12000000001</v>
          </cell>
          <cell r="O406">
            <v>1242.21</v>
          </cell>
          <cell r="P406">
            <v>1573.4659999999999</v>
          </cell>
          <cell r="Q406">
            <v>0</v>
          </cell>
          <cell r="R406">
            <v>2139.1536000000001</v>
          </cell>
          <cell r="S406">
            <v>565.6876000000002</v>
          </cell>
          <cell r="T406">
            <v>165.62800000000001</v>
          </cell>
          <cell r="U406">
            <v>1159.2481205164213</v>
          </cell>
          <cell r="V406">
            <v>1491</v>
          </cell>
          <cell r="W406">
            <v>1491</v>
          </cell>
          <cell r="X406">
            <v>0</v>
          </cell>
          <cell r="Y406">
            <v>0</v>
          </cell>
        </row>
        <row r="407">
          <cell r="D407">
            <v>10120052</v>
          </cell>
          <cell r="E407" t="str">
            <v>Mordiba</v>
          </cell>
          <cell r="F407">
            <v>0</v>
          </cell>
          <cell r="G407" t="str">
            <v>MPG</v>
          </cell>
          <cell r="H407" t="str">
            <v>Direct</v>
          </cell>
          <cell r="I407">
            <v>1012</v>
          </cell>
          <cell r="J407" t="str">
            <v>DalsinghSarai</v>
          </cell>
          <cell r="K407" t="str">
            <v>Old</v>
          </cell>
          <cell r="L407">
            <v>45240</v>
          </cell>
          <cell r="M407">
            <v>8664.24</v>
          </cell>
          <cell r="N407">
            <v>343264.77</v>
          </cell>
          <cell r="O407">
            <v>6498.18</v>
          </cell>
          <cell r="P407">
            <v>8231.0280000000002</v>
          </cell>
          <cell r="Q407">
            <v>8675.0305958989666</v>
          </cell>
          <cell r="R407">
            <v>10297.9431</v>
          </cell>
          <cell r="S407">
            <v>2066.9151000000002</v>
          </cell>
          <cell r="T407">
            <v>866.42399999999998</v>
          </cell>
          <cell r="U407">
            <v>0</v>
          </cell>
          <cell r="V407">
            <v>22538</v>
          </cell>
          <cell r="W407">
            <v>0</v>
          </cell>
          <cell r="X407">
            <v>0</v>
          </cell>
          <cell r="Y407">
            <v>0</v>
          </cell>
        </row>
        <row r="408">
          <cell r="D408">
            <v>10120053</v>
          </cell>
          <cell r="E408" t="str">
            <v>Jagdispur</v>
          </cell>
          <cell r="F408">
            <v>0</v>
          </cell>
          <cell r="G408" t="str">
            <v>MPG</v>
          </cell>
          <cell r="H408" t="str">
            <v>Direct</v>
          </cell>
          <cell r="I408">
            <v>1012</v>
          </cell>
          <cell r="J408" t="str">
            <v>DalsinghSarai</v>
          </cell>
          <cell r="K408" t="str">
            <v>Old</v>
          </cell>
          <cell r="L408">
            <v>45226</v>
          </cell>
          <cell r="M408">
            <v>1191.8499999999999</v>
          </cell>
          <cell r="N408">
            <v>46868.170000000006</v>
          </cell>
          <cell r="O408">
            <v>893.88749999999993</v>
          </cell>
          <cell r="P408">
            <v>1132.2574999999999</v>
          </cell>
          <cell r="Q408">
            <v>0</v>
          </cell>
          <cell r="R408">
            <v>1406.0451</v>
          </cell>
          <cell r="S408">
            <v>273.78760000000011</v>
          </cell>
          <cell r="T408">
            <v>119.185</v>
          </cell>
          <cell r="U408">
            <v>1416.9650220103156</v>
          </cell>
          <cell r="V408">
            <v>490</v>
          </cell>
          <cell r="W408">
            <v>490</v>
          </cell>
          <cell r="X408">
            <v>0</v>
          </cell>
          <cell r="Y408">
            <v>0</v>
          </cell>
        </row>
        <row r="409">
          <cell r="D409">
            <v>10120060</v>
          </cell>
          <cell r="E409" t="str">
            <v>Chaklal Sahi_Vikrant</v>
          </cell>
          <cell r="F409">
            <v>0</v>
          </cell>
          <cell r="G409" t="str">
            <v>vlc</v>
          </cell>
          <cell r="H409" t="str">
            <v>Indirect</v>
          </cell>
          <cell r="I409">
            <v>1012</v>
          </cell>
          <cell r="J409" t="str">
            <v>DalsinghSarai</v>
          </cell>
          <cell r="K409" t="str">
            <v>Old</v>
          </cell>
          <cell r="L409">
            <v>45260</v>
          </cell>
          <cell r="M409">
            <v>4583.5700000000006</v>
          </cell>
          <cell r="N409">
            <v>164962.32</v>
          </cell>
          <cell r="O409">
            <v>3437.6775000000007</v>
          </cell>
          <cell r="P409">
            <v>4354.3915000000006</v>
          </cell>
          <cell r="Q409">
            <v>0</v>
          </cell>
          <cell r="R409">
            <v>4948.8696</v>
          </cell>
          <cell r="S409">
            <v>594.47809999999936</v>
          </cell>
          <cell r="T409">
            <v>458.35700000000008</v>
          </cell>
          <cell r="U409">
            <v>196.03532472548284</v>
          </cell>
          <cell r="V409">
            <v>7138</v>
          </cell>
          <cell r="W409">
            <v>0</v>
          </cell>
          <cell r="X409">
            <v>0</v>
          </cell>
          <cell r="Y409">
            <v>0</v>
          </cell>
        </row>
        <row r="410">
          <cell r="D410">
            <v>10120066</v>
          </cell>
          <cell r="E410" t="str">
            <v>Piparpaati</v>
          </cell>
          <cell r="F410">
            <v>0</v>
          </cell>
          <cell r="G410" t="str">
            <v>vlc</v>
          </cell>
          <cell r="H410" t="str">
            <v>Indirect</v>
          </cell>
          <cell r="I410">
            <v>1012</v>
          </cell>
          <cell r="J410" t="str">
            <v>DalsinghSarai</v>
          </cell>
          <cell r="K410" t="str">
            <v>Old</v>
          </cell>
          <cell r="L410">
            <v>45323</v>
          </cell>
          <cell r="M410">
            <v>484.28</v>
          </cell>
          <cell r="N410">
            <v>18636.07</v>
          </cell>
          <cell r="O410">
            <v>363.21</v>
          </cell>
          <cell r="P410">
            <v>460.06599999999997</v>
          </cell>
          <cell r="Q410">
            <v>0</v>
          </cell>
          <cell r="R410">
            <v>559.08209999999997</v>
          </cell>
          <cell r="S410">
            <v>99.016099999999994</v>
          </cell>
          <cell r="T410">
            <v>48.427999999999997</v>
          </cell>
          <cell r="U410">
            <v>774.6988329470546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</row>
        <row r="411">
          <cell r="D411">
            <v>10120071</v>
          </cell>
          <cell r="E411" t="str">
            <v>Suratpur</v>
          </cell>
          <cell r="F411">
            <v>0</v>
          </cell>
          <cell r="G411" t="str">
            <v>MPG</v>
          </cell>
          <cell r="H411" t="str">
            <v>Direct</v>
          </cell>
          <cell r="I411">
            <v>1012</v>
          </cell>
          <cell r="J411" t="str">
            <v>DalsinghSarai</v>
          </cell>
          <cell r="K411" t="str">
            <v>Old</v>
          </cell>
          <cell r="L411">
            <v>45413</v>
          </cell>
          <cell r="M411">
            <v>2604.94</v>
          </cell>
          <cell r="N411">
            <v>105211.04</v>
          </cell>
          <cell r="O411">
            <v>1953.7049999999999</v>
          </cell>
          <cell r="P411">
            <v>2474.6929999999998</v>
          </cell>
          <cell r="Q411">
            <v>582.83799645060003</v>
          </cell>
          <cell r="R411">
            <v>3156.3311999999996</v>
          </cell>
          <cell r="S411">
            <v>681.63819999999987</v>
          </cell>
          <cell r="T411">
            <v>260.49400000000003</v>
          </cell>
          <cell r="U411">
            <v>395.88685889652913</v>
          </cell>
          <cell r="V411">
            <v>4355</v>
          </cell>
          <cell r="W411">
            <v>2104.2208000000001</v>
          </cell>
          <cell r="X411">
            <v>0</v>
          </cell>
          <cell r="Y411">
            <v>0</v>
          </cell>
        </row>
        <row r="412">
          <cell r="D412">
            <v>10120080</v>
          </cell>
          <cell r="E412" t="str">
            <v>Manika Tol</v>
          </cell>
          <cell r="F412">
            <v>0</v>
          </cell>
          <cell r="G412" t="str">
            <v>MPG</v>
          </cell>
          <cell r="H412" t="str">
            <v>Direct</v>
          </cell>
          <cell r="I412">
            <v>1012</v>
          </cell>
          <cell r="J412" t="str">
            <v>DalsinghSarai</v>
          </cell>
          <cell r="K412" t="str">
            <v>Old</v>
          </cell>
          <cell r="L412">
            <v>45462</v>
          </cell>
          <cell r="M412">
            <v>228.08999999999997</v>
          </cell>
          <cell r="N412">
            <v>7520.7199999999993</v>
          </cell>
          <cell r="O412">
            <v>171.0675</v>
          </cell>
          <cell r="P412">
            <v>216.68549999999996</v>
          </cell>
          <cell r="Q412">
            <v>0</v>
          </cell>
          <cell r="R412">
            <v>225.62159999999997</v>
          </cell>
          <cell r="S412">
            <v>8.9361000000000104</v>
          </cell>
          <cell r="T412">
            <v>22.808999999999997</v>
          </cell>
          <cell r="U412">
            <v>365.16503382493397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</row>
        <row r="413">
          <cell r="D413">
            <v>10120083</v>
          </cell>
          <cell r="E413" t="str">
            <v>Beri</v>
          </cell>
          <cell r="F413">
            <v>0</v>
          </cell>
          <cell r="G413" t="str">
            <v>MPG</v>
          </cell>
          <cell r="H413" t="str">
            <v>Direct</v>
          </cell>
          <cell r="I413">
            <v>1012</v>
          </cell>
          <cell r="J413" t="str">
            <v>DalsinghSarai</v>
          </cell>
          <cell r="K413" t="str">
            <v>Old</v>
          </cell>
          <cell r="L413">
            <v>45530</v>
          </cell>
          <cell r="M413">
            <v>1709.3000000000002</v>
          </cell>
          <cell r="N413">
            <v>62949.150000000009</v>
          </cell>
          <cell r="O413">
            <v>1281.9750000000001</v>
          </cell>
          <cell r="P413">
            <v>1623.835</v>
          </cell>
          <cell r="Q413">
            <v>0</v>
          </cell>
          <cell r="R413">
            <v>1888.4745000000003</v>
          </cell>
          <cell r="S413">
            <v>264.63950000000023</v>
          </cell>
          <cell r="T413">
            <v>170.93000000000004</v>
          </cell>
          <cell r="U413">
            <v>963.39571542995532</v>
          </cell>
          <cell r="V413">
            <v>1771</v>
          </cell>
          <cell r="W413">
            <v>1771</v>
          </cell>
          <cell r="X413">
            <v>0</v>
          </cell>
          <cell r="Y413">
            <v>0</v>
          </cell>
        </row>
        <row r="414">
          <cell r="D414">
            <v>10120084</v>
          </cell>
          <cell r="E414" t="str">
            <v>Mahmmadipur</v>
          </cell>
          <cell r="F414">
            <v>0</v>
          </cell>
          <cell r="G414" t="str">
            <v>MPG</v>
          </cell>
          <cell r="H414" t="str">
            <v>Direct</v>
          </cell>
          <cell r="I414">
            <v>1012</v>
          </cell>
          <cell r="J414" t="str">
            <v>DalsinghSarai</v>
          </cell>
          <cell r="K414" t="str">
            <v>Old</v>
          </cell>
          <cell r="L414">
            <v>45536</v>
          </cell>
          <cell r="M414">
            <v>5616.74</v>
          </cell>
          <cell r="N414">
            <v>275191.89</v>
          </cell>
          <cell r="O414">
            <v>4212.5550000000003</v>
          </cell>
          <cell r="P414">
            <v>5335.9029999999993</v>
          </cell>
          <cell r="Q414">
            <v>159.74662017600002</v>
          </cell>
          <cell r="R414">
            <v>8255.7566999999999</v>
          </cell>
          <cell r="S414">
            <v>2919.8537000000006</v>
          </cell>
          <cell r="T414">
            <v>561.67399999999998</v>
          </cell>
          <cell r="U414">
            <v>0</v>
          </cell>
          <cell r="V414">
            <v>9147</v>
          </cell>
          <cell r="W414">
            <v>1718.9122229189525</v>
          </cell>
          <cell r="X414">
            <v>0</v>
          </cell>
          <cell r="Y414">
            <v>0</v>
          </cell>
        </row>
        <row r="415">
          <cell r="D415">
            <v>10120086</v>
          </cell>
          <cell r="E415" t="str">
            <v>Simri-Rupesh</v>
          </cell>
          <cell r="F415">
            <v>0</v>
          </cell>
          <cell r="G415" t="str">
            <v>vlc</v>
          </cell>
          <cell r="H415" t="str">
            <v>Indirect</v>
          </cell>
          <cell r="I415">
            <v>1012</v>
          </cell>
          <cell r="J415" t="str">
            <v>DalsinghSarai</v>
          </cell>
          <cell r="K415" t="str">
            <v>Old</v>
          </cell>
          <cell r="L415">
            <v>45529</v>
          </cell>
          <cell r="M415">
            <v>4190.8500000000004</v>
          </cell>
          <cell r="N415">
            <v>155665.22</v>
          </cell>
          <cell r="O415">
            <v>3143.1375000000003</v>
          </cell>
          <cell r="P415">
            <v>3981.3075000000003</v>
          </cell>
          <cell r="Q415">
            <v>0</v>
          </cell>
          <cell r="R415">
            <v>4669.9565999999995</v>
          </cell>
          <cell r="S415">
            <v>688.64909999999918</v>
          </cell>
          <cell r="T415">
            <v>419.08500000000004</v>
          </cell>
          <cell r="U415">
            <v>0</v>
          </cell>
          <cell r="V415">
            <v>6705</v>
          </cell>
          <cell r="W415">
            <v>0</v>
          </cell>
          <cell r="X415">
            <v>0</v>
          </cell>
          <cell r="Y415">
            <v>0</v>
          </cell>
        </row>
        <row r="416">
          <cell r="D416">
            <v>10120089</v>
          </cell>
          <cell r="E416" t="str">
            <v>Gomukh Jhaura Tabhka</v>
          </cell>
          <cell r="F416">
            <v>0</v>
          </cell>
          <cell r="G416" t="str">
            <v>MPG</v>
          </cell>
          <cell r="H416" t="str">
            <v>Direct</v>
          </cell>
          <cell r="I416">
            <v>1012</v>
          </cell>
          <cell r="J416" t="str">
            <v>DalsinghSarai</v>
          </cell>
          <cell r="K416" t="str">
            <v>Old</v>
          </cell>
          <cell r="L416">
            <v>45649</v>
          </cell>
          <cell r="M416">
            <v>1951.21</v>
          </cell>
          <cell r="N416">
            <v>73142.76999999999</v>
          </cell>
          <cell r="O416">
            <v>1463.4075</v>
          </cell>
          <cell r="P416">
            <v>1853.6495</v>
          </cell>
          <cell r="Q416">
            <v>212.88549979323003</v>
          </cell>
          <cell r="R416">
            <v>2194.2830999999996</v>
          </cell>
          <cell r="S416">
            <v>340.63359999999966</v>
          </cell>
          <cell r="T416">
            <v>195.12100000000001</v>
          </cell>
          <cell r="U416">
            <v>787.47631825099688</v>
          </cell>
          <cell r="V416">
            <v>2547</v>
          </cell>
          <cell r="W416">
            <v>1861</v>
          </cell>
          <cell r="X416">
            <v>0</v>
          </cell>
          <cell r="Y416">
            <v>0</v>
          </cell>
        </row>
        <row r="417">
          <cell r="D417">
            <v>10120091</v>
          </cell>
          <cell r="E417" t="str">
            <v>Gomukh Mohanpur</v>
          </cell>
          <cell r="F417">
            <v>0</v>
          </cell>
          <cell r="G417" t="str">
            <v>MPG</v>
          </cell>
          <cell r="H417" t="str">
            <v>Direct</v>
          </cell>
          <cell r="I417">
            <v>1012</v>
          </cell>
          <cell r="J417" t="str">
            <v>DalsinghSarai</v>
          </cell>
          <cell r="K417" t="str">
            <v>Old</v>
          </cell>
          <cell r="L417">
            <v>45653</v>
          </cell>
          <cell r="M417">
            <v>1955</v>
          </cell>
          <cell r="N417">
            <v>78922.820000000007</v>
          </cell>
          <cell r="O417">
            <v>1466.25</v>
          </cell>
          <cell r="P417">
            <v>1857.25</v>
          </cell>
          <cell r="Q417">
            <v>1626.4020772890003</v>
          </cell>
          <cell r="R417">
            <v>2367.6846</v>
          </cell>
          <cell r="S417">
            <v>510.43460000000005</v>
          </cell>
          <cell r="T417">
            <v>195.5</v>
          </cell>
          <cell r="U417">
            <v>844.94236187929141</v>
          </cell>
          <cell r="V417">
            <v>3909</v>
          </cell>
          <cell r="W417">
            <v>1861</v>
          </cell>
          <cell r="X417">
            <v>0</v>
          </cell>
          <cell r="Y417">
            <v>0</v>
          </cell>
        </row>
        <row r="418">
          <cell r="D418">
            <v>10120094</v>
          </cell>
          <cell r="E418" t="str">
            <v>Gomukh Bochaha</v>
          </cell>
          <cell r="F418">
            <v>0</v>
          </cell>
          <cell r="G418" t="str">
            <v>MPG</v>
          </cell>
          <cell r="H418" t="str">
            <v>Direct</v>
          </cell>
          <cell r="I418">
            <v>1012</v>
          </cell>
          <cell r="J418" t="str">
            <v>DalsinghSarai</v>
          </cell>
          <cell r="K418" t="str">
            <v>Old</v>
          </cell>
          <cell r="L418">
            <v>45666</v>
          </cell>
          <cell r="M418">
            <v>3617.1100000000006</v>
          </cell>
          <cell r="N418">
            <v>166928.08999999997</v>
          </cell>
          <cell r="O418">
            <v>2712.8325000000004</v>
          </cell>
          <cell r="P418">
            <v>3436.2545000000005</v>
          </cell>
          <cell r="Q418">
            <v>0</v>
          </cell>
          <cell r="R418">
            <v>5007.8426999999992</v>
          </cell>
          <cell r="S418">
            <v>1571.5881999999988</v>
          </cell>
          <cell r="T418">
            <v>361.71100000000007</v>
          </cell>
          <cell r="U418">
            <v>56.313260274916281</v>
          </cell>
          <cell r="V418">
            <v>5731</v>
          </cell>
          <cell r="W418">
            <v>3338.5617999999995</v>
          </cell>
          <cell r="X418">
            <v>0</v>
          </cell>
          <cell r="Y418">
            <v>2021</v>
          </cell>
        </row>
        <row r="419">
          <cell r="D419">
            <v>10120095</v>
          </cell>
          <cell r="E419" t="str">
            <v>Gomukh Terganj</v>
          </cell>
          <cell r="F419">
            <v>0</v>
          </cell>
          <cell r="G419" t="str">
            <v>MPG</v>
          </cell>
          <cell r="H419" t="str">
            <v>Direct</v>
          </cell>
          <cell r="I419">
            <v>1012</v>
          </cell>
          <cell r="J419" t="str">
            <v>DalsinghSarai</v>
          </cell>
          <cell r="K419" t="str">
            <v>Old</v>
          </cell>
          <cell r="L419">
            <v>45705</v>
          </cell>
          <cell r="M419">
            <v>649.3599999999999</v>
          </cell>
          <cell r="N419">
            <v>26317.58</v>
          </cell>
          <cell r="O419">
            <v>487.01999999999992</v>
          </cell>
          <cell r="P419">
            <v>616.89199999999983</v>
          </cell>
          <cell r="Q419">
            <v>0</v>
          </cell>
          <cell r="R419">
            <v>789.52740000000006</v>
          </cell>
          <cell r="S419">
            <v>172.63540000000023</v>
          </cell>
          <cell r="T419">
            <v>64.935999999999993</v>
          </cell>
          <cell r="U419">
            <v>1038.6840291822448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D420">
            <v>10120096</v>
          </cell>
          <cell r="E420" t="str">
            <v>Gomukh Chapra</v>
          </cell>
          <cell r="F420">
            <v>0</v>
          </cell>
          <cell r="G420" t="str">
            <v>vlc</v>
          </cell>
          <cell r="H420" t="str">
            <v>Indirect</v>
          </cell>
          <cell r="I420">
            <v>1012</v>
          </cell>
          <cell r="J420" t="str">
            <v>DalsinghSarai</v>
          </cell>
          <cell r="K420" t="str">
            <v>Old</v>
          </cell>
          <cell r="L420">
            <v>45664</v>
          </cell>
          <cell r="M420">
            <v>3904.72</v>
          </cell>
          <cell r="N420">
            <v>153987.58000000002</v>
          </cell>
          <cell r="O420">
            <v>2928.54</v>
          </cell>
          <cell r="P420">
            <v>3709.4839999999995</v>
          </cell>
          <cell r="Q420">
            <v>0</v>
          </cell>
          <cell r="R420">
            <v>4619.6274000000003</v>
          </cell>
          <cell r="S420">
            <v>910.14340000000084</v>
          </cell>
          <cell r="T420">
            <v>390.47199999999998</v>
          </cell>
          <cell r="U420">
            <v>336.25234334213491</v>
          </cell>
          <cell r="V420">
            <v>5911</v>
          </cell>
          <cell r="W420">
            <v>0</v>
          </cell>
          <cell r="X420">
            <v>0</v>
          </cell>
          <cell r="Y420">
            <v>0</v>
          </cell>
        </row>
        <row r="421">
          <cell r="D421">
            <v>10120099</v>
          </cell>
          <cell r="E421" t="str">
            <v>GOMUKH Chiranjipur</v>
          </cell>
          <cell r="F421">
            <v>0</v>
          </cell>
          <cell r="G421" t="str">
            <v>vlc</v>
          </cell>
          <cell r="H421" t="str">
            <v>Indirect</v>
          </cell>
          <cell r="I421">
            <v>1012</v>
          </cell>
          <cell r="J421" t="str">
            <v>DalsinghSarai</v>
          </cell>
          <cell r="K421" t="str">
            <v>Old</v>
          </cell>
          <cell r="L421">
            <v>45715</v>
          </cell>
          <cell r="M421">
            <v>27725</v>
          </cell>
          <cell r="N421">
            <v>1072954.26</v>
          </cell>
          <cell r="O421">
            <v>20793.75</v>
          </cell>
          <cell r="P421">
            <v>26338.75</v>
          </cell>
          <cell r="Q421">
            <v>0</v>
          </cell>
          <cell r="R421">
            <v>32188.627799999998</v>
          </cell>
          <cell r="S421">
            <v>5849.8777999999984</v>
          </cell>
          <cell r="T421">
            <v>2772.5</v>
          </cell>
          <cell r="U421">
            <v>0</v>
          </cell>
          <cell r="V421">
            <v>44360</v>
          </cell>
          <cell r="W421">
            <v>0</v>
          </cell>
          <cell r="X421">
            <v>0</v>
          </cell>
          <cell r="Y421">
            <v>0</v>
          </cell>
        </row>
        <row r="422">
          <cell r="D422">
            <v>10120103</v>
          </cell>
          <cell r="E422" t="str">
            <v>Gomukh Sahu Tol</v>
          </cell>
          <cell r="F422">
            <v>0</v>
          </cell>
          <cell r="G422" t="str">
            <v>vlc</v>
          </cell>
          <cell r="H422" t="str">
            <v>Indirect</v>
          </cell>
          <cell r="I422">
            <v>1012</v>
          </cell>
          <cell r="J422" t="str">
            <v>DalsinghSarai</v>
          </cell>
          <cell r="K422" t="str">
            <v>Old</v>
          </cell>
          <cell r="L422">
            <v>45743</v>
          </cell>
          <cell r="M422">
            <v>5930</v>
          </cell>
          <cell r="N422">
            <v>226748.37</v>
          </cell>
          <cell r="O422">
            <v>4447.5</v>
          </cell>
          <cell r="P422">
            <v>5633.5</v>
          </cell>
          <cell r="Q422">
            <v>0</v>
          </cell>
          <cell r="R422">
            <v>6802.4510999999993</v>
          </cell>
          <cell r="S422">
            <v>1168.9510999999993</v>
          </cell>
          <cell r="T422">
            <v>593</v>
          </cell>
          <cell r="U422">
            <v>0</v>
          </cell>
          <cell r="V422">
            <v>9488</v>
          </cell>
          <cell r="W422">
            <v>0</v>
          </cell>
          <cell r="X422">
            <v>0</v>
          </cell>
          <cell r="Y422">
            <v>0</v>
          </cell>
        </row>
        <row r="423">
          <cell r="D423">
            <v>10120104</v>
          </cell>
          <cell r="E423" t="str">
            <v>Gomukh Mordiwa East</v>
          </cell>
          <cell r="F423">
            <v>0</v>
          </cell>
          <cell r="G423" t="str">
            <v>MPG</v>
          </cell>
          <cell r="H423" t="str">
            <v>Direct</v>
          </cell>
          <cell r="I423">
            <v>1012</v>
          </cell>
          <cell r="J423" t="str">
            <v>DalsinghSarai</v>
          </cell>
          <cell r="K423" t="str">
            <v>Old</v>
          </cell>
          <cell r="L423">
            <v>45793</v>
          </cell>
          <cell r="M423">
            <v>3580.34</v>
          </cell>
          <cell r="N423">
            <v>138070.75</v>
          </cell>
          <cell r="O423">
            <v>2685.2550000000001</v>
          </cell>
          <cell r="P423">
            <v>3401.3229999999999</v>
          </cell>
          <cell r="Q423">
            <v>0</v>
          </cell>
          <cell r="R423">
            <v>4142.1224999999995</v>
          </cell>
          <cell r="S423">
            <v>740.79949999999963</v>
          </cell>
          <cell r="T423">
            <v>358.03400000000005</v>
          </cell>
          <cell r="U423">
            <v>152.09642621691285</v>
          </cell>
          <cell r="V423">
            <v>5576</v>
          </cell>
          <cell r="W423">
            <v>2761.415</v>
          </cell>
          <cell r="X423">
            <v>0</v>
          </cell>
          <cell r="Y423">
            <v>0</v>
          </cell>
        </row>
        <row r="424">
          <cell r="D424">
            <v>10120105</v>
          </cell>
          <cell r="E424" t="str">
            <v>GOMUKH HANUMAN NAGAR</v>
          </cell>
          <cell r="F424">
            <v>0</v>
          </cell>
          <cell r="G424" t="str">
            <v>MPG</v>
          </cell>
          <cell r="H424" t="str">
            <v>Direct</v>
          </cell>
          <cell r="I424">
            <v>1012</v>
          </cell>
          <cell r="J424" t="str">
            <v>DalsinghSarai</v>
          </cell>
          <cell r="K424" t="str">
            <v>Old</v>
          </cell>
          <cell r="L424">
            <v>45778</v>
          </cell>
          <cell r="M424">
            <v>7.86</v>
          </cell>
          <cell r="N424">
            <v>294.27</v>
          </cell>
          <cell r="O424">
            <v>5.8950000000000005</v>
          </cell>
          <cell r="P424">
            <v>7.4669999999999996</v>
          </cell>
          <cell r="Q424">
            <v>0</v>
          </cell>
          <cell r="R424">
            <v>8.8280999999999992</v>
          </cell>
          <cell r="S424">
            <v>1.3610999999999995</v>
          </cell>
          <cell r="T424">
            <v>0.78600000000000003</v>
          </cell>
          <cell r="U424">
            <v>12.259638167938874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</row>
        <row r="425">
          <cell r="D425">
            <v>10120106</v>
          </cell>
          <cell r="E425" t="str">
            <v>Gomukh Belamegh</v>
          </cell>
          <cell r="F425">
            <v>0</v>
          </cell>
          <cell r="G425" t="str">
            <v>vlc</v>
          </cell>
          <cell r="H425" t="str">
            <v>Indirect</v>
          </cell>
          <cell r="I425">
            <v>1012</v>
          </cell>
          <cell r="J425" t="str">
            <v>DalsinghSarai</v>
          </cell>
          <cell r="K425" t="str">
            <v>Old</v>
          </cell>
          <cell r="L425">
            <v>45783</v>
          </cell>
          <cell r="M425">
            <v>1237.8900000000001</v>
          </cell>
          <cell r="N425">
            <v>43137.25</v>
          </cell>
          <cell r="O425">
            <v>928.41750000000002</v>
          </cell>
          <cell r="P425">
            <v>1175.9955</v>
          </cell>
          <cell r="Q425">
            <v>0</v>
          </cell>
          <cell r="R425">
            <v>1294.1175000000001</v>
          </cell>
          <cell r="S425">
            <v>118.12200000000007</v>
          </cell>
          <cell r="T425">
            <v>123.78900000000002</v>
          </cell>
          <cell r="U425">
            <v>1143.3987052253178</v>
          </cell>
          <cell r="V425">
            <v>837</v>
          </cell>
          <cell r="W425">
            <v>0</v>
          </cell>
          <cell r="X425">
            <v>0</v>
          </cell>
          <cell r="Y425">
            <v>0</v>
          </cell>
        </row>
        <row r="426">
          <cell r="D426">
            <v>10120107</v>
          </cell>
          <cell r="E426" t="str">
            <v>Gomukh Ramaiya</v>
          </cell>
          <cell r="F426">
            <v>0</v>
          </cell>
          <cell r="G426" t="str">
            <v>MPG</v>
          </cell>
          <cell r="H426" t="str">
            <v>Direct</v>
          </cell>
          <cell r="I426">
            <v>1012</v>
          </cell>
          <cell r="J426" t="str">
            <v>DalsinghSarai</v>
          </cell>
          <cell r="K426" t="str">
            <v>Old</v>
          </cell>
          <cell r="L426">
            <v>45798</v>
          </cell>
          <cell r="M426">
            <v>2908.12</v>
          </cell>
          <cell r="N426">
            <v>112904.76000000001</v>
          </cell>
          <cell r="O426">
            <v>2181.09</v>
          </cell>
          <cell r="P426">
            <v>2762.7139999999999</v>
          </cell>
          <cell r="Q426">
            <v>0</v>
          </cell>
          <cell r="R426">
            <v>3387.1428000000001</v>
          </cell>
          <cell r="S426">
            <v>624.42880000000014</v>
          </cell>
          <cell r="T426">
            <v>290.81200000000001</v>
          </cell>
          <cell r="U426">
            <v>420.19041176260589</v>
          </cell>
          <cell r="V426">
            <v>4233</v>
          </cell>
          <cell r="W426">
            <v>2258.0952000000002</v>
          </cell>
          <cell r="X426">
            <v>0</v>
          </cell>
          <cell r="Y426">
            <v>0</v>
          </cell>
        </row>
        <row r="427">
          <cell r="D427">
            <v>10120108</v>
          </cell>
          <cell r="E427" t="str">
            <v>GOMUKH MANIKA EAST</v>
          </cell>
          <cell r="F427">
            <v>0</v>
          </cell>
          <cell r="G427" t="str">
            <v>MPG</v>
          </cell>
          <cell r="H427" t="str">
            <v>Direct</v>
          </cell>
          <cell r="I427">
            <v>1012</v>
          </cell>
          <cell r="J427" t="str">
            <v>DalsinghSarai</v>
          </cell>
          <cell r="K427" t="str">
            <v>Old</v>
          </cell>
          <cell r="L427">
            <v>45869</v>
          </cell>
          <cell r="M427">
            <v>3698.13</v>
          </cell>
          <cell r="N427">
            <v>144939.75</v>
          </cell>
          <cell r="O427">
            <v>2773.5974999999999</v>
          </cell>
          <cell r="P427">
            <v>3513.2235000000001</v>
          </cell>
          <cell r="Q427">
            <v>0</v>
          </cell>
          <cell r="R427">
            <v>4348.1925000000001</v>
          </cell>
          <cell r="S427">
            <v>834.96900000000005</v>
          </cell>
          <cell r="T427">
            <v>369.81300000000005</v>
          </cell>
          <cell r="U427">
            <v>0</v>
          </cell>
          <cell r="V427">
            <v>5917</v>
          </cell>
          <cell r="W427">
            <v>2898.7950000000001</v>
          </cell>
          <cell r="X427">
            <v>0</v>
          </cell>
          <cell r="Y427">
            <v>0</v>
          </cell>
        </row>
        <row r="428">
          <cell r="D428">
            <v>10120111</v>
          </cell>
          <cell r="E428" t="str">
            <v>GOMUKH Kisanpur Tabhka</v>
          </cell>
          <cell r="F428">
            <v>0</v>
          </cell>
          <cell r="G428" t="str">
            <v>MPG</v>
          </cell>
          <cell r="H428" t="str">
            <v>Direct</v>
          </cell>
          <cell r="I428">
            <v>1012</v>
          </cell>
          <cell r="J428" t="str">
            <v>DalsinghSarai</v>
          </cell>
          <cell r="K428" t="str">
            <v>Old</v>
          </cell>
          <cell r="L428">
            <v>45870</v>
          </cell>
          <cell r="M428">
            <v>4302.97</v>
          </cell>
          <cell r="N428">
            <v>173969.88999999998</v>
          </cell>
          <cell r="O428">
            <v>3227.2275</v>
          </cell>
          <cell r="P428">
            <v>4087.8215</v>
          </cell>
          <cell r="Q428">
            <v>63.64120435200001</v>
          </cell>
          <cell r="R428">
            <v>5219.0966999999991</v>
          </cell>
          <cell r="S428">
            <v>1131.2751999999991</v>
          </cell>
          <cell r="T428">
            <v>430.29700000000003</v>
          </cell>
          <cell r="U428">
            <v>25.903803886397618</v>
          </cell>
          <cell r="V428">
            <v>6922</v>
          </cell>
          <cell r="W428">
            <v>3479.3977999999997</v>
          </cell>
          <cell r="X428">
            <v>0</v>
          </cell>
          <cell r="Y428">
            <v>0</v>
          </cell>
        </row>
        <row r="429">
          <cell r="D429">
            <v>10130001</v>
          </cell>
          <cell r="E429" t="str">
            <v>GOMUKH BANGHARH KISHANPUR</v>
          </cell>
          <cell r="F429">
            <v>0</v>
          </cell>
          <cell r="G429" t="str">
            <v>MPG</v>
          </cell>
          <cell r="H429" t="str">
            <v>Direct</v>
          </cell>
          <cell r="I429">
            <v>1013</v>
          </cell>
          <cell r="J429" t="str">
            <v>Musrigharari</v>
          </cell>
          <cell r="K429" t="str">
            <v>Old</v>
          </cell>
          <cell r="L429">
            <v>43622</v>
          </cell>
          <cell r="M429">
            <v>2616.6</v>
          </cell>
          <cell r="N429">
            <v>90854.419999999984</v>
          </cell>
          <cell r="O429">
            <v>1962.4499999999998</v>
          </cell>
          <cell r="P429">
            <v>2485.77</v>
          </cell>
          <cell r="Q429">
            <v>897.84777772800021</v>
          </cell>
          <cell r="R429">
            <v>2725.6325999999995</v>
          </cell>
          <cell r="S429">
            <v>239.86259999999947</v>
          </cell>
          <cell r="T429">
            <v>261.66000000000003</v>
          </cell>
          <cell r="U429">
            <v>266.38726466971724</v>
          </cell>
          <cell r="V429">
            <v>4818</v>
          </cell>
          <cell r="W429">
            <v>1861</v>
          </cell>
          <cell r="X429">
            <v>0</v>
          </cell>
          <cell r="Y429">
            <v>0</v>
          </cell>
        </row>
        <row r="430">
          <cell r="D430">
            <v>10130002</v>
          </cell>
          <cell r="E430" t="str">
            <v>Gomukh Serpur Narsari</v>
          </cell>
          <cell r="F430">
            <v>0</v>
          </cell>
          <cell r="G430" t="str">
            <v>vlc</v>
          </cell>
          <cell r="H430" t="str">
            <v>Indirect</v>
          </cell>
          <cell r="I430">
            <v>1013</v>
          </cell>
          <cell r="J430" t="str">
            <v>Musrigharari</v>
          </cell>
          <cell r="K430" t="str">
            <v>Old</v>
          </cell>
          <cell r="L430">
            <v>43756</v>
          </cell>
          <cell r="M430">
            <v>403</v>
          </cell>
          <cell r="N430">
            <v>13474.109999999997</v>
          </cell>
          <cell r="O430">
            <v>302.25</v>
          </cell>
          <cell r="P430">
            <v>382.84999999999997</v>
          </cell>
          <cell r="Q430">
            <v>0</v>
          </cell>
          <cell r="R430">
            <v>404.22329999999988</v>
          </cell>
          <cell r="S430">
            <v>21.373299999999915</v>
          </cell>
          <cell r="T430">
            <v>40.300000000000004</v>
          </cell>
          <cell r="U430">
            <v>644.88944969729278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D431">
            <v>10130003</v>
          </cell>
          <cell r="E431" t="str">
            <v>PARORIYA</v>
          </cell>
          <cell r="F431">
            <v>0</v>
          </cell>
          <cell r="G431" t="str">
            <v>MPG</v>
          </cell>
          <cell r="H431" t="str">
            <v>Direct</v>
          </cell>
          <cell r="I431">
            <v>1013</v>
          </cell>
          <cell r="J431" t="str">
            <v>Musrigharari</v>
          </cell>
          <cell r="K431" t="str">
            <v>Old</v>
          </cell>
          <cell r="L431">
            <v>43756</v>
          </cell>
          <cell r="M431">
            <v>303</v>
          </cell>
          <cell r="N431">
            <v>9462.7899999999991</v>
          </cell>
          <cell r="O431">
            <v>227.25</v>
          </cell>
          <cell r="P431">
            <v>287.84999999999997</v>
          </cell>
          <cell r="Q431">
            <v>32.821410204000003</v>
          </cell>
          <cell r="R431">
            <v>283.88369999999998</v>
          </cell>
          <cell r="S431">
            <v>-3.9662999999999897</v>
          </cell>
          <cell r="T431">
            <v>30.3</v>
          </cell>
          <cell r="U431">
            <v>517.60382155665297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</row>
        <row r="432">
          <cell r="D432">
            <v>10130005</v>
          </cell>
          <cell r="E432" t="str">
            <v>JHAKHRA</v>
          </cell>
          <cell r="F432">
            <v>0</v>
          </cell>
          <cell r="G432" t="str">
            <v>vlc</v>
          </cell>
          <cell r="H432" t="str">
            <v>Indirect</v>
          </cell>
          <cell r="I432">
            <v>1013</v>
          </cell>
          <cell r="J432" t="str">
            <v>Musrigharari</v>
          </cell>
          <cell r="K432" t="str">
            <v>Old</v>
          </cell>
          <cell r="L432">
            <v>43758</v>
          </cell>
          <cell r="M432">
            <v>193.6</v>
          </cell>
          <cell r="N432">
            <v>6484.0499999999993</v>
          </cell>
          <cell r="O432">
            <v>145.19999999999999</v>
          </cell>
          <cell r="P432">
            <v>183.92</v>
          </cell>
          <cell r="Q432">
            <v>0</v>
          </cell>
          <cell r="R432">
            <v>194.52149999999997</v>
          </cell>
          <cell r="S432">
            <v>10.601499999999987</v>
          </cell>
          <cell r="T432">
            <v>19.36</v>
          </cell>
          <cell r="U432">
            <v>309.67427002668501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</row>
        <row r="433">
          <cell r="D433">
            <v>10130006</v>
          </cell>
          <cell r="E433" t="str">
            <v>GOMUKH ANDAHA</v>
          </cell>
          <cell r="F433">
            <v>0</v>
          </cell>
          <cell r="G433" t="str">
            <v>MPG</v>
          </cell>
          <cell r="H433" t="str">
            <v>Direct</v>
          </cell>
          <cell r="I433">
            <v>1013</v>
          </cell>
          <cell r="J433" t="str">
            <v>Musrigharari</v>
          </cell>
          <cell r="K433" t="str">
            <v>Old</v>
          </cell>
          <cell r="L433">
            <v>43786</v>
          </cell>
          <cell r="M433">
            <v>2558.9</v>
          </cell>
          <cell r="N433">
            <v>89350.549999999988</v>
          </cell>
          <cell r="O433">
            <v>1919.1750000000002</v>
          </cell>
          <cell r="P433">
            <v>2430.9549999999999</v>
          </cell>
          <cell r="Q433">
            <v>9.1240966080000021</v>
          </cell>
          <cell r="R433">
            <v>2680.5164999999997</v>
          </cell>
          <cell r="S433">
            <v>249.5614999999998</v>
          </cell>
          <cell r="T433">
            <v>255.89000000000001</v>
          </cell>
          <cell r="U433">
            <v>307.18963105145883</v>
          </cell>
          <cell r="V433">
            <v>3796</v>
          </cell>
          <cell r="W433">
            <v>1861</v>
          </cell>
          <cell r="X433">
            <v>0</v>
          </cell>
          <cell r="Y433">
            <v>0</v>
          </cell>
        </row>
        <row r="434">
          <cell r="D434">
            <v>10130008</v>
          </cell>
          <cell r="E434" t="str">
            <v>Gomukha Rohua</v>
          </cell>
          <cell r="F434">
            <v>0</v>
          </cell>
          <cell r="G434" t="str">
            <v>MPG</v>
          </cell>
          <cell r="H434" t="str">
            <v>Direct</v>
          </cell>
          <cell r="I434">
            <v>1013</v>
          </cell>
          <cell r="J434" t="str">
            <v>Musrigharari</v>
          </cell>
          <cell r="K434" t="str">
            <v>Old</v>
          </cell>
          <cell r="L434">
            <v>43913</v>
          </cell>
          <cell r="M434">
            <v>2891.9</v>
          </cell>
          <cell r="N434">
            <v>114023.95999999999</v>
          </cell>
          <cell r="O434">
            <v>2168.9250000000002</v>
          </cell>
          <cell r="P434">
            <v>2747.3049999999998</v>
          </cell>
          <cell r="Q434">
            <v>1364.7957616849999</v>
          </cell>
          <cell r="R434">
            <v>3420.7187999999996</v>
          </cell>
          <cell r="S434">
            <v>673.41379999999981</v>
          </cell>
          <cell r="T434">
            <v>289.19</v>
          </cell>
          <cell r="U434">
            <v>209.30990375775539</v>
          </cell>
          <cell r="V434">
            <v>5783</v>
          </cell>
          <cell r="W434">
            <v>0</v>
          </cell>
          <cell r="X434">
            <v>0</v>
          </cell>
          <cell r="Y434">
            <v>0</v>
          </cell>
        </row>
        <row r="435">
          <cell r="D435">
            <v>10130012</v>
          </cell>
          <cell r="E435" t="str">
            <v>Gomukha Arniya Ganj</v>
          </cell>
          <cell r="F435">
            <v>0</v>
          </cell>
          <cell r="G435" t="str">
            <v>MPG</v>
          </cell>
          <cell r="H435" t="str">
            <v>Direct</v>
          </cell>
          <cell r="I435">
            <v>1013</v>
          </cell>
          <cell r="J435" t="str">
            <v>Musrigharari</v>
          </cell>
          <cell r="K435" t="str">
            <v>Old</v>
          </cell>
          <cell r="L435">
            <v>44102</v>
          </cell>
          <cell r="M435">
            <v>14386.699999999997</v>
          </cell>
          <cell r="N435">
            <v>528300.83000000007</v>
          </cell>
          <cell r="O435">
            <v>10790.024999999998</v>
          </cell>
          <cell r="P435">
            <v>13667.364999999996</v>
          </cell>
          <cell r="Q435">
            <v>5560.5001914000013</v>
          </cell>
          <cell r="R435">
            <v>15849.024900000002</v>
          </cell>
          <cell r="S435">
            <v>2181.659900000006</v>
          </cell>
          <cell r="T435">
            <v>1438.6699999999998</v>
          </cell>
          <cell r="U435">
            <v>0</v>
          </cell>
          <cell r="V435">
            <v>28579</v>
          </cell>
          <cell r="W435">
            <v>0</v>
          </cell>
          <cell r="X435">
            <v>0</v>
          </cell>
          <cell r="Y435">
            <v>0</v>
          </cell>
        </row>
        <row r="436">
          <cell r="D436">
            <v>10130015</v>
          </cell>
          <cell r="E436" t="str">
            <v>Gomukha Vishanupatti II</v>
          </cell>
          <cell r="F436">
            <v>0</v>
          </cell>
          <cell r="G436" t="str">
            <v>vlc</v>
          </cell>
          <cell r="H436" t="str">
            <v>Indirect</v>
          </cell>
          <cell r="I436">
            <v>1013</v>
          </cell>
          <cell r="J436" t="str">
            <v>Musrigharari</v>
          </cell>
          <cell r="K436" t="str">
            <v>Old</v>
          </cell>
          <cell r="L436">
            <v>44225</v>
          </cell>
          <cell r="M436">
            <v>2024.8</v>
          </cell>
          <cell r="N436">
            <v>78505.55</v>
          </cell>
          <cell r="O436">
            <v>1518.6</v>
          </cell>
          <cell r="P436">
            <v>1923.56</v>
          </cell>
          <cell r="Q436">
            <v>0</v>
          </cell>
          <cell r="R436">
            <v>2355.1664999999998</v>
          </cell>
          <cell r="S436">
            <v>431.60649999999987</v>
          </cell>
          <cell r="T436">
            <v>202.48000000000002</v>
          </cell>
          <cell r="U436">
            <v>752.04583842943771</v>
          </cell>
          <cell r="V436">
            <v>2488</v>
          </cell>
          <cell r="W436">
            <v>0</v>
          </cell>
          <cell r="X436">
            <v>0</v>
          </cell>
          <cell r="Y436">
            <v>0</v>
          </cell>
        </row>
        <row r="437">
          <cell r="D437">
            <v>10130016</v>
          </cell>
          <cell r="E437" t="str">
            <v>Gomukh Khesarhiya</v>
          </cell>
          <cell r="F437">
            <v>0</v>
          </cell>
          <cell r="G437" t="str">
            <v>vlc</v>
          </cell>
          <cell r="H437" t="str">
            <v>Indirect</v>
          </cell>
          <cell r="I437">
            <v>1013</v>
          </cell>
          <cell r="J437" t="str">
            <v>Musrigharari</v>
          </cell>
          <cell r="K437" t="str">
            <v>Old</v>
          </cell>
          <cell r="L437">
            <v>44256</v>
          </cell>
          <cell r="M437">
            <v>481.2</v>
          </cell>
          <cell r="N437">
            <v>21187.07</v>
          </cell>
          <cell r="O437">
            <v>360.9</v>
          </cell>
          <cell r="P437">
            <v>457.14</v>
          </cell>
          <cell r="Q437">
            <v>0</v>
          </cell>
          <cell r="R437">
            <v>635.61209999999994</v>
          </cell>
          <cell r="S437">
            <v>178.47209999999995</v>
          </cell>
          <cell r="T437">
            <v>48.120000000000005</v>
          </cell>
          <cell r="U437">
            <v>769.8176953515017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</row>
        <row r="438">
          <cell r="D438">
            <v>10130018</v>
          </cell>
          <cell r="E438" t="str">
            <v>Harsingpur</v>
          </cell>
          <cell r="F438">
            <v>0</v>
          </cell>
          <cell r="G438" t="str">
            <v>vlc</v>
          </cell>
          <cell r="H438" t="str">
            <v>Indirect</v>
          </cell>
          <cell r="I438">
            <v>1013</v>
          </cell>
          <cell r="J438" t="str">
            <v>Musrigharari</v>
          </cell>
          <cell r="K438" t="str">
            <v>Old</v>
          </cell>
          <cell r="L438">
            <v>44699</v>
          </cell>
          <cell r="M438">
            <v>877.8</v>
          </cell>
          <cell r="N438">
            <v>27703.02</v>
          </cell>
          <cell r="O438">
            <v>658.34999999999991</v>
          </cell>
          <cell r="P438">
            <v>833.91</v>
          </cell>
          <cell r="Q438">
            <v>0</v>
          </cell>
          <cell r="R438">
            <v>831.09059999999999</v>
          </cell>
          <cell r="S438">
            <v>-2.8193999999999733</v>
          </cell>
          <cell r="T438">
            <v>87.78</v>
          </cell>
          <cell r="U438">
            <v>1361.9152400896542</v>
          </cell>
          <cell r="V438">
            <v>43</v>
          </cell>
          <cell r="W438">
            <v>0</v>
          </cell>
          <cell r="X438">
            <v>0</v>
          </cell>
          <cell r="Y438">
            <v>0</v>
          </cell>
        </row>
        <row r="439">
          <cell r="D439">
            <v>10130020</v>
          </cell>
          <cell r="E439" t="str">
            <v>Gomukh ID Mahathi</v>
          </cell>
          <cell r="F439">
            <v>0</v>
          </cell>
          <cell r="G439" t="str">
            <v>vlc</v>
          </cell>
          <cell r="H439" t="str">
            <v>Indirect</v>
          </cell>
          <cell r="I439">
            <v>1013</v>
          </cell>
          <cell r="J439" t="str">
            <v>Musrigharari</v>
          </cell>
          <cell r="K439" t="str">
            <v>Old</v>
          </cell>
          <cell r="L439">
            <v>44724</v>
          </cell>
          <cell r="M439">
            <v>2471.5</v>
          </cell>
          <cell r="N439">
            <v>90102.95</v>
          </cell>
          <cell r="O439">
            <v>1853.625</v>
          </cell>
          <cell r="P439">
            <v>2347.9249999999997</v>
          </cell>
          <cell r="Q439">
            <v>0</v>
          </cell>
          <cell r="R439">
            <v>2703.0884999999998</v>
          </cell>
          <cell r="S439">
            <v>355.16350000000011</v>
          </cell>
          <cell r="T439">
            <v>247.15</v>
          </cell>
          <cell r="U439">
            <v>386.1394924304654</v>
          </cell>
          <cell r="V439">
            <v>3568</v>
          </cell>
          <cell r="W439">
            <v>0</v>
          </cell>
          <cell r="X439">
            <v>0</v>
          </cell>
          <cell r="Y439">
            <v>0</v>
          </cell>
        </row>
        <row r="440">
          <cell r="D440">
            <v>10130025</v>
          </cell>
          <cell r="E440" t="str">
            <v>MURTUJAPUR</v>
          </cell>
          <cell r="F440">
            <v>0</v>
          </cell>
          <cell r="G440" t="str">
            <v>vlc</v>
          </cell>
          <cell r="H440" t="str">
            <v>Indirect</v>
          </cell>
          <cell r="I440">
            <v>1013</v>
          </cell>
          <cell r="J440" t="str">
            <v>Musrigharari</v>
          </cell>
          <cell r="K440" t="str">
            <v>Old</v>
          </cell>
          <cell r="L440">
            <v>44949</v>
          </cell>
          <cell r="M440">
            <v>2015.5</v>
          </cell>
          <cell r="N440">
            <v>81161.070000000007</v>
          </cell>
          <cell r="O440">
            <v>1511.625</v>
          </cell>
          <cell r="P440">
            <v>1914.7249999999999</v>
          </cell>
          <cell r="Q440">
            <v>0</v>
          </cell>
          <cell r="R440">
            <v>2434.8321000000001</v>
          </cell>
          <cell r="S440">
            <v>520.10710000000017</v>
          </cell>
          <cell r="T440">
            <v>201.55</v>
          </cell>
          <cell r="U440">
            <v>789.76639924672122</v>
          </cell>
          <cell r="V440">
            <v>2435</v>
          </cell>
          <cell r="W440">
            <v>0</v>
          </cell>
          <cell r="X440">
            <v>1623.2214000000001</v>
          </cell>
          <cell r="Y440">
            <v>0</v>
          </cell>
        </row>
        <row r="441">
          <cell r="D441">
            <v>10130026</v>
          </cell>
          <cell r="E441" t="str">
            <v>Rasalpur</v>
          </cell>
          <cell r="F441">
            <v>0</v>
          </cell>
          <cell r="G441" t="str">
            <v>MPG</v>
          </cell>
          <cell r="H441" t="str">
            <v>Direct</v>
          </cell>
          <cell r="I441">
            <v>1013</v>
          </cell>
          <cell r="J441" t="str">
            <v>Musrigharari</v>
          </cell>
          <cell r="K441" t="str">
            <v>Old</v>
          </cell>
          <cell r="L441">
            <v>44982</v>
          </cell>
          <cell r="M441">
            <v>594.90000000000009</v>
          </cell>
          <cell r="N441">
            <v>24300.11</v>
          </cell>
          <cell r="O441">
            <v>446.17500000000007</v>
          </cell>
          <cell r="P441">
            <v>565.15500000000009</v>
          </cell>
          <cell r="Q441">
            <v>574.11005921439994</v>
          </cell>
          <cell r="R441">
            <v>729.00329999999997</v>
          </cell>
          <cell r="S441">
            <v>163.84829999999988</v>
          </cell>
          <cell r="T441">
            <v>59.490000000000009</v>
          </cell>
          <cell r="U441">
            <v>1525.657044337501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D442">
            <v>10130030</v>
          </cell>
          <cell r="E442" t="str">
            <v xml:space="preserve">Chhuchhipur                                                                                         </v>
          </cell>
          <cell r="F442">
            <v>0</v>
          </cell>
          <cell r="G442" t="str">
            <v>MPG</v>
          </cell>
          <cell r="H442" t="str">
            <v>Direct</v>
          </cell>
          <cell r="I442">
            <v>1013</v>
          </cell>
          <cell r="J442" t="str">
            <v>Musrigharari</v>
          </cell>
          <cell r="K442" t="str">
            <v>Old</v>
          </cell>
          <cell r="L442">
            <v>45038</v>
          </cell>
          <cell r="M442">
            <v>567.6</v>
          </cell>
          <cell r="N442">
            <v>17513.720000000005</v>
          </cell>
          <cell r="O442">
            <v>425.70000000000005</v>
          </cell>
          <cell r="P442">
            <v>539.22</v>
          </cell>
          <cell r="Q442">
            <v>0</v>
          </cell>
          <cell r="R442">
            <v>525.41160000000013</v>
          </cell>
          <cell r="S442">
            <v>-13.808399999999892</v>
          </cell>
          <cell r="T442">
            <v>56.760000000000005</v>
          </cell>
          <cell r="U442">
            <v>908.18918871426058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</row>
        <row r="443">
          <cell r="D443">
            <v>10130031</v>
          </cell>
          <cell r="E443" t="str">
            <v>Gomukh ID Sararanjan</v>
          </cell>
          <cell r="F443">
            <v>0</v>
          </cell>
          <cell r="G443" t="str">
            <v>vlc</v>
          </cell>
          <cell r="H443" t="str">
            <v>Indirect</v>
          </cell>
          <cell r="I443">
            <v>1013</v>
          </cell>
          <cell r="J443" t="str">
            <v>Musrigharari</v>
          </cell>
          <cell r="K443" t="str">
            <v>Old</v>
          </cell>
          <cell r="L443">
            <v>45074</v>
          </cell>
          <cell r="M443">
            <v>741.7</v>
          </cell>
          <cell r="N443">
            <v>28590.010000000002</v>
          </cell>
          <cell r="O443">
            <v>556.27500000000009</v>
          </cell>
          <cell r="P443">
            <v>704.61500000000001</v>
          </cell>
          <cell r="Q443">
            <v>0</v>
          </cell>
          <cell r="R443">
            <v>857.70030000000008</v>
          </cell>
          <cell r="S443">
            <v>153.08530000000007</v>
          </cell>
          <cell r="T443">
            <v>74.17</v>
          </cell>
          <cell r="U443">
            <v>1187.0715986440607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</row>
        <row r="444">
          <cell r="D444">
            <v>10130032</v>
          </cell>
          <cell r="E444" t="str">
            <v xml:space="preserve">Gomukh Soharthi Purvi Tola                                                                          </v>
          </cell>
          <cell r="F444">
            <v>0</v>
          </cell>
          <cell r="G444" t="str">
            <v>MPG</v>
          </cell>
          <cell r="H444" t="str">
            <v>Direct</v>
          </cell>
          <cell r="I444">
            <v>1013</v>
          </cell>
          <cell r="J444" t="str">
            <v>Musrigharari</v>
          </cell>
          <cell r="K444" t="str">
            <v>Old</v>
          </cell>
          <cell r="L444">
            <v>45076</v>
          </cell>
          <cell r="M444">
            <v>290.10000000000002</v>
          </cell>
          <cell r="N444">
            <v>11729.87</v>
          </cell>
          <cell r="O444">
            <v>217.57500000000002</v>
          </cell>
          <cell r="P444">
            <v>275.59500000000003</v>
          </cell>
          <cell r="Q444">
            <v>0</v>
          </cell>
          <cell r="R444">
            <v>351.89609999999999</v>
          </cell>
          <cell r="S444">
            <v>76.301099999999963</v>
          </cell>
          <cell r="T444">
            <v>29.010000000000005</v>
          </cell>
          <cell r="U444">
            <v>464.08426524118204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D445">
            <v>10130040</v>
          </cell>
          <cell r="E445" t="str">
            <v>Birnama</v>
          </cell>
          <cell r="F445">
            <v>0</v>
          </cell>
          <cell r="G445" t="str">
            <v>vlc</v>
          </cell>
          <cell r="H445" t="str">
            <v>Indirect</v>
          </cell>
          <cell r="I445">
            <v>1013</v>
          </cell>
          <cell r="J445" t="str">
            <v>Musrigharari</v>
          </cell>
          <cell r="K445" t="str">
            <v>Old</v>
          </cell>
          <cell r="L445">
            <v>45151</v>
          </cell>
          <cell r="M445">
            <v>3181.2</v>
          </cell>
          <cell r="N445">
            <v>84539</v>
          </cell>
          <cell r="O445">
            <v>2385.8999999999996</v>
          </cell>
          <cell r="P445">
            <v>3022.14</v>
          </cell>
          <cell r="Q445">
            <v>0</v>
          </cell>
          <cell r="R445">
            <v>2536.17</v>
          </cell>
          <cell r="S445">
            <v>-485.9699999999998</v>
          </cell>
          <cell r="T445">
            <v>318.12</v>
          </cell>
          <cell r="U445">
            <v>483.39660000000003</v>
          </cell>
          <cell r="V445">
            <v>4607</v>
          </cell>
          <cell r="W445">
            <v>0</v>
          </cell>
          <cell r="X445">
            <v>0</v>
          </cell>
          <cell r="Y445">
            <v>0</v>
          </cell>
        </row>
        <row r="446">
          <cell r="D446">
            <v>10130041</v>
          </cell>
          <cell r="E446" t="str">
            <v>Maraie - Rubi</v>
          </cell>
          <cell r="F446">
            <v>0</v>
          </cell>
          <cell r="G446" t="str">
            <v>vlc</v>
          </cell>
          <cell r="H446" t="str">
            <v>Indirect</v>
          </cell>
          <cell r="I446">
            <v>1013</v>
          </cell>
          <cell r="J446" t="str">
            <v>Musrigharari</v>
          </cell>
          <cell r="K446" t="str">
            <v>Old</v>
          </cell>
          <cell r="L446">
            <v>44911</v>
          </cell>
          <cell r="M446">
            <v>287</v>
          </cell>
          <cell r="N446">
            <v>10640.580000000002</v>
          </cell>
          <cell r="O446">
            <v>215.25</v>
          </cell>
          <cell r="P446">
            <v>272.64999999999998</v>
          </cell>
          <cell r="Q446">
            <v>0</v>
          </cell>
          <cell r="R446">
            <v>319.21740000000005</v>
          </cell>
          <cell r="S446">
            <v>46.567400000000077</v>
          </cell>
          <cell r="T446">
            <v>28.700000000000003</v>
          </cell>
          <cell r="U446">
            <v>459.39968528534723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D447">
            <v>10130042</v>
          </cell>
          <cell r="E447" t="str">
            <v>Arniya East Tola - Seema</v>
          </cell>
          <cell r="F447">
            <v>0</v>
          </cell>
          <cell r="G447" t="str">
            <v>vlc</v>
          </cell>
          <cell r="H447" t="str">
            <v>Indirect</v>
          </cell>
          <cell r="I447">
            <v>1013</v>
          </cell>
          <cell r="J447" t="str">
            <v>Musrigharari</v>
          </cell>
          <cell r="K447" t="str">
            <v>Old</v>
          </cell>
          <cell r="L447">
            <v>45212</v>
          </cell>
          <cell r="M447">
            <v>99.5</v>
          </cell>
          <cell r="N447">
            <v>3639.2200000000003</v>
          </cell>
          <cell r="O447">
            <v>74.625</v>
          </cell>
          <cell r="P447">
            <v>94.524999999999991</v>
          </cell>
          <cell r="Q447">
            <v>0</v>
          </cell>
          <cell r="R447">
            <v>109.17660000000001</v>
          </cell>
          <cell r="S447">
            <v>14.651600000000016</v>
          </cell>
          <cell r="T447">
            <v>9.9500000000000011</v>
          </cell>
          <cell r="U447">
            <v>159.20711506049952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D448">
            <v>10130044</v>
          </cell>
          <cell r="E448" t="str">
            <v>Lakshmipur Western Tol - Rajeev</v>
          </cell>
          <cell r="F448">
            <v>0</v>
          </cell>
          <cell r="G448" t="str">
            <v>MPG</v>
          </cell>
          <cell r="H448" t="str">
            <v>Indirect</v>
          </cell>
          <cell r="I448">
            <v>1013</v>
          </cell>
          <cell r="J448" t="str">
            <v>Musrigharari</v>
          </cell>
          <cell r="K448" t="str">
            <v>Old</v>
          </cell>
          <cell r="L448">
            <v>44915</v>
          </cell>
          <cell r="M448">
            <v>12117.4</v>
          </cell>
          <cell r="N448">
            <v>505807.38999999996</v>
          </cell>
          <cell r="O448">
            <v>9088.0499999999993</v>
          </cell>
          <cell r="P448">
            <v>11511.529999999999</v>
          </cell>
          <cell r="Q448">
            <v>0</v>
          </cell>
          <cell r="R448">
            <v>15174.221699999998</v>
          </cell>
          <cell r="S448">
            <v>3662.6916999999994</v>
          </cell>
          <cell r="T448">
            <v>1211.74</v>
          </cell>
          <cell r="U448">
            <v>0</v>
          </cell>
          <cell r="V448">
            <v>19388</v>
          </cell>
          <cell r="W448">
            <v>0</v>
          </cell>
          <cell r="X448">
            <v>0</v>
          </cell>
          <cell r="Y448">
            <v>0</v>
          </cell>
        </row>
        <row r="449">
          <cell r="D449">
            <v>10130046</v>
          </cell>
          <cell r="E449" t="str">
            <v>Jahangipur Salkhanni</v>
          </cell>
          <cell r="F449">
            <v>0</v>
          </cell>
          <cell r="G449" t="str">
            <v>MPG</v>
          </cell>
          <cell r="H449" t="str">
            <v>Direct</v>
          </cell>
          <cell r="I449">
            <v>1013</v>
          </cell>
          <cell r="J449" t="str">
            <v>Musrigharari</v>
          </cell>
          <cell r="K449" t="str">
            <v>Old</v>
          </cell>
          <cell r="L449">
            <v>45238</v>
          </cell>
          <cell r="M449">
            <v>1847.0000000000002</v>
          </cell>
          <cell r="N449">
            <v>78120.099999999991</v>
          </cell>
          <cell r="O449">
            <v>1385.2500000000002</v>
          </cell>
          <cell r="P449">
            <v>1754.65</v>
          </cell>
          <cell r="Q449">
            <v>0</v>
          </cell>
          <cell r="R449">
            <v>2343.6029999999996</v>
          </cell>
          <cell r="S449">
            <v>588.95299999999952</v>
          </cell>
          <cell r="T449">
            <v>184.70000000000005</v>
          </cell>
          <cell r="U449">
            <v>976.07706366369291</v>
          </cell>
          <cell r="V449">
            <v>1979</v>
          </cell>
          <cell r="W449">
            <v>1861</v>
          </cell>
          <cell r="X449">
            <v>0</v>
          </cell>
          <cell r="Y449">
            <v>0</v>
          </cell>
        </row>
        <row r="450">
          <cell r="D450">
            <v>10130047</v>
          </cell>
          <cell r="E450" t="str">
            <v>Sekhpura</v>
          </cell>
          <cell r="F450">
            <v>0</v>
          </cell>
          <cell r="G450" t="str">
            <v>MPG</v>
          </cell>
          <cell r="H450" t="str">
            <v>Direct</v>
          </cell>
          <cell r="I450">
            <v>1013</v>
          </cell>
          <cell r="J450" t="str">
            <v>Musrigharari</v>
          </cell>
          <cell r="K450" t="str">
            <v>Old</v>
          </cell>
          <cell r="L450">
            <v>45232</v>
          </cell>
          <cell r="M450">
            <v>963.59999999999991</v>
          </cell>
          <cell r="N450">
            <v>34670.840000000004</v>
          </cell>
          <cell r="O450">
            <v>722.69999999999993</v>
          </cell>
          <cell r="P450">
            <v>915.41999999999985</v>
          </cell>
          <cell r="Q450">
            <v>422.4389098446</v>
          </cell>
          <cell r="R450">
            <v>1040.1252000000002</v>
          </cell>
          <cell r="S450">
            <v>124.70520000000033</v>
          </cell>
          <cell r="T450">
            <v>96.36</v>
          </cell>
          <cell r="U450">
            <v>1462.2643387948267</v>
          </cell>
          <cell r="V450">
            <v>502</v>
          </cell>
          <cell r="W450">
            <v>502</v>
          </cell>
          <cell r="X450">
            <v>0</v>
          </cell>
          <cell r="Y450">
            <v>0</v>
          </cell>
        </row>
        <row r="451">
          <cell r="D451">
            <v>10130052</v>
          </cell>
          <cell r="E451" t="str">
            <v>Songar</v>
          </cell>
          <cell r="F451">
            <v>0</v>
          </cell>
          <cell r="G451" t="str">
            <v>MPG</v>
          </cell>
          <cell r="H451" t="str">
            <v>Direct</v>
          </cell>
          <cell r="I451">
            <v>1013</v>
          </cell>
          <cell r="J451" t="str">
            <v>Musrigharari</v>
          </cell>
          <cell r="K451" t="str">
            <v>Old</v>
          </cell>
          <cell r="L451">
            <v>45392</v>
          </cell>
          <cell r="M451">
            <v>5994.6</v>
          </cell>
          <cell r="N451">
            <v>210158.56</v>
          </cell>
          <cell r="O451">
            <v>4495.9500000000007</v>
          </cell>
          <cell r="P451">
            <v>5694.87</v>
          </cell>
          <cell r="Q451">
            <v>2292.1772047416002</v>
          </cell>
          <cell r="R451">
            <v>6304.7568000000001</v>
          </cell>
          <cell r="S451">
            <v>609.88680000000022</v>
          </cell>
          <cell r="T451">
            <v>599.46</v>
          </cell>
          <cell r="U451">
            <v>0</v>
          </cell>
          <cell r="V451">
            <v>11884</v>
          </cell>
          <cell r="W451">
            <v>4203.1711999999998</v>
          </cell>
          <cell r="X451">
            <v>0</v>
          </cell>
          <cell r="Y451">
            <v>0</v>
          </cell>
        </row>
        <row r="452">
          <cell r="D452">
            <v>10130054</v>
          </cell>
          <cell r="E452" t="str">
            <v>Rampur Maheshpur</v>
          </cell>
          <cell r="F452">
            <v>0</v>
          </cell>
          <cell r="G452" t="str">
            <v>MPG</v>
          </cell>
          <cell r="H452" t="str">
            <v>Direct</v>
          </cell>
          <cell r="I452">
            <v>1013</v>
          </cell>
          <cell r="J452" t="str">
            <v>Musrigharari</v>
          </cell>
          <cell r="K452" t="str">
            <v>Old</v>
          </cell>
          <cell r="L452">
            <v>45392</v>
          </cell>
          <cell r="M452">
            <v>2542.9</v>
          </cell>
          <cell r="N452">
            <v>101414.01000000001</v>
          </cell>
          <cell r="O452">
            <v>1907.1750000000002</v>
          </cell>
          <cell r="P452">
            <v>2415.7550000000001</v>
          </cell>
          <cell r="Q452">
            <v>184.07661493320001</v>
          </cell>
          <cell r="R452">
            <v>3042.4203000000002</v>
          </cell>
          <cell r="S452">
            <v>626.66530000000012</v>
          </cell>
          <cell r="T452">
            <v>254.29000000000002</v>
          </cell>
          <cell r="U452">
            <v>420.28298582579595</v>
          </cell>
          <cell r="V452">
            <v>3832</v>
          </cell>
          <cell r="W452">
            <v>2028.2802000000001</v>
          </cell>
          <cell r="X452">
            <v>0</v>
          </cell>
          <cell r="Y452">
            <v>0</v>
          </cell>
        </row>
        <row r="453">
          <cell r="D453">
            <v>10130058</v>
          </cell>
          <cell r="E453" t="str">
            <v>Godhiyari</v>
          </cell>
          <cell r="F453">
            <v>0</v>
          </cell>
          <cell r="G453" t="str">
            <v>vlc</v>
          </cell>
          <cell r="H453" t="str">
            <v>Indirect</v>
          </cell>
          <cell r="I453">
            <v>1013</v>
          </cell>
          <cell r="J453" t="str">
            <v>Musrigharari</v>
          </cell>
          <cell r="K453" t="str">
            <v>Old</v>
          </cell>
          <cell r="L453">
            <v>45412</v>
          </cell>
          <cell r="M453">
            <v>1017.8999999999999</v>
          </cell>
          <cell r="N453">
            <v>33311.230000000003</v>
          </cell>
          <cell r="O453">
            <v>763.42499999999995</v>
          </cell>
          <cell r="P453">
            <v>967.00499999999988</v>
          </cell>
          <cell r="Q453">
            <v>0</v>
          </cell>
          <cell r="R453">
            <v>999.33690000000001</v>
          </cell>
          <cell r="S453">
            <v>32.331900000000132</v>
          </cell>
          <cell r="T453">
            <v>101.78999999999999</v>
          </cell>
          <cell r="U453">
            <v>1372.9629127732385</v>
          </cell>
          <cell r="V453">
            <v>256</v>
          </cell>
          <cell r="W453">
            <v>0</v>
          </cell>
          <cell r="X453">
            <v>0</v>
          </cell>
          <cell r="Y453">
            <v>0</v>
          </cell>
        </row>
        <row r="454">
          <cell r="D454">
            <v>10130065</v>
          </cell>
          <cell r="E454" t="str">
            <v>Jhakhra-Rambilash</v>
          </cell>
          <cell r="F454">
            <v>0</v>
          </cell>
          <cell r="G454" t="str">
            <v>vlc</v>
          </cell>
          <cell r="H454" t="str">
            <v>Indirect</v>
          </cell>
          <cell r="I454">
            <v>1013</v>
          </cell>
          <cell r="J454" t="str">
            <v>Musrigharari</v>
          </cell>
          <cell r="K454" t="str">
            <v>Old</v>
          </cell>
          <cell r="L454">
            <v>45440</v>
          </cell>
          <cell r="M454">
            <v>2298.1000000000004</v>
          </cell>
          <cell r="N454">
            <v>87224.13</v>
          </cell>
          <cell r="O454">
            <v>1723.5750000000003</v>
          </cell>
          <cell r="P454">
            <v>2183.1950000000002</v>
          </cell>
          <cell r="Q454">
            <v>0</v>
          </cell>
          <cell r="R454">
            <v>2616.7239</v>
          </cell>
          <cell r="S454">
            <v>433.52889999999979</v>
          </cell>
          <cell r="T454">
            <v>229.81000000000006</v>
          </cell>
          <cell r="U454">
            <v>584.68266244953054</v>
          </cell>
          <cell r="V454">
            <v>3092</v>
          </cell>
          <cell r="W454">
            <v>0</v>
          </cell>
          <cell r="X454">
            <v>0</v>
          </cell>
          <cell r="Y454">
            <v>0</v>
          </cell>
        </row>
        <row r="455">
          <cell r="D455">
            <v>10130070</v>
          </cell>
          <cell r="E455" t="str">
            <v>Chaksikandar East</v>
          </cell>
          <cell r="F455">
            <v>0</v>
          </cell>
          <cell r="G455" t="str">
            <v>MPG</v>
          </cell>
          <cell r="H455" t="str">
            <v>Direct</v>
          </cell>
          <cell r="I455">
            <v>1013</v>
          </cell>
          <cell r="J455" t="str">
            <v>Musrigharari</v>
          </cell>
          <cell r="K455" t="str">
            <v>Old</v>
          </cell>
          <cell r="L455">
            <v>45536</v>
          </cell>
          <cell r="M455">
            <v>382.79999999999995</v>
          </cell>
          <cell r="N455">
            <v>13148.380000000001</v>
          </cell>
          <cell r="O455">
            <v>287.09999999999997</v>
          </cell>
          <cell r="P455">
            <v>363.65999999999997</v>
          </cell>
          <cell r="Q455">
            <v>84.759606360000006</v>
          </cell>
          <cell r="R455">
            <v>394.45140000000004</v>
          </cell>
          <cell r="S455">
            <v>30.791400000000067</v>
          </cell>
          <cell r="T455">
            <v>38.279999999999994</v>
          </cell>
          <cell r="U455">
            <v>697.60816368461838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>
            <v>10130073</v>
          </cell>
          <cell r="E456" t="str">
            <v>Dagarua</v>
          </cell>
          <cell r="F456">
            <v>0</v>
          </cell>
          <cell r="G456" t="str">
            <v>MPG</v>
          </cell>
          <cell r="H456" t="str">
            <v>Direct</v>
          </cell>
          <cell r="I456">
            <v>1013</v>
          </cell>
          <cell r="J456" t="str">
            <v>Musrigharari</v>
          </cell>
          <cell r="K456" t="str">
            <v>Old</v>
          </cell>
          <cell r="L456">
            <v>45599</v>
          </cell>
          <cell r="M456">
            <v>235</v>
          </cell>
          <cell r="N456">
            <v>7385.7499999999991</v>
          </cell>
          <cell r="O456">
            <v>176.25</v>
          </cell>
          <cell r="P456">
            <v>223.25</v>
          </cell>
          <cell r="Q456">
            <v>8.6634149580000006</v>
          </cell>
          <cell r="R456">
            <v>221.57249999999996</v>
          </cell>
          <cell r="S456">
            <v>-1.6775000000000375</v>
          </cell>
          <cell r="T456">
            <v>23.5</v>
          </cell>
          <cell r="U456">
            <v>384.30179197168809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>
            <v>10130074</v>
          </cell>
          <cell r="E457" t="str">
            <v>Chakmilki</v>
          </cell>
          <cell r="F457">
            <v>0</v>
          </cell>
          <cell r="G457" t="str">
            <v>MPG</v>
          </cell>
          <cell r="H457" t="str">
            <v>Direct</v>
          </cell>
          <cell r="I457">
            <v>1013</v>
          </cell>
          <cell r="J457" t="str">
            <v>Musrigharari</v>
          </cell>
          <cell r="K457" t="str">
            <v>Old</v>
          </cell>
          <cell r="L457">
            <v>45583</v>
          </cell>
          <cell r="M457">
            <v>1429.1</v>
          </cell>
          <cell r="N457">
            <v>54202.789999999994</v>
          </cell>
          <cell r="O457">
            <v>1071.8249999999998</v>
          </cell>
          <cell r="P457">
            <v>1357.6449999999998</v>
          </cell>
          <cell r="Q457">
            <v>916.45522455438004</v>
          </cell>
          <cell r="R457">
            <v>1626.0836999999997</v>
          </cell>
          <cell r="S457">
            <v>268.43869999999993</v>
          </cell>
          <cell r="T457">
            <v>142.91</v>
          </cell>
          <cell r="U457">
            <v>1190.6696665185241</v>
          </cell>
          <cell r="V457">
            <v>2012</v>
          </cell>
          <cell r="W457">
            <v>1861</v>
          </cell>
          <cell r="X457">
            <v>0</v>
          </cell>
          <cell r="Y457">
            <v>0</v>
          </cell>
        </row>
        <row r="458">
          <cell r="D458">
            <v>10130077</v>
          </cell>
          <cell r="E458" t="str">
            <v>Gomukh Akaha</v>
          </cell>
          <cell r="F458">
            <v>0</v>
          </cell>
          <cell r="G458" t="str">
            <v>MPG</v>
          </cell>
          <cell r="H458" t="str">
            <v>Direct</v>
          </cell>
          <cell r="I458">
            <v>1013</v>
          </cell>
          <cell r="J458" t="str">
            <v>Musrigharari</v>
          </cell>
          <cell r="K458" t="str">
            <v>Old</v>
          </cell>
          <cell r="L458">
            <v>45631</v>
          </cell>
          <cell r="M458">
            <v>694</v>
          </cell>
          <cell r="N458">
            <v>22593.14</v>
          </cell>
          <cell r="O458">
            <v>520.5</v>
          </cell>
          <cell r="P458">
            <v>659.3</v>
          </cell>
          <cell r="Q458">
            <v>136.43552870640002</v>
          </cell>
          <cell r="R458">
            <v>677.79419999999993</v>
          </cell>
          <cell r="S458">
            <v>18.494199999999978</v>
          </cell>
          <cell r="T458">
            <v>69.400000000000006</v>
          </cell>
          <cell r="U458">
            <v>1246.4892528169948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>
            <v>10130080</v>
          </cell>
          <cell r="E459" t="str">
            <v>Nauachak-Pankaj</v>
          </cell>
          <cell r="F459">
            <v>0</v>
          </cell>
          <cell r="G459" t="str">
            <v>vlc</v>
          </cell>
          <cell r="H459" t="str">
            <v>Indirect</v>
          </cell>
          <cell r="I459">
            <v>1013</v>
          </cell>
          <cell r="J459" t="str">
            <v>Musrigharari</v>
          </cell>
          <cell r="K459" t="str">
            <v>Old</v>
          </cell>
          <cell r="L459">
            <v>45630</v>
          </cell>
          <cell r="M459">
            <v>560.6</v>
          </cell>
          <cell r="N459">
            <v>20015.199999999997</v>
          </cell>
          <cell r="O459">
            <v>420.45000000000005</v>
          </cell>
          <cell r="P459">
            <v>532.57000000000005</v>
          </cell>
          <cell r="Q459">
            <v>0</v>
          </cell>
          <cell r="R459">
            <v>600.4559999999999</v>
          </cell>
          <cell r="S459">
            <v>67.885999999999854</v>
          </cell>
          <cell r="T459">
            <v>56.06</v>
          </cell>
          <cell r="U459">
            <v>897.41900962791419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>
            <v>10130083</v>
          </cell>
          <cell r="E460" t="str">
            <v>Gomukh Sirdulpur 2</v>
          </cell>
          <cell r="F460">
            <v>0</v>
          </cell>
          <cell r="G460" t="str">
            <v>vlc</v>
          </cell>
          <cell r="H460" t="str">
            <v>Indirect</v>
          </cell>
          <cell r="I460">
            <v>1013</v>
          </cell>
          <cell r="J460" t="str">
            <v>Musrigharari</v>
          </cell>
          <cell r="K460" t="str">
            <v>Old</v>
          </cell>
          <cell r="L460">
            <v>45645</v>
          </cell>
          <cell r="M460">
            <v>5678.3</v>
          </cell>
          <cell r="N460">
            <v>184124.75</v>
          </cell>
          <cell r="O460">
            <v>4258.7250000000004</v>
          </cell>
          <cell r="P460">
            <v>5394.3850000000002</v>
          </cell>
          <cell r="Q460">
            <v>0</v>
          </cell>
          <cell r="R460">
            <v>5523.7424999999994</v>
          </cell>
          <cell r="S460">
            <v>129.35749999999916</v>
          </cell>
          <cell r="T460">
            <v>567.83000000000004</v>
          </cell>
          <cell r="U460">
            <v>0</v>
          </cell>
          <cell r="V460">
            <v>9085</v>
          </cell>
          <cell r="W460">
            <v>0</v>
          </cell>
          <cell r="X460">
            <v>0</v>
          </cell>
          <cell r="Y460">
            <v>0</v>
          </cell>
        </row>
        <row r="461">
          <cell r="D461">
            <v>10130085</v>
          </cell>
          <cell r="E461" t="str">
            <v>Gomukh Repura</v>
          </cell>
          <cell r="F461">
            <v>0</v>
          </cell>
          <cell r="G461" t="str">
            <v>MPG</v>
          </cell>
          <cell r="H461" t="str">
            <v>Direct</v>
          </cell>
          <cell r="I461">
            <v>1013</v>
          </cell>
          <cell r="J461" t="str">
            <v>Musrigharari</v>
          </cell>
          <cell r="K461" t="str">
            <v>Old</v>
          </cell>
          <cell r="L461">
            <v>45657</v>
          </cell>
          <cell r="M461">
            <v>994.4</v>
          </cell>
          <cell r="N461">
            <v>34420.399999999994</v>
          </cell>
          <cell r="O461">
            <v>745.8</v>
          </cell>
          <cell r="P461">
            <v>944.68</v>
          </cell>
          <cell r="Q461">
            <v>0</v>
          </cell>
          <cell r="R461">
            <v>1032.6119999999999</v>
          </cell>
          <cell r="S461">
            <v>87.931999999999903</v>
          </cell>
          <cell r="T461">
            <v>99.44</v>
          </cell>
          <cell r="U461">
            <v>1363.2344477912384</v>
          </cell>
          <cell r="V461">
            <v>228</v>
          </cell>
          <cell r="W461">
            <v>228</v>
          </cell>
          <cell r="X461">
            <v>0</v>
          </cell>
          <cell r="Y461">
            <v>0</v>
          </cell>
        </row>
        <row r="462">
          <cell r="D462">
            <v>10130091</v>
          </cell>
          <cell r="E462" t="str">
            <v>Gomukh Nipur</v>
          </cell>
          <cell r="F462">
            <v>0</v>
          </cell>
          <cell r="G462" t="str">
            <v>MPG</v>
          </cell>
          <cell r="H462" t="str">
            <v>Direct</v>
          </cell>
          <cell r="I462">
            <v>1013</v>
          </cell>
          <cell r="J462" t="str">
            <v>Musrigharari</v>
          </cell>
          <cell r="K462" t="str">
            <v>Old</v>
          </cell>
          <cell r="L462">
            <v>45698</v>
          </cell>
          <cell r="M462">
            <v>847.4</v>
          </cell>
          <cell r="N462">
            <v>33075.78</v>
          </cell>
          <cell r="O462">
            <v>635.54999999999995</v>
          </cell>
          <cell r="P462">
            <v>805.03</v>
          </cell>
          <cell r="Q462">
            <v>591.69487362480004</v>
          </cell>
          <cell r="R462">
            <v>992.27339999999992</v>
          </cell>
          <cell r="S462">
            <v>187.24339999999995</v>
          </cell>
          <cell r="T462">
            <v>84.740000000000009</v>
          </cell>
          <cell r="U462">
            <v>1133.4534710580058</v>
          </cell>
          <cell r="V462">
            <v>814</v>
          </cell>
          <cell r="W462">
            <v>814</v>
          </cell>
          <cell r="X462">
            <v>0</v>
          </cell>
          <cell r="Y462">
            <v>0</v>
          </cell>
        </row>
        <row r="463">
          <cell r="D463">
            <v>10130093</v>
          </cell>
          <cell r="E463" t="str">
            <v>Gomukh Sherpur Narsari East</v>
          </cell>
          <cell r="F463">
            <v>0</v>
          </cell>
          <cell r="G463" t="str">
            <v>MPG</v>
          </cell>
          <cell r="H463" t="str">
            <v>Direct</v>
          </cell>
          <cell r="I463">
            <v>1013</v>
          </cell>
          <cell r="J463" t="str">
            <v>Musrigharari</v>
          </cell>
          <cell r="K463" t="str">
            <v>Old</v>
          </cell>
          <cell r="L463">
            <v>45740</v>
          </cell>
          <cell r="M463">
            <v>1505.3000000000002</v>
          </cell>
          <cell r="N463">
            <v>55652.759999999995</v>
          </cell>
          <cell r="O463">
            <v>1128.9750000000001</v>
          </cell>
          <cell r="P463">
            <v>1430.0350000000001</v>
          </cell>
          <cell r="Q463">
            <v>416.160581364</v>
          </cell>
          <cell r="R463">
            <v>1669.5827999999997</v>
          </cell>
          <cell r="S463">
            <v>239.5477999999996</v>
          </cell>
          <cell r="T463">
            <v>150.53000000000003</v>
          </cell>
          <cell r="U463">
            <v>1116.2596535090249</v>
          </cell>
          <cell r="V463">
            <v>1708</v>
          </cell>
          <cell r="W463">
            <v>1708</v>
          </cell>
          <cell r="X463">
            <v>0</v>
          </cell>
          <cell r="Y463">
            <v>0</v>
          </cell>
        </row>
        <row r="464">
          <cell r="D464">
            <v>10130094</v>
          </cell>
          <cell r="E464" t="str">
            <v>Gomukh Nauachak East</v>
          </cell>
          <cell r="F464">
            <v>0</v>
          </cell>
          <cell r="G464" t="str">
            <v>MPG</v>
          </cell>
          <cell r="H464" t="str">
            <v>Direct</v>
          </cell>
          <cell r="I464">
            <v>1013</v>
          </cell>
          <cell r="J464" t="str">
            <v>Musrigharari</v>
          </cell>
          <cell r="K464" t="str">
            <v>Old</v>
          </cell>
          <cell r="L464">
            <v>45741</v>
          </cell>
          <cell r="M464">
            <v>144.80000000000001</v>
          </cell>
          <cell r="N464">
            <v>6587.2599999999993</v>
          </cell>
          <cell r="O464">
            <v>108.60000000000001</v>
          </cell>
          <cell r="P464">
            <v>137.56</v>
          </cell>
          <cell r="Q464">
            <v>53.828512848000003</v>
          </cell>
          <cell r="R464">
            <v>197.61779999999996</v>
          </cell>
          <cell r="S464">
            <v>60.057799999999958</v>
          </cell>
          <cell r="T464">
            <v>14.480000000000002</v>
          </cell>
          <cell r="U464">
            <v>285.46583344015653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D465">
            <v>10130097</v>
          </cell>
          <cell r="E465" t="str">
            <v>Gomukh Karhatti</v>
          </cell>
          <cell r="F465">
            <v>0</v>
          </cell>
          <cell r="G465" t="str">
            <v>MPG</v>
          </cell>
          <cell r="H465" t="str">
            <v>Direct</v>
          </cell>
          <cell r="I465">
            <v>1013</v>
          </cell>
          <cell r="J465" t="str">
            <v>Musrigharari</v>
          </cell>
          <cell r="K465" t="str">
            <v>Old</v>
          </cell>
          <cell r="L465">
            <v>45826</v>
          </cell>
          <cell r="M465">
            <v>823.2</v>
          </cell>
          <cell r="N465">
            <v>31448.959999999999</v>
          </cell>
          <cell r="O465">
            <v>617.40000000000009</v>
          </cell>
          <cell r="P465">
            <v>782.04</v>
          </cell>
          <cell r="Q465">
            <v>0</v>
          </cell>
          <cell r="R465">
            <v>943.46879999999999</v>
          </cell>
          <cell r="S465">
            <v>161.42880000000002</v>
          </cell>
          <cell r="T465">
            <v>82.320000000000007</v>
          </cell>
          <cell r="U465">
            <v>1317.224691800001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</row>
        <row r="466">
          <cell r="D466">
            <v>10130098</v>
          </cell>
          <cell r="E466" t="str">
            <v>Gomukh Gaopur Bhagwatpur</v>
          </cell>
          <cell r="F466">
            <v>0</v>
          </cell>
          <cell r="G466" t="str">
            <v>MPG</v>
          </cell>
          <cell r="H466" t="str">
            <v>Direct</v>
          </cell>
          <cell r="I466">
            <v>1013</v>
          </cell>
          <cell r="J466" t="str">
            <v>Musrigharari</v>
          </cell>
          <cell r="K466" t="str">
            <v>Old</v>
          </cell>
          <cell r="L466">
            <v>45765</v>
          </cell>
          <cell r="M466">
            <v>4188.8999999999996</v>
          </cell>
          <cell r="N466">
            <v>155955.74</v>
          </cell>
          <cell r="O466">
            <v>3141.6749999999997</v>
          </cell>
          <cell r="P466">
            <v>3979.4549999999995</v>
          </cell>
          <cell r="Q466">
            <v>19.209196512000002</v>
          </cell>
          <cell r="R466">
            <v>4678.6722</v>
          </cell>
          <cell r="S466">
            <v>699.2172000000005</v>
          </cell>
          <cell r="T466">
            <v>418.89</v>
          </cell>
          <cell r="U466">
            <v>141.99446494209275</v>
          </cell>
          <cell r="V466">
            <v>6579</v>
          </cell>
          <cell r="W466">
            <v>3119.1147999999998</v>
          </cell>
          <cell r="X466">
            <v>0</v>
          </cell>
          <cell r="Y466">
            <v>0</v>
          </cell>
        </row>
        <row r="467">
          <cell r="D467">
            <v>10130100</v>
          </cell>
          <cell r="E467" t="str">
            <v>Gomukh Rajwara</v>
          </cell>
          <cell r="F467">
            <v>0</v>
          </cell>
          <cell r="G467" t="str">
            <v>MPG</v>
          </cell>
          <cell r="H467" t="str">
            <v>Direct</v>
          </cell>
          <cell r="I467">
            <v>1013</v>
          </cell>
          <cell r="J467" t="str">
            <v>Musrigharari</v>
          </cell>
          <cell r="K467" t="str">
            <v>Old</v>
          </cell>
          <cell r="L467">
            <v>45809</v>
          </cell>
          <cell r="M467">
            <v>583.4</v>
          </cell>
          <cell r="N467">
            <v>23571.06</v>
          </cell>
          <cell r="O467">
            <v>437.54999999999995</v>
          </cell>
          <cell r="P467">
            <v>554.2299999999999</v>
          </cell>
          <cell r="Q467">
            <v>120.17610396000001</v>
          </cell>
          <cell r="R467">
            <v>707.1318</v>
          </cell>
          <cell r="S467">
            <v>152.90180000000009</v>
          </cell>
          <cell r="T467">
            <v>58.34</v>
          </cell>
          <cell r="U467">
            <v>1053.9428688932874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>
            <v>10130102</v>
          </cell>
          <cell r="E468" t="str">
            <v>GOMUKH NIKASPUR</v>
          </cell>
          <cell r="F468">
            <v>0</v>
          </cell>
          <cell r="G468" t="str">
            <v>vlc</v>
          </cell>
          <cell r="H468" t="str">
            <v>Direct</v>
          </cell>
          <cell r="I468">
            <v>1013</v>
          </cell>
          <cell r="J468" t="str">
            <v>Musrigharari</v>
          </cell>
          <cell r="K468" t="str">
            <v>Old</v>
          </cell>
          <cell r="L468">
            <v>45847</v>
          </cell>
          <cell r="M468">
            <v>130.6</v>
          </cell>
          <cell r="N468">
            <v>4107.2299999999996</v>
          </cell>
          <cell r="O468">
            <v>97.949999999999989</v>
          </cell>
          <cell r="P468">
            <v>124.07</v>
          </cell>
          <cell r="Q468">
            <v>0</v>
          </cell>
          <cell r="R468">
            <v>123.21689999999998</v>
          </cell>
          <cell r="S468">
            <v>-0.85310000000001196</v>
          </cell>
          <cell r="T468">
            <v>13.06</v>
          </cell>
          <cell r="U468">
            <v>209.27188427210012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>
            <v>10130107</v>
          </cell>
          <cell r="E469" t="str">
            <v>Gomukh Morwa Mohanpur</v>
          </cell>
          <cell r="F469">
            <v>0</v>
          </cell>
          <cell r="G469" t="str">
            <v>vlc</v>
          </cell>
          <cell r="H469" t="str">
            <v>Indirect</v>
          </cell>
          <cell r="I469">
            <v>1013</v>
          </cell>
          <cell r="J469" t="str">
            <v>Musrigharari</v>
          </cell>
          <cell r="K469" t="str">
            <v>Old</v>
          </cell>
          <cell r="L469">
            <v>45868</v>
          </cell>
          <cell r="M469">
            <v>1555.8000000000002</v>
          </cell>
          <cell r="N469">
            <v>56216.93</v>
          </cell>
          <cell r="O469">
            <v>1166.8500000000001</v>
          </cell>
          <cell r="P469">
            <v>1478.01</v>
          </cell>
          <cell r="Q469">
            <v>0</v>
          </cell>
          <cell r="R469">
            <v>1686.5078999999998</v>
          </cell>
          <cell r="S469">
            <v>208.49789999999985</v>
          </cell>
          <cell r="T469">
            <v>155.58000000000004</v>
          </cell>
          <cell r="U469">
            <v>1200.9067370203365</v>
          </cell>
          <cell r="V469">
            <v>1288</v>
          </cell>
          <cell r="W469">
            <v>0</v>
          </cell>
          <cell r="X469">
            <v>0</v>
          </cell>
          <cell r="Y469">
            <v>0</v>
          </cell>
        </row>
        <row r="470">
          <cell r="D470">
            <v>10140001</v>
          </cell>
          <cell r="E470" t="str">
            <v>Dumri Purvi Tola</v>
          </cell>
          <cell r="F470">
            <v>0</v>
          </cell>
          <cell r="G470" t="str">
            <v>MPG</v>
          </cell>
          <cell r="H470" t="str">
            <v>Direct</v>
          </cell>
          <cell r="I470">
            <v>1014</v>
          </cell>
          <cell r="J470" t="str">
            <v>Dumraon</v>
          </cell>
          <cell r="K470" t="str">
            <v>Old</v>
          </cell>
          <cell r="L470">
            <v>44664</v>
          </cell>
          <cell r="M470">
            <v>2519.6000000000004</v>
          </cell>
          <cell r="N470">
            <v>94823.59</v>
          </cell>
          <cell r="O470">
            <v>1889.7000000000003</v>
          </cell>
          <cell r="P470">
            <v>2393.6200000000003</v>
          </cell>
          <cell r="Q470">
            <v>0</v>
          </cell>
          <cell r="R470">
            <v>2844.7076999999999</v>
          </cell>
          <cell r="S470">
            <v>451.08769999999959</v>
          </cell>
          <cell r="T470">
            <v>251.96000000000004</v>
          </cell>
          <cell r="U470">
            <v>866.60424893698666</v>
          </cell>
          <cell r="V470">
            <v>3165</v>
          </cell>
          <cell r="W470">
            <v>0</v>
          </cell>
          <cell r="X470">
            <v>1896.4718</v>
          </cell>
          <cell r="Y470">
            <v>1269</v>
          </cell>
        </row>
        <row r="471">
          <cell r="D471">
            <v>10140002</v>
          </cell>
          <cell r="E471" t="str">
            <v>Simri</v>
          </cell>
          <cell r="F471">
            <v>0</v>
          </cell>
          <cell r="G471" t="str">
            <v>MPG</v>
          </cell>
          <cell r="H471" t="str">
            <v>Direct</v>
          </cell>
          <cell r="I471">
            <v>1014</v>
          </cell>
          <cell r="J471" t="str">
            <v>Dumraon</v>
          </cell>
          <cell r="K471" t="str">
            <v>Old</v>
          </cell>
          <cell r="L471">
            <v>44664</v>
          </cell>
          <cell r="M471">
            <v>3666.9000000000005</v>
          </cell>
          <cell r="N471">
            <v>136723.53</v>
          </cell>
          <cell r="O471">
            <v>2750.1750000000002</v>
          </cell>
          <cell r="P471">
            <v>3483.5550000000003</v>
          </cell>
          <cell r="Q471">
            <v>0</v>
          </cell>
          <cell r="R471">
            <v>4101.7058999999999</v>
          </cell>
          <cell r="S471">
            <v>618.15089999999964</v>
          </cell>
          <cell r="T471">
            <v>366.69000000000005</v>
          </cell>
          <cell r="U471">
            <v>0</v>
          </cell>
          <cell r="V471">
            <v>5867</v>
          </cell>
          <cell r="W471">
            <v>0</v>
          </cell>
          <cell r="X471">
            <v>2734.4706000000001</v>
          </cell>
          <cell r="Y471">
            <v>3000</v>
          </cell>
        </row>
        <row r="472">
          <cell r="D472">
            <v>10140003</v>
          </cell>
          <cell r="E472" t="str">
            <v>Sahiyar</v>
          </cell>
          <cell r="F472">
            <v>0</v>
          </cell>
          <cell r="G472" t="str">
            <v>MPG</v>
          </cell>
          <cell r="H472" t="str">
            <v>Direct</v>
          </cell>
          <cell r="I472">
            <v>1014</v>
          </cell>
          <cell r="J472" t="str">
            <v>Dumraon</v>
          </cell>
          <cell r="K472" t="str">
            <v>Old</v>
          </cell>
          <cell r="L472">
            <v>44664</v>
          </cell>
          <cell r="M472">
            <v>5182.6000000000004</v>
          </cell>
          <cell r="N472">
            <v>206053.21999999997</v>
          </cell>
          <cell r="O472">
            <v>3886.9500000000003</v>
          </cell>
          <cell r="P472">
            <v>4923.47</v>
          </cell>
          <cell r="Q472">
            <v>5488.9586269050005</v>
          </cell>
          <cell r="R472">
            <v>6181.5965999999989</v>
          </cell>
          <cell r="S472">
            <v>1258.1265999999987</v>
          </cell>
          <cell r="T472">
            <v>518.2600000000001</v>
          </cell>
          <cell r="U472">
            <v>0</v>
          </cell>
          <cell r="V472">
            <v>13781</v>
          </cell>
          <cell r="W472">
            <v>0</v>
          </cell>
          <cell r="X472">
            <v>0</v>
          </cell>
          <cell r="Y472">
            <v>0</v>
          </cell>
        </row>
        <row r="473">
          <cell r="D473">
            <v>10140007</v>
          </cell>
          <cell r="E473" t="str">
            <v>ENGLISH DUBAULI</v>
          </cell>
          <cell r="F473">
            <v>0</v>
          </cell>
          <cell r="G473" t="str">
            <v>MPG</v>
          </cell>
          <cell r="H473" t="str">
            <v>Direct</v>
          </cell>
          <cell r="I473">
            <v>1014</v>
          </cell>
          <cell r="J473" t="str">
            <v>Dumraon</v>
          </cell>
          <cell r="K473" t="str">
            <v>Old</v>
          </cell>
          <cell r="L473">
            <v>44664</v>
          </cell>
          <cell r="M473">
            <v>3415.7</v>
          </cell>
          <cell r="N473">
            <v>122504.23999999999</v>
          </cell>
          <cell r="O473">
            <v>2561.7749999999996</v>
          </cell>
          <cell r="P473">
            <v>3244.9149999999995</v>
          </cell>
          <cell r="Q473">
            <v>6569.1394918219803</v>
          </cell>
          <cell r="R473">
            <v>3675.1271999999994</v>
          </cell>
          <cell r="S473">
            <v>430.21219999999994</v>
          </cell>
          <cell r="T473">
            <v>341.57</v>
          </cell>
          <cell r="U473">
            <v>124.82045947807298</v>
          </cell>
          <cell r="V473">
            <v>11909</v>
          </cell>
          <cell r="W473">
            <v>0</v>
          </cell>
          <cell r="X473">
            <v>0</v>
          </cell>
          <cell r="Y473">
            <v>0</v>
          </cell>
        </row>
        <row r="474">
          <cell r="D474">
            <v>10140008</v>
          </cell>
          <cell r="E474" t="str">
            <v>Ramo Bariya</v>
          </cell>
          <cell r="F474">
            <v>0</v>
          </cell>
          <cell r="G474" t="str">
            <v>MPG</v>
          </cell>
          <cell r="H474" t="str">
            <v>Direct</v>
          </cell>
          <cell r="I474">
            <v>1014</v>
          </cell>
          <cell r="J474" t="str">
            <v>Dumraon</v>
          </cell>
          <cell r="K474" t="str">
            <v>Old</v>
          </cell>
          <cell r="L474">
            <v>44665</v>
          </cell>
          <cell r="M474">
            <v>4397.2</v>
          </cell>
          <cell r="N474">
            <v>167050.72000000003</v>
          </cell>
          <cell r="O474">
            <v>3297.8999999999996</v>
          </cell>
          <cell r="P474">
            <v>4177.3399999999992</v>
          </cell>
          <cell r="Q474">
            <v>3215.2982559525008</v>
          </cell>
          <cell r="R474">
            <v>5011.5216000000009</v>
          </cell>
          <cell r="S474">
            <v>834.18160000000171</v>
          </cell>
          <cell r="T474">
            <v>439.72</v>
          </cell>
          <cell r="U474">
            <v>0</v>
          </cell>
          <cell r="V474">
            <v>10251</v>
          </cell>
          <cell r="W474">
            <v>0</v>
          </cell>
          <cell r="X474">
            <v>0</v>
          </cell>
          <cell r="Y474">
            <v>0</v>
          </cell>
        </row>
        <row r="475">
          <cell r="D475">
            <v>10140009</v>
          </cell>
          <cell r="E475" t="str">
            <v>HITAN PARARI</v>
          </cell>
          <cell r="F475">
            <v>0</v>
          </cell>
          <cell r="G475" t="str">
            <v>MPG</v>
          </cell>
          <cell r="H475" t="str">
            <v>Direct</v>
          </cell>
          <cell r="I475">
            <v>1014</v>
          </cell>
          <cell r="J475" t="str">
            <v>Dumraon</v>
          </cell>
          <cell r="K475" t="str">
            <v>Old</v>
          </cell>
          <cell r="L475">
            <v>44669</v>
          </cell>
          <cell r="M475">
            <v>4876</v>
          </cell>
          <cell r="N475">
            <v>194871.59</v>
          </cell>
          <cell r="O475">
            <v>3657</v>
          </cell>
          <cell r="P475">
            <v>4632.2</v>
          </cell>
          <cell r="Q475">
            <v>0</v>
          </cell>
          <cell r="R475">
            <v>5846.1476999999995</v>
          </cell>
          <cell r="S475">
            <v>1213.9476999999997</v>
          </cell>
          <cell r="T475">
            <v>487.6</v>
          </cell>
          <cell r="U475">
            <v>40.782326408396401</v>
          </cell>
          <cell r="V475">
            <v>7761</v>
          </cell>
          <cell r="W475">
            <v>0</v>
          </cell>
          <cell r="X475">
            <v>0</v>
          </cell>
          <cell r="Y475">
            <v>0</v>
          </cell>
        </row>
        <row r="476">
          <cell r="D476">
            <v>10140012</v>
          </cell>
          <cell r="E476" t="str">
            <v>Gangauli</v>
          </cell>
          <cell r="F476">
            <v>0</v>
          </cell>
          <cell r="G476" t="str">
            <v>MPG</v>
          </cell>
          <cell r="H476" t="str">
            <v>Direct</v>
          </cell>
          <cell r="I476">
            <v>1014</v>
          </cell>
          <cell r="J476" t="str">
            <v>Dumraon</v>
          </cell>
          <cell r="K476" t="str">
            <v>Old</v>
          </cell>
          <cell r="L476">
            <v>44703</v>
          </cell>
          <cell r="M476">
            <v>4209.7</v>
          </cell>
          <cell r="N476">
            <v>178828.84</v>
          </cell>
          <cell r="O476">
            <v>3157.2749999999996</v>
          </cell>
          <cell r="P476">
            <v>3999.2149999999997</v>
          </cell>
          <cell r="Q476">
            <v>936.97285302720024</v>
          </cell>
          <cell r="R476">
            <v>5364.8651999999993</v>
          </cell>
          <cell r="S476">
            <v>1365.6501999999996</v>
          </cell>
          <cell r="T476">
            <v>420.97</v>
          </cell>
          <cell r="U476">
            <v>271.79767945601577</v>
          </cell>
          <cell r="V476">
            <v>7401</v>
          </cell>
          <cell r="W476">
            <v>0</v>
          </cell>
          <cell r="X476">
            <v>0</v>
          </cell>
          <cell r="Y476">
            <v>0</v>
          </cell>
        </row>
        <row r="477">
          <cell r="D477">
            <v>10140013</v>
          </cell>
          <cell r="E477" t="str">
            <v>MATHURA DERA</v>
          </cell>
          <cell r="F477">
            <v>0</v>
          </cell>
          <cell r="G477" t="str">
            <v>MPG</v>
          </cell>
          <cell r="H477" t="str">
            <v>Direct</v>
          </cell>
          <cell r="I477">
            <v>1014</v>
          </cell>
          <cell r="J477" t="str">
            <v>Dumraon</v>
          </cell>
          <cell r="K477" t="str">
            <v>Old</v>
          </cell>
          <cell r="L477">
            <v>44703</v>
          </cell>
          <cell r="M477">
            <v>1751.6</v>
          </cell>
          <cell r="N477">
            <v>67696.37</v>
          </cell>
          <cell r="O477">
            <v>1313.6999999999998</v>
          </cell>
          <cell r="P477">
            <v>1664.0199999999998</v>
          </cell>
          <cell r="Q477">
            <v>326.64465900000005</v>
          </cell>
          <cell r="R477">
            <v>2030.8910999999998</v>
          </cell>
          <cell r="S477">
            <v>366.87110000000007</v>
          </cell>
          <cell r="T477">
            <v>175.16</v>
          </cell>
          <cell r="U477">
            <v>1129.2231444240003</v>
          </cell>
          <cell r="V477">
            <v>2000</v>
          </cell>
          <cell r="W477">
            <v>0</v>
          </cell>
          <cell r="X477">
            <v>0</v>
          </cell>
          <cell r="Y477">
            <v>0</v>
          </cell>
        </row>
        <row r="478">
          <cell r="D478">
            <v>10140018</v>
          </cell>
          <cell r="E478" t="str">
            <v>NANDAN</v>
          </cell>
          <cell r="F478">
            <v>0</v>
          </cell>
          <cell r="G478" t="str">
            <v>MPG</v>
          </cell>
          <cell r="H478" t="str">
            <v>Direct</v>
          </cell>
          <cell r="I478">
            <v>1014</v>
          </cell>
          <cell r="J478" t="str">
            <v>Dumraon</v>
          </cell>
          <cell r="K478" t="str">
            <v>Old</v>
          </cell>
          <cell r="L478">
            <v>44753</v>
          </cell>
          <cell r="M478">
            <v>1580.2</v>
          </cell>
          <cell r="N478">
            <v>78067.680000000008</v>
          </cell>
          <cell r="O478">
            <v>1185.1500000000001</v>
          </cell>
          <cell r="P478">
            <v>1501.19</v>
          </cell>
          <cell r="Q478">
            <v>0</v>
          </cell>
          <cell r="R478">
            <v>2342.0304000000001</v>
          </cell>
          <cell r="S478">
            <v>840.84040000000005</v>
          </cell>
          <cell r="T478">
            <v>158.02000000000001</v>
          </cell>
          <cell r="U478">
            <v>1391.8173448411928</v>
          </cell>
          <cell r="V478">
            <v>1137</v>
          </cell>
          <cell r="W478">
            <v>0</v>
          </cell>
          <cell r="X478">
            <v>0</v>
          </cell>
          <cell r="Y478">
            <v>1137</v>
          </cell>
        </row>
        <row r="479">
          <cell r="D479">
            <v>10140022</v>
          </cell>
          <cell r="E479" t="str">
            <v>HEMDAPUR</v>
          </cell>
          <cell r="F479">
            <v>0</v>
          </cell>
          <cell r="G479" t="str">
            <v>MPG</v>
          </cell>
          <cell r="H479" t="str">
            <v>Direct</v>
          </cell>
          <cell r="I479">
            <v>1014</v>
          </cell>
          <cell r="J479" t="str">
            <v>Dumraon</v>
          </cell>
          <cell r="K479" t="str">
            <v>Old</v>
          </cell>
          <cell r="L479">
            <v>44774</v>
          </cell>
          <cell r="M479">
            <v>1865.9999999999998</v>
          </cell>
          <cell r="N479">
            <v>66434.740000000005</v>
          </cell>
          <cell r="O479">
            <v>1399.4999999999998</v>
          </cell>
          <cell r="P479">
            <v>1772.6999999999996</v>
          </cell>
          <cell r="Q479">
            <v>0</v>
          </cell>
          <cell r="R479">
            <v>1993.0422000000001</v>
          </cell>
          <cell r="S479">
            <v>220.3422000000005</v>
          </cell>
          <cell r="T479">
            <v>186.6</v>
          </cell>
          <cell r="U479">
            <v>829.94355489366626</v>
          </cell>
          <cell r="V479">
            <v>2156</v>
          </cell>
          <cell r="W479">
            <v>1861</v>
          </cell>
          <cell r="X479">
            <v>0</v>
          </cell>
          <cell r="Y479">
            <v>295</v>
          </cell>
        </row>
        <row r="480">
          <cell r="D480">
            <v>10140032</v>
          </cell>
          <cell r="E480" t="str">
            <v>Chaugain</v>
          </cell>
          <cell r="F480">
            <v>0</v>
          </cell>
          <cell r="G480" t="str">
            <v>MPG</v>
          </cell>
          <cell r="H480" t="str">
            <v>Direct</v>
          </cell>
          <cell r="I480">
            <v>1014</v>
          </cell>
          <cell r="J480" t="str">
            <v>Dumraon</v>
          </cell>
          <cell r="K480" t="str">
            <v>Old</v>
          </cell>
          <cell r="L480">
            <v>44923</v>
          </cell>
          <cell r="M480">
            <v>490.1</v>
          </cell>
          <cell r="N480">
            <v>17251.82</v>
          </cell>
          <cell r="O480">
            <v>367.57500000000005</v>
          </cell>
          <cell r="P480">
            <v>465.59500000000003</v>
          </cell>
          <cell r="Q480">
            <v>0</v>
          </cell>
          <cell r="R480">
            <v>517.55459999999994</v>
          </cell>
          <cell r="S480">
            <v>51.959599999999909</v>
          </cell>
          <cell r="T480">
            <v>49.010000000000005</v>
          </cell>
          <cell r="U480">
            <v>784.38101300411449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</row>
        <row r="481">
          <cell r="D481">
            <v>10140033</v>
          </cell>
          <cell r="E481" t="str">
            <v>Akalupur</v>
          </cell>
          <cell r="F481">
            <v>0</v>
          </cell>
          <cell r="G481" t="str">
            <v>MPG</v>
          </cell>
          <cell r="H481" t="str">
            <v>Direct</v>
          </cell>
          <cell r="I481">
            <v>1014</v>
          </cell>
          <cell r="J481" t="str">
            <v>Dumraon</v>
          </cell>
          <cell r="K481" t="str">
            <v>Old</v>
          </cell>
          <cell r="L481">
            <v>44923</v>
          </cell>
          <cell r="M481">
            <v>1108.5</v>
          </cell>
          <cell r="N481">
            <v>37409.57</v>
          </cell>
          <cell r="O481">
            <v>831.375</v>
          </cell>
          <cell r="P481">
            <v>1053.075</v>
          </cell>
          <cell r="Q481">
            <v>0</v>
          </cell>
          <cell r="R481">
            <v>1122.2871</v>
          </cell>
          <cell r="S481">
            <v>69.212099999999964</v>
          </cell>
          <cell r="T481">
            <v>110.85000000000001</v>
          </cell>
          <cell r="U481">
            <v>1286.8280123533564</v>
          </cell>
          <cell r="V481">
            <v>487</v>
          </cell>
          <cell r="W481">
            <v>487</v>
          </cell>
          <cell r="X481">
            <v>0</v>
          </cell>
          <cell r="Y481">
            <v>0</v>
          </cell>
        </row>
        <row r="482">
          <cell r="D482">
            <v>10140034</v>
          </cell>
          <cell r="E482" t="str">
            <v>Chhotka Sihanpura</v>
          </cell>
          <cell r="F482">
            <v>0</v>
          </cell>
          <cell r="G482" t="str">
            <v>MPG</v>
          </cell>
          <cell r="H482" t="str">
            <v>Direct</v>
          </cell>
          <cell r="I482">
            <v>1014</v>
          </cell>
          <cell r="J482" t="str">
            <v>Dumraon</v>
          </cell>
          <cell r="K482" t="str">
            <v>Old</v>
          </cell>
          <cell r="L482">
            <v>44928</v>
          </cell>
          <cell r="M482">
            <v>2106</v>
          </cell>
          <cell r="N482">
            <v>70570.26999999999</v>
          </cell>
          <cell r="O482">
            <v>1579.5</v>
          </cell>
          <cell r="P482">
            <v>2000.6999999999998</v>
          </cell>
          <cell r="Q482">
            <v>1240.2321320387202</v>
          </cell>
          <cell r="R482">
            <v>2117.1080999999995</v>
          </cell>
          <cell r="S482">
            <v>116.40809999999965</v>
          </cell>
          <cell r="T482">
            <v>210.60000000000002</v>
          </cell>
          <cell r="U482">
            <v>597.89591341356936</v>
          </cell>
          <cell r="V482">
            <v>4012</v>
          </cell>
          <cell r="W482">
            <v>1861</v>
          </cell>
          <cell r="X482">
            <v>0</v>
          </cell>
          <cell r="Y482">
            <v>0</v>
          </cell>
        </row>
        <row r="483">
          <cell r="D483">
            <v>10140039</v>
          </cell>
          <cell r="E483" t="str">
            <v>Dharauli</v>
          </cell>
          <cell r="F483">
            <v>0</v>
          </cell>
          <cell r="G483" t="str">
            <v>MPG</v>
          </cell>
          <cell r="H483" t="str">
            <v>Direct</v>
          </cell>
          <cell r="I483">
            <v>1014</v>
          </cell>
          <cell r="J483" t="str">
            <v>Dumraon</v>
          </cell>
          <cell r="K483" t="str">
            <v>Old</v>
          </cell>
          <cell r="L483">
            <v>44974</v>
          </cell>
          <cell r="M483">
            <v>1231.5999999999999</v>
          </cell>
          <cell r="N483">
            <v>48569.3</v>
          </cell>
          <cell r="O483">
            <v>923.69999999999993</v>
          </cell>
          <cell r="P483">
            <v>1170.0199999999998</v>
          </cell>
          <cell r="Q483">
            <v>933.71548644000018</v>
          </cell>
          <cell r="R483">
            <v>1457.079</v>
          </cell>
          <cell r="S483">
            <v>287.0590000000002</v>
          </cell>
          <cell r="T483">
            <v>123.16</v>
          </cell>
          <cell r="U483">
            <v>1394.2926167442145</v>
          </cell>
          <cell r="V483">
            <v>1510</v>
          </cell>
          <cell r="W483">
            <v>0</v>
          </cell>
          <cell r="X483">
            <v>0</v>
          </cell>
          <cell r="Y483">
            <v>0</v>
          </cell>
        </row>
        <row r="484">
          <cell r="D484">
            <v>10140041</v>
          </cell>
          <cell r="E484" t="str">
            <v>Ramopatti</v>
          </cell>
          <cell r="F484">
            <v>0</v>
          </cell>
          <cell r="G484" t="str">
            <v>MPG</v>
          </cell>
          <cell r="H484" t="str">
            <v>Direct</v>
          </cell>
          <cell r="I484">
            <v>1014</v>
          </cell>
          <cell r="J484" t="str">
            <v>Dumraon</v>
          </cell>
          <cell r="K484" t="str">
            <v>Old</v>
          </cell>
          <cell r="L484">
            <v>44979</v>
          </cell>
          <cell r="M484">
            <v>538.4</v>
          </cell>
          <cell r="N484">
            <v>21331.079999999998</v>
          </cell>
          <cell r="O484">
            <v>403.79999999999995</v>
          </cell>
          <cell r="P484">
            <v>511.47999999999996</v>
          </cell>
          <cell r="Q484">
            <v>0</v>
          </cell>
          <cell r="R484">
            <v>639.93239999999992</v>
          </cell>
          <cell r="S484">
            <v>128.45239999999995</v>
          </cell>
          <cell r="T484">
            <v>53.84</v>
          </cell>
          <cell r="U484">
            <v>861.64550088803662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</row>
        <row r="485">
          <cell r="D485">
            <v>10140043</v>
          </cell>
          <cell r="E485" t="str">
            <v>Kaithi</v>
          </cell>
          <cell r="F485">
            <v>0</v>
          </cell>
          <cell r="G485" t="str">
            <v>MPG</v>
          </cell>
          <cell r="H485" t="str">
            <v>Direct</v>
          </cell>
          <cell r="I485">
            <v>1014</v>
          </cell>
          <cell r="J485" t="str">
            <v>Dumraon</v>
          </cell>
          <cell r="K485" t="str">
            <v>Old</v>
          </cell>
          <cell r="L485">
            <v>44984</v>
          </cell>
          <cell r="M485">
            <v>765.8</v>
          </cell>
          <cell r="N485">
            <v>26499.069999999996</v>
          </cell>
          <cell r="O485">
            <v>574.34999999999991</v>
          </cell>
          <cell r="P485">
            <v>727.50999999999988</v>
          </cell>
          <cell r="Q485">
            <v>0</v>
          </cell>
          <cell r="R485">
            <v>794.97209999999984</v>
          </cell>
          <cell r="S485">
            <v>67.462099999999964</v>
          </cell>
          <cell r="T485">
            <v>76.58</v>
          </cell>
          <cell r="U485">
            <v>1225.6813174411518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>
            <v>10140045</v>
          </cell>
          <cell r="E486" t="str">
            <v>Rangi Dera</v>
          </cell>
          <cell r="F486">
            <v>0</v>
          </cell>
          <cell r="G486" t="str">
            <v>MPG</v>
          </cell>
          <cell r="H486" t="str">
            <v>Direct</v>
          </cell>
          <cell r="I486">
            <v>1014</v>
          </cell>
          <cell r="J486" t="str">
            <v>Dumraon</v>
          </cell>
          <cell r="K486" t="str">
            <v>Old</v>
          </cell>
          <cell r="L486">
            <v>44995</v>
          </cell>
          <cell r="M486">
            <v>1073.5</v>
          </cell>
          <cell r="N486">
            <v>39951.47</v>
          </cell>
          <cell r="O486">
            <v>805.125</v>
          </cell>
          <cell r="P486">
            <v>1019.8249999999999</v>
          </cell>
          <cell r="Q486">
            <v>0</v>
          </cell>
          <cell r="R486">
            <v>1198.5441000000001</v>
          </cell>
          <cell r="S486">
            <v>178.71910000000014</v>
          </cell>
          <cell r="T486">
            <v>107.35000000000001</v>
          </cell>
          <cell r="U486">
            <v>1427.0028105362703</v>
          </cell>
          <cell r="V486">
            <v>291</v>
          </cell>
          <cell r="W486">
            <v>0</v>
          </cell>
          <cell r="X486">
            <v>291</v>
          </cell>
          <cell r="Y486">
            <v>0</v>
          </cell>
        </row>
        <row r="487">
          <cell r="D487">
            <v>10140047</v>
          </cell>
          <cell r="E487" t="str">
            <v>Dubki</v>
          </cell>
          <cell r="F487">
            <v>0</v>
          </cell>
          <cell r="G487" t="str">
            <v>MPG</v>
          </cell>
          <cell r="H487" t="str">
            <v>Direct</v>
          </cell>
          <cell r="I487">
            <v>1014</v>
          </cell>
          <cell r="J487" t="str">
            <v>Dumraon</v>
          </cell>
          <cell r="K487" t="str">
            <v>Old</v>
          </cell>
          <cell r="L487">
            <v>44996</v>
          </cell>
          <cell r="M487">
            <v>551.29999999999995</v>
          </cell>
          <cell r="N487">
            <v>24846.120000000003</v>
          </cell>
          <cell r="O487">
            <v>413.47499999999997</v>
          </cell>
          <cell r="P487">
            <v>523.7349999999999</v>
          </cell>
          <cell r="Q487">
            <v>122.59669556421601</v>
          </cell>
          <cell r="R487">
            <v>745.3836</v>
          </cell>
          <cell r="S487">
            <v>221.6486000000001</v>
          </cell>
          <cell r="T487">
            <v>55.129999999999995</v>
          </cell>
          <cell r="U487">
            <v>1004.5079276160568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>
            <v>10140048</v>
          </cell>
          <cell r="E488" t="str">
            <v>Sonvarsa</v>
          </cell>
          <cell r="F488">
            <v>0</v>
          </cell>
          <cell r="G488" t="str">
            <v>MPG</v>
          </cell>
          <cell r="H488" t="str">
            <v>Direct</v>
          </cell>
          <cell r="I488">
            <v>1014</v>
          </cell>
          <cell r="J488" t="str">
            <v>Dumraon</v>
          </cell>
          <cell r="K488" t="str">
            <v>Old</v>
          </cell>
          <cell r="L488">
            <v>44998</v>
          </cell>
          <cell r="M488">
            <v>849.89999999999986</v>
          </cell>
          <cell r="N488">
            <v>31911.96</v>
          </cell>
          <cell r="O488">
            <v>637.42499999999995</v>
          </cell>
          <cell r="P488">
            <v>807.40499999999986</v>
          </cell>
          <cell r="Q488">
            <v>153.84177240369903</v>
          </cell>
          <cell r="R488">
            <v>957.35879999999997</v>
          </cell>
          <cell r="S488">
            <v>149.95380000000011</v>
          </cell>
          <cell r="T488">
            <v>84.99</v>
          </cell>
          <cell r="U488">
            <v>1115.5682595052217</v>
          </cell>
          <cell r="V488">
            <v>398</v>
          </cell>
          <cell r="W488">
            <v>398</v>
          </cell>
          <cell r="X488">
            <v>0</v>
          </cell>
          <cell r="Y488">
            <v>0</v>
          </cell>
        </row>
        <row r="489">
          <cell r="D489">
            <v>10140054</v>
          </cell>
          <cell r="E489" t="str">
            <v>Soan</v>
          </cell>
          <cell r="F489">
            <v>0</v>
          </cell>
          <cell r="G489" t="str">
            <v>MPG</v>
          </cell>
          <cell r="H489" t="str">
            <v>Direct</v>
          </cell>
          <cell r="I489">
            <v>1014</v>
          </cell>
          <cell r="J489" t="str">
            <v>Dumraon</v>
          </cell>
          <cell r="K489" t="str">
            <v>Old</v>
          </cell>
          <cell r="L489">
            <v>45014</v>
          </cell>
          <cell r="M489">
            <v>2557.5</v>
          </cell>
          <cell r="N489">
            <v>101108.07999999999</v>
          </cell>
          <cell r="O489">
            <v>1918.125</v>
          </cell>
          <cell r="P489">
            <v>2429.625</v>
          </cell>
          <cell r="Q489">
            <v>990.97722179823904</v>
          </cell>
          <cell r="R489">
            <v>3033.2423999999996</v>
          </cell>
          <cell r="S489">
            <v>603.61739999999963</v>
          </cell>
          <cell r="T489">
            <v>255.75</v>
          </cell>
          <cell r="U489">
            <v>354.93322298743686</v>
          </cell>
          <cell r="V489">
            <v>4728</v>
          </cell>
          <cell r="W489">
            <v>2022.1615999999997</v>
          </cell>
          <cell r="X489">
            <v>0</v>
          </cell>
          <cell r="Y489">
            <v>2706</v>
          </cell>
        </row>
        <row r="490">
          <cell r="D490">
            <v>10140055</v>
          </cell>
          <cell r="E490" t="str">
            <v xml:space="preserve">PURANA BHOJPUR                                                                                      </v>
          </cell>
          <cell r="F490">
            <v>0</v>
          </cell>
          <cell r="G490" t="str">
            <v>MPG</v>
          </cell>
          <cell r="H490" t="str">
            <v>Direct</v>
          </cell>
          <cell r="I490">
            <v>1014</v>
          </cell>
          <cell r="J490" t="str">
            <v>Dumraon</v>
          </cell>
          <cell r="K490" t="str">
            <v>Old</v>
          </cell>
          <cell r="L490">
            <v>45076</v>
          </cell>
          <cell r="M490">
            <v>1381</v>
          </cell>
          <cell r="N490">
            <v>53216.520000000004</v>
          </cell>
          <cell r="O490">
            <v>1035.75</v>
          </cell>
          <cell r="P490">
            <v>1311.95</v>
          </cell>
          <cell r="Q490">
            <v>0</v>
          </cell>
          <cell r="R490">
            <v>1596.4956</v>
          </cell>
          <cell r="S490">
            <v>284.54559999999992</v>
          </cell>
          <cell r="T490">
            <v>138.1</v>
          </cell>
          <cell r="U490">
            <v>1245.2283044994992</v>
          </cell>
          <cell r="V490">
            <v>964</v>
          </cell>
          <cell r="W490">
            <v>964</v>
          </cell>
          <cell r="X490">
            <v>0</v>
          </cell>
          <cell r="Y490">
            <v>0</v>
          </cell>
        </row>
        <row r="491">
          <cell r="D491">
            <v>10140066</v>
          </cell>
          <cell r="E491" t="str">
            <v>Gomukh Kant</v>
          </cell>
          <cell r="F491">
            <v>0</v>
          </cell>
          <cell r="G491" t="str">
            <v>MPG</v>
          </cell>
          <cell r="H491" t="str">
            <v>Direct</v>
          </cell>
          <cell r="I491">
            <v>1014</v>
          </cell>
          <cell r="J491" t="str">
            <v>Dumraon</v>
          </cell>
          <cell r="K491" t="str">
            <v>Old</v>
          </cell>
          <cell r="L491">
            <v>45170</v>
          </cell>
          <cell r="M491">
            <v>678.4</v>
          </cell>
          <cell r="N491">
            <v>30036.730000000003</v>
          </cell>
          <cell r="O491">
            <v>508.79999999999995</v>
          </cell>
          <cell r="P491">
            <v>644.4799999999999</v>
          </cell>
          <cell r="Q491">
            <v>187.10700530065</v>
          </cell>
          <cell r="R491">
            <v>901.10190000000011</v>
          </cell>
          <cell r="S491">
            <v>256.62190000000021</v>
          </cell>
          <cell r="T491">
            <v>67.84</v>
          </cell>
          <cell r="U491">
            <v>1272.4464485029109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D492">
            <v>10140068</v>
          </cell>
          <cell r="E492" t="str">
            <v>Gomukh Naat</v>
          </cell>
          <cell r="F492">
            <v>0</v>
          </cell>
          <cell r="G492" t="str">
            <v>MPG</v>
          </cell>
          <cell r="H492" t="str">
            <v>Direct</v>
          </cell>
          <cell r="I492">
            <v>1014</v>
          </cell>
          <cell r="J492" t="str">
            <v>Dumraon</v>
          </cell>
          <cell r="K492" t="str">
            <v>Old</v>
          </cell>
          <cell r="L492">
            <v>45170</v>
          </cell>
          <cell r="M492">
            <v>1094.5</v>
          </cell>
          <cell r="N492">
            <v>43295.209999999992</v>
          </cell>
          <cell r="O492">
            <v>820.875</v>
          </cell>
          <cell r="P492">
            <v>1039.7749999999999</v>
          </cell>
          <cell r="Q492">
            <v>0</v>
          </cell>
          <cell r="R492">
            <v>1298.8562999999997</v>
          </cell>
          <cell r="S492">
            <v>259.08129999999983</v>
          </cell>
          <cell r="T492">
            <v>109.45</v>
          </cell>
          <cell r="U492">
            <v>1509.8231741005561</v>
          </cell>
          <cell r="V492">
            <v>241</v>
          </cell>
          <cell r="W492">
            <v>241</v>
          </cell>
          <cell r="X492">
            <v>0</v>
          </cell>
          <cell r="Y492">
            <v>0</v>
          </cell>
        </row>
        <row r="493">
          <cell r="D493">
            <v>10140069</v>
          </cell>
          <cell r="E493" t="str">
            <v>Gomukh Raghunathpur</v>
          </cell>
          <cell r="F493">
            <v>0</v>
          </cell>
          <cell r="G493" t="str">
            <v>MPG</v>
          </cell>
          <cell r="H493" t="str">
            <v>Direct</v>
          </cell>
          <cell r="I493">
            <v>1014</v>
          </cell>
          <cell r="J493" t="str">
            <v>Dumraon</v>
          </cell>
          <cell r="K493" t="str">
            <v>Old</v>
          </cell>
          <cell r="L493">
            <v>45170</v>
          </cell>
          <cell r="M493">
            <v>2100.2999999999997</v>
          </cell>
          <cell r="N493">
            <v>79263.319999999992</v>
          </cell>
          <cell r="O493">
            <v>1575.2249999999999</v>
          </cell>
          <cell r="P493">
            <v>1995.2849999999996</v>
          </cell>
          <cell r="Q493">
            <v>1030.4234622000001</v>
          </cell>
          <cell r="R493">
            <v>2377.8995999999997</v>
          </cell>
          <cell r="S493">
            <v>382.61460000000011</v>
          </cell>
          <cell r="T493">
            <v>210.02999999999997</v>
          </cell>
          <cell r="U493">
            <v>677.97173772100541</v>
          </cell>
          <cell r="V493">
            <v>3713</v>
          </cell>
          <cell r="W493">
            <v>1861</v>
          </cell>
          <cell r="X493">
            <v>0</v>
          </cell>
          <cell r="Y493">
            <v>0</v>
          </cell>
        </row>
        <row r="494">
          <cell r="D494">
            <v>10140071</v>
          </cell>
          <cell r="E494" t="str">
            <v>Gomukh Tilakraika Hata 1 - Manoj</v>
          </cell>
          <cell r="F494">
            <v>0</v>
          </cell>
          <cell r="G494" t="str">
            <v>vlc</v>
          </cell>
          <cell r="H494" t="str">
            <v>Indirect</v>
          </cell>
          <cell r="I494">
            <v>1014</v>
          </cell>
          <cell r="J494" t="str">
            <v>Dumraon</v>
          </cell>
          <cell r="K494" t="str">
            <v>Old</v>
          </cell>
          <cell r="L494">
            <v>45141</v>
          </cell>
          <cell r="M494">
            <v>4033.7</v>
          </cell>
          <cell r="N494">
            <v>137397.77000000002</v>
          </cell>
          <cell r="O494">
            <v>3025.2749999999996</v>
          </cell>
          <cell r="P494">
            <v>3832.0149999999999</v>
          </cell>
          <cell r="Q494">
            <v>0</v>
          </cell>
          <cell r="R494">
            <v>4121.9331000000002</v>
          </cell>
          <cell r="S494">
            <v>289.91810000000032</v>
          </cell>
          <cell r="T494">
            <v>403.37</v>
          </cell>
          <cell r="U494">
            <v>293.69161349061881</v>
          </cell>
          <cell r="V494">
            <v>6160</v>
          </cell>
          <cell r="W494">
            <v>0</v>
          </cell>
          <cell r="X494">
            <v>0</v>
          </cell>
          <cell r="Y494">
            <v>0</v>
          </cell>
        </row>
        <row r="495">
          <cell r="D495">
            <v>10140083</v>
          </cell>
          <cell r="E495" t="str">
            <v>Gomukh Murar</v>
          </cell>
          <cell r="F495">
            <v>0</v>
          </cell>
          <cell r="G495" t="str">
            <v>MPG</v>
          </cell>
          <cell r="H495" t="str">
            <v>Direct</v>
          </cell>
          <cell r="I495">
            <v>1014</v>
          </cell>
          <cell r="J495" t="str">
            <v>Dumraon</v>
          </cell>
          <cell r="K495" t="str">
            <v>Old</v>
          </cell>
          <cell r="L495">
            <v>45291</v>
          </cell>
          <cell r="M495">
            <v>1912.3</v>
          </cell>
          <cell r="N495">
            <v>78093.12000000001</v>
          </cell>
          <cell r="O495">
            <v>1434.2249999999999</v>
          </cell>
          <cell r="P495">
            <v>1816.6849999999999</v>
          </cell>
          <cell r="Q495">
            <v>729.62787084350009</v>
          </cell>
          <cell r="R495">
            <v>2342.7936000000004</v>
          </cell>
          <cell r="S495">
            <v>526.10860000000048</v>
          </cell>
          <cell r="T495">
            <v>191.23000000000002</v>
          </cell>
          <cell r="U495">
            <v>1018.6003405114338</v>
          </cell>
          <cell r="V495">
            <v>2771</v>
          </cell>
          <cell r="W495">
            <v>1361</v>
          </cell>
          <cell r="X495">
            <v>0</v>
          </cell>
          <cell r="Y495">
            <v>0</v>
          </cell>
        </row>
        <row r="496">
          <cell r="D496">
            <v>10140087</v>
          </cell>
          <cell r="E496" t="str">
            <v xml:space="preserve">Gomukh Churamanpur                                                                                  </v>
          </cell>
          <cell r="F496">
            <v>0</v>
          </cell>
          <cell r="G496" t="str">
            <v>MPG</v>
          </cell>
          <cell r="H496" t="str">
            <v>Direct</v>
          </cell>
          <cell r="I496">
            <v>1014</v>
          </cell>
          <cell r="J496" t="str">
            <v>Dumraon</v>
          </cell>
          <cell r="K496" t="str">
            <v>Old</v>
          </cell>
          <cell r="L496">
            <v>45297</v>
          </cell>
          <cell r="M496">
            <v>1261</v>
          </cell>
          <cell r="N496">
            <v>47925.640000000007</v>
          </cell>
          <cell r="O496">
            <v>945.75</v>
          </cell>
          <cell r="P496">
            <v>1197.95</v>
          </cell>
          <cell r="Q496">
            <v>0</v>
          </cell>
          <cell r="R496">
            <v>1437.7692000000002</v>
          </cell>
          <cell r="S496">
            <v>239.81920000000014</v>
          </cell>
          <cell r="T496">
            <v>126.10000000000001</v>
          </cell>
          <cell r="U496">
            <v>1325.070091347884</v>
          </cell>
          <cell r="V496">
            <v>693</v>
          </cell>
          <cell r="W496">
            <v>693</v>
          </cell>
          <cell r="X496">
            <v>0</v>
          </cell>
          <cell r="Y496">
            <v>0</v>
          </cell>
        </row>
        <row r="497">
          <cell r="D497">
            <v>10140095</v>
          </cell>
          <cell r="E497" t="str">
            <v>Gomukh Ekauni Karuwaj</v>
          </cell>
          <cell r="F497">
            <v>0</v>
          </cell>
          <cell r="G497" t="str">
            <v>MPG</v>
          </cell>
          <cell r="H497" t="str">
            <v>Direct</v>
          </cell>
          <cell r="I497">
            <v>1014</v>
          </cell>
          <cell r="J497" t="str">
            <v>Dumraon</v>
          </cell>
          <cell r="K497" t="str">
            <v>Old</v>
          </cell>
          <cell r="L497">
            <v>45352</v>
          </cell>
          <cell r="M497">
            <v>150.6</v>
          </cell>
          <cell r="N497">
            <v>5543.59</v>
          </cell>
          <cell r="O497">
            <v>112.94999999999999</v>
          </cell>
          <cell r="P497">
            <v>143.07</v>
          </cell>
          <cell r="Q497">
            <v>0</v>
          </cell>
          <cell r="R497">
            <v>166.30770000000001</v>
          </cell>
          <cell r="S497">
            <v>23.237700000000018</v>
          </cell>
          <cell r="T497">
            <v>15.06</v>
          </cell>
          <cell r="U497">
            <v>240.9314308683638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D498">
            <v>10140098</v>
          </cell>
          <cell r="E498" t="str">
            <v>Kulharia Agriculture Producer Company Limited</v>
          </cell>
          <cell r="F498">
            <v>0</v>
          </cell>
          <cell r="G498" t="str">
            <v>MPG</v>
          </cell>
          <cell r="H498" t="str">
            <v>Direct</v>
          </cell>
          <cell r="I498">
            <v>1014</v>
          </cell>
          <cell r="J498" t="str">
            <v>Dumraon</v>
          </cell>
          <cell r="K498" t="str">
            <v>Old</v>
          </cell>
          <cell r="L498">
            <v>45457</v>
          </cell>
          <cell r="M498">
            <v>5922</v>
          </cell>
          <cell r="N498">
            <v>241121.90999999997</v>
          </cell>
          <cell r="O498">
            <v>4441.5</v>
          </cell>
          <cell r="P498">
            <v>5625.9</v>
          </cell>
          <cell r="Q498">
            <v>2159.9428716359998</v>
          </cell>
          <cell r="R498">
            <v>7233.6572999999989</v>
          </cell>
          <cell r="S498">
            <v>1607.7572999999993</v>
          </cell>
          <cell r="T498">
            <v>592.20000000000005</v>
          </cell>
          <cell r="U498">
            <v>0</v>
          </cell>
          <cell r="V498">
            <v>11635</v>
          </cell>
          <cell r="W498">
            <v>4822.4381999999996</v>
          </cell>
          <cell r="X498">
            <v>0</v>
          </cell>
          <cell r="Y498">
            <v>0</v>
          </cell>
        </row>
        <row r="499">
          <cell r="D499">
            <v>10140099</v>
          </cell>
          <cell r="E499" t="str">
            <v>Gomukh Dhakaich</v>
          </cell>
          <cell r="F499">
            <v>0</v>
          </cell>
          <cell r="G499" t="str">
            <v>MPG</v>
          </cell>
          <cell r="H499" t="str">
            <v>Direct</v>
          </cell>
          <cell r="I499">
            <v>1014</v>
          </cell>
          <cell r="J499" t="str">
            <v>Dumraon</v>
          </cell>
          <cell r="K499" t="str">
            <v>Old</v>
          </cell>
          <cell r="L499">
            <v>45408</v>
          </cell>
          <cell r="M499">
            <v>1614.7</v>
          </cell>
          <cell r="N499">
            <v>56372.09</v>
          </cell>
          <cell r="O499">
            <v>1211.0250000000001</v>
          </cell>
          <cell r="P499">
            <v>1533.9649999999999</v>
          </cell>
          <cell r="Q499">
            <v>221.54460174000002</v>
          </cell>
          <cell r="R499">
            <v>1691.1626999999999</v>
          </cell>
          <cell r="S499">
            <v>157.19769999999994</v>
          </cell>
          <cell r="T499">
            <v>161.47000000000003</v>
          </cell>
          <cell r="U499">
            <v>968.86141124365531</v>
          </cell>
          <cell r="V499">
            <v>1836</v>
          </cell>
          <cell r="W499">
            <v>861</v>
          </cell>
          <cell r="X499">
            <v>0</v>
          </cell>
          <cell r="Y499">
            <v>0</v>
          </cell>
        </row>
        <row r="500">
          <cell r="D500">
            <v>10140107</v>
          </cell>
          <cell r="E500" t="str">
            <v>Gomukh Chhapra</v>
          </cell>
          <cell r="F500">
            <v>0</v>
          </cell>
          <cell r="G500" t="str">
            <v>MPG</v>
          </cell>
          <cell r="H500" t="str">
            <v>Direct</v>
          </cell>
          <cell r="I500">
            <v>1060</v>
          </cell>
          <cell r="J500" t="str">
            <v>Behiya BMC</v>
          </cell>
          <cell r="K500" t="str">
            <v>Old</v>
          </cell>
          <cell r="L500">
            <v>45485</v>
          </cell>
          <cell r="M500">
            <v>1502.8999999999996</v>
          </cell>
          <cell r="N500">
            <v>65867.08</v>
          </cell>
          <cell r="O500">
            <v>1127.1749999999997</v>
          </cell>
          <cell r="P500">
            <v>1427.7549999999997</v>
          </cell>
          <cell r="Q500">
            <v>1444.7342440080001</v>
          </cell>
          <cell r="R500">
            <v>1976.0124000000001</v>
          </cell>
          <cell r="S500">
            <v>548.25740000000042</v>
          </cell>
          <cell r="T500">
            <v>150.28999999999996</v>
          </cell>
          <cell r="U500">
            <v>0</v>
          </cell>
          <cell r="V500">
            <v>3849</v>
          </cell>
          <cell r="W500">
            <v>1861</v>
          </cell>
          <cell r="X500">
            <v>0</v>
          </cell>
          <cell r="Y500">
            <v>0</v>
          </cell>
        </row>
        <row r="501">
          <cell r="D501">
            <v>10140109</v>
          </cell>
          <cell r="E501" t="str">
            <v>Gomukh Kajipura Chandan</v>
          </cell>
          <cell r="F501">
            <v>0</v>
          </cell>
          <cell r="G501" t="str">
            <v>vlc</v>
          </cell>
          <cell r="H501" t="str">
            <v>Indirect</v>
          </cell>
          <cell r="I501">
            <v>1014</v>
          </cell>
          <cell r="J501" t="str">
            <v>Dumraon</v>
          </cell>
          <cell r="K501" t="str">
            <v>Old</v>
          </cell>
          <cell r="L501">
            <v>45444</v>
          </cell>
          <cell r="M501">
            <v>735.5</v>
          </cell>
          <cell r="N501">
            <v>28282.39</v>
          </cell>
          <cell r="O501">
            <v>551.625</v>
          </cell>
          <cell r="P501">
            <v>698.72500000000002</v>
          </cell>
          <cell r="Q501">
            <v>0</v>
          </cell>
          <cell r="R501">
            <v>848.47169999999994</v>
          </cell>
          <cell r="S501">
            <v>149.74669999999992</v>
          </cell>
          <cell r="T501">
            <v>73.55</v>
          </cell>
          <cell r="U501">
            <v>1173.6274579401329</v>
          </cell>
          <cell r="V501">
            <v>3</v>
          </cell>
          <cell r="W501">
            <v>0</v>
          </cell>
          <cell r="X501">
            <v>0</v>
          </cell>
          <cell r="Y501">
            <v>0</v>
          </cell>
        </row>
        <row r="502">
          <cell r="D502">
            <v>10140119</v>
          </cell>
          <cell r="E502" t="str">
            <v>Gomukh Banswar</v>
          </cell>
          <cell r="F502">
            <v>0</v>
          </cell>
          <cell r="G502" t="str">
            <v>MPG</v>
          </cell>
          <cell r="H502" t="str">
            <v>Direct</v>
          </cell>
          <cell r="I502">
            <v>1014</v>
          </cell>
          <cell r="J502" t="str">
            <v>Dumraon</v>
          </cell>
          <cell r="K502" t="str">
            <v>Old</v>
          </cell>
          <cell r="L502">
            <v>45535</v>
          </cell>
          <cell r="M502">
            <v>351.7</v>
          </cell>
          <cell r="N502">
            <v>18426.330000000002</v>
          </cell>
          <cell r="O502">
            <v>263.77499999999998</v>
          </cell>
          <cell r="P502">
            <v>334.11499999999995</v>
          </cell>
          <cell r="Q502">
            <v>0</v>
          </cell>
          <cell r="R502">
            <v>552.78989999999999</v>
          </cell>
          <cell r="S502">
            <v>218.67490000000004</v>
          </cell>
          <cell r="T502">
            <v>35.17</v>
          </cell>
          <cell r="U502">
            <v>562.54026091588094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D503">
            <v>10140120</v>
          </cell>
          <cell r="E503" t="str">
            <v>Gomukh Sikraul Lakh</v>
          </cell>
          <cell r="F503">
            <v>0</v>
          </cell>
          <cell r="G503" t="str">
            <v>MPG</v>
          </cell>
          <cell r="H503" t="str">
            <v>Direct</v>
          </cell>
          <cell r="I503">
            <v>1014</v>
          </cell>
          <cell r="J503" t="str">
            <v>Dumraon</v>
          </cell>
          <cell r="K503" t="str">
            <v>Old</v>
          </cell>
          <cell r="L503">
            <v>45590</v>
          </cell>
          <cell r="M503">
            <v>1985.6</v>
          </cell>
          <cell r="N503">
            <v>77894.81</v>
          </cell>
          <cell r="O503">
            <v>1489.1999999999998</v>
          </cell>
          <cell r="P503">
            <v>1886.32</v>
          </cell>
          <cell r="Q503">
            <v>970.11775527810005</v>
          </cell>
          <cell r="R503">
            <v>2336.8442999999997</v>
          </cell>
          <cell r="S503">
            <v>450.52429999999981</v>
          </cell>
          <cell r="T503">
            <v>198.56</v>
          </cell>
          <cell r="U503">
            <v>793.85286142920882</v>
          </cell>
          <cell r="V503">
            <v>3353</v>
          </cell>
          <cell r="W503">
            <v>861</v>
          </cell>
          <cell r="X503">
            <v>0</v>
          </cell>
          <cell r="Y503">
            <v>0</v>
          </cell>
        </row>
        <row r="504">
          <cell r="D504">
            <v>10140126</v>
          </cell>
          <cell r="E504" t="str">
            <v>Gomukh Dafadihari</v>
          </cell>
          <cell r="F504">
            <v>0</v>
          </cell>
          <cell r="G504" t="str">
            <v>MPG</v>
          </cell>
          <cell r="H504" t="str">
            <v>Direct</v>
          </cell>
          <cell r="I504">
            <v>1014</v>
          </cell>
          <cell r="J504" t="str">
            <v>Dumraon</v>
          </cell>
          <cell r="K504" t="str">
            <v>Old</v>
          </cell>
          <cell r="L504">
            <v>45590</v>
          </cell>
          <cell r="M504">
            <v>794.5</v>
          </cell>
          <cell r="N504">
            <v>29258.78</v>
          </cell>
          <cell r="O504">
            <v>595.875</v>
          </cell>
          <cell r="P504">
            <v>754.77499999999998</v>
          </cell>
          <cell r="Q504">
            <v>673.67955256729999</v>
          </cell>
          <cell r="R504">
            <v>877.76339999999993</v>
          </cell>
          <cell r="S504">
            <v>122.98839999999996</v>
          </cell>
          <cell r="T504">
            <v>79.45</v>
          </cell>
          <cell r="U504">
            <v>1624.3675072602996</v>
          </cell>
          <cell r="V504">
            <v>321</v>
          </cell>
          <cell r="W504">
            <v>321</v>
          </cell>
          <cell r="X504">
            <v>0</v>
          </cell>
          <cell r="Y504">
            <v>0</v>
          </cell>
        </row>
        <row r="505">
          <cell r="D505">
            <v>10140129</v>
          </cell>
          <cell r="E505" t="str">
            <v>Gomukh Paharpur</v>
          </cell>
          <cell r="F505">
            <v>0</v>
          </cell>
          <cell r="G505" t="str">
            <v>MPG</v>
          </cell>
          <cell r="H505" t="str">
            <v>Direct</v>
          </cell>
          <cell r="I505">
            <v>1014</v>
          </cell>
          <cell r="J505" t="str">
            <v>Dumraon</v>
          </cell>
          <cell r="K505" t="str">
            <v>Old</v>
          </cell>
          <cell r="L505">
            <v>45590</v>
          </cell>
          <cell r="M505">
            <v>620.1</v>
          </cell>
          <cell r="N505">
            <v>22943.52</v>
          </cell>
          <cell r="O505">
            <v>465.07500000000005</v>
          </cell>
          <cell r="P505">
            <v>589.09500000000003</v>
          </cell>
          <cell r="Q505">
            <v>0</v>
          </cell>
          <cell r="R505">
            <v>688.30560000000003</v>
          </cell>
          <cell r="S505">
            <v>99.210599999999999</v>
          </cell>
          <cell r="T505">
            <v>62.010000000000005</v>
          </cell>
          <cell r="U505">
            <v>992.35401626206954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D506">
            <v>10140131</v>
          </cell>
          <cell r="E506" t="str">
            <v>Gomukh Basaon Kalan</v>
          </cell>
          <cell r="F506">
            <v>0</v>
          </cell>
          <cell r="G506" t="str">
            <v>MPG</v>
          </cell>
          <cell r="H506" t="str">
            <v>Direct</v>
          </cell>
          <cell r="I506">
            <v>1014</v>
          </cell>
          <cell r="J506" t="str">
            <v>Dumraon</v>
          </cell>
          <cell r="K506" t="str">
            <v>Old</v>
          </cell>
          <cell r="L506">
            <v>45590</v>
          </cell>
          <cell r="M506">
            <v>940.79999999999984</v>
          </cell>
          <cell r="N506">
            <v>34042.15</v>
          </cell>
          <cell r="O506">
            <v>705.59999999999991</v>
          </cell>
          <cell r="P506">
            <v>893.75999999999976</v>
          </cell>
          <cell r="Q506">
            <v>0</v>
          </cell>
          <cell r="R506">
            <v>1021.2645</v>
          </cell>
          <cell r="S506">
            <v>127.50450000000023</v>
          </cell>
          <cell r="T506">
            <v>94.079999999999984</v>
          </cell>
          <cell r="U506">
            <v>1481.0077241794586</v>
          </cell>
          <cell r="V506">
            <v>24</v>
          </cell>
          <cell r="W506">
            <v>24</v>
          </cell>
          <cell r="X506">
            <v>0</v>
          </cell>
          <cell r="Y506">
            <v>0</v>
          </cell>
        </row>
        <row r="507">
          <cell r="D507">
            <v>10140132</v>
          </cell>
          <cell r="E507" t="str">
            <v>Gomukh Mangolpur</v>
          </cell>
          <cell r="F507">
            <v>0</v>
          </cell>
          <cell r="G507" t="str">
            <v>MPG</v>
          </cell>
          <cell r="H507" t="str">
            <v>Direct</v>
          </cell>
          <cell r="I507">
            <v>1014</v>
          </cell>
          <cell r="J507" t="str">
            <v>Dumraon</v>
          </cell>
          <cell r="K507" t="str">
            <v>Old</v>
          </cell>
          <cell r="L507">
            <v>45590</v>
          </cell>
          <cell r="M507">
            <v>1332.9</v>
          </cell>
          <cell r="N507">
            <v>46616.95</v>
          </cell>
          <cell r="O507">
            <v>999.67500000000007</v>
          </cell>
          <cell r="P507">
            <v>1266.2550000000001</v>
          </cell>
          <cell r="Q507">
            <v>741.24030340800016</v>
          </cell>
          <cell r="R507">
            <v>1398.5084999999999</v>
          </cell>
          <cell r="S507">
            <v>132.2534999999998</v>
          </cell>
          <cell r="T507">
            <v>133.29000000000002</v>
          </cell>
          <cell r="U507">
            <v>1166.0219364309801</v>
          </cell>
          <cell r="V507">
            <v>1708</v>
          </cell>
          <cell r="W507">
            <v>1708</v>
          </cell>
          <cell r="X507">
            <v>0</v>
          </cell>
          <cell r="Y507">
            <v>0</v>
          </cell>
        </row>
        <row r="508">
          <cell r="D508">
            <v>10140135</v>
          </cell>
          <cell r="E508" t="str">
            <v>Gomukh Dhanipur</v>
          </cell>
          <cell r="F508">
            <v>0</v>
          </cell>
          <cell r="G508" t="str">
            <v>MPG</v>
          </cell>
          <cell r="H508" t="str">
            <v>Direct</v>
          </cell>
          <cell r="I508">
            <v>1014</v>
          </cell>
          <cell r="J508" t="str">
            <v>Dumraon</v>
          </cell>
          <cell r="K508" t="str">
            <v>Old</v>
          </cell>
          <cell r="L508">
            <v>45599</v>
          </cell>
          <cell r="M508">
            <v>1714.3999999999999</v>
          </cell>
          <cell r="N508">
            <v>65870.179999999993</v>
          </cell>
          <cell r="O508">
            <v>1285.8</v>
          </cell>
          <cell r="P508">
            <v>1628.6799999999998</v>
          </cell>
          <cell r="Q508">
            <v>0</v>
          </cell>
          <cell r="R508">
            <v>1976.1053999999997</v>
          </cell>
          <cell r="S508">
            <v>347.42539999999985</v>
          </cell>
          <cell r="T508">
            <v>171.44</v>
          </cell>
          <cell r="U508">
            <v>976.05305982763969</v>
          </cell>
          <cell r="V508">
            <v>1767</v>
          </cell>
          <cell r="W508">
            <v>1767</v>
          </cell>
          <cell r="X508">
            <v>0</v>
          </cell>
          <cell r="Y508">
            <v>0</v>
          </cell>
        </row>
        <row r="509">
          <cell r="D509">
            <v>10140137</v>
          </cell>
          <cell r="E509" t="str">
            <v>Gomukh Rakshanagar_tola</v>
          </cell>
          <cell r="F509">
            <v>0</v>
          </cell>
          <cell r="G509" t="str">
            <v>MPG</v>
          </cell>
          <cell r="H509" t="str">
            <v>Direct</v>
          </cell>
          <cell r="I509">
            <v>1014</v>
          </cell>
          <cell r="J509" t="str">
            <v>Dumraon</v>
          </cell>
          <cell r="K509" t="str">
            <v>Old</v>
          </cell>
          <cell r="L509">
            <v>45616</v>
          </cell>
          <cell r="M509">
            <v>2619.4</v>
          </cell>
          <cell r="N509">
            <v>112471.67999999999</v>
          </cell>
          <cell r="O509">
            <v>1964.5500000000002</v>
          </cell>
          <cell r="P509">
            <v>2488.4299999999998</v>
          </cell>
          <cell r="Q509">
            <v>0</v>
          </cell>
          <cell r="R509">
            <v>3374.1503999999995</v>
          </cell>
          <cell r="S509">
            <v>885.7203999999997</v>
          </cell>
          <cell r="T509">
            <v>261.94</v>
          </cell>
          <cell r="U509">
            <v>465.39274192222183</v>
          </cell>
          <cell r="V509">
            <v>3726</v>
          </cell>
          <cell r="W509">
            <v>2249.4335999999998</v>
          </cell>
          <cell r="X509">
            <v>0</v>
          </cell>
          <cell r="Y509">
            <v>1477</v>
          </cell>
        </row>
        <row r="510">
          <cell r="D510">
            <v>10140139</v>
          </cell>
          <cell r="E510" t="str">
            <v>Gomukh Nadaon</v>
          </cell>
          <cell r="F510">
            <v>0</v>
          </cell>
          <cell r="G510" t="str">
            <v>MPG</v>
          </cell>
          <cell r="H510" t="str">
            <v>Direct</v>
          </cell>
          <cell r="I510">
            <v>1014</v>
          </cell>
          <cell r="J510" t="str">
            <v>Dumraon</v>
          </cell>
          <cell r="K510" t="str">
            <v>Old</v>
          </cell>
          <cell r="L510">
            <v>45625</v>
          </cell>
          <cell r="M510">
            <v>127</v>
          </cell>
          <cell r="N510">
            <v>4245.6399999999994</v>
          </cell>
          <cell r="O510">
            <v>95.25</v>
          </cell>
          <cell r="P510">
            <v>120.64999999999999</v>
          </cell>
          <cell r="Q510">
            <v>1134.4387428</v>
          </cell>
          <cell r="R510">
            <v>127.36919999999998</v>
          </cell>
          <cell r="S510">
            <v>6.7191999999999865</v>
          </cell>
          <cell r="T510">
            <v>12.700000000000001</v>
          </cell>
          <cell r="U510">
            <v>1337.5196363602076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</row>
        <row r="511">
          <cell r="D511">
            <v>10140141</v>
          </cell>
          <cell r="E511" t="str">
            <v>Gomukh Bimhnath Girdhar Baraw</v>
          </cell>
          <cell r="F511">
            <v>0</v>
          </cell>
          <cell r="G511" t="str">
            <v>vlc</v>
          </cell>
          <cell r="H511" t="str">
            <v>Indirect</v>
          </cell>
          <cell r="I511">
            <v>1014</v>
          </cell>
          <cell r="J511" t="str">
            <v>Dumraon</v>
          </cell>
          <cell r="K511" t="str">
            <v>Old</v>
          </cell>
          <cell r="L511">
            <v>45620</v>
          </cell>
          <cell r="M511">
            <v>2270.7000000000003</v>
          </cell>
          <cell r="N511">
            <v>94544.27</v>
          </cell>
          <cell r="O511">
            <v>1703.0250000000001</v>
          </cell>
          <cell r="P511">
            <v>2157.165</v>
          </cell>
          <cell r="Q511">
            <v>0</v>
          </cell>
          <cell r="R511">
            <v>2836.3281000000002</v>
          </cell>
          <cell r="S511">
            <v>679.16310000000021</v>
          </cell>
          <cell r="T511">
            <v>227.07000000000005</v>
          </cell>
          <cell r="U511">
            <v>593.81395675593058</v>
          </cell>
          <cell r="V511">
            <v>3039</v>
          </cell>
          <cell r="W511">
            <v>0</v>
          </cell>
          <cell r="X511">
            <v>1890.8854000000001</v>
          </cell>
          <cell r="Y511">
            <v>0</v>
          </cell>
        </row>
        <row r="512">
          <cell r="D512">
            <v>10140152</v>
          </cell>
          <cell r="E512" t="str">
            <v>Gomukh Badkagaon Yamunatola</v>
          </cell>
          <cell r="F512">
            <v>0</v>
          </cell>
          <cell r="G512" t="str">
            <v>MPG</v>
          </cell>
          <cell r="H512" t="str">
            <v>Direct</v>
          </cell>
          <cell r="I512">
            <v>1014</v>
          </cell>
          <cell r="J512" t="str">
            <v>Dumraon</v>
          </cell>
          <cell r="K512" t="str">
            <v>Old</v>
          </cell>
          <cell r="L512">
            <v>45655</v>
          </cell>
          <cell r="M512">
            <v>431.1</v>
          </cell>
          <cell r="N512">
            <v>17570.63</v>
          </cell>
          <cell r="O512">
            <v>323.32500000000005</v>
          </cell>
          <cell r="P512">
            <v>409.54500000000002</v>
          </cell>
          <cell r="Q512">
            <v>42.75601308000001</v>
          </cell>
          <cell r="R512">
            <v>527.11890000000005</v>
          </cell>
          <cell r="S512">
            <v>117.57390000000004</v>
          </cell>
          <cell r="T512">
            <v>43.110000000000007</v>
          </cell>
          <cell r="U512">
            <v>732.42422705869058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</row>
        <row r="513">
          <cell r="D513">
            <v>10140153</v>
          </cell>
          <cell r="E513" t="str">
            <v>Gomukh Bramhpur</v>
          </cell>
          <cell r="F513">
            <v>0</v>
          </cell>
          <cell r="G513" t="str">
            <v>MPG</v>
          </cell>
          <cell r="H513" t="str">
            <v>Direct</v>
          </cell>
          <cell r="I513">
            <v>1060</v>
          </cell>
          <cell r="J513" t="str">
            <v>Behiya BMC</v>
          </cell>
          <cell r="K513" t="str">
            <v>Old</v>
          </cell>
          <cell r="L513">
            <v>45680</v>
          </cell>
          <cell r="M513">
            <v>682.3</v>
          </cell>
          <cell r="N513">
            <v>23958.010000000002</v>
          </cell>
          <cell r="O513">
            <v>511.72499999999997</v>
          </cell>
          <cell r="P513">
            <v>648.18499999999995</v>
          </cell>
          <cell r="Q513">
            <v>0</v>
          </cell>
          <cell r="R513">
            <v>718.74030000000005</v>
          </cell>
          <cell r="S513">
            <v>70.555300000000102</v>
          </cell>
          <cell r="T513">
            <v>68.23</v>
          </cell>
          <cell r="U513">
            <v>1091.4089563044556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</row>
        <row r="514">
          <cell r="D514">
            <v>10140156</v>
          </cell>
          <cell r="E514" t="str">
            <v>Gomukh Mashariya</v>
          </cell>
          <cell r="F514">
            <v>0</v>
          </cell>
          <cell r="G514" t="str">
            <v>MPG</v>
          </cell>
          <cell r="H514" t="str">
            <v>Direct</v>
          </cell>
          <cell r="I514">
            <v>1014</v>
          </cell>
          <cell r="J514" t="str">
            <v>Dumraon</v>
          </cell>
          <cell r="K514" t="str">
            <v>Old</v>
          </cell>
          <cell r="L514">
            <v>45684</v>
          </cell>
          <cell r="M514">
            <v>1589.6000000000001</v>
          </cell>
          <cell r="N514">
            <v>64605.599999999991</v>
          </cell>
          <cell r="O514">
            <v>1192.2</v>
          </cell>
          <cell r="P514">
            <v>1510.1200000000001</v>
          </cell>
          <cell r="Q514">
            <v>5321.2350394872547</v>
          </cell>
          <cell r="R514">
            <v>1938.1679999999997</v>
          </cell>
          <cell r="S514">
            <v>428.04799999999955</v>
          </cell>
          <cell r="T514">
            <v>158.96000000000004</v>
          </cell>
          <cell r="U514">
            <v>1274.8638328342172</v>
          </cell>
          <cell r="V514">
            <v>6590</v>
          </cell>
          <cell r="W514">
            <v>1861</v>
          </cell>
          <cell r="X514">
            <v>0</v>
          </cell>
          <cell r="Y514">
            <v>0</v>
          </cell>
        </row>
        <row r="515">
          <cell r="D515">
            <v>10140166</v>
          </cell>
          <cell r="E515" t="str">
            <v>Gomukh KritSagar</v>
          </cell>
          <cell r="F515">
            <v>0</v>
          </cell>
          <cell r="G515" t="str">
            <v>MPG</v>
          </cell>
          <cell r="H515" t="str">
            <v>Direct</v>
          </cell>
          <cell r="I515">
            <v>1060</v>
          </cell>
          <cell r="J515" t="str">
            <v>Behiya BMC</v>
          </cell>
          <cell r="K515" t="str">
            <v>Old</v>
          </cell>
          <cell r="L515">
            <v>45745</v>
          </cell>
          <cell r="M515">
            <v>1292.8999999999999</v>
          </cell>
          <cell r="N515">
            <v>51994.47</v>
          </cell>
          <cell r="O515">
            <v>969.67499999999995</v>
          </cell>
          <cell r="P515">
            <v>1228.2549999999999</v>
          </cell>
          <cell r="Q515">
            <v>0</v>
          </cell>
          <cell r="R515">
            <v>1559.8341</v>
          </cell>
          <cell r="S515">
            <v>331.57910000000015</v>
          </cell>
          <cell r="T515">
            <v>129.29</v>
          </cell>
          <cell r="U515">
            <v>1373.8317367666102</v>
          </cell>
          <cell r="V515">
            <v>695</v>
          </cell>
          <cell r="W515">
            <v>695</v>
          </cell>
          <cell r="X515">
            <v>0</v>
          </cell>
          <cell r="Y515">
            <v>0</v>
          </cell>
        </row>
        <row r="516">
          <cell r="D516">
            <v>10140167</v>
          </cell>
          <cell r="E516" t="str">
            <v>Gomukh Navdera Jaipraksh</v>
          </cell>
          <cell r="F516">
            <v>0</v>
          </cell>
          <cell r="G516" t="str">
            <v>vlc</v>
          </cell>
          <cell r="H516" t="str">
            <v>Indirect</v>
          </cell>
          <cell r="I516">
            <v>1014</v>
          </cell>
          <cell r="J516" t="str">
            <v>Dumraon</v>
          </cell>
          <cell r="K516" t="str">
            <v>Old</v>
          </cell>
          <cell r="L516">
            <v>45745</v>
          </cell>
          <cell r="M516">
            <v>3579.6</v>
          </cell>
          <cell r="N516">
            <v>147746.59</v>
          </cell>
          <cell r="O516">
            <v>2684.7</v>
          </cell>
          <cell r="P516">
            <v>3400.62</v>
          </cell>
          <cell r="Q516">
            <v>0</v>
          </cell>
          <cell r="R516">
            <v>4432.3976999999995</v>
          </cell>
          <cell r="S516">
            <v>1031.7776999999996</v>
          </cell>
          <cell r="T516">
            <v>357.96000000000004</v>
          </cell>
          <cell r="U516">
            <v>644.46739790062441</v>
          </cell>
          <cell r="V516">
            <v>5083</v>
          </cell>
          <cell r="W516">
            <v>0</v>
          </cell>
          <cell r="X516">
            <v>0</v>
          </cell>
          <cell r="Y516">
            <v>0</v>
          </cell>
        </row>
        <row r="517">
          <cell r="D517">
            <v>10140170</v>
          </cell>
          <cell r="E517" t="str">
            <v>Gomukh Ataon</v>
          </cell>
          <cell r="F517">
            <v>0</v>
          </cell>
          <cell r="G517" t="str">
            <v>MPG</v>
          </cell>
          <cell r="H517" t="str">
            <v>Direct</v>
          </cell>
          <cell r="I517">
            <v>1014</v>
          </cell>
          <cell r="J517" t="str">
            <v>Dumraon</v>
          </cell>
          <cell r="K517" t="str">
            <v>Old</v>
          </cell>
          <cell r="L517">
            <v>45763</v>
          </cell>
          <cell r="M517">
            <v>2679.7999999999997</v>
          </cell>
          <cell r="N517">
            <v>111445.39</v>
          </cell>
          <cell r="O517">
            <v>2009.85</v>
          </cell>
          <cell r="P517">
            <v>2545.8099999999995</v>
          </cell>
          <cell r="Q517">
            <v>0</v>
          </cell>
          <cell r="R517">
            <v>3343.3616999999999</v>
          </cell>
          <cell r="S517">
            <v>797.55170000000044</v>
          </cell>
          <cell r="T517">
            <v>267.97999999999996</v>
          </cell>
          <cell r="U517">
            <v>493.02292011959855</v>
          </cell>
          <cell r="V517">
            <v>3795</v>
          </cell>
          <cell r="W517">
            <v>2228.9078</v>
          </cell>
          <cell r="X517">
            <v>0</v>
          </cell>
          <cell r="Y517">
            <v>0</v>
          </cell>
        </row>
        <row r="518">
          <cell r="D518">
            <v>10140173</v>
          </cell>
          <cell r="E518" t="str">
            <v>Gumukh Gayghat</v>
          </cell>
          <cell r="F518">
            <v>0</v>
          </cell>
          <cell r="G518" t="str">
            <v>MPG</v>
          </cell>
          <cell r="H518" t="str">
            <v>Direct</v>
          </cell>
          <cell r="I518">
            <v>1014</v>
          </cell>
          <cell r="J518" t="str">
            <v>Dumraon</v>
          </cell>
          <cell r="K518" t="str">
            <v>Old</v>
          </cell>
          <cell r="L518">
            <v>45777</v>
          </cell>
          <cell r="M518">
            <v>3033.8000000000006</v>
          </cell>
          <cell r="N518">
            <v>114695.89</v>
          </cell>
          <cell r="O518">
            <v>2275.3500000000004</v>
          </cell>
          <cell r="P518">
            <v>2882.1100000000006</v>
          </cell>
          <cell r="Q518">
            <v>8051.620941223201</v>
          </cell>
          <cell r="R518">
            <v>3440.8766999999998</v>
          </cell>
          <cell r="S518">
            <v>558.76669999999922</v>
          </cell>
          <cell r="T518">
            <v>303.38000000000005</v>
          </cell>
          <cell r="U518">
            <v>57.767891092267561</v>
          </cell>
          <cell r="V518">
            <v>12848</v>
          </cell>
          <cell r="W518">
            <v>2293.9178000000002</v>
          </cell>
          <cell r="X518">
            <v>0</v>
          </cell>
          <cell r="Y518">
            <v>0</v>
          </cell>
        </row>
        <row r="519">
          <cell r="D519">
            <v>10140174</v>
          </cell>
          <cell r="E519" t="str">
            <v>Gomukh Shivpur</v>
          </cell>
          <cell r="F519">
            <v>0</v>
          </cell>
          <cell r="G519" t="str">
            <v>MPG</v>
          </cell>
          <cell r="H519" t="str">
            <v>Direct</v>
          </cell>
          <cell r="I519">
            <v>1014</v>
          </cell>
          <cell r="J519" t="str">
            <v>Dumraon</v>
          </cell>
          <cell r="K519" t="str">
            <v>Old</v>
          </cell>
          <cell r="L519">
            <v>45775</v>
          </cell>
          <cell r="M519">
            <v>450.20000000000005</v>
          </cell>
          <cell r="N519">
            <v>16196.550000000001</v>
          </cell>
          <cell r="O519">
            <v>337.65000000000003</v>
          </cell>
          <cell r="P519">
            <v>427.69</v>
          </cell>
          <cell r="Q519">
            <v>0</v>
          </cell>
          <cell r="R519">
            <v>485.8965</v>
          </cell>
          <cell r="S519">
            <v>58.206500000000005</v>
          </cell>
          <cell r="T519">
            <v>45.02000000000001</v>
          </cell>
          <cell r="U519">
            <v>720.26914729235068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</row>
        <row r="520">
          <cell r="D520">
            <v>10140176</v>
          </cell>
          <cell r="E520" t="str">
            <v>Gomukh Chakki Janardan Yadav</v>
          </cell>
          <cell r="F520">
            <v>0</v>
          </cell>
          <cell r="G520" t="str">
            <v>vlc</v>
          </cell>
          <cell r="H520" t="str">
            <v>Indirect</v>
          </cell>
          <cell r="I520">
            <v>1014</v>
          </cell>
          <cell r="J520" t="str">
            <v>Dumraon</v>
          </cell>
          <cell r="K520" t="str">
            <v>Old</v>
          </cell>
          <cell r="L520">
            <v>45786</v>
          </cell>
          <cell r="M520">
            <v>739.50000000000011</v>
          </cell>
          <cell r="N520">
            <v>27783.629999999997</v>
          </cell>
          <cell r="O520">
            <v>554.62500000000011</v>
          </cell>
          <cell r="P520">
            <v>702.52500000000009</v>
          </cell>
          <cell r="Q520">
            <v>0</v>
          </cell>
          <cell r="R520">
            <v>833.50889999999993</v>
          </cell>
          <cell r="S520">
            <v>130.98389999999984</v>
          </cell>
          <cell r="T520">
            <v>73.950000000000017</v>
          </cell>
          <cell r="U520">
            <v>1182.7858046546098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</row>
        <row r="521">
          <cell r="D521">
            <v>10140179</v>
          </cell>
          <cell r="E521" t="str">
            <v>Gomukh Rajpur</v>
          </cell>
          <cell r="F521">
            <v>0</v>
          </cell>
          <cell r="G521" t="str">
            <v>MPG</v>
          </cell>
          <cell r="H521" t="str">
            <v>Direct</v>
          </cell>
          <cell r="I521">
            <v>1060</v>
          </cell>
          <cell r="J521" t="str">
            <v>Behiya BMC</v>
          </cell>
          <cell r="K521" t="str">
            <v>Old</v>
          </cell>
          <cell r="L521">
            <v>45800</v>
          </cell>
          <cell r="M521">
            <v>4760.2</v>
          </cell>
          <cell r="N521">
            <v>186199.84</v>
          </cell>
          <cell r="O521">
            <v>3570.1499999999996</v>
          </cell>
          <cell r="P521">
            <v>4522.1899999999996</v>
          </cell>
          <cell r="Q521">
            <v>2373.4439039520003</v>
          </cell>
          <cell r="R521">
            <v>5585.9951999999994</v>
          </cell>
          <cell r="S521">
            <v>1063.8051999999998</v>
          </cell>
          <cell r="T521">
            <v>476.02</v>
          </cell>
          <cell r="U521">
            <v>0</v>
          </cell>
          <cell r="V521">
            <v>9990</v>
          </cell>
          <cell r="W521">
            <v>3723.9967999999999</v>
          </cell>
          <cell r="X521">
            <v>0</v>
          </cell>
          <cell r="Y521">
            <v>0</v>
          </cell>
        </row>
        <row r="522">
          <cell r="D522">
            <v>10140180</v>
          </cell>
          <cell r="E522" t="str">
            <v>Gomukh Gangauli Dubha</v>
          </cell>
          <cell r="F522">
            <v>0</v>
          </cell>
          <cell r="G522" t="str">
            <v>MPG</v>
          </cell>
          <cell r="H522" t="str">
            <v>Direct</v>
          </cell>
          <cell r="I522">
            <v>1014</v>
          </cell>
          <cell r="J522" t="str">
            <v>Dumraon</v>
          </cell>
          <cell r="K522" t="str">
            <v>Old</v>
          </cell>
          <cell r="L522">
            <v>45809</v>
          </cell>
          <cell r="M522">
            <v>943.1</v>
          </cell>
          <cell r="N522">
            <v>35050.9</v>
          </cell>
          <cell r="O522">
            <v>707.32500000000005</v>
          </cell>
          <cell r="P522">
            <v>895.94499999999994</v>
          </cell>
          <cell r="Q522">
            <v>419.40300204000005</v>
          </cell>
          <cell r="R522">
            <v>1051.527</v>
          </cell>
          <cell r="S522">
            <v>155.58200000000011</v>
          </cell>
          <cell r="T522">
            <v>94.31</v>
          </cell>
          <cell r="U522">
            <v>1533.1096159837914</v>
          </cell>
          <cell r="V522">
            <v>395</v>
          </cell>
          <cell r="W522">
            <v>395</v>
          </cell>
          <cell r="X522">
            <v>0</v>
          </cell>
          <cell r="Y522">
            <v>0</v>
          </cell>
        </row>
        <row r="523">
          <cell r="D523">
            <v>10140181</v>
          </cell>
          <cell r="E523" t="str">
            <v>Tiyar A2 Milk Producer Company Limited</v>
          </cell>
          <cell r="F523">
            <v>0</v>
          </cell>
          <cell r="G523" t="str">
            <v>vlc</v>
          </cell>
          <cell r="H523" t="str">
            <v>Indirect</v>
          </cell>
          <cell r="I523">
            <v>1060</v>
          </cell>
          <cell r="J523" t="str">
            <v>Behiya BMC</v>
          </cell>
          <cell r="K523" t="str">
            <v>Old</v>
          </cell>
          <cell r="L523">
            <v>45809</v>
          </cell>
          <cell r="M523">
            <v>6145.6</v>
          </cell>
          <cell r="N523">
            <v>257294.85000000003</v>
          </cell>
          <cell r="O523">
            <v>4609.2000000000007</v>
          </cell>
          <cell r="P523">
            <v>5838.32</v>
          </cell>
          <cell r="Q523">
            <v>0</v>
          </cell>
          <cell r="R523">
            <v>7718.8455000000004</v>
          </cell>
          <cell r="S523">
            <v>1880.5255000000006</v>
          </cell>
          <cell r="T523">
            <v>614.56000000000006</v>
          </cell>
          <cell r="U523">
            <v>0</v>
          </cell>
          <cell r="V523">
            <v>9833</v>
          </cell>
          <cell r="W523">
            <v>0</v>
          </cell>
          <cell r="X523">
            <v>0</v>
          </cell>
          <cell r="Y523">
            <v>0</v>
          </cell>
        </row>
        <row r="524">
          <cell r="D524">
            <v>10140183</v>
          </cell>
          <cell r="E524" t="str">
            <v>Gomukh Uttardahan</v>
          </cell>
          <cell r="F524">
            <v>0</v>
          </cell>
          <cell r="G524" t="str">
            <v>MPG</v>
          </cell>
          <cell r="H524" t="str">
            <v>Direct</v>
          </cell>
          <cell r="I524">
            <v>1060</v>
          </cell>
          <cell r="J524" t="str">
            <v>Behiya BMC</v>
          </cell>
          <cell r="K524" t="str">
            <v>Old</v>
          </cell>
          <cell r="L524">
            <v>45836</v>
          </cell>
          <cell r="M524">
            <v>848</v>
          </cell>
          <cell r="N524">
            <v>37340.339999999997</v>
          </cell>
          <cell r="O524">
            <v>636</v>
          </cell>
          <cell r="P524">
            <v>805.59999999999991</v>
          </cell>
          <cell r="Q524">
            <v>0</v>
          </cell>
          <cell r="R524">
            <v>1120.2101999999998</v>
          </cell>
          <cell r="S524">
            <v>314.61019999999985</v>
          </cell>
          <cell r="T524">
            <v>84.800000000000011</v>
          </cell>
          <cell r="U524">
            <v>1357.141448057165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</row>
        <row r="525">
          <cell r="D525">
            <v>10140185</v>
          </cell>
          <cell r="E525" t="str">
            <v>Gomukh Jagdishpur</v>
          </cell>
          <cell r="F525">
            <v>0</v>
          </cell>
          <cell r="G525" t="str">
            <v>MPG</v>
          </cell>
          <cell r="H525" t="str">
            <v>Direct</v>
          </cell>
          <cell r="I525">
            <v>1014</v>
          </cell>
          <cell r="J525" t="str">
            <v>Dumraon</v>
          </cell>
          <cell r="K525" t="str">
            <v>Old</v>
          </cell>
          <cell r="L525">
            <v>45868</v>
          </cell>
          <cell r="M525">
            <v>6171.5</v>
          </cell>
          <cell r="N525">
            <v>202903.21000000002</v>
          </cell>
          <cell r="O525">
            <v>4628.625</v>
          </cell>
          <cell r="P525">
            <v>5862.9249999999993</v>
          </cell>
          <cell r="Q525">
            <v>0</v>
          </cell>
          <cell r="R525">
            <v>6087.0963000000002</v>
          </cell>
          <cell r="S525">
            <v>224.17130000000088</v>
          </cell>
          <cell r="T525">
            <v>617.15000000000009</v>
          </cell>
          <cell r="U525">
            <v>24.71620754716983</v>
          </cell>
          <cell r="V525">
            <v>9850</v>
          </cell>
          <cell r="W525">
            <v>4058.0642000000007</v>
          </cell>
          <cell r="X525">
            <v>0</v>
          </cell>
          <cell r="Y525">
            <v>0</v>
          </cell>
        </row>
        <row r="526">
          <cell r="D526">
            <v>10180001</v>
          </cell>
          <cell r="E526" t="str">
            <v>Gaachhi Tola</v>
          </cell>
          <cell r="F526">
            <v>0</v>
          </cell>
          <cell r="G526" t="str">
            <v>vlc</v>
          </cell>
          <cell r="H526" t="str">
            <v>Indirect</v>
          </cell>
          <cell r="I526">
            <v>1002</v>
          </cell>
          <cell r="J526" t="str">
            <v>Laldiyara</v>
          </cell>
          <cell r="K526" t="str">
            <v>Old</v>
          </cell>
          <cell r="L526">
            <v>43510</v>
          </cell>
          <cell r="M526">
            <v>3767.9</v>
          </cell>
          <cell r="N526">
            <v>155914.91999999998</v>
          </cell>
          <cell r="O526">
            <v>2825.9250000000002</v>
          </cell>
          <cell r="P526">
            <v>3579.5050000000001</v>
          </cell>
          <cell r="Q526">
            <v>0</v>
          </cell>
          <cell r="R526">
            <v>4677.4475999999995</v>
          </cell>
          <cell r="S526">
            <v>1097.9425999999994</v>
          </cell>
          <cell r="T526">
            <v>376.79</v>
          </cell>
          <cell r="U526">
            <v>0</v>
          </cell>
          <cell r="V526">
            <v>6029</v>
          </cell>
          <cell r="W526">
            <v>0</v>
          </cell>
          <cell r="X526">
            <v>0</v>
          </cell>
          <cell r="Y526">
            <v>0</v>
          </cell>
        </row>
        <row r="527">
          <cell r="D527">
            <v>10220001</v>
          </cell>
          <cell r="E527" t="str">
            <v>VISHWASHPUR</v>
          </cell>
          <cell r="F527">
            <v>0</v>
          </cell>
          <cell r="G527" t="str">
            <v>RMC</v>
          </cell>
          <cell r="H527" t="str">
            <v>Direct</v>
          </cell>
          <cell r="I527">
            <v>1003</v>
          </cell>
          <cell r="J527" t="str">
            <v>Asarganj</v>
          </cell>
          <cell r="K527" t="str">
            <v>Old</v>
          </cell>
          <cell r="L527">
            <v>42979</v>
          </cell>
          <cell r="M527">
            <v>1840</v>
          </cell>
          <cell r="N527">
            <v>60990.689999999995</v>
          </cell>
          <cell r="O527">
            <v>1380</v>
          </cell>
          <cell r="P527">
            <v>1748</v>
          </cell>
          <cell r="Q527">
            <v>796.43473806600002</v>
          </cell>
          <cell r="R527">
            <v>1829.7206999999999</v>
          </cell>
          <cell r="S527">
            <v>81.720699999999852</v>
          </cell>
          <cell r="T527">
            <v>184</v>
          </cell>
          <cell r="U527">
            <v>805.55988421052632</v>
          </cell>
          <cell r="V527">
            <v>2935</v>
          </cell>
          <cell r="W527">
            <v>0</v>
          </cell>
          <cell r="X527">
            <v>0</v>
          </cell>
          <cell r="Y527">
            <v>0</v>
          </cell>
        </row>
        <row r="528">
          <cell r="D528">
            <v>10230001</v>
          </cell>
          <cell r="E528" t="str">
            <v>KHARIYA</v>
          </cell>
          <cell r="F528">
            <v>0</v>
          </cell>
          <cell r="G528" t="str">
            <v>MPG</v>
          </cell>
          <cell r="H528" t="str">
            <v>Direct</v>
          </cell>
          <cell r="I528">
            <v>1003</v>
          </cell>
          <cell r="J528" t="str">
            <v>Asarganj</v>
          </cell>
          <cell r="K528" t="str">
            <v>Old</v>
          </cell>
          <cell r="L528">
            <v>42979</v>
          </cell>
          <cell r="M528">
            <v>35.75</v>
          </cell>
          <cell r="N528">
            <v>1529.7800000000002</v>
          </cell>
          <cell r="O528">
            <v>26.8125</v>
          </cell>
          <cell r="P528">
            <v>33.962499999999999</v>
          </cell>
          <cell r="Q528">
            <v>34.150193913000003</v>
          </cell>
          <cell r="R528">
            <v>45.893400000000007</v>
          </cell>
          <cell r="S528">
            <v>11.930900000000008</v>
          </cell>
          <cell r="T528">
            <v>3.5750000000000002</v>
          </cell>
          <cell r="U528">
            <v>90.999882703799244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</row>
        <row r="529">
          <cell r="D529">
            <v>10240001</v>
          </cell>
          <cell r="E529" t="str">
            <v>KUMARPUIR KATHARA</v>
          </cell>
          <cell r="F529">
            <v>0</v>
          </cell>
          <cell r="G529" t="str">
            <v>RMC</v>
          </cell>
          <cell r="H529" t="str">
            <v>Direct</v>
          </cell>
          <cell r="I529">
            <v>1003</v>
          </cell>
          <cell r="J529" t="str">
            <v>Asarganj</v>
          </cell>
          <cell r="K529" t="str">
            <v>Old</v>
          </cell>
          <cell r="L529">
            <v>42979</v>
          </cell>
          <cell r="M529">
            <v>5098</v>
          </cell>
          <cell r="N529">
            <v>187541.52999999997</v>
          </cell>
          <cell r="O529">
            <v>3823.5</v>
          </cell>
          <cell r="P529">
            <v>4843.0999999999995</v>
          </cell>
          <cell r="Q529">
            <v>3387.5104779876292</v>
          </cell>
          <cell r="R529">
            <v>5626.245899999999</v>
          </cell>
          <cell r="S529">
            <v>783.14589999999953</v>
          </cell>
          <cell r="T529">
            <v>509.8</v>
          </cell>
          <cell r="U529">
            <v>0</v>
          </cell>
          <cell r="V529">
            <v>11544</v>
          </cell>
          <cell r="W529">
            <v>0</v>
          </cell>
          <cell r="X529">
            <v>0</v>
          </cell>
          <cell r="Y529">
            <v>0</v>
          </cell>
        </row>
        <row r="530">
          <cell r="D530">
            <v>10250001</v>
          </cell>
          <cell r="E530" t="str">
            <v>KUDHIYA MPG</v>
          </cell>
          <cell r="F530">
            <v>0</v>
          </cell>
          <cell r="G530" t="str">
            <v>RMC</v>
          </cell>
          <cell r="H530" t="str">
            <v>Direct</v>
          </cell>
          <cell r="I530">
            <v>1003</v>
          </cell>
          <cell r="J530" t="str">
            <v>Asarganj</v>
          </cell>
          <cell r="K530" t="str">
            <v>Old</v>
          </cell>
          <cell r="L530">
            <v>42979</v>
          </cell>
          <cell r="M530">
            <v>4557.3500000000004</v>
          </cell>
          <cell r="N530">
            <v>164796.85000000003</v>
          </cell>
          <cell r="O530">
            <v>3418.0125000000003</v>
          </cell>
          <cell r="P530">
            <v>4329.4825000000001</v>
          </cell>
          <cell r="Q530">
            <v>945.3467826000001</v>
          </cell>
          <cell r="R530">
            <v>4943.9055000000008</v>
          </cell>
          <cell r="S530">
            <v>614.42300000000068</v>
          </cell>
          <cell r="T530">
            <v>455.73500000000007</v>
          </cell>
          <cell r="U530">
            <v>282.39626497783405</v>
          </cell>
          <cell r="V530">
            <v>7955</v>
          </cell>
          <cell r="W530">
            <v>0</v>
          </cell>
          <cell r="X530">
            <v>0</v>
          </cell>
          <cell r="Y530">
            <v>0</v>
          </cell>
        </row>
        <row r="531">
          <cell r="D531">
            <v>10260001</v>
          </cell>
          <cell r="E531" t="str">
            <v>SHAHJADPUR MPG</v>
          </cell>
          <cell r="F531">
            <v>0</v>
          </cell>
          <cell r="G531" t="str">
            <v>RMC</v>
          </cell>
          <cell r="H531" t="str">
            <v>Direct</v>
          </cell>
          <cell r="I531">
            <v>1003</v>
          </cell>
          <cell r="J531" t="str">
            <v>Asarganj</v>
          </cell>
          <cell r="K531" t="str">
            <v>Old</v>
          </cell>
          <cell r="L531">
            <v>42979</v>
          </cell>
          <cell r="M531">
            <v>4985.6499999999996</v>
          </cell>
          <cell r="N531">
            <v>168941.28</v>
          </cell>
          <cell r="O531">
            <v>3739.2374999999997</v>
          </cell>
          <cell r="P531">
            <v>4736.3674999999994</v>
          </cell>
          <cell r="Q531">
            <v>1212.6812507052</v>
          </cell>
          <cell r="R531">
            <v>5068.2384000000002</v>
          </cell>
          <cell r="S531">
            <v>331.8709000000008</v>
          </cell>
          <cell r="T531">
            <v>498.565</v>
          </cell>
          <cell r="U531">
            <v>0</v>
          </cell>
          <cell r="V531">
            <v>9190</v>
          </cell>
          <cell r="W531">
            <v>0</v>
          </cell>
          <cell r="X531">
            <v>0</v>
          </cell>
          <cell r="Y531">
            <v>0</v>
          </cell>
        </row>
        <row r="532">
          <cell r="D532">
            <v>10290001</v>
          </cell>
          <cell r="E532" t="str">
            <v>FARDA - 3</v>
          </cell>
          <cell r="F532">
            <v>0</v>
          </cell>
          <cell r="G532" t="str">
            <v>RMC</v>
          </cell>
          <cell r="H532" t="str">
            <v>Direct</v>
          </cell>
          <cell r="I532">
            <v>1006</v>
          </cell>
          <cell r="J532" t="str">
            <v>Sonvarsha</v>
          </cell>
          <cell r="K532" t="str">
            <v>Old</v>
          </cell>
          <cell r="L532">
            <v>42979</v>
          </cell>
          <cell r="M532">
            <v>7196.2</v>
          </cell>
          <cell r="N532">
            <v>249218.34</v>
          </cell>
          <cell r="O532">
            <v>5397.15</v>
          </cell>
          <cell r="P532">
            <v>6836.3899999999994</v>
          </cell>
          <cell r="Q532">
            <v>1204.5421808640001</v>
          </cell>
          <cell r="R532">
            <v>7476.5501999999997</v>
          </cell>
          <cell r="S532">
            <v>640.16020000000026</v>
          </cell>
          <cell r="T532">
            <v>719.62</v>
          </cell>
          <cell r="U532">
            <v>66.170650627891533</v>
          </cell>
          <cell r="V532">
            <v>12652</v>
          </cell>
          <cell r="W532">
            <v>0</v>
          </cell>
          <cell r="X532">
            <v>0</v>
          </cell>
          <cell r="Y532">
            <v>0</v>
          </cell>
        </row>
        <row r="533">
          <cell r="D533">
            <v>10300001</v>
          </cell>
          <cell r="E533" t="str">
            <v>CHANDANPURA</v>
          </cell>
          <cell r="F533">
            <v>0</v>
          </cell>
          <cell r="G533" t="str">
            <v>vlc</v>
          </cell>
          <cell r="H533" t="str">
            <v>Indirect</v>
          </cell>
          <cell r="I533">
            <v>1006</v>
          </cell>
          <cell r="J533" t="str">
            <v>Sonvarsha</v>
          </cell>
          <cell r="K533" t="str">
            <v>Old</v>
          </cell>
          <cell r="L533">
            <v>42979</v>
          </cell>
          <cell r="M533">
            <v>2002.6</v>
          </cell>
          <cell r="N533">
            <v>111316.42</v>
          </cell>
          <cell r="O533">
            <v>1501.9499999999998</v>
          </cell>
          <cell r="P533">
            <v>1902.4699999999998</v>
          </cell>
          <cell r="Q533">
            <v>0</v>
          </cell>
          <cell r="R533">
            <v>3339.4926</v>
          </cell>
          <cell r="S533">
            <v>1437.0226000000002</v>
          </cell>
          <cell r="T533">
            <v>200.26</v>
          </cell>
          <cell r="U533">
            <v>1087.3293287800345</v>
          </cell>
          <cell r="V533">
            <v>2117</v>
          </cell>
          <cell r="W533">
            <v>0</v>
          </cell>
          <cell r="X533">
            <v>0</v>
          </cell>
          <cell r="Y533">
            <v>0</v>
          </cell>
        </row>
        <row r="534">
          <cell r="D534">
            <v>10310001</v>
          </cell>
          <cell r="E534" t="str">
            <v>MANIKPUR</v>
          </cell>
          <cell r="F534">
            <v>0</v>
          </cell>
          <cell r="G534" t="str">
            <v>RMC</v>
          </cell>
          <cell r="H534" t="str">
            <v>Direct</v>
          </cell>
          <cell r="I534">
            <v>1006</v>
          </cell>
          <cell r="J534" t="str">
            <v>Sonvarsha</v>
          </cell>
          <cell r="K534" t="str">
            <v>Old</v>
          </cell>
          <cell r="L534">
            <v>42979</v>
          </cell>
          <cell r="M534">
            <v>3331.9999999999995</v>
          </cell>
          <cell r="N534">
            <v>131615.94</v>
          </cell>
          <cell r="O534">
            <v>2498.9999999999995</v>
          </cell>
          <cell r="P534">
            <v>3165.3999999999996</v>
          </cell>
          <cell r="Q534">
            <v>950.59851084000024</v>
          </cell>
          <cell r="R534">
            <v>3948.4782</v>
          </cell>
          <cell r="S534">
            <v>783.07820000000038</v>
          </cell>
          <cell r="T534">
            <v>333.2</v>
          </cell>
          <cell r="U534">
            <v>215.06347767477791</v>
          </cell>
          <cell r="V534">
            <v>6067</v>
          </cell>
          <cell r="W534">
            <v>0</v>
          </cell>
          <cell r="X534">
            <v>0</v>
          </cell>
          <cell r="Y534">
            <v>0</v>
          </cell>
        </row>
        <row r="535">
          <cell r="D535">
            <v>10320001</v>
          </cell>
          <cell r="E535" t="str">
            <v>JAKARPURA</v>
          </cell>
          <cell r="F535">
            <v>0</v>
          </cell>
          <cell r="G535" t="str">
            <v>vlc</v>
          </cell>
          <cell r="H535" t="str">
            <v>Indirect</v>
          </cell>
          <cell r="I535">
            <v>1006</v>
          </cell>
          <cell r="J535" t="str">
            <v>Sonvarsha</v>
          </cell>
          <cell r="K535" t="str">
            <v>Old</v>
          </cell>
          <cell r="L535">
            <v>42979</v>
          </cell>
          <cell r="M535">
            <v>11355.3</v>
          </cell>
          <cell r="N535">
            <v>416566.77999999997</v>
          </cell>
          <cell r="O535">
            <v>8516.4749999999985</v>
          </cell>
          <cell r="P535">
            <v>10787.534999999998</v>
          </cell>
          <cell r="Q535">
            <v>0</v>
          </cell>
          <cell r="R535">
            <v>12497.003399999998</v>
          </cell>
          <cell r="S535">
            <v>1709.4683999999997</v>
          </cell>
          <cell r="T535">
            <v>1135.53</v>
          </cell>
          <cell r="U535">
            <v>0</v>
          </cell>
          <cell r="V535">
            <v>18168</v>
          </cell>
          <cell r="W535">
            <v>0</v>
          </cell>
          <cell r="X535">
            <v>0</v>
          </cell>
          <cell r="Y535">
            <v>0</v>
          </cell>
        </row>
        <row r="536">
          <cell r="D536">
            <v>10340001</v>
          </cell>
          <cell r="E536" t="str">
            <v>NANDPUR</v>
          </cell>
          <cell r="F536">
            <v>0</v>
          </cell>
          <cell r="G536" t="str">
            <v>vlc</v>
          </cell>
          <cell r="H536" t="str">
            <v>Indirect</v>
          </cell>
          <cell r="I536">
            <v>1006</v>
          </cell>
          <cell r="J536" t="str">
            <v>Sonvarsha</v>
          </cell>
          <cell r="K536" t="str">
            <v>Old</v>
          </cell>
          <cell r="L536">
            <v>42979</v>
          </cell>
          <cell r="M536">
            <v>6947.6</v>
          </cell>
          <cell r="N536">
            <v>262151.63</v>
          </cell>
          <cell r="O536">
            <v>5210.7000000000007</v>
          </cell>
          <cell r="P536">
            <v>6600.22</v>
          </cell>
          <cell r="Q536">
            <v>0</v>
          </cell>
          <cell r="R536">
            <v>7864.5488999999998</v>
          </cell>
          <cell r="S536">
            <v>1264.3288999999995</v>
          </cell>
          <cell r="T536">
            <v>694.7600000000001</v>
          </cell>
          <cell r="U536">
            <v>0</v>
          </cell>
          <cell r="V536">
            <v>11116</v>
          </cell>
          <cell r="W536">
            <v>0</v>
          </cell>
          <cell r="X536">
            <v>0</v>
          </cell>
          <cell r="Y536">
            <v>0</v>
          </cell>
        </row>
        <row r="537">
          <cell r="D537">
            <v>10350001</v>
          </cell>
          <cell r="E537" t="str">
            <v>NOWAGADHI</v>
          </cell>
          <cell r="F537">
            <v>0</v>
          </cell>
          <cell r="G537" t="str">
            <v>RMC</v>
          </cell>
          <cell r="H537" t="str">
            <v>Direct</v>
          </cell>
          <cell r="I537">
            <v>1006</v>
          </cell>
          <cell r="J537" t="str">
            <v>Sonvarsha</v>
          </cell>
          <cell r="K537" t="str">
            <v>Old</v>
          </cell>
          <cell r="L537">
            <v>42979</v>
          </cell>
          <cell r="M537">
            <v>8307</v>
          </cell>
          <cell r="N537">
            <v>311405.57</v>
          </cell>
          <cell r="O537">
            <v>6230.25</v>
          </cell>
          <cell r="P537">
            <v>7891.65</v>
          </cell>
          <cell r="Q537">
            <v>3127.2992031600002</v>
          </cell>
          <cell r="R537">
            <v>9342.1671000000006</v>
          </cell>
          <cell r="S537">
            <v>1450.5171000000009</v>
          </cell>
          <cell r="T537">
            <v>830.7</v>
          </cell>
          <cell r="U537">
            <v>0</v>
          </cell>
          <cell r="V537">
            <v>16418</v>
          </cell>
          <cell r="W537">
            <v>0</v>
          </cell>
          <cell r="X537">
            <v>0</v>
          </cell>
          <cell r="Y537">
            <v>0</v>
          </cell>
        </row>
        <row r="538">
          <cell r="D538">
            <v>10360001</v>
          </cell>
          <cell r="E538" t="str">
            <v>MAHADAT PUR 2</v>
          </cell>
          <cell r="F538">
            <v>0</v>
          </cell>
          <cell r="G538" t="str">
            <v>RMC</v>
          </cell>
          <cell r="H538" t="str">
            <v>Direct</v>
          </cell>
          <cell r="I538">
            <v>1036</v>
          </cell>
          <cell r="J538" t="str">
            <v>MAHADAT PUR 2</v>
          </cell>
          <cell r="K538" t="str">
            <v>Old</v>
          </cell>
          <cell r="L538">
            <v>42979</v>
          </cell>
          <cell r="M538">
            <v>10173.199999999999</v>
          </cell>
          <cell r="N538">
            <v>384685.97</v>
          </cell>
          <cell r="O538">
            <v>7629.9</v>
          </cell>
          <cell r="P538">
            <v>9664.5399999999991</v>
          </cell>
          <cell r="Q538">
            <v>7462.1075639220007</v>
          </cell>
          <cell r="R538">
            <v>11540.579099999999</v>
          </cell>
          <cell r="S538">
            <v>1876.0391</v>
          </cell>
          <cell r="T538">
            <v>1017.3199999999999</v>
          </cell>
          <cell r="U538">
            <v>0</v>
          </cell>
          <cell r="V538">
            <v>23739</v>
          </cell>
          <cell r="W538">
            <v>0</v>
          </cell>
          <cell r="X538">
            <v>0</v>
          </cell>
          <cell r="Y538">
            <v>3000</v>
          </cell>
        </row>
        <row r="539">
          <cell r="D539">
            <v>10370001</v>
          </cell>
          <cell r="E539" t="str">
            <v>KATHELA TOLA TELDHI</v>
          </cell>
          <cell r="F539">
            <v>0</v>
          </cell>
          <cell r="G539" t="str">
            <v>RMC</v>
          </cell>
          <cell r="H539" t="str">
            <v>Direct</v>
          </cell>
          <cell r="I539">
            <v>1007</v>
          </cell>
          <cell r="J539" t="str">
            <v>Araria</v>
          </cell>
          <cell r="K539" t="str">
            <v>Old</v>
          </cell>
          <cell r="L539">
            <v>42979</v>
          </cell>
          <cell r="M539">
            <v>1132</v>
          </cell>
          <cell r="N539">
            <v>35218.410000000003</v>
          </cell>
          <cell r="O539">
            <v>849</v>
          </cell>
          <cell r="P539">
            <v>1075.3999999999999</v>
          </cell>
          <cell r="Q539">
            <v>0</v>
          </cell>
          <cell r="R539">
            <v>1056.5523000000001</v>
          </cell>
          <cell r="S539">
            <v>-18.847699999999804</v>
          </cell>
          <cell r="T539">
            <v>113.2</v>
          </cell>
          <cell r="U539">
            <v>601.1318</v>
          </cell>
          <cell r="V539">
            <v>1210</v>
          </cell>
          <cell r="W539">
            <v>0</v>
          </cell>
          <cell r="X539">
            <v>0</v>
          </cell>
          <cell r="Y539">
            <v>0</v>
          </cell>
        </row>
        <row r="540">
          <cell r="D540">
            <v>10380001</v>
          </cell>
          <cell r="E540" t="str">
            <v>SONBARSHA 1</v>
          </cell>
          <cell r="F540">
            <v>0</v>
          </cell>
          <cell r="G540" t="str">
            <v>RMC</v>
          </cell>
          <cell r="H540" t="str">
            <v>Direct</v>
          </cell>
          <cell r="I540">
            <v>1007</v>
          </cell>
          <cell r="J540" t="str">
            <v>Araria</v>
          </cell>
          <cell r="K540" t="str">
            <v>Old</v>
          </cell>
          <cell r="L540">
            <v>42979</v>
          </cell>
          <cell r="M540">
            <v>2767</v>
          </cell>
          <cell r="N540">
            <v>96012.109999999986</v>
          </cell>
          <cell r="O540">
            <v>2075.25</v>
          </cell>
          <cell r="P540">
            <v>2628.65</v>
          </cell>
          <cell r="Q540">
            <v>457.52572799999996</v>
          </cell>
          <cell r="R540">
            <v>2880.3632999999995</v>
          </cell>
          <cell r="S540">
            <v>251.71329999999944</v>
          </cell>
          <cell r="T540">
            <v>276.7</v>
          </cell>
          <cell r="U540">
            <v>559.2052000000001</v>
          </cell>
          <cell r="V540">
            <v>4326</v>
          </cell>
          <cell r="W540">
            <v>0</v>
          </cell>
          <cell r="X540">
            <v>0</v>
          </cell>
          <cell r="Y540">
            <v>0</v>
          </cell>
        </row>
        <row r="541">
          <cell r="D541">
            <v>10390001</v>
          </cell>
          <cell r="E541" t="str">
            <v>GANOUL</v>
          </cell>
          <cell r="F541">
            <v>0</v>
          </cell>
          <cell r="G541" t="str">
            <v>RMC</v>
          </cell>
          <cell r="H541" t="str">
            <v>Indirect</v>
          </cell>
          <cell r="I541">
            <v>1007</v>
          </cell>
          <cell r="J541" t="str">
            <v>Araria</v>
          </cell>
          <cell r="K541" t="str">
            <v>Old</v>
          </cell>
          <cell r="L541">
            <v>44946</v>
          </cell>
          <cell r="M541">
            <v>1914</v>
          </cell>
          <cell r="N541">
            <v>66262.649999999994</v>
          </cell>
          <cell r="O541">
            <v>1435.5</v>
          </cell>
          <cell r="P541">
            <v>1818.3</v>
          </cell>
          <cell r="Q541">
            <v>124.61180688000002</v>
          </cell>
          <cell r="R541">
            <v>1987.8794999999998</v>
          </cell>
          <cell r="S541">
            <v>169.57949999999983</v>
          </cell>
          <cell r="T541">
            <v>191.4</v>
          </cell>
          <cell r="U541">
            <v>687.83515028901729</v>
          </cell>
          <cell r="V541">
            <v>2499</v>
          </cell>
          <cell r="W541">
            <v>0</v>
          </cell>
          <cell r="X541">
            <v>0</v>
          </cell>
          <cell r="Y541">
            <v>0</v>
          </cell>
        </row>
        <row r="542">
          <cell r="D542">
            <v>10400001</v>
          </cell>
          <cell r="E542" t="str">
            <v>Gauripur</v>
          </cell>
          <cell r="F542">
            <v>0</v>
          </cell>
          <cell r="G542" t="str">
            <v>RMC</v>
          </cell>
          <cell r="H542" t="str">
            <v>Direct</v>
          </cell>
          <cell r="I542">
            <v>1007</v>
          </cell>
          <cell r="J542" t="str">
            <v>Araria</v>
          </cell>
          <cell r="K542" t="str">
            <v>Old</v>
          </cell>
          <cell r="L542">
            <v>42979</v>
          </cell>
          <cell r="M542">
            <v>6759</v>
          </cell>
          <cell r="N542">
            <v>235419.75000000003</v>
          </cell>
          <cell r="O542">
            <v>5069.25</v>
          </cell>
          <cell r="P542">
            <v>6421.0499999999993</v>
          </cell>
          <cell r="Q542">
            <v>904.35945600000014</v>
          </cell>
          <cell r="R542">
            <v>7062.5925000000007</v>
          </cell>
          <cell r="S542">
            <v>641.54250000000138</v>
          </cell>
          <cell r="T542">
            <v>675.90000000000009</v>
          </cell>
          <cell r="U542">
            <v>0</v>
          </cell>
          <cell r="V542">
            <v>11719</v>
          </cell>
          <cell r="W542">
            <v>0</v>
          </cell>
          <cell r="X542">
            <v>0</v>
          </cell>
          <cell r="Y542">
            <v>0</v>
          </cell>
        </row>
        <row r="543">
          <cell r="D543">
            <v>10410001</v>
          </cell>
          <cell r="E543" t="str">
            <v>Bhramarpur</v>
          </cell>
          <cell r="F543">
            <v>0</v>
          </cell>
          <cell r="G543" t="str">
            <v>RMC</v>
          </cell>
          <cell r="H543" t="str">
            <v>Direct</v>
          </cell>
          <cell r="I543">
            <v>1007</v>
          </cell>
          <cell r="J543" t="str">
            <v>Araria</v>
          </cell>
          <cell r="K543" t="str">
            <v>Old</v>
          </cell>
          <cell r="L543">
            <v>43080</v>
          </cell>
          <cell r="M543">
            <v>8073</v>
          </cell>
          <cell r="N543">
            <v>274093.13</v>
          </cell>
          <cell r="O543">
            <v>6054.75</v>
          </cell>
          <cell r="P543">
            <v>7669.3499999999995</v>
          </cell>
          <cell r="Q543">
            <v>680.40179064000006</v>
          </cell>
          <cell r="R543">
            <v>8222.7939000000006</v>
          </cell>
          <cell r="S543">
            <v>553.44390000000112</v>
          </cell>
          <cell r="T543">
            <v>807.30000000000007</v>
          </cell>
          <cell r="U543">
            <v>0</v>
          </cell>
          <cell r="V543">
            <v>13597</v>
          </cell>
          <cell r="W543">
            <v>0</v>
          </cell>
          <cell r="X543">
            <v>0</v>
          </cell>
          <cell r="Y543">
            <v>0</v>
          </cell>
        </row>
        <row r="544">
          <cell r="D544">
            <v>10440001</v>
          </cell>
          <cell r="E544" t="str">
            <v>Gomukh Sadananpur</v>
          </cell>
          <cell r="F544">
            <v>0</v>
          </cell>
          <cell r="G544" t="str">
            <v>MPG</v>
          </cell>
          <cell r="H544" t="str">
            <v>Direct</v>
          </cell>
          <cell r="I544">
            <v>1011</v>
          </cell>
          <cell r="J544" t="str">
            <v>Sahibpur Kamal</v>
          </cell>
          <cell r="K544" t="str">
            <v>Old</v>
          </cell>
          <cell r="L544">
            <v>42979</v>
          </cell>
          <cell r="M544">
            <v>434.79999999999995</v>
          </cell>
          <cell r="N544">
            <v>14959.919999999998</v>
          </cell>
          <cell r="O544">
            <v>326.09999999999997</v>
          </cell>
          <cell r="P544">
            <v>413.05999999999995</v>
          </cell>
          <cell r="Q544">
            <v>0</v>
          </cell>
          <cell r="R544">
            <v>448.79759999999993</v>
          </cell>
          <cell r="S544">
            <v>35.737599999999986</v>
          </cell>
          <cell r="T544">
            <v>43.48</v>
          </cell>
          <cell r="U544">
            <v>695.610429244128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</row>
        <row r="545">
          <cell r="D545">
            <v>10460001</v>
          </cell>
          <cell r="E545" t="str">
            <v>TILAKPUR  2</v>
          </cell>
          <cell r="F545">
            <v>0</v>
          </cell>
          <cell r="G545" t="str">
            <v>RMC</v>
          </cell>
          <cell r="H545" t="str">
            <v>Direct</v>
          </cell>
          <cell r="I545">
            <v>1003</v>
          </cell>
          <cell r="J545" t="str">
            <v>Asarganj</v>
          </cell>
          <cell r="K545" t="str">
            <v>Old</v>
          </cell>
          <cell r="L545">
            <v>42979</v>
          </cell>
          <cell r="M545">
            <v>946.14999999999986</v>
          </cell>
          <cell r="N545">
            <v>33429.39</v>
          </cell>
          <cell r="O545">
            <v>709.61249999999995</v>
          </cell>
          <cell r="P545">
            <v>898.84249999999986</v>
          </cell>
          <cell r="Q545">
            <v>232.30257019200005</v>
          </cell>
          <cell r="R545">
            <v>1002.8816999999999</v>
          </cell>
          <cell r="S545">
            <v>104.03920000000005</v>
          </cell>
          <cell r="T545">
            <v>94.614999999999995</v>
          </cell>
          <cell r="U545">
            <v>1451.4053987529915</v>
          </cell>
          <cell r="V545">
            <v>295</v>
          </cell>
          <cell r="W545">
            <v>0</v>
          </cell>
          <cell r="X545">
            <v>0</v>
          </cell>
          <cell r="Y545">
            <v>0</v>
          </cell>
        </row>
        <row r="546">
          <cell r="D546">
            <v>10460002</v>
          </cell>
          <cell r="E546" t="str">
            <v>TILAKPUR</v>
          </cell>
          <cell r="F546">
            <v>0</v>
          </cell>
          <cell r="G546" t="str">
            <v>MPG</v>
          </cell>
          <cell r="H546" t="str">
            <v>Direct</v>
          </cell>
          <cell r="I546">
            <v>1003</v>
          </cell>
          <cell r="J546" t="str">
            <v>Asarganj</v>
          </cell>
          <cell r="K546" t="str">
            <v>Old</v>
          </cell>
          <cell r="L546">
            <v>44988</v>
          </cell>
          <cell r="M546">
            <v>2269.4</v>
          </cell>
          <cell r="N546">
            <v>73800.950000000012</v>
          </cell>
          <cell r="O546">
            <v>1702.0500000000002</v>
          </cell>
          <cell r="P546">
            <v>2155.9299999999998</v>
          </cell>
          <cell r="Q546">
            <v>208.9505735460001</v>
          </cell>
          <cell r="R546">
            <v>2214.0285000000003</v>
          </cell>
          <cell r="S546">
            <v>58.098500000000513</v>
          </cell>
          <cell r="T546">
            <v>226.94000000000003</v>
          </cell>
          <cell r="U546">
            <v>466.40781912093996</v>
          </cell>
          <cell r="V546">
            <v>3374</v>
          </cell>
          <cell r="W546">
            <v>1861</v>
          </cell>
          <cell r="X546">
            <v>0</v>
          </cell>
          <cell r="Y546">
            <v>0</v>
          </cell>
        </row>
        <row r="547">
          <cell r="D547">
            <v>10480001</v>
          </cell>
          <cell r="E547" t="str">
            <v>Prasharpur Kadwa Gomukh</v>
          </cell>
          <cell r="F547">
            <v>0</v>
          </cell>
          <cell r="G547" t="str">
            <v>MPG</v>
          </cell>
          <cell r="H547" t="str">
            <v>Direct</v>
          </cell>
          <cell r="I547">
            <v>1036</v>
          </cell>
          <cell r="J547" t="str">
            <v>MAHADAT PUR 2</v>
          </cell>
          <cell r="K547" t="str">
            <v>Old</v>
          </cell>
          <cell r="L547">
            <v>43756</v>
          </cell>
          <cell r="M547">
            <v>1890</v>
          </cell>
          <cell r="N547">
            <v>67303.73</v>
          </cell>
          <cell r="O547">
            <v>1417.5</v>
          </cell>
          <cell r="P547">
            <v>1795.5</v>
          </cell>
          <cell r="Q547">
            <v>568.34529540000005</v>
          </cell>
          <cell r="R547">
            <v>2019.1118999999999</v>
          </cell>
          <cell r="S547">
            <v>223.61189999999988</v>
          </cell>
          <cell r="T547">
            <v>189</v>
          </cell>
          <cell r="U547">
            <v>789.19744194908151</v>
          </cell>
          <cell r="V547">
            <v>2803</v>
          </cell>
          <cell r="W547">
            <v>1861</v>
          </cell>
          <cell r="X547">
            <v>0</v>
          </cell>
          <cell r="Y547">
            <v>0</v>
          </cell>
        </row>
        <row r="548">
          <cell r="D548">
            <v>10480002</v>
          </cell>
          <cell r="E548" t="str">
            <v>Borwa Tola Gomukh</v>
          </cell>
          <cell r="F548">
            <v>0</v>
          </cell>
          <cell r="G548" t="str">
            <v>vlc</v>
          </cell>
          <cell r="H548" t="str">
            <v>Indirect</v>
          </cell>
          <cell r="I548">
            <v>1036</v>
          </cell>
          <cell r="J548" t="str">
            <v>MAHADAT PUR 2</v>
          </cell>
          <cell r="K548" t="str">
            <v>Old</v>
          </cell>
          <cell r="L548">
            <v>43756</v>
          </cell>
          <cell r="M548">
            <v>1435.8000000000002</v>
          </cell>
          <cell r="N548">
            <v>50376.81</v>
          </cell>
          <cell r="O548">
            <v>1076.8500000000001</v>
          </cell>
          <cell r="P548">
            <v>1364.0100000000002</v>
          </cell>
          <cell r="Q548">
            <v>0</v>
          </cell>
          <cell r="R548">
            <v>1511.3042999999998</v>
          </cell>
          <cell r="S548">
            <v>147.29429999999957</v>
          </cell>
          <cell r="T548">
            <v>143.58000000000001</v>
          </cell>
          <cell r="U548">
            <v>1098.7950650949088</v>
          </cell>
          <cell r="V548">
            <v>1198</v>
          </cell>
          <cell r="W548">
            <v>0</v>
          </cell>
          <cell r="X548">
            <v>1007.5362</v>
          </cell>
          <cell r="Y548">
            <v>0</v>
          </cell>
        </row>
        <row r="549">
          <cell r="D549">
            <v>10480003</v>
          </cell>
          <cell r="E549" t="str">
            <v>Sheela Devi</v>
          </cell>
          <cell r="F549">
            <v>0</v>
          </cell>
          <cell r="G549" t="str">
            <v>vlc</v>
          </cell>
          <cell r="H549" t="str">
            <v>Indirect</v>
          </cell>
          <cell r="I549">
            <v>1007</v>
          </cell>
          <cell r="J549" t="str">
            <v>Araria</v>
          </cell>
          <cell r="K549" t="str">
            <v>Old</v>
          </cell>
          <cell r="L549">
            <v>43932</v>
          </cell>
          <cell r="M549">
            <v>1669</v>
          </cell>
          <cell r="N549">
            <v>51066.57</v>
          </cell>
          <cell r="O549">
            <v>1251.75</v>
          </cell>
          <cell r="P549">
            <v>1585.55</v>
          </cell>
          <cell r="Q549">
            <v>0</v>
          </cell>
          <cell r="R549">
            <v>1531.9971</v>
          </cell>
          <cell r="S549">
            <v>-53.552899999999909</v>
          </cell>
          <cell r="T549">
            <v>166.9</v>
          </cell>
          <cell r="U549">
            <v>877.1193750000001</v>
          </cell>
          <cell r="V549">
            <v>1793</v>
          </cell>
          <cell r="W549">
            <v>0</v>
          </cell>
          <cell r="X549">
            <v>0</v>
          </cell>
          <cell r="Y549">
            <v>0</v>
          </cell>
        </row>
        <row r="550">
          <cell r="D550">
            <v>10480005</v>
          </cell>
          <cell r="E550" t="str">
            <v>Gomukh Vijay Lalganj</v>
          </cell>
          <cell r="F550">
            <v>0</v>
          </cell>
          <cell r="G550" t="str">
            <v>MPG</v>
          </cell>
          <cell r="H550" t="str">
            <v>Direct</v>
          </cell>
          <cell r="I550">
            <v>1036</v>
          </cell>
          <cell r="J550" t="str">
            <v>MAHADAT PUR 2</v>
          </cell>
          <cell r="K550" t="str">
            <v>Old</v>
          </cell>
          <cell r="L550">
            <v>44974</v>
          </cell>
          <cell r="M550">
            <v>1236.4000000000001</v>
          </cell>
          <cell r="N550">
            <v>47819.86</v>
          </cell>
          <cell r="O550">
            <v>927.30000000000007</v>
          </cell>
          <cell r="P550">
            <v>1174.58</v>
          </cell>
          <cell r="Q550">
            <v>235.72011896730007</v>
          </cell>
          <cell r="R550">
            <v>1434.5958000000001</v>
          </cell>
          <cell r="S550">
            <v>260.01580000000013</v>
          </cell>
          <cell r="T550">
            <v>123.64000000000001</v>
          </cell>
          <cell r="U550">
            <v>1364.5208560420233</v>
          </cell>
          <cell r="V550">
            <v>849</v>
          </cell>
          <cell r="W550">
            <v>849</v>
          </cell>
          <cell r="X550">
            <v>0</v>
          </cell>
          <cell r="Y550">
            <v>0</v>
          </cell>
        </row>
        <row r="551">
          <cell r="D551">
            <v>10480008</v>
          </cell>
          <cell r="E551" t="str">
            <v>Gomukh Sarswati Nagar Nakdahri</v>
          </cell>
          <cell r="F551">
            <v>0</v>
          </cell>
          <cell r="G551" t="str">
            <v>MPG</v>
          </cell>
          <cell r="H551" t="str">
            <v>Direct</v>
          </cell>
          <cell r="I551">
            <v>1036</v>
          </cell>
          <cell r="J551" t="str">
            <v>MAHADAT PUR 2</v>
          </cell>
          <cell r="K551" t="str">
            <v>Old</v>
          </cell>
          <cell r="L551">
            <v>44975</v>
          </cell>
          <cell r="M551">
            <v>2260.6</v>
          </cell>
          <cell r="N551">
            <v>85780.459999999992</v>
          </cell>
          <cell r="O551">
            <v>1695.4499999999998</v>
          </cell>
          <cell r="P551">
            <v>2147.5699999999997</v>
          </cell>
          <cell r="Q551">
            <v>628.34945896800002</v>
          </cell>
          <cell r="R551">
            <v>2573.4137999999998</v>
          </cell>
          <cell r="S551">
            <v>425.8438000000001</v>
          </cell>
          <cell r="T551">
            <v>226.06</v>
          </cell>
          <cell r="U551">
            <v>562.38562562673883</v>
          </cell>
          <cell r="V551">
            <v>3683</v>
          </cell>
          <cell r="W551">
            <v>1861</v>
          </cell>
          <cell r="X551">
            <v>0</v>
          </cell>
          <cell r="Y551">
            <v>0</v>
          </cell>
        </row>
        <row r="552">
          <cell r="D552">
            <v>10480012</v>
          </cell>
          <cell r="E552" t="str">
            <v>Gomukh Krishna Dairy Tulsipur</v>
          </cell>
          <cell r="F552">
            <v>0</v>
          </cell>
          <cell r="G552" t="str">
            <v>MPG</v>
          </cell>
          <cell r="H552" t="str">
            <v>Direct</v>
          </cell>
          <cell r="I552">
            <v>1036</v>
          </cell>
          <cell r="J552" t="str">
            <v>MAHADAT PUR 2</v>
          </cell>
          <cell r="K552" t="str">
            <v>Old</v>
          </cell>
          <cell r="L552">
            <v>45323</v>
          </cell>
          <cell r="M552">
            <v>1704.0000000000002</v>
          </cell>
          <cell r="N552">
            <v>61718.22</v>
          </cell>
          <cell r="O552">
            <v>1278.0000000000002</v>
          </cell>
          <cell r="P552">
            <v>1618.8000000000002</v>
          </cell>
          <cell r="Q552">
            <v>0</v>
          </cell>
          <cell r="R552">
            <v>1851.5465999999999</v>
          </cell>
          <cell r="S552">
            <v>232.74659999999972</v>
          </cell>
          <cell r="T552">
            <v>170.40000000000003</v>
          </cell>
          <cell r="U552">
            <v>927.66284784339928</v>
          </cell>
          <cell r="V552">
            <v>1799</v>
          </cell>
          <cell r="W552">
            <v>1799</v>
          </cell>
          <cell r="X552">
            <v>0</v>
          </cell>
          <cell r="Y552">
            <v>0</v>
          </cell>
        </row>
        <row r="553">
          <cell r="D553">
            <v>10480016</v>
          </cell>
          <cell r="E553" t="str">
            <v>Gomukh Lauwalagam</v>
          </cell>
          <cell r="F553">
            <v>0</v>
          </cell>
          <cell r="G553" t="str">
            <v>MPG</v>
          </cell>
          <cell r="H553" t="str">
            <v>Direct</v>
          </cell>
          <cell r="I553">
            <v>1036</v>
          </cell>
          <cell r="J553" t="str">
            <v>MAHADAT PUR 2</v>
          </cell>
          <cell r="K553" t="str">
            <v>Old</v>
          </cell>
          <cell r="L553">
            <v>45460</v>
          </cell>
          <cell r="M553">
            <v>395.5</v>
          </cell>
          <cell r="N553">
            <v>13285.629999999997</v>
          </cell>
          <cell r="O553">
            <v>296.625</v>
          </cell>
          <cell r="P553">
            <v>375.72499999999997</v>
          </cell>
          <cell r="Q553">
            <v>0</v>
          </cell>
          <cell r="R553">
            <v>398.56889999999993</v>
          </cell>
          <cell r="S553">
            <v>22.843899999999962</v>
          </cell>
          <cell r="T553">
            <v>39.550000000000004</v>
          </cell>
          <cell r="U553">
            <v>632.97738922366216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</row>
        <row r="554">
          <cell r="D554">
            <v>10480022</v>
          </cell>
          <cell r="E554" t="str">
            <v>Dhobina Basa</v>
          </cell>
          <cell r="F554">
            <v>0</v>
          </cell>
          <cell r="G554" t="str">
            <v>MPG</v>
          </cell>
          <cell r="H554" t="str">
            <v>Direct</v>
          </cell>
          <cell r="I554">
            <v>1036</v>
          </cell>
          <cell r="J554" t="str">
            <v>MAHADAT PUR 2</v>
          </cell>
          <cell r="K554" t="str">
            <v>Old</v>
          </cell>
          <cell r="L554">
            <v>45642</v>
          </cell>
          <cell r="M554">
            <v>2007.6</v>
          </cell>
          <cell r="N554">
            <v>74474.819999999992</v>
          </cell>
          <cell r="O554">
            <v>1505.6999999999998</v>
          </cell>
          <cell r="P554">
            <v>1907.2199999999998</v>
          </cell>
          <cell r="Q554">
            <v>234.46499471999999</v>
          </cell>
          <cell r="R554">
            <v>2234.2445999999995</v>
          </cell>
          <cell r="S554">
            <v>327.02459999999974</v>
          </cell>
          <cell r="T554">
            <v>200.76</v>
          </cell>
          <cell r="U554">
            <v>732.62976514958177</v>
          </cell>
          <cell r="V554">
            <v>2714</v>
          </cell>
          <cell r="W554">
            <v>861</v>
          </cell>
          <cell r="X554">
            <v>0</v>
          </cell>
          <cell r="Y554">
            <v>0</v>
          </cell>
        </row>
        <row r="555">
          <cell r="D555">
            <v>10480023</v>
          </cell>
          <cell r="E555" t="str">
            <v>Gomukh Shreepur Madhay</v>
          </cell>
          <cell r="F555">
            <v>0</v>
          </cell>
          <cell r="G555" t="str">
            <v>MPG</v>
          </cell>
          <cell r="H555" t="str">
            <v>Direct</v>
          </cell>
          <cell r="I555">
            <v>1036</v>
          </cell>
          <cell r="J555" t="str">
            <v>MAHADAT PUR 2</v>
          </cell>
          <cell r="K555" t="str">
            <v>Old</v>
          </cell>
          <cell r="L555">
            <v>45664</v>
          </cell>
          <cell r="M555">
            <v>5597.7</v>
          </cell>
          <cell r="N555">
            <v>214274.27</v>
          </cell>
          <cell r="O555">
            <v>4198.2749999999996</v>
          </cell>
          <cell r="P555">
            <v>5317.8149999999996</v>
          </cell>
          <cell r="Q555">
            <v>6928.348096150401</v>
          </cell>
          <cell r="R555">
            <v>6428.2280999999994</v>
          </cell>
          <cell r="S555">
            <v>1110.4130999999998</v>
          </cell>
          <cell r="T555">
            <v>559.77</v>
          </cell>
          <cell r="U555">
            <v>0</v>
          </cell>
          <cell r="V555">
            <v>15885</v>
          </cell>
          <cell r="W555">
            <v>4285.4853999999996</v>
          </cell>
          <cell r="X555">
            <v>0</v>
          </cell>
          <cell r="Y555">
            <v>0</v>
          </cell>
        </row>
        <row r="556">
          <cell r="D556">
            <v>10480028</v>
          </cell>
          <cell r="E556" t="str">
            <v>Gomukh Dhoriya Dadpur -VLC</v>
          </cell>
          <cell r="F556">
            <v>0</v>
          </cell>
          <cell r="G556" t="str">
            <v>vlc</v>
          </cell>
          <cell r="H556" t="str">
            <v>Indirect</v>
          </cell>
          <cell r="I556">
            <v>1036</v>
          </cell>
          <cell r="J556" t="str">
            <v>MAHADAT PUR 2</v>
          </cell>
          <cell r="K556" t="str">
            <v>Old</v>
          </cell>
          <cell r="L556">
            <v>45711</v>
          </cell>
          <cell r="M556">
            <v>991.80000000000007</v>
          </cell>
          <cell r="N556">
            <v>35250.300000000003</v>
          </cell>
          <cell r="O556">
            <v>743.85</v>
          </cell>
          <cell r="P556">
            <v>942.21</v>
          </cell>
          <cell r="Q556">
            <v>0</v>
          </cell>
          <cell r="R556">
            <v>1057.509</v>
          </cell>
          <cell r="S556">
            <v>115.29899999999998</v>
          </cell>
          <cell r="T556">
            <v>99.18</v>
          </cell>
          <cell r="U556">
            <v>1431.958447405515</v>
          </cell>
          <cell r="V556">
            <v>155</v>
          </cell>
          <cell r="W556">
            <v>0</v>
          </cell>
          <cell r="X556">
            <v>0</v>
          </cell>
          <cell r="Y556">
            <v>0</v>
          </cell>
        </row>
        <row r="557">
          <cell r="D557">
            <v>10480034</v>
          </cell>
          <cell r="E557" t="str">
            <v>Gomukh Abhirampur VLC</v>
          </cell>
          <cell r="F557">
            <v>0</v>
          </cell>
          <cell r="G557" t="str">
            <v>vlc</v>
          </cell>
          <cell r="H557" t="str">
            <v>Indirect</v>
          </cell>
          <cell r="I557">
            <v>1036</v>
          </cell>
          <cell r="J557" t="str">
            <v>MAHADAT PUR 2</v>
          </cell>
          <cell r="K557" t="str">
            <v>Old</v>
          </cell>
          <cell r="L557">
            <v>45865</v>
          </cell>
          <cell r="M557">
            <v>759.6</v>
          </cell>
          <cell r="N557">
            <v>29474.67</v>
          </cell>
          <cell r="O557">
            <v>569.70000000000005</v>
          </cell>
          <cell r="P557">
            <v>721.62</v>
          </cell>
          <cell r="Q557">
            <v>0</v>
          </cell>
          <cell r="R557">
            <v>884.24009999999987</v>
          </cell>
          <cell r="S557">
            <v>162.62009999999987</v>
          </cell>
          <cell r="T557">
            <v>75.960000000000008</v>
          </cell>
          <cell r="U557">
            <v>1215.6318974503554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</row>
        <row r="558">
          <cell r="D558">
            <v>10500001</v>
          </cell>
          <cell r="E558" t="str">
            <v>KUNTHA M</v>
          </cell>
          <cell r="F558">
            <v>0</v>
          </cell>
          <cell r="G558" t="str">
            <v>RMC</v>
          </cell>
          <cell r="H558" t="str">
            <v>Direct</v>
          </cell>
          <cell r="I558">
            <v>1003</v>
          </cell>
          <cell r="J558" t="str">
            <v>Asarganj</v>
          </cell>
          <cell r="K558" t="str">
            <v>Old</v>
          </cell>
          <cell r="L558">
            <v>42979</v>
          </cell>
          <cell r="M558">
            <v>3005</v>
          </cell>
          <cell r="N558">
            <v>101160.75</v>
          </cell>
          <cell r="O558">
            <v>2253.75</v>
          </cell>
          <cell r="P558">
            <v>2854.75</v>
          </cell>
          <cell r="Q558">
            <v>1288.9346025600003</v>
          </cell>
          <cell r="R558">
            <v>3034.8224999999998</v>
          </cell>
          <cell r="S558">
            <v>180.07249999999976</v>
          </cell>
          <cell r="T558">
            <v>300.5</v>
          </cell>
          <cell r="U558">
            <v>167.19444444444443</v>
          </cell>
          <cell r="V558">
            <v>5930</v>
          </cell>
          <cell r="W558">
            <v>0</v>
          </cell>
          <cell r="X558">
            <v>0</v>
          </cell>
          <cell r="Y558">
            <v>0</v>
          </cell>
        </row>
        <row r="559">
          <cell r="D559">
            <v>10510001</v>
          </cell>
          <cell r="E559" t="str">
            <v>ARAK</v>
          </cell>
          <cell r="F559">
            <v>0</v>
          </cell>
          <cell r="G559" t="str">
            <v>MPG</v>
          </cell>
          <cell r="H559" t="str">
            <v>Direct</v>
          </cell>
          <cell r="I559">
            <v>1014</v>
          </cell>
          <cell r="J559" t="str">
            <v>Dumraon</v>
          </cell>
          <cell r="K559" t="str">
            <v>Old</v>
          </cell>
          <cell r="L559">
            <v>44708</v>
          </cell>
          <cell r="M559">
            <v>8438.0999999999985</v>
          </cell>
          <cell r="N559">
            <v>313756.53999999998</v>
          </cell>
          <cell r="O559">
            <v>6328.5749999999989</v>
          </cell>
          <cell r="P559">
            <v>8016.1949999999979</v>
          </cell>
          <cell r="Q559">
            <v>2807.06634990569</v>
          </cell>
          <cell r="R559">
            <v>9412.6961999999985</v>
          </cell>
          <cell r="S559">
            <v>1396.5012000000006</v>
          </cell>
          <cell r="T559">
            <v>843.81</v>
          </cell>
          <cell r="U559">
            <v>0</v>
          </cell>
          <cell r="V559">
            <v>16308</v>
          </cell>
          <cell r="W559">
            <v>0</v>
          </cell>
          <cell r="X559">
            <v>0</v>
          </cell>
          <cell r="Y559">
            <v>0</v>
          </cell>
        </row>
        <row r="560">
          <cell r="D560">
            <v>10510002</v>
          </cell>
          <cell r="E560" t="str">
            <v>Diyaman</v>
          </cell>
          <cell r="F560">
            <v>0</v>
          </cell>
          <cell r="G560" t="str">
            <v>MPG</v>
          </cell>
          <cell r="H560" t="str">
            <v>Direct</v>
          </cell>
          <cell r="I560">
            <v>1014</v>
          </cell>
          <cell r="J560" t="str">
            <v>Dumraon</v>
          </cell>
          <cell r="K560" t="str">
            <v>Old</v>
          </cell>
          <cell r="L560">
            <v>44664</v>
          </cell>
          <cell r="M560">
            <v>6996.2</v>
          </cell>
          <cell r="N560">
            <v>276508.45</v>
          </cell>
          <cell r="O560">
            <v>5247.15</v>
          </cell>
          <cell r="P560">
            <v>6646.3899999999994</v>
          </cell>
          <cell r="Q560">
            <v>1082.4388953840003</v>
          </cell>
          <cell r="R560">
            <v>8295.2535000000007</v>
          </cell>
          <cell r="S560">
            <v>1648.8635000000013</v>
          </cell>
          <cell r="T560">
            <v>699.62</v>
          </cell>
          <cell r="U560">
            <v>0</v>
          </cell>
          <cell r="V560">
            <v>12276</v>
          </cell>
          <cell r="W560">
            <v>0</v>
          </cell>
          <cell r="X560">
            <v>0</v>
          </cell>
          <cell r="Y560">
            <v>0</v>
          </cell>
        </row>
        <row r="561">
          <cell r="D561">
            <v>10510004</v>
          </cell>
          <cell r="E561" t="str">
            <v>HENHA</v>
          </cell>
          <cell r="F561">
            <v>0</v>
          </cell>
          <cell r="G561" t="str">
            <v>MPG</v>
          </cell>
          <cell r="H561" t="str">
            <v>Direct</v>
          </cell>
          <cell r="I561">
            <v>1014</v>
          </cell>
          <cell r="J561" t="str">
            <v>Dumraon</v>
          </cell>
          <cell r="K561" t="str">
            <v>Old</v>
          </cell>
          <cell r="L561">
            <v>45016</v>
          </cell>
          <cell r="M561">
            <v>9439.6</v>
          </cell>
          <cell r="N561">
            <v>350324.13</v>
          </cell>
          <cell r="O561">
            <v>7079.7000000000007</v>
          </cell>
          <cell r="P561">
            <v>8967.6200000000008</v>
          </cell>
          <cell r="Q561">
            <v>6232.8158301470003</v>
          </cell>
          <cell r="R561">
            <v>10509.723899999999</v>
          </cell>
          <cell r="S561">
            <v>1542.1038999999982</v>
          </cell>
          <cell r="T561">
            <v>943.96</v>
          </cell>
          <cell r="U561">
            <v>0</v>
          </cell>
          <cell r="V561">
            <v>21336</v>
          </cell>
          <cell r="W561">
            <v>0</v>
          </cell>
          <cell r="X561">
            <v>0</v>
          </cell>
          <cell r="Y561">
            <v>1700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E54F-F88E-4CF2-BAB5-515FD15DF34E}">
  <dimension ref="B7:O155"/>
  <sheetViews>
    <sheetView topLeftCell="A6" workbookViewId="0">
      <pane xSplit="5" ySplit="2" topLeftCell="F8" activePane="bottomRight" state="frozen"/>
      <selection activeCell="A6" sqref="A6"/>
      <selection pane="topRight" activeCell="J6" sqref="J6"/>
      <selection pane="bottomLeft" activeCell="A7" sqref="A7"/>
      <selection pane="bottomRight" activeCell="H14" sqref="H14"/>
    </sheetView>
  </sheetViews>
  <sheetFormatPr defaultRowHeight="15" x14ac:dyDescent="0.25"/>
  <cols>
    <col min="2" max="2" width="10.28515625" bestFit="1" customWidth="1"/>
    <col min="3" max="3" width="20.28515625" bestFit="1" customWidth="1"/>
    <col min="4" max="4" width="11.7109375" bestFit="1" customWidth="1"/>
    <col min="5" max="5" width="30.42578125" customWidth="1"/>
    <col min="6" max="6" width="11.28515625" bestFit="1" customWidth="1"/>
    <col min="7" max="7" width="13.42578125" customWidth="1"/>
    <col min="8" max="8" width="14.140625" bestFit="1" customWidth="1"/>
    <col min="9" max="9" width="19.140625" bestFit="1" customWidth="1"/>
    <col min="10" max="10" width="24.85546875" bestFit="1" customWidth="1"/>
    <col min="11" max="11" width="18" bestFit="1" customWidth="1"/>
    <col min="12" max="12" width="18" customWidth="1"/>
    <col min="13" max="13" width="16.7109375" bestFit="1" customWidth="1"/>
    <col min="14" max="14" width="36.7109375" bestFit="1" customWidth="1"/>
    <col min="15" max="15" width="29.7109375" bestFit="1" customWidth="1"/>
  </cols>
  <sheetData>
    <row r="7" spans="2:14" ht="15.75" x14ac:dyDescent="0.25">
      <c r="B7" s="7" t="s">
        <v>104</v>
      </c>
      <c r="C7" s="7" t="s">
        <v>105</v>
      </c>
      <c r="D7" s="7" t="s">
        <v>106</v>
      </c>
      <c r="E7" s="7" t="s">
        <v>139</v>
      </c>
      <c r="F7" s="7" t="s">
        <v>138</v>
      </c>
      <c r="G7" s="7" t="s">
        <v>117</v>
      </c>
      <c r="H7" s="7" t="s">
        <v>114</v>
      </c>
      <c r="I7" s="7" t="s">
        <v>115</v>
      </c>
      <c r="J7" s="7" t="s">
        <v>111</v>
      </c>
      <c r="K7" s="7" t="s">
        <v>107</v>
      </c>
      <c r="L7" s="7" t="s">
        <v>108</v>
      </c>
      <c r="M7" s="7" t="s">
        <v>110</v>
      </c>
      <c r="N7" s="7" t="s">
        <v>109</v>
      </c>
    </row>
    <row r="8" spans="2:14" x14ac:dyDescent="0.25">
      <c r="B8" s="3">
        <v>45783</v>
      </c>
      <c r="C8" s="1" t="s">
        <v>0</v>
      </c>
      <c r="D8" s="1">
        <v>10140007</v>
      </c>
      <c r="E8" s="1" t="s">
        <v>1</v>
      </c>
      <c r="F8" s="2" t="s">
        <v>2</v>
      </c>
      <c r="G8" s="2">
        <v>1</v>
      </c>
      <c r="H8" s="2">
        <f>+G8</f>
        <v>1</v>
      </c>
      <c r="I8" s="2">
        <v>0</v>
      </c>
      <c r="J8" s="2">
        <v>0</v>
      </c>
      <c r="K8" s="4" t="s">
        <v>3</v>
      </c>
      <c r="L8" s="1" t="s">
        <v>4</v>
      </c>
      <c r="M8" s="1" t="s">
        <v>5</v>
      </c>
      <c r="N8" s="1" t="s">
        <v>113</v>
      </c>
    </row>
    <row r="9" spans="2:14" x14ac:dyDescent="0.25">
      <c r="B9" s="3">
        <v>45783</v>
      </c>
      <c r="C9" s="1" t="s">
        <v>0</v>
      </c>
      <c r="D9" s="1">
        <v>10140013</v>
      </c>
      <c r="E9" s="1" t="s">
        <v>6</v>
      </c>
      <c r="F9" s="2" t="s">
        <v>2</v>
      </c>
      <c r="G9" s="2">
        <v>1</v>
      </c>
      <c r="H9" s="2">
        <f>+G9</f>
        <v>1</v>
      </c>
      <c r="I9" s="2">
        <v>0</v>
      </c>
      <c r="J9" s="2">
        <v>0</v>
      </c>
      <c r="K9" s="4" t="s">
        <v>3</v>
      </c>
      <c r="L9" s="1" t="s">
        <v>4</v>
      </c>
      <c r="M9" s="1" t="s">
        <v>5</v>
      </c>
      <c r="N9" s="1" t="s">
        <v>113</v>
      </c>
    </row>
    <row r="10" spans="2:14" x14ac:dyDescent="0.25">
      <c r="B10" s="3">
        <v>45783</v>
      </c>
      <c r="C10" s="1" t="s">
        <v>0</v>
      </c>
      <c r="D10" s="1">
        <v>10510001</v>
      </c>
      <c r="E10" s="1" t="s">
        <v>7</v>
      </c>
      <c r="F10" s="2" t="s">
        <v>2</v>
      </c>
      <c r="G10" s="2">
        <v>1</v>
      </c>
      <c r="H10" s="2">
        <f>+G10</f>
        <v>1</v>
      </c>
      <c r="I10" s="2">
        <v>0</v>
      </c>
      <c r="J10" s="2">
        <v>0</v>
      </c>
      <c r="K10" s="4" t="s">
        <v>3</v>
      </c>
      <c r="L10" s="1" t="s">
        <v>4</v>
      </c>
      <c r="M10" s="1" t="s">
        <v>5</v>
      </c>
      <c r="N10" s="1" t="s">
        <v>113</v>
      </c>
    </row>
    <row r="11" spans="2:14" x14ac:dyDescent="0.25">
      <c r="B11" s="3">
        <v>45783</v>
      </c>
      <c r="C11" s="1" t="s">
        <v>0</v>
      </c>
      <c r="D11" s="1">
        <v>10140001</v>
      </c>
      <c r="E11" s="1" t="s">
        <v>8</v>
      </c>
      <c r="F11" s="2" t="s">
        <v>2</v>
      </c>
      <c r="G11" s="2">
        <v>1</v>
      </c>
      <c r="H11" s="2">
        <v>1</v>
      </c>
      <c r="I11" s="2">
        <v>0</v>
      </c>
      <c r="J11" s="2">
        <v>0</v>
      </c>
      <c r="K11" s="4" t="s">
        <v>3</v>
      </c>
      <c r="L11" s="1" t="s">
        <v>4</v>
      </c>
      <c r="M11" s="1" t="s">
        <v>5</v>
      </c>
      <c r="N11" s="1" t="s">
        <v>113</v>
      </c>
    </row>
    <row r="12" spans="2:14" x14ac:dyDescent="0.25">
      <c r="B12" s="3">
        <v>45784</v>
      </c>
      <c r="C12" s="1" t="s">
        <v>9</v>
      </c>
      <c r="D12" s="1">
        <v>10030030</v>
      </c>
      <c r="E12" s="1" t="s">
        <v>10</v>
      </c>
      <c r="F12" s="2" t="s">
        <v>11</v>
      </c>
      <c r="G12" s="2">
        <v>1</v>
      </c>
      <c r="H12" s="2">
        <v>0</v>
      </c>
      <c r="I12" s="2">
        <v>1</v>
      </c>
      <c r="J12" s="2">
        <v>0</v>
      </c>
      <c r="K12" s="4" t="s">
        <v>3</v>
      </c>
      <c r="L12" s="1" t="s">
        <v>4</v>
      </c>
      <c r="M12" s="1" t="s">
        <v>12</v>
      </c>
      <c r="N12" s="1" t="s">
        <v>112</v>
      </c>
    </row>
    <row r="13" spans="2:14" x14ac:dyDescent="0.25">
      <c r="B13" s="3">
        <v>45784</v>
      </c>
      <c r="C13" s="1" t="s">
        <v>13</v>
      </c>
      <c r="D13" s="1">
        <v>10030037</v>
      </c>
      <c r="E13" s="1" t="s">
        <v>14</v>
      </c>
      <c r="F13" s="2" t="s">
        <v>11</v>
      </c>
      <c r="G13" s="2">
        <v>1</v>
      </c>
      <c r="H13" s="2">
        <v>1</v>
      </c>
      <c r="I13" s="2">
        <v>0</v>
      </c>
      <c r="J13" s="2">
        <v>0</v>
      </c>
      <c r="K13" s="4" t="s">
        <v>3</v>
      </c>
      <c r="L13" s="1" t="s">
        <v>4</v>
      </c>
      <c r="M13" s="1" t="s">
        <v>15</v>
      </c>
      <c r="N13" s="1" t="s">
        <v>113</v>
      </c>
    </row>
    <row r="14" spans="2:14" x14ac:dyDescent="0.25">
      <c r="B14" s="3">
        <v>45787</v>
      </c>
      <c r="C14" s="1" t="s">
        <v>16</v>
      </c>
      <c r="D14" s="1">
        <v>10060090</v>
      </c>
      <c r="E14" s="1" t="s">
        <v>17</v>
      </c>
      <c r="F14" s="2" t="s">
        <v>18</v>
      </c>
      <c r="G14" s="2">
        <v>1</v>
      </c>
      <c r="H14" s="2">
        <v>0</v>
      </c>
      <c r="I14" s="2">
        <v>1</v>
      </c>
      <c r="J14" s="2">
        <v>0</v>
      </c>
      <c r="K14" s="4" t="s">
        <v>3</v>
      </c>
      <c r="L14" s="1" t="s">
        <v>4</v>
      </c>
      <c r="M14" s="1" t="s">
        <v>19</v>
      </c>
      <c r="N14" s="1" t="s">
        <v>112</v>
      </c>
    </row>
    <row r="15" spans="2:14" x14ac:dyDescent="0.25">
      <c r="B15" s="3">
        <v>45787</v>
      </c>
      <c r="C15" s="1" t="s">
        <v>20</v>
      </c>
      <c r="D15" s="1">
        <v>10020021</v>
      </c>
      <c r="E15" s="1" t="s">
        <v>21</v>
      </c>
      <c r="F15" s="2" t="s">
        <v>22</v>
      </c>
      <c r="G15" s="2">
        <v>1</v>
      </c>
      <c r="H15" s="2">
        <v>1</v>
      </c>
      <c r="I15" s="2">
        <v>0</v>
      </c>
      <c r="J15" s="2">
        <v>0</v>
      </c>
      <c r="K15" s="4" t="s">
        <v>3</v>
      </c>
      <c r="L15" s="1" t="s">
        <v>4</v>
      </c>
      <c r="M15" s="1" t="s">
        <v>19</v>
      </c>
      <c r="N15" s="1" t="s">
        <v>113</v>
      </c>
    </row>
    <row r="16" spans="2:14" x14ac:dyDescent="0.25">
      <c r="B16" s="3">
        <v>45787</v>
      </c>
      <c r="C16" s="1" t="s">
        <v>23</v>
      </c>
      <c r="D16" s="1">
        <v>10090032</v>
      </c>
      <c r="E16" s="5" t="s">
        <v>24</v>
      </c>
      <c r="F16" s="2" t="s">
        <v>25</v>
      </c>
      <c r="G16" s="2">
        <v>1</v>
      </c>
      <c r="H16" s="2">
        <v>1</v>
      </c>
      <c r="I16" s="2">
        <v>0</v>
      </c>
      <c r="J16" s="2">
        <v>0</v>
      </c>
      <c r="K16" s="4" t="s">
        <v>3</v>
      </c>
      <c r="L16" s="1" t="s">
        <v>4</v>
      </c>
      <c r="M16" s="1" t="s">
        <v>19</v>
      </c>
      <c r="N16" s="1" t="s">
        <v>113</v>
      </c>
    </row>
    <row r="17" spans="2:15" x14ac:dyDescent="0.25">
      <c r="B17" s="3">
        <v>45787</v>
      </c>
      <c r="C17" s="1" t="s">
        <v>26</v>
      </c>
      <c r="D17" s="1">
        <v>1009</v>
      </c>
      <c r="E17" s="1" t="s">
        <v>27</v>
      </c>
      <c r="F17" s="2" t="s">
        <v>25</v>
      </c>
      <c r="G17" s="2">
        <v>1</v>
      </c>
      <c r="H17" s="2">
        <v>0</v>
      </c>
      <c r="I17" s="2">
        <v>1</v>
      </c>
      <c r="J17" s="2">
        <v>0</v>
      </c>
      <c r="K17" s="4" t="s">
        <v>3</v>
      </c>
      <c r="L17" s="1" t="s">
        <v>4</v>
      </c>
      <c r="M17" s="1" t="s">
        <v>19</v>
      </c>
      <c r="N17" s="1" t="s">
        <v>116</v>
      </c>
    </row>
    <row r="18" spans="2:15" x14ac:dyDescent="0.25">
      <c r="B18" s="3">
        <v>45800</v>
      </c>
      <c r="C18" s="1" t="s">
        <v>28</v>
      </c>
      <c r="D18" s="1">
        <v>0</v>
      </c>
      <c r="E18" s="1" t="s">
        <v>29</v>
      </c>
      <c r="F18" s="2" t="s">
        <v>30</v>
      </c>
      <c r="G18" s="2">
        <v>1</v>
      </c>
      <c r="H18" s="2">
        <v>0</v>
      </c>
      <c r="I18" s="2">
        <v>0</v>
      </c>
      <c r="J18" s="2">
        <v>1</v>
      </c>
      <c r="K18" s="4" t="s">
        <v>3</v>
      </c>
      <c r="L18" s="1" t="s">
        <v>4</v>
      </c>
      <c r="M18" s="1" t="s">
        <v>31</v>
      </c>
      <c r="N18" s="1" t="s">
        <v>111</v>
      </c>
    </row>
    <row r="19" spans="2:15" x14ac:dyDescent="0.25">
      <c r="B19" s="3">
        <v>45803</v>
      </c>
      <c r="C19" s="1" t="s">
        <v>32</v>
      </c>
      <c r="D19" s="1">
        <v>10010076</v>
      </c>
      <c r="E19" s="1" t="s">
        <v>285</v>
      </c>
      <c r="F19" s="2" t="s">
        <v>33</v>
      </c>
      <c r="G19" s="2">
        <v>1</v>
      </c>
      <c r="H19" s="2">
        <v>1</v>
      </c>
      <c r="I19" s="2">
        <v>0</v>
      </c>
      <c r="J19" s="2">
        <v>0</v>
      </c>
      <c r="K19" s="4" t="s">
        <v>3</v>
      </c>
      <c r="L19" s="1" t="s">
        <v>4</v>
      </c>
      <c r="M19" s="1" t="s">
        <v>35</v>
      </c>
      <c r="N19" s="1" t="s">
        <v>116</v>
      </c>
    </row>
    <row r="20" spans="2:15" x14ac:dyDescent="0.25">
      <c r="B20" s="3">
        <v>45803</v>
      </c>
      <c r="C20" s="1" t="s">
        <v>276</v>
      </c>
      <c r="D20" s="1">
        <v>10140022</v>
      </c>
      <c r="E20" s="1" t="s">
        <v>36</v>
      </c>
      <c r="F20" s="2" t="s">
        <v>2</v>
      </c>
      <c r="G20" s="2">
        <v>1</v>
      </c>
      <c r="H20" s="2">
        <v>1</v>
      </c>
      <c r="I20" s="2">
        <v>0</v>
      </c>
      <c r="J20" s="2">
        <v>0</v>
      </c>
      <c r="K20" s="4" t="s">
        <v>34</v>
      </c>
      <c r="L20" s="1" t="s">
        <v>4</v>
      </c>
      <c r="M20" s="1" t="s">
        <v>35</v>
      </c>
      <c r="N20" s="1" t="s">
        <v>113</v>
      </c>
    </row>
    <row r="21" spans="2:15" x14ac:dyDescent="0.25">
      <c r="B21" s="3">
        <v>45812</v>
      </c>
      <c r="C21" s="1" t="s">
        <v>37</v>
      </c>
      <c r="D21" s="1">
        <v>10060077</v>
      </c>
      <c r="E21" s="1" t="s">
        <v>38</v>
      </c>
      <c r="F21" s="2" t="s">
        <v>18</v>
      </c>
      <c r="G21" s="2">
        <v>1</v>
      </c>
      <c r="H21" s="2">
        <v>0</v>
      </c>
      <c r="I21" s="2">
        <v>1</v>
      </c>
      <c r="J21" s="2">
        <v>0</v>
      </c>
      <c r="K21" s="4" t="s">
        <v>3</v>
      </c>
      <c r="L21" s="1" t="s">
        <v>4</v>
      </c>
      <c r="M21" s="1" t="s">
        <v>39</v>
      </c>
      <c r="N21" s="1" t="s">
        <v>112</v>
      </c>
    </row>
    <row r="22" spans="2:15" x14ac:dyDescent="0.25">
      <c r="B22" s="3">
        <v>45814</v>
      </c>
      <c r="C22" s="1" t="s">
        <v>40</v>
      </c>
      <c r="D22" s="1">
        <v>10140131</v>
      </c>
      <c r="E22" s="1" t="s">
        <v>41</v>
      </c>
      <c r="F22" s="2" t="s">
        <v>2</v>
      </c>
      <c r="G22" s="2">
        <v>1</v>
      </c>
      <c r="H22" s="2">
        <v>0</v>
      </c>
      <c r="I22" s="2">
        <v>1</v>
      </c>
      <c r="J22" s="2">
        <v>0</v>
      </c>
      <c r="K22" s="4" t="s">
        <v>34</v>
      </c>
      <c r="L22" s="1" t="s">
        <v>4</v>
      </c>
      <c r="M22" s="1" t="s">
        <v>42</v>
      </c>
      <c r="N22" s="1" t="s">
        <v>112</v>
      </c>
    </row>
    <row r="23" spans="2:15" x14ac:dyDescent="0.25">
      <c r="B23" s="3">
        <v>45814</v>
      </c>
      <c r="C23" s="1" t="s">
        <v>43</v>
      </c>
      <c r="D23" s="1">
        <v>10140008</v>
      </c>
      <c r="E23" s="1" t="s">
        <v>44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4" t="s">
        <v>34</v>
      </c>
      <c r="L23" s="1" t="s">
        <v>4</v>
      </c>
      <c r="M23" s="1" t="s">
        <v>42</v>
      </c>
      <c r="N23" s="1" t="s">
        <v>113</v>
      </c>
    </row>
    <row r="24" spans="2:15" x14ac:dyDescent="0.25">
      <c r="B24" s="3">
        <v>45814</v>
      </c>
      <c r="C24" s="1" t="s">
        <v>45</v>
      </c>
      <c r="D24" s="1">
        <v>10140030</v>
      </c>
      <c r="E24" s="1" t="s">
        <v>46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4" t="s">
        <v>34</v>
      </c>
      <c r="L24" s="1" t="s">
        <v>4</v>
      </c>
      <c r="M24" s="1" t="s">
        <v>42</v>
      </c>
      <c r="N24" s="1" t="s">
        <v>113</v>
      </c>
    </row>
    <row r="25" spans="2:15" x14ac:dyDescent="0.25">
      <c r="B25" s="3">
        <v>45828</v>
      </c>
      <c r="C25" s="1" t="s">
        <v>47</v>
      </c>
      <c r="D25" s="1">
        <v>10070033</v>
      </c>
      <c r="E25" s="1" t="s">
        <v>48</v>
      </c>
      <c r="F25" s="2" t="s">
        <v>49</v>
      </c>
      <c r="G25" s="2">
        <v>1</v>
      </c>
      <c r="H25" s="2">
        <v>1</v>
      </c>
      <c r="I25" s="2">
        <v>0</v>
      </c>
      <c r="J25" s="2">
        <v>0</v>
      </c>
      <c r="K25" s="4" t="s">
        <v>3</v>
      </c>
      <c r="L25" s="1" t="s">
        <v>4</v>
      </c>
      <c r="M25" s="1" t="s">
        <v>50</v>
      </c>
      <c r="N25" s="1" t="s">
        <v>113</v>
      </c>
    </row>
    <row r="26" spans="2:15" x14ac:dyDescent="0.25">
      <c r="B26" s="3">
        <v>45828</v>
      </c>
      <c r="C26" s="1" t="s">
        <v>51</v>
      </c>
      <c r="D26" s="1">
        <v>10100037</v>
      </c>
      <c r="E26" s="1" t="s">
        <v>52</v>
      </c>
      <c r="F26" s="2" t="s">
        <v>49</v>
      </c>
      <c r="G26" s="2">
        <v>1</v>
      </c>
      <c r="H26" s="2">
        <v>1</v>
      </c>
      <c r="I26" s="2">
        <v>0</v>
      </c>
      <c r="J26" s="2">
        <v>0</v>
      </c>
      <c r="K26" s="4" t="s">
        <v>3</v>
      </c>
      <c r="L26" s="1" t="s">
        <v>4</v>
      </c>
      <c r="M26" s="1" t="s">
        <v>50</v>
      </c>
      <c r="N26" s="1" t="s">
        <v>113</v>
      </c>
    </row>
    <row r="27" spans="2:15" x14ac:dyDescent="0.25">
      <c r="B27" s="3">
        <v>45828</v>
      </c>
      <c r="C27" s="1" t="s">
        <v>53</v>
      </c>
      <c r="D27" s="1">
        <v>10070049</v>
      </c>
      <c r="E27" s="1" t="s">
        <v>54</v>
      </c>
      <c r="F27" s="2" t="s">
        <v>49</v>
      </c>
      <c r="G27" s="2">
        <v>1</v>
      </c>
      <c r="H27" s="2">
        <v>1</v>
      </c>
      <c r="I27" s="2">
        <v>0</v>
      </c>
      <c r="J27" s="2">
        <v>0</v>
      </c>
      <c r="K27" s="4" t="s">
        <v>3</v>
      </c>
      <c r="L27" s="1" t="s">
        <v>4</v>
      </c>
      <c r="M27" s="1" t="s">
        <v>50</v>
      </c>
      <c r="N27" s="1" t="s">
        <v>113</v>
      </c>
    </row>
    <row r="28" spans="2:15" x14ac:dyDescent="0.25">
      <c r="B28" s="3">
        <v>45834</v>
      </c>
      <c r="C28" s="1" t="s">
        <v>55</v>
      </c>
      <c r="D28" s="1">
        <v>10120083</v>
      </c>
      <c r="E28" s="1" t="s">
        <v>56</v>
      </c>
      <c r="F28" s="2" t="s">
        <v>57</v>
      </c>
      <c r="G28" s="2">
        <v>1</v>
      </c>
      <c r="H28" s="2">
        <v>1</v>
      </c>
      <c r="I28" s="2">
        <v>0</v>
      </c>
      <c r="J28" s="2">
        <v>0</v>
      </c>
      <c r="K28" s="4" t="s">
        <v>58</v>
      </c>
      <c r="L28" s="1" t="s">
        <v>59</v>
      </c>
      <c r="M28" s="1" t="s">
        <v>60</v>
      </c>
      <c r="N28" s="1" t="s">
        <v>113</v>
      </c>
    </row>
    <row r="29" spans="2:15" x14ac:dyDescent="0.25">
      <c r="B29" s="3">
        <v>45834</v>
      </c>
      <c r="C29" s="1" t="s">
        <v>61</v>
      </c>
      <c r="D29" s="1">
        <v>10120046</v>
      </c>
      <c r="E29" s="1" t="s">
        <v>62</v>
      </c>
      <c r="F29" s="2" t="s">
        <v>57</v>
      </c>
      <c r="G29" s="2">
        <v>1</v>
      </c>
      <c r="H29" s="2">
        <v>1</v>
      </c>
      <c r="I29" s="2">
        <v>0</v>
      </c>
      <c r="J29" s="2">
        <v>0</v>
      </c>
      <c r="K29" s="4" t="s">
        <v>58</v>
      </c>
      <c r="L29" s="1" t="s">
        <v>59</v>
      </c>
      <c r="M29" s="1" t="s">
        <v>60</v>
      </c>
      <c r="N29" s="1" t="s">
        <v>113</v>
      </c>
    </row>
    <row r="30" spans="2:15" x14ac:dyDescent="0.25">
      <c r="B30" s="3">
        <v>45834</v>
      </c>
      <c r="C30" s="1" t="s">
        <v>63</v>
      </c>
      <c r="D30" s="1">
        <v>10130012</v>
      </c>
      <c r="E30" s="1" t="s">
        <v>64</v>
      </c>
      <c r="F30" s="2" t="s">
        <v>65</v>
      </c>
      <c r="G30" s="2">
        <v>1</v>
      </c>
      <c r="H30" s="2">
        <v>1</v>
      </c>
      <c r="I30" s="2">
        <v>0</v>
      </c>
      <c r="J30" s="2">
        <v>0</v>
      </c>
      <c r="K30" s="4" t="s">
        <v>58</v>
      </c>
      <c r="L30" s="1" t="s">
        <v>59</v>
      </c>
      <c r="M30" s="1" t="s">
        <v>60</v>
      </c>
      <c r="N30" s="1" t="s">
        <v>113</v>
      </c>
    </row>
    <row r="31" spans="2:15" x14ac:dyDescent="0.25">
      <c r="B31" s="3">
        <v>45989</v>
      </c>
      <c r="C31" s="39" t="s">
        <v>353</v>
      </c>
      <c r="D31" s="1">
        <v>1013</v>
      </c>
      <c r="E31" s="1" t="s">
        <v>66</v>
      </c>
      <c r="F31" s="2" t="s">
        <v>65</v>
      </c>
      <c r="G31" s="2">
        <v>1</v>
      </c>
      <c r="H31" s="2">
        <v>0</v>
      </c>
      <c r="I31" s="2">
        <v>1</v>
      </c>
      <c r="J31" s="2">
        <v>0</v>
      </c>
      <c r="K31" s="4" t="s">
        <v>58</v>
      </c>
      <c r="L31" s="1" t="s">
        <v>59</v>
      </c>
      <c r="M31" s="1" t="s">
        <v>60</v>
      </c>
      <c r="N31" s="1" t="s">
        <v>116</v>
      </c>
      <c r="O31" s="38" t="s">
        <v>354</v>
      </c>
    </row>
    <row r="32" spans="2:15" x14ac:dyDescent="0.25">
      <c r="B32" s="3">
        <v>45834</v>
      </c>
      <c r="C32" s="6" t="s">
        <v>67</v>
      </c>
      <c r="D32" s="1">
        <v>1012</v>
      </c>
      <c r="E32" s="1" t="s">
        <v>68</v>
      </c>
      <c r="F32" s="2" t="s">
        <v>57</v>
      </c>
      <c r="G32" s="2">
        <v>1</v>
      </c>
      <c r="H32" s="2">
        <v>0</v>
      </c>
      <c r="I32" s="2">
        <v>0</v>
      </c>
      <c r="J32" s="2">
        <v>1</v>
      </c>
      <c r="K32" s="4" t="s">
        <v>58</v>
      </c>
      <c r="L32" s="1" t="s">
        <v>59</v>
      </c>
      <c r="M32" s="1" t="s">
        <v>60</v>
      </c>
      <c r="N32" s="1" t="s">
        <v>111</v>
      </c>
    </row>
    <row r="33" spans="2:14" x14ac:dyDescent="0.25">
      <c r="B33" s="3">
        <v>45845</v>
      </c>
      <c r="C33" s="1" t="s">
        <v>491</v>
      </c>
      <c r="D33" s="1">
        <v>10140129</v>
      </c>
      <c r="E33" s="1" t="s">
        <v>69</v>
      </c>
      <c r="F33" s="2" t="s">
        <v>2</v>
      </c>
      <c r="G33" s="2">
        <v>1</v>
      </c>
      <c r="H33" s="2">
        <v>0</v>
      </c>
      <c r="I33" s="2">
        <v>1</v>
      </c>
      <c r="J33" s="2">
        <v>0</v>
      </c>
      <c r="K33" s="4" t="s">
        <v>58</v>
      </c>
      <c r="L33" s="1" t="s">
        <v>4</v>
      </c>
      <c r="M33" s="1" t="s">
        <v>70</v>
      </c>
      <c r="N33" s="1" t="s">
        <v>112</v>
      </c>
    </row>
    <row r="34" spans="2:14" x14ac:dyDescent="0.25">
      <c r="B34" s="3">
        <v>45845</v>
      </c>
      <c r="C34" s="1" t="s">
        <v>71</v>
      </c>
      <c r="D34" s="1">
        <v>10090036</v>
      </c>
      <c r="E34" s="5" t="s">
        <v>72</v>
      </c>
      <c r="F34" s="2" t="s">
        <v>25</v>
      </c>
      <c r="G34" s="2">
        <v>1</v>
      </c>
      <c r="H34" s="2">
        <v>1</v>
      </c>
      <c r="I34" s="2">
        <v>0</v>
      </c>
      <c r="J34" s="2">
        <v>0</v>
      </c>
      <c r="K34" s="4" t="s">
        <v>3</v>
      </c>
      <c r="L34" s="1" t="s">
        <v>4</v>
      </c>
      <c r="M34" s="1" t="s">
        <v>4</v>
      </c>
      <c r="N34" s="1" t="s">
        <v>113</v>
      </c>
    </row>
    <row r="35" spans="2:14" x14ac:dyDescent="0.25">
      <c r="B35" s="3">
        <v>45852</v>
      </c>
      <c r="C35" s="1" t="s">
        <v>73</v>
      </c>
      <c r="D35" s="1">
        <v>10310001</v>
      </c>
      <c r="E35" s="1" t="s">
        <v>74</v>
      </c>
      <c r="F35" s="2" t="s">
        <v>18</v>
      </c>
      <c r="G35" s="2">
        <v>1</v>
      </c>
      <c r="H35" s="2">
        <v>1</v>
      </c>
      <c r="I35" s="2">
        <v>0</v>
      </c>
      <c r="J35" s="2">
        <v>0</v>
      </c>
      <c r="K35" s="4" t="s">
        <v>3</v>
      </c>
      <c r="L35" s="1" t="s">
        <v>4</v>
      </c>
      <c r="M35" s="1" t="s">
        <v>75</v>
      </c>
      <c r="N35" s="1" t="s">
        <v>113</v>
      </c>
    </row>
    <row r="36" spans="2:14" x14ac:dyDescent="0.25">
      <c r="B36" s="3">
        <v>45852</v>
      </c>
      <c r="C36" s="1" t="s">
        <v>76</v>
      </c>
      <c r="D36" s="1">
        <v>10020037</v>
      </c>
      <c r="E36" s="1" t="s">
        <v>77</v>
      </c>
      <c r="F36" s="2" t="s">
        <v>22</v>
      </c>
      <c r="G36" s="2">
        <v>1</v>
      </c>
      <c r="H36" s="2">
        <v>1</v>
      </c>
      <c r="I36" s="2">
        <v>0</v>
      </c>
      <c r="J36" s="2">
        <v>0</v>
      </c>
      <c r="K36" s="4" t="s">
        <v>3</v>
      </c>
      <c r="L36" s="1" t="s">
        <v>4</v>
      </c>
      <c r="M36" s="1" t="s">
        <v>19</v>
      </c>
      <c r="N36" s="1" t="s">
        <v>113</v>
      </c>
    </row>
    <row r="37" spans="2:14" x14ac:dyDescent="0.25">
      <c r="B37" s="3">
        <v>45852</v>
      </c>
      <c r="C37" s="6" t="s">
        <v>78</v>
      </c>
      <c r="D37" s="1">
        <v>10120082</v>
      </c>
      <c r="E37" s="1" t="s">
        <v>79</v>
      </c>
      <c r="F37" s="4" t="s">
        <v>57</v>
      </c>
      <c r="G37" s="2">
        <v>1</v>
      </c>
      <c r="H37" s="2">
        <v>1</v>
      </c>
      <c r="I37" s="2">
        <v>0</v>
      </c>
      <c r="J37" s="2">
        <v>0</v>
      </c>
      <c r="K37" s="4" t="s">
        <v>58</v>
      </c>
      <c r="L37" s="6" t="s">
        <v>4</v>
      </c>
      <c r="M37" s="6" t="s">
        <v>80</v>
      </c>
      <c r="N37" s="1" t="s">
        <v>113</v>
      </c>
    </row>
    <row r="38" spans="2:14" x14ac:dyDescent="0.25">
      <c r="B38" s="3">
        <v>45852</v>
      </c>
      <c r="C38" s="6" t="s">
        <v>81</v>
      </c>
      <c r="D38" s="1"/>
      <c r="E38" s="6" t="s">
        <v>82</v>
      </c>
      <c r="F38" s="2"/>
      <c r="G38" s="2">
        <v>1</v>
      </c>
      <c r="H38" s="2">
        <v>0</v>
      </c>
      <c r="I38" s="2">
        <v>0</v>
      </c>
      <c r="J38" s="2">
        <v>1</v>
      </c>
      <c r="K38" s="4" t="s">
        <v>70</v>
      </c>
      <c r="L38" s="6" t="s">
        <v>4</v>
      </c>
      <c r="M38" s="6" t="s">
        <v>83</v>
      </c>
      <c r="N38" s="1" t="s">
        <v>111</v>
      </c>
    </row>
    <row r="39" spans="2:14" x14ac:dyDescent="0.25">
      <c r="B39" s="3">
        <v>45852</v>
      </c>
      <c r="C39" s="6" t="s">
        <v>84</v>
      </c>
      <c r="D39" s="1"/>
      <c r="E39" s="6" t="s">
        <v>82</v>
      </c>
      <c r="F39" s="2"/>
      <c r="G39" s="2">
        <v>1</v>
      </c>
      <c r="H39" s="2">
        <v>0</v>
      </c>
      <c r="I39" s="2">
        <v>0</v>
      </c>
      <c r="J39" s="2">
        <v>1</v>
      </c>
      <c r="K39" s="4" t="s">
        <v>70</v>
      </c>
      <c r="L39" s="6" t="s">
        <v>4</v>
      </c>
      <c r="M39" s="6" t="s">
        <v>83</v>
      </c>
      <c r="N39" s="1" t="s">
        <v>111</v>
      </c>
    </row>
    <row r="40" spans="2:14" x14ac:dyDescent="0.25">
      <c r="B40" s="3">
        <v>45852</v>
      </c>
      <c r="C40" s="6" t="s">
        <v>85</v>
      </c>
      <c r="D40" s="1"/>
      <c r="E40" s="6" t="s">
        <v>82</v>
      </c>
      <c r="F40" s="2"/>
      <c r="G40" s="2">
        <v>1</v>
      </c>
      <c r="H40" s="2">
        <v>0</v>
      </c>
      <c r="I40" s="2">
        <v>0</v>
      </c>
      <c r="J40" s="2">
        <v>1</v>
      </c>
      <c r="K40" s="4" t="s">
        <v>70</v>
      </c>
      <c r="L40" s="6" t="s">
        <v>4</v>
      </c>
      <c r="M40" s="6" t="s">
        <v>83</v>
      </c>
      <c r="N40" s="1" t="s">
        <v>111</v>
      </c>
    </row>
    <row r="41" spans="2:14" x14ac:dyDescent="0.25">
      <c r="B41" s="3">
        <v>45852</v>
      </c>
      <c r="C41" s="6" t="s">
        <v>86</v>
      </c>
      <c r="D41" s="1"/>
      <c r="E41" s="6" t="s">
        <v>82</v>
      </c>
      <c r="F41" s="2"/>
      <c r="G41" s="2">
        <v>1</v>
      </c>
      <c r="H41" s="2">
        <v>0</v>
      </c>
      <c r="I41" s="2">
        <v>0</v>
      </c>
      <c r="J41" s="2">
        <v>1</v>
      </c>
      <c r="K41" s="4" t="s">
        <v>70</v>
      </c>
      <c r="L41" s="6" t="s">
        <v>4</v>
      </c>
      <c r="M41" s="6" t="s">
        <v>83</v>
      </c>
      <c r="N41" s="1" t="s">
        <v>111</v>
      </c>
    </row>
    <row r="42" spans="2:14" x14ac:dyDescent="0.25">
      <c r="B42" s="3">
        <v>45852</v>
      </c>
      <c r="C42" s="6" t="s">
        <v>87</v>
      </c>
      <c r="D42" s="1"/>
      <c r="E42" s="6" t="s">
        <v>82</v>
      </c>
      <c r="F42" s="2"/>
      <c r="G42" s="2">
        <v>1</v>
      </c>
      <c r="H42" s="2">
        <v>0</v>
      </c>
      <c r="I42" s="2">
        <v>0</v>
      </c>
      <c r="J42" s="2">
        <v>1</v>
      </c>
      <c r="K42" s="4" t="s">
        <v>70</v>
      </c>
      <c r="L42" s="6" t="s">
        <v>4</v>
      </c>
      <c r="M42" s="6" t="s">
        <v>83</v>
      </c>
      <c r="N42" s="1" t="s">
        <v>111</v>
      </c>
    </row>
    <row r="43" spans="2:14" x14ac:dyDescent="0.25">
      <c r="B43" s="3">
        <v>45852</v>
      </c>
      <c r="C43" s="6" t="s">
        <v>88</v>
      </c>
      <c r="D43" s="1"/>
      <c r="E43" s="6" t="s">
        <v>82</v>
      </c>
      <c r="F43" s="2"/>
      <c r="G43" s="2">
        <v>1</v>
      </c>
      <c r="H43" s="2">
        <v>0</v>
      </c>
      <c r="I43" s="2">
        <v>0</v>
      </c>
      <c r="J43" s="2">
        <v>1</v>
      </c>
      <c r="K43" s="4" t="s">
        <v>70</v>
      </c>
      <c r="L43" s="6" t="s">
        <v>4</v>
      </c>
      <c r="M43" s="6" t="s">
        <v>83</v>
      </c>
      <c r="N43" s="1" t="s">
        <v>111</v>
      </c>
    </row>
    <row r="44" spans="2:14" x14ac:dyDescent="0.25">
      <c r="B44" s="3">
        <v>45852</v>
      </c>
      <c r="C44" s="6" t="s">
        <v>89</v>
      </c>
      <c r="D44" s="1"/>
      <c r="E44" s="6" t="s">
        <v>82</v>
      </c>
      <c r="F44" s="2"/>
      <c r="G44" s="2">
        <v>1</v>
      </c>
      <c r="H44" s="2">
        <v>0</v>
      </c>
      <c r="I44" s="2">
        <v>0</v>
      </c>
      <c r="J44" s="2">
        <v>1</v>
      </c>
      <c r="K44" s="4" t="s">
        <v>70</v>
      </c>
      <c r="L44" s="6" t="s">
        <v>4</v>
      </c>
      <c r="M44" s="6" t="s">
        <v>83</v>
      </c>
      <c r="N44" s="1" t="s">
        <v>111</v>
      </c>
    </row>
    <row r="45" spans="2:14" x14ac:dyDescent="0.25">
      <c r="B45" s="3">
        <v>45852</v>
      </c>
      <c r="C45" s="6" t="s">
        <v>90</v>
      </c>
      <c r="D45" s="1"/>
      <c r="E45" s="6" t="s">
        <v>82</v>
      </c>
      <c r="F45" s="2"/>
      <c r="G45" s="2">
        <v>1</v>
      </c>
      <c r="H45" s="2">
        <v>0</v>
      </c>
      <c r="I45" s="2">
        <v>0</v>
      </c>
      <c r="J45" s="2">
        <v>1</v>
      </c>
      <c r="K45" s="4" t="s">
        <v>70</v>
      </c>
      <c r="L45" s="6" t="s">
        <v>4</v>
      </c>
      <c r="M45" s="6" t="s">
        <v>83</v>
      </c>
      <c r="N45" s="1" t="s">
        <v>111</v>
      </c>
    </row>
    <row r="46" spans="2:14" x14ac:dyDescent="0.25">
      <c r="B46" s="3">
        <v>45852</v>
      </c>
      <c r="C46" s="6" t="s">
        <v>91</v>
      </c>
      <c r="D46" s="1"/>
      <c r="E46" s="6" t="s">
        <v>82</v>
      </c>
      <c r="F46" s="2"/>
      <c r="G46" s="2">
        <v>1</v>
      </c>
      <c r="H46" s="2">
        <v>0</v>
      </c>
      <c r="I46" s="2">
        <v>0</v>
      </c>
      <c r="J46" s="2">
        <v>1</v>
      </c>
      <c r="K46" s="4" t="s">
        <v>70</v>
      </c>
      <c r="L46" s="6" t="s">
        <v>4</v>
      </c>
      <c r="M46" s="6" t="s">
        <v>83</v>
      </c>
      <c r="N46" s="1" t="s">
        <v>111</v>
      </c>
    </row>
    <row r="47" spans="2:14" x14ac:dyDescent="0.25">
      <c r="B47" s="3">
        <v>45852</v>
      </c>
      <c r="C47" s="6" t="s">
        <v>92</v>
      </c>
      <c r="D47" s="1"/>
      <c r="E47" s="6" t="s">
        <v>82</v>
      </c>
      <c r="F47" s="2"/>
      <c r="G47" s="2">
        <v>1</v>
      </c>
      <c r="H47" s="2">
        <v>0</v>
      </c>
      <c r="I47" s="2">
        <v>0</v>
      </c>
      <c r="J47" s="2">
        <v>1</v>
      </c>
      <c r="K47" s="4" t="s">
        <v>70</v>
      </c>
      <c r="L47" s="6" t="s">
        <v>4</v>
      </c>
      <c r="M47" s="6" t="s">
        <v>83</v>
      </c>
      <c r="N47" s="1" t="s">
        <v>111</v>
      </c>
    </row>
    <row r="48" spans="2:14" x14ac:dyDescent="0.25">
      <c r="B48" s="3">
        <v>45852</v>
      </c>
      <c r="C48" s="6" t="s">
        <v>93</v>
      </c>
      <c r="D48" s="1"/>
      <c r="E48" s="6" t="s">
        <v>82</v>
      </c>
      <c r="F48" s="2"/>
      <c r="G48" s="2">
        <v>1</v>
      </c>
      <c r="H48" s="2">
        <v>0</v>
      </c>
      <c r="I48" s="2">
        <v>0</v>
      </c>
      <c r="J48" s="2">
        <v>1</v>
      </c>
      <c r="K48" s="4" t="s">
        <v>70</v>
      </c>
      <c r="L48" s="6" t="s">
        <v>4</v>
      </c>
      <c r="M48" s="6" t="s">
        <v>83</v>
      </c>
      <c r="N48" s="1" t="s">
        <v>111</v>
      </c>
    </row>
    <row r="49" spans="2:14" x14ac:dyDescent="0.25">
      <c r="B49" s="3">
        <v>45856</v>
      </c>
      <c r="C49" s="6" t="s">
        <v>94</v>
      </c>
      <c r="D49" s="1">
        <v>10080100</v>
      </c>
      <c r="E49" s="1" t="s">
        <v>95</v>
      </c>
      <c r="F49" s="2" t="s">
        <v>96</v>
      </c>
      <c r="G49" s="2">
        <v>1</v>
      </c>
      <c r="H49" s="2">
        <v>0</v>
      </c>
      <c r="I49" s="2">
        <v>1</v>
      </c>
      <c r="J49" s="2">
        <v>0</v>
      </c>
      <c r="K49" s="4" t="s">
        <v>3</v>
      </c>
      <c r="L49" s="6" t="s">
        <v>4</v>
      </c>
      <c r="M49" s="1" t="s">
        <v>97</v>
      </c>
      <c r="N49" s="1" t="s">
        <v>112</v>
      </c>
    </row>
    <row r="50" spans="2:14" x14ac:dyDescent="0.25">
      <c r="B50" s="3">
        <v>45867</v>
      </c>
      <c r="C50" s="6" t="s">
        <v>98</v>
      </c>
      <c r="D50" s="1">
        <v>10090046</v>
      </c>
      <c r="E50" s="1" t="s">
        <v>99</v>
      </c>
      <c r="F50" s="2" t="s">
        <v>25</v>
      </c>
      <c r="G50" s="2">
        <v>1</v>
      </c>
      <c r="H50" s="2">
        <v>1</v>
      </c>
      <c r="I50" s="2">
        <v>0</v>
      </c>
      <c r="J50" s="2">
        <v>0</v>
      </c>
      <c r="K50" s="4" t="s">
        <v>3</v>
      </c>
      <c r="L50" s="6" t="s">
        <v>4</v>
      </c>
      <c r="M50" s="1" t="s">
        <v>100</v>
      </c>
      <c r="N50" s="1" t="s">
        <v>113</v>
      </c>
    </row>
    <row r="51" spans="2:14" x14ac:dyDescent="0.25">
      <c r="B51" s="3">
        <v>45869</v>
      </c>
      <c r="C51" s="6"/>
      <c r="D51" s="1"/>
      <c r="E51" s="1" t="s">
        <v>29</v>
      </c>
      <c r="F51" s="2" t="s">
        <v>30</v>
      </c>
      <c r="G51" s="2">
        <v>23</v>
      </c>
      <c r="H51" s="2">
        <v>0</v>
      </c>
      <c r="I51" s="2">
        <v>0</v>
      </c>
      <c r="J51" s="2">
        <v>23</v>
      </c>
      <c r="K51" s="4" t="s">
        <v>3</v>
      </c>
      <c r="L51" s="1" t="s">
        <v>4</v>
      </c>
      <c r="M51" s="1" t="s">
        <v>31</v>
      </c>
      <c r="N51" s="1" t="s">
        <v>111</v>
      </c>
    </row>
    <row r="52" spans="2:14" x14ac:dyDescent="0.25">
      <c r="B52" s="3">
        <v>45874</v>
      </c>
      <c r="C52" s="6" t="s">
        <v>101</v>
      </c>
      <c r="D52" s="1">
        <v>10030010</v>
      </c>
      <c r="E52" s="1" t="s">
        <v>102</v>
      </c>
      <c r="F52" s="2" t="s">
        <v>11</v>
      </c>
      <c r="G52" s="2">
        <v>1</v>
      </c>
      <c r="H52" s="2">
        <v>1</v>
      </c>
      <c r="I52" s="2">
        <v>0</v>
      </c>
      <c r="J52" s="2">
        <v>0</v>
      </c>
      <c r="K52" s="4" t="s">
        <v>3</v>
      </c>
      <c r="L52" s="1" t="s">
        <v>4</v>
      </c>
      <c r="M52" s="1" t="s">
        <v>103</v>
      </c>
      <c r="N52" s="1" t="s">
        <v>113</v>
      </c>
    </row>
    <row r="53" spans="2:14" x14ac:dyDescent="0.25">
      <c r="B53" s="3">
        <v>45908</v>
      </c>
      <c r="C53" s="6" t="s">
        <v>277</v>
      </c>
      <c r="D53" s="1">
        <v>10090008</v>
      </c>
      <c r="E53" s="1" t="s">
        <v>279</v>
      </c>
      <c r="F53" s="2" t="s">
        <v>25</v>
      </c>
      <c r="G53" s="34">
        <v>1</v>
      </c>
      <c r="H53" s="2">
        <v>1</v>
      </c>
      <c r="I53" s="2">
        <v>0</v>
      </c>
      <c r="J53" s="2">
        <v>0</v>
      </c>
      <c r="K53" s="4" t="s">
        <v>3</v>
      </c>
      <c r="L53" s="1" t="s">
        <v>4</v>
      </c>
      <c r="M53" s="1" t="s">
        <v>281</v>
      </c>
      <c r="N53" s="1" t="s">
        <v>113</v>
      </c>
    </row>
    <row r="54" spans="2:14" x14ac:dyDescent="0.25">
      <c r="B54" s="3">
        <v>45908</v>
      </c>
      <c r="C54" s="6" t="s">
        <v>306</v>
      </c>
      <c r="D54" s="1">
        <v>10060114</v>
      </c>
      <c r="E54" s="1" t="s">
        <v>280</v>
      </c>
      <c r="F54" s="2" t="s">
        <v>18</v>
      </c>
      <c r="G54" s="34">
        <v>1</v>
      </c>
      <c r="H54" s="2">
        <v>0</v>
      </c>
      <c r="I54" s="2">
        <v>1</v>
      </c>
      <c r="J54" s="2">
        <v>0</v>
      </c>
      <c r="K54" s="4" t="s">
        <v>3</v>
      </c>
      <c r="L54" s="1" t="s">
        <v>4</v>
      </c>
      <c r="M54" s="1" t="s">
        <v>19</v>
      </c>
      <c r="N54" s="1" t="s">
        <v>112</v>
      </c>
    </row>
    <row r="55" spans="2:14" x14ac:dyDescent="0.25">
      <c r="B55" s="3">
        <v>45917</v>
      </c>
      <c r="C55" s="6" t="s">
        <v>287</v>
      </c>
      <c r="D55" s="1">
        <v>1002</v>
      </c>
      <c r="E55" s="1" t="s">
        <v>288</v>
      </c>
      <c r="F55" s="2" t="s">
        <v>22</v>
      </c>
      <c r="G55" s="34">
        <v>1</v>
      </c>
      <c r="H55" s="2">
        <v>0</v>
      </c>
      <c r="I55" s="2">
        <v>1</v>
      </c>
      <c r="J55" s="2">
        <v>0</v>
      </c>
      <c r="K55" s="4" t="s">
        <v>3</v>
      </c>
      <c r="L55" s="1" t="s">
        <v>4</v>
      </c>
      <c r="M55" s="1" t="s">
        <v>289</v>
      </c>
      <c r="N55" s="1" t="s">
        <v>290</v>
      </c>
    </row>
    <row r="56" spans="2:14" x14ac:dyDescent="0.25">
      <c r="B56" s="3">
        <v>45946</v>
      </c>
      <c r="C56" s="6" t="s">
        <v>291</v>
      </c>
      <c r="D56" s="1">
        <v>10090045</v>
      </c>
      <c r="E56" s="1" t="s">
        <v>292</v>
      </c>
      <c r="F56" s="2" t="s">
        <v>25</v>
      </c>
      <c r="G56" s="34">
        <v>1</v>
      </c>
      <c r="H56" s="2">
        <v>1</v>
      </c>
      <c r="I56" s="2">
        <v>0</v>
      </c>
      <c r="J56" s="2">
        <v>0</v>
      </c>
      <c r="K56" s="4" t="s">
        <v>3</v>
      </c>
      <c r="L56" s="1" t="s">
        <v>4</v>
      </c>
      <c r="M56" s="1" t="s">
        <v>281</v>
      </c>
      <c r="N56" s="1" t="s">
        <v>293</v>
      </c>
    </row>
    <row r="57" spans="2:14" x14ac:dyDescent="0.25">
      <c r="B57" s="3">
        <v>45948</v>
      </c>
      <c r="C57" s="6" t="s">
        <v>294</v>
      </c>
      <c r="D57" s="1">
        <v>10130026</v>
      </c>
      <c r="E57" s="1" t="s">
        <v>358</v>
      </c>
      <c r="F57" s="2" t="s">
        <v>65</v>
      </c>
      <c r="G57" s="34">
        <v>1</v>
      </c>
      <c r="H57" s="2">
        <v>1</v>
      </c>
      <c r="I57" s="2">
        <v>0</v>
      </c>
      <c r="J57" s="2">
        <v>0</v>
      </c>
      <c r="K57" s="4" t="s">
        <v>34</v>
      </c>
      <c r="L57" s="1" t="s">
        <v>4</v>
      </c>
      <c r="M57" s="1" t="s">
        <v>302</v>
      </c>
      <c r="N57" s="1" t="s">
        <v>113</v>
      </c>
    </row>
    <row r="58" spans="2:14" x14ac:dyDescent="0.25">
      <c r="B58" s="3">
        <v>45948</v>
      </c>
      <c r="C58" s="6" t="s">
        <v>295</v>
      </c>
      <c r="D58" s="1">
        <v>10120104</v>
      </c>
      <c r="E58" s="1" t="s">
        <v>299</v>
      </c>
      <c r="F58" s="2" t="s">
        <v>57</v>
      </c>
      <c r="G58" s="34">
        <v>1</v>
      </c>
      <c r="H58" s="2">
        <v>0</v>
      </c>
      <c r="I58" s="2">
        <v>1</v>
      </c>
      <c r="J58" s="2">
        <v>0</v>
      </c>
      <c r="K58" s="4" t="s">
        <v>34</v>
      </c>
      <c r="L58" s="1" t="s">
        <v>4</v>
      </c>
      <c r="M58" s="1" t="s">
        <v>302</v>
      </c>
      <c r="N58" s="1" t="s">
        <v>112</v>
      </c>
    </row>
    <row r="59" spans="2:14" x14ac:dyDescent="0.25">
      <c r="B59" s="3">
        <v>45948</v>
      </c>
      <c r="C59" s="6" t="s">
        <v>296</v>
      </c>
      <c r="D59" s="1">
        <v>10120094</v>
      </c>
      <c r="E59" s="1" t="s">
        <v>300</v>
      </c>
      <c r="F59" s="2" t="s">
        <v>57</v>
      </c>
      <c r="G59" s="34">
        <v>1</v>
      </c>
      <c r="H59" s="2">
        <v>0</v>
      </c>
      <c r="I59" s="2">
        <v>1</v>
      </c>
      <c r="J59" s="2">
        <v>0</v>
      </c>
      <c r="K59" s="4" t="s">
        <v>34</v>
      </c>
      <c r="L59" s="1" t="s">
        <v>4</v>
      </c>
      <c r="M59" s="1" t="s">
        <v>302</v>
      </c>
      <c r="N59" s="1" t="s">
        <v>112</v>
      </c>
    </row>
    <row r="60" spans="2:14" x14ac:dyDescent="0.25">
      <c r="B60" s="3">
        <v>45948</v>
      </c>
      <c r="C60" s="6" t="s">
        <v>297</v>
      </c>
      <c r="D60" s="1">
        <v>10130006</v>
      </c>
      <c r="E60" s="1" t="s">
        <v>301</v>
      </c>
      <c r="F60" s="2" t="s">
        <v>57</v>
      </c>
      <c r="G60" s="34">
        <v>1</v>
      </c>
      <c r="H60" s="2">
        <v>1</v>
      </c>
      <c r="I60" s="2">
        <v>0</v>
      </c>
      <c r="J60" s="2">
        <v>0</v>
      </c>
      <c r="K60" s="4" t="s">
        <v>34</v>
      </c>
      <c r="L60" s="1" t="s">
        <v>4</v>
      </c>
      <c r="M60" s="1" t="s">
        <v>302</v>
      </c>
      <c r="N60" s="1" t="s">
        <v>113</v>
      </c>
    </row>
    <row r="61" spans="2:14" x14ac:dyDescent="0.25">
      <c r="B61" s="3">
        <v>45948</v>
      </c>
      <c r="C61" s="6" t="s">
        <v>298</v>
      </c>
      <c r="D61" s="1">
        <v>10120094</v>
      </c>
      <c r="E61" s="1" t="s">
        <v>300</v>
      </c>
      <c r="F61" s="2" t="s">
        <v>57</v>
      </c>
      <c r="G61" s="34">
        <v>1</v>
      </c>
      <c r="H61" s="2">
        <v>1</v>
      </c>
      <c r="I61" s="2">
        <v>0</v>
      </c>
      <c r="J61" s="2">
        <v>0</v>
      </c>
      <c r="K61" s="4" t="s">
        <v>34</v>
      </c>
      <c r="L61" s="1" t="s">
        <v>4</v>
      </c>
      <c r="M61" s="1" t="s">
        <v>302</v>
      </c>
      <c r="N61" s="1" t="s">
        <v>113</v>
      </c>
    </row>
    <row r="62" spans="2:14" x14ac:dyDescent="0.25">
      <c r="B62" s="3">
        <v>45954</v>
      </c>
      <c r="C62" s="6" t="s">
        <v>305</v>
      </c>
      <c r="D62" s="1">
        <v>10060026</v>
      </c>
      <c r="E62" s="1" t="s">
        <v>303</v>
      </c>
      <c r="F62" s="2" t="s">
        <v>18</v>
      </c>
      <c r="G62" s="34">
        <v>1</v>
      </c>
      <c r="H62" s="2">
        <v>1</v>
      </c>
      <c r="I62" s="2">
        <v>0</v>
      </c>
      <c r="J62" s="2">
        <v>0</v>
      </c>
      <c r="K62" s="4" t="s">
        <v>3</v>
      </c>
      <c r="L62" s="1" t="s">
        <v>4</v>
      </c>
      <c r="M62" s="1" t="s">
        <v>281</v>
      </c>
      <c r="N62" s="1" t="s">
        <v>293</v>
      </c>
    </row>
    <row r="63" spans="2:14" x14ac:dyDescent="0.25">
      <c r="B63" s="3">
        <v>45954</v>
      </c>
      <c r="C63" s="6" t="s">
        <v>307</v>
      </c>
      <c r="D63" s="1">
        <v>10060069</v>
      </c>
      <c r="E63" s="1" t="s">
        <v>304</v>
      </c>
      <c r="F63" s="2" t="s">
        <v>18</v>
      </c>
      <c r="G63" s="34">
        <v>1</v>
      </c>
      <c r="H63" s="2">
        <v>1</v>
      </c>
      <c r="I63" s="2">
        <v>0</v>
      </c>
      <c r="J63" s="2">
        <v>0</v>
      </c>
      <c r="K63" s="4" t="s">
        <v>3</v>
      </c>
      <c r="L63" s="1" t="s">
        <v>4</v>
      </c>
      <c r="M63" s="1" t="s">
        <v>19</v>
      </c>
      <c r="N63" s="1" t="s">
        <v>113</v>
      </c>
    </row>
    <row r="64" spans="2:14" x14ac:dyDescent="0.25">
      <c r="B64" s="18">
        <v>45960</v>
      </c>
      <c r="C64" s="6" t="s">
        <v>313</v>
      </c>
      <c r="D64" s="1">
        <v>10360001</v>
      </c>
      <c r="E64" s="1" t="s">
        <v>309</v>
      </c>
      <c r="F64" s="2" t="s">
        <v>309</v>
      </c>
      <c r="G64" s="34">
        <v>1</v>
      </c>
      <c r="H64" s="2">
        <v>1</v>
      </c>
      <c r="I64" s="2">
        <v>0</v>
      </c>
      <c r="J64" s="2">
        <v>0</v>
      </c>
      <c r="K64" s="4" t="s">
        <v>3</v>
      </c>
      <c r="L64" s="1" t="s">
        <v>4</v>
      </c>
      <c r="M64" s="1" t="s">
        <v>50</v>
      </c>
      <c r="N64" s="1" t="s">
        <v>113</v>
      </c>
    </row>
    <row r="65" spans="2:14" x14ac:dyDescent="0.25">
      <c r="B65" s="18">
        <v>45960</v>
      </c>
      <c r="C65" s="6" t="s">
        <v>314</v>
      </c>
      <c r="D65" s="1">
        <v>10070013</v>
      </c>
      <c r="E65" s="1" t="s">
        <v>310</v>
      </c>
      <c r="F65" s="2" t="s">
        <v>49</v>
      </c>
      <c r="G65" s="34">
        <v>1</v>
      </c>
      <c r="H65" s="2">
        <v>1</v>
      </c>
      <c r="I65" s="2">
        <v>0</v>
      </c>
      <c r="J65" s="2">
        <v>0</v>
      </c>
      <c r="K65" s="4" t="s">
        <v>3</v>
      </c>
      <c r="L65" s="1" t="s">
        <v>4</v>
      </c>
      <c r="M65" s="1" t="s">
        <v>50</v>
      </c>
      <c r="N65" s="1" t="s">
        <v>113</v>
      </c>
    </row>
    <row r="66" spans="2:14" x14ac:dyDescent="0.25">
      <c r="B66" s="18">
        <v>45960</v>
      </c>
      <c r="C66" s="6" t="s">
        <v>315</v>
      </c>
      <c r="D66" s="1">
        <v>10100021</v>
      </c>
      <c r="E66" s="1" t="s">
        <v>311</v>
      </c>
      <c r="F66" s="2" t="s">
        <v>49</v>
      </c>
      <c r="G66" s="34">
        <v>1</v>
      </c>
      <c r="H66" s="2">
        <v>1</v>
      </c>
      <c r="I66" s="2">
        <v>0</v>
      </c>
      <c r="J66" s="2">
        <v>0</v>
      </c>
      <c r="K66" s="4" t="s">
        <v>3</v>
      </c>
      <c r="L66" s="1" t="s">
        <v>4</v>
      </c>
      <c r="M66" s="1" t="s">
        <v>50</v>
      </c>
      <c r="N66" s="1" t="s">
        <v>113</v>
      </c>
    </row>
    <row r="67" spans="2:14" x14ac:dyDescent="0.25">
      <c r="B67" s="18">
        <v>45960</v>
      </c>
      <c r="C67" s="6" t="s">
        <v>316</v>
      </c>
      <c r="D67" s="1">
        <v>10070008</v>
      </c>
      <c r="E67" s="1" t="s">
        <v>312</v>
      </c>
      <c r="F67" s="2" t="s">
        <v>49</v>
      </c>
      <c r="G67" s="34">
        <v>1</v>
      </c>
      <c r="H67" s="2">
        <v>1</v>
      </c>
      <c r="I67" s="2">
        <v>0</v>
      </c>
      <c r="J67" s="2">
        <v>0</v>
      </c>
      <c r="K67" s="4" t="s">
        <v>3</v>
      </c>
      <c r="L67" s="1" t="s">
        <v>4</v>
      </c>
      <c r="M67" s="1" t="s">
        <v>50</v>
      </c>
      <c r="N67" s="1" t="s">
        <v>113</v>
      </c>
    </row>
    <row r="68" spans="2:14" x14ac:dyDescent="0.25">
      <c r="B68" s="3">
        <v>45969</v>
      </c>
      <c r="C68" s="6" t="s">
        <v>317</v>
      </c>
      <c r="D68" s="1">
        <v>10140003</v>
      </c>
      <c r="E68" s="1" t="s">
        <v>326</v>
      </c>
      <c r="F68" s="2" t="s">
        <v>2</v>
      </c>
      <c r="G68" s="34">
        <v>1</v>
      </c>
      <c r="H68" s="2">
        <v>1</v>
      </c>
      <c r="I68" s="2">
        <v>0</v>
      </c>
      <c r="J68" s="2">
        <v>0</v>
      </c>
      <c r="K68" s="4" t="s">
        <v>335</v>
      </c>
      <c r="L68" s="1" t="s">
        <v>4</v>
      </c>
      <c r="M68" s="1" t="s">
        <v>5</v>
      </c>
      <c r="N68" s="1" t="s">
        <v>113</v>
      </c>
    </row>
    <row r="69" spans="2:14" x14ac:dyDescent="0.25">
      <c r="B69" s="3">
        <v>45974</v>
      </c>
      <c r="C69" s="6" t="s">
        <v>318</v>
      </c>
      <c r="D69" s="1">
        <v>10020041</v>
      </c>
      <c r="E69" s="1" t="s">
        <v>327</v>
      </c>
      <c r="F69" s="2" t="s">
        <v>22</v>
      </c>
      <c r="G69" s="34">
        <v>1</v>
      </c>
      <c r="H69" s="2">
        <v>1</v>
      </c>
      <c r="I69" s="2">
        <v>0</v>
      </c>
      <c r="J69" s="2">
        <v>0</v>
      </c>
      <c r="K69" s="4" t="s">
        <v>3</v>
      </c>
      <c r="L69" s="1" t="s">
        <v>4</v>
      </c>
      <c r="M69" s="1" t="s">
        <v>19</v>
      </c>
      <c r="N69" s="1" t="s">
        <v>113</v>
      </c>
    </row>
    <row r="70" spans="2:14" x14ac:dyDescent="0.25">
      <c r="B70" s="3">
        <v>45974</v>
      </c>
      <c r="C70" s="6" t="s">
        <v>319</v>
      </c>
      <c r="D70" s="1">
        <v>10090003</v>
      </c>
      <c r="E70" s="1" t="s">
        <v>328</v>
      </c>
      <c r="F70" s="2" t="s">
        <v>25</v>
      </c>
      <c r="G70" s="34">
        <v>1</v>
      </c>
      <c r="H70" s="2">
        <v>1</v>
      </c>
      <c r="I70" s="2">
        <v>0</v>
      </c>
      <c r="J70" s="2">
        <v>0</v>
      </c>
      <c r="K70" s="4" t="s">
        <v>3</v>
      </c>
      <c r="L70" s="1" t="s">
        <v>4</v>
      </c>
      <c r="M70" s="1" t="s">
        <v>19</v>
      </c>
      <c r="N70" s="1" t="s">
        <v>113</v>
      </c>
    </row>
    <row r="71" spans="2:14" x14ac:dyDescent="0.25">
      <c r="B71" s="3">
        <v>45974</v>
      </c>
      <c r="C71" s="6" t="s">
        <v>320</v>
      </c>
      <c r="D71" s="1">
        <v>10090037</v>
      </c>
      <c r="E71" s="1" t="s">
        <v>329</v>
      </c>
      <c r="F71" s="2" t="s">
        <v>25</v>
      </c>
      <c r="G71" s="34">
        <v>1</v>
      </c>
      <c r="H71" s="2">
        <v>1</v>
      </c>
      <c r="I71" s="2">
        <v>0</v>
      </c>
      <c r="J71" s="2">
        <v>0</v>
      </c>
      <c r="K71" s="4" t="s">
        <v>3</v>
      </c>
      <c r="L71" s="1" t="s">
        <v>4</v>
      </c>
      <c r="M71" s="1" t="s">
        <v>19</v>
      </c>
      <c r="N71" s="1" t="s">
        <v>113</v>
      </c>
    </row>
    <row r="72" spans="2:14" x14ac:dyDescent="0.25">
      <c r="B72" s="3">
        <v>45974</v>
      </c>
      <c r="C72" s="6" t="s">
        <v>321</v>
      </c>
      <c r="D72" s="1">
        <v>10090058</v>
      </c>
      <c r="E72" s="1" t="s">
        <v>330</v>
      </c>
      <c r="F72" s="2" t="s">
        <v>25</v>
      </c>
      <c r="G72" s="34">
        <v>1</v>
      </c>
      <c r="H72" s="2">
        <v>1</v>
      </c>
      <c r="I72" s="2">
        <v>0</v>
      </c>
      <c r="J72" s="2">
        <v>0</v>
      </c>
      <c r="K72" s="4" t="s">
        <v>335</v>
      </c>
      <c r="L72" s="1" t="s">
        <v>4</v>
      </c>
      <c r="M72" s="1" t="s">
        <v>19</v>
      </c>
      <c r="N72" s="1" t="s">
        <v>113</v>
      </c>
    </row>
    <row r="73" spans="2:14" x14ac:dyDescent="0.25">
      <c r="B73" s="3">
        <v>45974</v>
      </c>
      <c r="C73" s="6" t="s">
        <v>322</v>
      </c>
      <c r="D73" s="1">
        <v>10080095</v>
      </c>
      <c r="E73" s="1" t="s">
        <v>331</v>
      </c>
      <c r="F73" s="2" t="s">
        <v>96</v>
      </c>
      <c r="G73" s="34">
        <v>1</v>
      </c>
      <c r="H73" s="2">
        <v>0</v>
      </c>
      <c r="I73" s="2">
        <v>1</v>
      </c>
      <c r="J73" s="2">
        <v>0</v>
      </c>
      <c r="K73" s="4" t="s">
        <v>335</v>
      </c>
      <c r="L73" s="1" t="s">
        <v>4</v>
      </c>
      <c r="M73" s="1" t="s">
        <v>336</v>
      </c>
      <c r="N73" s="1" t="s">
        <v>112</v>
      </c>
    </row>
    <row r="74" spans="2:14" x14ac:dyDescent="0.25">
      <c r="B74" s="3">
        <v>45974</v>
      </c>
      <c r="C74" s="6" t="s">
        <v>323</v>
      </c>
      <c r="D74" s="1">
        <v>10080072</v>
      </c>
      <c r="E74" s="1" t="s">
        <v>332</v>
      </c>
      <c r="F74" s="2" t="s">
        <v>96</v>
      </c>
      <c r="G74" s="34">
        <v>1</v>
      </c>
      <c r="H74" s="2">
        <v>0</v>
      </c>
      <c r="I74" s="2">
        <v>1</v>
      </c>
      <c r="J74" s="2">
        <v>0</v>
      </c>
      <c r="K74" s="4" t="s">
        <v>335</v>
      </c>
      <c r="L74" s="1" t="s">
        <v>4</v>
      </c>
      <c r="M74" s="1" t="s">
        <v>336</v>
      </c>
      <c r="N74" s="1" t="s">
        <v>112</v>
      </c>
    </row>
    <row r="75" spans="2:14" x14ac:dyDescent="0.25">
      <c r="B75" s="3">
        <v>45974</v>
      </c>
      <c r="C75" s="6" t="s">
        <v>324</v>
      </c>
      <c r="D75" s="1">
        <v>10080106</v>
      </c>
      <c r="E75" s="1" t="s">
        <v>333</v>
      </c>
      <c r="F75" s="2" t="s">
        <v>96</v>
      </c>
      <c r="G75" s="34">
        <v>1</v>
      </c>
      <c r="H75" s="2">
        <v>0</v>
      </c>
      <c r="I75" s="2">
        <v>1</v>
      </c>
      <c r="J75" s="2">
        <v>0</v>
      </c>
      <c r="K75" s="4" t="s">
        <v>335</v>
      </c>
      <c r="L75" s="1" t="s">
        <v>4</v>
      </c>
      <c r="M75" s="1" t="s">
        <v>336</v>
      </c>
      <c r="N75" s="1" t="s">
        <v>112</v>
      </c>
    </row>
    <row r="76" spans="2:14" x14ac:dyDescent="0.25">
      <c r="B76" s="3">
        <v>45974</v>
      </c>
      <c r="C76" s="6" t="s">
        <v>325</v>
      </c>
      <c r="D76" s="1">
        <v>10010076</v>
      </c>
      <c r="E76" s="1" t="s">
        <v>334</v>
      </c>
      <c r="F76" s="2" t="s">
        <v>33</v>
      </c>
      <c r="G76" s="34">
        <v>1</v>
      </c>
      <c r="H76" s="2">
        <v>1</v>
      </c>
      <c r="I76" s="2">
        <v>0</v>
      </c>
      <c r="J76" s="2">
        <v>0</v>
      </c>
      <c r="K76" s="4" t="s">
        <v>335</v>
      </c>
      <c r="L76" s="1" t="s">
        <v>4</v>
      </c>
      <c r="M76" s="1" t="s">
        <v>336</v>
      </c>
      <c r="N76" s="1" t="s">
        <v>113</v>
      </c>
    </row>
    <row r="77" spans="2:14" x14ac:dyDescent="0.25">
      <c r="B77" s="3">
        <v>45975</v>
      </c>
      <c r="C77" s="6" t="s">
        <v>346</v>
      </c>
      <c r="D77" s="1">
        <v>10140173</v>
      </c>
      <c r="E77" s="1" t="s">
        <v>348</v>
      </c>
      <c r="F77" s="2" t="s">
        <v>2</v>
      </c>
      <c r="G77" s="34">
        <v>1</v>
      </c>
      <c r="H77" s="2">
        <v>0</v>
      </c>
      <c r="I77" s="2">
        <v>1</v>
      </c>
      <c r="J77" s="2">
        <v>0</v>
      </c>
      <c r="K77" s="4" t="s">
        <v>335</v>
      </c>
      <c r="L77" s="1" t="s">
        <v>4</v>
      </c>
      <c r="M77" s="1" t="s">
        <v>350</v>
      </c>
      <c r="N77" s="1" t="s">
        <v>113</v>
      </c>
    </row>
    <row r="78" spans="2:14" x14ac:dyDescent="0.25">
      <c r="B78" s="3">
        <v>45975</v>
      </c>
      <c r="C78" s="6" t="s">
        <v>347</v>
      </c>
      <c r="D78" s="1">
        <v>10140159</v>
      </c>
      <c r="E78" s="1" t="s">
        <v>349</v>
      </c>
      <c r="F78" s="2" t="s">
        <v>2</v>
      </c>
      <c r="G78" s="34">
        <v>1</v>
      </c>
      <c r="H78" s="2">
        <v>0</v>
      </c>
      <c r="I78" s="2">
        <v>1</v>
      </c>
      <c r="J78" s="2">
        <v>0</v>
      </c>
      <c r="K78" s="4" t="s">
        <v>335</v>
      </c>
      <c r="L78" s="1" t="s">
        <v>4</v>
      </c>
      <c r="M78" s="1" t="s">
        <v>350</v>
      </c>
      <c r="N78" s="1" t="s">
        <v>113</v>
      </c>
    </row>
    <row r="79" spans="2:14" x14ac:dyDescent="0.25">
      <c r="B79" s="3">
        <v>45989</v>
      </c>
      <c r="C79" s="6" t="s">
        <v>351</v>
      </c>
      <c r="D79" s="1">
        <v>10130093</v>
      </c>
      <c r="E79" s="1" t="s">
        <v>355</v>
      </c>
      <c r="F79" s="2" t="s">
        <v>65</v>
      </c>
      <c r="G79" s="34">
        <v>1</v>
      </c>
      <c r="H79" s="2">
        <v>1</v>
      </c>
      <c r="I79" s="2">
        <v>0</v>
      </c>
      <c r="J79" s="2">
        <v>0</v>
      </c>
      <c r="K79" s="4" t="s">
        <v>335</v>
      </c>
      <c r="L79" s="1" t="s">
        <v>4</v>
      </c>
      <c r="M79" s="1" t="s">
        <v>70</v>
      </c>
      <c r="N79" s="1" t="s">
        <v>113</v>
      </c>
    </row>
    <row r="80" spans="2:14" x14ac:dyDescent="0.25">
      <c r="B80" s="3">
        <v>45989</v>
      </c>
      <c r="C80" s="6" t="s">
        <v>352</v>
      </c>
      <c r="D80" s="1">
        <v>10130047</v>
      </c>
      <c r="E80" s="1" t="s">
        <v>356</v>
      </c>
      <c r="F80" s="2" t="s">
        <v>65</v>
      </c>
      <c r="G80" s="34">
        <v>1</v>
      </c>
      <c r="H80" s="2">
        <v>1</v>
      </c>
      <c r="I80" s="2">
        <v>0</v>
      </c>
      <c r="J80" s="2">
        <v>0</v>
      </c>
      <c r="K80" s="4" t="s">
        <v>335</v>
      </c>
      <c r="L80" s="1" t="s">
        <v>4</v>
      </c>
      <c r="M80" s="1" t="s">
        <v>70</v>
      </c>
      <c r="N80" s="1" t="s">
        <v>113</v>
      </c>
    </row>
    <row r="81" spans="2:14" x14ac:dyDescent="0.25">
      <c r="B81" s="3">
        <v>45995</v>
      </c>
      <c r="C81" s="6" t="s">
        <v>361</v>
      </c>
      <c r="D81" s="1">
        <v>1001</v>
      </c>
      <c r="E81" s="1" t="s">
        <v>33</v>
      </c>
      <c r="F81" s="2" t="s">
        <v>33</v>
      </c>
      <c r="G81" s="34">
        <v>1</v>
      </c>
      <c r="H81" s="2">
        <v>0</v>
      </c>
      <c r="I81" s="2">
        <v>1</v>
      </c>
      <c r="J81" s="2">
        <v>0</v>
      </c>
      <c r="K81" s="4" t="s">
        <v>335</v>
      </c>
      <c r="L81" s="1" t="s">
        <v>4</v>
      </c>
      <c r="M81" s="1" t="s">
        <v>367</v>
      </c>
      <c r="N81" s="1" t="s">
        <v>116</v>
      </c>
    </row>
    <row r="82" spans="2:14" x14ac:dyDescent="0.25">
      <c r="B82" s="3">
        <v>45995</v>
      </c>
      <c r="C82" s="6" t="s">
        <v>362</v>
      </c>
      <c r="D82" s="1">
        <v>10110171</v>
      </c>
      <c r="E82" s="1" t="s">
        <v>368</v>
      </c>
      <c r="F82" s="2" t="s">
        <v>369</v>
      </c>
      <c r="G82" s="34">
        <v>1</v>
      </c>
      <c r="H82" s="2">
        <v>0</v>
      </c>
      <c r="I82" s="2">
        <v>1</v>
      </c>
      <c r="J82" s="2">
        <v>0</v>
      </c>
      <c r="K82" s="4" t="s">
        <v>335</v>
      </c>
      <c r="L82" s="1" t="s">
        <v>4</v>
      </c>
      <c r="M82" s="1" t="s">
        <v>367</v>
      </c>
      <c r="N82" s="1" t="s">
        <v>112</v>
      </c>
    </row>
    <row r="83" spans="2:14" x14ac:dyDescent="0.25">
      <c r="B83" s="3">
        <v>45995</v>
      </c>
      <c r="C83" s="6" t="s">
        <v>363</v>
      </c>
      <c r="D83" s="1">
        <v>10550003</v>
      </c>
      <c r="E83" s="1" t="s">
        <v>370</v>
      </c>
      <c r="F83" s="2" t="s">
        <v>371</v>
      </c>
      <c r="G83" s="34">
        <v>1</v>
      </c>
      <c r="H83" s="2">
        <v>0</v>
      </c>
      <c r="I83" s="2">
        <v>1</v>
      </c>
      <c r="J83" s="2">
        <v>0</v>
      </c>
      <c r="K83" s="4" t="s">
        <v>335</v>
      </c>
      <c r="L83" s="1" t="s">
        <v>4</v>
      </c>
      <c r="M83" s="1" t="s">
        <v>367</v>
      </c>
      <c r="N83" s="1" t="s">
        <v>112</v>
      </c>
    </row>
    <row r="84" spans="2:14" x14ac:dyDescent="0.25">
      <c r="B84" s="3">
        <v>45995</v>
      </c>
      <c r="C84" s="6" t="s">
        <v>364</v>
      </c>
      <c r="D84" s="1">
        <v>10110110</v>
      </c>
      <c r="E84" s="1" t="s">
        <v>372</v>
      </c>
      <c r="F84" s="2" t="s">
        <v>369</v>
      </c>
      <c r="G84" s="34">
        <v>1</v>
      </c>
      <c r="H84" s="2">
        <v>0</v>
      </c>
      <c r="I84" s="2">
        <v>1</v>
      </c>
      <c r="J84" s="2">
        <v>0</v>
      </c>
      <c r="K84" s="4" t="s">
        <v>335</v>
      </c>
      <c r="L84" s="1" t="s">
        <v>4</v>
      </c>
      <c r="M84" s="1" t="s">
        <v>367</v>
      </c>
      <c r="N84" s="1" t="s">
        <v>112</v>
      </c>
    </row>
    <row r="85" spans="2:14" x14ac:dyDescent="0.25">
      <c r="B85" s="3">
        <v>45995</v>
      </c>
      <c r="C85" s="6" t="s">
        <v>493</v>
      </c>
      <c r="D85" s="1">
        <v>10110094</v>
      </c>
      <c r="E85" s="1" t="s">
        <v>373</v>
      </c>
      <c r="F85" s="2" t="s">
        <v>369</v>
      </c>
      <c r="G85" s="34">
        <v>1</v>
      </c>
      <c r="H85" s="2">
        <v>0</v>
      </c>
      <c r="I85" s="2">
        <v>1</v>
      </c>
      <c r="J85" s="2">
        <v>0</v>
      </c>
      <c r="K85" s="4" t="s">
        <v>335</v>
      </c>
      <c r="L85" s="1" t="s">
        <v>4</v>
      </c>
      <c r="M85" s="1" t="s">
        <v>367</v>
      </c>
      <c r="N85" s="1" t="s">
        <v>112</v>
      </c>
    </row>
    <row r="86" spans="2:14" x14ac:dyDescent="0.25">
      <c r="B86" s="3">
        <v>45995</v>
      </c>
      <c r="C86" s="6" t="s">
        <v>366</v>
      </c>
      <c r="D86" s="1">
        <v>10110146</v>
      </c>
      <c r="E86" s="1" t="s">
        <v>374</v>
      </c>
      <c r="F86" s="2" t="s">
        <v>369</v>
      </c>
      <c r="G86" s="34">
        <v>1</v>
      </c>
      <c r="H86" s="2">
        <v>0</v>
      </c>
      <c r="I86" s="2">
        <v>1</v>
      </c>
      <c r="J86" s="2">
        <v>0</v>
      </c>
      <c r="K86" s="4" t="s">
        <v>335</v>
      </c>
      <c r="L86" s="1" t="s">
        <v>4</v>
      </c>
      <c r="M86" s="1" t="s">
        <v>367</v>
      </c>
      <c r="N86" s="1" t="s">
        <v>112</v>
      </c>
    </row>
    <row r="87" spans="2:14" x14ac:dyDescent="0.25">
      <c r="B87" s="3">
        <v>46001</v>
      </c>
      <c r="C87" s="6" t="s">
        <v>375</v>
      </c>
      <c r="D87" s="1">
        <v>1012</v>
      </c>
      <c r="E87" s="1" t="s">
        <v>57</v>
      </c>
      <c r="F87" s="2" t="s">
        <v>57</v>
      </c>
      <c r="G87" s="34">
        <v>1</v>
      </c>
      <c r="H87" s="2">
        <v>0</v>
      </c>
      <c r="I87" s="2">
        <v>1</v>
      </c>
      <c r="J87" s="2">
        <v>0</v>
      </c>
      <c r="K87" s="4" t="s">
        <v>335</v>
      </c>
      <c r="L87" s="1" t="s">
        <v>4</v>
      </c>
      <c r="M87" s="1" t="s">
        <v>376</v>
      </c>
      <c r="N87" s="1" t="s">
        <v>116</v>
      </c>
    </row>
    <row r="88" spans="2:14" x14ac:dyDescent="0.25">
      <c r="B88" s="3">
        <v>46004</v>
      </c>
      <c r="C88" s="6" t="s">
        <v>377</v>
      </c>
      <c r="D88" s="1">
        <v>10140132</v>
      </c>
      <c r="E88" s="1" t="s">
        <v>382</v>
      </c>
      <c r="F88" s="2" t="s">
        <v>2</v>
      </c>
      <c r="G88" s="34">
        <v>1</v>
      </c>
      <c r="H88" s="34">
        <v>1</v>
      </c>
      <c r="I88" s="2">
        <v>0</v>
      </c>
      <c r="J88" s="2">
        <v>0</v>
      </c>
      <c r="K88" s="4" t="s">
        <v>335</v>
      </c>
      <c r="L88" s="1" t="s">
        <v>4</v>
      </c>
      <c r="M88" s="1" t="s">
        <v>42</v>
      </c>
      <c r="N88" s="1" t="s">
        <v>113</v>
      </c>
    </row>
    <row r="89" spans="2:14" x14ac:dyDescent="0.25">
      <c r="B89" s="3">
        <v>46004</v>
      </c>
      <c r="C89" s="6" t="s">
        <v>278</v>
      </c>
      <c r="D89" s="1">
        <v>10140054</v>
      </c>
      <c r="E89" s="1" t="s">
        <v>379</v>
      </c>
      <c r="F89" s="2" t="s">
        <v>2</v>
      </c>
      <c r="G89" s="34">
        <v>1</v>
      </c>
      <c r="H89" s="34">
        <v>1</v>
      </c>
      <c r="I89" s="2">
        <v>0</v>
      </c>
      <c r="J89" s="2">
        <v>0</v>
      </c>
      <c r="K89" s="4" t="s">
        <v>335</v>
      </c>
      <c r="L89" s="1" t="s">
        <v>4</v>
      </c>
      <c r="M89" s="1" t="s">
        <v>42</v>
      </c>
      <c r="N89" s="1" t="s">
        <v>113</v>
      </c>
    </row>
    <row r="90" spans="2:14" x14ac:dyDescent="0.25">
      <c r="B90" s="3">
        <v>46004</v>
      </c>
      <c r="C90" s="6" t="s">
        <v>275</v>
      </c>
      <c r="D90" s="1">
        <v>10140068</v>
      </c>
      <c r="E90" s="1" t="s">
        <v>381</v>
      </c>
      <c r="F90" s="2" t="s">
        <v>2</v>
      </c>
      <c r="G90" s="34">
        <v>1</v>
      </c>
      <c r="H90" s="34">
        <v>1</v>
      </c>
      <c r="I90" s="2">
        <v>0</v>
      </c>
      <c r="J90" s="2">
        <v>0</v>
      </c>
      <c r="K90" s="4" t="s">
        <v>335</v>
      </c>
      <c r="L90" s="1" t="s">
        <v>4</v>
      </c>
      <c r="M90" s="1" t="s">
        <v>42</v>
      </c>
      <c r="N90" s="1" t="s">
        <v>113</v>
      </c>
    </row>
    <row r="91" spans="2:14" x14ac:dyDescent="0.25">
      <c r="B91" s="3">
        <v>46004</v>
      </c>
      <c r="C91" s="6" t="s">
        <v>378</v>
      </c>
      <c r="D91" s="1">
        <v>10140098</v>
      </c>
      <c r="E91" s="1" t="s">
        <v>380</v>
      </c>
      <c r="F91" s="2" t="s">
        <v>2</v>
      </c>
      <c r="G91" s="34">
        <v>1</v>
      </c>
      <c r="H91" s="34">
        <v>1</v>
      </c>
      <c r="I91" s="2">
        <v>0</v>
      </c>
      <c r="J91" s="2">
        <v>0</v>
      </c>
      <c r="K91" s="4" t="s">
        <v>335</v>
      </c>
      <c r="L91" s="1" t="s">
        <v>4</v>
      </c>
      <c r="M91" s="1" t="s">
        <v>42</v>
      </c>
      <c r="N91" s="1" t="s">
        <v>113</v>
      </c>
    </row>
    <row r="92" spans="2:14" x14ac:dyDescent="0.25">
      <c r="B92" s="3">
        <v>46006</v>
      </c>
      <c r="C92" s="6" t="s">
        <v>385</v>
      </c>
      <c r="D92" s="1">
        <v>10090002</v>
      </c>
      <c r="E92" s="1" t="s">
        <v>383</v>
      </c>
      <c r="F92" s="2" t="s">
        <v>25</v>
      </c>
      <c r="G92" s="34">
        <v>1</v>
      </c>
      <c r="H92" s="34">
        <v>1</v>
      </c>
      <c r="I92" s="2">
        <v>0</v>
      </c>
      <c r="J92" s="2">
        <v>0</v>
      </c>
      <c r="K92" s="4" t="s">
        <v>335</v>
      </c>
      <c r="L92" s="1" t="s">
        <v>4</v>
      </c>
      <c r="M92" s="1" t="s">
        <v>387</v>
      </c>
      <c r="N92" s="1" t="s">
        <v>113</v>
      </c>
    </row>
    <row r="93" spans="2:14" x14ac:dyDescent="0.25">
      <c r="B93" s="3">
        <v>46006</v>
      </c>
      <c r="C93" s="6" t="s">
        <v>386</v>
      </c>
      <c r="D93" s="1">
        <v>10060011</v>
      </c>
      <c r="E93" s="1" t="s">
        <v>384</v>
      </c>
      <c r="F93" s="2" t="s">
        <v>18</v>
      </c>
      <c r="G93" s="34">
        <v>1</v>
      </c>
      <c r="H93" s="34">
        <v>1</v>
      </c>
      <c r="I93" s="2">
        <v>0</v>
      </c>
      <c r="J93" s="2">
        <v>0</v>
      </c>
      <c r="K93" s="4" t="s">
        <v>335</v>
      </c>
      <c r="L93" s="1" t="s">
        <v>4</v>
      </c>
      <c r="M93" s="1" t="s">
        <v>19</v>
      </c>
      <c r="N93" s="1" t="s">
        <v>113</v>
      </c>
    </row>
    <row r="94" spans="2:14" x14ac:dyDescent="0.25">
      <c r="B94" s="3">
        <v>46013</v>
      </c>
      <c r="C94" s="6" t="s">
        <v>388</v>
      </c>
      <c r="D94" s="1">
        <v>10090066</v>
      </c>
      <c r="E94" s="1" t="s">
        <v>391</v>
      </c>
      <c r="F94" s="2" t="s">
        <v>25</v>
      </c>
      <c r="G94" s="34">
        <v>1</v>
      </c>
      <c r="H94" s="2">
        <v>0</v>
      </c>
      <c r="I94" s="2">
        <v>1</v>
      </c>
      <c r="J94" s="2">
        <v>0</v>
      </c>
      <c r="K94" s="4" t="s">
        <v>335</v>
      </c>
      <c r="L94" s="1" t="s">
        <v>4</v>
      </c>
      <c r="M94" s="1" t="s">
        <v>19</v>
      </c>
      <c r="N94" s="1" t="s">
        <v>112</v>
      </c>
    </row>
    <row r="95" spans="2:14" x14ac:dyDescent="0.25">
      <c r="B95" s="3">
        <v>46013</v>
      </c>
      <c r="C95" s="6" t="s">
        <v>389</v>
      </c>
      <c r="D95" s="1">
        <v>10090059</v>
      </c>
      <c r="E95" s="1" t="s">
        <v>392</v>
      </c>
      <c r="F95" s="2" t="s">
        <v>25</v>
      </c>
      <c r="G95" s="34">
        <v>1</v>
      </c>
      <c r="H95" s="2">
        <v>0</v>
      </c>
      <c r="I95" s="2">
        <v>1</v>
      </c>
      <c r="J95" s="2">
        <v>0</v>
      </c>
      <c r="K95" s="4" t="s">
        <v>335</v>
      </c>
      <c r="L95" s="1" t="s">
        <v>4</v>
      </c>
      <c r="M95" s="1" t="s">
        <v>19</v>
      </c>
      <c r="N95" s="1" t="s">
        <v>112</v>
      </c>
    </row>
    <row r="96" spans="2:14" x14ac:dyDescent="0.25">
      <c r="B96" s="3">
        <v>46013</v>
      </c>
      <c r="C96" s="6" t="s">
        <v>390</v>
      </c>
      <c r="D96" s="1">
        <v>10090060</v>
      </c>
      <c r="E96" s="1" t="s">
        <v>393</v>
      </c>
      <c r="F96" s="2" t="s">
        <v>25</v>
      </c>
      <c r="G96" s="34">
        <v>1</v>
      </c>
      <c r="H96" s="2">
        <v>0</v>
      </c>
      <c r="I96" s="2">
        <v>1</v>
      </c>
      <c r="J96" s="2">
        <v>0</v>
      </c>
      <c r="K96" s="4" t="s">
        <v>335</v>
      </c>
      <c r="L96" s="1" t="s">
        <v>4</v>
      </c>
      <c r="M96" s="1" t="s">
        <v>19</v>
      </c>
      <c r="N96" s="1" t="s">
        <v>112</v>
      </c>
    </row>
    <row r="97" spans="2:14" x14ac:dyDescent="0.25">
      <c r="B97" s="3">
        <v>46039</v>
      </c>
      <c r="C97" s="6" t="s">
        <v>365</v>
      </c>
      <c r="D97" s="1">
        <v>10140018</v>
      </c>
      <c r="E97" s="1" t="s">
        <v>399</v>
      </c>
      <c r="F97" s="2" t="s">
        <v>2</v>
      </c>
      <c r="G97" s="34">
        <v>1</v>
      </c>
      <c r="H97" s="2">
        <v>1</v>
      </c>
      <c r="I97" s="2">
        <v>0</v>
      </c>
      <c r="J97" s="2">
        <v>0</v>
      </c>
      <c r="K97" s="4" t="s">
        <v>335</v>
      </c>
      <c r="L97" s="1" t="s">
        <v>59</v>
      </c>
      <c r="M97" s="1" t="s">
        <v>35</v>
      </c>
      <c r="N97" s="1" t="s">
        <v>113</v>
      </c>
    </row>
    <row r="98" spans="2:14" x14ac:dyDescent="0.25">
      <c r="B98" s="3">
        <v>46039</v>
      </c>
      <c r="C98" s="6" t="s">
        <v>400</v>
      </c>
      <c r="D98" s="1">
        <v>10510004</v>
      </c>
      <c r="E98" s="1" t="s">
        <v>401</v>
      </c>
      <c r="F98" s="2" t="s">
        <v>2</v>
      </c>
      <c r="G98" s="34">
        <v>1</v>
      </c>
      <c r="H98" s="2">
        <v>1</v>
      </c>
      <c r="I98" s="2">
        <v>0</v>
      </c>
      <c r="J98" s="2">
        <v>0</v>
      </c>
      <c r="K98" s="4" t="s">
        <v>335</v>
      </c>
      <c r="L98" s="1" t="s">
        <v>59</v>
      </c>
      <c r="M98" s="1" t="s">
        <v>35</v>
      </c>
      <c r="N98" s="1" t="s">
        <v>113</v>
      </c>
    </row>
    <row r="99" spans="2:14" x14ac:dyDescent="0.25">
      <c r="B99" s="3">
        <v>46044</v>
      </c>
      <c r="C99" s="6" t="s">
        <v>402</v>
      </c>
      <c r="D99" s="1">
        <v>10360001</v>
      </c>
      <c r="E99" s="1" t="s">
        <v>309</v>
      </c>
      <c r="F99" s="2" t="s">
        <v>309</v>
      </c>
      <c r="G99" s="34">
        <v>1</v>
      </c>
      <c r="H99" s="2">
        <v>1</v>
      </c>
      <c r="I99" s="2">
        <v>0</v>
      </c>
      <c r="J99" s="2">
        <v>0</v>
      </c>
      <c r="K99" s="4" t="s">
        <v>335</v>
      </c>
      <c r="L99" s="1" t="s">
        <v>4</v>
      </c>
      <c r="M99" s="1" t="s">
        <v>50</v>
      </c>
      <c r="N99" s="1" t="s">
        <v>113</v>
      </c>
    </row>
    <row r="100" spans="2:14" x14ac:dyDescent="0.25">
      <c r="B100" s="3">
        <v>46050</v>
      </c>
      <c r="C100" s="6" t="s">
        <v>403</v>
      </c>
      <c r="D100" s="1">
        <v>10110106</v>
      </c>
      <c r="E100" s="1" t="s">
        <v>404</v>
      </c>
      <c r="F100" s="2" t="s">
        <v>369</v>
      </c>
      <c r="G100" s="34">
        <v>1</v>
      </c>
      <c r="H100" s="2">
        <v>0</v>
      </c>
      <c r="I100" s="2">
        <v>1</v>
      </c>
      <c r="J100" s="2">
        <v>0</v>
      </c>
      <c r="K100" s="4" t="s">
        <v>335</v>
      </c>
      <c r="L100" s="1" t="s">
        <v>4</v>
      </c>
      <c r="M100" s="1" t="s">
        <v>367</v>
      </c>
      <c r="N100" s="1" t="s">
        <v>112</v>
      </c>
    </row>
    <row r="101" spans="2:14" x14ac:dyDescent="0.25">
      <c r="B101" s="3">
        <v>46050</v>
      </c>
      <c r="C101" s="6" t="s">
        <v>405</v>
      </c>
      <c r="D101" s="1">
        <v>10110158</v>
      </c>
      <c r="E101" s="1" t="s">
        <v>406</v>
      </c>
      <c r="F101" s="2" t="s">
        <v>369</v>
      </c>
      <c r="G101" s="34">
        <v>1</v>
      </c>
      <c r="H101" s="2">
        <v>0</v>
      </c>
      <c r="I101" s="2">
        <v>1</v>
      </c>
      <c r="J101" s="2">
        <v>0</v>
      </c>
      <c r="K101" s="4" t="s">
        <v>335</v>
      </c>
      <c r="L101" s="1" t="s">
        <v>4</v>
      </c>
      <c r="M101" s="1" t="s">
        <v>367</v>
      </c>
      <c r="N101" s="1" t="s">
        <v>112</v>
      </c>
    </row>
    <row r="102" spans="2:14" x14ac:dyDescent="0.25">
      <c r="B102" s="3">
        <v>46050</v>
      </c>
      <c r="C102" s="6" t="s">
        <v>407</v>
      </c>
      <c r="D102" s="1">
        <v>10110071</v>
      </c>
      <c r="E102" s="1" t="s">
        <v>408</v>
      </c>
      <c r="F102" s="2" t="s">
        <v>369</v>
      </c>
      <c r="G102" s="34">
        <v>1</v>
      </c>
      <c r="H102" s="2">
        <v>1</v>
      </c>
      <c r="I102" s="2">
        <v>0</v>
      </c>
      <c r="J102" s="2">
        <v>0</v>
      </c>
      <c r="K102" s="4" t="s">
        <v>335</v>
      </c>
      <c r="L102" s="1" t="s">
        <v>4</v>
      </c>
      <c r="M102" s="1" t="s">
        <v>367</v>
      </c>
      <c r="N102" s="1" t="s">
        <v>113</v>
      </c>
    </row>
    <row r="103" spans="2:14" x14ac:dyDescent="0.25">
      <c r="B103" s="3">
        <v>46050</v>
      </c>
      <c r="C103" s="6" t="s">
        <v>409</v>
      </c>
      <c r="D103" s="1">
        <v>10110001</v>
      </c>
      <c r="E103" s="1" t="s">
        <v>410</v>
      </c>
      <c r="F103" s="2" t="s">
        <v>369</v>
      </c>
      <c r="G103" s="34">
        <v>1</v>
      </c>
      <c r="H103" s="2">
        <v>1</v>
      </c>
      <c r="I103" s="2">
        <v>0</v>
      </c>
      <c r="J103" s="2">
        <v>0</v>
      </c>
      <c r="K103" s="4" t="s">
        <v>335</v>
      </c>
      <c r="L103" s="1" t="s">
        <v>4</v>
      </c>
      <c r="M103" s="1" t="s">
        <v>367</v>
      </c>
      <c r="N103" s="1" t="s">
        <v>113</v>
      </c>
    </row>
    <row r="104" spans="2:14" x14ac:dyDescent="0.25">
      <c r="B104" s="3">
        <v>46050</v>
      </c>
      <c r="C104" s="6" t="s">
        <v>411</v>
      </c>
      <c r="D104" s="1">
        <v>10110055</v>
      </c>
      <c r="E104" s="1" t="s">
        <v>412</v>
      </c>
      <c r="F104" s="2" t="s">
        <v>369</v>
      </c>
      <c r="G104" s="34">
        <v>1</v>
      </c>
      <c r="H104" s="2">
        <v>1</v>
      </c>
      <c r="I104" s="2">
        <v>0</v>
      </c>
      <c r="J104" s="2">
        <v>0</v>
      </c>
      <c r="K104" s="4" t="s">
        <v>335</v>
      </c>
      <c r="L104" s="1" t="s">
        <v>4</v>
      </c>
      <c r="M104" s="1" t="s">
        <v>367</v>
      </c>
      <c r="N104" s="1" t="s">
        <v>113</v>
      </c>
    </row>
    <row r="105" spans="2:14" x14ac:dyDescent="0.25">
      <c r="B105" s="3">
        <v>46050</v>
      </c>
      <c r="C105" s="6" t="s">
        <v>413</v>
      </c>
      <c r="D105" s="1">
        <v>10060109</v>
      </c>
      <c r="E105" s="1" t="s">
        <v>414</v>
      </c>
      <c r="F105" s="2" t="s">
        <v>18</v>
      </c>
      <c r="G105" s="34">
        <v>1</v>
      </c>
      <c r="H105" s="2">
        <v>0</v>
      </c>
      <c r="I105" s="2">
        <v>1</v>
      </c>
      <c r="J105" s="2">
        <v>0</v>
      </c>
      <c r="K105" s="4" t="s">
        <v>335</v>
      </c>
      <c r="L105" s="1" t="s">
        <v>4</v>
      </c>
      <c r="M105" s="1" t="s">
        <v>415</v>
      </c>
      <c r="N105" s="1" t="s">
        <v>112</v>
      </c>
    </row>
    <row r="106" spans="2:14" x14ac:dyDescent="0.25">
      <c r="B106" s="3">
        <v>46050</v>
      </c>
      <c r="C106" s="6" t="s">
        <v>416</v>
      </c>
      <c r="D106" s="1">
        <v>10090065</v>
      </c>
      <c r="E106" s="1" t="s">
        <v>417</v>
      </c>
      <c r="F106" s="2" t="s">
        <v>25</v>
      </c>
      <c r="G106" s="34">
        <v>1</v>
      </c>
      <c r="H106" s="2">
        <v>0</v>
      </c>
      <c r="I106" s="2">
        <v>1</v>
      </c>
      <c r="J106" s="2">
        <v>0</v>
      </c>
      <c r="K106" s="4" t="s">
        <v>335</v>
      </c>
      <c r="L106" s="1" t="s">
        <v>4</v>
      </c>
      <c r="M106" s="1" t="s">
        <v>415</v>
      </c>
      <c r="N106" s="1" t="s">
        <v>112</v>
      </c>
    </row>
    <row r="107" spans="2:14" x14ac:dyDescent="0.25">
      <c r="B107" s="3">
        <v>46050</v>
      </c>
      <c r="C107" s="6" t="s">
        <v>418</v>
      </c>
      <c r="D107" s="1">
        <v>10090074</v>
      </c>
      <c r="E107" s="1" t="s">
        <v>419</v>
      </c>
      <c r="F107" s="2" t="s">
        <v>25</v>
      </c>
      <c r="G107" s="34">
        <v>1</v>
      </c>
      <c r="H107" s="2">
        <v>0</v>
      </c>
      <c r="I107" s="2">
        <v>1</v>
      </c>
      <c r="J107" s="2">
        <v>0</v>
      </c>
      <c r="K107" s="4" t="s">
        <v>335</v>
      </c>
      <c r="L107" s="1" t="s">
        <v>4</v>
      </c>
      <c r="M107" s="1" t="s">
        <v>415</v>
      </c>
      <c r="N107" s="1" t="s">
        <v>112</v>
      </c>
    </row>
    <row r="108" spans="2:14" x14ac:dyDescent="0.25">
      <c r="B108" s="3">
        <v>46050</v>
      </c>
      <c r="C108" s="6" t="s">
        <v>420</v>
      </c>
      <c r="D108" s="1">
        <v>10140033</v>
      </c>
      <c r="E108" s="1" t="s">
        <v>421</v>
      </c>
      <c r="F108" s="2" t="s">
        <v>2</v>
      </c>
      <c r="G108" s="34">
        <v>1</v>
      </c>
      <c r="H108" s="2">
        <v>1</v>
      </c>
      <c r="I108" s="2">
        <v>0</v>
      </c>
      <c r="J108" s="2">
        <v>0</v>
      </c>
      <c r="K108" s="4" t="s">
        <v>335</v>
      </c>
      <c r="L108" s="1" t="s">
        <v>4</v>
      </c>
      <c r="M108" s="1" t="s">
        <v>5</v>
      </c>
      <c r="N108" s="1" t="s">
        <v>113</v>
      </c>
    </row>
    <row r="109" spans="2:14" x14ac:dyDescent="0.25">
      <c r="B109" s="3">
        <v>46099</v>
      </c>
      <c r="C109" s="6" t="s">
        <v>426</v>
      </c>
      <c r="D109" s="1">
        <v>1007</v>
      </c>
      <c r="E109" s="1" t="s">
        <v>429</v>
      </c>
      <c r="F109" s="2" t="s">
        <v>49</v>
      </c>
      <c r="G109" s="34">
        <v>1</v>
      </c>
      <c r="H109" s="2">
        <v>0</v>
      </c>
      <c r="I109" s="2">
        <v>0</v>
      </c>
      <c r="J109" s="2">
        <v>1</v>
      </c>
      <c r="K109" s="4" t="s">
        <v>335</v>
      </c>
      <c r="L109" s="1" t="s">
        <v>4</v>
      </c>
      <c r="M109" s="1" t="s">
        <v>50</v>
      </c>
      <c r="N109" s="1" t="s">
        <v>112</v>
      </c>
    </row>
    <row r="110" spans="2:14" x14ac:dyDescent="0.25">
      <c r="B110" s="3">
        <v>46099</v>
      </c>
      <c r="C110" s="6" t="s">
        <v>427</v>
      </c>
      <c r="D110" s="1">
        <v>1007</v>
      </c>
      <c r="E110" s="1" t="s">
        <v>429</v>
      </c>
      <c r="F110" s="2" t="s">
        <v>49</v>
      </c>
      <c r="G110" s="34">
        <v>1</v>
      </c>
      <c r="H110" s="2">
        <v>0</v>
      </c>
      <c r="I110" s="2">
        <v>0</v>
      </c>
      <c r="J110" s="2">
        <v>1</v>
      </c>
      <c r="K110" s="4" t="s">
        <v>335</v>
      </c>
      <c r="L110" s="1" t="s">
        <v>4</v>
      </c>
      <c r="M110" s="1" t="s">
        <v>50</v>
      </c>
      <c r="N110" s="1" t="s">
        <v>112</v>
      </c>
    </row>
    <row r="111" spans="2:14" x14ac:dyDescent="0.25">
      <c r="B111" s="3">
        <v>46099</v>
      </c>
      <c r="C111" s="6" t="s">
        <v>428</v>
      </c>
      <c r="D111" s="1">
        <v>1007</v>
      </c>
      <c r="E111" s="1" t="s">
        <v>429</v>
      </c>
      <c r="F111" s="2" t="s">
        <v>49</v>
      </c>
      <c r="G111" s="34">
        <v>1</v>
      </c>
      <c r="H111" s="2">
        <v>0</v>
      </c>
      <c r="I111" s="2">
        <v>0</v>
      </c>
      <c r="J111" s="2">
        <v>1</v>
      </c>
      <c r="K111" s="4" t="s">
        <v>335</v>
      </c>
      <c r="L111" s="1" t="s">
        <v>4</v>
      </c>
      <c r="M111" s="1" t="s">
        <v>50</v>
      </c>
      <c r="N111" s="1" t="s">
        <v>112</v>
      </c>
    </row>
    <row r="112" spans="2:14" x14ac:dyDescent="0.25">
      <c r="B112" s="3">
        <v>46099</v>
      </c>
      <c r="C112" s="6" t="s">
        <v>430</v>
      </c>
      <c r="D112" s="1">
        <v>1014</v>
      </c>
      <c r="E112" s="1" t="s">
        <v>436</v>
      </c>
      <c r="F112" s="2" t="s">
        <v>2</v>
      </c>
      <c r="G112" s="34">
        <v>1</v>
      </c>
      <c r="H112" s="2">
        <v>0</v>
      </c>
      <c r="I112" s="2">
        <v>1</v>
      </c>
      <c r="J112" s="2">
        <v>0</v>
      </c>
      <c r="K112" s="4" t="s">
        <v>335</v>
      </c>
      <c r="L112" s="1" t="s">
        <v>4</v>
      </c>
      <c r="M112" s="1" t="s">
        <v>5</v>
      </c>
      <c r="N112" s="1" t="s">
        <v>112</v>
      </c>
    </row>
    <row r="113" spans="2:14" x14ac:dyDescent="0.25">
      <c r="B113" s="3">
        <v>46099</v>
      </c>
      <c r="C113" s="6" t="s">
        <v>431</v>
      </c>
      <c r="D113" s="1">
        <v>10140179</v>
      </c>
      <c r="E113" s="5" t="s">
        <v>437</v>
      </c>
      <c r="F113" s="2" t="s">
        <v>2</v>
      </c>
      <c r="G113" s="34">
        <v>1</v>
      </c>
      <c r="H113" s="2">
        <v>0</v>
      </c>
      <c r="I113" s="2">
        <v>1</v>
      </c>
      <c r="J113" s="2">
        <v>0</v>
      </c>
      <c r="K113" s="4" t="s">
        <v>335</v>
      </c>
      <c r="L113" s="1" t="s">
        <v>4</v>
      </c>
      <c r="M113" s="1" t="s">
        <v>5</v>
      </c>
      <c r="N113" s="1" t="s">
        <v>112</v>
      </c>
    </row>
    <row r="114" spans="2:14" x14ac:dyDescent="0.25">
      <c r="B114" s="3">
        <v>46099</v>
      </c>
      <c r="C114" s="6" t="s">
        <v>432</v>
      </c>
      <c r="D114" s="1">
        <v>10140020</v>
      </c>
      <c r="E114" s="5" t="s">
        <v>438</v>
      </c>
      <c r="F114" s="2" t="s">
        <v>2</v>
      </c>
      <c r="G114" s="34">
        <v>1</v>
      </c>
      <c r="H114" s="2">
        <v>1</v>
      </c>
      <c r="I114" s="2">
        <v>0</v>
      </c>
      <c r="J114" s="2">
        <v>0</v>
      </c>
      <c r="K114" s="4" t="s">
        <v>335</v>
      </c>
      <c r="L114" s="1" t="s">
        <v>4</v>
      </c>
      <c r="M114" s="1" t="s">
        <v>5</v>
      </c>
      <c r="N114" s="1" t="s">
        <v>113</v>
      </c>
    </row>
    <row r="115" spans="2:14" x14ac:dyDescent="0.25">
      <c r="B115" s="3">
        <v>46099</v>
      </c>
      <c r="C115" s="6" t="s">
        <v>492</v>
      </c>
      <c r="D115" s="1">
        <v>10140058</v>
      </c>
      <c r="E115" s="5" t="s">
        <v>439</v>
      </c>
      <c r="F115" s="2" t="s">
        <v>2</v>
      </c>
      <c r="G115" s="34">
        <v>1</v>
      </c>
      <c r="H115" s="2">
        <v>1</v>
      </c>
      <c r="I115" s="2">
        <v>0</v>
      </c>
      <c r="J115" s="2">
        <v>0</v>
      </c>
      <c r="K115" s="4" t="s">
        <v>335</v>
      </c>
      <c r="L115" s="1" t="s">
        <v>4</v>
      </c>
      <c r="M115" s="1" t="s">
        <v>5</v>
      </c>
      <c r="N115" s="1" t="s">
        <v>113</v>
      </c>
    </row>
    <row r="116" spans="2:14" x14ac:dyDescent="0.25">
      <c r="B116" s="3">
        <v>46099</v>
      </c>
      <c r="C116" s="6" t="s">
        <v>434</v>
      </c>
      <c r="D116" s="1">
        <v>10140137</v>
      </c>
      <c r="E116" s="5" t="s">
        <v>440</v>
      </c>
      <c r="F116" s="2" t="s">
        <v>2</v>
      </c>
      <c r="G116" s="34">
        <v>1</v>
      </c>
      <c r="H116" s="2">
        <v>1</v>
      </c>
      <c r="I116" s="2">
        <v>0</v>
      </c>
      <c r="J116" s="2">
        <v>0</v>
      </c>
      <c r="K116" s="4" t="s">
        <v>335</v>
      </c>
      <c r="L116" s="1" t="s">
        <v>4</v>
      </c>
      <c r="M116" s="1" t="s">
        <v>5</v>
      </c>
      <c r="N116" s="1" t="s">
        <v>113</v>
      </c>
    </row>
    <row r="117" spans="2:14" x14ac:dyDescent="0.25">
      <c r="B117" s="3">
        <v>46099</v>
      </c>
      <c r="C117" s="6" t="s">
        <v>435</v>
      </c>
      <c r="D117" s="1">
        <v>10140002</v>
      </c>
      <c r="E117" s="5" t="s">
        <v>57</v>
      </c>
      <c r="F117" s="2" t="s">
        <v>2</v>
      </c>
      <c r="G117" s="34">
        <v>1</v>
      </c>
      <c r="H117" s="2">
        <v>1</v>
      </c>
      <c r="I117" s="2">
        <v>0</v>
      </c>
      <c r="J117" s="2">
        <v>0</v>
      </c>
      <c r="K117" s="4" t="s">
        <v>335</v>
      </c>
      <c r="L117" s="1" t="s">
        <v>4</v>
      </c>
      <c r="M117" s="1" t="s">
        <v>5</v>
      </c>
      <c r="N117" s="1" t="s">
        <v>113</v>
      </c>
    </row>
    <row r="118" spans="2:14" x14ac:dyDescent="0.25">
      <c r="B118" s="3">
        <v>46099</v>
      </c>
      <c r="C118" s="6" t="s">
        <v>441</v>
      </c>
      <c r="D118" s="1">
        <v>10020017</v>
      </c>
      <c r="E118" s="5" t="s">
        <v>447</v>
      </c>
      <c r="F118" s="2" t="s">
        <v>22</v>
      </c>
      <c r="G118" s="34">
        <v>1</v>
      </c>
      <c r="H118" s="2">
        <v>1</v>
      </c>
      <c r="I118" s="2">
        <v>0</v>
      </c>
      <c r="J118" s="2">
        <v>0</v>
      </c>
      <c r="K118" s="4" t="s">
        <v>335</v>
      </c>
      <c r="L118" s="1" t="s">
        <v>4</v>
      </c>
      <c r="M118" s="1" t="s">
        <v>19</v>
      </c>
      <c r="N118" s="1" t="s">
        <v>113</v>
      </c>
    </row>
    <row r="119" spans="2:14" x14ac:dyDescent="0.25">
      <c r="B119" s="3">
        <v>46099</v>
      </c>
      <c r="C119" s="6" t="s">
        <v>442</v>
      </c>
      <c r="D119" s="1">
        <v>10090033</v>
      </c>
      <c r="E119" s="5" t="s">
        <v>449</v>
      </c>
      <c r="F119" s="2" t="s">
        <v>25</v>
      </c>
      <c r="G119" s="34">
        <v>1</v>
      </c>
      <c r="H119" s="2">
        <v>1</v>
      </c>
      <c r="I119" s="2">
        <v>0</v>
      </c>
      <c r="J119" s="2">
        <v>0</v>
      </c>
      <c r="K119" s="4" t="s">
        <v>335</v>
      </c>
      <c r="L119" s="1" t="s">
        <v>4</v>
      </c>
      <c r="M119" s="1" t="s">
        <v>19</v>
      </c>
      <c r="N119" s="1" t="s">
        <v>113</v>
      </c>
    </row>
    <row r="120" spans="2:14" x14ac:dyDescent="0.25">
      <c r="B120" s="3">
        <v>46099</v>
      </c>
      <c r="C120" s="6" t="s">
        <v>443</v>
      </c>
      <c r="D120" s="1">
        <v>10060049</v>
      </c>
      <c r="E120" s="5" t="s">
        <v>452</v>
      </c>
      <c r="F120" s="2" t="s">
        <v>18</v>
      </c>
      <c r="G120" s="34">
        <v>1</v>
      </c>
      <c r="H120" s="2">
        <v>1</v>
      </c>
      <c r="I120" s="2">
        <v>0</v>
      </c>
      <c r="J120" s="2">
        <v>0</v>
      </c>
      <c r="K120" s="4" t="s">
        <v>335</v>
      </c>
      <c r="L120" s="1" t="s">
        <v>4</v>
      </c>
      <c r="M120" s="1" t="s">
        <v>19</v>
      </c>
      <c r="N120" s="1" t="s">
        <v>113</v>
      </c>
    </row>
    <row r="121" spans="2:14" x14ac:dyDescent="0.25">
      <c r="B121" s="3">
        <v>46099</v>
      </c>
      <c r="C121" s="6" t="s">
        <v>444</v>
      </c>
      <c r="D121" s="1">
        <v>10090009</v>
      </c>
      <c r="E121" s="5" t="s">
        <v>450</v>
      </c>
      <c r="F121" s="2" t="s">
        <v>25</v>
      </c>
      <c r="G121" s="34">
        <v>1</v>
      </c>
      <c r="H121" s="2">
        <v>1</v>
      </c>
      <c r="I121" s="2">
        <v>0</v>
      </c>
      <c r="J121" s="2">
        <v>0</v>
      </c>
      <c r="K121" s="4" t="s">
        <v>335</v>
      </c>
      <c r="L121" s="1" t="s">
        <v>4</v>
      </c>
      <c r="M121" s="1" t="s">
        <v>19</v>
      </c>
      <c r="N121" s="1" t="s">
        <v>113</v>
      </c>
    </row>
    <row r="122" spans="2:14" x14ac:dyDescent="0.25">
      <c r="B122" s="3">
        <v>46099</v>
      </c>
      <c r="C122" s="6" t="s">
        <v>445</v>
      </c>
      <c r="D122" s="1">
        <v>10090043</v>
      </c>
      <c r="E122" s="5" t="s">
        <v>451</v>
      </c>
      <c r="F122" s="2" t="s">
        <v>25</v>
      </c>
      <c r="G122" s="34">
        <v>1</v>
      </c>
      <c r="H122" s="2">
        <v>1</v>
      </c>
      <c r="I122" s="2">
        <v>0</v>
      </c>
      <c r="J122" s="2">
        <v>0</v>
      </c>
      <c r="K122" s="4" t="s">
        <v>335</v>
      </c>
      <c r="L122" s="1" t="s">
        <v>4</v>
      </c>
      <c r="M122" s="1" t="s">
        <v>19</v>
      </c>
      <c r="N122" s="1" t="s">
        <v>113</v>
      </c>
    </row>
    <row r="123" spans="2:14" x14ac:dyDescent="0.25">
      <c r="B123" s="3">
        <v>46099</v>
      </c>
      <c r="C123" s="6" t="s">
        <v>446</v>
      </c>
      <c r="D123" s="1">
        <v>10020070</v>
      </c>
      <c r="E123" s="5" t="s">
        <v>448</v>
      </c>
      <c r="F123" s="2" t="s">
        <v>22</v>
      </c>
      <c r="G123" s="34">
        <v>1</v>
      </c>
      <c r="H123" s="2">
        <v>1</v>
      </c>
      <c r="I123" s="2">
        <v>0</v>
      </c>
      <c r="J123" s="2">
        <v>0</v>
      </c>
      <c r="K123" s="4" t="s">
        <v>335</v>
      </c>
      <c r="L123" s="1" t="s">
        <v>4</v>
      </c>
      <c r="M123" s="1" t="s">
        <v>19</v>
      </c>
      <c r="N123" s="1" t="s">
        <v>113</v>
      </c>
    </row>
    <row r="124" spans="2:14" x14ac:dyDescent="0.25">
      <c r="B124" s="3">
        <v>46101</v>
      </c>
      <c r="C124" s="6" t="s">
        <v>453</v>
      </c>
      <c r="D124" s="1">
        <v>10110043</v>
      </c>
      <c r="E124" s="1" t="s">
        <v>455</v>
      </c>
      <c r="F124" s="2" t="s">
        <v>369</v>
      </c>
      <c r="G124" s="34">
        <v>1</v>
      </c>
      <c r="H124" s="2">
        <v>1</v>
      </c>
      <c r="I124" s="2">
        <v>0</v>
      </c>
      <c r="J124" s="2">
        <v>0</v>
      </c>
      <c r="K124" s="4" t="s">
        <v>335</v>
      </c>
      <c r="L124" s="1" t="s">
        <v>4</v>
      </c>
      <c r="M124" s="1" t="s">
        <v>97</v>
      </c>
      <c r="N124" s="1" t="s">
        <v>113</v>
      </c>
    </row>
    <row r="125" spans="2:14" x14ac:dyDescent="0.25">
      <c r="B125" s="3">
        <v>46101</v>
      </c>
      <c r="C125" s="6" t="s">
        <v>454</v>
      </c>
      <c r="D125" s="1">
        <v>10080096</v>
      </c>
      <c r="E125" s="1" t="s">
        <v>456</v>
      </c>
      <c r="F125" s="2" t="s">
        <v>96</v>
      </c>
      <c r="G125" s="34">
        <v>1</v>
      </c>
      <c r="H125" s="2">
        <v>0</v>
      </c>
      <c r="I125" s="2">
        <v>1</v>
      </c>
      <c r="J125" s="2">
        <v>0</v>
      </c>
      <c r="K125" s="4" t="s">
        <v>335</v>
      </c>
      <c r="L125" s="1" t="s">
        <v>4</v>
      </c>
      <c r="M125" s="1" t="s">
        <v>97</v>
      </c>
      <c r="N125" s="1" t="s">
        <v>112</v>
      </c>
    </row>
    <row r="126" spans="2:14" x14ac:dyDescent="0.25">
      <c r="B126" s="3">
        <v>46101</v>
      </c>
      <c r="C126" s="6" t="s">
        <v>457</v>
      </c>
      <c r="D126" s="1">
        <v>10120002</v>
      </c>
      <c r="E126" s="1" t="s">
        <v>462</v>
      </c>
      <c r="F126" s="2" t="s">
        <v>57</v>
      </c>
      <c r="G126" s="34">
        <v>1</v>
      </c>
      <c r="H126" s="2">
        <v>1</v>
      </c>
      <c r="I126" s="2">
        <v>0</v>
      </c>
      <c r="J126" s="2">
        <v>0</v>
      </c>
      <c r="K126" s="4" t="s">
        <v>335</v>
      </c>
      <c r="L126" s="1" t="s">
        <v>4</v>
      </c>
      <c r="M126" s="1" t="s">
        <v>468</v>
      </c>
      <c r="N126" s="1" t="s">
        <v>113</v>
      </c>
    </row>
    <row r="127" spans="2:14" x14ac:dyDescent="0.25">
      <c r="B127" s="3">
        <v>46101</v>
      </c>
      <c r="C127" s="6" t="s">
        <v>433</v>
      </c>
      <c r="D127" s="1">
        <v>10120107</v>
      </c>
      <c r="E127" s="1" t="s">
        <v>463</v>
      </c>
      <c r="F127" s="2" t="s">
        <v>57</v>
      </c>
      <c r="G127" s="34">
        <v>1</v>
      </c>
      <c r="H127" s="2">
        <v>1</v>
      </c>
      <c r="I127" s="2">
        <v>0</v>
      </c>
      <c r="J127" s="2">
        <v>0</v>
      </c>
      <c r="K127" s="4" t="s">
        <v>335</v>
      </c>
      <c r="L127" s="1" t="s">
        <v>4</v>
      </c>
      <c r="M127" s="1" t="s">
        <v>468</v>
      </c>
      <c r="N127" s="1" t="s">
        <v>113</v>
      </c>
    </row>
    <row r="128" spans="2:14" x14ac:dyDescent="0.25">
      <c r="B128" s="3">
        <v>46101</v>
      </c>
      <c r="C128" s="6" t="s">
        <v>458</v>
      </c>
      <c r="D128" s="1">
        <v>10120080</v>
      </c>
      <c r="E128" s="1" t="s">
        <v>464</v>
      </c>
      <c r="F128" s="2" t="s">
        <v>57</v>
      </c>
      <c r="G128" s="34">
        <v>1</v>
      </c>
      <c r="H128" s="2">
        <v>1</v>
      </c>
      <c r="I128" s="2">
        <v>0</v>
      </c>
      <c r="J128" s="2">
        <v>0</v>
      </c>
      <c r="K128" s="4" t="s">
        <v>335</v>
      </c>
      <c r="L128" s="1" t="s">
        <v>4</v>
      </c>
      <c r="M128" s="1" t="s">
        <v>468</v>
      </c>
      <c r="N128" s="1" t="s">
        <v>113</v>
      </c>
    </row>
    <row r="129" spans="2:14" x14ac:dyDescent="0.25">
      <c r="B129" s="3">
        <v>46101</v>
      </c>
      <c r="C129" s="6" t="s">
        <v>459</v>
      </c>
      <c r="D129" s="1">
        <v>10120035</v>
      </c>
      <c r="E129" s="1" t="s">
        <v>465</v>
      </c>
      <c r="F129" s="2" t="s">
        <v>57</v>
      </c>
      <c r="G129" s="34">
        <v>1</v>
      </c>
      <c r="H129" s="2">
        <v>1</v>
      </c>
      <c r="I129" s="2">
        <v>0</v>
      </c>
      <c r="J129" s="2">
        <v>0</v>
      </c>
      <c r="K129" s="4" t="s">
        <v>335</v>
      </c>
      <c r="L129" s="1" t="s">
        <v>4</v>
      </c>
      <c r="M129" s="1" t="s">
        <v>468</v>
      </c>
      <c r="N129" s="1" t="s">
        <v>113</v>
      </c>
    </row>
    <row r="130" spans="2:14" x14ac:dyDescent="0.25">
      <c r="B130" s="3">
        <v>46101</v>
      </c>
      <c r="C130" s="6" t="s">
        <v>460</v>
      </c>
      <c r="D130" s="1">
        <v>10130014</v>
      </c>
      <c r="E130" s="1" t="s">
        <v>466</v>
      </c>
      <c r="F130" s="2" t="s">
        <v>65</v>
      </c>
      <c r="G130" s="34">
        <v>1</v>
      </c>
      <c r="H130" s="2">
        <v>1</v>
      </c>
      <c r="I130" s="2">
        <v>0</v>
      </c>
      <c r="J130" s="2">
        <v>0</v>
      </c>
      <c r="K130" s="4" t="s">
        <v>335</v>
      </c>
      <c r="L130" s="1" t="s">
        <v>4</v>
      </c>
      <c r="M130" s="1" t="s">
        <v>468</v>
      </c>
      <c r="N130" s="1" t="s">
        <v>113</v>
      </c>
    </row>
    <row r="131" spans="2:14" x14ac:dyDescent="0.25">
      <c r="B131" s="3">
        <v>46101</v>
      </c>
      <c r="C131" s="6" t="s">
        <v>461</v>
      </c>
      <c r="D131" s="1">
        <v>10130015</v>
      </c>
      <c r="E131" s="1" t="s">
        <v>467</v>
      </c>
      <c r="F131" s="2" t="s">
        <v>65</v>
      </c>
      <c r="G131" s="34">
        <v>1</v>
      </c>
      <c r="H131" s="2">
        <v>1</v>
      </c>
      <c r="I131" s="2">
        <v>0</v>
      </c>
      <c r="J131" s="2">
        <v>0</v>
      </c>
      <c r="K131" s="4" t="s">
        <v>335</v>
      </c>
      <c r="L131" s="1" t="s">
        <v>4</v>
      </c>
      <c r="M131" s="1" t="s">
        <v>468</v>
      </c>
      <c r="N131" s="1" t="s">
        <v>113</v>
      </c>
    </row>
    <row r="132" spans="2:14" x14ac:dyDescent="0.25">
      <c r="B132" s="3">
        <v>46120</v>
      </c>
      <c r="C132" s="6" t="s">
        <v>473</v>
      </c>
      <c r="D132" s="1">
        <v>10030053</v>
      </c>
      <c r="E132" s="1" t="s">
        <v>10</v>
      </c>
      <c r="F132" s="2" t="s">
        <v>11</v>
      </c>
      <c r="G132" s="34">
        <v>1</v>
      </c>
      <c r="H132" s="2">
        <v>1</v>
      </c>
      <c r="I132" s="2">
        <v>0</v>
      </c>
      <c r="J132" s="2">
        <v>0</v>
      </c>
      <c r="K132" s="4" t="s">
        <v>335</v>
      </c>
      <c r="L132" s="1" t="s">
        <v>4</v>
      </c>
      <c r="M132" s="1" t="s">
        <v>474</v>
      </c>
      <c r="N132" s="1" t="s">
        <v>113</v>
      </c>
    </row>
    <row r="133" spans="2:14" x14ac:dyDescent="0.25">
      <c r="B133" s="3">
        <v>46125</v>
      </c>
      <c r="C133" s="6" t="s">
        <v>476</v>
      </c>
      <c r="D133" s="1">
        <v>10060130</v>
      </c>
      <c r="E133" s="1" t="s">
        <v>475</v>
      </c>
      <c r="F133" s="2" t="s">
        <v>18</v>
      </c>
      <c r="G133" s="34">
        <v>1</v>
      </c>
      <c r="H133" s="2">
        <v>0</v>
      </c>
      <c r="I133" s="2">
        <v>1</v>
      </c>
      <c r="J133" s="2">
        <v>0</v>
      </c>
      <c r="K133" s="4" t="s">
        <v>335</v>
      </c>
      <c r="L133" s="1" t="s">
        <v>4</v>
      </c>
      <c r="M133" s="1" t="s">
        <v>19</v>
      </c>
      <c r="N133" s="1" t="s">
        <v>112</v>
      </c>
    </row>
    <row r="134" spans="2:14" x14ac:dyDescent="0.25">
      <c r="B134" s="3">
        <v>46125</v>
      </c>
      <c r="C134" s="6" t="s">
        <v>477</v>
      </c>
      <c r="D134" s="1">
        <v>10090078</v>
      </c>
      <c r="E134" s="1" t="s">
        <v>478</v>
      </c>
      <c r="F134" s="2" t="s">
        <v>25</v>
      </c>
      <c r="G134" s="34">
        <v>1</v>
      </c>
      <c r="H134" s="2">
        <v>0</v>
      </c>
      <c r="I134" s="2">
        <v>1</v>
      </c>
      <c r="J134" s="2">
        <v>0</v>
      </c>
      <c r="K134" s="4" t="s">
        <v>335</v>
      </c>
      <c r="L134" s="1" t="s">
        <v>4</v>
      </c>
      <c r="M134" s="1" t="s">
        <v>19</v>
      </c>
      <c r="N134" s="1" t="s">
        <v>112</v>
      </c>
    </row>
    <row r="135" spans="2:14" x14ac:dyDescent="0.25">
      <c r="B135" s="3">
        <v>46125</v>
      </c>
      <c r="C135" s="6" t="s">
        <v>479</v>
      </c>
      <c r="D135" s="1"/>
      <c r="E135" s="1" t="s">
        <v>481</v>
      </c>
      <c r="F135" s="2" t="s">
        <v>22</v>
      </c>
      <c r="G135" s="34">
        <v>1</v>
      </c>
      <c r="H135" s="2">
        <v>0</v>
      </c>
      <c r="I135" s="2">
        <v>0</v>
      </c>
      <c r="J135" s="2">
        <v>1</v>
      </c>
      <c r="K135" s="4" t="s">
        <v>335</v>
      </c>
      <c r="L135" s="1" t="s">
        <v>4</v>
      </c>
      <c r="M135" s="1" t="s">
        <v>19</v>
      </c>
      <c r="N135" s="1" t="s">
        <v>112</v>
      </c>
    </row>
    <row r="136" spans="2:14" x14ac:dyDescent="0.25">
      <c r="B136" s="3">
        <v>46125</v>
      </c>
      <c r="C136" s="6" t="s">
        <v>480</v>
      </c>
      <c r="D136" s="1"/>
      <c r="E136" s="1" t="s">
        <v>481</v>
      </c>
      <c r="F136" s="2" t="s">
        <v>22</v>
      </c>
      <c r="G136" s="34">
        <v>1</v>
      </c>
      <c r="H136" s="2">
        <v>0</v>
      </c>
      <c r="I136" s="2">
        <v>0</v>
      </c>
      <c r="J136" s="2">
        <v>1</v>
      </c>
      <c r="K136" s="4" t="s">
        <v>335</v>
      </c>
      <c r="L136" s="1" t="s">
        <v>4</v>
      </c>
      <c r="M136" s="1" t="s">
        <v>19</v>
      </c>
      <c r="N136" s="1" t="s">
        <v>112</v>
      </c>
    </row>
    <row r="137" spans="2:14" x14ac:dyDescent="0.25">
      <c r="B137" s="3">
        <v>46133</v>
      </c>
      <c r="C137" s="6" t="s">
        <v>482</v>
      </c>
      <c r="D137" s="1">
        <v>10110095</v>
      </c>
      <c r="E137" s="5" t="s">
        <v>484</v>
      </c>
      <c r="F137" s="2" t="s">
        <v>369</v>
      </c>
      <c r="G137" s="34">
        <v>1</v>
      </c>
      <c r="H137" s="2">
        <v>1</v>
      </c>
      <c r="I137" s="2">
        <v>0</v>
      </c>
      <c r="J137" s="2">
        <v>0</v>
      </c>
      <c r="K137" s="4" t="s">
        <v>335</v>
      </c>
      <c r="L137" s="1" t="s">
        <v>4</v>
      </c>
      <c r="M137" s="1" t="s">
        <v>367</v>
      </c>
      <c r="N137" s="1" t="s">
        <v>113</v>
      </c>
    </row>
    <row r="138" spans="2:14" x14ac:dyDescent="0.25">
      <c r="B138" s="3">
        <v>46133</v>
      </c>
      <c r="C138" s="6" t="s">
        <v>483</v>
      </c>
      <c r="D138" s="1">
        <v>10440001</v>
      </c>
      <c r="E138" s="5" t="s">
        <v>485</v>
      </c>
      <c r="F138" s="2" t="s">
        <v>369</v>
      </c>
      <c r="G138" s="34">
        <v>1</v>
      </c>
      <c r="H138" s="2">
        <v>1</v>
      </c>
      <c r="I138" s="2">
        <v>0</v>
      </c>
      <c r="J138" s="2">
        <v>0</v>
      </c>
      <c r="K138" s="4" t="s">
        <v>335</v>
      </c>
      <c r="L138" s="1" t="s">
        <v>4</v>
      </c>
      <c r="M138" s="1" t="s">
        <v>367</v>
      </c>
      <c r="N138" s="1" t="s">
        <v>113</v>
      </c>
    </row>
    <row r="139" spans="2:14" x14ac:dyDescent="0.25">
      <c r="B139" s="3">
        <v>46133</v>
      </c>
      <c r="C139" s="6" t="s">
        <v>486</v>
      </c>
      <c r="D139" s="1">
        <v>10100001</v>
      </c>
      <c r="E139" s="5" t="s">
        <v>488</v>
      </c>
      <c r="F139" s="2" t="s">
        <v>489</v>
      </c>
      <c r="G139" s="34">
        <v>1</v>
      </c>
      <c r="H139" s="2">
        <v>1</v>
      </c>
      <c r="I139" s="2">
        <v>0</v>
      </c>
      <c r="J139" s="2">
        <v>0</v>
      </c>
      <c r="K139" s="4" t="s">
        <v>335</v>
      </c>
      <c r="L139" s="1" t="s">
        <v>4</v>
      </c>
      <c r="M139" s="1" t="s">
        <v>50</v>
      </c>
      <c r="N139" s="1" t="s">
        <v>113</v>
      </c>
    </row>
    <row r="140" spans="2:14" x14ac:dyDescent="0.25">
      <c r="B140" s="3">
        <v>46133</v>
      </c>
      <c r="C140" s="6" t="s">
        <v>487</v>
      </c>
      <c r="D140" s="1">
        <v>10070043</v>
      </c>
      <c r="E140" s="5" t="s">
        <v>49</v>
      </c>
      <c r="F140" s="2" t="s">
        <v>49</v>
      </c>
      <c r="G140" s="34">
        <v>1</v>
      </c>
      <c r="H140" s="2">
        <v>1</v>
      </c>
      <c r="I140" s="2">
        <v>0</v>
      </c>
      <c r="J140" s="2">
        <v>0</v>
      </c>
      <c r="K140" s="4" t="s">
        <v>335</v>
      </c>
      <c r="L140" s="1" t="s">
        <v>4</v>
      </c>
      <c r="M140" s="1" t="s">
        <v>50</v>
      </c>
      <c r="N140" s="1" t="s">
        <v>113</v>
      </c>
    </row>
    <row r="141" spans="2:14" x14ac:dyDescent="0.25">
      <c r="B141" s="3">
        <v>46142</v>
      </c>
      <c r="C141" s="6" t="s">
        <v>490</v>
      </c>
      <c r="D141" s="1"/>
      <c r="E141" s="1" t="s">
        <v>481</v>
      </c>
      <c r="F141" s="2" t="s">
        <v>22</v>
      </c>
      <c r="G141" s="34">
        <v>1</v>
      </c>
      <c r="H141" s="2">
        <v>0</v>
      </c>
      <c r="I141" s="2">
        <v>0</v>
      </c>
      <c r="J141" s="2">
        <v>1</v>
      </c>
      <c r="K141" s="4" t="s">
        <v>335</v>
      </c>
      <c r="L141" s="1" t="s">
        <v>4</v>
      </c>
      <c r="M141" s="1" t="s">
        <v>19</v>
      </c>
      <c r="N141" s="1" t="s">
        <v>112</v>
      </c>
    </row>
    <row r="142" spans="2:14" x14ac:dyDescent="0.25">
      <c r="B142" s="3">
        <v>46156</v>
      </c>
      <c r="C142" s="6" t="s">
        <v>494</v>
      </c>
      <c r="D142" s="1">
        <v>10090056</v>
      </c>
      <c r="E142" s="1" t="s">
        <v>496</v>
      </c>
      <c r="F142" s="2" t="s">
        <v>25</v>
      </c>
      <c r="G142" s="34">
        <v>1</v>
      </c>
      <c r="H142" s="2">
        <v>1</v>
      </c>
      <c r="I142" s="2">
        <v>0</v>
      </c>
      <c r="J142" s="2">
        <v>0</v>
      </c>
      <c r="K142" s="4" t="s">
        <v>335</v>
      </c>
      <c r="L142" s="1" t="s">
        <v>4</v>
      </c>
      <c r="M142" s="1" t="s">
        <v>498</v>
      </c>
      <c r="N142" s="1" t="s">
        <v>113</v>
      </c>
    </row>
    <row r="143" spans="2:14" x14ac:dyDescent="0.25">
      <c r="B143" s="3">
        <v>46156</v>
      </c>
      <c r="C143" s="6" t="s">
        <v>495</v>
      </c>
      <c r="D143" s="1">
        <v>10090049</v>
      </c>
      <c r="E143" s="1" t="s">
        <v>497</v>
      </c>
      <c r="F143" s="2" t="s">
        <v>25</v>
      </c>
      <c r="G143" s="34">
        <v>1</v>
      </c>
      <c r="H143" s="2">
        <v>1</v>
      </c>
      <c r="I143" s="2">
        <v>0</v>
      </c>
      <c r="J143" s="2">
        <v>0</v>
      </c>
      <c r="K143" s="4" t="s">
        <v>335</v>
      </c>
      <c r="L143" s="1" t="s">
        <v>4</v>
      </c>
      <c r="M143" s="1" t="s">
        <v>498</v>
      </c>
      <c r="N143" s="1" t="s">
        <v>113</v>
      </c>
    </row>
    <row r="144" spans="2:14" x14ac:dyDescent="0.25">
      <c r="B144" s="3">
        <v>46177</v>
      </c>
      <c r="C144" s="6" t="s">
        <v>500</v>
      </c>
      <c r="D144" s="1">
        <v>10090007</v>
      </c>
      <c r="E144" s="1" t="s">
        <v>501</v>
      </c>
      <c r="F144" s="2" t="s">
        <v>25</v>
      </c>
      <c r="G144" s="34">
        <v>1</v>
      </c>
      <c r="H144" s="2">
        <v>1</v>
      </c>
      <c r="I144" s="2">
        <v>0</v>
      </c>
      <c r="J144" s="2">
        <v>0</v>
      </c>
      <c r="K144" s="4" t="s">
        <v>335</v>
      </c>
      <c r="L144" s="1" t="s">
        <v>4</v>
      </c>
      <c r="M144" s="1" t="s">
        <v>502</v>
      </c>
      <c r="N144" s="1" t="s">
        <v>113</v>
      </c>
    </row>
    <row r="145" spans="2:15" x14ac:dyDescent="0.25">
      <c r="B145" s="3">
        <v>46189</v>
      </c>
      <c r="C145" s="6" t="s">
        <v>503</v>
      </c>
      <c r="D145" s="1">
        <v>10500001</v>
      </c>
      <c r="E145" s="1" t="s">
        <v>505</v>
      </c>
      <c r="F145" s="2" t="s">
        <v>11</v>
      </c>
      <c r="G145" s="34">
        <v>1</v>
      </c>
      <c r="H145" s="2">
        <v>1</v>
      </c>
      <c r="I145" s="2">
        <v>0</v>
      </c>
      <c r="J145" s="2">
        <v>0</v>
      </c>
      <c r="K145" s="4" t="s">
        <v>335</v>
      </c>
      <c r="L145" s="1" t="s">
        <v>4</v>
      </c>
      <c r="M145" s="1" t="s">
        <v>507</v>
      </c>
      <c r="N145" s="1" t="s">
        <v>113</v>
      </c>
    </row>
    <row r="146" spans="2:15" x14ac:dyDescent="0.25">
      <c r="B146" s="3">
        <v>46189</v>
      </c>
      <c r="C146" s="6" t="s">
        <v>504</v>
      </c>
      <c r="D146" s="1">
        <v>10030011</v>
      </c>
      <c r="E146" s="1" t="s">
        <v>506</v>
      </c>
      <c r="F146" s="2" t="s">
        <v>11</v>
      </c>
      <c r="G146" s="34">
        <v>1</v>
      </c>
      <c r="H146" s="2">
        <v>1</v>
      </c>
      <c r="I146" s="2">
        <v>0</v>
      </c>
      <c r="J146" s="2">
        <v>0</v>
      </c>
      <c r="K146" s="4" t="s">
        <v>335</v>
      </c>
      <c r="L146" s="1" t="s">
        <v>4</v>
      </c>
      <c r="M146" s="1" t="s">
        <v>507</v>
      </c>
      <c r="N146" s="1" t="s">
        <v>113</v>
      </c>
    </row>
    <row r="147" spans="2:15" x14ac:dyDescent="0.25">
      <c r="B147" s="3">
        <v>46191</v>
      </c>
      <c r="C147" s="6" t="s">
        <v>508</v>
      </c>
      <c r="D147" s="1">
        <v>10140012</v>
      </c>
      <c r="E147" s="1" t="s">
        <v>510</v>
      </c>
      <c r="F147" s="2" t="s">
        <v>2</v>
      </c>
      <c r="G147" s="34">
        <v>1</v>
      </c>
      <c r="H147" s="2">
        <v>1</v>
      </c>
      <c r="I147" s="2">
        <v>0</v>
      </c>
      <c r="J147" s="2">
        <v>0</v>
      </c>
      <c r="K147" s="4" t="s">
        <v>335</v>
      </c>
      <c r="L147" s="1" t="s">
        <v>4</v>
      </c>
      <c r="M147" s="1" t="s">
        <v>512</v>
      </c>
      <c r="N147" s="1" t="s">
        <v>113</v>
      </c>
    </row>
    <row r="148" spans="2:15" x14ac:dyDescent="0.25">
      <c r="B148" s="3">
        <v>46191</v>
      </c>
      <c r="C148" s="6" t="s">
        <v>509</v>
      </c>
      <c r="D148" s="1">
        <v>10140001</v>
      </c>
      <c r="E148" s="1" t="s">
        <v>511</v>
      </c>
      <c r="F148" s="2" t="s">
        <v>2</v>
      </c>
      <c r="G148" s="34">
        <v>1</v>
      </c>
      <c r="H148" s="2">
        <v>1</v>
      </c>
      <c r="I148" s="2">
        <v>0</v>
      </c>
      <c r="J148" s="2">
        <v>0</v>
      </c>
      <c r="K148" s="4" t="s">
        <v>335</v>
      </c>
      <c r="L148" s="1" t="s">
        <v>4</v>
      </c>
      <c r="M148" s="1" t="s">
        <v>512</v>
      </c>
      <c r="N148" s="1" t="s">
        <v>113</v>
      </c>
    </row>
    <row r="149" spans="2:15" x14ac:dyDescent="0.25">
      <c r="B149" s="3"/>
      <c r="C149" s="6"/>
      <c r="D149" s="1"/>
      <c r="E149" s="1"/>
      <c r="F149" s="2"/>
      <c r="G149" s="34"/>
      <c r="H149" s="2"/>
      <c r="I149" s="2"/>
      <c r="J149" s="2"/>
      <c r="K149" s="4"/>
      <c r="L149" s="1"/>
      <c r="M149" s="1"/>
      <c r="N149" s="1"/>
    </row>
    <row r="150" spans="2:15" x14ac:dyDescent="0.25">
      <c r="B150" s="3"/>
      <c r="C150" s="6"/>
      <c r="D150" s="1"/>
      <c r="E150" s="1"/>
      <c r="F150" s="2"/>
      <c r="G150" s="34"/>
      <c r="H150" s="2"/>
      <c r="I150" s="2"/>
      <c r="J150" s="2"/>
      <c r="K150" s="4"/>
      <c r="L150" s="1"/>
      <c r="M150" s="1"/>
      <c r="N150" s="1"/>
    </row>
    <row r="151" spans="2:15" x14ac:dyDescent="0.25">
      <c r="B151" s="3"/>
      <c r="C151" s="6"/>
      <c r="D151" s="1"/>
      <c r="E151" s="1"/>
      <c r="F151" s="2"/>
      <c r="G151" s="34"/>
      <c r="H151" s="2"/>
      <c r="I151" s="2"/>
      <c r="J151" s="2"/>
      <c r="K151" s="4"/>
      <c r="L151" s="1"/>
      <c r="M151" s="1"/>
      <c r="N151" s="1"/>
    </row>
    <row r="152" spans="2:15" x14ac:dyDescent="0.25">
      <c r="B152" s="3"/>
      <c r="C152" s="6"/>
      <c r="D152" s="1"/>
      <c r="E152" s="1"/>
      <c r="F152" s="2"/>
      <c r="G152" s="34"/>
      <c r="H152" s="2"/>
      <c r="I152" s="2"/>
      <c r="J152" s="2"/>
      <c r="K152" s="4"/>
      <c r="L152" s="1"/>
      <c r="M152" s="1"/>
      <c r="N152" s="1"/>
    </row>
    <row r="153" spans="2:15" x14ac:dyDescent="0.25">
      <c r="B153" s="3"/>
      <c r="C153" s="6"/>
      <c r="D153" s="1"/>
      <c r="E153" s="1"/>
      <c r="F153" s="2"/>
      <c r="G153" s="34"/>
      <c r="H153" s="2"/>
      <c r="I153" s="2"/>
      <c r="J153" s="2"/>
      <c r="K153" s="4"/>
      <c r="L153" s="1"/>
      <c r="M153" s="1"/>
      <c r="N153" s="1"/>
    </row>
    <row r="154" spans="2:15" x14ac:dyDescent="0.25">
      <c r="B154" s="3"/>
      <c r="C154" s="6"/>
      <c r="D154" s="1"/>
      <c r="E154" s="1"/>
      <c r="F154" s="2"/>
      <c r="G154" s="34"/>
      <c r="H154" s="2"/>
      <c r="I154" s="2"/>
      <c r="J154" s="2"/>
      <c r="K154" s="4"/>
      <c r="L154" s="1"/>
      <c r="M154" s="1"/>
      <c r="N154" s="1"/>
    </row>
    <row r="155" spans="2:15" x14ac:dyDescent="0.25">
      <c r="B155" s="43" t="s">
        <v>127</v>
      </c>
      <c r="C155" s="43"/>
      <c r="D155" s="43"/>
      <c r="E155" s="43"/>
      <c r="F155" s="43"/>
      <c r="G155" s="9">
        <f>SUM(G8:G154)</f>
        <v>163</v>
      </c>
      <c r="H155" s="8">
        <f>SUM(H8:H154)</f>
        <v>84</v>
      </c>
      <c r="I155" s="8">
        <f t="shared" ref="I155:J155" si="0">SUM(I8:I154)</f>
        <v>37</v>
      </c>
      <c r="J155" s="8">
        <f t="shared" si="0"/>
        <v>42</v>
      </c>
      <c r="K155" s="8"/>
      <c r="L155" s="8"/>
      <c r="M155" s="1"/>
      <c r="N155" s="1"/>
      <c r="O155" s="1"/>
    </row>
  </sheetData>
  <autoFilter ref="B7:O148" xr:uid="{72D1E54F-F88E-4CF2-BAB5-515FD15DF34E}"/>
  <mergeCells count="1">
    <mergeCell ref="B155:F155"/>
  </mergeCells>
  <conditionalFormatting sqref="C8:C50">
    <cfRule type="duplicateValues" dxfId="13" priority="2"/>
  </conditionalFormatting>
  <conditionalFormatting sqref="C8:C148">
    <cfRule type="duplicateValues" dxfId="12" priority="1"/>
  </conditionalFormatting>
  <conditionalFormatting sqref="D92:D93">
    <cfRule type="duplicateValues" dxfId="11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C84-AC8E-4740-9687-7BC3CE039E09}">
  <sheetPr filterMode="1"/>
  <dimension ref="A1:AC108"/>
  <sheetViews>
    <sheetView topLeftCell="A73" workbookViewId="0">
      <selection activeCell="AB1" sqref="AB1:AB100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65.28515625" bestFit="1" customWidth="1"/>
    <col min="5" max="5" width="11.42578125" bestFit="1" customWidth="1"/>
    <col min="6" max="6" width="11.42578125" hidden="1" customWidth="1"/>
    <col min="7" max="7" width="10.140625" hidden="1" customWidth="1"/>
    <col min="8" max="8" width="9.140625" hidden="1" customWidth="1"/>
    <col min="9" max="27" width="10.140625" hidden="1" customWidth="1"/>
    <col min="28" max="28" width="11.42578125" bestFit="1" customWidth="1"/>
  </cols>
  <sheetData>
    <row r="1" spans="1:29" x14ac:dyDescent="0.25">
      <c r="A1" s="6" t="s">
        <v>140</v>
      </c>
      <c r="B1" s="23" t="s">
        <v>141</v>
      </c>
      <c r="C1" s="23" t="s">
        <v>142</v>
      </c>
      <c r="D1" s="21" t="s">
        <v>143</v>
      </c>
      <c r="E1" s="21" t="s">
        <v>144</v>
      </c>
      <c r="F1" s="21" t="s">
        <v>360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282</v>
      </c>
      <c r="L1" s="21" t="s">
        <v>284</v>
      </c>
      <c r="M1" s="21" t="s">
        <v>357</v>
      </c>
      <c r="N1" s="21" t="s">
        <v>394</v>
      </c>
      <c r="O1" s="21" t="s">
        <v>395</v>
      </c>
      <c r="P1" s="21" t="s">
        <v>397</v>
      </c>
      <c r="Q1" s="21" t="s">
        <v>398</v>
      </c>
      <c r="R1" s="21" t="s">
        <v>396</v>
      </c>
      <c r="S1" s="21" t="s">
        <v>499</v>
      </c>
      <c r="T1" s="21" t="s">
        <v>515</v>
      </c>
      <c r="U1" s="21" t="s">
        <v>516</v>
      </c>
      <c r="V1" s="21" t="s">
        <v>517</v>
      </c>
      <c r="W1" s="21" t="s">
        <v>518</v>
      </c>
      <c r="X1" s="21" t="s">
        <v>519</v>
      </c>
      <c r="Y1" s="21" t="s">
        <v>520</v>
      </c>
      <c r="Z1" s="21" t="s">
        <v>521</v>
      </c>
      <c r="AA1" s="21" t="s">
        <v>522</v>
      </c>
      <c r="AB1" s="11" t="s">
        <v>222</v>
      </c>
      <c r="AC1" s="21" t="s">
        <v>109</v>
      </c>
    </row>
    <row r="2" spans="1:29" x14ac:dyDescent="0.25">
      <c r="A2" s="1"/>
      <c r="B2" s="1" t="s">
        <v>145</v>
      </c>
      <c r="C2" s="1">
        <v>10130027</v>
      </c>
      <c r="D2" s="16" t="s">
        <v>146</v>
      </c>
      <c r="E2" s="17">
        <v>640</v>
      </c>
      <c r="F2" s="17"/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/>
      <c r="V2" s="22"/>
      <c r="W2" s="22"/>
      <c r="X2" s="22"/>
      <c r="Y2" s="22"/>
      <c r="Z2" s="22"/>
      <c r="AA2" s="22"/>
      <c r="AB2" s="28">
        <f t="shared" ref="AB2:AB7" si="0">E2-SUM(F2:AA2)</f>
        <v>640</v>
      </c>
      <c r="AC2" s="1"/>
    </row>
    <row r="3" spans="1:29" hidden="1" x14ac:dyDescent="0.25">
      <c r="A3" s="1"/>
      <c r="B3" s="2" t="s">
        <v>147</v>
      </c>
      <c r="C3" s="1">
        <v>10080014</v>
      </c>
      <c r="D3" s="1" t="s">
        <v>148</v>
      </c>
      <c r="E3" s="17">
        <v>7142</v>
      </c>
      <c r="F3" s="17"/>
      <c r="G3" s="22">
        <v>1011</v>
      </c>
      <c r="H3" s="22">
        <v>481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3000</v>
      </c>
      <c r="P3" s="22">
        <v>3517</v>
      </c>
      <c r="Q3" s="22">
        <v>0</v>
      </c>
      <c r="R3" s="22">
        <v>0</v>
      </c>
      <c r="S3" s="22">
        <v>0</v>
      </c>
      <c r="T3" s="22">
        <v>0</v>
      </c>
      <c r="U3" s="22"/>
      <c r="V3" s="22"/>
      <c r="W3" s="22"/>
      <c r="X3" s="22"/>
      <c r="Y3" s="22"/>
      <c r="Z3" s="22"/>
      <c r="AA3" s="22"/>
      <c r="AB3" s="28">
        <f t="shared" si="0"/>
        <v>-867</v>
      </c>
      <c r="AC3" s="1"/>
    </row>
    <row r="4" spans="1:29" x14ac:dyDescent="0.25">
      <c r="A4" s="1"/>
      <c r="B4" s="1" t="s">
        <v>149</v>
      </c>
      <c r="C4" s="1" t="e">
        <v>#N/A</v>
      </c>
      <c r="D4" s="16" t="s">
        <v>150</v>
      </c>
      <c r="E4" s="17">
        <v>8500</v>
      </c>
      <c r="F4" s="17"/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/>
      <c r="V4" s="22"/>
      <c r="W4" s="22"/>
      <c r="X4" s="22"/>
      <c r="Y4" s="22"/>
      <c r="Z4" s="22"/>
      <c r="AA4" s="22"/>
      <c r="AB4" s="28">
        <f t="shared" si="0"/>
        <v>8500</v>
      </c>
      <c r="AC4" s="1"/>
    </row>
    <row r="5" spans="1:29" x14ac:dyDescent="0.25">
      <c r="A5" s="1"/>
      <c r="B5" s="1" t="s">
        <v>151</v>
      </c>
      <c r="C5" s="1" t="e">
        <v>#N/A</v>
      </c>
      <c r="D5" s="16" t="s">
        <v>152</v>
      </c>
      <c r="E5" s="17">
        <v>6618</v>
      </c>
      <c r="F5" s="17"/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/>
      <c r="V5" s="22"/>
      <c r="W5" s="22"/>
      <c r="X5" s="22"/>
      <c r="Y5" s="22"/>
      <c r="Z5" s="22"/>
      <c r="AA5" s="22"/>
      <c r="AB5" s="28">
        <f t="shared" si="0"/>
        <v>6618</v>
      </c>
      <c r="AC5" s="1"/>
    </row>
    <row r="6" spans="1:29" x14ac:dyDescent="0.25">
      <c r="A6" s="1"/>
      <c r="B6" s="1" t="s">
        <v>153</v>
      </c>
      <c r="C6" s="1">
        <v>10080017</v>
      </c>
      <c r="D6" s="16" t="s">
        <v>154</v>
      </c>
      <c r="E6" s="17">
        <v>14200</v>
      </c>
      <c r="F6" s="17"/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/>
      <c r="V6" s="22"/>
      <c r="W6" s="22"/>
      <c r="X6" s="22"/>
      <c r="Y6" s="22"/>
      <c r="Z6" s="22"/>
      <c r="AA6" s="22"/>
      <c r="AB6" s="28">
        <f t="shared" si="0"/>
        <v>14200</v>
      </c>
      <c r="AC6" s="1"/>
    </row>
    <row r="7" spans="1:29" x14ac:dyDescent="0.25">
      <c r="A7" s="1"/>
      <c r="B7" s="1" t="s">
        <v>155</v>
      </c>
      <c r="C7" s="1">
        <v>10110022</v>
      </c>
      <c r="D7" s="16" t="s">
        <v>156</v>
      </c>
      <c r="E7" s="17">
        <v>1878</v>
      </c>
      <c r="F7" s="17"/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/>
      <c r="V7" s="22"/>
      <c r="W7" s="22"/>
      <c r="X7" s="22"/>
      <c r="Y7" s="22"/>
      <c r="Z7" s="22"/>
      <c r="AA7" s="22"/>
      <c r="AB7" s="28">
        <f t="shared" si="0"/>
        <v>1878</v>
      </c>
      <c r="AC7" s="1"/>
    </row>
    <row r="8" spans="1:29" x14ac:dyDescent="0.25">
      <c r="A8" s="1"/>
      <c r="B8" s="1" t="s">
        <v>157</v>
      </c>
      <c r="C8" s="1">
        <v>10100004</v>
      </c>
      <c r="D8" s="16" t="s">
        <v>158</v>
      </c>
      <c r="E8" s="17">
        <v>7316</v>
      </c>
      <c r="F8" s="17"/>
      <c r="G8" s="22">
        <v>146</v>
      </c>
      <c r="H8" s="22">
        <v>0</v>
      </c>
      <c r="I8" s="22">
        <v>1265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/>
      <c r="V8" s="22"/>
      <c r="W8" s="22"/>
      <c r="X8" s="22"/>
      <c r="Y8" s="22"/>
      <c r="Z8" s="22"/>
      <c r="AA8" s="22"/>
      <c r="AB8" s="28">
        <f t="shared" ref="AB8:AB66" si="1">E8-SUM(F8:AA8)</f>
        <v>5905</v>
      </c>
      <c r="AC8" s="1"/>
    </row>
    <row r="9" spans="1:29" x14ac:dyDescent="0.25">
      <c r="A9" s="1"/>
      <c r="B9" s="1" t="s">
        <v>159</v>
      </c>
      <c r="C9" s="1">
        <v>10030020</v>
      </c>
      <c r="D9" s="16" t="s">
        <v>160</v>
      </c>
      <c r="E9" s="17">
        <v>14200</v>
      </c>
      <c r="F9" s="17"/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/>
      <c r="V9" s="22"/>
      <c r="W9" s="22"/>
      <c r="X9" s="22"/>
      <c r="Y9" s="22"/>
      <c r="Z9" s="22"/>
      <c r="AA9" s="22"/>
      <c r="AB9" s="28">
        <f t="shared" si="1"/>
        <v>14200</v>
      </c>
      <c r="AC9" s="1"/>
    </row>
    <row r="10" spans="1:29" x14ac:dyDescent="0.25">
      <c r="A10" s="1"/>
      <c r="B10" s="1" t="s">
        <v>161</v>
      </c>
      <c r="C10" s="1">
        <v>10090023</v>
      </c>
      <c r="D10" s="16" t="s">
        <v>162</v>
      </c>
      <c r="E10" s="17">
        <v>9996</v>
      </c>
      <c r="F10" s="17"/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/>
      <c r="V10" s="22"/>
      <c r="W10" s="22"/>
      <c r="X10" s="22"/>
      <c r="Y10" s="22"/>
      <c r="Z10" s="22"/>
      <c r="AA10" s="22"/>
      <c r="AB10" s="28">
        <f t="shared" si="1"/>
        <v>9996</v>
      </c>
      <c r="AC10" s="1"/>
    </row>
    <row r="11" spans="1:29" hidden="1" x14ac:dyDescent="0.25">
      <c r="A11" s="1"/>
      <c r="B11" s="1" t="s">
        <v>163</v>
      </c>
      <c r="C11" s="1">
        <v>10120024</v>
      </c>
      <c r="D11" s="16" t="s">
        <v>164</v>
      </c>
      <c r="E11" s="17">
        <v>704</v>
      </c>
      <c r="F11" s="17"/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704</v>
      </c>
      <c r="Q11" s="22">
        <v>0</v>
      </c>
      <c r="R11" s="22">
        <v>0</v>
      </c>
      <c r="S11" s="22">
        <v>0</v>
      </c>
      <c r="T11" s="22">
        <v>0</v>
      </c>
      <c r="U11" s="22"/>
      <c r="V11" s="22"/>
      <c r="W11" s="22"/>
      <c r="X11" s="22"/>
      <c r="Y11" s="22"/>
      <c r="Z11" s="22"/>
      <c r="AA11" s="22"/>
      <c r="AB11" s="28">
        <f t="shared" si="1"/>
        <v>0</v>
      </c>
      <c r="AC11" s="1"/>
    </row>
    <row r="12" spans="1:29" x14ac:dyDescent="0.25">
      <c r="A12" s="1"/>
      <c r="B12" s="1" t="s">
        <v>165</v>
      </c>
      <c r="C12" s="1">
        <v>10120022</v>
      </c>
      <c r="D12" s="16" t="s">
        <v>166</v>
      </c>
      <c r="E12" s="17">
        <v>4825</v>
      </c>
      <c r="F12" s="17"/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63</v>
      </c>
      <c r="R12" s="22">
        <v>0</v>
      </c>
      <c r="S12" s="22">
        <v>189</v>
      </c>
      <c r="T12" s="22">
        <v>0</v>
      </c>
      <c r="U12" s="22"/>
      <c r="V12" s="22"/>
      <c r="W12" s="22"/>
      <c r="X12" s="22"/>
      <c r="Y12" s="22"/>
      <c r="Z12" s="22"/>
      <c r="AA12" s="22"/>
      <c r="AB12" s="28">
        <f t="shared" si="1"/>
        <v>4573</v>
      </c>
      <c r="AC12" s="1"/>
    </row>
    <row r="13" spans="1:29" x14ac:dyDescent="0.25">
      <c r="A13" s="1"/>
      <c r="B13" s="1" t="s">
        <v>167</v>
      </c>
      <c r="C13" s="1">
        <v>10480004</v>
      </c>
      <c r="D13" s="16" t="s">
        <v>168</v>
      </c>
      <c r="E13" s="17">
        <v>6241</v>
      </c>
      <c r="F13" s="17"/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/>
      <c r="V13" s="22"/>
      <c r="W13" s="22"/>
      <c r="X13" s="22"/>
      <c r="Y13" s="22"/>
      <c r="Z13" s="22"/>
      <c r="AA13" s="22"/>
      <c r="AB13" s="28">
        <f t="shared" si="1"/>
        <v>6241</v>
      </c>
      <c r="AC13" s="1"/>
    </row>
    <row r="14" spans="1:29" x14ac:dyDescent="0.25">
      <c r="A14" s="1"/>
      <c r="B14" s="1" t="s">
        <v>169</v>
      </c>
      <c r="C14" s="1">
        <v>10100036</v>
      </c>
      <c r="D14" s="16" t="s">
        <v>170</v>
      </c>
      <c r="E14" s="17">
        <v>8196</v>
      </c>
      <c r="F14" s="17"/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/>
      <c r="V14" s="22"/>
      <c r="W14" s="22"/>
      <c r="X14" s="22"/>
      <c r="Y14" s="22"/>
      <c r="Z14" s="22"/>
      <c r="AA14" s="22"/>
      <c r="AB14" s="28">
        <f t="shared" si="1"/>
        <v>8196</v>
      </c>
      <c r="AC14" s="1"/>
    </row>
    <row r="15" spans="1:29" x14ac:dyDescent="0.25">
      <c r="A15" s="18">
        <v>45418</v>
      </c>
      <c r="B15" s="1" t="s">
        <v>171</v>
      </c>
      <c r="C15" s="1">
        <v>10130045</v>
      </c>
      <c r="D15" s="16" t="s">
        <v>172</v>
      </c>
      <c r="E15" s="17">
        <v>7592</v>
      </c>
      <c r="F15" s="17"/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/>
      <c r="V15" s="22"/>
      <c r="W15" s="22"/>
      <c r="X15" s="22"/>
      <c r="Y15" s="22"/>
      <c r="Z15" s="22"/>
      <c r="AA15" s="22"/>
      <c r="AB15" s="28">
        <f t="shared" si="1"/>
        <v>7592</v>
      </c>
      <c r="AC15" s="1"/>
    </row>
    <row r="16" spans="1:29" x14ac:dyDescent="0.25">
      <c r="A16" s="18">
        <v>45510</v>
      </c>
      <c r="B16" s="1"/>
      <c r="C16" s="1">
        <v>10140020</v>
      </c>
      <c r="D16" s="1" t="s">
        <v>173</v>
      </c>
      <c r="E16" s="17">
        <v>5683</v>
      </c>
      <c r="F16" s="17"/>
      <c r="G16" s="22">
        <v>0</v>
      </c>
      <c r="H16" s="22">
        <v>0</v>
      </c>
      <c r="I16" s="22">
        <v>125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/>
      <c r="V16" s="22"/>
      <c r="W16" s="22"/>
      <c r="X16" s="22"/>
      <c r="Y16" s="22"/>
      <c r="Z16" s="22"/>
      <c r="AA16" s="22"/>
      <c r="AB16" s="28">
        <f t="shared" si="1"/>
        <v>5558</v>
      </c>
      <c r="AC16" s="1"/>
    </row>
    <row r="17" spans="1:29" x14ac:dyDescent="0.25">
      <c r="A17" s="18">
        <v>45561</v>
      </c>
      <c r="B17" s="19" t="s">
        <v>174</v>
      </c>
      <c r="C17" s="1">
        <v>10100019</v>
      </c>
      <c r="D17" s="16" t="s">
        <v>175</v>
      </c>
      <c r="E17" s="17">
        <v>7238</v>
      </c>
      <c r="F17" s="17"/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/>
      <c r="V17" s="22"/>
      <c r="W17" s="22"/>
      <c r="X17" s="22"/>
      <c r="Y17" s="22"/>
      <c r="Z17" s="22"/>
      <c r="AA17" s="22"/>
      <c r="AB17" s="28">
        <f t="shared" si="1"/>
        <v>7238</v>
      </c>
      <c r="AC17" s="1"/>
    </row>
    <row r="18" spans="1:29" x14ac:dyDescent="0.25">
      <c r="A18" s="18">
        <v>45570</v>
      </c>
      <c r="B18" s="19" t="s">
        <v>176</v>
      </c>
      <c r="C18" s="1">
        <v>10060030</v>
      </c>
      <c r="D18" s="16" t="s">
        <v>177</v>
      </c>
      <c r="E18" s="17">
        <v>1420</v>
      </c>
      <c r="F18" s="17"/>
      <c r="G18" s="22">
        <v>294</v>
      </c>
      <c r="H18" s="22">
        <v>547</v>
      </c>
      <c r="I18" s="22">
        <v>535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/>
      <c r="Y18" s="22"/>
      <c r="Z18" s="22"/>
      <c r="AA18" s="22"/>
      <c r="AB18" s="28">
        <f t="shared" si="1"/>
        <v>44</v>
      </c>
      <c r="AC18" s="1"/>
    </row>
    <row r="19" spans="1:29" x14ac:dyDescent="0.25">
      <c r="A19" s="18">
        <v>45583</v>
      </c>
      <c r="B19" s="19" t="s">
        <v>178</v>
      </c>
      <c r="C19" s="1">
        <v>10120034</v>
      </c>
      <c r="D19" s="16" t="s">
        <v>179</v>
      </c>
      <c r="E19" s="17">
        <v>4162</v>
      </c>
      <c r="F19" s="17"/>
      <c r="G19" s="22">
        <v>1165</v>
      </c>
      <c r="H19" s="22">
        <v>395</v>
      </c>
      <c r="I19" s="22">
        <v>1005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/>
      <c r="V19" s="22"/>
      <c r="W19" s="22"/>
      <c r="X19" s="22"/>
      <c r="Y19" s="22"/>
      <c r="Z19" s="22"/>
      <c r="AA19" s="22"/>
      <c r="AB19" s="28">
        <f t="shared" si="1"/>
        <v>1597</v>
      </c>
      <c r="AC19" s="1"/>
    </row>
    <row r="20" spans="1:29" x14ac:dyDescent="0.25">
      <c r="A20" s="18">
        <v>45586</v>
      </c>
      <c r="B20" s="20" t="s">
        <v>180</v>
      </c>
      <c r="C20" s="1">
        <v>10140043</v>
      </c>
      <c r="D20" s="16" t="s">
        <v>181</v>
      </c>
      <c r="E20" s="17">
        <v>6303</v>
      </c>
      <c r="F20" s="17"/>
      <c r="G20" s="22">
        <v>415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/>
      <c r="V20" s="22"/>
      <c r="W20" s="22"/>
      <c r="X20" s="22"/>
      <c r="Y20" s="22"/>
      <c r="Z20" s="22"/>
      <c r="AA20" s="22"/>
      <c r="AB20" s="28">
        <f t="shared" si="1"/>
        <v>5888</v>
      </c>
      <c r="AC20" s="1"/>
    </row>
    <row r="21" spans="1:29" x14ac:dyDescent="0.25">
      <c r="A21" s="18">
        <v>45591</v>
      </c>
      <c r="B21" s="20" t="s">
        <v>182</v>
      </c>
      <c r="C21" s="1">
        <v>10130013</v>
      </c>
      <c r="D21" s="1" t="s">
        <v>183</v>
      </c>
      <c r="E21" s="17">
        <v>3401</v>
      </c>
      <c r="F21" s="17"/>
      <c r="G21" s="22">
        <v>733</v>
      </c>
      <c r="H21" s="22">
        <v>1113</v>
      </c>
      <c r="I21" s="22">
        <v>642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/>
      <c r="V21" s="22"/>
      <c r="W21" s="22"/>
      <c r="X21" s="22"/>
      <c r="Y21" s="22"/>
      <c r="Z21" s="22"/>
      <c r="AA21" s="22"/>
      <c r="AB21" s="28">
        <f t="shared" si="1"/>
        <v>913</v>
      </c>
      <c r="AC21" s="1"/>
    </row>
    <row r="22" spans="1:29" x14ac:dyDescent="0.25">
      <c r="A22" s="18">
        <v>45640</v>
      </c>
      <c r="B22" s="19" t="s">
        <v>184</v>
      </c>
      <c r="C22" s="1">
        <v>10090048</v>
      </c>
      <c r="D22" s="16" t="s">
        <v>185</v>
      </c>
      <c r="E22" s="17">
        <v>10700</v>
      </c>
      <c r="F22" s="17">
        <v>5400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/>
      <c r="V22" s="22"/>
      <c r="W22" s="22"/>
      <c r="X22" s="22"/>
      <c r="Y22" s="22"/>
      <c r="Z22" s="22"/>
      <c r="AA22" s="22"/>
      <c r="AB22" s="28">
        <f t="shared" si="1"/>
        <v>5300</v>
      </c>
      <c r="AC22" s="1"/>
    </row>
    <row r="23" spans="1:29" x14ac:dyDescent="0.25">
      <c r="A23" s="18">
        <v>45719</v>
      </c>
      <c r="B23" s="20" t="s">
        <v>186</v>
      </c>
      <c r="C23" s="1">
        <v>10130009</v>
      </c>
      <c r="D23" s="1" t="s">
        <v>187</v>
      </c>
      <c r="E23" s="17">
        <v>10700</v>
      </c>
      <c r="F23" s="17"/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/>
      <c r="V23" s="22"/>
      <c r="W23" s="22"/>
      <c r="X23" s="22"/>
      <c r="Y23" s="22"/>
      <c r="Z23" s="22"/>
      <c r="AA23" s="22"/>
      <c r="AB23" s="28">
        <f t="shared" si="1"/>
        <v>10700</v>
      </c>
      <c r="AC23" s="1"/>
    </row>
    <row r="24" spans="1:29" hidden="1" x14ac:dyDescent="0.25">
      <c r="A24" s="18">
        <v>45766</v>
      </c>
      <c r="B24" s="20" t="s">
        <v>188</v>
      </c>
      <c r="C24" s="1">
        <v>10100009</v>
      </c>
      <c r="D24" s="1" t="s">
        <v>189</v>
      </c>
      <c r="E24" s="17">
        <v>10700</v>
      </c>
      <c r="F24" s="17"/>
      <c r="G24" s="22">
        <v>5000</v>
      </c>
      <c r="H24" s="22">
        <v>0</v>
      </c>
      <c r="I24" s="22">
        <v>5000</v>
      </c>
      <c r="J24" s="22">
        <v>0</v>
      </c>
      <c r="K24" s="22">
        <v>700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/>
      <c r="V24" s="22"/>
      <c r="W24" s="22"/>
      <c r="X24" s="22"/>
      <c r="Y24" s="22"/>
      <c r="Z24" s="22"/>
      <c r="AA24" s="22"/>
      <c r="AB24" s="28">
        <f t="shared" si="1"/>
        <v>0</v>
      </c>
      <c r="AC24" s="1"/>
    </row>
    <row r="25" spans="1:29" x14ac:dyDescent="0.25">
      <c r="A25" s="18">
        <v>45766</v>
      </c>
      <c r="B25" s="20" t="s">
        <v>190</v>
      </c>
      <c r="C25" s="1">
        <v>10480014</v>
      </c>
      <c r="D25" s="1" t="s">
        <v>191</v>
      </c>
      <c r="E25" s="17">
        <v>10700</v>
      </c>
      <c r="F25" s="17"/>
      <c r="G25" s="22">
        <v>3834</v>
      </c>
      <c r="H25" s="22">
        <v>497</v>
      </c>
      <c r="I25" s="22">
        <v>2476</v>
      </c>
      <c r="J25" s="22">
        <v>0</v>
      </c>
      <c r="K25" s="22">
        <v>342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/>
      <c r="V25" s="22"/>
      <c r="W25" s="22"/>
      <c r="X25" s="22"/>
      <c r="Y25" s="22"/>
      <c r="Z25" s="22"/>
      <c r="AA25" s="22"/>
      <c r="AB25" s="28">
        <f t="shared" si="1"/>
        <v>3551</v>
      </c>
      <c r="AC25" s="1"/>
    </row>
    <row r="26" spans="1:29" x14ac:dyDescent="0.25">
      <c r="A26" s="18">
        <v>45783</v>
      </c>
      <c r="B26" s="20" t="s">
        <v>192</v>
      </c>
      <c r="C26" s="1">
        <v>10140001</v>
      </c>
      <c r="D26" s="1" t="s">
        <v>193</v>
      </c>
      <c r="E26" s="17">
        <v>10700</v>
      </c>
      <c r="F26" s="17"/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439</v>
      </c>
      <c r="P26" s="22">
        <v>2326</v>
      </c>
      <c r="Q26" s="22">
        <v>1172</v>
      </c>
      <c r="R26" s="22">
        <v>696</v>
      </c>
      <c r="S26" s="22">
        <v>1269</v>
      </c>
      <c r="T26" s="22">
        <v>539</v>
      </c>
      <c r="U26" s="22"/>
      <c r="V26" s="22"/>
      <c r="W26" s="22"/>
      <c r="X26" s="22"/>
      <c r="Y26" s="22"/>
      <c r="Z26" s="22"/>
      <c r="AA26" s="22"/>
      <c r="AB26" s="28">
        <f t="shared" si="1"/>
        <v>4259</v>
      </c>
      <c r="AC26" s="1"/>
    </row>
    <row r="27" spans="1:29" x14ac:dyDescent="0.25">
      <c r="A27" s="18">
        <v>45787</v>
      </c>
      <c r="B27" s="20" t="s">
        <v>194</v>
      </c>
      <c r="C27" s="1">
        <v>10090032</v>
      </c>
      <c r="D27" s="1" t="s">
        <v>195</v>
      </c>
      <c r="E27" s="17">
        <v>10700</v>
      </c>
      <c r="F27" s="17">
        <v>5000</v>
      </c>
      <c r="G27" s="22">
        <v>0</v>
      </c>
      <c r="H27" s="22">
        <v>0</v>
      </c>
      <c r="I27" s="22">
        <v>587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/>
      <c r="V27" s="22"/>
      <c r="W27" s="22"/>
      <c r="X27" s="22"/>
      <c r="Y27" s="22"/>
      <c r="Z27" s="22"/>
      <c r="AA27" s="22"/>
      <c r="AB27" s="28">
        <f t="shared" si="1"/>
        <v>5113</v>
      </c>
      <c r="AC27" s="1"/>
    </row>
    <row r="28" spans="1:29" hidden="1" x14ac:dyDescent="0.25">
      <c r="A28" s="18">
        <v>45787</v>
      </c>
      <c r="B28" s="20" t="s">
        <v>423</v>
      </c>
      <c r="C28" s="1">
        <v>10020021</v>
      </c>
      <c r="D28" s="1" t="s">
        <v>424</v>
      </c>
      <c r="E28" s="17">
        <v>10700</v>
      </c>
      <c r="F28" s="17">
        <v>5000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3000</v>
      </c>
      <c r="R28" s="22">
        <v>2700</v>
      </c>
      <c r="S28" s="22">
        <v>0</v>
      </c>
      <c r="T28" s="22">
        <v>0</v>
      </c>
      <c r="U28" s="22"/>
      <c r="V28" s="22"/>
      <c r="W28" s="22"/>
      <c r="X28" s="22"/>
      <c r="Y28" s="22"/>
      <c r="Z28" s="22"/>
      <c r="AA28" s="22"/>
      <c r="AB28" s="28">
        <f t="shared" si="1"/>
        <v>0</v>
      </c>
      <c r="AC28" s="1"/>
    </row>
    <row r="29" spans="1:29" x14ac:dyDescent="0.25">
      <c r="A29" s="18">
        <v>45803</v>
      </c>
      <c r="B29" s="20" t="s">
        <v>196</v>
      </c>
      <c r="C29" s="1">
        <v>10140022</v>
      </c>
      <c r="D29" s="1" t="s">
        <v>197</v>
      </c>
      <c r="E29" s="17">
        <v>10700</v>
      </c>
      <c r="F29" s="17"/>
      <c r="G29" s="22">
        <v>0</v>
      </c>
      <c r="H29" s="22">
        <v>0</v>
      </c>
      <c r="I29" s="22">
        <v>634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1104</v>
      </c>
      <c r="Q29" s="22">
        <v>3000</v>
      </c>
      <c r="R29" s="22">
        <v>1211</v>
      </c>
      <c r="S29" s="22">
        <v>295</v>
      </c>
      <c r="T29" s="22">
        <v>0</v>
      </c>
      <c r="U29" s="22"/>
      <c r="V29" s="22"/>
      <c r="W29" s="22"/>
      <c r="X29" s="22"/>
      <c r="Y29" s="22"/>
      <c r="Z29" s="22"/>
      <c r="AA29" s="22"/>
      <c r="AB29" s="28">
        <f t="shared" si="1"/>
        <v>4456</v>
      </c>
      <c r="AC29" s="1"/>
    </row>
    <row r="30" spans="1:29" hidden="1" x14ac:dyDescent="0.25">
      <c r="A30" s="18">
        <v>45814</v>
      </c>
      <c r="B30" s="20" t="s">
        <v>198</v>
      </c>
      <c r="C30" s="1">
        <v>10140008</v>
      </c>
      <c r="D30" s="1" t="s">
        <v>199</v>
      </c>
      <c r="E30" s="17">
        <v>10700</v>
      </c>
      <c r="F30" s="17"/>
      <c r="G30" s="22">
        <v>0</v>
      </c>
      <c r="H30" s="22">
        <v>0</v>
      </c>
      <c r="I30" s="22">
        <v>3000</v>
      </c>
      <c r="J30" s="22">
        <v>0</v>
      </c>
      <c r="K30" s="22">
        <v>1373</v>
      </c>
      <c r="L30" s="22">
        <v>0</v>
      </c>
      <c r="M30" s="22">
        <v>3000</v>
      </c>
      <c r="N30" s="22">
        <v>3000</v>
      </c>
      <c r="O30" s="22">
        <v>327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/>
      <c r="V30" s="22"/>
      <c r="W30" s="22"/>
      <c r="X30" s="22"/>
      <c r="Y30" s="22"/>
      <c r="Z30" s="22"/>
      <c r="AA30" s="22"/>
      <c r="AB30" s="28">
        <f t="shared" si="1"/>
        <v>0</v>
      </c>
      <c r="AC30" s="1"/>
    </row>
    <row r="31" spans="1:29" x14ac:dyDescent="0.25">
      <c r="A31" s="18">
        <v>45814</v>
      </c>
      <c r="B31" s="20" t="s">
        <v>200</v>
      </c>
      <c r="C31" s="1">
        <v>10140015</v>
      </c>
      <c r="D31" s="1" t="s">
        <v>46</v>
      </c>
      <c r="E31" s="17">
        <v>10700</v>
      </c>
      <c r="F31" s="17"/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/>
      <c r="V31" s="22"/>
      <c r="W31" s="22"/>
      <c r="X31" s="22"/>
      <c r="Y31" s="22"/>
      <c r="Z31" s="22"/>
      <c r="AA31" s="22"/>
      <c r="AB31" s="28">
        <f t="shared" si="1"/>
        <v>10700</v>
      </c>
      <c r="AC31" s="1"/>
    </row>
    <row r="32" spans="1:29" x14ac:dyDescent="0.25">
      <c r="A32" s="18">
        <v>45828</v>
      </c>
      <c r="B32" s="20" t="s">
        <v>201</v>
      </c>
      <c r="C32" s="1">
        <v>10070033</v>
      </c>
      <c r="D32" s="1" t="s">
        <v>202</v>
      </c>
      <c r="E32" s="17">
        <v>10700</v>
      </c>
      <c r="F32" s="17"/>
      <c r="G32" s="22">
        <v>0</v>
      </c>
      <c r="H32" s="22">
        <v>0</v>
      </c>
      <c r="I32" s="22">
        <v>1173</v>
      </c>
      <c r="J32" s="22">
        <v>0</v>
      </c>
      <c r="K32" s="22">
        <v>0</v>
      </c>
      <c r="L32" s="22">
        <v>0</v>
      </c>
      <c r="M32" s="22">
        <v>48</v>
      </c>
      <c r="N32" s="22">
        <v>48</v>
      </c>
      <c r="O32" s="22">
        <v>829</v>
      </c>
      <c r="P32" s="22">
        <v>316</v>
      </c>
      <c r="Q32" s="22">
        <v>757</v>
      </c>
      <c r="R32" s="22">
        <v>0</v>
      </c>
      <c r="S32" s="22">
        <v>986</v>
      </c>
      <c r="T32" s="22">
        <v>624</v>
      </c>
      <c r="U32" s="22"/>
      <c r="V32" s="22"/>
      <c r="W32" s="22"/>
      <c r="X32" s="22"/>
      <c r="Y32" s="22"/>
      <c r="Z32" s="22"/>
      <c r="AA32" s="22"/>
      <c r="AB32" s="28">
        <f t="shared" si="1"/>
        <v>5919</v>
      </c>
      <c r="AC32" s="1"/>
    </row>
    <row r="33" spans="1:29" x14ac:dyDescent="0.25">
      <c r="A33" s="18">
        <v>45828</v>
      </c>
      <c r="B33" s="20" t="s">
        <v>203</v>
      </c>
      <c r="C33" s="1">
        <v>10100037</v>
      </c>
      <c r="D33" s="1" t="s">
        <v>204</v>
      </c>
      <c r="E33" s="17">
        <v>10700</v>
      </c>
      <c r="F33" s="17"/>
      <c r="G33" s="22">
        <v>0</v>
      </c>
      <c r="H33" s="22">
        <v>0</v>
      </c>
      <c r="I33" s="22">
        <v>3000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/>
      <c r="V33" s="22"/>
      <c r="W33" s="22"/>
      <c r="X33" s="22"/>
      <c r="Y33" s="22"/>
      <c r="Z33" s="22"/>
      <c r="AA33" s="22"/>
      <c r="AB33" s="28">
        <f t="shared" si="1"/>
        <v>7700</v>
      </c>
      <c r="AC33" s="1"/>
    </row>
    <row r="34" spans="1:29" x14ac:dyDescent="0.25">
      <c r="A34" s="18">
        <v>45828</v>
      </c>
      <c r="B34" s="20" t="s">
        <v>205</v>
      </c>
      <c r="C34" s="1">
        <v>10070049</v>
      </c>
      <c r="D34" s="1" t="s">
        <v>54</v>
      </c>
      <c r="E34" s="17">
        <v>10700</v>
      </c>
      <c r="F34" s="17"/>
      <c r="G34" s="22">
        <v>0</v>
      </c>
      <c r="H34" s="22">
        <v>0</v>
      </c>
      <c r="I34" s="22">
        <v>890</v>
      </c>
      <c r="J34" s="22">
        <v>3073</v>
      </c>
      <c r="K34" s="22">
        <v>2290</v>
      </c>
      <c r="L34" s="22">
        <v>2237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/>
      <c r="V34" s="22"/>
      <c r="W34" s="22"/>
      <c r="X34" s="22"/>
      <c r="Y34" s="22"/>
      <c r="Z34" s="22"/>
      <c r="AA34" s="22"/>
      <c r="AB34" s="28">
        <f t="shared" si="1"/>
        <v>2210</v>
      </c>
      <c r="AC34" s="1"/>
    </row>
    <row r="35" spans="1:29" x14ac:dyDescent="0.25">
      <c r="A35" s="18">
        <v>45834</v>
      </c>
      <c r="B35" s="20" t="s">
        <v>206</v>
      </c>
      <c r="C35" s="1">
        <v>10120083</v>
      </c>
      <c r="D35" s="1" t="s">
        <v>56</v>
      </c>
      <c r="E35" s="17">
        <v>10700</v>
      </c>
      <c r="F35" s="17"/>
      <c r="G35" s="22">
        <v>0</v>
      </c>
      <c r="H35" s="22">
        <v>0</v>
      </c>
      <c r="I35" s="22">
        <v>266</v>
      </c>
      <c r="J35" s="22">
        <v>0</v>
      </c>
      <c r="K35" s="22">
        <v>443</v>
      </c>
      <c r="L35" s="22">
        <v>1030</v>
      </c>
      <c r="M35" s="22">
        <v>1825</v>
      </c>
      <c r="N35" s="22">
        <v>1825</v>
      </c>
      <c r="O35" s="22">
        <v>1064</v>
      </c>
      <c r="P35" s="22">
        <v>678</v>
      </c>
      <c r="Q35" s="22">
        <v>618</v>
      </c>
      <c r="R35" s="22">
        <v>0</v>
      </c>
      <c r="S35" s="22">
        <v>0</v>
      </c>
      <c r="T35" s="22">
        <v>0</v>
      </c>
      <c r="U35" s="22"/>
      <c r="V35" s="22"/>
      <c r="W35" s="22"/>
      <c r="X35" s="22"/>
      <c r="Y35" s="22"/>
      <c r="Z35" s="22"/>
      <c r="AA35" s="22"/>
      <c r="AB35" s="28">
        <f t="shared" si="1"/>
        <v>2951</v>
      </c>
      <c r="AC35" s="1"/>
    </row>
    <row r="36" spans="1:29" hidden="1" x14ac:dyDescent="0.25">
      <c r="A36" s="18">
        <v>45834</v>
      </c>
      <c r="B36" s="20" t="s">
        <v>207</v>
      </c>
      <c r="C36" s="1">
        <v>10120046</v>
      </c>
      <c r="D36" s="6" t="s">
        <v>208</v>
      </c>
      <c r="E36" s="17">
        <v>10700</v>
      </c>
      <c r="F36" s="17"/>
      <c r="G36" s="22">
        <v>0</v>
      </c>
      <c r="H36" s="22">
        <v>0</v>
      </c>
      <c r="I36" s="22">
        <v>3000</v>
      </c>
      <c r="J36" s="22">
        <v>5000</v>
      </c>
      <c r="K36" s="22">
        <v>2700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/>
      <c r="V36" s="22"/>
      <c r="W36" s="22"/>
      <c r="X36" s="22"/>
      <c r="Y36" s="22"/>
      <c r="Z36" s="22"/>
      <c r="AA36" s="22"/>
      <c r="AB36" s="28">
        <f t="shared" si="1"/>
        <v>0</v>
      </c>
      <c r="AC36" s="1"/>
    </row>
    <row r="37" spans="1:29" hidden="1" x14ac:dyDescent="0.25">
      <c r="A37" s="18">
        <v>45834</v>
      </c>
      <c r="B37" s="20" t="s">
        <v>209</v>
      </c>
      <c r="C37" s="1">
        <v>10130012</v>
      </c>
      <c r="D37" s="1" t="s">
        <v>210</v>
      </c>
      <c r="E37" s="17">
        <v>10700</v>
      </c>
      <c r="F37" s="17"/>
      <c r="G37" s="22">
        <v>0</v>
      </c>
      <c r="H37" s="22">
        <v>0</v>
      </c>
      <c r="I37" s="22">
        <v>3000</v>
      </c>
      <c r="J37" s="22">
        <v>5000</v>
      </c>
      <c r="K37" s="22">
        <v>2700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/>
      <c r="V37" s="22"/>
      <c r="W37" s="22"/>
      <c r="X37" s="22"/>
      <c r="Y37" s="22"/>
      <c r="Z37" s="22"/>
      <c r="AA37" s="22"/>
      <c r="AB37" s="28">
        <f t="shared" si="1"/>
        <v>0</v>
      </c>
      <c r="AC37" s="1"/>
    </row>
    <row r="38" spans="1:29" x14ac:dyDescent="0.25">
      <c r="A38" s="18">
        <v>45845</v>
      </c>
      <c r="B38" s="20" t="s">
        <v>211</v>
      </c>
      <c r="C38" s="1">
        <v>10090036</v>
      </c>
      <c r="D38" s="1" t="s">
        <v>212</v>
      </c>
      <c r="E38" s="17">
        <v>10700</v>
      </c>
      <c r="F38" s="17">
        <v>5000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562</v>
      </c>
      <c r="M38" s="22">
        <v>570</v>
      </c>
      <c r="N38" s="22">
        <v>570</v>
      </c>
      <c r="O38" s="22">
        <v>3000</v>
      </c>
      <c r="P38" s="22">
        <v>488</v>
      </c>
      <c r="Q38" s="22">
        <v>0</v>
      </c>
      <c r="R38" s="22">
        <v>0</v>
      </c>
      <c r="S38" s="22">
        <v>0</v>
      </c>
      <c r="T38" s="22">
        <v>0</v>
      </c>
      <c r="U38" s="22"/>
      <c r="V38" s="22"/>
      <c r="W38" s="22"/>
      <c r="X38" s="22"/>
      <c r="Y38" s="22"/>
      <c r="Z38" s="22"/>
      <c r="AA38" s="22"/>
      <c r="AB38" s="28">
        <f t="shared" si="1"/>
        <v>510</v>
      </c>
      <c r="AC38" s="1"/>
    </row>
    <row r="39" spans="1:29" x14ac:dyDescent="0.25">
      <c r="A39" s="18">
        <v>45852</v>
      </c>
      <c r="B39" s="20" t="s">
        <v>213</v>
      </c>
      <c r="C39" s="1">
        <v>10020037</v>
      </c>
      <c r="D39" s="1" t="s">
        <v>214</v>
      </c>
      <c r="E39" s="17">
        <v>10700</v>
      </c>
      <c r="F39" s="17">
        <v>1000</v>
      </c>
      <c r="G39" s="22">
        <v>0</v>
      </c>
      <c r="H39" s="22">
        <v>0</v>
      </c>
      <c r="I39" s="22">
        <v>0</v>
      </c>
      <c r="J39" s="22">
        <v>1620</v>
      </c>
      <c r="K39" s="22">
        <v>1088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/>
      <c r="V39" s="22"/>
      <c r="W39" s="22"/>
      <c r="X39" s="22"/>
      <c r="Y39" s="22"/>
      <c r="Z39" s="22"/>
      <c r="AA39" s="22"/>
      <c r="AB39" s="28">
        <f t="shared" si="1"/>
        <v>6992</v>
      </c>
      <c r="AC39" s="1"/>
    </row>
    <row r="40" spans="1:29" x14ac:dyDescent="0.25">
      <c r="A40" s="18">
        <v>45852</v>
      </c>
      <c r="B40" s="20" t="s">
        <v>215</v>
      </c>
      <c r="C40" s="20" t="s">
        <v>215</v>
      </c>
      <c r="D40" s="1" t="s">
        <v>79</v>
      </c>
      <c r="E40" s="17">
        <v>10700</v>
      </c>
      <c r="F40" s="17"/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/>
      <c r="V40" s="22"/>
      <c r="W40" s="22"/>
      <c r="X40" s="22"/>
      <c r="Y40" s="22"/>
      <c r="Z40" s="22"/>
      <c r="AA40" s="22"/>
      <c r="AB40" s="28">
        <f t="shared" si="1"/>
        <v>10700</v>
      </c>
      <c r="AC40" s="1"/>
    </row>
    <row r="41" spans="1:29" x14ac:dyDescent="0.25">
      <c r="A41" s="18">
        <v>45867</v>
      </c>
      <c r="B41" s="20" t="s">
        <v>216</v>
      </c>
      <c r="C41" s="1">
        <v>10090046</v>
      </c>
      <c r="D41" s="1" t="s">
        <v>217</v>
      </c>
      <c r="E41" s="17">
        <v>10700</v>
      </c>
      <c r="F41" s="17">
        <v>5000</v>
      </c>
      <c r="G41" s="22">
        <v>0</v>
      </c>
      <c r="H41" s="22">
        <v>0</v>
      </c>
      <c r="I41" s="22">
        <v>0</v>
      </c>
      <c r="J41" s="22">
        <v>0</v>
      </c>
      <c r="K41" s="22">
        <v>606</v>
      </c>
      <c r="L41" s="22">
        <v>999</v>
      </c>
      <c r="M41" s="22">
        <v>0</v>
      </c>
      <c r="N41" s="22">
        <v>0</v>
      </c>
      <c r="O41" s="22">
        <v>639</v>
      </c>
      <c r="P41" s="22">
        <v>0</v>
      </c>
      <c r="Q41" s="22">
        <v>0</v>
      </c>
      <c r="R41" s="22">
        <v>0</v>
      </c>
      <c r="S41" s="22">
        <v>0</v>
      </c>
      <c r="T41" s="22">
        <v>652</v>
      </c>
      <c r="U41" s="22"/>
      <c r="V41" s="22"/>
      <c r="W41" s="22"/>
      <c r="X41" s="22"/>
      <c r="Y41" s="22"/>
      <c r="Z41" s="22"/>
      <c r="AA41" s="22"/>
      <c r="AB41" s="28">
        <f t="shared" si="1"/>
        <v>2804</v>
      </c>
      <c r="AC41" s="1"/>
    </row>
    <row r="42" spans="1:29" x14ac:dyDescent="0.25">
      <c r="A42" s="18">
        <v>45946</v>
      </c>
      <c r="B42" s="20" t="s">
        <v>471</v>
      </c>
      <c r="C42" s="1">
        <v>10090045</v>
      </c>
      <c r="D42" s="5" t="s">
        <v>472</v>
      </c>
      <c r="E42" s="17">
        <v>10700</v>
      </c>
      <c r="F42" s="17">
        <v>5000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2601</v>
      </c>
      <c r="U42" s="22"/>
      <c r="V42" s="22"/>
      <c r="W42" s="22"/>
      <c r="X42" s="22"/>
      <c r="Y42" s="22"/>
      <c r="Z42" s="22"/>
      <c r="AA42" s="22"/>
      <c r="AB42" s="28">
        <f t="shared" si="1"/>
        <v>3099</v>
      </c>
      <c r="AC42" s="1"/>
    </row>
    <row r="43" spans="1:29" x14ac:dyDescent="0.25">
      <c r="A43" s="18">
        <v>45948</v>
      </c>
      <c r="B43" s="20"/>
      <c r="C43" s="1">
        <v>10130026</v>
      </c>
      <c r="D43" s="1" t="s">
        <v>358</v>
      </c>
      <c r="E43" s="17">
        <v>10700</v>
      </c>
      <c r="F43" s="17"/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5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/>
      <c r="V43" s="22"/>
      <c r="W43" s="22"/>
      <c r="X43" s="22"/>
      <c r="Y43" s="22"/>
      <c r="Z43" s="22"/>
      <c r="AA43" s="22"/>
      <c r="AB43" s="28">
        <f t="shared" si="1"/>
        <v>10695</v>
      </c>
      <c r="AC43" s="1"/>
    </row>
    <row r="44" spans="1:29" x14ac:dyDescent="0.25">
      <c r="A44" s="18">
        <v>45948</v>
      </c>
      <c r="B44" s="20"/>
      <c r="C44" s="1">
        <v>10130006</v>
      </c>
      <c r="D44" s="1" t="s">
        <v>301</v>
      </c>
      <c r="E44" s="17">
        <v>10700</v>
      </c>
      <c r="F44" s="17"/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3000</v>
      </c>
      <c r="P44" s="22">
        <v>2399</v>
      </c>
      <c r="Q44" s="22">
        <v>2235</v>
      </c>
      <c r="R44" s="22">
        <v>289</v>
      </c>
      <c r="S44" s="22">
        <v>0</v>
      </c>
      <c r="T44" s="22">
        <v>0</v>
      </c>
      <c r="U44" s="22"/>
      <c r="V44" s="22"/>
      <c r="W44" s="22"/>
      <c r="X44" s="22"/>
      <c r="Y44" s="22"/>
      <c r="Z44" s="22"/>
      <c r="AA44" s="22"/>
      <c r="AB44" s="28">
        <f t="shared" si="1"/>
        <v>2777</v>
      </c>
      <c r="AC44" s="1"/>
    </row>
    <row r="45" spans="1:29" x14ac:dyDescent="0.25">
      <c r="A45" s="18">
        <v>45948</v>
      </c>
      <c r="B45" s="20"/>
      <c r="C45" s="1">
        <v>10120094</v>
      </c>
      <c r="D45" s="1" t="s">
        <v>300</v>
      </c>
      <c r="E45" s="17">
        <v>10700</v>
      </c>
      <c r="F45" s="17"/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2218</v>
      </c>
      <c r="P45" s="22">
        <v>2149</v>
      </c>
      <c r="Q45" s="22">
        <v>2929</v>
      </c>
      <c r="R45" s="22">
        <v>0</v>
      </c>
      <c r="S45" s="22">
        <v>2021</v>
      </c>
      <c r="T45" s="22">
        <v>0</v>
      </c>
      <c r="U45" s="22"/>
      <c r="V45" s="22"/>
      <c r="W45" s="22"/>
      <c r="X45" s="22"/>
      <c r="Y45" s="22"/>
      <c r="Z45" s="22"/>
      <c r="AA45" s="22"/>
      <c r="AB45" s="28">
        <f t="shared" si="1"/>
        <v>1383</v>
      </c>
      <c r="AC45" s="1"/>
    </row>
    <row r="46" spans="1:29" x14ac:dyDescent="0.25">
      <c r="A46" s="18">
        <v>45954</v>
      </c>
      <c r="B46" s="20"/>
      <c r="C46" s="1">
        <v>10060069</v>
      </c>
      <c r="D46" s="1" t="s">
        <v>308</v>
      </c>
      <c r="E46" s="17">
        <v>10700</v>
      </c>
      <c r="F46" s="17">
        <v>3000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/>
      <c r="V46" s="22"/>
      <c r="W46" s="22"/>
      <c r="X46" s="22"/>
      <c r="Y46" s="22"/>
      <c r="Z46" s="22"/>
      <c r="AA46" s="22"/>
      <c r="AB46" s="28">
        <f t="shared" si="1"/>
        <v>7700</v>
      </c>
      <c r="AC46" s="1"/>
    </row>
    <row r="47" spans="1:29" x14ac:dyDescent="0.25">
      <c r="A47" s="18">
        <v>45960</v>
      </c>
      <c r="B47" s="20"/>
      <c r="C47" s="1">
        <v>10360001</v>
      </c>
      <c r="D47" s="1" t="s">
        <v>309</v>
      </c>
      <c r="E47" s="17">
        <v>10700</v>
      </c>
      <c r="F47" s="17"/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3000</v>
      </c>
      <c r="P47" s="22">
        <v>4700</v>
      </c>
      <c r="Q47" s="22">
        <v>0</v>
      </c>
      <c r="R47" s="22">
        <v>0</v>
      </c>
      <c r="S47" s="22">
        <v>0</v>
      </c>
      <c r="T47" s="22">
        <v>0</v>
      </c>
      <c r="U47" s="22"/>
      <c r="V47" s="22"/>
      <c r="W47" s="22"/>
      <c r="X47" s="22"/>
      <c r="Y47" s="22"/>
      <c r="Z47" s="22"/>
      <c r="AA47" s="22"/>
      <c r="AB47" s="28">
        <f t="shared" si="1"/>
        <v>3000</v>
      </c>
      <c r="AC47" s="1"/>
    </row>
    <row r="48" spans="1:29" x14ac:dyDescent="0.25">
      <c r="A48" s="18">
        <v>45960</v>
      </c>
      <c r="B48" s="20"/>
      <c r="C48" s="1">
        <v>10070013</v>
      </c>
      <c r="D48" s="1" t="s">
        <v>310</v>
      </c>
      <c r="E48" s="17">
        <v>10700</v>
      </c>
      <c r="F48" s="17"/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27</v>
      </c>
      <c r="P48" s="22">
        <v>1205</v>
      </c>
      <c r="Q48" s="22">
        <v>3000</v>
      </c>
      <c r="R48" s="22">
        <v>614</v>
      </c>
      <c r="S48" s="22">
        <v>189</v>
      </c>
      <c r="T48" s="22">
        <v>0</v>
      </c>
      <c r="U48" s="22"/>
      <c r="V48" s="22"/>
      <c r="W48" s="22"/>
      <c r="X48" s="22"/>
      <c r="Y48" s="22"/>
      <c r="Z48" s="22"/>
      <c r="AA48" s="22"/>
      <c r="AB48" s="28">
        <f t="shared" si="1"/>
        <v>5665</v>
      </c>
      <c r="AC48" s="1"/>
    </row>
    <row r="49" spans="1:29" x14ac:dyDescent="0.25">
      <c r="A49" s="18">
        <v>45960</v>
      </c>
      <c r="B49" s="20"/>
      <c r="C49" s="1">
        <v>10100021</v>
      </c>
      <c r="D49" s="1" t="s">
        <v>311</v>
      </c>
      <c r="E49" s="17">
        <v>10700</v>
      </c>
      <c r="F49" s="17"/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1494</v>
      </c>
      <c r="P49" s="22">
        <v>836</v>
      </c>
      <c r="Q49" s="22">
        <v>2279</v>
      </c>
      <c r="R49" s="22">
        <v>610</v>
      </c>
      <c r="S49" s="22">
        <v>2052</v>
      </c>
      <c r="T49" s="22">
        <v>429</v>
      </c>
      <c r="U49" s="22"/>
      <c r="V49" s="22"/>
      <c r="W49" s="22"/>
      <c r="X49" s="22"/>
      <c r="Y49" s="22"/>
      <c r="Z49" s="22"/>
      <c r="AA49" s="22"/>
      <c r="AB49" s="28">
        <f t="shared" si="1"/>
        <v>3000</v>
      </c>
      <c r="AC49" s="1"/>
    </row>
    <row r="50" spans="1:29" x14ac:dyDescent="0.25">
      <c r="A50" s="18">
        <v>45960</v>
      </c>
      <c r="B50" s="20"/>
      <c r="C50" s="1">
        <v>10070008</v>
      </c>
      <c r="D50" s="1" t="s">
        <v>312</v>
      </c>
      <c r="E50" s="17">
        <v>10700</v>
      </c>
      <c r="F50" s="17"/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3000</v>
      </c>
      <c r="P50" s="22">
        <v>3000</v>
      </c>
      <c r="Q50" s="22">
        <v>1700</v>
      </c>
      <c r="R50" s="22">
        <v>0</v>
      </c>
      <c r="S50" s="22">
        <v>0</v>
      </c>
      <c r="T50" s="22">
        <v>0</v>
      </c>
      <c r="U50" s="22"/>
      <c r="V50" s="22"/>
      <c r="W50" s="22"/>
      <c r="X50" s="22"/>
      <c r="Y50" s="22"/>
      <c r="Z50" s="22"/>
      <c r="AA50" s="22"/>
      <c r="AB50" s="28">
        <f t="shared" si="1"/>
        <v>3000</v>
      </c>
      <c r="AC50" s="1"/>
    </row>
    <row r="51" spans="1:29" x14ac:dyDescent="0.25">
      <c r="A51" s="18">
        <v>45969</v>
      </c>
      <c r="B51" s="20" t="s">
        <v>337</v>
      </c>
      <c r="C51" s="1">
        <v>10140003</v>
      </c>
      <c r="D51" s="5" t="s">
        <v>326</v>
      </c>
      <c r="E51" s="17">
        <v>10700</v>
      </c>
      <c r="F51" s="17"/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3088</v>
      </c>
      <c r="N51" s="22">
        <v>3088</v>
      </c>
      <c r="O51" s="22">
        <v>687</v>
      </c>
      <c r="P51" s="22">
        <v>3000</v>
      </c>
      <c r="Q51" s="22">
        <v>0</v>
      </c>
      <c r="R51" s="22">
        <v>0</v>
      </c>
      <c r="S51" s="22">
        <v>0</v>
      </c>
      <c r="T51" s="22">
        <v>0</v>
      </c>
      <c r="U51" s="22"/>
      <c r="V51" s="22"/>
      <c r="W51" s="22"/>
      <c r="X51" s="22"/>
      <c r="Y51" s="22"/>
      <c r="Z51" s="22"/>
      <c r="AA51" s="22"/>
      <c r="AB51" s="28">
        <f t="shared" si="1"/>
        <v>837</v>
      </c>
      <c r="AC51" s="1"/>
    </row>
    <row r="52" spans="1:29" x14ac:dyDescent="0.25">
      <c r="A52" s="18">
        <v>45974</v>
      </c>
      <c r="B52" s="20" t="s">
        <v>338</v>
      </c>
      <c r="C52" s="1">
        <v>10020041</v>
      </c>
      <c r="D52" s="5" t="s">
        <v>339</v>
      </c>
      <c r="E52" s="17">
        <v>10700</v>
      </c>
      <c r="F52" s="17">
        <v>5000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94</v>
      </c>
      <c r="Q52" s="22">
        <v>138</v>
      </c>
      <c r="R52" s="22">
        <v>0</v>
      </c>
      <c r="S52" s="22">
        <v>0</v>
      </c>
      <c r="T52" s="22">
        <v>217</v>
      </c>
      <c r="U52" s="22"/>
      <c r="V52" s="22"/>
      <c r="W52" s="22"/>
      <c r="X52" s="22"/>
      <c r="Y52" s="22"/>
      <c r="Z52" s="22"/>
      <c r="AA52" s="22"/>
      <c r="AB52" s="28">
        <f t="shared" si="1"/>
        <v>5251</v>
      </c>
      <c r="AC52" s="1"/>
    </row>
    <row r="53" spans="1:29" x14ac:dyDescent="0.25">
      <c r="A53" s="18">
        <v>45974</v>
      </c>
      <c r="B53" s="20" t="s">
        <v>340</v>
      </c>
      <c r="C53" s="1">
        <v>10090003</v>
      </c>
      <c r="D53" s="5" t="s">
        <v>341</v>
      </c>
      <c r="E53" s="17">
        <v>10700</v>
      </c>
      <c r="F53" s="17">
        <v>5000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/>
      <c r="V53" s="22"/>
      <c r="W53" s="22"/>
      <c r="X53" s="22"/>
      <c r="Y53" s="22"/>
      <c r="Z53" s="22"/>
      <c r="AA53" s="22"/>
      <c r="AB53" s="28">
        <f t="shared" si="1"/>
        <v>5700</v>
      </c>
      <c r="AC53" s="1"/>
    </row>
    <row r="54" spans="1:29" x14ac:dyDescent="0.25">
      <c r="A54" s="18">
        <v>45974</v>
      </c>
      <c r="B54" s="20" t="s">
        <v>342</v>
      </c>
      <c r="C54" s="1">
        <v>10090037</v>
      </c>
      <c r="D54" s="5" t="s">
        <v>343</v>
      </c>
      <c r="E54" s="17">
        <v>10700</v>
      </c>
      <c r="F54" s="17">
        <v>5000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250</v>
      </c>
      <c r="P54" s="22">
        <v>0</v>
      </c>
      <c r="Q54" s="22">
        <v>751</v>
      </c>
      <c r="R54" s="22">
        <v>0</v>
      </c>
      <c r="S54" s="22">
        <v>602</v>
      </c>
      <c r="T54" s="22">
        <v>866</v>
      </c>
      <c r="U54" s="22"/>
      <c r="V54" s="22"/>
      <c r="W54" s="22"/>
      <c r="X54" s="22"/>
      <c r="Y54" s="22"/>
      <c r="Z54" s="22"/>
      <c r="AA54" s="22"/>
      <c r="AB54" s="28">
        <f t="shared" si="1"/>
        <v>3231</v>
      </c>
      <c r="AC54" s="1"/>
    </row>
    <row r="55" spans="1:29" x14ac:dyDescent="0.25">
      <c r="A55" s="18">
        <v>45974</v>
      </c>
      <c r="B55" s="20"/>
      <c r="C55" s="1">
        <v>10090058</v>
      </c>
      <c r="D55" s="5" t="s">
        <v>330</v>
      </c>
      <c r="E55" s="17">
        <v>10700</v>
      </c>
      <c r="F55" s="17"/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3000</v>
      </c>
      <c r="P55" s="22">
        <v>2302</v>
      </c>
      <c r="Q55" s="22">
        <v>2789</v>
      </c>
      <c r="R55" s="22">
        <v>0</v>
      </c>
      <c r="S55" s="22">
        <v>528</v>
      </c>
      <c r="T55" s="22">
        <v>0</v>
      </c>
      <c r="U55" s="22"/>
      <c r="V55" s="22"/>
      <c r="W55" s="22"/>
      <c r="X55" s="22"/>
      <c r="Y55" s="22"/>
      <c r="Z55" s="22"/>
      <c r="AA55" s="22"/>
      <c r="AB55" s="28">
        <f t="shared" si="1"/>
        <v>2081</v>
      </c>
      <c r="AC55" s="1" t="s">
        <v>359</v>
      </c>
    </row>
    <row r="56" spans="1:29" x14ac:dyDescent="0.25">
      <c r="A56" s="18">
        <v>45974</v>
      </c>
      <c r="B56" s="20"/>
      <c r="C56" s="1">
        <v>10010076</v>
      </c>
      <c r="D56" s="5" t="s">
        <v>344</v>
      </c>
      <c r="E56" s="17">
        <v>10700</v>
      </c>
      <c r="F56" s="17"/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696</v>
      </c>
      <c r="T56" s="22">
        <v>0</v>
      </c>
      <c r="U56" s="22"/>
      <c r="V56" s="22"/>
      <c r="W56" s="22"/>
      <c r="X56" s="22"/>
      <c r="Y56" s="22"/>
      <c r="Z56" s="22"/>
      <c r="AA56" s="22"/>
      <c r="AB56" s="28">
        <f t="shared" si="1"/>
        <v>10004</v>
      </c>
      <c r="AC56" s="1" t="s">
        <v>359</v>
      </c>
    </row>
    <row r="57" spans="1:29" x14ac:dyDescent="0.25">
      <c r="A57" s="18">
        <v>45989</v>
      </c>
      <c r="B57" s="20"/>
      <c r="C57" s="1">
        <v>10130093</v>
      </c>
      <c r="D57" s="1" t="s">
        <v>355</v>
      </c>
      <c r="E57" s="17">
        <v>10700</v>
      </c>
      <c r="F57" s="17"/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1127</v>
      </c>
      <c r="R57" s="22">
        <v>0</v>
      </c>
      <c r="S57" s="22">
        <v>0</v>
      </c>
      <c r="T57" s="22">
        <v>0</v>
      </c>
      <c r="U57" s="22"/>
      <c r="V57" s="22"/>
      <c r="W57" s="22"/>
      <c r="X57" s="22"/>
      <c r="Y57" s="22"/>
      <c r="Z57" s="22"/>
      <c r="AA57" s="22"/>
      <c r="AB57" s="28">
        <f t="shared" si="1"/>
        <v>9573</v>
      </c>
      <c r="AC57" s="1"/>
    </row>
    <row r="58" spans="1:29" x14ac:dyDescent="0.25">
      <c r="A58" s="18">
        <v>45989</v>
      </c>
      <c r="B58" s="20"/>
      <c r="C58" s="1">
        <v>10130047</v>
      </c>
      <c r="D58" s="1" t="s">
        <v>356</v>
      </c>
      <c r="E58" s="17">
        <v>10700</v>
      </c>
      <c r="F58" s="17"/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3000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/>
      <c r="V58" s="22"/>
      <c r="W58" s="22"/>
      <c r="X58" s="22"/>
      <c r="Y58" s="22"/>
      <c r="Z58" s="22"/>
      <c r="AA58" s="22"/>
      <c r="AB58" s="28">
        <f t="shared" si="1"/>
        <v>7700</v>
      </c>
      <c r="AC58" s="1"/>
    </row>
    <row r="59" spans="1:29" x14ac:dyDescent="0.25">
      <c r="A59" s="18">
        <v>46004</v>
      </c>
      <c r="B59" s="20"/>
      <c r="C59" s="1">
        <v>10140132</v>
      </c>
      <c r="D59" s="1" t="s">
        <v>382</v>
      </c>
      <c r="E59" s="17">
        <v>10700</v>
      </c>
      <c r="F59" s="17"/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1043</v>
      </c>
      <c r="P59" s="22">
        <v>259</v>
      </c>
      <c r="Q59" s="22">
        <v>328</v>
      </c>
      <c r="R59" s="22">
        <v>0</v>
      </c>
      <c r="S59" s="22">
        <v>0</v>
      </c>
      <c r="T59" s="22">
        <v>0</v>
      </c>
      <c r="U59" s="22"/>
      <c r="V59" s="22"/>
      <c r="W59" s="22"/>
      <c r="X59" s="22"/>
      <c r="Y59" s="22"/>
      <c r="Z59" s="22"/>
      <c r="AA59" s="22"/>
      <c r="AB59" s="28">
        <f t="shared" si="1"/>
        <v>9070</v>
      </c>
      <c r="AC59" s="1"/>
    </row>
    <row r="60" spans="1:29" x14ac:dyDescent="0.25">
      <c r="A60" s="18">
        <v>46004</v>
      </c>
      <c r="B60" s="20"/>
      <c r="C60" s="1">
        <v>10140054</v>
      </c>
      <c r="D60" s="1" t="s">
        <v>379</v>
      </c>
      <c r="E60" s="17">
        <v>10700</v>
      </c>
      <c r="F60" s="17"/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200</v>
      </c>
      <c r="P60" s="22">
        <v>663</v>
      </c>
      <c r="Q60" s="22">
        <v>3000</v>
      </c>
      <c r="R60" s="22">
        <v>0</v>
      </c>
      <c r="S60" s="22">
        <v>2706</v>
      </c>
      <c r="T60" s="22">
        <v>1636</v>
      </c>
      <c r="U60" s="22"/>
      <c r="V60" s="22"/>
      <c r="W60" s="22"/>
      <c r="X60" s="22"/>
      <c r="Y60" s="22"/>
      <c r="Z60" s="22"/>
      <c r="AA60" s="22"/>
      <c r="AB60" s="28">
        <f t="shared" si="1"/>
        <v>2495</v>
      </c>
      <c r="AC60" s="1"/>
    </row>
    <row r="61" spans="1:29" x14ac:dyDescent="0.25">
      <c r="A61" s="18">
        <v>46004</v>
      </c>
      <c r="B61" s="20"/>
      <c r="C61" s="1">
        <v>10140068</v>
      </c>
      <c r="D61" s="1" t="s">
        <v>381</v>
      </c>
      <c r="E61" s="17">
        <v>10700</v>
      </c>
      <c r="F61" s="17"/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2011</v>
      </c>
      <c r="P61" s="22">
        <v>1108</v>
      </c>
      <c r="Q61" s="22">
        <v>781</v>
      </c>
      <c r="R61" s="22">
        <v>0</v>
      </c>
      <c r="S61" s="22">
        <v>0</v>
      </c>
      <c r="T61" s="22">
        <v>0</v>
      </c>
      <c r="U61" s="22"/>
      <c r="V61" s="22"/>
      <c r="W61" s="22"/>
      <c r="X61" s="22"/>
      <c r="Y61" s="22"/>
      <c r="Z61" s="22"/>
      <c r="AA61" s="22"/>
      <c r="AB61" s="28">
        <f t="shared" si="1"/>
        <v>6800</v>
      </c>
      <c r="AC61" s="1"/>
    </row>
    <row r="62" spans="1:29" hidden="1" x14ac:dyDescent="0.25">
      <c r="A62" s="18">
        <v>46004</v>
      </c>
      <c r="B62" s="20"/>
      <c r="C62" s="1">
        <v>10140098</v>
      </c>
      <c r="D62" s="1" t="s">
        <v>380</v>
      </c>
      <c r="E62" s="17">
        <v>10700</v>
      </c>
      <c r="F62" s="17"/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3000</v>
      </c>
      <c r="P62" s="22">
        <v>3000</v>
      </c>
      <c r="Q62" s="22">
        <v>3000</v>
      </c>
      <c r="R62" s="22">
        <v>1700</v>
      </c>
      <c r="S62" s="22">
        <v>0</v>
      </c>
      <c r="T62" s="22">
        <v>0</v>
      </c>
      <c r="U62" s="22"/>
      <c r="V62" s="22"/>
      <c r="W62" s="22"/>
      <c r="X62" s="22"/>
      <c r="Y62" s="22"/>
      <c r="Z62" s="22"/>
      <c r="AA62" s="22"/>
      <c r="AB62" s="28">
        <f t="shared" si="1"/>
        <v>0</v>
      </c>
      <c r="AC62" s="1"/>
    </row>
    <row r="63" spans="1:29" hidden="1" x14ac:dyDescent="0.25">
      <c r="A63" s="18">
        <v>46006</v>
      </c>
      <c r="B63" s="20"/>
      <c r="C63" s="1">
        <v>10090002</v>
      </c>
      <c r="D63" s="1" t="s">
        <v>383</v>
      </c>
      <c r="E63" s="17">
        <v>10700</v>
      </c>
      <c r="F63" s="17">
        <v>5000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3000</v>
      </c>
      <c r="P63" s="22">
        <v>2700</v>
      </c>
      <c r="Q63" s="22">
        <v>0</v>
      </c>
      <c r="R63" s="22">
        <v>0</v>
      </c>
      <c r="S63" s="22">
        <v>0</v>
      </c>
      <c r="T63" s="22">
        <v>0</v>
      </c>
      <c r="U63" s="22"/>
      <c r="V63" s="22"/>
      <c r="W63" s="22"/>
      <c r="X63" s="22"/>
      <c r="Y63" s="22"/>
      <c r="Z63" s="22"/>
      <c r="AA63" s="22"/>
      <c r="AB63" s="28">
        <f t="shared" si="1"/>
        <v>0</v>
      </c>
      <c r="AC63" s="1"/>
    </row>
    <row r="64" spans="1:29" hidden="1" x14ac:dyDescent="0.25">
      <c r="A64" s="18">
        <v>46006</v>
      </c>
      <c r="B64" s="20"/>
      <c r="C64" s="1">
        <v>10060011</v>
      </c>
      <c r="D64" s="1" t="s">
        <v>384</v>
      </c>
      <c r="E64" s="17">
        <v>10700</v>
      </c>
      <c r="F64" s="17">
        <v>2000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2296</v>
      </c>
      <c r="P64" s="22">
        <v>2203</v>
      </c>
      <c r="Q64" s="22">
        <v>3000</v>
      </c>
      <c r="R64" s="22">
        <v>424</v>
      </c>
      <c r="S64" s="22">
        <v>777</v>
      </c>
      <c r="T64" s="22">
        <v>0</v>
      </c>
      <c r="U64" s="22"/>
      <c r="V64" s="22"/>
      <c r="W64" s="22"/>
      <c r="X64" s="22"/>
      <c r="Y64" s="22"/>
      <c r="Z64" s="22"/>
      <c r="AA64" s="22"/>
      <c r="AB64" s="28">
        <f t="shared" si="1"/>
        <v>0</v>
      </c>
      <c r="AC64" s="1"/>
    </row>
    <row r="65" spans="1:29" hidden="1" x14ac:dyDescent="0.25">
      <c r="A65" s="3">
        <v>46039</v>
      </c>
      <c r="B65" s="20"/>
      <c r="C65" s="1">
        <v>10140018</v>
      </c>
      <c r="D65" s="1" t="s">
        <v>399</v>
      </c>
      <c r="E65" s="17">
        <v>10700</v>
      </c>
      <c r="F65" s="17"/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2123</v>
      </c>
      <c r="Q65" s="22">
        <v>3000</v>
      </c>
      <c r="R65" s="22">
        <v>2541</v>
      </c>
      <c r="S65" s="22">
        <v>1137</v>
      </c>
      <c r="T65" s="22">
        <v>3000</v>
      </c>
      <c r="U65" s="22"/>
      <c r="V65" s="22"/>
      <c r="W65" s="22"/>
      <c r="X65" s="22"/>
      <c r="Y65" s="22"/>
      <c r="Z65" s="22"/>
      <c r="AA65" s="22"/>
      <c r="AB65" s="28">
        <f t="shared" si="1"/>
        <v>-1101</v>
      </c>
      <c r="AC65" s="1"/>
    </row>
    <row r="66" spans="1:29" hidden="1" x14ac:dyDescent="0.25">
      <c r="A66" s="3">
        <v>46039</v>
      </c>
      <c r="B66" s="20"/>
      <c r="C66" s="1">
        <v>10510004</v>
      </c>
      <c r="D66" s="1" t="s">
        <v>401</v>
      </c>
      <c r="E66" s="17">
        <v>10700</v>
      </c>
      <c r="F66" s="17"/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3000</v>
      </c>
      <c r="Q66" s="22">
        <v>3000</v>
      </c>
      <c r="R66" s="22">
        <v>3000</v>
      </c>
      <c r="S66" s="22">
        <v>1700</v>
      </c>
      <c r="T66" s="22">
        <v>0</v>
      </c>
      <c r="U66" s="22"/>
      <c r="V66" s="22"/>
      <c r="W66" s="22"/>
      <c r="X66" s="22"/>
      <c r="Y66" s="22"/>
      <c r="Z66" s="22"/>
      <c r="AA66" s="22"/>
      <c r="AB66" s="28">
        <f t="shared" si="1"/>
        <v>0</v>
      </c>
      <c r="AC66" s="1"/>
    </row>
    <row r="67" spans="1:29" hidden="1" x14ac:dyDescent="0.25">
      <c r="A67" s="3">
        <v>46044</v>
      </c>
      <c r="B67" s="20"/>
      <c r="C67" s="1">
        <v>10360001</v>
      </c>
      <c r="D67" s="1" t="s">
        <v>309</v>
      </c>
      <c r="E67" s="17">
        <v>10700</v>
      </c>
      <c r="F67" s="17"/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1300</v>
      </c>
      <c r="Q67" s="22">
        <v>3000</v>
      </c>
      <c r="R67" s="22">
        <v>3000</v>
      </c>
      <c r="S67" s="22">
        <v>3000</v>
      </c>
      <c r="T67" s="22">
        <v>400</v>
      </c>
      <c r="U67" s="22"/>
      <c r="V67" s="22"/>
      <c r="W67" s="22"/>
      <c r="X67" s="22"/>
      <c r="Y67" s="22"/>
      <c r="Z67" s="22"/>
      <c r="AA67" s="22"/>
      <c r="AB67" s="28">
        <f t="shared" ref="AB67:AB106" si="2">E67-SUM(F67:AA67)</f>
        <v>0</v>
      </c>
      <c r="AC67" s="1"/>
    </row>
    <row r="68" spans="1:29" x14ac:dyDescent="0.25">
      <c r="A68" s="3">
        <v>46050</v>
      </c>
      <c r="B68" s="20"/>
      <c r="C68" s="1">
        <v>10110071</v>
      </c>
      <c r="D68" s="1" t="s">
        <v>408</v>
      </c>
      <c r="E68" s="17">
        <v>10700</v>
      </c>
      <c r="F68" s="17">
        <v>5000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/>
      <c r="V68" s="22"/>
      <c r="W68" s="22"/>
      <c r="X68" s="22"/>
      <c r="Y68" s="22"/>
      <c r="Z68" s="22"/>
      <c r="AA68" s="22"/>
      <c r="AB68" s="28">
        <f t="shared" si="2"/>
        <v>5700</v>
      </c>
      <c r="AC68" s="1"/>
    </row>
    <row r="69" spans="1:29" hidden="1" x14ac:dyDescent="0.25">
      <c r="A69" s="3">
        <v>46050</v>
      </c>
      <c r="B69" s="20"/>
      <c r="C69" s="1">
        <v>10110001</v>
      </c>
      <c r="D69" s="1" t="s">
        <v>410</v>
      </c>
      <c r="E69" s="17">
        <v>10700</v>
      </c>
      <c r="F69" s="17"/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3000</v>
      </c>
      <c r="Q69" s="22">
        <v>3000</v>
      </c>
      <c r="R69" s="22">
        <v>3000</v>
      </c>
      <c r="S69" s="22">
        <v>1700</v>
      </c>
      <c r="T69" s="22">
        <v>0</v>
      </c>
      <c r="U69" s="22"/>
      <c r="V69" s="22"/>
      <c r="W69" s="22"/>
      <c r="X69" s="22"/>
      <c r="Y69" s="22"/>
      <c r="Z69" s="22"/>
      <c r="AA69" s="22"/>
      <c r="AB69" s="28">
        <f t="shared" si="2"/>
        <v>0</v>
      </c>
      <c r="AC69" s="1"/>
    </row>
    <row r="70" spans="1:29" hidden="1" x14ac:dyDescent="0.25">
      <c r="A70" s="3">
        <v>46050</v>
      </c>
      <c r="B70" s="20"/>
      <c r="C70" s="1">
        <v>10110055</v>
      </c>
      <c r="D70" s="1" t="s">
        <v>412</v>
      </c>
      <c r="E70" s="17">
        <v>10700</v>
      </c>
      <c r="F70" s="17">
        <v>5000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2458</v>
      </c>
      <c r="Q70" s="22">
        <v>2838</v>
      </c>
      <c r="R70" s="22">
        <v>0</v>
      </c>
      <c r="S70" s="22">
        <v>3000</v>
      </c>
      <c r="T70" s="22">
        <v>2404</v>
      </c>
      <c r="U70" s="22"/>
      <c r="V70" s="22"/>
      <c r="W70" s="22"/>
      <c r="X70" s="22"/>
      <c r="Y70" s="22"/>
      <c r="Z70" s="22"/>
      <c r="AA70" s="22"/>
      <c r="AB70" s="28">
        <f t="shared" si="2"/>
        <v>-5000</v>
      </c>
      <c r="AC70" s="1"/>
    </row>
    <row r="71" spans="1:29" x14ac:dyDescent="0.25">
      <c r="A71" s="3">
        <v>46050</v>
      </c>
      <c r="B71" s="20"/>
      <c r="C71" s="1">
        <v>10140033</v>
      </c>
      <c r="D71" s="1" t="s">
        <v>421</v>
      </c>
      <c r="E71" s="17">
        <v>10700</v>
      </c>
      <c r="F71" s="17"/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2061</v>
      </c>
      <c r="Q71" s="22">
        <v>2932</v>
      </c>
      <c r="R71" s="22">
        <v>1033</v>
      </c>
      <c r="S71" s="22">
        <v>0</v>
      </c>
      <c r="T71" s="22">
        <v>0</v>
      </c>
      <c r="U71" s="22"/>
      <c r="V71" s="22"/>
      <c r="W71" s="22"/>
      <c r="X71" s="22"/>
      <c r="Y71" s="22"/>
      <c r="Z71" s="22"/>
      <c r="AA71" s="22"/>
      <c r="AB71" s="28">
        <f t="shared" si="2"/>
        <v>4674</v>
      </c>
      <c r="AC71" s="1"/>
    </row>
    <row r="72" spans="1:29" x14ac:dyDescent="0.25">
      <c r="A72" s="3">
        <v>46099</v>
      </c>
      <c r="B72" s="20"/>
      <c r="C72" s="1">
        <v>10140020</v>
      </c>
      <c r="D72" s="5" t="s">
        <v>438</v>
      </c>
      <c r="E72" s="17">
        <v>10700</v>
      </c>
      <c r="F72" s="17"/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/>
      <c r="V72" s="22"/>
      <c r="W72" s="22"/>
      <c r="X72" s="22"/>
      <c r="Y72" s="22"/>
      <c r="Z72" s="22"/>
      <c r="AA72" s="22"/>
      <c r="AB72" s="28">
        <f t="shared" si="2"/>
        <v>10700</v>
      </c>
      <c r="AC72" s="1"/>
    </row>
    <row r="73" spans="1:29" x14ac:dyDescent="0.25">
      <c r="A73" s="3">
        <v>46099</v>
      </c>
      <c r="B73" s="20"/>
      <c r="C73" s="1">
        <v>10140058</v>
      </c>
      <c r="D73" s="5" t="s">
        <v>439</v>
      </c>
      <c r="E73" s="17">
        <v>10700</v>
      </c>
      <c r="F73" s="17"/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/>
      <c r="V73" s="22"/>
      <c r="W73" s="22"/>
      <c r="X73" s="22"/>
      <c r="Y73" s="22"/>
      <c r="Z73" s="22"/>
      <c r="AA73" s="22"/>
      <c r="AB73" s="28">
        <f t="shared" si="2"/>
        <v>10700</v>
      </c>
      <c r="AC73" s="1"/>
    </row>
    <row r="74" spans="1:29" x14ac:dyDescent="0.25">
      <c r="A74" s="3">
        <v>46099</v>
      </c>
      <c r="B74" s="20"/>
      <c r="C74" s="1">
        <v>10140137</v>
      </c>
      <c r="D74" s="5" t="s">
        <v>440</v>
      </c>
      <c r="E74" s="17">
        <v>10700</v>
      </c>
      <c r="F74" s="17"/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1477</v>
      </c>
      <c r="T74" s="22">
        <v>1333</v>
      </c>
      <c r="U74" s="22"/>
      <c r="V74" s="22"/>
      <c r="W74" s="22"/>
      <c r="X74" s="22"/>
      <c r="Y74" s="22"/>
      <c r="Z74" s="22"/>
      <c r="AA74" s="22"/>
      <c r="AB74" s="28">
        <f t="shared" si="2"/>
        <v>7890</v>
      </c>
      <c r="AC74" s="1"/>
    </row>
    <row r="75" spans="1:29" x14ac:dyDescent="0.25">
      <c r="A75" s="3">
        <v>46099</v>
      </c>
      <c r="B75" s="20"/>
      <c r="C75" s="1">
        <v>10140002</v>
      </c>
      <c r="D75" s="5" t="s">
        <v>57</v>
      </c>
      <c r="E75" s="17">
        <v>10700</v>
      </c>
      <c r="F75" s="17"/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3000</v>
      </c>
      <c r="S75" s="22">
        <v>3000</v>
      </c>
      <c r="T75" s="22">
        <v>2602</v>
      </c>
      <c r="U75" s="22"/>
      <c r="V75" s="22"/>
      <c r="W75" s="22"/>
      <c r="X75" s="22"/>
      <c r="Y75" s="22"/>
      <c r="Z75" s="22"/>
      <c r="AA75" s="22"/>
      <c r="AB75" s="28">
        <f t="shared" si="2"/>
        <v>2098</v>
      </c>
      <c r="AC75" s="1"/>
    </row>
    <row r="76" spans="1:29" hidden="1" x14ac:dyDescent="0.25">
      <c r="A76" s="3">
        <v>46099</v>
      </c>
      <c r="B76" s="20"/>
      <c r="C76" s="1">
        <v>10020017</v>
      </c>
      <c r="D76" s="5" t="s">
        <v>447</v>
      </c>
      <c r="E76" s="17">
        <v>10700</v>
      </c>
      <c r="F76" s="17">
        <v>5000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3000</v>
      </c>
      <c r="S76" s="22">
        <v>2700</v>
      </c>
      <c r="T76" s="22">
        <v>0</v>
      </c>
      <c r="U76" s="22"/>
      <c r="V76" s="22"/>
      <c r="W76" s="22"/>
      <c r="X76" s="22"/>
      <c r="Y76" s="22"/>
      <c r="Z76" s="22"/>
      <c r="AA76" s="22"/>
      <c r="AB76" s="28">
        <f t="shared" si="2"/>
        <v>0</v>
      </c>
      <c r="AC76" s="1"/>
    </row>
    <row r="77" spans="1:29" hidden="1" x14ac:dyDescent="0.25">
      <c r="A77" s="3">
        <v>46099</v>
      </c>
      <c r="B77" s="20"/>
      <c r="C77" s="1">
        <v>10090033</v>
      </c>
      <c r="D77" s="5" t="s">
        <v>449</v>
      </c>
      <c r="E77" s="17">
        <v>10700</v>
      </c>
      <c r="F77" s="17">
        <v>5000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3000</v>
      </c>
      <c r="S77" s="22">
        <v>2700</v>
      </c>
      <c r="T77" s="22">
        <v>0</v>
      </c>
      <c r="U77" s="22"/>
      <c r="V77" s="22"/>
      <c r="W77" s="22"/>
      <c r="X77" s="22"/>
      <c r="Y77" s="22"/>
      <c r="Z77" s="22"/>
      <c r="AA77" s="22"/>
      <c r="AB77" s="28">
        <f t="shared" si="2"/>
        <v>0</v>
      </c>
      <c r="AC77" s="1"/>
    </row>
    <row r="78" spans="1:29" x14ac:dyDescent="0.25">
      <c r="A78" s="3">
        <v>46099</v>
      </c>
      <c r="B78" s="20"/>
      <c r="C78" s="1">
        <v>10060049</v>
      </c>
      <c r="D78" s="5" t="s">
        <v>452</v>
      </c>
      <c r="E78" s="17">
        <v>10700</v>
      </c>
      <c r="F78" s="17">
        <v>3000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3000</v>
      </c>
      <c r="T78" s="22">
        <v>3000</v>
      </c>
      <c r="U78" s="22"/>
      <c r="V78" s="22"/>
      <c r="W78" s="22"/>
      <c r="X78" s="22"/>
      <c r="Y78" s="22"/>
      <c r="Z78" s="22"/>
      <c r="AA78" s="22"/>
      <c r="AB78" s="28">
        <f t="shared" si="2"/>
        <v>1700</v>
      </c>
      <c r="AC78" s="1"/>
    </row>
    <row r="79" spans="1:29" x14ac:dyDescent="0.25">
      <c r="A79" s="3">
        <v>46099</v>
      </c>
      <c r="B79" s="20"/>
      <c r="C79" s="1">
        <v>10090009</v>
      </c>
      <c r="D79" s="5" t="s">
        <v>450</v>
      </c>
      <c r="E79" s="17">
        <v>10700</v>
      </c>
      <c r="F79" s="17">
        <v>3000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2359</v>
      </c>
      <c r="T79" s="22">
        <v>3000</v>
      </c>
      <c r="U79" s="22"/>
      <c r="V79" s="22"/>
      <c r="W79" s="22"/>
      <c r="X79" s="22"/>
      <c r="Y79" s="22"/>
      <c r="Z79" s="22"/>
      <c r="AA79" s="22"/>
      <c r="AB79" s="28">
        <f t="shared" si="2"/>
        <v>2341</v>
      </c>
      <c r="AC79" s="1"/>
    </row>
    <row r="80" spans="1:29" x14ac:dyDescent="0.25">
      <c r="A80" s="3">
        <v>46099</v>
      </c>
      <c r="B80" s="20"/>
      <c r="C80" s="1">
        <v>10090043</v>
      </c>
      <c r="D80" s="5" t="s">
        <v>451</v>
      </c>
      <c r="E80" s="17">
        <v>10700</v>
      </c>
      <c r="F80" s="17">
        <v>4000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/>
      <c r="V80" s="22"/>
      <c r="W80" s="22"/>
      <c r="X80" s="22"/>
      <c r="Y80" s="22"/>
      <c r="Z80" s="22"/>
      <c r="AA80" s="22"/>
      <c r="AB80" s="28">
        <f t="shared" si="2"/>
        <v>6700</v>
      </c>
      <c r="AC80" s="1"/>
    </row>
    <row r="81" spans="1:29" x14ac:dyDescent="0.25">
      <c r="A81" s="3">
        <v>46099</v>
      </c>
      <c r="B81" s="20"/>
      <c r="C81" s="1">
        <v>10020070</v>
      </c>
      <c r="D81" s="5" t="s">
        <v>448</v>
      </c>
      <c r="E81" s="17">
        <v>10700</v>
      </c>
      <c r="F81" s="17">
        <v>5000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2738</v>
      </c>
      <c r="U81" s="22"/>
      <c r="V81" s="22"/>
      <c r="W81" s="22"/>
      <c r="X81" s="22"/>
      <c r="Y81" s="22"/>
      <c r="Z81" s="22"/>
      <c r="AA81" s="22"/>
      <c r="AB81" s="28">
        <f t="shared" si="2"/>
        <v>2962</v>
      </c>
      <c r="AC81" s="1"/>
    </row>
    <row r="82" spans="1:29" x14ac:dyDescent="0.25">
      <c r="A82" s="3">
        <v>46101</v>
      </c>
      <c r="B82" s="20"/>
      <c r="C82" s="1">
        <v>10110043</v>
      </c>
      <c r="D82" s="1" t="s">
        <v>455</v>
      </c>
      <c r="E82" s="17">
        <v>10700</v>
      </c>
      <c r="F82" s="17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2586</v>
      </c>
      <c r="U82" s="22"/>
      <c r="V82" s="22"/>
      <c r="W82" s="22"/>
      <c r="X82" s="22"/>
      <c r="Y82" s="22"/>
      <c r="Z82" s="22"/>
      <c r="AA82" s="22"/>
      <c r="AB82" s="28">
        <f t="shared" si="2"/>
        <v>8114</v>
      </c>
      <c r="AC82" s="1"/>
    </row>
    <row r="83" spans="1:29" x14ac:dyDescent="0.25">
      <c r="A83" s="3">
        <v>46101</v>
      </c>
      <c r="B83" s="20"/>
      <c r="C83" s="1">
        <v>10120002</v>
      </c>
      <c r="D83" s="1" t="s">
        <v>462</v>
      </c>
      <c r="E83" s="17">
        <v>10700</v>
      </c>
      <c r="F83" s="17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1961</v>
      </c>
      <c r="U83" s="22"/>
      <c r="V83" s="22"/>
      <c r="W83" s="22"/>
      <c r="X83" s="22"/>
      <c r="Y83" s="22"/>
      <c r="Z83" s="22"/>
      <c r="AA83" s="22"/>
      <c r="AB83" s="28">
        <f t="shared" si="2"/>
        <v>8739</v>
      </c>
      <c r="AC83" s="1"/>
    </row>
    <row r="84" spans="1:29" x14ac:dyDescent="0.25">
      <c r="A84" s="3">
        <v>46101</v>
      </c>
      <c r="B84" s="20"/>
      <c r="C84" s="1">
        <v>10120107</v>
      </c>
      <c r="D84" s="1" t="s">
        <v>463</v>
      </c>
      <c r="E84" s="17">
        <v>10700</v>
      </c>
      <c r="F84" s="17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2711</v>
      </c>
      <c r="U84" s="22"/>
      <c r="V84" s="22"/>
      <c r="W84" s="22"/>
      <c r="X84" s="22"/>
      <c r="Y84" s="22"/>
      <c r="Z84" s="22"/>
      <c r="AA84" s="22"/>
      <c r="AB84" s="28">
        <f t="shared" si="2"/>
        <v>7989</v>
      </c>
      <c r="AC84" s="1"/>
    </row>
    <row r="85" spans="1:29" x14ac:dyDescent="0.25">
      <c r="A85" s="3">
        <v>46101</v>
      </c>
      <c r="B85" s="20"/>
      <c r="C85" s="1">
        <v>10120080</v>
      </c>
      <c r="D85" s="1" t="s">
        <v>464</v>
      </c>
      <c r="E85" s="17">
        <v>10700</v>
      </c>
      <c r="F85" s="17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/>
      <c r="V85" s="22"/>
      <c r="W85" s="22"/>
      <c r="X85" s="22"/>
      <c r="Y85" s="22"/>
      <c r="Z85" s="22"/>
      <c r="AA85" s="22"/>
      <c r="AB85" s="28">
        <f t="shared" si="2"/>
        <v>10700</v>
      </c>
      <c r="AC85" s="1"/>
    </row>
    <row r="86" spans="1:29" x14ac:dyDescent="0.25">
      <c r="A86" s="3">
        <v>46101</v>
      </c>
      <c r="B86" s="20"/>
      <c r="C86" s="1">
        <v>10120035</v>
      </c>
      <c r="D86" s="1" t="s">
        <v>465</v>
      </c>
      <c r="E86" s="17">
        <v>10700</v>
      </c>
      <c r="F86" s="17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1629</v>
      </c>
      <c r="U86" s="22"/>
      <c r="V86" s="22"/>
      <c r="W86" s="22"/>
      <c r="X86" s="22"/>
      <c r="Y86" s="22"/>
      <c r="Z86" s="22"/>
      <c r="AA86" s="22"/>
      <c r="AB86" s="28">
        <f t="shared" si="2"/>
        <v>9071</v>
      </c>
      <c r="AC86" s="1"/>
    </row>
    <row r="87" spans="1:29" x14ac:dyDescent="0.25">
      <c r="A87" s="3">
        <v>46101</v>
      </c>
      <c r="B87" s="20"/>
      <c r="C87" s="1">
        <v>10130014</v>
      </c>
      <c r="D87" s="1" t="s">
        <v>466</v>
      </c>
      <c r="E87" s="17">
        <v>10700</v>
      </c>
      <c r="F87" s="17"/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/>
      <c r="V87" s="22"/>
      <c r="W87" s="22"/>
      <c r="X87" s="22"/>
      <c r="Y87" s="22"/>
      <c r="Z87" s="22"/>
      <c r="AA87" s="22"/>
      <c r="AB87" s="28">
        <f t="shared" si="2"/>
        <v>10700</v>
      </c>
      <c r="AC87" s="1"/>
    </row>
    <row r="88" spans="1:29" x14ac:dyDescent="0.25">
      <c r="A88" s="3">
        <v>46101</v>
      </c>
      <c r="B88" s="20"/>
      <c r="C88" s="1">
        <v>10130015</v>
      </c>
      <c r="D88" s="1" t="s">
        <v>467</v>
      </c>
      <c r="E88" s="17">
        <v>10700</v>
      </c>
      <c r="F88" s="17"/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/>
      <c r="V88" s="22"/>
      <c r="W88" s="22"/>
      <c r="X88" s="22"/>
      <c r="Y88" s="22"/>
      <c r="Z88" s="22"/>
      <c r="AA88" s="22"/>
      <c r="AB88" s="28">
        <f t="shared" si="2"/>
        <v>10700</v>
      </c>
      <c r="AC88" s="1"/>
    </row>
    <row r="89" spans="1:29" x14ac:dyDescent="0.25">
      <c r="A89" s="3">
        <v>46120</v>
      </c>
      <c r="B89" s="20"/>
      <c r="C89" s="1">
        <v>10030053</v>
      </c>
      <c r="D89" s="1" t="s">
        <v>10</v>
      </c>
      <c r="E89" s="17">
        <v>10700</v>
      </c>
      <c r="F89" s="17">
        <v>5000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/>
      <c r="V89" s="22"/>
      <c r="W89" s="22"/>
      <c r="X89" s="22"/>
      <c r="Y89" s="22"/>
      <c r="Z89" s="22"/>
      <c r="AA89" s="22"/>
      <c r="AB89" s="28">
        <f t="shared" si="2"/>
        <v>5700</v>
      </c>
      <c r="AC89" s="1"/>
    </row>
    <row r="90" spans="1:29" x14ac:dyDescent="0.25">
      <c r="A90" s="3">
        <v>46133</v>
      </c>
      <c r="B90" s="20"/>
      <c r="C90" s="1">
        <v>10110095</v>
      </c>
      <c r="D90" s="5" t="s">
        <v>484</v>
      </c>
      <c r="E90" s="17">
        <v>10700</v>
      </c>
      <c r="F90" s="17">
        <v>5000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/>
      <c r="V90" s="22"/>
      <c r="W90" s="22"/>
      <c r="X90" s="22"/>
      <c r="Y90" s="22"/>
      <c r="Z90" s="22"/>
      <c r="AA90" s="22"/>
      <c r="AB90" s="28">
        <f t="shared" si="2"/>
        <v>5700</v>
      </c>
      <c r="AC90" s="1"/>
    </row>
    <row r="91" spans="1:29" x14ac:dyDescent="0.25">
      <c r="A91" s="3">
        <v>46133</v>
      </c>
      <c r="B91" s="20"/>
      <c r="C91" s="1">
        <v>10440001</v>
      </c>
      <c r="D91" s="5" t="s">
        <v>485</v>
      </c>
      <c r="E91" s="17">
        <v>10700</v>
      </c>
      <c r="F91" s="17">
        <v>5000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/>
      <c r="V91" s="22"/>
      <c r="W91" s="22"/>
      <c r="X91" s="22"/>
      <c r="Y91" s="22"/>
      <c r="Z91" s="22"/>
      <c r="AA91" s="22"/>
      <c r="AB91" s="28">
        <f t="shared" si="2"/>
        <v>5700</v>
      </c>
      <c r="AC91" s="1"/>
    </row>
    <row r="92" spans="1:29" x14ac:dyDescent="0.25">
      <c r="A92" s="3">
        <v>46133</v>
      </c>
      <c r="B92" s="20"/>
      <c r="C92" s="1">
        <v>10100001</v>
      </c>
      <c r="D92" s="5" t="s">
        <v>488</v>
      </c>
      <c r="E92" s="17">
        <v>10700</v>
      </c>
      <c r="F92" s="17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/>
      <c r="V92" s="22"/>
      <c r="W92" s="22"/>
      <c r="X92" s="22"/>
      <c r="Y92" s="22"/>
      <c r="Z92" s="22"/>
      <c r="AA92" s="22"/>
      <c r="AB92" s="28">
        <f t="shared" si="2"/>
        <v>10700</v>
      </c>
      <c r="AC92" s="1"/>
    </row>
    <row r="93" spans="1:29" x14ac:dyDescent="0.25">
      <c r="A93" s="3">
        <v>46133</v>
      </c>
      <c r="B93" s="20"/>
      <c r="C93" s="1">
        <v>10070043</v>
      </c>
      <c r="D93" s="5" t="s">
        <v>49</v>
      </c>
      <c r="E93" s="17">
        <v>10700</v>
      </c>
      <c r="F93" s="17"/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/>
      <c r="V93" s="22"/>
      <c r="W93" s="22"/>
      <c r="X93" s="22"/>
      <c r="Y93" s="22"/>
      <c r="Z93" s="22"/>
      <c r="AA93" s="22"/>
      <c r="AB93" s="28">
        <f t="shared" si="2"/>
        <v>10700</v>
      </c>
      <c r="AC93" s="1"/>
    </row>
    <row r="94" spans="1:29" x14ac:dyDescent="0.25">
      <c r="A94" s="3">
        <v>46156</v>
      </c>
      <c r="B94" s="20"/>
      <c r="C94" s="1">
        <v>10090056</v>
      </c>
      <c r="D94" s="1" t="s">
        <v>496</v>
      </c>
      <c r="E94" s="17">
        <v>10700</v>
      </c>
      <c r="F94" s="17">
        <v>3000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/>
      <c r="V94" s="22"/>
      <c r="W94" s="22"/>
      <c r="X94" s="22"/>
      <c r="Y94" s="22"/>
      <c r="Z94" s="22"/>
      <c r="AA94" s="22"/>
      <c r="AB94" s="28">
        <f t="shared" si="2"/>
        <v>7700</v>
      </c>
      <c r="AC94" s="1"/>
    </row>
    <row r="95" spans="1:29" x14ac:dyDescent="0.25">
      <c r="A95" s="3">
        <v>46156</v>
      </c>
      <c r="B95" s="20"/>
      <c r="C95" s="1">
        <v>10090049</v>
      </c>
      <c r="D95" s="1" t="s">
        <v>497</v>
      </c>
      <c r="E95" s="17">
        <v>10700</v>
      </c>
      <c r="F95" s="17">
        <v>4000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/>
      <c r="V95" s="22"/>
      <c r="W95" s="22"/>
      <c r="X95" s="22"/>
      <c r="Y95" s="22"/>
      <c r="Z95" s="22"/>
      <c r="AA95" s="22"/>
      <c r="AB95" s="28">
        <f t="shared" si="2"/>
        <v>6700</v>
      </c>
      <c r="AC95" s="1"/>
    </row>
    <row r="96" spans="1:29" x14ac:dyDescent="0.25">
      <c r="A96" s="3">
        <v>46177</v>
      </c>
      <c r="B96" s="20"/>
      <c r="C96" s="1">
        <v>10090007</v>
      </c>
      <c r="D96" s="1" t="s">
        <v>501</v>
      </c>
      <c r="E96" s="17">
        <v>10700</v>
      </c>
      <c r="F96" s="17">
        <v>3000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/>
      <c r="V96" s="22"/>
      <c r="W96" s="22"/>
      <c r="X96" s="22"/>
      <c r="Y96" s="22"/>
      <c r="Z96" s="22"/>
      <c r="AA96" s="22"/>
      <c r="AB96" s="28">
        <f t="shared" si="2"/>
        <v>7700</v>
      </c>
      <c r="AC96" s="1"/>
    </row>
    <row r="97" spans="1:29" x14ac:dyDescent="0.25">
      <c r="A97" s="3">
        <v>46189</v>
      </c>
      <c r="B97" s="20"/>
      <c r="C97" s="1">
        <v>10500001</v>
      </c>
      <c r="D97" s="1" t="s">
        <v>505</v>
      </c>
      <c r="E97" s="17">
        <v>10700</v>
      </c>
      <c r="F97" s="17">
        <v>5000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/>
      <c r="V97" s="22"/>
      <c r="W97" s="22"/>
      <c r="X97" s="22"/>
      <c r="Y97" s="22"/>
      <c r="Z97" s="22"/>
      <c r="AA97" s="22"/>
      <c r="AB97" s="28">
        <f t="shared" si="2"/>
        <v>5700</v>
      </c>
      <c r="AC97" s="1"/>
    </row>
    <row r="98" spans="1:29" x14ac:dyDescent="0.25">
      <c r="A98" s="3">
        <v>46189</v>
      </c>
      <c r="B98" s="20"/>
      <c r="C98" s="1">
        <v>10030011</v>
      </c>
      <c r="D98" s="1" t="s">
        <v>506</v>
      </c>
      <c r="E98" s="17">
        <v>10700</v>
      </c>
      <c r="F98" s="17">
        <v>5000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/>
      <c r="V98" s="22"/>
      <c r="W98" s="22"/>
      <c r="X98" s="22"/>
      <c r="Y98" s="22"/>
      <c r="Z98" s="22"/>
      <c r="AA98" s="22"/>
      <c r="AB98" s="28">
        <f t="shared" si="2"/>
        <v>5700</v>
      </c>
      <c r="AC98" s="1"/>
    </row>
    <row r="99" spans="1:29" x14ac:dyDescent="0.25">
      <c r="A99" s="3">
        <v>46191</v>
      </c>
      <c r="B99" s="20"/>
      <c r="C99" s="1">
        <v>10140012</v>
      </c>
      <c r="D99" s="1" t="s">
        <v>510</v>
      </c>
      <c r="E99" s="17">
        <v>10700</v>
      </c>
      <c r="F99" s="17"/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/>
      <c r="V99" s="22"/>
      <c r="W99" s="22"/>
      <c r="X99" s="22"/>
      <c r="Y99" s="22"/>
      <c r="Z99" s="22"/>
      <c r="AA99" s="22"/>
      <c r="AB99" s="28">
        <f t="shared" si="2"/>
        <v>10700</v>
      </c>
      <c r="AC99" s="1" t="s">
        <v>513</v>
      </c>
    </row>
    <row r="100" spans="1:29" x14ac:dyDescent="0.25">
      <c r="A100" s="3">
        <v>46191</v>
      </c>
      <c r="B100" s="20"/>
      <c r="C100" s="1">
        <v>10140001</v>
      </c>
      <c r="D100" s="1" t="s">
        <v>511</v>
      </c>
      <c r="E100" s="17">
        <v>10700</v>
      </c>
      <c r="F100" s="17"/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/>
      <c r="V100" s="22"/>
      <c r="W100" s="22"/>
      <c r="X100" s="22"/>
      <c r="Y100" s="22"/>
      <c r="Z100" s="22"/>
      <c r="AA100" s="22"/>
      <c r="AB100" s="28">
        <f t="shared" si="2"/>
        <v>10700</v>
      </c>
      <c r="AC100" s="1" t="s">
        <v>514</v>
      </c>
    </row>
    <row r="101" spans="1:29" hidden="1" x14ac:dyDescent="0.25">
      <c r="A101" s="3"/>
      <c r="B101" s="20"/>
      <c r="C101" s="1"/>
      <c r="D101" s="1"/>
      <c r="E101" s="17"/>
      <c r="F101" s="17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 t="s">
        <v>425</v>
      </c>
      <c r="U101" s="22"/>
      <c r="V101" s="22"/>
      <c r="W101" s="22"/>
      <c r="X101" s="22"/>
      <c r="Y101" s="22"/>
      <c r="Z101" s="22"/>
      <c r="AA101" s="22"/>
      <c r="AB101" s="28">
        <f t="shared" si="2"/>
        <v>0</v>
      </c>
      <c r="AC101" s="1"/>
    </row>
    <row r="102" spans="1:29" hidden="1" x14ac:dyDescent="0.25">
      <c r="A102" s="3"/>
      <c r="B102" s="20"/>
      <c r="C102" s="1"/>
      <c r="D102" s="1"/>
      <c r="E102" s="17"/>
      <c r="F102" s="17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 t="s">
        <v>425</v>
      </c>
      <c r="U102" s="22"/>
      <c r="V102" s="22"/>
      <c r="W102" s="22"/>
      <c r="X102" s="22"/>
      <c r="Y102" s="22"/>
      <c r="Z102" s="22"/>
      <c r="AA102" s="22"/>
      <c r="AB102" s="28">
        <f t="shared" si="2"/>
        <v>0</v>
      </c>
      <c r="AC102" s="1"/>
    </row>
    <row r="103" spans="1:29" hidden="1" x14ac:dyDescent="0.25">
      <c r="A103" s="3"/>
      <c r="B103" s="20"/>
      <c r="C103" s="1"/>
      <c r="D103" s="1"/>
      <c r="E103" s="17"/>
      <c r="F103" s="17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 t="s">
        <v>425</v>
      </c>
      <c r="U103" s="22"/>
      <c r="V103" s="22"/>
      <c r="W103" s="22"/>
      <c r="X103" s="22"/>
      <c r="Y103" s="22"/>
      <c r="Z103" s="22"/>
      <c r="AA103" s="22"/>
      <c r="AB103" s="28">
        <f t="shared" si="2"/>
        <v>0</v>
      </c>
      <c r="AC103" s="1"/>
    </row>
    <row r="104" spans="1:29" hidden="1" x14ac:dyDescent="0.25">
      <c r="A104" s="3"/>
      <c r="B104" s="20"/>
      <c r="C104" s="1"/>
      <c r="D104" s="1"/>
      <c r="E104" s="17"/>
      <c r="F104" s="17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 t="s">
        <v>425</v>
      </c>
      <c r="U104" s="22"/>
      <c r="V104" s="22"/>
      <c r="W104" s="22"/>
      <c r="X104" s="22"/>
      <c r="Y104" s="22"/>
      <c r="Z104" s="22"/>
      <c r="AA104" s="22"/>
      <c r="AB104" s="28">
        <f t="shared" si="2"/>
        <v>0</v>
      </c>
      <c r="AC104" s="1"/>
    </row>
    <row r="105" spans="1:29" hidden="1" x14ac:dyDescent="0.25">
      <c r="A105" s="3"/>
      <c r="B105" s="20"/>
      <c r="C105" s="1"/>
      <c r="D105" s="1"/>
      <c r="E105" s="17"/>
      <c r="F105" s="17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 t="s">
        <v>425</v>
      </c>
      <c r="U105" s="22"/>
      <c r="V105" s="22"/>
      <c r="W105" s="22"/>
      <c r="X105" s="22"/>
      <c r="Y105" s="22"/>
      <c r="Z105" s="22"/>
      <c r="AA105" s="22"/>
      <c r="AB105" s="28">
        <f t="shared" si="2"/>
        <v>0</v>
      </c>
      <c r="AC105" s="1"/>
    </row>
    <row r="106" spans="1:29" hidden="1" x14ac:dyDescent="0.25">
      <c r="A106" s="3"/>
      <c r="B106" s="20"/>
      <c r="C106" s="1"/>
      <c r="D106" s="1"/>
      <c r="E106" s="17"/>
      <c r="F106" s="17"/>
      <c r="G106" s="22"/>
      <c r="H106" s="22"/>
      <c r="I106" s="22"/>
      <c r="J106" s="22"/>
      <c r="K106" s="22"/>
      <c r="L106" s="22"/>
      <c r="M106" s="22" t="str">
        <f>IFERROR(VLOOKUP(C106,'[1]Shayak Income '!$D$226:$Y$830,22,0),"")</f>
        <v/>
      </c>
      <c r="N106" s="22"/>
      <c r="O106" s="22"/>
      <c r="P106" s="22" t="s">
        <v>425</v>
      </c>
      <c r="Q106" s="22" t="s">
        <v>425</v>
      </c>
      <c r="R106" s="22" t="s">
        <v>425</v>
      </c>
      <c r="S106" s="22" t="str">
        <f>IFERROR(VLOOKUP(C106,'[2]Shayak Income '!$D$15:$Y$561,22,0),"")</f>
        <v/>
      </c>
      <c r="T106" s="22"/>
      <c r="U106" s="22"/>
      <c r="V106" s="22"/>
      <c r="W106" s="22"/>
      <c r="X106" s="22"/>
      <c r="Y106" s="22"/>
      <c r="Z106" s="22"/>
      <c r="AA106" s="22"/>
      <c r="AB106" s="28">
        <f t="shared" si="2"/>
        <v>0</v>
      </c>
      <c r="AC106" s="1"/>
    </row>
    <row r="107" spans="1:29" x14ac:dyDescent="0.25">
      <c r="A107" s="1"/>
      <c r="B107" s="1"/>
      <c r="C107" s="1"/>
      <c r="D107" s="1"/>
      <c r="E107" s="24">
        <f>SUM(E2:E106)</f>
        <v>971555</v>
      </c>
      <c r="F107" s="24">
        <f t="shared" ref="F107:AA107" si="3">SUM(F2:F106)</f>
        <v>126400</v>
      </c>
      <c r="G107" s="24">
        <f t="shared" si="3"/>
        <v>12598</v>
      </c>
      <c r="H107" s="24">
        <f t="shared" si="3"/>
        <v>3033</v>
      </c>
      <c r="I107" s="24">
        <f t="shared" si="3"/>
        <v>26598</v>
      </c>
      <c r="J107" s="24">
        <f t="shared" si="3"/>
        <v>14693</v>
      </c>
      <c r="K107" s="24">
        <f t="shared" si="3"/>
        <v>12242</v>
      </c>
      <c r="L107" s="24">
        <f t="shared" si="3"/>
        <v>4828</v>
      </c>
      <c r="M107" s="24">
        <f t="shared" si="3"/>
        <v>8531</v>
      </c>
      <c r="N107" s="24">
        <f t="shared" si="3"/>
        <v>8531</v>
      </c>
      <c r="O107" s="24">
        <f t="shared" si="3"/>
        <v>40529</v>
      </c>
      <c r="P107" s="24">
        <f t="shared" si="3"/>
        <v>52693</v>
      </c>
      <c r="Q107" s="24">
        <f t="shared" si="3"/>
        <v>53437</v>
      </c>
      <c r="R107" s="24">
        <f t="shared" si="3"/>
        <v>29818</v>
      </c>
      <c r="S107" s="24">
        <f t="shared" si="3"/>
        <v>38083</v>
      </c>
      <c r="T107" s="24">
        <f t="shared" si="3"/>
        <v>34928</v>
      </c>
      <c r="U107" s="24">
        <f t="shared" si="3"/>
        <v>0</v>
      </c>
      <c r="V107" s="24">
        <f t="shared" si="3"/>
        <v>0</v>
      </c>
      <c r="W107" s="24">
        <f t="shared" si="3"/>
        <v>0</v>
      </c>
      <c r="X107" s="24">
        <f t="shared" si="3"/>
        <v>0</v>
      </c>
      <c r="Y107" s="24">
        <f t="shared" si="3"/>
        <v>0</v>
      </c>
      <c r="Z107" s="24">
        <f t="shared" si="3"/>
        <v>0</v>
      </c>
      <c r="AA107" s="24">
        <f t="shared" si="3"/>
        <v>0</v>
      </c>
      <c r="AB107" s="28">
        <f>SUM(AB2:AB106)</f>
        <v>504613</v>
      </c>
      <c r="AC107" s="1"/>
    </row>
    <row r="108" spans="1:29" x14ac:dyDescent="0.25">
      <c r="E108" s="37"/>
      <c r="F108" s="37"/>
    </row>
  </sheetData>
  <autoFilter ref="A1:AC107" xr:uid="{18C64C84-AC8E-4740-9687-7BC3CE039E09}">
    <filterColumn colId="27">
      <filters>
        <filter val="₹1,383.00"/>
        <filter val="₹1,597.00"/>
        <filter val="₹1,700.00"/>
        <filter val="₹1,878.00"/>
        <filter val="₹10,004.00"/>
        <filter val="₹10,695.00"/>
        <filter val="₹10,700.00"/>
        <filter val="₹14,200.00"/>
        <filter val="₹2,081.00"/>
        <filter val="₹2,098.00"/>
        <filter val="₹2,210.00"/>
        <filter val="₹2,341.00"/>
        <filter val="₹2,495.00"/>
        <filter val="₹2,777.00"/>
        <filter val="₹2,804.00"/>
        <filter val="₹2,951.00"/>
        <filter val="₹2,962.00"/>
        <filter val="₹3,000.00"/>
        <filter val="₹3,099.00"/>
        <filter val="₹3,231.00"/>
        <filter val="₹3,551.00"/>
        <filter val="₹4,259.00"/>
        <filter val="₹4,456.00"/>
        <filter val="₹4,573.00"/>
        <filter val="₹4,674.00"/>
        <filter val="₹44.00"/>
        <filter val="₹5,04,613.00"/>
        <filter val="₹5,113.00"/>
        <filter val="₹5,251.00"/>
        <filter val="₹5,300.00"/>
        <filter val="₹5,558.00"/>
        <filter val="₹5,665.00"/>
        <filter val="₹5,700.00"/>
        <filter val="₹5,888.00"/>
        <filter val="₹5,905.00"/>
        <filter val="₹5,919.00"/>
        <filter val="₹510.00"/>
        <filter val="₹6,241.00"/>
        <filter val="₹6,618.00"/>
        <filter val="₹6,700.00"/>
        <filter val="₹6,800.00"/>
        <filter val="₹6,992.00"/>
        <filter val="₹640.00"/>
        <filter val="₹7,238.00"/>
        <filter val="₹7,592.00"/>
        <filter val="₹7,700.00"/>
        <filter val="₹7,890.00"/>
        <filter val="₹7,989.00"/>
        <filter val="₹8,114.00"/>
        <filter val="₹8,196.00"/>
        <filter val="₹8,500.00"/>
        <filter val="₹8,739.00"/>
        <filter val="₹837.00"/>
        <filter val="₹9,070.00"/>
        <filter val="₹9,071.00"/>
        <filter val="₹9,573.00"/>
        <filter val="₹9,996.00"/>
        <filter val="₹913.00"/>
      </filters>
    </filterColumn>
  </autoFilter>
  <phoneticPr fontId="8" type="noConversion"/>
  <conditionalFormatting sqref="B2:C18">
    <cfRule type="duplicateValues" dxfId="10" priority="4"/>
  </conditionalFormatting>
  <conditionalFormatting sqref="B47:C50">
    <cfRule type="duplicateValues" dxfId="9" priority="2"/>
  </conditionalFormatting>
  <conditionalFormatting sqref="B51:C56">
    <cfRule type="duplicateValues" dxfId="8" priority="1"/>
  </conditionalFormatting>
  <conditionalFormatting sqref="B89:C89 B57:C64 B19:C46 B65:B88 B106:C106 B90:B105">
    <cfRule type="duplicateValues" dxfId="7" priority="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5A8-78BF-4F26-9210-3F5911D91793}">
  <dimension ref="A8:J88"/>
  <sheetViews>
    <sheetView tabSelected="1" topLeftCell="A51" workbookViewId="0">
      <selection activeCell="G76" sqref="G76"/>
    </sheetView>
  </sheetViews>
  <sheetFormatPr defaultRowHeight="15" x14ac:dyDescent="0.25"/>
  <cols>
    <col min="1" max="1" width="14.7109375" bestFit="1" customWidth="1"/>
    <col min="2" max="2" width="65.28515625" bestFit="1" customWidth="1"/>
    <col min="3" max="3" width="10" bestFit="1" customWidth="1"/>
    <col min="4" max="4" width="18.5703125" bestFit="1" customWidth="1"/>
    <col min="5" max="5" width="10" customWidth="1"/>
    <col min="6" max="6" width="14.7109375" bestFit="1" customWidth="1"/>
    <col min="7" max="7" width="19.7109375" bestFit="1" customWidth="1"/>
    <col min="8" max="8" width="10" bestFit="1" customWidth="1"/>
    <col min="10" max="10" width="25.7109375" bestFit="1" customWidth="1"/>
  </cols>
  <sheetData>
    <row r="8" spans="1:10" x14ac:dyDescent="0.25">
      <c r="A8" s="23" t="s">
        <v>142</v>
      </c>
      <c r="B8" s="21" t="s">
        <v>139</v>
      </c>
      <c r="C8" s="11" t="s">
        <v>222</v>
      </c>
      <c r="D8" s="40" t="s">
        <v>523</v>
      </c>
      <c r="E8" s="40"/>
    </row>
    <row r="9" spans="1:10" x14ac:dyDescent="0.25">
      <c r="A9" s="1">
        <v>10130027</v>
      </c>
      <c r="B9" s="16" t="s">
        <v>146</v>
      </c>
      <c r="C9" s="1">
        <v>640</v>
      </c>
      <c r="D9" s="2">
        <v>640</v>
      </c>
      <c r="E9" s="40"/>
      <c r="F9" s="23" t="s">
        <v>142</v>
      </c>
      <c r="G9" s="21" t="s">
        <v>139</v>
      </c>
      <c r="H9" s="8" t="s">
        <v>222</v>
      </c>
      <c r="I9" s="11" t="s">
        <v>283</v>
      </c>
      <c r="J9" s="11" t="s">
        <v>469</v>
      </c>
    </row>
    <row r="10" spans="1:10" x14ac:dyDescent="0.25">
      <c r="A10" s="1">
        <v>10080017</v>
      </c>
      <c r="B10" s="16" t="s">
        <v>154</v>
      </c>
      <c r="C10" s="1">
        <v>14200</v>
      </c>
      <c r="D10" s="2">
        <v>6000</v>
      </c>
      <c r="E10" s="40"/>
      <c r="F10" s="1">
        <v>10140020</v>
      </c>
      <c r="G10" s="5" t="s">
        <v>438</v>
      </c>
      <c r="H10" s="17">
        <v>10700</v>
      </c>
      <c r="I10" s="1">
        <v>5700</v>
      </c>
      <c r="J10" s="1" t="s">
        <v>470</v>
      </c>
    </row>
    <row r="11" spans="1:10" x14ac:dyDescent="0.25">
      <c r="A11" s="1">
        <v>10110022</v>
      </c>
      <c r="B11" s="16" t="s">
        <v>156</v>
      </c>
      <c r="C11" s="1">
        <v>1878</v>
      </c>
      <c r="D11" s="2">
        <v>1878</v>
      </c>
      <c r="E11" s="40"/>
      <c r="F11" s="1">
        <v>10140058</v>
      </c>
      <c r="G11" s="5" t="s">
        <v>439</v>
      </c>
      <c r="H11" s="17">
        <v>10700</v>
      </c>
      <c r="I11" s="1">
        <v>5700</v>
      </c>
      <c r="J11" s="1" t="s">
        <v>470</v>
      </c>
    </row>
    <row r="12" spans="1:10" x14ac:dyDescent="0.25">
      <c r="A12" s="1">
        <v>10100004</v>
      </c>
      <c r="B12" s="16" t="s">
        <v>158</v>
      </c>
      <c r="C12" s="1">
        <v>5905</v>
      </c>
      <c r="D12" s="2">
        <v>3000</v>
      </c>
      <c r="E12" s="40"/>
      <c r="F12" s="1">
        <v>10120080</v>
      </c>
      <c r="G12" s="1" t="s">
        <v>464</v>
      </c>
      <c r="H12" s="17">
        <v>10700</v>
      </c>
      <c r="I12" s="1">
        <v>2000</v>
      </c>
      <c r="J12" s="1" t="s">
        <v>470</v>
      </c>
    </row>
    <row r="13" spans="1:10" x14ac:dyDescent="0.25">
      <c r="A13" s="1">
        <v>10030020</v>
      </c>
      <c r="B13" s="16" t="s">
        <v>160</v>
      </c>
      <c r="C13" s="1">
        <v>14200</v>
      </c>
      <c r="D13" s="2">
        <v>3000</v>
      </c>
      <c r="E13" s="40"/>
      <c r="F13" s="1">
        <v>10130014</v>
      </c>
      <c r="G13" s="1" t="s">
        <v>466</v>
      </c>
      <c r="H13" s="17">
        <v>10700</v>
      </c>
      <c r="I13" s="1">
        <v>2000</v>
      </c>
      <c r="J13" s="1" t="s">
        <v>470</v>
      </c>
    </row>
    <row r="14" spans="1:10" x14ac:dyDescent="0.25">
      <c r="A14" s="1">
        <v>10090023</v>
      </c>
      <c r="B14" s="16" t="s">
        <v>162</v>
      </c>
      <c r="C14" s="1">
        <v>9996</v>
      </c>
      <c r="D14" s="2">
        <v>5000</v>
      </c>
      <c r="E14" s="41"/>
    </row>
    <row r="15" spans="1:10" x14ac:dyDescent="0.25">
      <c r="A15" s="1">
        <v>10120022</v>
      </c>
      <c r="B15" s="16" t="s">
        <v>166</v>
      </c>
      <c r="C15" s="1">
        <v>4573</v>
      </c>
      <c r="D15" s="2">
        <v>3000</v>
      </c>
      <c r="E15" s="41"/>
    </row>
    <row r="16" spans="1:10" x14ac:dyDescent="0.25">
      <c r="A16" s="1">
        <v>10480004</v>
      </c>
      <c r="B16" s="16" t="s">
        <v>168</v>
      </c>
      <c r="C16" s="1">
        <v>6241</v>
      </c>
      <c r="D16" s="2">
        <v>3000</v>
      </c>
      <c r="E16" s="41"/>
    </row>
    <row r="17" spans="1:5" x14ac:dyDescent="0.25">
      <c r="A17" s="1">
        <v>10100036</v>
      </c>
      <c r="B17" s="16" t="s">
        <v>170</v>
      </c>
      <c r="C17" s="1">
        <v>8196</v>
      </c>
      <c r="D17" s="2">
        <v>3000</v>
      </c>
      <c r="E17" s="41"/>
    </row>
    <row r="18" spans="1:5" x14ac:dyDescent="0.25">
      <c r="A18" s="1">
        <v>10130045</v>
      </c>
      <c r="B18" s="16" t="s">
        <v>172</v>
      </c>
      <c r="C18" s="1">
        <v>7592</v>
      </c>
      <c r="D18" s="2">
        <v>3000</v>
      </c>
      <c r="E18" s="41"/>
    </row>
    <row r="19" spans="1:5" x14ac:dyDescent="0.25">
      <c r="A19" s="1">
        <v>10100019</v>
      </c>
      <c r="B19" s="16" t="s">
        <v>175</v>
      </c>
      <c r="C19" s="1">
        <v>7238</v>
      </c>
      <c r="D19" s="2">
        <v>3000</v>
      </c>
      <c r="E19" s="41"/>
    </row>
    <row r="20" spans="1:5" x14ac:dyDescent="0.25">
      <c r="A20" s="1">
        <v>10060030</v>
      </c>
      <c r="B20" s="16" t="s">
        <v>177</v>
      </c>
      <c r="C20" s="1">
        <v>44</v>
      </c>
      <c r="D20" s="2">
        <v>44</v>
      </c>
      <c r="E20" s="41"/>
    </row>
    <row r="21" spans="1:5" x14ac:dyDescent="0.25">
      <c r="A21" s="1">
        <v>10120034</v>
      </c>
      <c r="B21" s="16" t="s">
        <v>179</v>
      </c>
      <c r="C21" s="1">
        <v>1597</v>
      </c>
      <c r="D21" s="2">
        <v>1597</v>
      </c>
      <c r="E21" s="41"/>
    </row>
    <row r="22" spans="1:5" x14ac:dyDescent="0.25">
      <c r="A22" s="1">
        <v>10140043</v>
      </c>
      <c r="B22" s="16" t="s">
        <v>181</v>
      </c>
      <c r="C22" s="1">
        <v>5888</v>
      </c>
      <c r="D22" s="2">
        <v>3000</v>
      </c>
      <c r="E22" s="41"/>
    </row>
    <row r="23" spans="1:5" x14ac:dyDescent="0.25">
      <c r="A23" s="1">
        <v>10130013</v>
      </c>
      <c r="B23" s="1" t="s">
        <v>183</v>
      </c>
      <c r="C23" s="1">
        <v>913</v>
      </c>
      <c r="D23" s="2">
        <v>913</v>
      </c>
      <c r="E23" s="41"/>
    </row>
    <row r="24" spans="1:5" x14ac:dyDescent="0.25">
      <c r="A24" s="1">
        <v>10090048</v>
      </c>
      <c r="B24" s="16" t="s">
        <v>185</v>
      </c>
      <c r="C24" s="1">
        <v>5300</v>
      </c>
      <c r="D24" s="2">
        <v>3000</v>
      </c>
      <c r="E24" s="41"/>
    </row>
    <row r="25" spans="1:5" x14ac:dyDescent="0.25">
      <c r="A25" s="1">
        <v>10130009</v>
      </c>
      <c r="B25" s="1" t="s">
        <v>187</v>
      </c>
      <c r="C25" s="1">
        <v>10700</v>
      </c>
      <c r="D25" s="2">
        <v>3000</v>
      </c>
      <c r="E25" s="41"/>
    </row>
    <row r="26" spans="1:5" x14ac:dyDescent="0.25">
      <c r="A26" s="1">
        <v>10480014</v>
      </c>
      <c r="B26" s="1" t="s">
        <v>191</v>
      </c>
      <c r="C26" s="1">
        <v>3551</v>
      </c>
      <c r="D26" s="2">
        <v>3000</v>
      </c>
      <c r="E26" s="41"/>
    </row>
    <row r="27" spans="1:5" x14ac:dyDescent="0.25">
      <c r="A27" s="1">
        <v>10090032</v>
      </c>
      <c r="B27" s="1" t="s">
        <v>195</v>
      </c>
      <c r="C27" s="1">
        <v>5113</v>
      </c>
      <c r="D27" s="2">
        <v>3000</v>
      </c>
      <c r="E27" s="41"/>
    </row>
    <row r="28" spans="1:5" x14ac:dyDescent="0.25">
      <c r="A28" s="1">
        <v>10140022</v>
      </c>
      <c r="B28" s="1" t="s">
        <v>197</v>
      </c>
      <c r="C28" s="1">
        <v>4456</v>
      </c>
      <c r="D28" s="2">
        <v>3000</v>
      </c>
      <c r="E28" s="41"/>
    </row>
    <row r="29" spans="1:5" x14ac:dyDescent="0.25">
      <c r="A29" s="1">
        <v>10140015</v>
      </c>
      <c r="B29" s="1" t="s">
        <v>46</v>
      </c>
      <c r="C29" s="1">
        <v>10700</v>
      </c>
      <c r="D29" s="2">
        <v>3000</v>
      </c>
      <c r="E29" s="41"/>
    </row>
    <row r="30" spans="1:5" x14ac:dyDescent="0.25">
      <c r="A30" s="1">
        <v>10070033</v>
      </c>
      <c r="B30" s="1" t="s">
        <v>202</v>
      </c>
      <c r="C30" s="1">
        <v>5919</v>
      </c>
      <c r="D30" s="2">
        <v>3000</v>
      </c>
      <c r="E30" s="41"/>
    </row>
    <row r="31" spans="1:5" x14ac:dyDescent="0.25">
      <c r="A31" s="1">
        <v>10100037</v>
      </c>
      <c r="B31" s="1" t="s">
        <v>204</v>
      </c>
      <c r="C31" s="1">
        <v>7700</v>
      </c>
      <c r="D31" s="2">
        <v>3000</v>
      </c>
      <c r="E31" s="41"/>
    </row>
    <row r="32" spans="1:5" x14ac:dyDescent="0.25">
      <c r="A32" s="1">
        <v>10070049</v>
      </c>
      <c r="B32" s="1" t="s">
        <v>54</v>
      </c>
      <c r="C32" s="1">
        <v>2210</v>
      </c>
      <c r="D32" s="2">
        <v>2210</v>
      </c>
      <c r="E32" s="41"/>
    </row>
    <row r="33" spans="1:5" x14ac:dyDescent="0.25">
      <c r="A33" s="1">
        <v>10120083</v>
      </c>
      <c r="B33" s="1" t="s">
        <v>56</v>
      </c>
      <c r="C33" s="1">
        <v>2951</v>
      </c>
      <c r="D33" s="2">
        <v>2951</v>
      </c>
      <c r="E33" s="41"/>
    </row>
    <row r="34" spans="1:5" x14ac:dyDescent="0.25">
      <c r="A34" s="1">
        <v>10090036</v>
      </c>
      <c r="B34" s="1" t="s">
        <v>212</v>
      </c>
      <c r="C34" s="1">
        <v>510</v>
      </c>
      <c r="D34" s="2">
        <v>510</v>
      </c>
      <c r="E34" s="41"/>
    </row>
    <row r="35" spans="1:5" x14ac:dyDescent="0.25">
      <c r="A35" s="1">
        <v>10020037</v>
      </c>
      <c r="B35" s="1" t="s">
        <v>214</v>
      </c>
      <c r="C35" s="1">
        <v>6992</v>
      </c>
      <c r="D35" s="2">
        <v>3000</v>
      </c>
      <c r="E35" s="41"/>
    </row>
    <row r="36" spans="1:5" x14ac:dyDescent="0.25">
      <c r="A36" s="45">
        <v>10120082</v>
      </c>
      <c r="B36" s="1" t="s">
        <v>79</v>
      </c>
      <c r="C36" s="1">
        <v>10700</v>
      </c>
      <c r="D36" s="2">
        <v>3000</v>
      </c>
      <c r="E36" s="41"/>
    </row>
    <row r="37" spans="1:5" x14ac:dyDescent="0.25">
      <c r="A37" s="1">
        <v>10090046</v>
      </c>
      <c r="B37" s="1" t="s">
        <v>217</v>
      </c>
      <c r="C37" s="1">
        <v>2804</v>
      </c>
      <c r="D37" s="2">
        <v>2804</v>
      </c>
      <c r="E37" s="41"/>
    </row>
    <row r="38" spans="1:5" x14ac:dyDescent="0.25">
      <c r="A38" s="1">
        <v>10090045</v>
      </c>
      <c r="B38" s="5" t="s">
        <v>472</v>
      </c>
      <c r="C38" s="1">
        <v>3099</v>
      </c>
      <c r="D38" s="2">
        <v>3099</v>
      </c>
      <c r="E38" s="41"/>
    </row>
    <row r="39" spans="1:5" x14ac:dyDescent="0.25">
      <c r="A39" s="1">
        <v>10130026</v>
      </c>
      <c r="B39" s="1" t="s">
        <v>358</v>
      </c>
      <c r="C39" s="1">
        <v>10695</v>
      </c>
      <c r="D39" s="2">
        <v>5000</v>
      </c>
      <c r="E39" s="41"/>
    </row>
    <row r="40" spans="1:5" x14ac:dyDescent="0.25">
      <c r="A40" s="1">
        <v>10130006</v>
      </c>
      <c r="B40" s="1" t="s">
        <v>301</v>
      </c>
      <c r="C40" s="1">
        <v>2777</v>
      </c>
      <c r="D40" s="2">
        <v>2777</v>
      </c>
      <c r="E40" s="41"/>
    </row>
    <row r="41" spans="1:5" x14ac:dyDescent="0.25">
      <c r="A41" s="1">
        <v>10120094</v>
      </c>
      <c r="B41" s="1" t="s">
        <v>300</v>
      </c>
      <c r="C41" s="1">
        <v>1383</v>
      </c>
      <c r="D41" s="2">
        <v>1383</v>
      </c>
      <c r="E41" s="41"/>
    </row>
    <row r="42" spans="1:5" x14ac:dyDescent="0.25">
      <c r="A42" s="1">
        <v>10060069</v>
      </c>
      <c r="B42" s="1" t="s">
        <v>308</v>
      </c>
      <c r="C42" s="1">
        <v>7700</v>
      </c>
      <c r="D42" s="2">
        <v>3000</v>
      </c>
      <c r="E42" s="41"/>
    </row>
    <row r="43" spans="1:5" x14ac:dyDescent="0.25">
      <c r="A43" s="1">
        <v>10360001</v>
      </c>
      <c r="B43" s="1" t="s">
        <v>309</v>
      </c>
      <c r="C43" s="1">
        <v>3000</v>
      </c>
      <c r="D43" s="2">
        <v>3000</v>
      </c>
      <c r="E43" s="41"/>
    </row>
    <row r="44" spans="1:5" x14ac:dyDescent="0.25">
      <c r="A44" s="1">
        <v>10070013</v>
      </c>
      <c r="B44" s="1" t="s">
        <v>310</v>
      </c>
      <c r="C44" s="1">
        <v>5665</v>
      </c>
      <c r="D44" s="2">
        <v>3000</v>
      </c>
      <c r="E44" s="41"/>
    </row>
    <row r="45" spans="1:5" x14ac:dyDescent="0.25">
      <c r="A45" s="1">
        <v>10100021</v>
      </c>
      <c r="B45" s="1" t="s">
        <v>311</v>
      </c>
      <c r="C45" s="1">
        <v>3000</v>
      </c>
      <c r="D45" s="2">
        <v>3000</v>
      </c>
      <c r="E45" s="41"/>
    </row>
    <row r="46" spans="1:5" x14ac:dyDescent="0.25">
      <c r="A46" s="1">
        <v>10070008</v>
      </c>
      <c r="B46" s="1" t="s">
        <v>312</v>
      </c>
      <c r="C46" s="1">
        <v>3000</v>
      </c>
      <c r="D46" s="2">
        <v>3000</v>
      </c>
      <c r="E46" s="41"/>
    </row>
    <row r="47" spans="1:5" x14ac:dyDescent="0.25">
      <c r="A47" s="1">
        <v>10140003</v>
      </c>
      <c r="B47" s="5" t="s">
        <v>326</v>
      </c>
      <c r="C47" s="1">
        <v>837</v>
      </c>
      <c r="D47" s="2">
        <v>837</v>
      </c>
      <c r="E47" s="41"/>
    </row>
    <row r="48" spans="1:5" x14ac:dyDescent="0.25">
      <c r="A48" s="1">
        <v>10020041</v>
      </c>
      <c r="B48" s="5" t="s">
        <v>339</v>
      </c>
      <c r="C48" s="1">
        <v>5251</v>
      </c>
      <c r="D48" s="2">
        <v>3000</v>
      </c>
      <c r="E48" s="41"/>
    </row>
    <row r="49" spans="1:5" x14ac:dyDescent="0.25">
      <c r="A49" s="1">
        <v>10090003</v>
      </c>
      <c r="B49" s="5" t="s">
        <v>341</v>
      </c>
      <c r="C49" s="1">
        <v>5700</v>
      </c>
      <c r="D49" s="2">
        <v>3000</v>
      </c>
      <c r="E49" s="41"/>
    </row>
    <row r="50" spans="1:5" x14ac:dyDescent="0.25">
      <c r="A50" s="1">
        <v>10090037</v>
      </c>
      <c r="B50" s="5" t="s">
        <v>343</v>
      </c>
      <c r="C50" s="1">
        <v>3231</v>
      </c>
      <c r="D50" s="2">
        <v>3000</v>
      </c>
      <c r="E50" s="41"/>
    </row>
    <row r="51" spans="1:5" x14ac:dyDescent="0.25">
      <c r="A51" s="1">
        <v>10090058</v>
      </c>
      <c r="B51" s="5" t="s">
        <v>330</v>
      </c>
      <c r="C51" s="1">
        <v>2081</v>
      </c>
      <c r="D51" s="2">
        <v>2081</v>
      </c>
      <c r="E51" s="41"/>
    </row>
    <row r="52" spans="1:5" x14ac:dyDescent="0.25">
      <c r="A52" s="1">
        <v>10010076</v>
      </c>
      <c r="B52" s="5" t="s">
        <v>344</v>
      </c>
      <c r="C52" s="1">
        <v>10004</v>
      </c>
      <c r="D52" s="2">
        <v>3000</v>
      </c>
      <c r="E52" s="41"/>
    </row>
    <row r="53" spans="1:5" x14ac:dyDescent="0.25">
      <c r="A53" s="1">
        <v>10130093</v>
      </c>
      <c r="B53" s="1" t="s">
        <v>355</v>
      </c>
      <c r="C53" s="1">
        <v>9573</v>
      </c>
      <c r="D53" s="2">
        <v>3000</v>
      </c>
      <c r="E53" s="41"/>
    </row>
    <row r="54" spans="1:5" x14ac:dyDescent="0.25">
      <c r="A54" s="1">
        <v>10130047</v>
      </c>
      <c r="B54" s="1" t="s">
        <v>356</v>
      </c>
      <c r="C54" s="1">
        <v>7700</v>
      </c>
      <c r="D54" s="2">
        <v>3000</v>
      </c>
      <c r="E54" s="41"/>
    </row>
    <row r="55" spans="1:5" x14ac:dyDescent="0.25">
      <c r="A55" s="1">
        <v>10140132</v>
      </c>
      <c r="B55" s="1" t="s">
        <v>382</v>
      </c>
      <c r="C55" s="1">
        <v>9070</v>
      </c>
      <c r="D55" s="2">
        <v>3000</v>
      </c>
      <c r="E55" s="41"/>
    </row>
    <row r="56" spans="1:5" x14ac:dyDescent="0.25">
      <c r="A56" s="1">
        <v>10140054</v>
      </c>
      <c r="B56" s="1" t="s">
        <v>379</v>
      </c>
      <c r="C56" s="1">
        <v>2495</v>
      </c>
      <c r="D56" s="2">
        <v>2495</v>
      </c>
      <c r="E56" s="41"/>
    </row>
    <row r="57" spans="1:5" x14ac:dyDescent="0.25">
      <c r="A57" s="1">
        <v>10140068</v>
      </c>
      <c r="B57" s="1" t="s">
        <v>381</v>
      </c>
      <c r="C57" s="1">
        <v>6800</v>
      </c>
      <c r="D57" s="2">
        <v>3000</v>
      </c>
      <c r="E57" s="41"/>
    </row>
    <row r="58" spans="1:5" x14ac:dyDescent="0.25">
      <c r="A58" s="1">
        <v>10110071</v>
      </c>
      <c r="B58" s="1" t="s">
        <v>408</v>
      </c>
      <c r="C58" s="1">
        <v>5700</v>
      </c>
      <c r="D58" s="2">
        <v>3000</v>
      </c>
      <c r="E58" s="41"/>
    </row>
    <row r="59" spans="1:5" x14ac:dyDescent="0.25">
      <c r="A59" s="1">
        <v>10140033</v>
      </c>
      <c r="B59" s="1" t="s">
        <v>421</v>
      </c>
      <c r="C59" s="1">
        <v>4674</v>
      </c>
      <c r="D59" s="2">
        <v>3000</v>
      </c>
      <c r="E59" s="41"/>
    </row>
    <row r="60" spans="1:5" x14ac:dyDescent="0.25">
      <c r="A60" s="1">
        <v>10140020</v>
      </c>
      <c r="B60" s="5" t="s">
        <v>438</v>
      </c>
      <c r="C60" s="1">
        <v>16258</v>
      </c>
      <c r="D60" s="2">
        <v>3000</v>
      </c>
      <c r="E60" s="41"/>
    </row>
    <row r="61" spans="1:5" x14ac:dyDescent="0.25">
      <c r="A61" s="1">
        <v>10140058</v>
      </c>
      <c r="B61" s="5" t="s">
        <v>439</v>
      </c>
      <c r="C61" s="1">
        <v>10700</v>
      </c>
      <c r="D61" s="2">
        <v>3000</v>
      </c>
      <c r="E61" s="41"/>
    </row>
    <row r="62" spans="1:5" x14ac:dyDescent="0.25">
      <c r="A62" s="1">
        <v>10140137</v>
      </c>
      <c r="B62" s="5" t="s">
        <v>440</v>
      </c>
      <c r="C62" s="1">
        <v>7890</v>
      </c>
      <c r="D62" s="2">
        <v>3000</v>
      </c>
      <c r="E62" s="41"/>
    </row>
    <row r="63" spans="1:5" x14ac:dyDescent="0.25">
      <c r="A63" s="1">
        <v>10140002</v>
      </c>
      <c r="B63" s="5" t="s">
        <v>57</v>
      </c>
      <c r="C63" s="1">
        <v>2098</v>
      </c>
      <c r="D63" s="2">
        <v>2098</v>
      </c>
      <c r="E63" s="41"/>
    </row>
    <row r="64" spans="1:5" x14ac:dyDescent="0.25">
      <c r="A64" s="1">
        <v>10060049</v>
      </c>
      <c r="B64" s="5" t="s">
        <v>452</v>
      </c>
      <c r="C64" s="1">
        <v>1700</v>
      </c>
      <c r="D64" s="2">
        <v>1700</v>
      </c>
      <c r="E64" s="41"/>
    </row>
    <row r="65" spans="1:5" x14ac:dyDescent="0.25">
      <c r="A65" s="1">
        <v>10090009</v>
      </c>
      <c r="B65" s="5" t="s">
        <v>450</v>
      </c>
      <c r="C65" s="1">
        <v>2341</v>
      </c>
      <c r="D65" s="2">
        <v>2341</v>
      </c>
      <c r="E65" s="41"/>
    </row>
    <row r="66" spans="1:5" x14ac:dyDescent="0.25">
      <c r="A66" s="1">
        <v>10090043</v>
      </c>
      <c r="B66" s="5" t="s">
        <v>451</v>
      </c>
      <c r="C66" s="1">
        <v>6700</v>
      </c>
      <c r="D66" s="2">
        <v>3000</v>
      </c>
      <c r="E66" s="41"/>
    </row>
    <row r="67" spans="1:5" x14ac:dyDescent="0.25">
      <c r="A67" s="1">
        <v>10020070</v>
      </c>
      <c r="B67" s="5" t="s">
        <v>448</v>
      </c>
      <c r="C67" s="1">
        <v>2962</v>
      </c>
      <c r="D67" s="2">
        <v>2962</v>
      </c>
      <c r="E67" s="41"/>
    </row>
    <row r="68" spans="1:5" x14ac:dyDescent="0.25">
      <c r="A68" s="1">
        <v>10110043</v>
      </c>
      <c r="B68" s="1" t="s">
        <v>455</v>
      </c>
      <c r="C68" s="1">
        <v>8114</v>
      </c>
      <c r="D68" s="2">
        <v>3000</v>
      </c>
      <c r="E68" s="41"/>
    </row>
    <row r="69" spans="1:5" x14ac:dyDescent="0.25">
      <c r="A69" s="1">
        <v>10120002</v>
      </c>
      <c r="B69" s="1" t="s">
        <v>462</v>
      </c>
      <c r="C69" s="1">
        <v>8739</v>
      </c>
      <c r="D69" s="2">
        <v>3000</v>
      </c>
      <c r="E69" s="41"/>
    </row>
    <row r="70" spans="1:5" x14ac:dyDescent="0.25">
      <c r="A70" s="1">
        <v>10120107</v>
      </c>
      <c r="B70" s="1" t="s">
        <v>463</v>
      </c>
      <c r="C70" s="1">
        <v>7989</v>
      </c>
      <c r="D70" s="2">
        <v>3000</v>
      </c>
      <c r="E70" s="41"/>
    </row>
    <row r="71" spans="1:5" x14ac:dyDescent="0.25">
      <c r="A71" s="1">
        <v>10120080</v>
      </c>
      <c r="B71" s="1" t="s">
        <v>464</v>
      </c>
      <c r="C71" s="1">
        <v>10700</v>
      </c>
      <c r="D71" s="2">
        <v>3000</v>
      </c>
      <c r="E71" s="41"/>
    </row>
    <row r="72" spans="1:5" x14ac:dyDescent="0.25">
      <c r="A72" s="1">
        <v>10120035</v>
      </c>
      <c r="B72" s="1" t="s">
        <v>465</v>
      </c>
      <c r="C72" s="1">
        <v>9071</v>
      </c>
      <c r="D72" s="2">
        <v>3000</v>
      </c>
      <c r="E72" s="41"/>
    </row>
    <row r="73" spans="1:5" x14ac:dyDescent="0.25">
      <c r="A73" s="1">
        <v>10130014</v>
      </c>
      <c r="B73" s="1" t="s">
        <v>466</v>
      </c>
      <c r="C73" s="1">
        <v>10700</v>
      </c>
      <c r="D73" s="2">
        <v>3000</v>
      </c>
      <c r="E73" s="41"/>
    </row>
    <row r="74" spans="1:5" x14ac:dyDescent="0.25">
      <c r="A74" s="1">
        <v>10130015</v>
      </c>
      <c r="B74" s="1" t="s">
        <v>467</v>
      </c>
      <c r="C74" s="1">
        <v>10700</v>
      </c>
      <c r="D74" s="2">
        <v>3000</v>
      </c>
      <c r="E74" s="41"/>
    </row>
    <row r="75" spans="1:5" x14ac:dyDescent="0.25">
      <c r="A75" s="1">
        <v>10030053</v>
      </c>
      <c r="B75" s="1" t="s">
        <v>10</v>
      </c>
      <c r="C75" s="1">
        <v>5700</v>
      </c>
      <c r="D75" s="2">
        <v>3000</v>
      </c>
      <c r="E75" s="41"/>
    </row>
    <row r="76" spans="1:5" x14ac:dyDescent="0.25">
      <c r="A76" s="1">
        <v>10110095</v>
      </c>
      <c r="B76" s="5" t="s">
        <v>484</v>
      </c>
      <c r="C76" s="1">
        <v>5700</v>
      </c>
      <c r="D76" s="2">
        <v>3000</v>
      </c>
      <c r="E76" s="41"/>
    </row>
    <row r="77" spans="1:5" x14ac:dyDescent="0.25">
      <c r="A77" s="1">
        <v>10440001</v>
      </c>
      <c r="B77" s="5" t="s">
        <v>485</v>
      </c>
      <c r="C77" s="1">
        <v>5700</v>
      </c>
      <c r="D77" s="2">
        <v>3000</v>
      </c>
      <c r="E77" s="41"/>
    </row>
    <row r="78" spans="1:5" x14ac:dyDescent="0.25">
      <c r="A78" s="1">
        <v>10100001</v>
      </c>
      <c r="B78" s="5" t="s">
        <v>488</v>
      </c>
      <c r="C78" s="1">
        <v>10700</v>
      </c>
      <c r="D78" s="2">
        <v>3000</v>
      </c>
      <c r="E78" s="41"/>
    </row>
    <row r="79" spans="1:5" x14ac:dyDescent="0.25">
      <c r="A79" s="1">
        <v>10070043</v>
      </c>
      <c r="B79" s="5" t="s">
        <v>49</v>
      </c>
      <c r="C79" s="1">
        <v>10700</v>
      </c>
      <c r="D79" s="2">
        <v>3000</v>
      </c>
      <c r="E79" s="41"/>
    </row>
    <row r="80" spans="1:5" x14ac:dyDescent="0.25">
      <c r="A80" s="1">
        <v>10090056</v>
      </c>
      <c r="B80" s="1" t="s">
        <v>496</v>
      </c>
      <c r="C80" s="1">
        <v>7700</v>
      </c>
      <c r="D80" s="2">
        <v>3000</v>
      </c>
      <c r="E80" s="41"/>
    </row>
    <row r="81" spans="1:5" x14ac:dyDescent="0.25">
      <c r="A81" s="1">
        <v>10090049</v>
      </c>
      <c r="B81" s="1" t="s">
        <v>497</v>
      </c>
      <c r="C81" s="1">
        <v>6700</v>
      </c>
      <c r="D81" s="2">
        <v>3000</v>
      </c>
      <c r="E81" s="41"/>
    </row>
    <row r="82" spans="1:5" x14ac:dyDescent="0.25">
      <c r="A82" s="1">
        <v>10090007</v>
      </c>
      <c r="B82" s="1" t="s">
        <v>501</v>
      </c>
      <c r="C82" s="1">
        <v>7700</v>
      </c>
      <c r="D82" s="2">
        <v>3000</v>
      </c>
      <c r="E82" s="41"/>
    </row>
    <row r="83" spans="1:5" x14ac:dyDescent="0.25">
      <c r="A83" s="1">
        <v>10500001</v>
      </c>
      <c r="B83" s="1" t="s">
        <v>505</v>
      </c>
      <c r="C83" s="1">
        <v>5700</v>
      </c>
      <c r="D83" s="2">
        <v>3000</v>
      </c>
      <c r="E83" s="41"/>
    </row>
    <row r="84" spans="1:5" x14ac:dyDescent="0.25">
      <c r="A84" s="1">
        <v>10030011</v>
      </c>
      <c r="B84" s="1" t="s">
        <v>506</v>
      </c>
      <c r="C84" s="1">
        <v>5700</v>
      </c>
      <c r="D84" s="2">
        <v>3000</v>
      </c>
      <c r="E84" s="41"/>
    </row>
    <row r="85" spans="1:5" x14ac:dyDescent="0.25">
      <c r="A85" s="1">
        <v>10140012</v>
      </c>
      <c r="B85" s="1" t="s">
        <v>510</v>
      </c>
      <c r="C85" s="1">
        <v>10700</v>
      </c>
      <c r="D85" s="2">
        <v>3000</v>
      </c>
      <c r="E85" s="41"/>
    </row>
    <row r="86" spans="1:5" x14ac:dyDescent="0.25">
      <c r="A86" s="1">
        <v>10140001</v>
      </c>
      <c r="B86" s="1" t="s">
        <v>511</v>
      </c>
      <c r="C86" s="1">
        <v>14959</v>
      </c>
      <c r="D86" s="2">
        <v>3000</v>
      </c>
      <c r="E86" s="41"/>
    </row>
    <row r="87" spans="1:5" x14ac:dyDescent="0.25">
      <c r="A87" s="42" t="s">
        <v>524</v>
      </c>
      <c r="B87" s="42"/>
      <c r="C87" s="42"/>
      <c r="D87" s="8">
        <f>SUM(D9:D86)</f>
        <v>219320</v>
      </c>
      <c r="E87" s="41"/>
    </row>
    <row r="88" spans="1:5" x14ac:dyDescent="0.25">
      <c r="D88" s="41"/>
      <c r="E88" s="41"/>
    </row>
  </sheetData>
  <autoFilter ref="A8:C86" xr:uid="{7FBA65A8-78BF-4F26-9210-3F5911D91793}"/>
  <mergeCells count="1">
    <mergeCell ref="A87:C87"/>
  </mergeCells>
  <conditionalFormatting sqref="A8:A86">
    <cfRule type="duplicateValues" dxfId="6" priority="16"/>
  </conditionalFormatting>
  <conditionalFormatting sqref="A9:A20">
    <cfRule type="duplicateValues" dxfId="5" priority="10"/>
  </conditionalFormatting>
  <conditionalFormatting sqref="A43:A46">
    <cfRule type="duplicateValues" dxfId="4" priority="3"/>
  </conditionalFormatting>
  <conditionalFormatting sqref="A47:A52">
    <cfRule type="duplicateValues" dxfId="3" priority="2"/>
  </conditionalFormatting>
  <conditionalFormatting sqref="A75 A53:A57 A21:A42">
    <cfRule type="duplicateValues" dxfId="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257-1C44-49C0-985B-12AFEC8ED543}">
  <dimension ref="C4:K23"/>
  <sheetViews>
    <sheetView workbookViewId="0">
      <selection activeCell="D23" sqref="D23"/>
    </sheetView>
  </sheetViews>
  <sheetFormatPr defaultRowHeight="15" x14ac:dyDescent="0.25"/>
  <cols>
    <col min="3" max="3" width="30.28515625" bestFit="1" customWidth="1"/>
    <col min="4" max="4" width="26.28515625" customWidth="1"/>
    <col min="5" max="5" width="10.28515625" bestFit="1" customWidth="1"/>
    <col min="9" max="9" width="11.140625" bestFit="1" customWidth="1"/>
    <col min="10" max="10" width="16.85546875" bestFit="1" customWidth="1"/>
    <col min="11" max="11" width="36.28515625" bestFit="1" customWidth="1"/>
    <col min="12" max="12" width="10.28515625" bestFit="1" customWidth="1"/>
    <col min="13" max="13" width="13.7109375" bestFit="1" customWidth="1"/>
    <col min="14" max="14" width="25.140625" bestFit="1" customWidth="1"/>
  </cols>
  <sheetData>
    <row r="4" spans="3:11" x14ac:dyDescent="0.25">
      <c r="C4" s="8" t="s">
        <v>125</v>
      </c>
      <c r="D4" s="8" t="s">
        <v>124</v>
      </c>
      <c r="E4" s="8" t="s">
        <v>119</v>
      </c>
      <c r="F4" s="8" t="s">
        <v>121</v>
      </c>
      <c r="G4" s="8" t="s">
        <v>122</v>
      </c>
      <c r="H4" s="8" t="s">
        <v>120</v>
      </c>
      <c r="I4" s="8" t="s">
        <v>133</v>
      </c>
      <c r="J4" s="8" t="s">
        <v>126</v>
      </c>
      <c r="K4" s="8" t="s">
        <v>109</v>
      </c>
    </row>
    <row r="5" spans="3:11" x14ac:dyDescent="0.25">
      <c r="C5" s="3">
        <v>45775</v>
      </c>
      <c r="D5" s="2" t="s">
        <v>123</v>
      </c>
      <c r="E5" s="2">
        <v>0</v>
      </c>
      <c r="F5" s="2">
        <v>76</v>
      </c>
      <c r="G5" s="2">
        <f>+'PCB Details '!G155</f>
        <v>163</v>
      </c>
      <c r="H5" s="2">
        <f>D23</f>
        <v>7</v>
      </c>
      <c r="I5" s="2">
        <f>D22</f>
        <v>2</v>
      </c>
      <c r="J5" s="2">
        <f>+H5+I5</f>
        <v>9</v>
      </c>
      <c r="K5" s="1" t="s">
        <v>422</v>
      </c>
    </row>
    <row r="6" spans="3:11" x14ac:dyDescent="0.25">
      <c r="C6" s="3">
        <v>45939</v>
      </c>
      <c r="D6" s="2" t="s">
        <v>286</v>
      </c>
      <c r="E6" s="2">
        <v>0</v>
      </c>
      <c r="F6" s="2">
        <v>25</v>
      </c>
      <c r="G6" s="2">
        <f>+'PCB Details '!G156</f>
        <v>0</v>
      </c>
      <c r="H6" s="2"/>
      <c r="I6" s="2"/>
      <c r="J6" s="2"/>
      <c r="K6" s="1"/>
    </row>
    <row r="7" spans="3:11" x14ac:dyDescent="0.25">
      <c r="C7" s="3">
        <v>45946</v>
      </c>
      <c r="D7" s="2" t="s">
        <v>286</v>
      </c>
      <c r="E7" s="2">
        <v>0</v>
      </c>
      <c r="F7" s="2">
        <v>25</v>
      </c>
      <c r="G7" s="2">
        <f>+'PCB Details '!G157</f>
        <v>0</v>
      </c>
      <c r="H7" s="2"/>
      <c r="I7" s="2"/>
      <c r="J7" s="2"/>
      <c r="K7" s="1"/>
    </row>
    <row r="8" spans="3:11" x14ac:dyDescent="0.25">
      <c r="C8" s="3">
        <v>45732</v>
      </c>
      <c r="D8" s="2" t="s">
        <v>286</v>
      </c>
      <c r="E8" s="2">
        <v>1</v>
      </c>
      <c r="F8" s="2">
        <v>25</v>
      </c>
      <c r="G8" s="1"/>
      <c r="H8" s="1"/>
      <c r="I8" s="1"/>
      <c r="J8" s="1"/>
      <c r="K8" s="1"/>
    </row>
    <row r="9" spans="3:11" x14ac:dyDescent="0.25">
      <c r="C9" s="3">
        <v>45747</v>
      </c>
      <c r="D9" s="2" t="s">
        <v>286</v>
      </c>
      <c r="E9" s="2">
        <v>0</v>
      </c>
      <c r="F9" s="2">
        <v>21</v>
      </c>
      <c r="G9" s="1"/>
      <c r="H9" s="1"/>
      <c r="I9" s="1"/>
      <c r="J9" s="1"/>
      <c r="K9" s="1"/>
    </row>
    <row r="10" spans="3:11" x14ac:dyDescent="0.25">
      <c r="C10" s="3"/>
      <c r="D10" s="2"/>
      <c r="E10" s="1"/>
      <c r="F10" s="1"/>
      <c r="G10" s="1"/>
      <c r="H10" s="1"/>
      <c r="I10" s="1"/>
      <c r="J10" s="1"/>
      <c r="K10" s="1"/>
    </row>
    <row r="11" spans="3:11" x14ac:dyDescent="0.25">
      <c r="F11">
        <f>SUM(F5:F10)</f>
        <v>172</v>
      </c>
    </row>
    <row r="14" spans="3:11" x14ac:dyDescent="0.25">
      <c r="C14" s="11" t="s">
        <v>137</v>
      </c>
      <c r="D14" s="8" t="s">
        <v>131</v>
      </c>
      <c r="E14" s="8" t="s">
        <v>129</v>
      </c>
      <c r="F14" s="8" t="s">
        <v>130</v>
      </c>
    </row>
    <row r="15" spans="3:11" x14ac:dyDescent="0.25">
      <c r="C15" s="1" t="s">
        <v>118</v>
      </c>
      <c r="D15" s="2">
        <f>F11</f>
        <v>172</v>
      </c>
      <c r="E15" s="10">
        <v>9598.3684210526317</v>
      </c>
      <c r="F15" s="2">
        <f>D15*E15</f>
        <v>1650919.3684210526</v>
      </c>
    </row>
    <row r="16" spans="3:11" x14ac:dyDescent="0.25">
      <c r="C16" s="11" t="s">
        <v>136</v>
      </c>
      <c r="D16" s="8">
        <f>D15</f>
        <v>172</v>
      </c>
      <c r="E16" s="12">
        <v>9598.3684210526317</v>
      </c>
      <c r="F16" s="8">
        <v>1209394.4210526317</v>
      </c>
    </row>
    <row r="17" spans="3:8" x14ac:dyDescent="0.25">
      <c r="C17" s="1" t="s">
        <v>134</v>
      </c>
      <c r="D17" s="2">
        <f>'PCB Details '!H155</f>
        <v>84</v>
      </c>
      <c r="E17" s="10">
        <v>9598.3684210526317</v>
      </c>
      <c r="F17" s="10">
        <f>D17*E17</f>
        <v>806262.94736842101</v>
      </c>
    </row>
    <row r="18" spans="3:8" x14ac:dyDescent="0.25">
      <c r="C18" s="1" t="s">
        <v>345</v>
      </c>
      <c r="D18" s="2">
        <f>'PCB Details '!I155</f>
        <v>37</v>
      </c>
      <c r="E18" s="10">
        <v>9598.3684210526317</v>
      </c>
      <c r="F18" s="10">
        <f t="shared" ref="F18:F19" si="0">D18*E18</f>
        <v>355139.63157894736</v>
      </c>
      <c r="G18" s="13">
        <f>+F18+F19</f>
        <v>758271.10526315786</v>
      </c>
      <c r="H18" s="13"/>
    </row>
    <row r="19" spans="3:8" x14ac:dyDescent="0.25">
      <c r="C19" s="1" t="s">
        <v>111</v>
      </c>
      <c r="D19" s="2">
        <f>'PCB Details '!J155</f>
        <v>42</v>
      </c>
      <c r="E19" s="10">
        <v>9598.3684210526317</v>
      </c>
      <c r="F19" s="10">
        <f t="shared" si="0"/>
        <v>403131.4736842105</v>
      </c>
    </row>
    <row r="20" spans="3:8" x14ac:dyDescent="0.25">
      <c r="C20" s="11" t="s">
        <v>135</v>
      </c>
      <c r="D20" s="8">
        <f>SUM(D17:D19)</f>
        <v>163</v>
      </c>
      <c r="E20" s="12">
        <v>9598.3684210526317</v>
      </c>
      <c r="F20" s="12">
        <f>SUM(F17:F19)</f>
        <v>1564534.0526315789</v>
      </c>
    </row>
    <row r="21" spans="3:8" x14ac:dyDescent="0.25">
      <c r="C21" s="1"/>
      <c r="D21" s="2"/>
      <c r="E21" s="10"/>
      <c r="F21" s="10"/>
    </row>
    <row r="22" spans="3:8" x14ac:dyDescent="0.25">
      <c r="C22" s="1" t="s">
        <v>132</v>
      </c>
      <c r="D22" s="2">
        <v>2</v>
      </c>
      <c r="E22" s="10">
        <v>9598.3684210526317</v>
      </c>
      <c r="F22" s="10">
        <f>+D22*E22</f>
        <v>19196.736842105263</v>
      </c>
    </row>
    <row r="23" spans="3:8" x14ac:dyDescent="0.25">
      <c r="C23" s="11" t="s">
        <v>128</v>
      </c>
      <c r="D23" s="8">
        <f>D16-(D20+D22)</f>
        <v>7</v>
      </c>
      <c r="E23" s="12">
        <v>9598.3684210526317</v>
      </c>
      <c r="F23" s="12">
        <f>+D23*E23</f>
        <v>67188.578947368427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735-39A9-4E08-A075-C40F5F305DB8}">
  <dimension ref="C5:G15"/>
  <sheetViews>
    <sheetView workbookViewId="0">
      <selection activeCell="E15" sqref="E15"/>
    </sheetView>
  </sheetViews>
  <sheetFormatPr defaultRowHeight="15" x14ac:dyDescent="0.25"/>
  <cols>
    <col min="3" max="3" width="10.28515625" bestFit="1" customWidth="1"/>
    <col min="4" max="4" width="11.85546875" bestFit="1" customWidth="1"/>
    <col min="5" max="5" width="15.42578125" bestFit="1" customWidth="1"/>
    <col min="6" max="6" width="17.42578125" bestFit="1" customWidth="1"/>
    <col min="7" max="7" width="21.140625" bestFit="1" customWidth="1"/>
  </cols>
  <sheetData>
    <row r="5" spans="3:7" x14ac:dyDescent="0.25">
      <c r="C5" s="14" t="s">
        <v>125</v>
      </c>
      <c r="D5" s="14" t="s">
        <v>270</v>
      </c>
      <c r="E5" s="14" t="s">
        <v>271</v>
      </c>
      <c r="F5" s="14" t="s">
        <v>272</v>
      </c>
      <c r="G5" s="14" t="s">
        <v>109</v>
      </c>
    </row>
    <row r="6" spans="3:7" x14ac:dyDescent="0.25">
      <c r="C6" s="36">
        <v>45139</v>
      </c>
      <c r="D6" s="4" t="s">
        <v>119</v>
      </c>
      <c r="E6" s="4">
        <v>393677</v>
      </c>
      <c r="F6" s="44">
        <f>1480226+258102</f>
        <v>1738328</v>
      </c>
      <c r="G6" s="1"/>
    </row>
    <row r="7" spans="3:7" x14ac:dyDescent="0.25">
      <c r="C7" s="3">
        <v>45168</v>
      </c>
      <c r="D7" s="2">
        <v>20</v>
      </c>
      <c r="E7" s="2">
        <v>270722</v>
      </c>
      <c r="F7" s="44"/>
      <c r="G7" s="1"/>
    </row>
    <row r="8" spans="3:7" x14ac:dyDescent="0.25">
      <c r="C8" s="3">
        <v>45272</v>
      </c>
      <c r="D8" s="2">
        <v>25</v>
      </c>
      <c r="E8" s="2">
        <v>338041</v>
      </c>
      <c r="F8" s="44"/>
      <c r="G8" s="1"/>
    </row>
    <row r="9" spans="3:7" x14ac:dyDescent="0.25">
      <c r="C9" s="3">
        <v>45414</v>
      </c>
      <c r="D9" s="2">
        <v>20</v>
      </c>
      <c r="E9" s="2">
        <v>212400</v>
      </c>
      <c r="F9" s="44"/>
      <c r="G9" s="1"/>
    </row>
    <row r="10" spans="3:7" x14ac:dyDescent="0.25">
      <c r="C10" s="3">
        <v>45427</v>
      </c>
      <c r="D10" s="2">
        <v>20</v>
      </c>
      <c r="E10" s="2">
        <v>212400</v>
      </c>
      <c r="F10" s="44"/>
      <c r="G10" s="1"/>
    </row>
    <row r="11" spans="3:7" x14ac:dyDescent="0.25">
      <c r="C11" s="3">
        <v>45559</v>
      </c>
      <c r="D11" s="2">
        <v>30</v>
      </c>
      <c r="E11" s="2">
        <f>10620*30</f>
        <v>318600</v>
      </c>
      <c r="F11" s="44"/>
      <c r="G11" s="1"/>
    </row>
    <row r="12" spans="3:7" x14ac:dyDescent="0.25">
      <c r="C12" s="3">
        <v>45660</v>
      </c>
      <c r="D12" s="2">
        <v>25</v>
      </c>
      <c r="E12" s="2">
        <f>10620*25</f>
        <v>265500</v>
      </c>
      <c r="F12" s="44"/>
      <c r="G12" s="6" t="s">
        <v>273</v>
      </c>
    </row>
    <row r="13" spans="3:7" x14ac:dyDescent="0.25">
      <c r="C13" s="3">
        <v>45661</v>
      </c>
      <c r="D13" s="2">
        <v>25</v>
      </c>
      <c r="E13" s="2">
        <f>10620*25</f>
        <v>265500</v>
      </c>
      <c r="F13" s="44"/>
      <c r="G13" s="6" t="s">
        <v>273</v>
      </c>
    </row>
    <row r="14" spans="3:7" x14ac:dyDescent="0.25">
      <c r="C14" s="3">
        <v>45775</v>
      </c>
      <c r="D14" s="2">
        <v>76</v>
      </c>
      <c r="E14" s="2">
        <v>729476</v>
      </c>
      <c r="F14" s="44"/>
      <c r="G14" s="6" t="s">
        <v>273</v>
      </c>
    </row>
    <row r="15" spans="3:7" x14ac:dyDescent="0.25">
      <c r="C15" s="1"/>
      <c r="D15" s="2">
        <f>SUM(D6:D14)</f>
        <v>241</v>
      </c>
      <c r="E15" s="14">
        <f>SUM(E6:E14)</f>
        <v>3006316</v>
      </c>
      <c r="F15" s="14">
        <f>+E19</f>
        <v>0</v>
      </c>
      <c r="G15" s="35" t="s">
        <v>274</v>
      </c>
    </row>
  </sheetData>
  <mergeCells count="2">
    <mergeCell ref="F6:F11"/>
    <mergeCell ref="F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6CB-DC5C-4D5A-9F99-5A90A7CF737C}">
  <sheetPr>
    <outlinePr summaryBelow="0" summaryRight="0"/>
  </sheetPr>
  <dimension ref="A1:G26"/>
  <sheetViews>
    <sheetView workbookViewId="0">
      <pane xSplit="5" ySplit="1" topLeftCell="F5" activePane="bottomRight" state="frozen"/>
      <selection pane="topRight" activeCell="D1" sqref="D1"/>
      <selection pane="bottomLeft" activeCell="A2" sqref="A2"/>
      <selection pane="bottomRight" activeCell="F10" sqref="D10:F14"/>
    </sheetView>
  </sheetViews>
  <sheetFormatPr defaultColWidth="12.7109375" defaultRowHeight="15.75" customHeight="1" x14ac:dyDescent="0.2"/>
  <cols>
    <col min="1" max="1" width="12.7109375" style="25"/>
    <col min="2" max="2" width="14.28515625" style="25" bestFit="1" customWidth="1"/>
    <col min="3" max="3" width="19.140625" style="25" bestFit="1" customWidth="1"/>
    <col min="4" max="4" width="29.140625" style="25" customWidth="1"/>
    <col min="5" max="6" width="12.7109375" style="25" customWidth="1"/>
    <col min="7" max="7" width="24.28515625" style="25" bestFit="1" customWidth="1"/>
    <col min="8" max="38" width="12.7109375" style="25" customWidth="1"/>
    <col min="39" max="39" width="12.7109375" style="25"/>
    <col min="40" max="40" width="54.5703125" style="25" customWidth="1"/>
    <col min="41" max="16384" width="12.7109375" style="25"/>
  </cols>
  <sheetData>
    <row r="1" spans="1:7" ht="15.75" customHeight="1" x14ac:dyDescent="0.25">
      <c r="A1" s="29" t="s">
        <v>258</v>
      </c>
      <c r="B1" s="11" t="s">
        <v>259</v>
      </c>
      <c r="C1" s="15" t="s">
        <v>141</v>
      </c>
      <c r="D1" s="15" t="s">
        <v>143</v>
      </c>
      <c r="E1" s="30" t="s">
        <v>144</v>
      </c>
      <c r="F1" s="23" t="s">
        <v>222</v>
      </c>
      <c r="G1" s="23" t="s">
        <v>109</v>
      </c>
    </row>
    <row r="2" spans="1:7" ht="15.75" customHeight="1" x14ac:dyDescent="0.25">
      <c r="A2" s="2">
        <v>1</v>
      </c>
      <c r="B2" s="6" t="s">
        <v>260</v>
      </c>
      <c r="C2" s="31" t="s">
        <v>223</v>
      </c>
      <c r="D2" s="16" t="s">
        <v>224</v>
      </c>
      <c r="E2" s="32">
        <v>14200</v>
      </c>
      <c r="F2" s="32">
        <v>2957</v>
      </c>
      <c r="G2" s="6" t="s">
        <v>225</v>
      </c>
    </row>
    <row r="3" spans="1:7" ht="15.75" customHeight="1" x14ac:dyDescent="0.25">
      <c r="A3" s="2">
        <f>+A2+1</f>
        <v>2</v>
      </c>
      <c r="B3" s="1" t="s">
        <v>261</v>
      </c>
      <c r="C3" s="31" t="s">
        <v>226</v>
      </c>
      <c r="D3" s="1" t="s">
        <v>262</v>
      </c>
      <c r="E3" s="32">
        <f>14200+14200+14200</f>
        <v>42600</v>
      </c>
      <c r="F3" s="32">
        <f>4670+14200+431</f>
        <v>19301</v>
      </c>
      <c r="G3" s="6" t="s">
        <v>225</v>
      </c>
    </row>
    <row r="4" spans="1:7" ht="15.75" customHeight="1" x14ac:dyDescent="0.25">
      <c r="A4" s="2">
        <f t="shared" ref="A4:A25" si="0">+A3+1</f>
        <v>3</v>
      </c>
      <c r="B4" s="1" t="s">
        <v>261</v>
      </c>
      <c r="C4" s="31" t="s">
        <v>227</v>
      </c>
      <c r="D4" s="1" t="s">
        <v>228</v>
      </c>
      <c r="E4" s="32">
        <v>14200</v>
      </c>
      <c r="F4" s="32">
        <v>5894</v>
      </c>
      <c r="G4" s="6" t="s">
        <v>225</v>
      </c>
    </row>
    <row r="5" spans="1:7" ht="15.75" customHeight="1" x14ac:dyDescent="0.25">
      <c r="A5" s="2">
        <f t="shared" si="0"/>
        <v>4</v>
      </c>
      <c r="B5" s="1" t="s">
        <v>261</v>
      </c>
      <c r="C5" s="31" t="s">
        <v>229</v>
      </c>
      <c r="D5" s="1" t="s">
        <v>230</v>
      </c>
      <c r="E5" s="32">
        <v>14200</v>
      </c>
      <c r="F5" s="32">
        <v>14200</v>
      </c>
      <c r="G5" s="6" t="s">
        <v>225</v>
      </c>
    </row>
    <row r="6" spans="1:7" ht="15.75" customHeight="1" x14ac:dyDescent="0.25">
      <c r="A6" s="2">
        <f t="shared" si="0"/>
        <v>5</v>
      </c>
      <c r="B6" s="1" t="s">
        <v>261</v>
      </c>
      <c r="C6" s="31" t="s">
        <v>231</v>
      </c>
      <c r="D6" s="1" t="s">
        <v>232</v>
      </c>
      <c r="E6" s="32">
        <v>14200</v>
      </c>
      <c r="F6" s="32">
        <v>14200</v>
      </c>
      <c r="G6" s="6" t="s">
        <v>225</v>
      </c>
    </row>
    <row r="7" spans="1:7" ht="15.75" customHeight="1" x14ac:dyDescent="0.25">
      <c r="A7" s="2">
        <f t="shared" si="0"/>
        <v>6</v>
      </c>
      <c r="B7" s="1" t="s">
        <v>261</v>
      </c>
      <c r="C7" s="31" t="s">
        <v>233</v>
      </c>
      <c r="D7" s="1" t="s">
        <v>234</v>
      </c>
      <c r="E7" s="32">
        <v>14200</v>
      </c>
      <c r="F7" s="32">
        <v>14200</v>
      </c>
      <c r="G7" s="6" t="s">
        <v>225</v>
      </c>
    </row>
    <row r="8" spans="1:7" ht="15.75" customHeight="1" x14ac:dyDescent="0.25">
      <c r="A8" s="2">
        <f t="shared" si="0"/>
        <v>7</v>
      </c>
      <c r="B8" s="1" t="s">
        <v>261</v>
      </c>
      <c r="C8" s="31" t="s">
        <v>235</v>
      </c>
      <c r="D8" s="1" t="s">
        <v>236</v>
      </c>
      <c r="E8" s="32">
        <v>14200</v>
      </c>
      <c r="F8" s="32">
        <v>14200</v>
      </c>
      <c r="G8" s="6" t="s">
        <v>225</v>
      </c>
    </row>
    <row r="9" spans="1:7" ht="15.75" customHeight="1" x14ac:dyDescent="0.25">
      <c r="A9" s="2">
        <f t="shared" si="0"/>
        <v>8</v>
      </c>
      <c r="B9" s="1" t="s">
        <v>261</v>
      </c>
      <c r="C9" s="31" t="s">
        <v>237</v>
      </c>
      <c r="D9" s="1" t="s">
        <v>238</v>
      </c>
      <c r="E9" s="32">
        <v>14200</v>
      </c>
      <c r="F9" s="32">
        <v>14200</v>
      </c>
      <c r="G9" s="6" t="s">
        <v>225</v>
      </c>
    </row>
    <row r="10" spans="1:7" ht="15.75" customHeight="1" x14ac:dyDescent="0.25">
      <c r="A10" s="2">
        <f t="shared" si="0"/>
        <v>9</v>
      </c>
      <c r="B10" s="1" t="s">
        <v>261</v>
      </c>
      <c r="C10" s="31" t="s">
        <v>239</v>
      </c>
      <c r="D10" s="1" t="s">
        <v>240</v>
      </c>
      <c r="E10" s="32">
        <v>14200</v>
      </c>
      <c r="F10" s="32">
        <v>14200</v>
      </c>
      <c r="G10" s="6" t="s">
        <v>225</v>
      </c>
    </row>
    <row r="11" spans="1:7" ht="15.75" customHeight="1" x14ac:dyDescent="0.25">
      <c r="A11" s="2">
        <f t="shared" si="0"/>
        <v>10</v>
      </c>
      <c r="B11" s="1" t="s">
        <v>261</v>
      </c>
      <c r="C11" s="31" t="s">
        <v>263</v>
      </c>
      <c r="D11" s="1" t="s">
        <v>264</v>
      </c>
      <c r="E11" s="32">
        <v>14200</v>
      </c>
      <c r="F11" s="32">
        <v>5650</v>
      </c>
      <c r="G11" s="6" t="s">
        <v>225</v>
      </c>
    </row>
    <row r="12" spans="1:7" ht="15.75" customHeight="1" x14ac:dyDescent="0.25">
      <c r="A12" s="2">
        <f t="shared" si="0"/>
        <v>11</v>
      </c>
      <c r="B12" s="1" t="s">
        <v>261</v>
      </c>
      <c r="C12" s="31" t="s">
        <v>241</v>
      </c>
      <c r="D12" s="1" t="s">
        <v>242</v>
      </c>
      <c r="E12" s="32">
        <v>14200</v>
      </c>
      <c r="F12" s="32">
        <v>14200</v>
      </c>
      <c r="G12" s="6" t="s">
        <v>225</v>
      </c>
    </row>
    <row r="13" spans="1:7" ht="15.75" customHeight="1" x14ac:dyDescent="0.25">
      <c r="A13" s="2">
        <f t="shared" si="0"/>
        <v>12</v>
      </c>
      <c r="B13" s="1" t="s">
        <v>261</v>
      </c>
      <c r="C13" s="31" t="s">
        <v>243</v>
      </c>
      <c r="D13" s="1" t="s">
        <v>244</v>
      </c>
      <c r="E13" s="32">
        <f>14200+14200</f>
        <v>28400</v>
      </c>
      <c r="F13" s="32">
        <f>14200+14200</f>
        <v>28400</v>
      </c>
      <c r="G13" s="6" t="s">
        <v>225</v>
      </c>
    </row>
    <row r="14" spans="1:7" ht="15.75" customHeight="1" x14ac:dyDescent="0.25">
      <c r="A14" s="2">
        <f t="shared" si="0"/>
        <v>13</v>
      </c>
      <c r="B14" s="1" t="s">
        <v>261</v>
      </c>
      <c r="C14" s="31" t="s">
        <v>245</v>
      </c>
      <c r="D14" s="1" t="s">
        <v>246</v>
      </c>
      <c r="E14" s="32">
        <v>14200</v>
      </c>
      <c r="F14" s="32">
        <v>12275</v>
      </c>
      <c r="G14" s="6" t="s">
        <v>225</v>
      </c>
    </row>
    <row r="15" spans="1:7" ht="15.75" customHeight="1" x14ac:dyDescent="0.25">
      <c r="A15" s="2">
        <f t="shared" si="0"/>
        <v>14</v>
      </c>
      <c r="B15" s="1" t="s">
        <v>261</v>
      </c>
      <c r="C15" s="31" t="s">
        <v>247</v>
      </c>
      <c r="D15" s="1" t="s">
        <v>248</v>
      </c>
      <c r="E15" s="32">
        <v>14200</v>
      </c>
      <c r="F15" s="32">
        <v>14200</v>
      </c>
      <c r="G15" s="27" t="s">
        <v>225</v>
      </c>
    </row>
    <row r="16" spans="1:7" ht="15.75" customHeight="1" x14ac:dyDescent="0.25">
      <c r="A16" s="2">
        <f t="shared" si="0"/>
        <v>15</v>
      </c>
      <c r="B16" s="1" t="s">
        <v>261</v>
      </c>
      <c r="C16" s="31" t="s">
        <v>249</v>
      </c>
      <c r="D16" s="1" t="s">
        <v>250</v>
      </c>
      <c r="E16" s="32">
        <v>14200</v>
      </c>
      <c r="F16" s="32">
        <v>14200</v>
      </c>
      <c r="G16" s="27" t="s">
        <v>225</v>
      </c>
    </row>
    <row r="17" spans="1:7" ht="15.75" customHeight="1" x14ac:dyDescent="0.25">
      <c r="A17" s="2">
        <f t="shared" si="0"/>
        <v>16</v>
      </c>
      <c r="B17" s="1" t="s">
        <v>261</v>
      </c>
      <c r="C17" s="1" t="s">
        <v>251</v>
      </c>
      <c r="D17" s="1" t="s">
        <v>252</v>
      </c>
      <c r="E17" s="17">
        <v>14200</v>
      </c>
      <c r="F17" s="17">
        <v>13336</v>
      </c>
      <c r="G17" s="26" t="s">
        <v>225</v>
      </c>
    </row>
    <row r="18" spans="1:7" ht="15.75" customHeight="1" x14ac:dyDescent="0.25">
      <c r="A18" s="2">
        <f t="shared" si="0"/>
        <v>17</v>
      </c>
      <c r="B18" s="1" t="s">
        <v>261</v>
      </c>
      <c r="C18" s="1" t="s">
        <v>149</v>
      </c>
      <c r="D18" s="1" t="s">
        <v>150</v>
      </c>
      <c r="E18" s="17">
        <f>14200+8500</f>
        <v>22700</v>
      </c>
      <c r="F18" s="17">
        <v>22700</v>
      </c>
      <c r="G18" s="26" t="s">
        <v>225</v>
      </c>
    </row>
    <row r="19" spans="1:7" ht="15.75" customHeight="1" x14ac:dyDescent="0.25">
      <c r="A19" s="2">
        <f t="shared" si="0"/>
        <v>18</v>
      </c>
      <c r="B19" s="1" t="s">
        <v>260</v>
      </c>
      <c r="C19" s="1" t="s">
        <v>253</v>
      </c>
      <c r="D19" s="1" t="s">
        <v>254</v>
      </c>
      <c r="E19" s="17">
        <v>14200</v>
      </c>
      <c r="F19" s="17">
        <v>0</v>
      </c>
      <c r="G19" s="6">
        <v>0</v>
      </c>
    </row>
    <row r="20" spans="1:7" ht="15.75" customHeight="1" x14ac:dyDescent="0.25">
      <c r="A20" s="2">
        <f t="shared" si="0"/>
        <v>19</v>
      </c>
      <c r="B20" s="1" t="s">
        <v>265</v>
      </c>
      <c r="C20" s="1" t="s">
        <v>151</v>
      </c>
      <c r="D20" s="1" t="s">
        <v>152</v>
      </c>
      <c r="E20" s="17">
        <v>14200</v>
      </c>
      <c r="F20" s="17">
        <v>6618</v>
      </c>
      <c r="G20" s="6" t="s">
        <v>266</v>
      </c>
    </row>
    <row r="21" spans="1:7" ht="15.75" customHeight="1" x14ac:dyDescent="0.25">
      <c r="A21" s="2">
        <f t="shared" si="0"/>
        <v>20</v>
      </c>
      <c r="B21" s="1" t="s">
        <v>267</v>
      </c>
      <c r="C21" s="1" t="s">
        <v>255</v>
      </c>
      <c r="D21" s="1" t="s">
        <v>256</v>
      </c>
      <c r="E21" s="17">
        <v>14200</v>
      </c>
      <c r="F21" s="17">
        <v>0</v>
      </c>
      <c r="G21" s="6" t="s">
        <v>268</v>
      </c>
    </row>
    <row r="22" spans="1:7" ht="15.75" customHeight="1" x14ac:dyDescent="0.25">
      <c r="A22" s="2">
        <f t="shared" si="0"/>
        <v>21</v>
      </c>
      <c r="B22" s="1" t="s">
        <v>267</v>
      </c>
      <c r="C22" s="1" t="s">
        <v>153</v>
      </c>
      <c r="D22" s="1" t="s">
        <v>154</v>
      </c>
      <c r="E22" s="17">
        <v>14200</v>
      </c>
      <c r="F22" s="17">
        <v>14200</v>
      </c>
      <c r="G22" s="6" t="s">
        <v>266</v>
      </c>
    </row>
    <row r="23" spans="1:7" ht="15.75" customHeight="1" x14ac:dyDescent="0.25">
      <c r="A23" s="2">
        <f t="shared" si="0"/>
        <v>22</v>
      </c>
      <c r="B23" s="1" t="s">
        <v>261</v>
      </c>
      <c r="C23" s="1" t="s">
        <v>257</v>
      </c>
      <c r="D23" s="1" t="s">
        <v>269</v>
      </c>
      <c r="E23" s="17">
        <v>14200</v>
      </c>
      <c r="F23" s="17">
        <v>0</v>
      </c>
      <c r="G23" s="6" t="s">
        <v>266</v>
      </c>
    </row>
    <row r="24" spans="1:7" ht="15.75" customHeight="1" x14ac:dyDescent="0.25">
      <c r="A24" s="2">
        <f t="shared" si="0"/>
        <v>23</v>
      </c>
      <c r="B24" s="1" t="s">
        <v>265</v>
      </c>
      <c r="C24" s="1" t="s">
        <v>159</v>
      </c>
      <c r="D24" s="1" t="s">
        <v>160</v>
      </c>
      <c r="E24" s="17">
        <v>14200</v>
      </c>
      <c r="F24" s="17">
        <v>14200</v>
      </c>
      <c r="G24" s="6" t="s">
        <v>268</v>
      </c>
    </row>
    <row r="25" spans="1:7" ht="15.75" customHeight="1" x14ac:dyDescent="0.25">
      <c r="A25" s="2">
        <f t="shared" si="0"/>
        <v>24</v>
      </c>
      <c r="B25" s="1" t="s">
        <v>260</v>
      </c>
      <c r="C25" s="1" t="s">
        <v>161</v>
      </c>
      <c r="D25" s="1" t="s">
        <v>162</v>
      </c>
      <c r="E25" s="17">
        <v>14200</v>
      </c>
      <c r="F25" s="17">
        <v>9996</v>
      </c>
      <c r="G25" s="6" t="s">
        <v>268</v>
      </c>
    </row>
    <row r="26" spans="1:7" ht="15.75" customHeight="1" x14ac:dyDescent="0.25">
      <c r="A26"/>
      <c r="B26"/>
      <c r="C26"/>
      <c r="D26"/>
      <c r="E26" s="33">
        <f>SUM(E2:E25)</f>
        <v>391900</v>
      </c>
      <c r="F26" s="33">
        <f>SUM(F2:F25)</f>
        <v>283327</v>
      </c>
      <c r="G26"/>
    </row>
  </sheetData>
  <autoFilter ref="A1:G1" xr:uid="{48C6C6CB-DC5C-4D5A-9F99-5A90A7CF737C}"/>
  <conditionalFormatting sqref="C1:C25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Details </vt:lpstr>
      <vt:lpstr>Recovery Detail</vt:lpstr>
      <vt:lpstr>Deductable for June'26</vt:lpstr>
      <vt:lpstr>Purchase</vt:lpstr>
      <vt:lpstr>Old Purchase </vt:lpstr>
      <vt:lpstr>Not recover 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mdshahidchand786@gmail.com</dc:creator>
  <cp:lastModifiedBy>RAHUL PANDIT</cp:lastModifiedBy>
  <dcterms:created xsi:type="dcterms:W3CDTF">2025-08-06T10:50:34Z</dcterms:created>
  <dcterms:modified xsi:type="dcterms:W3CDTF">2026-07-11T06:23:37Z</dcterms:modified>
</cp:coreProperties>
</file>